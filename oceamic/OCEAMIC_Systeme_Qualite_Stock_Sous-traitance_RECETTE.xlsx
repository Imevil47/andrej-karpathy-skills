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UEIL" sheetId="1" state="visible" r:id="rId3"/>
    <sheet name="LOTS" sheetId="2" state="visible" r:id="rId4"/>
    <sheet name="OPERATIONS" sheetId="3" state="visible" r:id="rId5"/>
    <sheet name="SOUS_TRAITANCE" sheetId="4" state="visible" r:id="rId6"/>
    <sheet name="ST_RESULTATS" sheetId="5" state="visible" r:id="rId7"/>
    <sheet name="QUALITE" sheetId="6" state="visible" r:id="rId8"/>
    <sheet name="STOCK" sheetId="7" state="visible" r:id="rId9"/>
    <sheet name="RECHERCHE" sheetId="8" state="visible" r:id="rId10"/>
    <sheet name="MOUVEMENTS" sheetId="9" state="visible" r:id="rId11"/>
    <sheet name="PARAM" sheetId="10" state="visible" r:id="rId12"/>
    <sheet name="GUIDE" sheetId="11" state="visible" r:id="rId13"/>
    <sheet name="TESTS" sheetId="12" state="visible" r:id="rId14"/>
  </sheets>
  <definedNames>
    <definedName function="false" hidden="true" localSheetId="1" name="_xlnm._FilterDatabase" vbProcedure="false">LOTS!$A$4:$U$204</definedName>
    <definedName function="false" hidden="true" localSheetId="8" name="_xlnm._FilterDatabase" vbProcedure="false">MOUVEMENTS!$A$4:$N$1054</definedName>
    <definedName function="false" hidden="true" localSheetId="2" name="_xlnm._FilterDatabase" vbProcedure="false">OPERATIONS!$A$4:$R$304</definedName>
    <definedName function="false" hidden="true" localSheetId="5" name="_xlnm._FilterDatabase" vbProcedure="false">QUALITE!$A$4:$T$254</definedName>
    <definedName function="false" hidden="true" localSheetId="3" name="_xlnm._FilterDatabase" vbProcedure="false">SOUS_TRAITANCE!$A$4:$AB$154</definedName>
    <definedName function="false" hidden="true" localSheetId="4" name="_xlnm._FilterDatabase" vbProcedure="false">ST_RESULTATS!$A$4:$Z$304</definedName>
    <definedName function="false" hidden="false" name="EMPL_CLASSE" vbProcedure="false">PARAM!$C$6:$C$45</definedName>
    <definedName function="false" hidden="false" name="EMPL_KEY" vbProcedure="false">PARAM!$B$6:$B$45</definedName>
    <definedName function="false" hidden="false" name="LOT_CONSERV" vbProcedure="false">LOTS!$H$5:$H$204</definedName>
    <definedName function="false" hidden="false" name="LOT_CONSERVE" vbProcedure="false">LOTS!$S$5:$S$204</definedName>
    <definedName function="false" hidden="false" name="LOT_DATE" vbProcedure="false">LOTS!$K$5:$K$204</definedName>
    <definedName function="false" hidden="false" name="LOT_DECISION" vbProcedure="false">LOTS!$X$5:$X$204</definedName>
    <definedName function="false" hidden="false" name="LOT_ETAT" vbProcedure="false">LOTS!$G$5:$G$204</definedName>
    <definedName function="false" hidden="false" name="LOT_EXT" vbProcedure="false">LOTS!$B$5:$B$204</definedName>
    <definedName function="false" hidden="false" name="LOT_EXTE" vbProcedure="false">LOTS!$O$5:$O$204</definedName>
    <definedName function="false" hidden="false" name="LOT_FOURN" vbProcedure="false">LOTS!$D$5:$D$204</definedName>
    <definedName function="false" hidden="false" name="LOT_FOURNE" vbProcedure="false">LOTS!$Q$5:$Q$204</definedName>
    <definedName function="false" hidden="false" name="LOT_IMMAT" vbProcedure="false">LOTS!$F$5:$F$204</definedName>
    <definedName function="false" hidden="false" name="LOT_IMMATE" vbProcedure="false">LOTS!$T$5:$T$204</definedName>
    <definedName function="false" hidden="false" name="LOT_KEY" vbProcedure="false">LOTS!$A$5:$A$204</definedName>
    <definedName function="false" hidden="false" name="LOT_MOULE" vbProcedure="false">LOTS!$J$5:$J$204</definedName>
    <definedName function="false" hidden="false" name="LOT_OBS" vbProcedure="false">LOTS!$M$5:$M$204</definedName>
    <definedName function="false" hidden="false" name="LOT_ORIG" vbProcedure="false">LOTS!$E$5:$E$204</definedName>
    <definedName function="false" hidden="false" name="LOT_ORIGE" vbProcedure="false">LOTS!$R$5:$R$204</definedName>
    <definedName function="false" hidden="false" name="LOT_PARENT" vbProcedure="false">LOTS!$L$5:$L$204</definedName>
    <definedName function="false" hidden="false" name="LOT_PARENTE" vbProcedure="false">LOTS!$N$5:$N$204</definedName>
    <definedName function="false" hidden="false" name="LOT_PROD" vbProcedure="false">LOTS!$C$5:$C$204</definedName>
    <definedName function="false" hidden="false" name="LOT_PRODE" vbProcedure="false">LOTS!$P$5:$P$204</definedName>
    <definedName function="false" hidden="false" name="LOT_QUAL" vbProcedure="false">LOTS!$I$5:$I$204</definedName>
    <definedName function="false" hidden="false" name="LOT_RANGEXT" vbProcedure="false">LOTS!$AA$5:$AA$204</definedName>
    <definedName function="false" hidden="false" name="LOT_STATUT" vbProcedure="false">LOTS!$Y$5:$Y$204</definedName>
    <definedName function="false" hidden="false" name="LOT_STOCK" vbProcedure="false">LOTS!$U$5:$U$204</definedName>
    <definedName function="false" hidden="false" name="L_CONSERV" vbProcedure="false">OFFSET(PARAM!$N$6,0,0,MAX(1,COUNTA(PARAM!$N$6:$N$45)),1)</definedName>
    <definedName function="false" hidden="false" name="L_DECISION" vbProcedure="false">OFFSET(PARAM!$V$6,0,0,MAX(1,COUNTA(PARAM!$V$6:$V$45)),1)</definedName>
    <definedName function="false" hidden="false" name="L_EMPL" vbProcedure="false">OFFSET(PARAM!$B$6,0,0,MAX(1,COUNTA(PARAM!$B$6:$B$45)),1)</definedName>
    <definedName function="false" hidden="false" name="L_ETAT" vbProcedure="false">OFFSET(PARAM!$L$6,0,0,MAX(1,COUNTA(PARAM!$L$6:$L$45)),1)</definedName>
    <definedName function="false" hidden="false" name="L_ETAT_R" vbProcedure="false">PARAM!$L$6:$L$45</definedName>
    <definedName function="false" hidden="false" name="L_FOURN" vbProcedure="false">OFFSET(PARAM!$H$6,0,0,MAX(1,COUNTA(PARAM!$H$6:$H$45)),1)</definedName>
    <definedName function="false" hidden="false" name="L_IDST" vbProcedure="false">OFFSET(SOUS_TRAITANCE!$A$5,0,0,MAX(1,COUNTA(SOUS_TRAITANCE!$D$5:$D$154)),1)</definedName>
    <definedName function="false" hidden="false" name="L_LOTS" vbProcedure="false">OFFSET(LOTS!$A$5,0,0,MAX(1,COUNTA(LOTS!$A$5:$A$204)),1)</definedName>
    <definedName function="false" hidden="false" name="L_MOTIF" vbProcedure="false">OFFSET(PARAM!$X$6,0,0,MAX(1,COUNTA(PARAM!$X$6:$X$45)),1)</definedName>
    <definedName function="false" hidden="false" name="L_MOULE" vbProcedure="false">OFFSET(PARAM!$R$6,0,0,MAX(1,COUNTA(PARAM!$R$6:$R$45)),1)</definedName>
    <definedName function="false" hidden="false" name="L_ORIGINE" vbProcedure="false">OFFSET(PARAM!$J$6,0,0,MAX(1,COUNTA(PARAM!$J$6:$J$45)),1)</definedName>
    <definedName function="false" hidden="false" name="L_PRODUIT" vbProcedure="false">OFFSET(PARAM!$F$6,0,0,MAX(1,COUNTA(PARAM!$F$6:$F$45)),1)</definedName>
    <definedName function="false" hidden="false" name="L_PRODUIT_R" vbProcedure="false">PARAM!$F$6:$F$45</definedName>
    <definedName function="false" hidden="false" name="L_QUALITE" vbProcedure="false">OFFSET(PARAM!$P$6,0,0,MAX(1,COUNTA(PARAM!$P$6:$P$45)),1)</definedName>
    <definedName function="false" hidden="false" name="L_STRAIT" vbProcedure="false">OFFSET(PARAM!$T$6,0,0,MAX(1,COUNTA(PARAM!$T$6:$T$45)),1)</definedName>
    <definedName function="false" hidden="false" name="L_TYPECTRL" vbProcedure="false">OFFSET(PARAM!$Z$6,0,0,MAX(1,COUNTA(PARAM!$Z$6:$Z$45)),1)</definedName>
    <definedName function="false" hidden="false" name="MVT_BRUT" vbProcedure="false">MOUVEMENTS!$M$5:$M$1054</definedName>
    <definedName function="false" hidden="false" name="MVT_CLASSE" vbProcedure="false">MOUVEMENTS!$J$5:$J$1054</definedName>
    <definedName function="false" hidden="false" name="MVT_DATE" vbProcedure="false">MOUVEMENTS!$D$5:$D$1054</definedName>
    <definedName function="false" hidden="false" name="MVT_EMPL" vbProcedure="false">MOUVEMENTS!$I$5:$I$1054</definedName>
    <definedName function="false" hidden="false" name="MVT_ETAT" vbProcedure="false">MOUVEMENTS!$L$5:$L$1054</definedName>
    <definedName function="false" hidden="false" name="MVT_EXT" vbProcedure="false">MOUVEMENTS!$H$5:$H$1054</definedName>
    <definedName function="false" hidden="false" name="MVT_LOT" vbProcedure="false">MOUVEMENTS!$G$5:$G$1054</definedName>
    <definedName function="false" hidden="false" name="MVT_NET" vbProcedure="false">MOUVEMENTS!$N$5:$N$1054</definedName>
    <definedName function="false" hidden="false" name="MVT_NO" vbProcedure="false">MOUVEMENTS!$A$5:$A$1054</definedName>
    <definedName function="false" hidden="false" name="MVT_OP" vbProcedure="false">MOUVEMENTS!$F$5:$F$1054</definedName>
    <definedName function="false" hidden="false" name="MVT_PROD" vbProcedure="false">MOUVEMENTS!$K$5:$K$1054</definedName>
    <definedName function="false" hidden="false" name="MVT_RANG" vbProcedure="false">MOUVEMENTS!$P$5:$P$1054</definedName>
    <definedName function="false" hidden="false" name="MVT_REF" vbProcedure="false">MOUVEMENTS!$C$5:$C$1054</definedName>
    <definedName function="false" hidden="false" name="MVT_SENS" vbProcedure="false">MOUVEMENTS!$E$5:$E$1054</definedName>
    <definedName function="false" hidden="false" name="MVT_SRC" vbProcedure="false">MOUVEMENTS!$B$5:$B$1054</definedName>
    <definedName function="false" hidden="false" name="MVT_STATUT" vbProcedure="false">MOUVEMENTS!$O$5:$O$1054</definedName>
    <definedName function="false" hidden="false" name="OPS_ID" vbProcedure="false">OPERATIONS!$A$5:$A$304</definedName>
    <definedName function="false" hidden="false" name="OPS_LOT" vbProcedure="false">OPERATIONS!$D$5:$D$304</definedName>
    <definedName function="false" hidden="false" name="OPS_STATUT" vbProcedure="false">OPERATIONS!$Q$5:$Q$304</definedName>
    <definedName function="false" hidden="false" name="OPS_TYPE" vbProcedure="false">OPERATIONS!$C$5:$C$304</definedName>
    <definedName function="false" hidden="false" name="P_HIST" vbProcedure="false">PARAM!$C$56</definedName>
    <definedName function="false" hidden="false" name="P_TCONG" vbProcedure="false">PARAM!$C$58</definedName>
    <definedName function="false" hidden="false" name="P_TFRAIS" vbProcedure="false">PARAM!$C$57</definedName>
    <definedName function="false" hidden="false" name="P_TOL" vbProcedure="false">PARAM!$C$55</definedName>
    <definedName function="false" hidden="false" name="QC_ALERTE" vbProcedure="false">QUALITE!$S$5:$S$254</definedName>
    <definedName function="false" hidden="false" name="QC_CLEDER" vbProcedure="false">QUALITE!$U$5:$U$254</definedName>
    <definedName function="false" hidden="false" name="QC_DATE" vbProcedure="false">QUALITE!$B$5:$B$254</definedName>
    <definedName function="false" hidden="false" name="QC_DEC" vbProcedure="false">QUALITE!$K$5:$K$254</definedName>
    <definedName function="false" hidden="false" name="QC_DEF" vbProcedure="false">QUALITE!$J$5:$J$254</definedName>
    <definedName function="false" hidden="false" name="QC_EMPL" vbProcedure="false">QUALITE!$D$5:$D$254</definedName>
    <definedName function="false" hidden="false" name="QC_HIST" vbProcedure="false">QUALITE!$G$5:$G$254</definedName>
    <definedName function="false" hidden="false" name="QC_LOT" vbProcedure="false">QUALITE!$C$5:$C$254</definedName>
    <definedName function="false" hidden="false" name="QC_MOULE" vbProcedure="false">QUALITE!$I$5:$I$254</definedName>
    <definedName function="false" hidden="false" name="QC_QUAL" vbProcedure="false">QUALITE!$H$5:$H$254</definedName>
    <definedName function="false" hidden="false" name="QC_RANG" vbProcedure="false">QUALITE!$W$5:$W$254</definedName>
    <definedName function="false" hidden="false" name="QC_STATUT" vbProcedure="false">QUALITE!$R$5:$R$254</definedName>
    <definedName function="false" hidden="false" name="QC_TEMP" vbProcedure="false">QUALITE!$F$5:$F$254</definedName>
    <definedName function="false" hidden="false" name="RES_DATE" vbProcedure="false">ST_RESULTATS!$W$5:$W$304</definedName>
    <definedName function="false" hidden="false" name="RES_DEST" vbProcedure="false">ST_RESULTATS!$J$5:$J$304</definedName>
    <definedName function="false" hidden="false" name="RES_ETAT" vbProcedure="false">ST_RESULTATS!$D$5:$D$304</definedName>
    <definedName function="false" hidden="false" name="RES_ID" vbProcedure="false">ST_RESULTATS!$A$5:$A$304</definedName>
    <definedName function="false" hidden="false" name="RES_IDST" vbProcedure="false">ST_RESULTATS!$B$5:$B$304</definedName>
    <definedName function="false" hidden="false" name="RES_LOTEFF" vbProcedure="false">ST_RESULTATS!$N$5:$N$304</definedName>
    <definedName function="false" hidden="false" name="RES_LOTLIE" vbProcedure="false">ST_RESULTATS!$X$5:$X$304</definedName>
    <definedName function="false" hidden="false" name="RES_LOTSRC" vbProcedure="false">ST_RESULTATS!$L$5:$L$304</definedName>
    <definedName function="false" hidden="false" name="RES_MOULE" vbProcedure="false">ST_RESULTATS!$H$5:$H$304</definedName>
    <definedName function="false" hidden="false" name="RES_QTE" vbProcedure="false">ST_RESULTATS!$F$5:$F$304</definedName>
    <definedName function="false" hidden="false" name="RES_QTEVAL" vbProcedure="false">ST_RESULTATS!$R$5:$R$304</definedName>
    <definedName function="false" hidden="false" name="RES_QUAL" vbProcedure="false">ST_RESULTATS!$G$5:$G$304</definedName>
    <definedName function="false" hidden="false" name="RES_RANG" vbProcedure="false">ST_RESULTATS!$AA$5:$AA$304</definedName>
    <definedName function="false" hidden="false" name="RES_RANGLIEN" vbProcedure="false">ST_RESULTATS!$Y$5:$Y$304</definedName>
    <definedName function="false" hidden="false" name="RES_STATUT" vbProcedure="false">ST_RESULTATS!$T$5:$T$304</definedName>
    <definedName function="false" hidden="false" name="R_LOT" vbProcedure="false">RECHERCHE!$C$5</definedName>
    <definedName function="false" hidden="false" name="ST_DATE" vbProcedure="false">SOUS_TRAITANCE!$B$5:$B$154</definedName>
    <definedName function="false" hidden="false" name="ST_DATERET" vbProcedure="false">SOUS_TRAITANCE!$K$5:$K$154</definedName>
    <definedName function="false" hidden="false" name="ST_ECART" vbProcedure="false">SOUS_TRAITANCE!$V$5:$V$154</definedName>
    <definedName function="false" hidden="false" name="ST_EMPL" vbProcedure="false">SOUS_TRAITANCE!$F$5:$F$154</definedName>
    <definedName function="false" hidden="false" name="ST_ENCOURS" vbProcedure="false">SOUS_TRAITANCE!$AA$5:$AA$154</definedName>
    <definedName function="false" hidden="false" name="ST_ID" vbProcedure="false">SOUS_TRAITANCE!$A$5:$A$154</definedName>
    <definedName function="false" hidden="false" name="ST_LOT" vbProcedure="false">SOUS_TRAITANCE!$E$5:$E$154</definedName>
    <definedName function="false" hidden="false" name="ST_NBRES" vbProcedure="false">SOUS_TRAITANCE!$U$5:$U$154</definedName>
    <definedName function="false" hidden="false" name="ST_QTE" vbProcedure="false">SOUS_TRAITANCE!$G$5:$G$154</definedName>
    <definedName function="false" hidden="false" name="ST_RANG" vbProcedure="false">SOUS_TRAITANCE!$AC$5:$AC$154</definedName>
    <definedName function="false" hidden="false" name="ST_SOURCE" vbProcedure="false">SOUS_TRAITANCE!$D$5:$D$154</definedName>
    <definedName function="false" hidden="false" name="ST_STATUT" vbProcedure="false">SOUS_TRAITANCE!$X$5:$X$154</definedName>
    <definedName function="false" hidden="false" name="ST_STRAIT" vbProcedure="false">SOUS_TRAITANCE!$C$5:$C$154</definedName>
    <definedName function="false" hidden="false" name="ST_TOTSORTIE" vbProcedure="false">SOUS_TRAITANCE!$T$5:$T$154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<sst xmlns="http://schemas.openxmlformats.org/spreadsheetml/2006/main" count="809" uniqueCount="508">
  <si>
    <t xml:space="preserve">OCEAMIC  -  QUALITE, STOCK &amp; SOUS-TRAITANCE</t>
  </si>
  <si>
    <t xml:space="preserve">Classeur unique - sans macro. Le stock est integralement reconstruit a partir de l'onglet MOUVEMENTS.</t>
  </si>
  <si>
    <t xml:space="preserve">NAVIGATION</t>
  </si>
  <si>
    <t xml:space="preserve">TABLEAU DE BORD</t>
  </si>
  <si>
    <t xml:space="preserve">STOCK INTERNE (kg)</t>
  </si>
  <si>
    <t xml:space="preserve">STOCK EXTERNE (kg)</t>
  </si>
  <si>
    <t xml:space="preserve">STOCK TOTAL (kg)</t>
  </si>
  <si>
    <t xml:space="preserve">EN COURS SOUS-TRAITANCE (kg)</t>
  </si>
  <si>
    <t xml:space="preserve">STOCK BLOQUE QUALITE (kg)</t>
  </si>
  <si>
    <t xml:space="preserve">NOMBRE DE LOTS</t>
  </si>
  <si>
    <t xml:space="preserve">CONTROLE D'INTEGRITE</t>
  </si>
  <si>
    <t xml:space="preserve">Les 6 premieres lignes ci-dessous sont bloquantes : tant qu'elles ne sont pas a zero, le stock affiche n'est pas fiable a 100%. Les suivantes sont informatives.</t>
  </si>
  <si>
    <t xml:space="preserve">Operations de stock en anomalie</t>
  </si>
  <si>
    <t xml:space="preserve">LEGENDE DES COULEURS</t>
  </si>
  <si>
    <t xml:space="preserve">Envois sous-traitance bloquants</t>
  </si>
  <si>
    <t xml:space="preserve">Cellule a saisir</t>
  </si>
  <si>
    <t xml:space="preserve">Resultats de sous-traitance en anomalie</t>
  </si>
  <si>
    <t xml:space="preserve">Cellule calculee - ne rien y ecrire</t>
  </si>
  <si>
    <t xml:space="preserve">Fiches lot en anomalie (doublon / incoherence)</t>
  </si>
  <si>
    <t xml:space="preserve">OK - la ligne est valide et comptee en stock</t>
  </si>
  <si>
    <t xml:space="preserve">Lots avec stock negatif</t>
  </si>
  <si>
    <t xml:space="preserve">EN COURS - etape normale, en attente de la suite</t>
  </si>
  <si>
    <t xml:space="preserve">Ecart matrice / grand livre (kg)</t>
  </si>
  <si>
    <t xml:space="preserve">A JUSTIFIER - il manque une explication</t>
  </si>
  <si>
    <t xml:space="preserve">Reconciliation du grand livre</t>
  </si>
  <si>
    <t xml:space="preserve">ANOMALIE - la ligne n'est PAS comptee en stock</t>
  </si>
  <si>
    <t xml:space="preserve">Envois EN COURS (normal, en attente de resultat)</t>
  </si>
  <si>
    <t xml:space="preserve">Ecarts de sous-traitance A JUSTIFIER</t>
  </si>
  <si>
    <t xml:space="preserve">Controles qualite a verifier</t>
  </si>
  <si>
    <t xml:space="preserve">Alertes qualite (histamine / temperature)</t>
  </si>
  <si>
    <t xml:space="preserve">Lignes de mouvement rejetees (non comptees en stock)</t>
  </si>
  <si>
    <t xml:space="preserve">MODE OPERATOIRE EN 7 ETAPES</t>
  </si>
  <si>
    <t xml:space="preserve">1. Creer le lot</t>
  </si>
  <si>
    <t xml:space="preserve">Onglet LOTS : une ligne par lot, une seule fois. C'est la seule saisie de l'identite (produit, fournisseur, origine, camion, etat, conservation).</t>
  </si>
  <si>
    <t xml:space="preserve">2. Enregistrer les mouvements</t>
  </si>
  <si>
    <t xml:space="preserve">Onglet OPERATIONS : RECEPTION, TRANSFERT ou CONSOMMATION. On choisit le lot, les emplacements et la quantite - rien d'autre.</t>
  </si>
  <si>
    <t xml:space="preserve">3. Envoyer en sous-traitance</t>
  </si>
  <si>
    <t xml:space="preserve">Onglet SOUS_TRAITANCE. SOURCE = FOURNISSEUR pour une livraison directe (aucun stock consomme, aucune reception a saisir) ; SOURCE = STOCK EXISTANT pour un prelevement.</t>
  </si>
  <si>
    <t xml:space="preserve">4. Completer les resultats</t>
  </si>
  <si>
    <t xml:space="preserve">Onglet ST_RESULTATS, meme des jours plus tard. Un envoi sans resultat reste EN COURS : ce n'est pas une erreur.</t>
  </si>
  <si>
    <t xml:space="preserve">5. Justifier les ecarts</t>
  </si>
  <si>
    <t xml:space="preserve">QTE ENVOYEE - TOTAL SORTIE = ECART. Tant qu'un ecart positif n'est pas justifie, l'envoi reste A JUSTIFIER.</t>
  </si>
  <si>
    <t xml:space="preserve">6. Controler la qualite</t>
  </si>
  <si>
    <t xml:space="preserve">Onglet QUALITE : uniquement les mesures reellement faites. Un controle ne modifie jamais le stock.</t>
  </si>
  <si>
    <t xml:space="preserve">7. Corriger un inventaire</t>
  </si>
  <si>
    <t xml:space="preserve">Onglet OPERATIONS, type AJUSTEMENT : quantite signee sur l'emplacement de destination (negative = perte) et MOTIF obligatoire. C'est le seul moyen de corriger un stock.</t>
  </si>
  <si>
    <t xml:space="preserve">8. Consulter</t>
  </si>
  <si>
    <t xml:space="preserve">Onglet STOCK pour la synthese (par lot, par espece, par etat matiere, reconciliation), RECHERCHE pour tout savoir d'un lot, MOUVEMENTS pour l'historique complet.</t>
  </si>
  <si>
    <t xml:space="preserve">LOTS  -  FICHIER D'IDENTITE</t>
  </si>
  <si>
    <t xml:space="preserve">Une ligne = un lot. LOT INTERNE est la cle du stock : elle est obligatoire et ne change plus. Si aucun numero interne n'est encore attribue, reprenez le LOT EXTERNE du fournisseur. Ces informations ne se saisissent qu'une seule fois.</t>
  </si>
  <si>
    <t xml:space="preserve">Champs jaunes = saisie   |   Champs gris = calcules automatiquement, ne rien y ecrire</t>
  </si>
  <si>
    <t xml:space="preserve">LOT INTERNE</t>
  </si>
  <si>
    <t xml:space="preserve">LOT EXTERNE</t>
  </si>
  <si>
    <t xml:space="preserve">ESPECE</t>
  </si>
  <si>
    <t xml:space="preserve">PRODUCTEUR / FOURNISSEUR</t>
  </si>
  <si>
    <t xml:space="preserve">ORIGINE</t>
  </si>
  <si>
    <t xml:space="preserve">MATRICULE CAMION</t>
  </si>
  <si>
    <t xml:space="preserve">ETAT MATIERE</t>
  </si>
  <si>
    <t xml:space="preserve">CONSERVATION</t>
  </si>
  <si>
    <t xml:space="preserve">QUALITE INITIALE</t>
  </si>
  <si>
    <t xml:space="preserve">MOULE INITIAL</t>
  </si>
  <si>
    <t xml:space="preserve">DATE CREATION</t>
  </si>
  <si>
    <t xml:space="preserve">LOT PARENT</t>
  </si>
  <si>
    <t xml:space="preserve">OBSERVATION</t>
  </si>
  <si>
    <t xml:space="preserve">LOT PARENT EFFECTIF</t>
  </si>
  <si>
    <t xml:space="preserve">LOT EXTERNE EFFECTIF</t>
  </si>
  <si>
    <t xml:space="preserve">ESPECE EFFECTIVE</t>
  </si>
  <si>
    <t xml:space="preserve">PRODUCTEUR EFFECTIF</t>
  </si>
  <si>
    <t xml:space="preserve">ORIGINE EFFECTIVE</t>
  </si>
  <si>
    <t xml:space="preserve">CONSERVATION EFFECTIVE</t>
  </si>
  <si>
    <t xml:space="preserve">MATRICULE EFFECTIF</t>
  </si>
  <si>
    <t xml:space="preserve">STOCK TOTAL (KG)</t>
  </si>
  <si>
    <t xml:space="preserve">NB MOUVEMENTS</t>
  </si>
  <si>
    <t xml:space="preserve">NB CONTROLES</t>
  </si>
  <si>
    <t xml:space="preserve">DERNIERE DECISION QUALITE</t>
  </si>
  <si>
    <t xml:space="preserve">STATUT FICHE</t>
  </si>
  <si>
    <t xml:space="preserve">REL. LOT EXTERNE</t>
  </si>
  <si>
    <t xml:space="preserve">RANG LOT EXTERNE</t>
  </si>
  <si>
    <t xml:space="preserve">255</t>
  </si>
  <si>
    <t xml:space="preserve">L-EXT-255</t>
  </si>
  <si>
    <t xml:space="preserve">Sardine</t>
  </si>
  <si>
    <t xml:space="preserve">Fournisseur local</t>
  </si>
  <si>
    <t xml:space="preserve">Laayoune</t>
  </si>
  <si>
    <t xml:space="preserve">12345-A-6</t>
  </si>
  <si>
    <t xml:space="preserve">ENTIER</t>
  </si>
  <si>
    <t xml:space="preserve">CONGELE</t>
  </si>
  <si>
    <t xml:space="preserve">A</t>
  </si>
  <si>
    <t xml:space="preserve">20/24</t>
  </si>
  <si>
    <t xml:space="preserve">Lot de reference - scenarios 1, 5, 8, 11, 12, 14, 15</t>
  </si>
  <si>
    <t xml:space="preserve">256</t>
  </si>
  <si>
    <t xml:space="preserve">L-EXT-256</t>
  </si>
  <si>
    <t xml:space="preserve">Maquereau</t>
  </si>
  <si>
    <t xml:space="preserve">Producteur Boujdour</t>
  </si>
  <si>
    <t xml:space="preserve">Boujdour</t>
  </si>
  <si>
    <t xml:space="preserve">22876-B-1</t>
  </si>
  <si>
    <t xml:space="preserve">B</t>
  </si>
  <si>
    <t xml:space="preserve">26/30</t>
  </si>
  <si>
    <t xml:space="preserve">Scenarios 2 et 4 - stock externe puis transfert</t>
  </si>
  <si>
    <t xml:space="preserve">257</t>
  </si>
  <si>
    <t xml:space="preserve">33111-C-2</t>
  </si>
  <si>
    <t xml:space="preserve">FRAIS</t>
  </si>
  <si>
    <t xml:space="preserve">Scenario 3 - meme lot externe que 255 (cas reel a deux lots)</t>
  </si>
  <si>
    <t xml:space="preserve">258</t>
  </si>
  <si>
    <t xml:space="preserve">L-EXT-258</t>
  </si>
  <si>
    <t xml:space="preserve">tan tan</t>
  </si>
  <si>
    <t xml:space="preserve">44900-E-7</t>
  </si>
  <si>
    <t xml:space="preserve">Scenario 13 - tentative de sortie superieure au stock</t>
  </si>
  <si>
    <t xml:space="preserve">300</t>
  </si>
  <si>
    <t xml:space="preserve">L-EXT-300</t>
  </si>
  <si>
    <t xml:space="preserve">Anchois</t>
  </si>
  <si>
    <t xml:space="preserve">Producteur Dakhla</t>
  </si>
  <si>
    <t xml:space="preserve">Dakhla</t>
  </si>
  <si>
    <t xml:space="preserve">44222-D-3</t>
  </si>
  <si>
    <t xml:space="preserve">Scenario 6 - livraison directe fournisseur vers sous-traitant</t>
  </si>
  <si>
    <t xml:space="preserve">301</t>
  </si>
  <si>
    <t xml:space="preserve">L-EXT-301</t>
  </si>
  <si>
    <t xml:space="preserve">55333-F-8</t>
  </si>
  <si>
    <t xml:space="preserve">Scenario 7 - sous-traitance EN COURS, puis blocage qualite</t>
  </si>
  <si>
    <t xml:space="preserve">302</t>
  </si>
  <si>
    <t xml:space="preserve">L-EXT-302</t>
  </si>
  <si>
    <t xml:space="preserve">Chinchard</t>
  </si>
  <si>
    <t xml:space="preserve">66444-G-9</t>
  </si>
  <si>
    <t xml:space="preserve">Scenario 21 - ajustement d'inventaire</t>
  </si>
  <si>
    <t xml:space="preserve">255-HG</t>
  </si>
  <si>
    <t xml:space="preserve">HG</t>
  </si>
  <si>
    <t xml:space="preserve">Issu de ST-001 - identite heritee du lot 255</t>
  </si>
  <si>
    <t xml:space="preserve">255-HGT</t>
  </si>
  <si>
    <t xml:space="preserve">HGT</t>
  </si>
  <si>
    <t xml:space="preserve">Issu de ST-001 - envoye en stock externe COFRIGOP</t>
  </si>
  <si>
    <t xml:space="preserve">300-FIL</t>
  </si>
  <si>
    <t xml:space="preserve">FILET</t>
  </si>
  <si>
    <t xml:space="preserve">Issu de ST-002 - retour OCEAMIC 2</t>
  </si>
  <si>
    <t xml:space="preserve">OPERATIONS DE STOCK  -  RECEPTION / TRANSFERT / CONSOMMATION / AJUSTEMENT</t>
  </si>
  <si>
    <t xml:space="preserve">RECEPTION = entree sur un emplacement.  TRANSFERT = sortie d'un emplacement + entree sur un autre (meme quantite).  CONSOMMATION = sortie de la seule quantite consommee.  AJUSTEMENT = correction d'inventaire sur l'emplacement de destination : quantite signee (negative = perte) et MOTIF obligatoire.</t>
  </si>
  <si>
    <t xml:space="preserve">Saisie minimale : DATE, TYPE, LOT INTERNE, EMPLACEMENT(S), QUANTITE. Le reste est deduit du lot.</t>
  </si>
  <si>
    <t xml:space="preserve">ID OPERATION</t>
  </si>
  <si>
    <t xml:space="preserve">DATE</t>
  </si>
  <si>
    <t xml:space="preserve">TYPE</t>
  </si>
  <si>
    <t xml:space="preserve">EMPL. SOURCE</t>
  </si>
  <si>
    <t xml:space="preserve">EMPL. DESTINATION</t>
  </si>
  <si>
    <t xml:space="preserve">QUANTITE (KG)</t>
  </si>
  <si>
    <t xml:space="preserve">MOTIF / DESTINATION</t>
  </si>
  <si>
    <t xml:space="preserve">PRODUCTEUR</t>
  </si>
  <si>
    <t xml:space="preserve">CLASSE SOURCE</t>
  </si>
  <si>
    <t xml:space="preserve">CLASSE DEST.</t>
  </si>
  <si>
    <t xml:space="preserve">VALIDE</t>
  </si>
  <si>
    <t xml:space="preserve">DISPO AVANT (KG)</t>
  </si>
  <si>
    <t xml:space="preserve">STATUT</t>
  </si>
  <si>
    <t xml:space="preserve">IMPACT STOCK</t>
  </si>
  <si>
    <t xml:space="preserve">CONTROLE / ACTION</t>
  </si>
  <si>
    <t xml:space="preserve">RECEPTION</t>
  </si>
  <si>
    <t xml:space="preserve">OCEAMIC 2</t>
  </si>
  <si>
    <t xml:space="preserve">Reception usine</t>
  </si>
  <si>
    <t xml:space="preserve">Scenario 1 - nouveau lot interne</t>
  </si>
  <si>
    <t xml:space="preserve">SARMA</t>
  </si>
  <si>
    <t xml:space="preserve">Reception entrepot externe</t>
  </si>
  <si>
    <t xml:space="preserve">Scenario 2 - lot externe</t>
  </si>
  <si>
    <t xml:space="preserve">CONSOMMATION</t>
  </si>
  <si>
    <t xml:space="preserve">Production conserve</t>
  </si>
  <si>
    <t xml:space="preserve">Scenario 3 - il doit rester 500 kg</t>
  </si>
  <si>
    <t xml:space="preserve">TRANSFERT</t>
  </si>
  <si>
    <t xml:space="preserve">Rapatriement usine</t>
  </si>
  <si>
    <t xml:space="preserve">Scenario 4 - transfert partiel</t>
  </si>
  <si>
    <t xml:space="preserve">Scenario 13 - doit etre refuse : stock disponible 200 kg</t>
  </si>
  <si>
    <t xml:space="preserve">AJUSTEMENT</t>
  </si>
  <si>
    <t xml:space="preserve">Ecart d'inventaire constate au comptage</t>
  </si>
  <si>
    <t xml:space="preserve">Scenario 21 - ajustement negatif, il doit rester 975 kg</t>
  </si>
  <si>
    <t xml:space="preserve">SOUS-TRAITANCE  -  ENVOIS</t>
  </si>
  <si>
    <t xml:space="preserve">SOURCE = FOURNISSEUR : la marchandise va directement du fournisseur au sous-traitant, aucun stock OCEAMIC n'est consomme (ni emplacement ni reception a saisir).   SOURCE = STOCK EXISTANT : la quantite envoyee est retiree de l'emplacement indique.   Un envoi sans resultat reste EN COURS - ce n'est pas une erreur.</t>
  </si>
  <si>
    <t xml:space="preserve">Etape 1 : enregistrer l'envoi.  Etape 2 (plus tard) : saisir les resultats dans l'onglet ST_RESULTATS.</t>
  </si>
  <si>
    <t xml:space="preserve">ID ST</t>
  </si>
  <si>
    <t xml:space="preserve">DATE ENVOI</t>
  </si>
  <si>
    <t xml:space="preserve">SOUS-TRAITANT</t>
  </si>
  <si>
    <t xml:space="preserve">SOURCE</t>
  </si>
  <si>
    <t xml:space="preserve">LOT SOURCE (INTERNE)</t>
  </si>
  <si>
    <t xml:space="preserve">QTE ENVOYEE (KG)</t>
  </si>
  <si>
    <t xml:space="preserve">QUALITE ENTREE</t>
  </si>
  <si>
    <t xml:space="preserve">MOULE ENTREE</t>
  </si>
  <si>
    <t xml:space="preserve">HISTAMINE ENTREE (PPM)</t>
  </si>
  <si>
    <t xml:space="preserve">DATE RETOUR</t>
  </si>
  <si>
    <t xml:space="preserve">JUSTIFICATION ECART</t>
  </si>
  <si>
    <t xml:space="preserve">MOTIF ECART</t>
  </si>
  <si>
    <t xml:space="preserve">TOTAL SORTIE (KG)</t>
  </si>
  <si>
    <t xml:space="preserve">NB RESULTATS</t>
  </si>
  <si>
    <t xml:space="preserve">ECART A JUSTIFIER (KG)</t>
  </si>
  <si>
    <t xml:space="preserve">RENDEMENT</t>
  </si>
  <si>
    <t xml:space="preserve">EN COURS (KG)</t>
  </si>
  <si>
    <t xml:space="preserve">REL. RECHERCHE</t>
  </si>
  <si>
    <t xml:space="preserve">RANG RECHERCHE</t>
  </si>
  <si>
    <t xml:space="preserve">USINE SOUS-TRAITANTE</t>
  </si>
  <si>
    <t xml:space="preserve">STOCK EXISTANT</t>
  </si>
  <si>
    <t xml:space="preserve">A=60 B=40</t>
  </si>
  <si>
    <t xml:space="preserve">Scenarios 5, 8, 9, 10, 11</t>
  </si>
  <si>
    <t xml:space="preserve">FOURNISSEUR</t>
  </si>
  <si>
    <t xml:space="preserve">Perte de process au filetage, pesee et controlee</t>
  </si>
  <si>
    <t xml:space="preserve">PERTE PROCESS</t>
  </si>
  <si>
    <t xml:space="preserve">Scenario 6 - aucun stock OCEAMIC consomme</t>
  </si>
  <si>
    <t xml:space="preserve">CONGELATION</t>
  </si>
  <si>
    <t xml:space="preserve">Scenario 7 - reste EN COURS tant qu'aucun resultat n'est saisi</t>
  </si>
  <si>
    <t xml:space="preserve">SOUS-TRAITANCE  -  RESULTATS</t>
  </si>
  <si>
    <t xml:space="preserve">Un envoi peut produire plusieurs resultats (etats, qualites ou moules differents). Chaque resultat entre en stock a l'emplacement de destination.   LOT RESULTAT laisse vide = on conserve le lot source.</t>
  </si>
  <si>
    <t xml:space="preserve">Choisir l'ID ST, puis saisir uniquement : quantite, destination, et ce qui est connu (etat, qualite, moule).</t>
  </si>
  <si>
    <t xml:space="preserve">ID RESULTAT</t>
  </si>
  <si>
    <t xml:space="preserve">DATE RESULTAT</t>
  </si>
  <si>
    <t xml:space="preserve">RESULTAT / ETAT</t>
  </si>
  <si>
    <t xml:space="preserve">LOT RESULTAT (INTERNE)</t>
  </si>
  <si>
    <t xml:space="preserve">QUALITE SORTIE</t>
  </si>
  <si>
    <t xml:space="preserve">MOULE SORTIE</t>
  </si>
  <si>
    <t xml:space="preserve">HISTAMINE (PPM)</t>
  </si>
  <si>
    <t xml:space="preserve">LOT SOURCE</t>
  </si>
  <si>
    <t xml:space="preserve">LOT RESULTAT EFFECTIF</t>
  </si>
  <si>
    <t xml:space="preserve">QTE VALIDE (KG)</t>
  </si>
  <si>
    <t xml:space="preserve">STATUT ST</t>
  </si>
  <si>
    <t xml:space="preserve">DATE EFFECTIVE</t>
  </si>
  <si>
    <t xml:space="preserve">LOT LIE</t>
  </si>
  <si>
    <t xml:space="preserve">RANG LIEN</t>
  </si>
  <si>
    <t xml:space="preserve">ST-001</t>
  </si>
  <si>
    <t xml:space="preserve">Scenarios 8 et 9 - retour OCEAMIC 2</t>
  </si>
  <si>
    <t xml:space="preserve">COFRIGOP</t>
  </si>
  <si>
    <t xml:space="preserve">Scenarios 8 et 10 - resultat vers stock externe</t>
  </si>
  <si>
    <t xml:space="preserve">ST-002</t>
  </si>
  <si>
    <t xml:space="preserve">Scenario 6 - ecart de 10 kg justifie</t>
  </si>
  <si>
    <t xml:space="preserve">CONTROLES QUALITE</t>
  </si>
  <si>
    <t xml:space="preserve">Un controle qualite ne modifie JAMAIS le stock. Saisir uniquement les mesures reellement effectuees : aucun champ n'est obligatoire au-dela du lot, de la date et d'au moins une information de controle.   QUALITE et MOULE acceptent la saisie libre (ex. A=20 B=40 C=40  /  20/24=14 26/30=55).</t>
  </si>
  <si>
    <t xml:space="preserve">Le resultat appartient au lot physiquement controle. Un lot lie reste tracable mais n'herite pas du resultat.</t>
  </si>
  <si>
    <t xml:space="preserve">ID CONTROLE</t>
  </si>
  <si>
    <t xml:space="preserve">EMPLACEMENT</t>
  </si>
  <si>
    <t xml:space="preserve">TYPE DE CONTROLE</t>
  </si>
  <si>
    <t xml:space="preserve">TEMPERATURE (C)</t>
  </si>
  <si>
    <t xml:space="preserve">QUALITE</t>
  </si>
  <si>
    <t xml:space="preserve">MOULE</t>
  </si>
  <si>
    <t xml:space="preserve">DEFAUTS</t>
  </si>
  <si>
    <t xml:space="preserve">DECISION</t>
  </si>
  <si>
    <t xml:space="preserve">CONTROLEUR</t>
  </si>
  <si>
    <t xml:space="preserve">STOCK LOT / EMPL. (KG)</t>
  </si>
  <si>
    <t xml:space="preserve">ALERTE</t>
  </si>
  <si>
    <t xml:space="preserve">DERNIER CONTROLE</t>
  </si>
  <si>
    <t xml:space="preserve">CLE DERNIER</t>
  </si>
  <si>
    <t xml:space="preserve">CONTROLE MOUVEMENT</t>
  </si>
  <si>
    <t xml:space="preserve">A=20 B=40 C=40</t>
  </si>
  <si>
    <t xml:space="preserve">20/24=14 26/30=55 38/50=31</t>
  </si>
  <si>
    <t xml:space="preserve">Aucun defaut</t>
  </si>
  <si>
    <t xml:space="preserve">ACCEPTER</t>
  </si>
  <si>
    <t xml:space="preserve">K. BENALI</t>
  </si>
  <si>
    <t xml:space="preserve">Scenario 12 - aucun impact sur le stock</t>
  </si>
  <si>
    <t xml:space="preserve">COFRIGOB</t>
  </si>
  <si>
    <t xml:space="preserve">STOCK</t>
  </si>
  <si>
    <t xml:space="preserve">Emplacement incoherent : le lot 257 est a OCEAMIC 2</t>
  </si>
  <si>
    <t xml:space="preserve">A=10 B=60 C=30</t>
  </si>
  <si>
    <t xml:space="preserve">26/30=70 38/50=30</t>
  </si>
  <si>
    <t xml:space="preserve">Aspect legerement decolore</t>
  </si>
  <si>
    <t xml:space="preserve">A RECONTROLER</t>
  </si>
  <si>
    <t xml:space="preserve">Alerte histamine au-dessus du seuil</t>
  </si>
  <si>
    <t xml:space="preserve">Suspicion histamine</t>
  </si>
  <si>
    <t xml:space="preserve">BLOQUER</t>
  </si>
  <si>
    <t xml:space="preserve">Scenario 22 - lot bloque qualite : signale, stock inchange</t>
  </si>
  <si>
    <t xml:space="preserve">SYNTHESE DES STOCKS</t>
  </si>
  <si>
    <t xml:space="preserve">Reconstruit integralement a partir du grand livre MOUVEMENTS. Une case vide signifie zero.</t>
  </si>
  <si>
    <t xml:space="preserve">STOCK TOTAL INTERNE (kg)</t>
  </si>
  <si>
    <t xml:space="preserve">STOCK TOTAL EXTERNE (kg)</t>
  </si>
  <si>
    <t xml:space="preserve">NB LOTS EN STOCK</t>
  </si>
  <si>
    <t xml:space="preserve">EN COURS CHEZ LES SOUS-TRAITANTS (kg)</t>
  </si>
  <si>
    <t xml:space="preserve">CONTROLE : ECART MATRICE / GRAND LIVRE (kg)</t>
  </si>
  <si>
    <t xml:space="preserve">Doit rester a 0. Sinon un lot present dans les mouvements n'a pas de fiche dans LOTS.</t>
  </si>
  <si>
    <t xml:space="preserve">STOCK PAR LOT ET PAR EMPLACEMENT</t>
  </si>
  <si>
    <t xml:space="preserve">CLASSE</t>
  </si>
  <si>
    <t xml:space="preserve">TOTAL LOT (KG)</t>
  </si>
  <si>
    <t xml:space="preserve">DONT INTERNE</t>
  </si>
  <si>
    <t xml:space="preserve">DONT EXTERNE</t>
  </si>
  <si>
    <t xml:space="preserve">EN COURS ST</t>
  </si>
  <si>
    <t xml:space="preserve">DERNIERE DECISION</t>
  </si>
  <si>
    <t xml:space="preserve">STOCK BLOQUE (KG)</t>
  </si>
  <si>
    <t xml:space="preserve">TOTAL</t>
  </si>
  <si>
    <t xml:space="preserve">SYNTHESES  -  PAR ESPECE, PAR ETAT MATIERE, RECONCILIATION DU GRAND LIVRE</t>
  </si>
  <si>
    <t xml:space="preserve">STOCK (KG)</t>
  </si>
  <si>
    <t xml:space="preserve">RECONCILIATION DU GRAND LIVRE</t>
  </si>
  <si>
    <t xml:space="preserve">KG</t>
  </si>
  <si>
    <t xml:space="preserve">ENTREES (hors ajustements)</t>
  </si>
  <si>
    <t xml:space="preserve">SORTIES (hors ajustements)</t>
  </si>
  <si>
    <t xml:space="preserve">AJUSTEMENTS (signes)</t>
  </si>
  <si>
    <t xml:space="preserve">STOCK THEORIQUE</t>
  </si>
  <si>
    <t xml:space="preserve">STOCK ACTUEL</t>
  </si>
  <si>
    <t xml:space="preserve">ECART</t>
  </si>
  <si>
    <t xml:space="preserve">BILAN</t>
  </si>
  <si>
    <t xml:space="preserve">Ecarts sous-traitance non justifies (info)</t>
  </si>
  <si>
    <t xml:space="preserve">RECHERCHE PAR LOT</t>
  </si>
  <si>
    <t xml:space="preserve">Saisissez un LOT INTERNE ou un LOT EXTERNE : identite, stock, historique complet, sous-traitance, qualite et lots lies s'affichent automatiquement.</t>
  </si>
  <si>
    <t xml:space="preserve">LOT A RECHERCHER</t>
  </si>
  <si>
    <t xml:space="preserve">Un LOT EXTERNE peut correspondre a plusieurs lots internes : le premier est analyse ici, les autres sont listes en bas de page.</t>
  </si>
  <si>
    <t xml:space="preserve">LOT INTERNE ANALYSE</t>
  </si>
  <si>
    <t xml:space="preserve">IDENTITE DU LOT  (reprise automatique - aucune re-saisie)</t>
  </si>
  <si>
    <t xml:space="preserve">LOT PARENT / SOURCE</t>
  </si>
  <si>
    <t xml:space="preserve">STATUT DE LA FICHE</t>
  </si>
  <si>
    <t xml:space="preserve">STOCK TOTAL DU LOT</t>
  </si>
  <si>
    <t xml:space="preserve">EN COURS CHEZ SOUS-TRAITANT</t>
  </si>
  <si>
    <t xml:space="preserve">HISTORIQUE DES MOUVEMENTS DE STOCK</t>
  </si>
  <si>
    <t xml:space="preserve">N</t>
  </si>
  <si>
    <t xml:space="preserve">OPERATION</t>
  </si>
  <si>
    <t xml:space="preserve">SENS</t>
  </si>
  <si>
    <t xml:space="preserve">QTE DECLAREE</t>
  </si>
  <si>
    <t xml:space="preserve">QTE EN STOCK</t>
  </si>
  <si>
    <t xml:space="preserve">REFERENCE</t>
  </si>
  <si>
    <t xml:space="preserve">SOUS-TRAITANCE  (envois lies a ce lot)</t>
  </si>
  <si>
    <t xml:space="preserve">QTE ENVOYEE</t>
  </si>
  <si>
    <t xml:space="preserve">TOTAL SORTIE</t>
  </si>
  <si>
    <t xml:space="preserve">RESULTATS DE SOUS-TRAITANCE</t>
  </si>
  <si>
    <t xml:space="preserve">LOT RESULTAT</t>
  </si>
  <si>
    <t xml:space="preserve">QUANTITE</t>
  </si>
  <si>
    <t xml:space="preserve">DESTINATION</t>
  </si>
  <si>
    <t xml:space="preserve">HISTORIQUE QUALITE</t>
  </si>
  <si>
    <t xml:space="preserve">TEMPERATURE</t>
  </si>
  <si>
    <t xml:space="preserve">LOTS LIES PAR SOUS-TRAITANCE  (sans doublon)</t>
  </si>
  <si>
    <t xml:space="preserve">RELATION</t>
  </si>
  <si>
    <t xml:space="preserve">AUTRES LOTS INTERNES PORTANT LE MEME LOT EXTERNE</t>
  </si>
  <si>
    <t xml:space="preserve">MOUVEMENTS  -  GRAND LIVRE UNIQUE DU STOCK</t>
  </si>
  <si>
    <t xml:space="preserve">Feuille entierement calculee : NE RIEN SAISIR ICI. Chaque operation valide y produit automatiquement sa ou ses lignes.  ENTREES - SORTIES +/- AJUSTEMENTS = STOCK ACTUEL.</t>
  </si>
  <si>
    <t xml:space="preserve">QTE DECLAREE = mouvement declare (sert au calcul du disponible).   QTE EN STOCK = mouvement reellement compte (0 si la ligne est en anomalie).</t>
  </si>
  <si>
    <t xml:space="preserve">QTE DECLAREE (KG)</t>
  </si>
  <si>
    <t xml:space="preserve">QTE EN STOCK (KG)</t>
  </si>
  <si>
    <t xml:space="preserve">STATUT LIGNE</t>
  </si>
  <si>
    <t xml:space="preserve">PARAMETRES  /  LISTES DE REFERENCE</t>
  </si>
  <si>
    <t xml:space="preserve">Toutes les listes deroulantes du classeur sont alimentees ici. Ajoutez vos valeurs a la suite : les menus se mettent a jour automatiquement.</t>
  </si>
  <si>
    <t xml:space="preserve">EMPLACEMENTS DE STOCK  -  la CLASSE ne peut valoir que INTERNE ou EXTERNE</t>
  </si>
  <si>
    <t xml:space="preserve">TYPE / COMMENTAIRE</t>
  </si>
  <si>
    <t xml:space="preserve">PRODUIT / ESPECE</t>
  </si>
  <si>
    <t xml:space="preserve">QUALITE  (liste d'aide - la saisie libre est acceptee, ex. A=20 B=40 C=40)</t>
  </si>
  <si>
    <t xml:space="preserve">MOULE / CALIBRE  (liste d'aide - saisie libre acceptee, ex. 20/24=14 26/30=55 38/50=31)</t>
  </si>
  <si>
    <t xml:space="preserve">SITE DE SOUS-TRAITANCE</t>
  </si>
  <si>
    <t xml:space="preserve">DECISION QUALITE</t>
  </si>
  <si>
    <t xml:space="preserve">INTERNE</t>
  </si>
  <si>
    <t xml:space="preserve">Usine OCEAMIC - seul stock interne</t>
  </si>
  <si>
    <t xml:space="preserve">EXTERNE</t>
  </si>
  <si>
    <t xml:space="preserve">Entrepot frigorifique</t>
  </si>
  <si>
    <t xml:space="preserve">DAMSA</t>
  </si>
  <si>
    <t xml:space="preserve">REFUSER</t>
  </si>
  <si>
    <t xml:space="preserve">DECHET / PARURE</t>
  </si>
  <si>
    <t xml:space="preserve">Bonite</t>
  </si>
  <si>
    <t xml:space="preserve">C</t>
  </si>
  <si>
    <t xml:space="preserve">30/40</t>
  </si>
  <si>
    <t xml:space="preserve">DESHYDRATATION</t>
  </si>
  <si>
    <t xml:space="preserve">Autre</t>
  </si>
  <si>
    <t xml:space="preserve">Mauritanie</t>
  </si>
  <si>
    <t xml:space="preserve">38/50</t>
  </si>
  <si>
    <t xml:space="preserve">CASSE</t>
  </si>
  <si>
    <t xml:space="preserve">SOUS-TRAITANCE</t>
  </si>
  <si>
    <t xml:space="preserve">IQF</t>
  </si>
  <si>
    <t xml:space="preserve">FOURSEASEN</t>
  </si>
  <si>
    <t xml:space="preserve">ERREUR DE PESEE</t>
  </si>
  <si>
    <t xml:space="preserve">EXPEDITION</t>
  </si>
  <si>
    <t xml:space="preserve">AUTRE</t>
  </si>
  <si>
    <t xml:space="preserve">ATLANTIC</t>
  </si>
  <si>
    <t xml:space="preserve">ERREUR DE SAISIE</t>
  </si>
  <si>
    <t xml:space="preserve">WILL FISHING</t>
  </si>
  <si>
    <t xml:space="preserve">KJ FISH</t>
  </si>
  <si>
    <t xml:space="preserve">OCEAMIC 1</t>
  </si>
  <si>
    <t xml:space="preserve">Site externe</t>
  </si>
  <si>
    <t xml:space="preserve">VALEURS FIGEES PAR LA LOGIQUE METIER  (non modifiables)</t>
  </si>
  <si>
    <t xml:space="preserve">TYPE D'OPERATION</t>
  </si>
  <si>
    <t xml:space="preserve">RECEPTION / TRANSFERT / CONSOMMATION / AJUSTEMENT</t>
  </si>
  <si>
    <t xml:space="preserve">CLASSE DE STOCK</t>
  </si>
  <si>
    <t xml:space="preserve">INTERNE / EXTERNE  (aucune autre valeur)</t>
  </si>
  <si>
    <t xml:space="preserve">SOURCE SOUS-TRAITANCE</t>
  </si>
  <si>
    <t xml:space="preserve">FOURNISSEUR / STOCK EXISTANT</t>
  </si>
  <si>
    <t xml:space="preserve">STATUTS</t>
  </si>
  <si>
    <t xml:space="preserve">OK / EN COURS / DONNEES MANQUANTES / STOCK INSUFFISANT / EMPLACEMENT INCOHERENT / A JUSTIFIER / BLOQUE / LOT EN DOUBLE / INCOHERENCE</t>
  </si>
  <si>
    <t xml:space="preserve">REGLAGES DU SYSTEME</t>
  </si>
  <si>
    <t xml:space="preserve">TOLERANCE ECART SOUS-TRAITANCE (kg)</t>
  </si>
  <si>
    <t xml:space="preserve">En dessous de cette valeur, l'ecart n'exige pas de justification.</t>
  </si>
  <si>
    <t xml:space="preserve">SEUIL HISTAMINE (PPM)</t>
  </si>
  <si>
    <t xml:space="preserve">Au-dessus, une alerte est levee dans QUALITE. Jamais bloquant.</t>
  </si>
  <si>
    <t xml:space="preserve">TEMPERATURE MAXI - FRAIS (C)</t>
  </si>
  <si>
    <t xml:space="preserve">Alerte si la temperature relevee depasse ce seuil.</t>
  </si>
  <si>
    <t xml:space="preserve">TEMPERATURE MAXI - CONGELE (C)</t>
  </si>
  <si>
    <t xml:space="preserve">MODE D'EMPLOI ET REGLES DE GESTION</t>
  </si>
  <si>
    <t xml:space="preserve">A lire une fois. Tout le fonctionnement du classeur tient dans cette page.</t>
  </si>
  <si>
    <t xml:space="preserve">REGLES DE GESTION APPLIQUEES PAR LE CLASSEUR</t>
  </si>
  <si>
    <t xml:space="preserve">1. Identite du lot - aucune double saisie</t>
  </si>
  <si>
    <t xml:space="preserve">L'onglet LOTS est l'unique endroit ou l'on decrit un lot. Partout ailleurs on ne choisit que le CODE du lot : produit, fournisseur, origine, etat et conservation sont repris automatiquement.</t>
  </si>
  <si>
    <t xml:space="preserve">Si deux fiches portent le meme code lot avec un produit ou un fournisseur different, la colonne STATUT FICHE affiche INCOHERENCE. Si les deux fiches sont identiques, elle affiche LOT EN DOUBLE. Dans les deux cas la ligne apparait en rouge.</t>
  </si>
  <si>
    <t xml:space="preserve">Le LOT INTERNE est la cle du stock : obligatoire, unique et definitif. Le LOT EXTERNE (numero du fournisseur) est un attribut cherchable et tracable ; il peut etre partage par plusieurs lots internes. Si aucun numero interne n'est encore attribue, reprenez le numero externe comme LOT INTERNE et ne le changez plus.</t>
  </si>
  <si>
    <t xml:space="preserve">QUALITE et MOULE acceptent la saisie libre : les listes deroulantes ne sont qu'une aide. Les formats de repartition (A=20 B=40 C=40, 20/24=14 26/30=55 38/50=31) passent tels quels.</t>
  </si>
  <si>
    <t xml:space="preserve">2. Classes de stock</t>
  </si>
  <si>
    <t xml:space="preserve">Une seule dimension : INTERNE ou EXTERNE. OCEAMIC 2 est INTERNE ; SARMA, DAMSA, COFRIGOP, COFRIGOB et tout autre entrepot ou usine tiers sont EXTERNE. CONSOMMATION n'est PAS une classe de stock : c'est une operation.</t>
  </si>
  <si>
    <t xml:space="preserve">3. Operations physiques</t>
  </si>
  <si>
    <t xml:space="preserve">RECEPTION : ajoute la quantite sur l'emplacement de destination.</t>
  </si>
  <si>
    <t xml:space="preserve">TRANSFERT : retire la quantite d'un emplacement et ajoute la MEME quantite sur un autre. Une seule ligne de saisie genere deux lignes de mouvement.</t>
  </si>
  <si>
    <t xml:space="preserve">CONSOMMATION : retire uniquement la quantite saisie. 1 000 kg en stock, 300 kg consommes, il reste 700 kg. Le classeur ne solde jamais un lot automatiquement.</t>
  </si>
  <si>
    <t xml:space="preserve">AJUSTEMENT : correction d'inventaire sur l'emplacement de destination. La quantite est signee (negative = perte, positive = gain) et le MOTIF est obligatoire. Un ajustement negatif ne peut pas depasser le disponible.</t>
  </si>
  <si>
    <t xml:space="preserve">4. Moteur de stock</t>
  </si>
  <si>
    <t xml:space="preserve">Toute operation valide alimente l'onglet MOUVEMENTS, qui est le seul historique. Le stock n'est jamais stocke : il est recalcule par ENTREES - SORTIES sur ce grand livre.</t>
  </si>
  <si>
    <t xml:space="preserve">MOUVEMENTS comporte deux colonnes de quantite. QTE DECLAREE sert a calculer le disponible avant operation. QTE EN STOCK vaut zero si la ligne est en anomalie : une ligne invalide n'affecte donc jamais le stock.</t>
  </si>
  <si>
    <t xml:space="preserve">Consequence directe : le stock ne peut pas devenir negatif. Si une sortie depasse le disponible, la ligne passe en STOCK INSUFFISANT, elle est ecartee du stock et signalee en rouge sur la ligne, dans le grand livre et sur l'ACCUEIL. Sans macro, Excel ne peut pas empecher physiquement la frappe : il la detecte et la neutralise.</t>
  </si>
  <si>
    <t xml:space="preserve">Les doublons de mouvement sont impossibles a creer a la main (le grand livre est entierement calcule) ; une saisie identique en double dans OPERATIONS est signalee par la colonne CONTROLE.</t>
  </si>
  <si>
    <t xml:space="preserve">5. Sous-traitance</t>
  </si>
  <si>
    <t xml:space="preserve">SOURCE = FOURNISSEUR : la marchandise part du fournisseur directement chez le sous-traitant. Ni emplacement source, ni reception, ni stock consomme. L'enregistrement de la sous-traitance suffit.</t>
  </si>
  <si>
    <t xml:space="preserve">SOURCE = STOCK EXISTANT : emplacement source et quantite envoyee obligatoires ; le disponible est verifie automatiquement et seule la quantite envoyee est retiree.</t>
  </si>
  <si>
    <t xml:space="preserve">Saisie en deux temps : on enregistre l'envoi, le statut passe a EN COURS. Ce n'est pas une erreur. Les resultats sont saisis plus tard dans ST_RESULTATS.</t>
  </si>
  <si>
    <t xml:space="preserve">Un envoi peut produire plusieurs resultats, avec des etats, des qualites et des moules differents, et des destinations differentes (retour OCEAMIC 2 ou entrepot externe).</t>
  </si>
  <si>
    <t xml:space="preserve">ECART A JUSTIFIER = QTE ENVOYEE - TOTAL SORTIE. Au-dela de la tolerance definie dans PARAM, l'envoi reste A JUSTIFIER tant que la colonne JUSTIFICATION ECART est vide. Aucune quantite ne disparait en silence.</t>
  </si>
  <si>
    <t xml:space="preserve">Qualite, moule et histamine sont acceptes a l'entree comme a la sortie, mais ne sont jamais obligatoires.</t>
  </si>
  <si>
    <t xml:space="preserve">6. Controles qualite</t>
  </si>
  <si>
    <t xml:space="preserve">Un controle qualite ne modifie JAMAIS une quantite. On saisit seulement ce qui a ete mesure. Le resultat appartient au lot physiquement controle ; un lot lie reste tracable mais n'herite pas du resultat.</t>
  </si>
  <si>
    <t xml:space="preserve">Si le lot n'est pas present a l'emplacement indique, le statut affiche EMPLACEMENT INCOHERENT : c'est un avertissement, le controle est conserve et le stock reste inchange.</t>
  </si>
  <si>
    <t xml:space="preserve">7. Statuts</t>
  </si>
  <si>
    <t xml:space="preserve">OK : ligne valide, comptee en stock.</t>
  </si>
  <si>
    <t xml:space="preserve">EN COURS : envoi enregistre, resultats non connus.</t>
  </si>
  <si>
    <t xml:space="preserve">DONNEES MANQUANTES : champs indispensables absents ; ligne non comptee.</t>
  </si>
  <si>
    <t xml:space="preserve">STOCK INSUFFISANT : sortie superieure au disponible ; ligne non comptee.</t>
  </si>
  <si>
    <t xml:space="preserve">EMPLACEMENT INCOHERENT : le lot n'existe pas a cet emplacement.</t>
  </si>
  <si>
    <t xml:space="preserve">A JUSTIFIER : ecart de sous-traitance sans justification.</t>
  </si>
  <si>
    <t xml:space="preserve">BLOQUE : total des sorties superieur a la quantite envoyee, ou envoi parent en anomalie.</t>
  </si>
  <si>
    <t xml:space="preserve">8. Capacites et limites</t>
  </si>
  <si>
    <t xml:space="preserve">LOTS : 200 lignes. OPERATIONS : 300. SOUS_TRAITANCE : 150. ST_RESULTATS : 300. QUALITE : 250. MOUVEMENTS : 1050 lignes generees. Matrice STOCK : 12 emplacements.</t>
  </si>
  <si>
    <t xml:space="preserve">Pour agrandir : copier la derniere ligne d'un onglet de saisie vers le bas, puis etendre de la meme facon les blocs correspondants de MOUVEMENTS et les plages nommees.</t>
  </si>
  <si>
    <t xml:space="preserve">Aucune macro, aucun bouton, aucune protection de cellule : le classeur fonctionne sur PC, sur Excel Online et sur mobile.</t>
  </si>
  <si>
    <t xml:space="preserve">9. Ordre de saisie recommande</t>
  </si>
  <si>
    <t xml:space="preserve">LOTS -&gt; OPERATIONS -&gt; SOUS_TRAITANCE -&gt; ST_RESULTATS -&gt; QUALITE. Consultation : STOCK, RECHERCHE, MOUVEMENTS.</t>
  </si>
  <si>
    <t xml:space="preserve">RECETTE  -  SCENARIOS DE TEST</t>
  </si>
  <si>
    <t xml:space="preserve">Chaque ligne compare un resultat attendu au resultat reellement calcule par le classeur. Tout doit etre PASS.</t>
  </si>
  <si>
    <t xml:space="preserve">SCENARIO TESTE</t>
  </si>
  <si>
    <t xml:space="preserve">ATTENDU</t>
  </si>
  <si>
    <t xml:space="preserve">OBTENU</t>
  </si>
  <si>
    <t xml:space="preserve">RESULTAT</t>
  </si>
  <si>
    <t xml:space="preserve">1</t>
  </si>
  <si>
    <t xml:space="preserve">Reception d'un nouveau lot interne : 255, 1 000 kg sur OCEAMIC 2</t>
  </si>
  <si>
    <t xml:space="preserve">2</t>
  </si>
  <si>
    <t xml:space="preserve">Reception d'un lot externe : 256, 2 000 kg sur SARMA (EXTERNE)</t>
  </si>
  <si>
    <t xml:space="preserve">3</t>
  </si>
  <si>
    <t xml:space="preserve">Consommation partielle : 800 kg - 300 kg -&gt; il reste 500 kg</t>
  </si>
  <si>
    <t xml:space="preserve">4a</t>
  </si>
  <si>
    <t xml:space="preserve">Transfert partiel : SARMA passe de 2 000 a 1 200 kg</t>
  </si>
  <si>
    <t xml:space="preserve">4b</t>
  </si>
  <si>
    <t xml:space="preserve">Transfert partiel : OCEAMIC 2 recoit les 800 kg</t>
  </si>
  <si>
    <t xml:space="preserve">5</t>
  </si>
  <si>
    <t xml:space="preserve">Sous-traitance depuis stock : 1 000 - 500 envoyes -&gt; 500 kg</t>
  </si>
  <si>
    <t xml:space="preserve">6a</t>
  </si>
  <si>
    <t xml:space="preserve">Fournisseur direct : aucun stock OCEAMIC consomme sur le lot 300</t>
  </si>
  <si>
    <t xml:space="preserve">6b</t>
  </si>
  <si>
    <t xml:space="preserve">Fournisseur direct : aucune ligne de sortie generee pour ST-002</t>
  </si>
  <si>
    <t xml:space="preserve">7</t>
  </si>
  <si>
    <t xml:space="preserve">Envoi sans resultat : ST-003 reste EN COURS</t>
  </si>
  <si>
    <t xml:space="preserve">EN COURS</t>
  </si>
  <si>
    <t xml:space="preserve">8a</t>
  </si>
  <si>
    <t xml:space="preserve">Un envoi, plusieurs resultats : ST-001 a 2 resultats</t>
  </si>
  <si>
    <t xml:space="preserve">8b</t>
  </si>
  <si>
    <t xml:space="preserve">Un envoi, plusieurs resultats : total sorti 300 + 150 = 450 kg</t>
  </si>
  <si>
    <t xml:space="preserve">9</t>
  </si>
  <si>
    <t xml:space="preserve">Retour OCEAMIC 2 : lot 255-HG, 300 kg en stock interne</t>
  </si>
  <si>
    <t xml:space="preserve">10</t>
  </si>
  <si>
    <t xml:space="preserve">Resultat vers stock externe : lot 255-HGT, 150 kg sur COFRIGOP</t>
  </si>
  <si>
    <t xml:space="preserve">11a</t>
  </si>
  <si>
    <t xml:space="preserve">Ecart a justifier : 500 - 450 = 50 kg</t>
  </si>
  <si>
    <t xml:space="preserve">11b</t>
  </si>
  <si>
    <t xml:space="preserve">Ecart non justifie : ST-001 au statut A JUSTIFIER</t>
  </si>
  <si>
    <t xml:space="preserve">A JUSTIFIER</t>
  </si>
  <si>
    <t xml:space="preserve">11c</t>
  </si>
  <si>
    <t xml:space="preserve">Ecart justifie : ST-002 (10 kg justifies) au statut OK</t>
  </si>
  <si>
    <t xml:space="preserve">OK</t>
  </si>
  <si>
    <t xml:space="preserve">12a</t>
  </si>
  <si>
    <t xml:space="preserve">Controle qualite : aucune ligne de mouvement generee</t>
  </si>
  <si>
    <t xml:space="preserve">12b</t>
  </si>
  <si>
    <t xml:space="preserve">Controle qualite : le stock du lot 255 reste inchange</t>
  </si>
  <si>
    <t xml:space="preserve">12c</t>
  </si>
  <si>
    <t xml:space="preserve">Controle a un emplacement ou le lot est absent -&gt; avertissement</t>
  </si>
  <si>
    <t xml:space="preserve">EMPLACEMENT INCOHERENT</t>
  </si>
  <si>
    <t xml:space="preserve">13a</t>
  </si>
  <si>
    <t xml:space="preserve">Sortie superieure au stock : ligne refusee (STOCK INSUFFISANT)</t>
  </si>
  <si>
    <t xml:space="preserve">STOCK INSUFFISANT</t>
  </si>
  <si>
    <t xml:space="preserve">13b</t>
  </si>
  <si>
    <t xml:space="preserve">Sortie refusee : le stock du lot 258 reste a 200 kg</t>
  </si>
  <si>
    <t xml:space="preserve">14a</t>
  </si>
  <si>
    <t xml:space="preserve">Lot reutilise : espece reprise automatiquement, sans re-saisie</t>
  </si>
  <si>
    <t xml:space="preserve">14b</t>
  </si>
  <si>
    <t xml:space="preserve">Lot reutilise : lot externe repris automatiquement</t>
  </si>
  <si>
    <t xml:space="preserve">15a</t>
  </si>
  <si>
    <t xml:space="preserve">Tracabilite : 2 lots lies au lot 255 (sans doublon)</t>
  </si>
  <si>
    <t xml:space="preserve">15b</t>
  </si>
  <si>
    <t xml:space="preserve">Tracabilite : parent du lot 255-HG retrouve automatiquement</t>
  </si>
  <si>
    <t xml:space="preserve">15c</t>
  </si>
  <si>
    <t xml:space="preserve">Lot externe partage : 3 autres lots internes sous L-EXT-255</t>
  </si>
  <si>
    <t xml:space="preserve">16</t>
  </si>
  <si>
    <t xml:space="preserve">Integrite : aucun stock negatif dans la matrice</t>
  </si>
  <si>
    <t xml:space="preserve">17</t>
  </si>
  <si>
    <t xml:space="preserve">Integrite : matrice STOCK = grand livre MOUVEMENTS (ecart 0 kg)</t>
  </si>
  <si>
    <t xml:space="preserve">18</t>
  </si>
  <si>
    <t xml:space="preserve">Integrite : stock total interne attendu 4 065 kg</t>
  </si>
  <si>
    <t xml:space="preserve">19</t>
  </si>
  <si>
    <t xml:space="preserve">Integrite : stock total externe attendu 1 350 kg</t>
  </si>
  <si>
    <t xml:space="preserve">20</t>
  </si>
  <si>
    <t xml:space="preserve">Alerte qualite : histamine 180 PPM signalee sur le lot 256</t>
  </si>
  <si>
    <t xml:space="preserve">21a</t>
  </si>
  <si>
    <t xml:space="preserve">Ajustement negatif : 1 000 - 25 -&gt; il reste 975 kg</t>
  </si>
  <si>
    <t xml:space="preserve">21b</t>
  </si>
  <si>
    <t xml:space="preserve">Ajustement enregistre comme AJUSTEMENT dans le grand livre</t>
  </si>
  <si>
    <t xml:space="preserve">21c</t>
  </si>
  <si>
    <t xml:space="preserve">Ajustement valide (motif renseigne)</t>
  </si>
  <si>
    <t xml:space="preserve">22a</t>
  </si>
  <si>
    <t xml:space="preserve">Blocage qualite : lot 301 signale BLOQUER, 200 kg bloques</t>
  </si>
  <si>
    <t xml:space="preserve">22b</t>
  </si>
  <si>
    <t xml:space="preserve">Blocage qualite : le stock du lot 301 est inchange</t>
  </si>
  <si>
    <t xml:space="preserve">23a</t>
  </si>
  <si>
    <t xml:space="preserve">Synthese par espece : Sardine 1 650 kg</t>
  </si>
  <si>
    <t xml:space="preserve">23b</t>
  </si>
  <si>
    <t xml:space="preserve">Synthese par etat matiere : ENTIER 4 375 kg</t>
  </si>
  <si>
    <t xml:space="preserve">24</t>
  </si>
  <si>
    <t xml:space="preserve">Reconciliation : ENTREES - SORTIES +/- AJUSTEMENTS = STOCK ACTUEL</t>
  </si>
  <si>
    <t xml:space="preserve">BILAN OK</t>
  </si>
  <si>
    <t xml:space="preserve">Note : dans ce classeur de recette, l'ACCUEIL affiche "INTEGRITE DES DONNEES : A CORRIGER". C'est VOULU - le scenario 13 laisse volontairement une consommation superieure au stock, refusee par le systeme. Le classeur de production, lui, demarre a OK.</t>
  </si>
</sst>
</file>

<file path=xl/styles.xml><?xml version="1.0" encoding="utf-8"?>
<styleSheet xmlns="http://schemas.openxmlformats.org/spreadsheetml/2006/main">
  <numFmts count="9">
    <numFmt numFmtId="164" formatCode="General"/>
    <numFmt numFmtId="165" formatCode="#,##0.00;\-#,##0.00;\-"/>
    <numFmt numFmtId="166" formatCode="#,##0;\-#,##0;;"/>
    <numFmt numFmtId="167" formatCode="#,##0.###;\-#,##0.###;\-"/>
    <numFmt numFmtId="168" formatCode="dd/mm/yyyy"/>
    <numFmt numFmtId="169" formatCode="0.0%"/>
    <numFmt numFmtId="170" formatCode="0.0"/>
    <numFmt numFmtId="171" formatCode="#,##0"/>
    <numFmt numFmtId="172" formatCode="#,##0.00;\-#,##0.00;;"/>
  </numFmts>
  <fonts count="25">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9"/>
      <color rgb="FF5A6B76"/>
      <name val="Arial"/>
      <family val="0"/>
      <charset val="1"/>
    </font>
    <font>
      <b val="true"/>
      <sz val="10"/>
      <color rgb="FF0F3D5C"/>
      <name val="Arial"/>
      <family val="0"/>
      <charset val="1"/>
    </font>
    <font>
      <b val="true"/>
      <sz val="10"/>
      <color rgb="FF1B4F8F"/>
      <name val="Arial"/>
      <family val="0"/>
      <charset val="1"/>
    </font>
    <font>
      <b val="true"/>
      <sz val="9"/>
      <color rgb="FF5A6B76"/>
      <name val="Arial"/>
      <family val="0"/>
      <charset val="1"/>
    </font>
    <font>
      <b val="true"/>
      <sz val="12"/>
      <color rgb="FF0F3D5C"/>
      <name val="Arial"/>
      <family val="0"/>
      <charset val="1"/>
    </font>
    <font>
      <b val="true"/>
      <sz val="12"/>
      <color rgb="FFFFFFFF"/>
      <name val="Arial"/>
      <family val="0"/>
      <charset val="1"/>
    </font>
    <font>
      <sz val="8"/>
      <color rgb="FF5A6B76"/>
      <name val="Arial"/>
      <family val="0"/>
      <charset val="1"/>
    </font>
    <font>
      <b val="true"/>
      <sz val="9"/>
      <color rgb="FF1F2933"/>
      <name val="Arial"/>
      <family val="0"/>
      <charset val="1"/>
    </font>
    <font>
      <b val="true"/>
      <sz val="10"/>
      <color rgb="FF1F2933"/>
      <name val="Arial"/>
      <family val="0"/>
      <charset val="1"/>
    </font>
    <font>
      <sz val="10"/>
      <color rgb="FF1F2933"/>
      <name val="Arial"/>
      <family val="0"/>
      <charset val="1"/>
    </font>
    <font>
      <sz val="9"/>
      <color rgb="FF1F2933"/>
      <name val="Arial"/>
      <family val="0"/>
      <charset val="1"/>
    </font>
    <font>
      <b val="true"/>
      <sz val="9"/>
      <color rgb="FF0F3D5C"/>
      <name val="Arial"/>
      <family val="0"/>
      <charset val="1"/>
    </font>
    <font>
      <b val="true"/>
      <sz val="9"/>
      <color rgb="FFFFFFFF"/>
      <name val="Arial"/>
      <family val="0"/>
      <charset val="1"/>
    </font>
    <font>
      <i val="true"/>
      <sz val="9"/>
      <color rgb="FF5A6B76"/>
      <name val="Arial"/>
      <family val="0"/>
      <charset val="1"/>
    </font>
    <font>
      <b val="true"/>
      <sz val="8"/>
      <color rgb="FF5A6B76"/>
      <name val="Arial"/>
      <family val="0"/>
      <charset val="1"/>
    </font>
    <font>
      <b val="true"/>
      <sz val="9"/>
      <color rgb="FFA31515"/>
      <name val="Arial"/>
      <family val="0"/>
      <charset val="1"/>
    </font>
    <font>
      <b val="true"/>
      <sz val="11"/>
      <color rgb="FF0F3D5C"/>
      <name val="Arial"/>
      <family val="0"/>
      <charset val="1"/>
    </font>
    <font>
      <b val="true"/>
      <sz val="12"/>
      <color rgb="FF1B4F8F"/>
      <name val="Arial"/>
      <family val="0"/>
      <charset val="1"/>
    </font>
    <font>
      <b val="true"/>
      <sz val="10"/>
      <color rgb="FFFFFFFF"/>
      <name val="Arial"/>
      <family val="0"/>
      <charset val="1"/>
    </font>
    <font>
      <b val="true"/>
      <sz val="8"/>
      <color rgb="FFFFFFFF"/>
      <name val="Arial"/>
      <family val="0"/>
      <charset val="1"/>
    </font>
  </fonts>
  <fills count="14">
    <fill>
      <patternFill patternType="none"/>
    </fill>
    <fill>
      <patternFill patternType="gray125"/>
    </fill>
    <fill>
      <patternFill patternType="solid">
        <fgColor rgb="FF0F3D5C"/>
        <bgColor rgb="FF1F2933"/>
      </patternFill>
    </fill>
    <fill>
      <patternFill patternType="solid">
        <fgColor rgb="FFD7E7EB"/>
        <bgColor rgb="FFE4EEF9"/>
      </patternFill>
    </fill>
    <fill>
      <patternFill patternType="solid">
        <fgColor rgb="FFF4F8F9"/>
        <bgColor rgb="FFEEF2F5"/>
      </patternFill>
    </fill>
    <fill>
      <patternFill patternType="solid">
        <fgColor rgb="FFFFFFFF"/>
        <bgColor rgb="FFF4F8F9"/>
      </patternFill>
    </fill>
    <fill>
      <patternFill patternType="solid">
        <fgColor rgb="FFFFF9E6"/>
        <bgColor rgb="FFFFF2D6"/>
      </patternFill>
    </fill>
    <fill>
      <patternFill patternType="solid">
        <fgColor rgb="FFEEF2F5"/>
        <bgColor rgb="FFEDEFF1"/>
      </patternFill>
    </fill>
    <fill>
      <patternFill patternType="solid">
        <fgColor rgb="FFE4F3E7"/>
        <bgColor rgb="FFEDEFF1"/>
      </patternFill>
    </fill>
    <fill>
      <patternFill patternType="solid">
        <fgColor rgb="FFE4EEF9"/>
        <bgColor rgb="FFEDEFF1"/>
      </patternFill>
    </fill>
    <fill>
      <patternFill patternType="solid">
        <fgColor rgb="FFFFF2D6"/>
        <bgColor rgb="FFFFF9E6"/>
      </patternFill>
    </fill>
    <fill>
      <patternFill patternType="solid">
        <fgColor rgb="FFFBE3E3"/>
        <bgColor rgb="FFFFF2D6"/>
      </patternFill>
    </fill>
    <fill>
      <patternFill patternType="solid">
        <fgColor rgb="FF1B7A8C"/>
        <bgColor rgb="FF008080"/>
      </patternFill>
    </fill>
    <fill>
      <patternFill patternType="solid">
        <fgColor rgb="FF5A6B76"/>
        <bgColor rgb="FF808080"/>
      </patternFill>
    </fill>
  </fills>
  <borders count="3">
    <border diagonalUp="false" diagonalDown="false">
      <left/>
      <right/>
      <top/>
      <bottom/>
      <diagonal/>
    </border>
    <border diagonalUp="false" diagonalDown="false">
      <left style="thin">
        <color rgb="FFC3CED6"/>
      </left>
      <right/>
      <top style="thin">
        <color rgb="FFC3CED6"/>
      </top>
      <bottom style="thin">
        <color rgb="FFC3CED6"/>
      </bottom>
      <diagonal/>
    </border>
    <border diagonalUp="false" diagonalDown="false">
      <left style="thin">
        <color rgb="FFC3CED6"/>
      </left>
      <right style="thin">
        <color rgb="FFC3CED6"/>
      </right>
      <top style="thin">
        <color rgb="FFC3CED6"/>
      </top>
      <bottom style="thin">
        <color rgb="FFC3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left" vertical="center" textRotation="0" wrapText="false" indent="1" shrinkToFit="false"/>
      <protection locked="true" hidden="false"/>
    </xf>
    <xf numFmtId="164" fontId="8" fillId="4" borderId="2" xfId="0" applyFont="true" applyBorder="true" applyAlignment="true" applyProtection="false">
      <alignment horizontal="left" vertical="center" textRotation="0" wrapText="false" indent="1" shrinkToFit="false"/>
      <protection locked="true" hidden="false"/>
    </xf>
    <xf numFmtId="165" fontId="9" fillId="4" borderId="2" xfId="0" applyFont="true" applyBorder="true" applyAlignment="true" applyProtection="false">
      <alignment horizontal="right" vertical="center" textRotation="0" wrapText="false" indent="0" shrinkToFit="false"/>
      <protection locked="true" hidden="false"/>
    </xf>
    <xf numFmtId="166" fontId="9" fillId="4" borderId="2" xfId="0" applyFont="true" applyBorder="true" applyAlignment="true" applyProtection="false">
      <alignment horizontal="righ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1" shrinkToFit="false"/>
      <protection locked="true" hidden="false"/>
    </xf>
    <xf numFmtId="164" fontId="12" fillId="5" borderId="2" xfId="0" applyFont="true" applyBorder="true" applyAlignment="true" applyProtection="false">
      <alignment horizontal="left" vertical="center" textRotation="0" wrapText="false" indent="1" shrinkToFit="false"/>
      <protection locked="true" hidden="false"/>
    </xf>
    <xf numFmtId="167" fontId="13" fillId="5" borderId="2" xfId="0" applyFont="true" applyBorder="true" applyAlignment="true" applyProtection="false">
      <alignment horizontal="center" vertical="center" textRotation="0" wrapText="false" indent="0" shrinkToFit="false"/>
      <protection locked="true" hidden="false"/>
    </xf>
    <xf numFmtId="164" fontId="14" fillId="6" borderId="2"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1" shrinkToFit="false"/>
      <protection locked="true" hidden="false"/>
    </xf>
    <xf numFmtId="164" fontId="14" fillId="7" borderId="2" xfId="0" applyFont="true" applyBorder="true" applyAlignment="true" applyProtection="false">
      <alignment horizontal="general" vertical="center" textRotation="0" wrapText="false" indent="0" shrinkToFit="false"/>
      <protection locked="true" hidden="false"/>
    </xf>
    <xf numFmtId="164" fontId="14" fillId="8" borderId="2" xfId="0" applyFont="true" applyBorder="true" applyAlignment="true" applyProtection="false">
      <alignment horizontal="general" vertical="center" textRotation="0" wrapText="false" indent="0" shrinkToFit="false"/>
      <protection locked="true" hidden="false"/>
    </xf>
    <xf numFmtId="164" fontId="14" fillId="9" borderId="2" xfId="0" applyFont="true" applyBorder="true" applyAlignment="true" applyProtection="false">
      <alignment horizontal="general" vertical="center" textRotation="0" wrapText="false" indent="0" shrinkToFit="false"/>
      <protection locked="true" hidden="false"/>
    </xf>
    <xf numFmtId="164" fontId="14" fillId="10" borderId="2" xfId="0" applyFont="true" applyBorder="true" applyAlignment="true" applyProtection="false">
      <alignment horizontal="general" vertical="center" textRotation="0" wrapText="false" indent="0" shrinkToFit="false"/>
      <protection locked="true" hidden="false"/>
    </xf>
    <xf numFmtId="164" fontId="14" fillId="11" borderId="2" xfId="0" applyFont="true" applyBorder="true" applyAlignment="true" applyProtection="false">
      <alignment horizontal="general" vertical="center" textRotation="0" wrapText="false" indent="0" shrinkToFit="false"/>
      <protection locked="true" hidden="false"/>
    </xf>
    <xf numFmtId="164" fontId="5" fillId="5" borderId="2" xfId="0" applyFont="true" applyBorder="true" applyAlignment="true" applyProtection="false">
      <alignment horizontal="left" vertical="center" textRotation="0" wrapText="false" indent="1" shrinkToFit="false"/>
      <protection locked="true" hidden="false"/>
    </xf>
    <xf numFmtId="164" fontId="16" fillId="4" borderId="2" xfId="0" applyFont="true" applyBorder="true" applyAlignment="true" applyProtection="false">
      <alignment horizontal="left" vertical="center" textRotation="0" wrapText="false" indent="1" shrinkToFit="false"/>
      <protection locked="true" hidden="false"/>
    </xf>
    <xf numFmtId="164" fontId="15" fillId="5" borderId="1" xfId="0" applyFont="true" applyBorder="true" applyAlignment="true" applyProtection="false">
      <alignment horizontal="left" vertical="center" textRotation="0" wrapText="true" indent="1" shrinkToFit="false"/>
      <protection locked="true" hidden="false"/>
    </xf>
    <xf numFmtId="164" fontId="17" fillId="12" borderId="2" xfId="0" applyFont="true" applyBorder="true" applyAlignment="true" applyProtection="false">
      <alignment horizontal="center" vertical="center" textRotation="0" wrapText="true" indent="0" shrinkToFit="false"/>
      <protection locked="true" hidden="false"/>
    </xf>
    <xf numFmtId="164" fontId="17" fillId="13" borderId="2" xfId="0" applyFont="true" applyBorder="true" applyAlignment="true" applyProtection="false">
      <alignment horizontal="center" vertical="center" textRotation="0" wrapText="true" indent="0" shrinkToFit="false"/>
      <protection locked="true" hidden="false"/>
    </xf>
    <xf numFmtId="164" fontId="15" fillId="6" borderId="2" xfId="0" applyFont="true" applyBorder="true" applyAlignment="true" applyProtection="false">
      <alignment horizontal="general" vertical="center" textRotation="0" wrapText="false" indent="0" shrinkToFit="false"/>
      <protection locked="true" hidden="false"/>
    </xf>
    <xf numFmtId="168" fontId="15" fillId="6" borderId="2" xfId="0" applyFont="true" applyBorder="true" applyAlignment="true" applyProtection="false">
      <alignment horizontal="general" vertical="center" textRotation="0" wrapText="false" indent="0" shrinkToFit="false"/>
      <protection locked="true" hidden="false"/>
    </xf>
    <xf numFmtId="164" fontId="18" fillId="7" borderId="2" xfId="0" applyFont="true" applyBorder="true" applyAlignment="true" applyProtection="false">
      <alignment horizontal="general" vertical="center" textRotation="0" wrapText="false" indent="0" shrinkToFit="false"/>
      <protection locked="true" hidden="false"/>
    </xf>
    <xf numFmtId="165" fontId="18" fillId="7" borderId="2" xfId="0" applyFont="true" applyBorder="true" applyAlignment="true" applyProtection="false">
      <alignment horizontal="general" vertical="center" textRotation="0" wrapText="false" indent="0" shrinkToFit="false"/>
      <protection locked="true" hidden="false"/>
    </xf>
    <xf numFmtId="166" fontId="18" fillId="7" borderId="2" xfId="0" applyFont="true" applyBorder="true" applyAlignment="true" applyProtection="false">
      <alignment horizontal="general" vertical="center" textRotation="0" wrapText="false" indent="0" shrinkToFit="false"/>
      <protection locked="true" hidden="false"/>
    </xf>
    <xf numFmtId="165" fontId="15" fillId="6" borderId="2" xfId="0" applyFont="true" applyBorder="true" applyAlignment="true" applyProtection="false">
      <alignment horizontal="general" vertical="center" textRotation="0" wrapText="false" indent="0" shrinkToFit="false"/>
      <protection locked="true" hidden="false"/>
    </xf>
    <xf numFmtId="169" fontId="18" fillId="7" borderId="2" xfId="0" applyFont="true" applyBorder="true" applyAlignment="true" applyProtection="false">
      <alignment horizontal="general" vertical="center" textRotation="0" wrapText="false" indent="0" shrinkToFit="false"/>
      <protection locked="true" hidden="false"/>
    </xf>
    <xf numFmtId="168" fontId="18" fillId="7" borderId="2" xfId="0" applyFont="true" applyBorder="true" applyAlignment="true" applyProtection="false">
      <alignment horizontal="general" vertical="center" textRotation="0" wrapText="false" indent="0" shrinkToFit="false"/>
      <protection locked="true" hidden="false"/>
    </xf>
    <xf numFmtId="170" fontId="15" fillId="6" borderId="2" xfId="0" applyFont="true" applyBorder="true" applyAlignment="true" applyProtection="false">
      <alignment horizontal="general" vertical="center" textRotation="0" wrapText="false" indent="0" shrinkToFit="false"/>
      <protection locked="true" hidden="false"/>
    </xf>
    <xf numFmtId="171" fontId="15" fillId="6" borderId="2" xfId="0" applyFont="true" applyBorder="true" applyAlignment="true" applyProtection="false">
      <alignment horizontal="general" vertical="center" textRotation="0" wrapText="false" indent="0" shrinkToFit="false"/>
      <protection locked="true" hidden="false"/>
    </xf>
    <xf numFmtId="164" fontId="15" fillId="4" borderId="1" xfId="0" applyFont="true" applyBorder="true" applyAlignment="true" applyProtection="false">
      <alignment horizontal="left" vertical="center" textRotation="0" wrapText="false" indent="1" shrinkToFit="false"/>
      <protection locked="true" hidden="false"/>
    </xf>
    <xf numFmtId="165" fontId="6" fillId="4" borderId="2" xfId="0" applyFont="true" applyBorder="true" applyAlignment="true" applyProtection="false">
      <alignment horizontal="center" vertical="center" textRotation="0" wrapText="false" indent="0" shrinkToFit="false"/>
      <protection locked="true" hidden="false"/>
    </xf>
    <xf numFmtId="166" fontId="6" fillId="4" borderId="2"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1"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9" fillId="7" borderId="2" xfId="0" applyFont="true" applyBorder="true" applyAlignment="true" applyProtection="false">
      <alignment horizontal="center" vertical="center" textRotation="0" wrapText="false" indent="0" shrinkToFit="false"/>
      <protection locked="true" hidden="false"/>
    </xf>
    <xf numFmtId="164" fontId="17" fillId="12" borderId="2" xfId="0" applyFont="true" applyBorder="true" applyAlignment="true" applyProtection="false">
      <alignment horizontal="center" vertical="center" textRotation="0" wrapText="false" indent="0" shrinkToFit="false"/>
      <protection locked="true" hidden="false"/>
    </xf>
    <xf numFmtId="164" fontId="12" fillId="5" borderId="2" xfId="0" applyFont="true" applyBorder="true" applyAlignment="true" applyProtection="false">
      <alignment horizontal="general" vertical="center" textRotation="0" wrapText="false" indent="0" shrinkToFit="false"/>
      <protection locked="true" hidden="false"/>
    </xf>
    <xf numFmtId="172" fontId="15" fillId="5" borderId="2" xfId="0" applyFont="true" applyBorder="true" applyAlignment="true" applyProtection="false">
      <alignment horizontal="right" vertical="center" textRotation="0" wrapText="false" indent="0" shrinkToFit="false"/>
      <protection locked="true" hidden="false"/>
    </xf>
    <xf numFmtId="172" fontId="12" fillId="7" borderId="2" xfId="0" applyFont="true" applyBorder="true" applyAlignment="true" applyProtection="false">
      <alignment horizontal="right" vertical="center" textRotation="0" wrapText="false" indent="0" shrinkToFit="false"/>
      <protection locked="true" hidden="false"/>
    </xf>
    <xf numFmtId="172" fontId="15" fillId="7" borderId="2" xfId="0" applyFont="true" applyBorder="true" applyAlignment="true" applyProtection="false">
      <alignment horizontal="right" vertical="center" textRotation="0" wrapText="false" indent="0" shrinkToFit="false"/>
      <protection locked="true" hidden="false"/>
    </xf>
    <xf numFmtId="164" fontId="5" fillId="7" borderId="2" xfId="0" applyFont="true" applyBorder="true" applyAlignment="true" applyProtection="false">
      <alignment horizontal="center" vertical="center" textRotation="0" wrapText="false" indent="0" shrinkToFit="false"/>
      <protection locked="true" hidden="false"/>
    </xf>
    <xf numFmtId="164" fontId="20" fillId="7" borderId="2" xfId="0" applyFont="true" applyBorder="true" applyAlignment="true" applyProtection="false">
      <alignment horizontal="center" vertical="center" textRotation="0" wrapText="false" indent="0" shrinkToFit="false"/>
      <protection locked="true" hidden="false"/>
    </xf>
    <xf numFmtId="164" fontId="17" fillId="2" borderId="2" xfId="0" applyFont="true" applyBorder="true" applyAlignment="true" applyProtection="false">
      <alignment horizontal="center" vertical="center" textRotation="0" wrapText="false" indent="0" shrinkToFit="false"/>
      <protection locked="true" hidden="false"/>
    </xf>
    <xf numFmtId="172" fontId="17" fillId="2" borderId="2" xfId="0" applyFont="true" applyBorder="true" applyAlignment="true" applyProtection="false">
      <alignment horizontal="right" vertical="center" textRotation="0" wrapText="false" indent="0" shrinkToFit="false"/>
      <protection locked="true" hidden="false"/>
    </xf>
    <xf numFmtId="164" fontId="14" fillId="2" borderId="2" xfId="0" applyFont="true" applyBorder="true" applyAlignment="true" applyProtection="false">
      <alignment horizontal="general" vertical="center" textRotation="0" wrapText="false" indent="0" shrinkToFit="false"/>
      <protection locked="true" hidden="false"/>
    </xf>
    <xf numFmtId="164" fontId="15" fillId="5" borderId="2" xfId="0" applyFont="true" applyBorder="true" applyAlignment="true" applyProtection="false">
      <alignment horizontal="general" vertical="center" textRotation="0" wrapText="false" indent="0" shrinkToFit="false"/>
      <protection locked="true" hidden="false"/>
    </xf>
    <xf numFmtId="165" fontId="15" fillId="5" borderId="2" xfId="0" applyFont="true" applyBorder="true" applyAlignment="true" applyProtection="false">
      <alignment horizontal="right" vertical="center" textRotation="0" wrapText="false" indent="0" shrinkToFit="false"/>
      <protection locked="true" hidden="false"/>
    </xf>
    <xf numFmtId="165" fontId="12" fillId="5" borderId="2" xfId="0" applyFont="true" applyBorder="true" applyAlignment="true" applyProtection="false">
      <alignment horizontal="right" vertical="center" textRotation="0" wrapText="false" indent="0" shrinkToFit="false"/>
      <protection locked="true" hidden="false"/>
    </xf>
    <xf numFmtId="164" fontId="12" fillId="5" borderId="2" xfId="0" applyFont="true" applyBorder="true" applyAlignment="true" applyProtection="false">
      <alignment horizontal="center" vertical="center" textRotation="0" wrapText="false" indent="0" shrinkToFit="false"/>
      <protection locked="true" hidden="false"/>
    </xf>
    <xf numFmtId="165" fontId="17" fillId="2" borderId="2" xfId="0" applyFont="true" applyBorder="true" applyAlignment="true" applyProtection="false">
      <alignment horizontal="right"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21" fillId="7" borderId="1"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left" vertical="center" textRotation="0" wrapText="false" indent="1" shrinkToFit="false"/>
      <protection locked="true" hidden="false"/>
    </xf>
    <xf numFmtId="164" fontId="14" fillId="5" borderId="1" xfId="0" applyFont="true" applyBorder="true" applyAlignment="true" applyProtection="false">
      <alignment horizontal="left" vertical="center" textRotation="0" wrapText="false" indent="1" shrinkToFit="false"/>
      <protection locked="true" hidden="false"/>
    </xf>
    <xf numFmtId="164" fontId="5" fillId="5" borderId="2" xfId="0" applyFont="true" applyBorder="true" applyAlignment="true" applyProtection="false">
      <alignment horizontal="center" vertical="center" textRotation="0" wrapText="false" indent="0" shrinkToFit="false"/>
      <protection locked="true" hidden="false"/>
    </xf>
    <xf numFmtId="168" fontId="14" fillId="5" borderId="1" xfId="0" applyFont="true" applyBorder="true" applyAlignment="true" applyProtection="false">
      <alignment horizontal="left" vertical="center" textRotation="0" wrapText="false" indent="1" shrinkToFit="false"/>
      <protection locked="true" hidden="false"/>
    </xf>
    <xf numFmtId="164" fontId="17" fillId="2" borderId="1" xfId="0" applyFont="true" applyBorder="true" applyAlignment="true" applyProtection="false">
      <alignment horizontal="left" vertical="center" textRotation="0" wrapText="false" indent="1" shrinkToFit="false"/>
      <protection locked="true" hidden="false"/>
    </xf>
    <xf numFmtId="165" fontId="23" fillId="2" borderId="2" xfId="0" applyFont="true" applyBorder="true" applyAlignment="true" applyProtection="false">
      <alignment horizontal="right"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false" indent="1" shrinkToFit="false"/>
      <protection locked="true" hidden="false"/>
    </xf>
    <xf numFmtId="165" fontId="6" fillId="4" borderId="2" xfId="0" applyFont="true" applyBorder="true" applyAlignment="true" applyProtection="false">
      <alignment horizontal="right" vertical="center" textRotation="0" wrapText="false" indent="0" shrinkToFit="false"/>
      <protection locked="true" hidden="false"/>
    </xf>
    <xf numFmtId="164" fontId="24" fillId="13" borderId="2" xfId="0" applyFont="true" applyBorder="true" applyAlignment="true" applyProtection="false">
      <alignment horizontal="center" vertical="center" textRotation="0" wrapText="true" indent="0" shrinkToFit="false"/>
      <protection locked="true" hidden="false"/>
    </xf>
    <xf numFmtId="166" fontId="15" fillId="5" borderId="2" xfId="0" applyFont="true" applyBorder="true" applyAlignment="true" applyProtection="false">
      <alignment horizontal="general" vertical="center" textRotation="0" wrapText="false" indent="0" shrinkToFit="false"/>
      <protection locked="true" hidden="false"/>
    </xf>
    <xf numFmtId="168" fontId="15" fillId="5" borderId="2" xfId="0" applyFont="true" applyBorder="true" applyAlignment="true" applyProtection="false">
      <alignment horizontal="general" vertical="center" textRotation="0" wrapText="false" indent="0" shrinkToFit="false"/>
      <protection locked="true" hidden="false"/>
    </xf>
    <xf numFmtId="165" fontId="15" fillId="5" borderId="2" xfId="0" applyFont="true" applyBorder="true" applyAlignment="true" applyProtection="false">
      <alignment horizontal="general" vertical="center" textRotation="0" wrapText="false" indent="0" shrinkToFit="false"/>
      <protection locked="true" hidden="false"/>
    </xf>
    <xf numFmtId="170" fontId="15" fillId="5" borderId="2" xfId="0" applyFont="true" applyBorder="true" applyAlignment="true" applyProtection="false">
      <alignment horizontal="general" vertical="center" textRotation="0" wrapText="false" indent="0" shrinkToFit="false"/>
      <protection locked="true" hidden="false"/>
    </xf>
    <xf numFmtId="171" fontId="15" fillId="5" borderId="2" xfId="0" applyFont="true" applyBorder="true" applyAlignment="true" applyProtection="false">
      <alignment horizontal="general" vertical="center" textRotation="0" wrapText="false" indent="0" shrinkToFit="false"/>
      <protection locked="true" hidden="false"/>
    </xf>
    <xf numFmtId="172" fontId="18" fillId="7" borderId="2" xfId="0" applyFont="true" applyBorder="true" applyAlignment="true" applyProtection="false">
      <alignment horizontal="general" vertical="center" textRotation="0" wrapText="false" indent="0" shrinkToFit="false"/>
      <protection locked="true" hidden="false"/>
    </xf>
    <xf numFmtId="164" fontId="12" fillId="7" borderId="2" xfId="0" applyFont="true" applyBorder="true" applyAlignment="true" applyProtection="false">
      <alignment horizontal="general" vertical="center" textRotation="0" wrapText="false" indent="0" shrinkToFit="false"/>
      <protection locked="true" hidden="false"/>
    </xf>
    <xf numFmtId="164" fontId="5" fillId="7" borderId="1" xfId="0" applyFont="true" applyBorder="true" applyAlignment="true" applyProtection="false">
      <alignment horizontal="left" vertical="center" textRotation="0" wrapText="false" indent="1" shrinkToFit="false"/>
      <protection locked="true" hidden="false"/>
    </xf>
    <xf numFmtId="164" fontId="7" fillId="6" borderId="2"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false" indent="1" shrinkToFit="false"/>
      <protection locked="true" hidden="false"/>
    </xf>
    <xf numFmtId="164" fontId="21"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16" fillId="5" borderId="2" xfId="0" applyFont="true" applyBorder="true" applyAlignment="true" applyProtection="false">
      <alignment horizontal="center" vertical="center" textRotation="0" wrapText="false" indent="0" shrinkToFit="false"/>
      <protection locked="true" hidden="false"/>
    </xf>
    <xf numFmtId="164" fontId="15" fillId="5" borderId="2" xfId="0" applyFont="true" applyBorder="true" applyAlignment="true" applyProtection="false">
      <alignment horizontal="left" vertical="center" textRotation="0" wrapText="false" indent="1" shrinkToFit="false"/>
      <protection locked="true" hidden="false"/>
    </xf>
    <xf numFmtId="165" fontId="5" fillId="7" borderId="2" xfId="0" applyFont="true" applyBorder="true" applyAlignment="true" applyProtection="false">
      <alignment horizontal="center" vertical="center" textRotation="0" wrapText="false" indent="0" shrinkToFit="false"/>
      <protection locked="true" hidden="false"/>
    </xf>
    <xf numFmtId="165" fontId="12" fillId="5" borderId="2"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ont>
        <name val="Arial"/>
        <charset val="1"/>
        <family val="0"/>
        <b val="1"/>
        <color rgb="FFFFFFFF"/>
        <sz val="12"/>
      </font>
      <fill>
        <patternFill>
          <bgColor rgb="FFA31515"/>
        </patternFill>
      </fill>
    </dxf>
    <dxf>
      <font>
        <name val="Arial"/>
        <charset val="1"/>
        <family val="0"/>
        <b val="1"/>
        <color rgb="FFA31515"/>
        <sz val="10"/>
      </font>
      <fill>
        <patternFill>
          <bgColor rgb="FFFBE3E3"/>
        </patternFill>
      </fill>
    </dxf>
    <dxf>
      <font>
        <name val="Arial"/>
        <charset val="1"/>
        <family val="0"/>
        <b val="1"/>
        <color rgb="FF8A5A00"/>
        <sz val="10"/>
      </font>
      <fill>
        <patternFill>
          <bgColor rgb="FFFFF2D6"/>
        </patternFill>
      </fill>
    </dxf>
    <dxf>
      <fill>
        <patternFill patternType="solid">
          <fgColor rgb="FF1B7A8C"/>
          <bgColor rgb="FF000000"/>
        </patternFill>
      </fill>
    </dxf>
    <dxf>
      <fill>
        <patternFill patternType="solid">
          <fgColor rgb="FFFFF9E6"/>
          <bgColor rgb="FF000000"/>
        </patternFill>
      </fill>
    </dxf>
    <dxf>
      <fill>
        <patternFill patternType="solid">
          <fgColor rgb="FF1F2933"/>
          <bgColor rgb="FF000000"/>
        </patternFill>
      </fill>
    </dxf>
    <dxf>
      <fill>
        <patternFill patternType="solid">
          <fgColor rgb="FFFFFFFF"/>
          <bgColor rgb="FF000000"/>
        </patternFill>
      </fill>
    </dxf>
    <dxf>
      <fill>
        <patternFill patternType="solid">
          <fgColor rgb="FF5A6B76"/>
          <bgColor rgb="FF000000"/>
        </patternFill>
      </fill>
    </dxf>
    <dxf>
      <fill>
        <patternFill patternType="solid">
          <fgColor rgb="FFEEF2F5"/>
          <bgColor rgb="FF000000"/>
        </patternFill>
      </fill>
    </dxf>
    <dxf>
      <font>
        <name val="Arial"/>
        <charset val="1"/>
        <family val="0"/>
        <b val="1"/>
        <color rgb="FF14713A"/>
        <sz val="9"/>
      </font>
      <fill>
        <patternFill>
          <bgColor rgb="FFE4F3E7"/>
        </patternFill>
      </fill>
    </dxf>
    <dxf>
      <font>
        <name val="Arial"/>
        <charset val="1"/>
        <family val="0"/>
        <b val="1"/>
        <color rgb="FF1B4F8F"/>
        <sz val="9"/>
      </font>
      <fill>
        <patternFill>
          <bgColor rgb="FFE4EEF9"/>
        </patternFill>
      </fill>
    </dxf>
    <dxf>
      <font>
        <name val="Arial"/>
        <charset val="1"/>
        <family val="0"/>
        <b val="1"/>
        <color rgb="FF8A5A00"/>
        <sz val="9"/>
      </font>
      <fill>
        <patternFill>
          <bgColor rgb="FFFFF2D6"/>
        </patternFill>
      </fill>
    </dxf>
    <dxf>
      <font>
        <name val="Arial"/>
        <charset val="1"/>
        <family val="0"/>
        <b val="1"/>
        <color rgb="FF5A6B76"/>
        <sz val="9"/>
      </font>
      <fill>
        <patternFill>
          <bgColor rgb="FFEDEFF1"/>
        </patternFill>
      </fill>
    </dxf>
    <dxf>
      <font>
        <name val="Arial"/>
        <charset val="1"/>
        <family val="0"/>
        <b val="1"/>
        <color rgb="FFA31515"/>
        <sz val="9"/>
      </font>
      <fill>
        <patternFill>
          <bgColor rgb="FFFBE3E3"/>
        </patternFill>
      </fill>
    </dxf>
    <dxf>
      <fill>
        <patternFill>
          <bgColor rgb="FFFBE3E3"/>
        </patternFill>
      </fill>
    </dxf>
    <dxf>
      <fill>
        <patternFill patternType="solid">
          <fgColor rgb="FFE4F3E7"/>
          <bgColor rgb="FF000000"/>
        </patternFill>
      </fill>
    </dxf>
    <dxf>
      <fill>
        <patternFill patternType="solid">
          <fgColor rgb="FFFBE3E3"/>
          <bgColor rgb="FF000000"/>
        </patternFill>
      </fill>
    </dxf>
    <dxf>
      <fill>
        <patternFill patternType="solid">
          <fgColor rgb="FF14713A"/>
          <bgColor rgb="FF000000"/>
        </patternFill>
      </fill>
    </dxf>
    <dxf>
      <fill>
        <patternFill patternType="solid">
          <fgColor rgb="FFA31515"/>
          <bgColor rgb="FF000000"/>
        </patternFill>
      </fill>
    </dxf>
    <dxf>
      <fill>
        <patternFill patternType="solid">
          <fgColor rgb="FF8A5A00"/>
          <bgColor rgb="FF000000"/>
        </patternFill>
      </fill>
    </dxf>
    <dxf>
      <fill>
        <patternFill patternType="solid">
          <fgColor rgb="FFE4EEF9"/>
          <bgColor rgb="FF000000"/>
        </patternFill>
      </fill>
    </dxf>
    <dxf>
      <fill>
        <patternFill patternType="solid">
          <fgColor rgb="FFFFF2D6"/>
          <bgColor rgb="FF000000"/>
        </patternFill>
      </fill>
    </dxf>
    <dxf>
      <fill>
        <patternFill patternType="solid">
          <fgColor rgb="FF1B4F8F"/>
          <bgColor rgb="FF000000"/>
        </patternFill>
      </fill>
    </dxf>
    <dxf>
      <font>
        <name val="Arial"/>
        <charset val="1"/>
        <family val="0"/>
        <b val="1"/>
        <color rgb="FF8A5A00"/>
        <sz val="9"/>
      </font>
    </dxf>
    <dxf>
      <font>
        <name val="Arial"/>
        <charset val="1"/>
        <family val="0"/>
        <color rgb="FF8A5A00"/>
        <sz val="9"/>
      </font>
      <fill>
        <patternFill>
          <bgColor rgb="FFFFF2D6"/>
        </patternFill>
      </fill>
    </dxf>
    <dxf>
      <font>
        <name val="Arial"/>
        <charset val="1"/>
        <family val="0"/>
        <b val="1"/>
        <color rgb="FF14713A"/>
        <sz val="10"/>
      </font>
      <fill>
        <patternFill>
          <bgColor rgb="FFE4F3E7"/>
        </patternFill>
      </fill>
    </dxf>
    <dxf>
      <font>
        <name val="Arial"/>
        <charset val="1"/>
        <family val="0"/>
        <color rgb="FFA31515"/>
        <sz val="9"/>
      </font>
      <fill>
        <patternFill>
          <bgColor rgb="FFFBE3E3"/>
        </patternFill>
      </fill>
    </dxf>
  </dxfs>
  <colors>
    <indexedColors>
      <rgbColor rgb="FF000000"/>
      <rgbColor rgb="FFFFFFFF"/>
      <rgbColor rgb="FFFF0000"/>
      <rgbColor rgb="FF00FF00"/>
      <rgbColor rgb="FF0000FF"/>
      <rgbColor rgb="FFFFFF00"/>
      <rgbColor rgb="FFFF00FF"/>
      <rgbColor rgb="FF00FFFF"/>
      <rgbColor rgb="FF800000"/>
      <rgbColor rgb="FF14713A"/>
      <rgbColor rgb="FF000080"/>
      <rgbColor rgb="FF8A5A00"/>
      <rgbColor rgb="FF800080"/>
      <rgbColor rgb="FF1B7A8C"/>
      <rgbColor rgb="FFC3CED6"/>
      <rgbColor rgb="FF808080"/>
      <rgbColor rgb="FF9999FF"/>
      <rgbColor rgb="FF993366"/>
      <rgbColor rgb="FFFFF9E6"/>
      <rgbColor rgb="FFE4F3E7"/>
      <rgbColor rgb="FF660066"/>
      <rgbColor rgb="FFFF8080"/>
      <rgbColor rgb="FF0066CC"/>
      <rgbColor rgb="FFEDEFF1"/>
      <rgbColor rgb="FF000080"/>
      <rgbColor rgb="FFFF00FF"/>
      <rgbColor rgb="FFFFFF00"/>
      <rgbColor rgb="FF00FFFF"/>
      <rgbColor rgb="FF800080"/>
      <rgbColor rgb="FF800000"/>
      <rgbColor rgb="FF008080"/>
      <rgbColor rgb="FF0000FF"/>
      <rgbColor rgb="FF00CCFF"/>
      <rgbColor rgb="FFE4EEF9"/>
      <rgbColor rgb="FFD7E7EB"/>
      <rgbColor rgb="FFFFF2D6"/>
      <rgbColor rgb="FFEEF2F5"/>
      <rgbColor rgb="FFF4F8F9"/>
      <rgbColor rgb="FFCC99FF"/>
      <rgbColor rgb="FFFBE3E3"/>
      <rgbColor rgb="FF3366FF"/>
      <rgbColor rgb="FF33CCCC"/>
      <rgbColor rgb="FF99CC00"/>
      <rgbColor rgb="FFFFCC00"/>
      <rgbColor rgb="FFFF9900"/>
      <rgbColor rgb="FFFF6600"/>
      <rgbColor rgb="FF5A6B76"/>
      <rgbColor rgb="FF969696"/>
      <rgbColor rgb="FF0F3D5C"/>
      <rgbColor rgb="FF339966"/>
      <rgbColor rgb="FF003300"/>
      <rgbColor rgb="FF333300"/>
      <rgbColor rgb="FFA31515"/>
      <rgbColor rgb="FF993366"/>
      <rgbColor rgb="FF1B4F8F"/>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D5C"/>
    <pageSetUpPr fitToPage="false"/>
  </sheetPr>
  <dimension ref="A1:I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5"/>
    <col collapsed="false" customWidth="true" hidden="false" outlineLevel="0" max="4" min="4" style="0" width="3"/>
    <col collapsed="false" customWidth="true" hidden="false" outlineLevel="0" max="5" min="5" style="0" width="34"/>
    <col collapsed="false" customWidth="true" hidden="false" outlineLevel="0" max="6" min="6" style="0" width="15"/>
    <col collapsed="false" customWidth="true" hidden="false" outlineLevel="0" max="7" min="7" style="0" width="3"/>
    <col collapsed="false" customWidth="true" hidden="false" outlineLevel="0" max="8" min="8" style="0" width="34"/>
    <col collapsed="false" customWidth="true" hidden="false" outlineLevel="0" max="9" min="9" style="0" width="15"/>
  </cols>
  <sheetData>
    <row r="1" customFormat="false" ht="30"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4" customFormat="false" ht="19.5" hidden="false" customHeight="true" outlineLevel="0" collapsed="false">
      <c r="A4" s="3" t="s">
        <v>2</v>
      </c>
      <c r="B4" s="3"/>
      <c r="C4" s="3"/>
      <c r="D4" s="3"/>
      <c r="E4" s="3"/>
      <c r="F4" s="3"/>
      <c r="G4" s="3"/>
      <c r="H4" s="3"/>
      <c r="I4" s="3"/>
    </row>
    <row r="5" customFormat="false" ht="19.5" hidden="false" customHeight="true" outlineLevel="0" collapsed="false">
      <c r="B5" s="4" t="str">
        <f aca="false">HYPERLINK("#'LOTS'!A1","1. Fiches lot")</f>
        <v>1. Fiches lot</v>
      </c>
      <c r="C5" s="4"/>
      <c r="E5" s="4" t="str">
        <f aca="false">HYPERLINK("#'OPERATIONS'!A1","2. Operations de stock")</f>
        <v>2. Operations de stock</v>
      </c>
      <c r="F5" s="4"/>
      <c r="H5" s="4" t="str">
        <f aca="false">HYPERLINK("#'SOUS_TRAITANCE'!A1","3. Envois sous-traitance")</f>
        <v>3. Envois sous-traitance</v>
      </c>
      <c r="I5" s="4"/>
    </row>
    <row r="6" customFormat="false" ht="19.5" hidden="false" customHeight="true" outlineLevel="0" collapsed="false">
      <c r="B6" s="4" t="str">
        <f aca="false">HYPERLINK("#'ST_RESULTATS'!A1","4. Resultats sous-traitance")</f>
        <v>4. Resultats sous-traitance</v>
      </c>
      <c r="C6" s="4"/>
      <c r="E6" s="4" t="str">
        <f aca="false">HYPERLINK("#'QUALITE'!A1","5. Controles qualite")</f>
        <v>5. Controles qualite</v>
      </c>
      <c r="F6" s="4"/>
      <c r="H6" s="4" t="str">
        <f aca="false">HYPERLINK("#'STOCK'!A1","6. Synthese stock")</f>
        <v>6. Synthese stock</v>
      </c>
      <c r="I6" s="4"/>
    </row>
    <row r="7" customFormat="false" ht="19.5" hidden="false" customHeight="true" outlineLevel="0" collapsed="false">
      <c r="B7" s="4" t="str">
        <f aca="false">HYPERLINK("#'RECHERCHE'!A1","7. Recherche lot")</f>
        <v>7. Recherche lot</v>
      </c>
      <c r="C7" s="4"/>
      <c r="E7" s="4" t="str">
        <f aca="false">HYPERLINK("#'MOUVEMENTS'!A1","8. Grand livre")</f>
        <v>8. Grand livre</v>
      </c>
      <c r="F7" s="4"/>
      <c r="H7" s="4" t="str">
        <f aca="false">HYPERLINK("#'PARAM'!A1","9. Parametres")</f>
        <v>9. Parametres</v>
      </c>
      <c r="I7" s="4"/>
    </row>
    <row r="8" customFormat="false" ht="19.5" hidden="false" customHeight="true" outlineLevel="0" collapsed="false">
      <c r="B8" s="4" t="str">
        <f aca="false">HYPERLINK("#'GUIDE'!A1","10. Mode d'emploi")</f>
        <v>10. Mode d'emploi</v>
      </c>
      <c r="C8" s="4"/>
    </row>
    <row r="10" customFormat="false" ht="19.5" hidden="false" customHeight="true" outlineLevel="0" collapsed="false">
      <c r="A10" s="3" t="s">
        <v>3</v>
      </c>
      <c r="B10" s="3"/>
      <c r="C10" s="3"/>
      <c r="D10" s="3"/>
      <c r="E10" s="3"/>
      <c r="F10" s="3"/>
      <c r="G10" s="3"/>
      <c r="H10" s="3"/>
      <c r="I10" s="3"/>
    </row>
    <row r="11" customFormat="false" ht="21.75" hidden="false" customHeight="true" outlineLevel="0" collapsed="false">
      <c r="B11" s="5" t="s">
        <v>4</v>
      </c>
      <c r="C11" s="6" t="n">
        <f aca="false">STOCK!$D$4</f>
        <v>4065</v>
      </c>
      <c r="E11" s="5" t="s">
        <v>5</v>
      </c>
      <c r="F11" s="6" t="n">
        <f aca="false">STOCK!$D$5</f>
        <v>1350</v>
      </c>
      <c r="H11" s="5" t="s">
        <v>6</v>
      </c>
      <c r="I11" s="6" t="n">
        <f aca="false">STOCK!$D$6</f>
        <v>5415</v>
      </c>
    </row>
    <row r="12" customFormat="false" ht="21.75" hidden="false" customHeight="true" outlineLevel="0" collapsed="false">
      <c r="B12" s="5" t="s">
        <v>7</v>
      </c>
      <c r="C12" s="6" t="n">
        <f aca="false">STOCK!$D$8</f>
        <v>200</v>
      </c>
      <c r="E12" s="5" t="s">
        <v>8</v>
      </c>
      <c r="F12" s="6" t="n">
        <f aca="false">STOCK!$D$9</f>
        <v>200</v>
      </c>
      <c r="H12" s="5" t="s">
        <v>9</v>
      </c>
      <c r="I12" s="7" t="n">
        <f aca="false">COUNTA(LOT_KEY)</f>
        <v>10</v>
      </c>
    </row>
    <row r="14" customFormat="false" ht="19.5" hidden="false" customHeight="true" outlineLevel="0" collapsed="false">
      <c r="A14" s="3" t="s">
        <v>10</v>
      </c>
      <c r="B14" s="3"/>
      <c r="C14" s="3"/>
      <c r="D14" s="3"/>
      <c r="E14" s="3"/>
      <c r="F14" s="3"/>
      <c r="G14" s="3"/>
      <c r="H14" s="3"/>
      <c r="I14" s="3"/>
    </row>
    <row r="15" customFormat="false" ht="24" hidden="false" customHeight="true" outlineLevel="0" collapsed="false">
      <c r="B15" s="8" t="str">
        <f aca="false">IF(SUM($C$17:$C$23)=0,"INTEGRITE DES DONNEES : OK","INTEGRITE DES DONNEES : A CORRIGER")</f>
        <v>INTEGRITE DES DONNEES : A CORRIGER</v>
      </c>
      <c r="C15" s="8"/>
      <c r="E15" s="9" t="s">
        <v>11</v>
      </c>
      <c r="F15" s="9"/>
      <c r="G15" s="9"/>
      <c r="H15" s="9"/>
      <c r="I15" s="9"/>
    </row>
    <row r="17" customFormat="false" ht="15" hidden="false" customHeight="false" outlineLevel="0" collapsed="false">
      <c r="B17" s="10" t="s">
        <v>12</v>
      </c>
      <c r="C17" s="11" t="n">
        <f aca="false">COUNTIF(OPS_STATUT,"DONNEES MANQUANTES")+COUNTIF(OPS_STATUT,"STOCK INSUFFISANT")+COUNTIF(OPS_STATUT,"EMPLACEMENT INCOHERENT")</f>
        <v>1</v>
      </c>
      <c r="E17" s="3" t="s">
        <v>13</v>
      </c>
      <c r="F17" s="3"/>
      <c r="G17" s="3"/>
      <c r="H17" s="3"/>
      <c r="I17" s="3"/>
    </row>
    <row r="18" customFormat="false" ht="15" hidden="false" customHeight="false" outlineLevel="0" collapsed="false">
      <c r="B18" s="10" t="s">
        <v>14</v>
      </c>
      <c r="C18" s="11" t="n">
        <f aca="false">COUNTIF(ST_STATUT,"DONNEES MANQUANTES")+COUNTIF(ST_STATUT,"STOCK INSUFFISANT")+COUNTIF(ST_STATUT,"EMPLACEMENT INCOHERENT")+COUNTIF(ST_STATUT,"BLOQUE")</f>
        <v>0</v>
      </c>
      <c r="E18" s="12"/>
      <c r="F18" s="13" t="s">
        <v>15</v>
      </c>
      <c r="G18" s="13"/>
      <c r="H18" s="13"/>
      <c r="I18" s="13"/>
    </row>
    <row r="19" customFormat="false" ht="15" hidden="false" customHeight="false" outlineLevel="0" collapsed="false">
      <c r="B19" s="10" t="s">
        <v>16</v>
      </c>
      <c r="C19" s="11" t="n">
        <f aca="false">COUNTIF(RES_STATUT,"DONNEES MANQUANTES")+COUNTIF(RES_STATUT,"BLOQUE")</f>
        <v>0</v>
      </c>
      <c r="E19" s="14"/>
      <c r="F19" s="13" t="s">
        <v>17</v>
      </c>
      <c r="G19" s="13"/>
      <c r="H19" s="13"/>
      <c r="I19" s="13"/>
    </row>
    <row r="20" customFormat="false" ht="15" hidden="false" customHeight="false" outlineLevel="0" collapsed="false">
      <c r="B20" s="10" t="s">
        <v>18</v>
      </c>
      <c r="C20" s="11" t="n">
        <f aca="false">COUNTIF(LOT_STATUT,"INCOHERENCE")+COUNTIF(LOT_STATUT,"LOT EN DOUBLE")</f>
        <v>0</v>
      </c>
      <c r="E20" s="15"/>
      <c r="F20" s="13" t="s">
        <v>19</v>
      </c>
      <c r="G20" s="13"/>
      <c r="H20" s="13"/>
      <c r="I20" s="13"/>
    </row>
    <row r="21" customFormat="false" ht="15" hidden="false" customHeight="false" outlineLevel="0" collapsed="false">
      <c r="B21" s="10" t="s">
        <v>20</v>
      </c>
      <c r="C21" s="11" t="n">
        <f aca="false">COUNTIF(STOCK!$N$14:$N$213,"&lt;0")</f>
        <v>0</v>
      </c>
      <c r="E21" s="16"/>
      <c r="F21" s="13" t="s">
        <v>21</v>
      </c>
      <c r="G21" s="13"/>
      <c r="H21" s="13"/>
      <c r="I21" s="13"/>
    </row>
    <row r="22" customFormat="false" ht="15" hidden="false" customHeight="false" outlineLevel="0" collapsed="false">
      <c r="B22" s="10" t="s">
        <v>22</v>
      </c>
      <c r="C22" s="11" t="n">
        <f aca="false">STOCK!$D$10</f>
        <v>0</v>
      </c>
      <c r="E22" s="17"/>
      <c r="F22" s="13" t="s">
        <v>23</v>
      </c>
      <c r="G22" s="13"/>
      <c r="H22" s="13"/>
      <c r="I22" s="13"/>
    </row>
    <row r="23" customFormat="false" ht="15" hidden="false" customHeight="false" outlineLevel="0" collapsed="false">
      <c r="B23" s="10" t="s">
        <v>24</v>
      </c>
      <c r="C23" s="11" t="n">
        <f aca="false">IF(STOCK!$H$225="BILAN OK",0,1)</f>
        <v>0</v>
      </c>
      <c r="E23" s="18"/>
      <c r="F23" s="13" t="s">
        <v>25</v>
      </c>
      <c r="G23" s="13"/>
      <c r="H23" s="13"/>
      <c r="I23" s="13"/>
    </row>
    <row r="24" customFormat="false" ht="15" hidden="false" customHeight="false" outlineLevel="0" collapsed="false">
      <c r="B24" s="19" t="s">
        <v>26</v>
      </c>
      <c r="C24" s="11" t="n">
        <f aca="false">COUNTIF(ST_STATUT,"EN COURS")</f>
        <v>1</v>
      </c>
    </row>
    <row r="25" customFormat="false" ht="15" hidden="false" customHeight="false" outlineLevel="0" collapsed="false">
      <c r="B25" s="19" t="s">
        <v>27</v>
      </c>
      <c r="C25" s="11" t="n">
        <f aca="false">COUNTIF(ST_STATUT,"A JUSTIFIER")</f>
        <v>1</v>
      </c>
    </row>
    <row r="26" customFormat="false" ht="15" hidden="false" customHeight="false" outlineLevel="0" collapsed="false">
      <c r="B26" s="19" t="s">
        <v>28</v>
      </c>
      <c r="C26" s="11" t="n">
        <f aca="false">COUNTIF(QC_STATUT,"DONNEES MANQUANTES")+COUNTIF(QC_STATUT,"EMPLACEMENT INCOHERENT")</f>
        <v>1</v>
      </c>
    </row>
    <row r="27" customFormat="false" ht="15" hidden="false" customHeight="false" outlineLevel="0" collapsed="false">
      <c r="B27" s="19" t="s">
        <v>29</v>
      </c>
      <c r="C27" s="11" t="n">
        <f aca="false">COUNTIF(QC_ALERTE,"?*")</f>
        <v>3</v>
      </c>
    </row>
    <row r="28" customFormat="false" ht="15" hidden="false" customHeight="false" outlineLevel="0" collapsed="false">
      <c r="B28" s="19" t="s">
        <v>30</v>
      </c>
      <c r="C28" s="11" t="n">
        <f aca="false">SUMPRODUCT((MVT_BRUT&lt;&gt;0)*(MVT_NET=0))</f>
        <v>1</v>
      </c>
    </row>
    <row r="29" customFormat="false" ht="19.5" hidden="false" customHeight="true" outlineLevel="0" collapsed="false">
      <c r="A29" s="3" t="s">
        <v>31</v>
      </c>
      <c r="B29" s="3"/>
      <c r="C29" s="3"/>
      <c r="D29" s="3"/>
      <c r="E29" s="3"/>
      <c r="F29" s="3"/>
      <c r="G29" s="3"/>
      <c r="H29" s="3"/>
      <c r="I29" s="3"/>
    </row>
    <row r="30" customFormat="false" ht="27.75" hidden="false" customHeight="true" outlineLevel="0" collapsed="false">
      <c r="B30" s="20" t="s">
        <v>32</v>
      </c>
      <c r="C30" s="21" t="s">
        <v>33</v>
      </c>
      <c r="D30" s="21"/>
      <c r="E30" s="21"/>
      <c r="F30" s="21"/>
      <c r="G30" s="21"/>
      <c r="H30" s="21"/>
      <c r="I30" s="21"/>
    </row>
    <row r="31" customFormat="false" ht="27.75" hidden="false" customHeight="true" outlineLevel="0" collapsed="false">
      <c r="B31" s="20" t="s">
        <v>34</v>
      </c>
      <c r="C31" s="21" t="s">
        <v>35</v>
      </c>
      <c r="D31" s="21"/>
      <c r="E31" s="21"/>
      <c r="F31" s="21"/>
      <c r="G31" s="21"/>
      <c r="H31" s="21"/>
      <c r="I31" s="21"/>
    </row>
    <row r="32" customFormat="false" ht="27.75" hidden="false" customHeight="true" outlineLevel="0" collapsed="false">
      <c r="B32" s="20" t="s">
        <v>36</v>
      </c>
      <c r="C32" s="21" t="s">
        <v>37</v>
      </c>
      <c r="D32" s="21"/>
      <c r="E32" s="21"/>
      <c r="F32" s="21"/>
      <c r="G32" s="21"/>
      <c r="H32" s="21"/>
      <c r="I32" s="21"/>
    </row>
    <row r="33" customFormat="false" ht="27.75" hidden="false" customHeight="true" outlineLevel="0" collapsed="false">
      <c r="B33" s="20" t="s">
        <v>38</v>
      </c>
      <c r="C33" s="21" t="s">
        <v>39</v>
      </c>
      <c r="D33" s="21"/>
      <c r="E33" s="21"/>
      <c r="F33" s="21"/>
      <c r="G33" s="21"/>
      <c r="H33" s="21"/>
      <c r="I33" s="21"/>
    </row>
    <row r="34" customFormat="false" ht="27.75" hidden="false" customHeight="true" outlineLevel="0" collapsed="false">
      <c r="B34" s="20" t="s">
        <v>40</v>
      </c>
      <c r="C34" s="21" t="s">
        <v>41</v>
      </c>
      <c r="D34" s="21"/>
      <c r="E34" s="21"/>
      <c r="F34" s="21"/>
      <c r="G34" s="21"/>
      <c r="H34" s="21"/>
      <c r="I34" s="21"/>
    </row>
    <row r="35" customFormat="false" ht="27.75" hidden="false" customHeight="true" outlineLevel="0" collapsed="false">
      <c r="B35" s="20" t="s">
        <v>42</v>
      </c>
      <c r="C35" s="21" t="s">
        <v>43</v>
      </c>
      <c r="D35" s="21"/>
      <c r="E35" s="21"/>
      <c r="F35" s="21"/>
      <c r="G35" s="21"/>
      <c r="H35" s="21"/>
      <c r="I35" s="21"/>
    </row>
    <row r="36" customFormat="false" ht="27.75" hidden="false" customHeight="true" outlineLevel="0" collapsed="false">
      <c r="B36" s="20" t="s">
        <v>44</v>
      </c>
      <c r="C36" s="21" t="s">
        <v>45</v>
      </c>
      <c r="D36" s="21"/>
      <c r="E36" s="21"/>
      <c r="F36" s="21"/>
      <c r="G36" s="21"/>
      <c r="H36" s="21"/>
      <c r="I36" s="21"/>
    </row>
    <row r="37" customFormat="false" ht="27.75" hidden="false" customHeight="true" outlineLevel="0" collapsed="false">
      <c r="B37" s="20" t="s">
        <v>46</v>
      </c>
      <c r="C37" s="21" t="s">
        <v>47</v>
      </c>
      <c r="D37" s="21"/>
      <c r="E37" s="21"/>
      <c r="F37" s="21"/>
      <c r="G37" s="21"/>
      <c r="H37" s="21"/>
      <c r="I37" s="21"/>
    </row>
  </sheetData>
  <mergeCells count="33">
    <mergeCell ref="A1:I1"/>
    <mergeCell ref="A2:I2"/>
    <mergeCell ref="A4:I4"/>
    <mergeCell ref="B5:C5"/>
    <mergeCell ref="E5:F5"/>
    <mergeCell ref="H5:I5"/>
    <mergeCell ref="B6:C6"/>
    <mergeCell ref="E6:F6"/>
    <mergeCell ref="H6:I6"/>
    <mergeCell ref="B7:C7"/>
    <mergeCell ref="E7:F7"/>
    <mergeCell ref="H7:I7"/>
    <mergeCell ref="B8:C8"/>
    <mergeCell ref="A10:I10"/>
    <mergeCell ref="A14:I14"/>
    <mergeCell ref="B15:C15"/>
    <mergeCell ref="E15:I15"/>
    <mergeCell ref="E17:I17"/>
    <mergeCell ref="F18:I18"/>
    <mergeCell ref="F19:I19"/>
    <mergeCell ref="F20:I20"/>
    <mergeCell ref="F21:I21"/>
    <mergeCell ref="F22:I22"/>
    <mergeCell ref="F23:I23"/>
    <mergeCell ref="A29:I29"/>
    <mergeCell ref="C30:I30"/>
    <mergeCell ref="C31:I31"/>
    <mergeCell ref="C32:I32"/>
    <mergeCell ref="C33:I33"/>
    <mergeCell ref="C34:I34"/>
    <mergeCell ref="C35:I35"/>
    <mergeCell ref="C36:I36"/>
    <mergeCell ref="C37:I37"/>
  </mergeCells>
  <conditionalFormatting sqref="B15">
    <cfRule type="expression" priority="2" aboveAverage="0" equalAverage="0" bottom="0" percent="0" rank="0" text="" dxfId="0">
      <formula>SUM($C$17:$C$23)&gt;0</formula>
    </cfRule>
  </conditionalFormatting>
  <conditionalFormatting sqref="C17">
    <cfRule type="cellIs" priority="3" operator="notEqual" aboveAverage="0" equalAverage="0" bottom="0" percent="0" rank="0" text="" dxfId="1">
      <formula>0</formula>
    </cfRule>
  </conditionalFormatting>
  <conditionalFormatting sqref="C18">
    <cfRule type="cellIs" priority="4" operator="notEqual" aboveAverage="0" equalAverage="0" bottom="0" percent="0" rank="0" text="" dxfId="1">
      <formula>0</formula>
    </cfRule>
  </conditionalFormatting>
  <conditionalFormatting sqref="C19">
    <cfRule type="cellIs" priority="5" operator="notEqual" aboveAverage="0" equalAverage="0" bottom="0" percent="0" rank="0" text="" dxfId="1">
      <formula>0</formula>
    </cfRule>
  </conditionalFormatting>
  <conditionalFormatting sqref="C20">
    <cfRule type="cellIs" priority="6" operator="notEqual" aboveAverage="0" equalAverage="0" bottom="0" percent="0" rank="0" text="" dxfId="1">
      <formula>0</formula>
    </cfRule>
  </conditionalFormatting>
  <conditionalFormatting sqref="C21">
    <cfRule type="cellIs" priority="7" operator="notEqual" aboveAverage="0" equalAverage="0" bottom="0" percent="0" rank="0" text="" dxfId="1">
      <formula>0</formula>
    </cfRule>
  </conditionalFormatting>
  <conditionalFormatting sqref="C22">
    <cfRule type="cellIs" priority="8" operator="notEqual" aboveAverage="0" equalAverage="0" bottom="0" percent="0" rank="0" text="" dxfId="1">
      <formula>0</formula>
    </cfRule>
  </conditionalFormatting>
  <conditionalFormatting sqref="C23">
    <cfRule type="cellIs" priority="9" operator="notEqual" aboveAverage="0" equalAverage="0" bottom="0" percent="0" rank="0" text="" dxfId="1">
      <formula>0</formula>
    </cfRule>
  </conditionalFormatting>
  <conditionalFormatting sqref="C24">
    <cfRule type="cellIs" priority="10" operator="notEqual" aboveAverage="0" equalAverage="0" bottom="0" percent="0" rank="0" text="" dxfId="2">
      <formula>0</formula>
    </cfRule>
  </conditionalFormatting>
  <conditionalFormatting sqref="C25">
    <cfRule type="cellIs" priority="11" operator="notEqual" aboveAverage="0" equalAverage="0" bottom="0" percent="0" rank="0" text="" dxfId="2">
      <formula>0</formula>
    </cfRule>
  </conditionalFormatting>
  <conditionalFormatting sqref="C26">
    <cfRule type="cellIs" priority="12" operator="notEqual" aboveAverage="0" equalAverage="0" bottom="0" percent="0" rank="0" text="" dxfId="2">
      <formula>0</formula>
    </cfRule>
  </conditionalFormatting>
  <conditionalFormatting sqref="C27">
    <cfRule type="cellIs" priority="13" operator="notEqual" aboveAverage="0" equalAverage="0" bottom="0" percent="0" rank="0" text="" dxfId="2">
      <formula>0</formula>
    </cfRule>
  </conditionalFormatting>
  <conditionalFormatting sqref="C28">
    <cfRule type="cellIs" priority="14" operator="notEqual"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AA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3" min="1" style="0" width="14"/>
    <col collapsed="false" customWidth="true" hidden="false" outlineLevel="0" max="4" min="4" style="0" width="24"/>
    <col collapsed="false" customWidth="true" hidden="false" outlineLevel="0" max="5" min="5" style="0" width="13"/>
    <col collapsed="false" customWidth="true" hidden="false" outlineLevel="0" max="6" min="6" style="0" width="17"/>
    <col collapsed="false" customWidth="true" hidden="false" outlineLevel="0" max="7" min="7" style="0" width="13"/>
    <col collapsed="false" customWidth="true" hidden="false" outlineLevel="0" max="8" min="8" style="0" width="15"/>
    <col collapsed="false" customWidth="true" hidden="false" outlineLevel="0" max="9" min="9" style="0" width="20"/>
    <col collapsed="false" customWidth="true" hidden="false" outlineLevel="0" max="10" min="10" style="0" width="26"/>
    <col collapsed="false" customWidth="true" hidden="false" outlineLevel="0" max="12" min="11" style="0" width="12"/>
    <col collapsed="false" customWidth="true" hidden="false" outlineLevel="0" max="13" min="13" style="0" width="30"/>
    <col collapsed="false" customWidth="true" hidden="false" outlineLevel="0" max="14" min="14" style="0" width="16"/>
    <col collapsed="false" customWidth="true" hidden="false" outlineLevel="0" max="15" min="15" style="0" width="17"/>
    <col collapsed="false" customWidth="true" hidden="false" outlineLevel="0" max="16" min="16" style="0" width="16"/>
    <col collapsed="false" customWidth="true" hidden="false" outlineLevel="0" max="17" min="17" style="0" width="22"/>
    <col collapsed="false" customWidth="true" hidden="false" outlineLevel="0" max="18" min="18" style="0" width="15"/>
    <col collapsed="false" customWidth="true" hidden="false" outlineLevel="0" max="19" min="19" style="0" width="18"/>
    <col collapsed="false" customWidth="true" hidden="false" outlineLevel="0" max="20" min="20" style="0" width="17"/>
    <col collapsed="false" customWidth="true" hidden="false" outlineLevel="0" max="21" min="21" style="0" width="14"/>
    <col collapsed="false" customWidth="true" hidden="false" outlineLevel="0" max="22" min="22" style="0" width="12"/>
    <col collapsed="false" customWidth="true" hidden="false" outlineLevel="0" max="23" min="23" style="0" width="11"/>
    <col collapsed="false" customWidth="true" hidden="false" outlineLevel="0" max="25" min="24" style="0" width="20"/>
    <col collapsed="false" customWidth="true" hidden="false" outlineLevel="0" max="26" min="26" style="0" width="12"/>
    <col collapsed="false" customWidth="true" hidden="false" outlineLevel="0" max="27" min="27" style="0" width="13"/>
  </cols>
  <sheetData>
    <row r="1" customFormat="false" ht="30" hidden="false" customHeight="true" outlineLevel="0" collapsed="false">
      <c r="A1" s="1" t="s">
        <v>48</v>
      </c>
      <c r="B1" s="1"/>
      <c r="C1" s="1"/>
      <c r="D1" s="1"/>
      <c r="E1" s="1"/>
      <c r="F1" s="1"/>
      <c r="G1" s="1"/>
      <c r="H1" s="1"/>
      <c r="I1" s="1"/>
      <c r="J1" s="1"/>
      <c r="K1" s="1"/>
      <c r="L1" s="1"/>
      <c r="M1" s="1"/>
      <c r="N1" s="1"/>
      <c r="O1" s="1"/>
      <c r="P1" s="1"/>
      <c r="Q1" s="1"/>
      <c r="R1" s="1"/>
      <c r="S1" s="1"/>
      <c r="T1" s="1"/>
      <c r="U1" s="1"/>
      <c r="V1" s="1"/>
      <c r="W1" s="1"/>
      <c r="X1" s="1"/>
      <c r="Y1" s="1"/>
      <c r="Z1" s="1"/>
      <c r="AA1" s="1"/>
    </row>
    <row r="2" customFormat="false" ht="18" hidden="false" customHeight="true" outlineLevel="0" collapsed="false">
      <c r="A2" s="2" t="s">
        <v>49</v>
      </c>
      <c r="B2" s="2"/>
      <c r="C2" s="2"/>
      <c r="D2" s="2"/>
      <c r="E2" s="2"/>
      <c r="F2" s="2"/>
      <c r="G2" s="2"/>
      <c r="H2" s="2"/>
      <c r="I2" s="2"/>
      <c r="J2" s="2"/>
      <c r="K2" s="2"/>
      <c r="L2" s="2"/>
      <c r="M2" s="2"/>
      <c r="N2" s="2"/>
      <c r="O2" s="2"/>
      <c r="P2" s="2"/>
      <c r="Q2" s="2"/>
      <c r="R2" s="2"/>
      <c r="S2" s="2"/>
      <c r="T2" s="2"/>
      <c r="U2" s="2"/>
      <c r="V2" s="2"/>
      <c r="W2" s="2"/>
      <c r="X2" s="2"/>
      <c r="Y2" s="2"/>
      <c r="Z2" s="2"/>
      <c r="AA2" s="2"/>
    </row>
    <row r="3" customFormat="false" ht="19.5" hidden="false" customHeight="true" outlineLevel="0" collapsed="false">
      <c r="A3" s="3" t="s">
        <v>50</v>
      </c>
      <c r="B3" s="3"/>
      <c r="C3" s="3"/>
      <c r="D3" s="3"/>
      <c r="E3" s="3"/>
      <c r="F3" s="3"/>
      <c r="G3" s="3"/>
      <c r="H3" s="3"/>
      <c r="I3" s="3"/>
      <c r="J3" s="3"/>
      <c r="K3" s="3"/>
      <c r="L3" s="3"/>
      <c r="M3" s="3"/>
      <c r="N3" s="3"/>
      <c r="O3" s="3"/>
      <c r="P3" s="3"/>
      <c r="Q3" s="3"/>
      <c r="R3" s="3"/>
      <c r="S3" s="3"/>
      <c r="T3" s="3"/>
      <c r="U3" s="3"/>
      <c r="V3" s="3"/>
      <c r="W3" s="3"/>
      <c r="X3" s="3"/>
      <c r="Y3" s="3"/>
      <c r="Z3" s="3"/>
      <c r="AA3" s="3"/>
    </row>
    <row r="4" customFormat="false" ht="30" hidden="false" customHeight="true" outlineLevel="0" collapsed="false">
      <c r="A4" s="22" t="s">
        <v>51</v>
      </c>
      <c r="B4" s="22" t="s">
        <v>52</v>
      </c>
      <c r="C4" s="22" t="s">
        <v>53</v>
      </c>
      <c r="D4" s="22" t="s">
        <v>54</v>
      </c>
      <c r="E4" s="22" t="s">
        <v>55</v>
      </c>
      <c r="F4" s="22" t="s">
        <v>56</v>
      </c>
      <c r="G4" s="22" t="s">
        <v>57</v>
      </c>
      <c r="H4" s="22" t="s">
        <v>58</v>
      </c>
      <c r="I4" s="22" t="s">
        <v>59</v>
      </c>
      <c r="J4" s="22" t="s">
        <v>60</v>
      </c>
      <c r="K4" s="22" t="s">
        <v>61</v>
      </c>
      <c r="L4" s="22" t="s">
        <v>62</v>
      </c>
      <c r="M4" s="22" t="s">
        <v>63</v>
      </c>
      <c r="N4" s="23" t="s">
        <v>64</v>
      </c>
      <c r="O4" s="23" t="s">
        <v>65</v>
      </c>
      <c r="P4" s="23" t="s">
        <v>66</v>
      </c>
      <c r="Q4" s="23" t="s">
        <v>67</v>
      </c>
      <c r="R4" s="23" t="s">
        <v>68</v>
      </c>
      <c r="S4" s="23" t="s">
        <v>69</v>
      </c>
      <c r="T4" s="23" t="s">
        <v>70</v>
      </c>
      <c r="U4" s="23" t="s">
        <v>71</v>
      </c>
      <c r="V4" s="23" t="s">
        <v>72</v>
      </c>
      <c r="W4" s="23" t="s">
        <v>73</v>
      </c>
      <c r="X4" s="23" t="s">
        <v>74</v>
      </c>
      <c r="Y4" s="23" t="s">
        <v>75</v>
      </c>
      <c r="Z4" s="23" t="s">
        <v>76</v>
      </c>
      <c r="AA4" s="23" t="s">
        <v>77</v>
      </c>
    </row>
    <row r="5" customFormat="false" ht="15" hidden="false" customHeight="false" outlineLevel="0" collapsed="false">
      <c r="A5" s="24" t="s">
        <v>78</v>
      </c>
      <c r="B5" s="24" t="s">
        <v>79</v>
      </c>
      <c r="C5" s="24" t="s">
        <v>80</v>
      </c>
      <c r="D5" s="24" t="s">
        <v>81</v>
      </c>
      <c r="E5" s="24" t="s">
        <v>82</v>
      </c>
      <c r="F5" s="24" t="s">
        <v>83</v>
      </c>
      <c r="G5" s="24" t="s">
        <v>84</v>
      </c>
      <c r="H5" s="24" t="s">
        <v>85</v>
      </c>
      <c r="I5" s="24" t="s">
        <v>86</v>
      </c>
      <c r="J5" s="24" t="s">
        <v>87</v>
      </c>
      <c r="K5" s="25" t="n">
        <v>46237</v>
      </c>
      <c r="L5" s="24"/>
      <c r="M5" s="24" t="s">
        <v>88</v>
      </c>
      <c r="N5" s="26" t="str">
        <f aca="false">IF($A5="","",IF($L5&lt;&gt;"",$L5,IF(IFERROR(INDEX(RES_LOTSRC,MATCH($A5,RES_LOTEFF,0)),"")=$A5,"",IFERROR(INDEX(RES_LOTSRC,MATCH($A5,RES_LOTEFF,0)),""))))</f>
        <v/>
      </c>
      <c r="O5" s="26" t="str">
        <f aca="false">IF($A5="","",IF($B5&lt;&gt;"",$B5,IF($N5="","",IFERROR(INDEX($B$5:$B$204,MATCH($N5,$A$5:$A$204,0)),""))))</f>
        <v>L-EXT-255</v>
      </c>
      <c r="P5" s="26" t="str">
        <f aca="false">IF($A5="","",IF($C5&lt;&gt;"",$C5,IF($N5="","",IFERROR(INDEX($C$5:$C$204,MATCH($N5,$A$5:$A$204,0)),""))))</f>
        <v>Sardine</v>
      </c>
      <c r="Q5" s="26" t="str">
        <f aca="false">IF($A5="","",IF($D5&lt;&gt;"",$D5,IF($N5="","",IFERROR(INDEX($D$5:$D$204,MATCH($N5,$A$5:$A$204,0)),""))))</f>
        <v>Fournisseur local</v>
      </c>
      <c r="R5" s="26" t="str">
        <f aca="false">IF($A5="","",IF($E5&lt;&gt;"",$E5,IF($N5="","",IFERROR(INDEX($E$5:$E$204,MATCH($N5,$A$5:$A$204,0)),""))))</f>
        <v>Laayoune</v>
      </c>
      <c r="S5" s="26" t="str">
        <f aca="false">IF($A5="","",IF($H5&lt;&gt;"",$H5,IF($N5="","",IFERROR(INDEX($H$5:$H$204,MATCH($N5,$A$5:$A$204,0)),""))))</f>
        <v>CONGELE</v>
      </c>
      <c r="T5" s="26" t="str">
        <f aca="false">IF($A5="","",IF($F5&lt;&gt;"",$F5,IF($N5="","",IFERROR(INDEX($F$5:$F$204,MATCH($N5,$A$5:$A$204,0)),""))))</f>
        <v>12345-A-6</v>
      </c>
      <c r="U5" s="27" t="n">
        <f aca="false">IF($A5="","",SUMIFS(MVT_NET,MVT_LOT,$A5))</f>
        <v>500</v>
      </c>
      <c r="V5" s="28" t="n">
        <f aca="false">IF($A5="","",COUNTIFS(MVT_LOT,$A5,MVT_BRUT,"&lt;&gt;0"))</f>
        <v>2</v>
      </c>
      <c r="W5" s="28" t="n">
        <f aca="false">IF($A5="","",COUNTIFS(QC_LOT,$A5))</f>
        <v>1</v>
      </c>
      <c r="X5" s="26" t="str">
        <f aca="false">IF($A5="","",IFERROR(INDEX(QC_DEC,MATCH($A5,QC_CLEDER,0)),""))</f>
        <v>ACCEPTER</v>
      </c>
      <c r="Y5" s="26" t="str">
        <f aca="false">IF($A5="","",IF(COUNTIF($A$5:$A$204,$A5)&gt;1,IF(SUMPRODUCT(($A$5:$A$204=$A5)*(($C$5:$C$204&lt;&gt;$C5)+($D$5:$D$204&lt;&gt;$D5)))&gt;0,"INCOHERENCE","LOT EN DOUBLE"),"OK"))</f>
        <v>OK</v>
      </c>
      <c r="Z5" s="28" t="n">
        <f aca="false">IF($A5="",0,IF(AND($O5&lt;&gt;"",$A5&lt;&gt;R_LOT,$O5=IFERROR(INDEX(LOT_EXTE,MATCH(R_LOT,LOT_KEY,0)),"#")),1,0))</f>
        <v>0</v>
      </c>
      <c r="AA5" s="26" t="str">
        <f aca="false">IF($Z5=0,"",COUNTIF($Z$5:$Z5,1))</f>
        <v/>
      </c>
    </row>
    <row r="6" customFormat="false" ht="15" hidden="false" customHeight="false" outlineLevel="0" collapsed="false">
      <c r="A6" s="24" t="s">
        <v>89</v>
      </c>
      <c r="B6" s="24" t="s">
        <v>90</v>
      </c>
      <c r="C6" s="24" t="s">
        <v>91</v>
      </c>
      <c r="D6" s="24" t="s">
        <v>92</v>
      </c>
      <c r="E6" s="24" t="s">
        <v>93</v>
      </c>
      <c r="F6" s="24" t="s">
        <v>94</v>
      </c>
      <c r="G6" s="24" t="s">
        <v>84</v>
      </c>
      <c r="H6" s="24" t="s">
        <v>85</v>
      </c>
      <c r="I6" s="24" t="s">
        <v>95</v>
      </c>
      <c r="J6" s="24" t="s">
        <v>96</v>
      </c>
      <c r="K6" s="25" t="n">
        <v>46238</v>
      </c>
      <c r="L6" s="24"/>
      <c r="M6" s="24" t="s">
        <v>97</v>
      </c>
      <c r="N6" s="26" t="str">
        <f aca="false">IF($A6="","",IF($L6&lt;&gt;"",$L6,IF(IFERROR(INDEX(RES_LOTSRC,MATCH($A6,RES_LOTEFF,0)),"")=$A6,"",IFERROR(INDEX(RES_LOTSRC,MATCH($A6,RES_LOTEFF,0)),""))))</f>
        <v/>
      </c>
      <c r="O6" s="26" t="str">
        <f aca="false">IF($A6="","",IF($B6&lt;&gt;"",$B6,IF($N6="","",IFERROR(INDEX($B$5:$B$204,MATCH($N6,$A$5:$A$204,0)),""))))</f>
        <v>L-EXT-256</v>
      </c>
      <c r="P6" s="26" t="str">
        <f aca="false">IF($A6="","",IF($C6&lt;&gt;"",$C6,IF($N6="","",IFERROR(INDEX($C$5:$C$204,MATCH($N6,$A$5:$A$204,0)),""))))</f>
        <v>Maquereau</v>
      </c>
      <c r="Q6" s="26" t="str">
        <f aca="false">IF($A6="","",IF($D6&lt;&gt;"",$D6,IF($N6="","",IFERROR(INDEX($D$5:$D$204,MATCH($N6,$A$5:$A$204,0)),""))))</f>
        <v>Producteur Boujdour</v>
      </c>
      <c r="R6" s="26" t="str">
        <f aca="false">IF($A6="","",IF($E6&lt;&gt;"",$E6,IF($N6="","",IFERROR(INDEX($E$5:$E$204,MATCH($N6,$A$5:$A$204,0)),""))))</f>
        <v>Boujdour</v>
      </c>
      <c r="S6" s="26" t="str">
        <f aca="false">IF($A6="","",IF($H6&lt;&gt;"",$H6,IF($N6="","",IFERROR(INDEX($H$5:$H$204,MATCH($N6,$A$5:$A$204,0)),""))))</f>
        <v>CONGELE</v>
      </c>
      <c r="T6" s="26" t="str">
        <f aca="false">IF($A6="","",IF($F6&lt;&gt;"",$F6,IF($N6="","",IFERROR(INDEX($F$5:$F$204,MATCH($N6,$A$5:$A$204,0)),""))))</f>
        <v>22876-B-1</v>
      </c>
      <c r="U6" s="27" t="n">
        <f aca="false">IF($A6="","",SUMIFS(MVT_NET,MVT_LOT,$A6))</f>
        <v>2000</v>
      </c>
      <c r="V6" s="28" t="n">
        <f aca="false">IF($A6="","",COUNTIFS(MVT_LOT,$A6,MVT_BRUT,"&lt;&gt;0"))</f>
        <v>3</v>
      </c>
      <c r="W6" s="28" t="n">
        <f aca="false">IF($A6="","",COUNTIFS(QC_LOT,$A6))</f>
        <v>1</v>
      </c>
      <c r="X6" s="26" t="str">
        <f aca="false">IF($A6="","",IFERROR(INDEX(QC_DEC,MATCH($A6,QC_CLEDER,0)),""))</f>
        <v>A RECONTROLER</v>
      </c>
      <c r="Y6" s="26" t="str">
        <f aca="false">IF($A6="","",IF(COUNTIF($A$5:$A$204,$A6)&gt;1,IF(SUMPRODUCT(($A$5:$A$204=$A6)*(($C$5:$C$204&lt;&gt;$C6)+($D$5:$D$204&lt;&gt;$D6)))&gt;0,"INCOHERENCE","LOT EN DOUBLE"),"OK"))</f>
        <v>OK</v>
      </c>
      <c r="Z6" s="28" t="n">
        <f aca="false">IF($A6="",0,IF(AND($O6&lt;&gt;"",$A6&lt;&gt;R_LOT,$O6=IFERROR(INDEX(LOT_EXTE,MATCH(R_LOT,LOT_KEY,0)),"#")),1,0))</f>
        <v>0</v>
      </c>
      <c r="AA6" s="26" t="str">
        <f aca="false">IF($Z6=0,"",COUNTIF($Z$5:$Z6,1))</f>
        <v/>
      </c>
    </row>
    <row r="7" customFormat="false" ht="15" hidden="false" customHeight="false" outlineLevel="0" collapsed="false">
      <c r="A7" s="24" t="s">
        <v>98</v>
      </c>
      <c r="B7" s="24" t="s">
        <v>79</v>
      </c>
      <c r="C7" s="24" t="s">
        <v>80</v>
      </c>
      <c r="D7" s="24" t="s">
        <v>81</v>
      </c>
      <c r="E7" s="24" t="s">
        <v>82</v>
      </c>
      <c r="F7" s="24" t="s">
        <v>99</v>
      </c>
      <c r="G7" s="24" t="s">
        <v>84</v>
      </c>
      <c r="H7" s="24" t="s">
        <v>100</v>
      </c>
      <c r="I7" s="24" t="s">
        <v>86</v>
      </c>
      <c r="J7" s="24" t="s">
        <v>87</v>
      </c>
      <c r="K7" s="25" t="n">
        <v>46239</v>
      </c>
      <c r="L7" s="24"/>
      <c r="M7" s="24" t="s">
        <v>101</v>
      </c>
      <c r="N7" s="26" t="str">
        <f aca="false">IF($A7="","",IF($L7&lt;&gt;"",$L7,IF(IFERROR(INDEX(RES_LOTSRC,MATCH($A7,RES_LOTEFF,0)),"")=$A7,"",IFERROR(INDEX(RES_LOTSRC,MATCH($A7,RES_LOTEFF,0)),""))))</f>
        <v/>
      </c>
      <c r="O7" s="26" t="str">
        <f aca="false">IF($A7="","",IF($B7&lt;&gt;"",$B7,IF($N7="","",IFERROR(INDEX($B$5:$B$204,MATCH($N7,$A$5:$A$204,0)),""))))</f>
        <v>L-EXT-255</v>
      </c>
      <c r="P7" s="26" t="str">
        <f aca="false">IF($A7="","",IF($C7&lt;&gt;"",$C7,IF($N7="","",IFERROR(INDEX($C$5:$C$204,MATCH($N7,$A$5:$A$204,0)),""))))</f>
        <v>Sardine</v>
      </c>
      <c r="Q7" s="26" t="str">
        <f aca="false">IF($A7="","",IF($D7&lt;&gt;"",$D7,IF($N7="","",IFERROR(INDEX($D$5:$D$204,MATCH($N7,$A$5:$A$204,0)),""))))</f>
        <v>Fournisseur local</v>
      </c>
      <c r="R7" s="26" t="str">
        <f aca="false">IF($A7="","",IF($E7&lt;&gt;"",$E7,IF($N7="","",IFERROR(INDEX($E$5:$E$204,MATCH($N7,$A$5:$A$204,0)),""))))</f>
        <v>Laayoune</v>
      </c>
      <c r="S7" s="26" t="str">
        <f aca="false">IF($A7="","",IF($H7&lt;&gt;"",$H7,IF($N7="","",IFERROR(INDEX($H$5:$H$204,MATCH($N7,$A$5:$A$204,0)),""))))</f>
        <v>FRAIS</v>
      </c>
      <c r="T7" s="26" t="str">
        <f aca="false">IF($A7="","",IF($F7&lt;&gt;"",$F7,IF($N7="","",IFERROR(INDEX($F$5:$F$204,MATCH($N7,$A$5:$A$204,0)),""))))</f>
        <v>33111-C-2</v>
      </c>
      <c r="U7" s="27" t="n">
        <f aca="false">IF($A7="","",SUMIFS(MVT_NET,MVT_LOT,$A7))</f>
        <v>500</v>
      </c>
      <c r="V7" s="28" t="n">
        <f aca="false">IF($A7="","",COUNTIFS(MVT_LOT,$A7,MVT_BRUT,"&lt;&gt;0"))</f>
        <v>2</v>
      </c>
      <c r="W7" s="28" t="n">
        <f aca="false">IF($A7="","",COUNTIFS(QC_LOT,$A7))</f>
        <v>1</v>
      </c>
      <c r="X7" s="26" t="str">
        <f aca="false">IF($A7="","",IFERROR(INDEX(QC_DEC,MATCH($A7,QC_CLEDER,0)),""))</f>
        <v>ACCEPTER</v>
      </c>
      <c r="Y7" s="26" t="str">
        <f aca="false">IF($A7="","",IF(COUNTIF($A$5:$A$204,$A7)&gt;1,IF(SUMPRODUCT(($A$5:$A$204=$A7)*(($C$5:$C$204&lt;&gt;$C7)+($D$5:$D$204&lt;&gt;$D7)))&gt;0,"INCOHERENCE","LOT EN DOUBLE"),"OK"))</f>
        <v>OK</v>
      </c>
      <c r="Z7" s="28" t="n">
        <f aca="false">IF($A7="",0,IF(AND($O7&lt;&gt;"",$A7&lt;&gt;R_LOT,$O7=IFERROR(INDEX(LOT_EXTE,MATCH(R_LOT,LOT_KEY,0)),"#")),1,0))</f>
        <v>1</v>
      </c>
      <c r="AA7" s="26" t="n">
        <f aca="false">IF($Z7=0,"",COUNTIF($Z$5:$Z7,1))</f>
        <v>1</v>
      </c>
    </row>
    <row r="8" customFormat="false" ht="15" hidden="false" customHeight="false" outlineLevel="0" collapsed="false">
      <c r="A8" s="24" t="s">
        <v>102</v>
      </c>
      <c r="B8" s="24" t="s">
        <v>103</v>
      </c>
      <c r="C8" s="24" t="s">
        <v>80</v>
      </c>
      <c r="D8" s="24" t="s">
        <v>81</v>
      </c>
      <c r="E8" s="24" t="s">
        <v>104</v>
      </c>
      <c r="F8" s="24" t="s">
        <v>105</v>
      </c>
      <c r="G8" s="24" t="s">
        <v>84</v>
      </c>
      <c r="H8" s="24" t="s">
        <v>85</v>
      </c>
      <c r="I8" s="24" t="s">
        <v>95</v>
      </c>
      <c r="J8" s="24" t="s">
        <v>87</v>
      </c>
      <c r="K8" s="25" t="n">
        <v>46240</v>
      </c>
      <c r="L8" s="24"/>
      <c r="M8" s="24" t="s">
        <v>106</v>
      </c>
      <c r="N8" s="26" t="str">
        <f aca="false">IF($A8="","",IF($L8&lt;&gt;"",$L8,IF(IFERROR(INDEX(RES_LOTSRC,MATCH($A8,RES_LOTEFF,0)),"")=$A8,"",IFERROR(INDEX(RES_LOTSRC,MATCH($A8,RES_LOTEFF,0)),""))))</f>
        <v/>
      </c>
      <c r="O8" s="26" t="str">
        <f aca="false">IF($A8="","",IF($B8&lt;&gt;"",$B8,IF($N8="","",IFERROR(INDEX($B$5:$B$204,MATCH($N8,$A$5:$A$204,0)),""))))</f>
        <v>L-EXT-258</v>
      </c>
      <c r="P8" s="26" t="str">
        <f aca="false">IF($A8="","",IF($C8&lt;&gt;"",$C8,IF($N8="","",IFERROR(INDEX($C$5:$C$204,MATCH($N8,$A$5:$A$204,0)),""))))</f>
        <v>Sardine</v>
      </c>
      <c r="Q8" s="26" t="str">
        <f aca="false">IF($A8="","",IF($D8&lt;&gt;"",$D8,IF($N8="","",IFERROR(INDEX($D$5:$D$204,MATCH($N8,$A$5:$A$204,0)),""))))</f>
        <v>Fournisseur local</v>
      </c>
      <c r="R8" s="26" t="str">
        <f aca="false">IF($A8="","",IF($E8&lt;&gt;"",$E8,IF($N8="","",IFERROR(INDEX($E$5:$E$204,MATCH($N8,$A$5:$A$204,0)),""))))</f>
        <v>tan tan</v>
      </c>
      <c r="S8" s="26" t="str">
        <f aca="false">IF($A8="","",IF($H8&lt;&gt;"",$H8,IF($N8="","",IFERROR(INDEX($H$5:$H$204,MATCH($N8,$A$5:$A$204,0)),""))))</f>
        <v>CONGELE</v>
      </c>
      <c r="T8" s="26" t="str">
        <f aca="false">IF($A8="","",IF($F8&lt;&gt;"",$F8,IF($N8="","",IFERROR(INDEX($F$5:$F$204,MATCH($N8,$A$5:$A$204,0)),""))))</f>
        <v>44900-E-7</v>
      </c>
      <c r="U8" s="27" t="n">
        <f aca="false">IF($A8="","",SUMIFS(MVT_NET,MVT_LOT,$A8))</f>
        <v>200</v>
      </c>
      <c r="V8" s="28" t="n">
        <f aca="false">IF($A8="","",COUNTIFS(MVT_LOT,$A8,MVT_BRUT,"&lt;&gt;0"))</f>
        <v>2</v>
      </c>
      <c r="W8" s="28" t="n">
        <f aca="false">IF($A8="","",COUNTIFS(QC_LOT,$A8))</f>
        <v>0</v>
      </c>
      <c r="X8" s="26" t="str">
        <f aca="false">IF($A8="","",IFERROR(INDEX(QC_DEC,MATCH($A8,QC_CLEDER,0)),""))</f>
        <v/>
      </c>
      <c r="Y8" s="26" t="str">
        <f aca="false">IF($A8="","",IF(COUNTIF($A$5:$A$204,$A8)&gt;1,IF(SUMPRODUCT(($A$5:$A$204=$A8)*(($C$5:$C$204&lt;&gt;$C8)+($D$5:$D$204&lt;&gt;$D8)))&gt;0,"INCOHERENCE","LOT EN DOUBLE"),"OK"))</f>
        <v>OK</v>
      </c>
      <c r="Z8" s="28" t="n">
        <f aca="false">IF($A8="",0,IF(AND($O8&lt;&gt;"",$A8&lt;&gt;R_LOT,$O8=IFERROR(INDEX(LOT_EXTE,MATCH(R_LOT,LOT_KEY,0)),"#")),1,0))</f>
        <v>0</v>
      </c>
      <c r="AA8" s="26" t="str">
        <f aca="false">IF($Z8=0,"",COUNTIF($Z$5:$Z8,1))</f>
        <v/>
      </c>
    </row>
    <row r="9" customFormat="false" ht="15" hidden="false" customHeight="false" outlineLevel="0" collapsed="false">
      <c r="A9" s="24" t="s">
        <v>107</v>
      </c>
      <c r="B9" s="24" t="s">
        <v>108</v>
      </c>
      <c r="C9" s="24" t="s">
        <v>109</v>
      </c>
      <c r="D9" s="24" t="s">
        <v>110</v>
      </c>
      <c r="E9" s="24" t="s">
        <v>111</v>
      </c>
      <c r="F9" s="24" t="s">
        <v>112</v>
      </c>
      <c r="G9" s="24" t="s">
        <v>84</v>
      </c>
      <c r="H9" s="24" t="s">
        <v>85</v>
      </c>
      <c r="I9" s="24" t="s">
        <v>86</v>
      </c>
      <c r="J9" s="24" t="s">
        <v>87</v>
      </c>
      <c r="K9" s="25" t="n">
        <v>46241</v>
      </c>
      <c r="L9" s="24"/>
      <c r="M9" s="24" t="s">
        <v>113</v>
      </c>
      <c r="N9" s="26" t="str">
        <f aca="false">IF($A9="","",IF($L9&lt;&gt;"",$L9,IF(IFERROR(INDEX(RES_LOTSRC,MATCH($A9,RES_LOTEFF,0)),"")=$A9,"",IFERROR(INDEX(RES_LOTSRC,MATCH($A9,RES_LOTEFF,0)),""))))</f>
        <v/>
      </c>
      <c r="O9" s="26" t="str">
        <f aca="false">IF($A9="","",IF($B9&lt;&gt;"",$B9,IF($N9="","",IFERROR(INDEX($B$5:$B$204,MATCH($N9,$A$5:$A$204,0)),""))))</f>
        <v>L-EXT-300</v>
      </c>
      <c r="P9" s="26" t="str">
        <f aca="false">IF($A9="","",IF($C9&lt;&gt;"",$C9,IF($N9="","",IFERROR(INDEX($C$5:$C$204,MATCH($N9,$A$5:$A$204,0)),""))))</f>
        <v>Anchois</v>
      </c>
      <c r="Q9" s="26" t="str">
        <f aca="false">IF($A9="","",IF($D9&lt;&gt;"",$D9,IF($N9="","",IFERROR(INDEX($D$5:$D$204,MATCH($N9,$A$5:$A$204,0)),""))))</f>
        <v>Producteur Dakhla</v>
      </c>
      <c r="R9" s="26" t="str">
        <f aca="false">IF($A9="","",IF($E9&lt;&gt;"",$E9,IF($N9="","",IFERROR(INDEX($E$5:$E$204,MATCH($N9,$A$5:$A$204,0)),""))))</f>
        <v>Dakhla</v>
      </c>
      <c r="S9" s="26" t="str">
        <f aca="false">IF($A9="","",IF($H9&lt;&gt;"",$H9,IF($N9="","",IFERROR(INDEX($H$5:$H$204,MATCH($N9,$A$5:$A$204,0)),""))))</f>
        <v>CONGELE</v>
      </c>
      <c r="T9" s="26" t="str">
        <f aca="false">IF($A9="","",IF($F9&lt;&gt;"",$F9,IF($N9="","",IFERROR(INDEX($F$5:$F$204,MATCH($N9,$A$5:$A$204,0)),""))))</f>
        <v>44222-D-3</v>
      </c>
      <c r="U9" s="27" t="n">
        <f aca="false">IF($A9="","",SUMIFS(MVT_NET,MVT_LOT,$A9))</f>
        <v>0</v>
      </c>
      <c r="V9" s="28" t="n">
        <f aca="false">IF($A9="","",COUNTIFS(MVT_LOT,$A9,MVT_BRUT,"&lt;&gt;0"))</f>
        <v>0</v>
      </c>
      <c r="W9" s="28" t="n">
        <f aca="false">IF($A9="","",COUNTIFS(QC_LOT,$A9))</f>
        <v>0</v>
      </c>
      <c r="X9" s="26" t="str">
        <f aca="false">IF($A9="","",IFERROR(INDEX(QC_DEC,MATCH($A9,QC_CLEDER,0)),""))</f>
        <v/>
      </c>
      <c r="Y9" s="26" t="str">
        <f aca="false">IF($A9="","",IF(COUNTIF($A$5:$A$204,$A9)&gt;1,IF(SUMPRODUCT(($A$5:$A$204=$A9)*(($C$5:$C$204&lt;&gt;$C9)+($D$5:$D$204&lt;&gt;$D9)))&gt;0,"INCOHERENCE","LOT EN DOUBLE"),"OK"))</f>
        <v>OK</v>
      </c>
      <c r="Z9" s="28" t="n">
        <f aca="false">IF($A9="",0,IF(AND($O9&lt;&gt;"",$A9&lt;&gt;R_LOT,$O9=IFERROR(INDEX(LOT_EXTE,MATCH(R_LOT,LOT_KEY,0)),"#")),1,0))</f>
        <v>0</v>
      </c>
      <c r="AA9" s="26" t="str">
        <f aca="false">IF($Z9=0,"",COUNTIF($Z$5:$Z9,1))</f>
        <v/>
      </c>
    </row>
    <row r="10" customFormat="false" ht="15" hidden="false" customHeight="false" outlineLevel="0" collapsed="false">
      <c r="A10" s="24" t="s">
        <v>114</v>
      </c>
      <c r="B10" s="24" t="s">
        <v>115</v>
      </c>
      <c r="C10" s="24" t="s">
        <v>91</v>
      </c>
      <c r="D10" s="24" t="s">
        <v>92</v>
      </c>
      <c r="E10" s="24" t="s">
        <v>93</v>
      </c>
      <c r="F10" s="24" t="s">
        <v>116</v>
      </c>
      <c r="G10" s="24" t="s">
        <v>84</v>
      </c>
      <c r="H10" s="24" t="s">
        <v>85</v>
      </c>
      <c r="I10" s="24" t="s">
        <v>86</v>
      </c>
      <c r="J10" s="24" t="s">
        <v>96</v>
      </c>
      <c r="K10" s="25" t="n">
        <v>46244</v>
      </c>
      <c r="L10" s="24"/>
      <c r="M10" s="24" t="s">
        <v>117</v>
      </c>
      <c r="N10" s="26" t="str">
        <f aca="false">IF($A10="","",IF($L10&lt;&gt;"",$L10,IF(IFERROR(INDEX(RES_LOTSRC,MATCH($A10,RES_LOTEFF,0)),"")=$A10,"",IFERROR(INDEX(RES_LOTSRC,MATCH($A10,RES_LOTEFF,0)),""))))</f>
        <v/>
      </c>
      <c r="O10" s="26" t="str">
        <f aca="false">IF($A10="","",IF($B10&lt;&gt;"",$B10,IF($N10="","",IFERROR(INDEX($B$5:$B$204,MATCH($N10,$A$5:$A$204,0)),""))))</f>
        <v>L-EXT-301</v>
      </c>
      <c r="P10" s="26" t="str">
        <f aca="false">IF($A10="","",IF($C10&lt;&gt;"",$C10,IF($N10="","",IFERROR(INDEX($C$5:$C$204,MATCH($N10,$A$5:$A$204,0)),""))))</f>
        <v>Maquereau</v>
      </c>
      <c r="Q10" s="26" t="str">
        <f aca="false">IF($A10="","",IF($D10&lt;&gt;"",$D10,IF($N10="","",IFERROR(INDEX($D$5:$D$204,MATCH($N10,$A$5:$A$204,0)),""))))</f>
        <v>Producteur Boujdour</v>
      </c>
      <c r="R10" s="26" t="str">
        <f aca="false">IF($A10="","",IF($E10&lt;&gt;"",$E10,IF($N10="","",IFERROR(INDEX($E$5:$E$204,MATCH($N10,$A$5:$A$204,0)),""))))</f>
        <v>Boujdour</v>
      </c>
      <c r="S10" s="26" t="str">
        <f aca="false">IF($A10="","",IF($H10&lt;&gt;"",$H10,IF($N10="","",IFERROR(INDEX($H$5:$H$204,MATCH($N10,$A$5:$A$204,0)),""))))</f>
        <v>CONGELE</v>
      </c>
      <c r="T10" s="26" t="str">
        <f aca="false">IF($A10="","",IF($F10&lt;&gt;"",$F10,IF($N10="","",IFERROR(INDEX($F$5:$F$204,MATCH($N10,$A$5:$A$204,0)),""))))</f>
        <v>55333-F-8</v>
      </c>
      <c r="U10" s="27" t="n">
        <f aca="false">IF($A10="","",SUMIFS(MVT_NET,MVT_LOT,$A10))</f>
        <v>200</v>
      </c>
      <c r="V10" s="28" t="n">
        <f aca="false">IF($A10="","",COUNTIFS(MVT_LOT,$A10,MVT_BRUT,"&lt;&gt;0"))</f>
        <v>2</v>
      </c>
      <c r="W10" s="28" t="n">
        <f aca="false">IF($A10="","",COUNTIFS(QC_LOT,$A10))</f>
        <v>1</v>
      </c>
      <c r="X10" s="26" t="str">
        <f aca="false">IF($A10="","",IFERROR(INDEX(QC_DEC,MATCH($A10,QC_CLEDER,0)),""))</f>
        <v>BLOQUER</v>
      </c>
      <c r="Y10" s="26" t="str">
        <f aca="false">IF($A10="","",IF(COUNTIF($A$5:$A$204,$A10)&gt;1,IF(SUMPRODUCT(($A$5:$A$204=$A10)*(($C$5:$C$204&lt;&gt;$C10)+($D$5:$D$204&lt;&gt;$D10)))&gt;0,"INCOHERENCE","LOT EN DOUBLE"),"OK"))</f>
        <v>OK</v>
      </c>
      <c r="Z10" s="28" t="n">
        <f aca="false">IF($A10="",0,IF(AND($O10&lt;&gt;"",$A10&lt;&gt;R_LOT,$O10=IFERROR(INDEX(LOT_EXTE,MATCH(R_LOT,LOT_KEY,0)),"#")),1,0))</f>
        <v>0</v>
      </c>
      <c r="AA10" s="26" t="str">
        <f aca="false">IF($Z10=0,"",COUNTIF($Z$5:$Z10,1))</f>
        <v/>
      </c>
    </row>
    <row r="11" customFormat="false" ht="15" hidden="false" customHeight="false" outlineLevel="0" collapsed="false">
      <c r="A11" s="24" t="s">
        <v>118</v>
      </c>
      <c r="B11" s="24" t="s">
        <v>119</v>
      </c>
      <c r="C11" s="24" t="s">
        <v>120</v>
      </c>
      <c r="D11" s="24" t="s">
        <v>110</v>
      </c>
      <c r="E11" s="24" t="s">
        <v>111</v>
      </c>
      <c r="F11" s="24" t="s">
        <v>121</v>
      </c>
      <c r="G11" s="24" t="s">
        <v>84</v>
      </c>
      <c r="H11" s="24" t="s">
        <v>85</v>
      </c>
      <c r="I11" s="24" t="s">
        <v>86</v>
      </c>
      <c r="J11" s="24" t="s">
        <v>96</v>
      </c>
      <c r="K11" s="25" t="n">
        <v>46251</v>
      </c>
      <c r="L11" s="24"/>
      <c r="M11" s="24" t="s">
        <v>122</v>
      </c>
      <c r="N11" s="26" t="str">
        <f aca="false">IF($A11="","",IF($L11&lt;&gt;"",$L11,IF(IFERROR(INDEX(RES_LOTSRC,MATCH($A11,RES_LOTEFF,0)),"")=$A11,"",IFERROR(INDEX(RES_LOTSRC,MATCH($A11,RES_LOTEFF,0)),""))))</f>
        <v/>
      </c>
      <c r="O11" s="26" t="str">
        <f aca="false">IF($A11="","",IF($B11&lt;&gt;"",$B11,IF($N11="","",IFERROR(INDEX($B$5:$B$204,MATCH($N11,$A$5:$A$204,0)),""))))</f>
        <v>L-EXT-302</v>
      </c>
      <c r="P11" s="26" t="str">
        <f aca="false">IF($A11="","",IF($C11&lt;&gt;"",$C11,IF($N11="","",IFERROR(INDEX($C$5:$C$204,MATCH($N11,$A$5:$A$204,0)),""))))</f>
        <v>Chinchard</v>
      </c>
      <c r="Q11" s="26" t="str">
        <f aca="false">IF($A11="","",IF($D11&lt;&gt;"",$D11,IF($N11="","",IFERROR(INDEX($D$5:$D$204,MATCH($N11,$A$5:$A$204,0)),""))))</f>
        <v>Producteur Dakhla</v>
      </c>
      <c r="R11" s="26" t="str">
        <f aca="false">IF($A11="","",IF($E11&lt;&gt;"",$E11,IF($N11="","",IFERROR(INDEX($E$5:$E$204,MATCH($N11,$A$5:$A$204,0)),""))))</f>
        <v>Dakhla</v>
      </c>
      <c r="S11" s="26" t="str">
        <f aca="false">IF($A11="","",IF($H11&lt;&gt;"",$H11,IF($N11="","",IFERROR(INDEX($H$5:$H$204,MATCH($N11,$A$5:$A$204,0)),""))))</f>
        <v>CONGELE</v>
      </c>
      <c r="T11" s="26" t="str">
        <f aca="false">IF($A11="","",IF($F11&lt;&gt;"",$F11,IF($N11="","",IFERROR(INDEX($F$5:$F$204,MATCH($N11,$A$5:$A$204,0)),""))))</f>
        <v>66444-G-9</v>
      </c>
      <c r="U11" s="27" t="n">
        <f aca="false">IF($A11="","",SUMIFS(MVT_NET,MVT_LOT,$A11))</f>
        <v>975</v>
      </c>
      <c r="V11" s="28" t="n">
        <f aca="false">IF($A11="","",COUNTIFS(MVT_LOT,$A11,MVT_BRUT,"&lt;&gt;0"))</f>
        <v>2</v>
      </c>
      <c r="W11" s="28" t="n">
        <f aca="false">IF($A11="","",COUNTIFS(QC_LOT,$A11))</f>
        <v>0</v>
      </c>
      <c r="X11" s="26" t="str">
        <f aca="false">IF($A11="","",IFERROR(INDEX(QC_DEC,MATCH($A11,QC_CLEDER,0)),""))</f>
        <v/>
      </c>
      <c r="Y11" s="26" t="str">
        <f aca="false">IF($A11="","",IF(COUNTIF($A$5:$A$204,$A11)&gt;1,IF(SUMPRODUCT(($A$5:$A$204=$A11)*(($C$5:$C$204&lt;&gt;$C11)+($D$5:$D$204&lt;&gt;$D11)))&gt;0,"INCOHERENCE","LOT EN DOUBLE"),"OK"))</f>
        <v>OK</v>
      </c>
      <c r="Z11" s="28" t="n">
        <f aca="false">IF($A11="",0,IF(AND($O11&lt;&gt;"",$A11&lt;&gt;R_LOT,$O11=IFERROR(INDEX(LOT_EXTE,MATCH(R_LOT,LOT_KEY,0)),"#")),1,0))</f>
        <v>0</v>
      </c>
      <c r="AA11" s="26" t="str">
        <f aca="false">IF($Z11=0,"",COUNTIF($Z$5:$Z11,1))</f>
        <v/>
      </c>
    </row>
    <row r="12" customFormat="false" ht="15" hidden="false" customHeight="false" outlineLevel="0" collapsed="false">
      <c r="A12" s="24" t="s">
        <v>123</v>
      </c>
      <c r="B12" s="24"/>
      <c r="C12" s="24"/>
      <c r="D12" s="24"/>
      <c r="E12" s="24"/>
      <c r="F12" s="24"/>
      <c r="G12" s="24" t="s">
        <v>124</v>
      </c>
      <c r="H12" s="24" t="s">
        <v>85</v>
      </c>
      <c r="I12" s="24" t="s">
        <v>86</v>
      </c>
      <c r="J12" s="24" t="s">
        <v>87</v>
      </c>
      <c r="K12" s="25" t="n">
        <v>46248</v>
      </c>
      <c r="L12" s="24" t="s">
        <v>78</v>
      </c>
      <c r="M12" s="24" t="s">
        <v>125</v>
      </c>
      <c r="N12" s="26" t="str">
        <f aca="false">IF($A12="","",IF($L12&lt;&gt;"",$L12,IF(IFERROR(INDEX(RES_LOTSRC,MATCH($A12,RES_LOTEFF,0)),"")=$A12,"",IFERROR(INDEX(RES_LOTSRC,MATCH($A12,RES_LOTEFF,0)),""))))</f>
        <v>255</v>
      </c>
      <c r="O12" s="26" t="str">
        <f aca="false">IF($A12="","",IF($B12&lt;&gt;"",$B12,IF($N12="","",IFERROR(INDEX($B$5:$B$204,MATCH($N12,$A$5:$A$204,0)),""))))</f>
        <v>L-EXT-255</v>
      </c>
      <c r="P12" s="26" t="str">
        <f aca="false">IF($A12="","",IF($C12&lt;&gt;"",$C12,IF($N12="","",IFERROR(INDEX($C$5:$C$204,MATCH($N12,$A$5:$A$204,0)),""))))</f>
        <v>Sardine</v>
      </c>
      <c r="Q12" s="26" t="str">
        <f aca="false">IF($A12="","",IF($D12&lt;&gt;"",$D12,IF($N12="","",IFERROR(INDEX($D$5:$D$204,MATCH($N12,$A$5:$A$204,0)),""))))</f>
        <v>Fournisseur local</v>
      </c>
      <c r="R12" s="26" t="str">
        <f aca="false">IF($A12="","",IF($E12&lt;&gt;"",$E12,IF($N12="","",IFERROR(INDEX($E$5:$E$204,MATCH($N12,$A$5:$A$204,0)),""))))</f>
        <v>Laayoune</v>
      </c>
      <c r="S12" s="26" t="str">
        <f aca="false">IF($A12="","",IF($H12&lt;&gt;"",$H12,IF($N12="","",IFERROR(INDEX($H$5:$H$204,MATCH($N12,$A$5:$A$204,0)),""))))</f>
        <v>CONGELE</v>
      </c>
      <c r="T12" s="26" t="str">
        <f aca="false">IF($A12="","",IF($F12&lt;&gt;"",$F12,IF($N12="","",IFERROR(INDEX($F$5:$F$204,MATCH($N12,$A$5:$A$204,0)),""))))</f>
        <v>12345-A-6</v>
      </c>
      <c r="U12" s="27" t="n">
        <f aca="false">IF($A12="","",SUMIFS(MVT_NET,MVT_LOT,$A12))</f>
        <v>300</v>
      </c>
      <c r="V12" s="28" t="n">
        <f aca="false">IF($A12="","",COUNTIFS(MVT_LOT,$A12,MVT_BRUT,"&lt;&gt;0"))</f>
        <v>1</v>
      </c>
      <c r="W12" s="28" t="n">
        <f aca="false">IF($A12="","",COUNTIFS(QC_LOT,$A12))</f>
        <v>0</v>
      </c>
      <c r="X12" s="26" t="str">
        <f aca="false">IF($A12="","",IFERROR(INDEX(QC_DEC,MATCH($A12,QC_CLEDER,0)),""))</f>
        <v/>
      </c>
      <c r="Y12" s="26" t="str">
        <f aca="false">IF($A12="","",IF(COUNTIF($A$5:$A$204,$A12)&gt;1,IF(SUMPRODUCT(($A$5:$A$204=$A12)*(($C$5:$C$204&lt;&gt;$C12)+($D$5:$D$204&lt;&gt;$D12)))&gt;0,"INCOHERENCE","LOT EN DOUBLE"),"OK"))</f>
        <v>OK</v>
      </c>
      <c r="Z12" s="28" t="n">
        <f aca="false">IF($A12="",0,IF(AND($O12&lt;&gt;"",$A12&lt;&gt;R_LOT,$O12=IFERROR(INDEX(LOT_EXTE,MATCH(R_LOT,LOT_KEY,0)),"#")),1,0))</f>
        <v>1</v>
      </c>
      <c r="AA12" s="26" t="n">
        <f aca="false">IF($Z12=0,"",COUNTIF($Z$5:$Z12,1))</f>
        <v>2</v>
      </c>
    </row>
    <row r="13" customFormat="false" ht="15" hidden="false" customHeight="false" outlineLevel="0" collapsed="false">
      <c r="A13" s="24" t="s">
        <v>126</v>
      </c>
      <c r="B13" s="24"/>
      <c r="C13" s="24"/>
      <c r="D13" s="24"/>
      <c r="E13" s="24"/>
      <c r="F13" s="24"/>
      <c r="G13" s="24" t="s">
        <v>127</v>
      </c>
      <c r="H13" s="24" t="s">
        <v>85</v>
      </c>
      <c r="I13" s="24" t="s">
        <v>95</v>
      </c>
      <c r="J13" s="24" t="s">
        <v>96</v>
      </c>
      <c r="K13" s="25" t="n">
        <v>46248</v>
      </c>
      <c r="L13" s="24" t="s">
        <v>78</v>
      </c>
      <c r="M13" s="24" t="s">
        <v>128</v>
      </c>
      <c r="N13" s="26" t="str">
        <f aca="false">IF($A13="","",IF($L13&lt;&gt;"",$L13,IF(IFERROR(INDEX(RES_LOTSRC,MATCH($A13,RES_LOTEFF,0)),"")=$A13,"",IFERROR(INDEX(RES_LOTSRC,MATCH($A13,RES_LOTEFF,0)),""))))</f>
        <v>255</v>
      </c>
      <c r="O13" s="26" t="str">
        <f aca="false">IF($A13="","",IF($B13&lt;&gt;"",$B13,IF($N13="","",IFERROR(INDEX($B$5:$B$204,MATCH($N13,$A$5:$A$204,0)),""))))</f>
        <v>L-EXT-255</v>
      </c>
      <c r="P13" s="26" t="str">
        <f aca="false">IF($A13="","",IF($C13&lt;&gt;"",$C13,IF($N13="","",IFERROR(INDEX($C$5:$C$204,MATCH($N13,$A$5:$A$204,0)),""))))</f>
        <v>Sardine</v>
      </c>
      <c r="Q13" s="26" t="str">
        <f aca="false">IF($A13="","",IF($D13&lt;&gt;"",$D13,IF($N13="","",IFERROR(INDEX($D$5:$D$204,MATCH($N13,$A$5:$A$204,0)),""))))</f>
        <v>Fournisseur local</v>
      </c>
      <c r="R13" s="26" t="str">
        <f aca="false">IF($A13="","",IF($E13&lt;&gt;"",$E13,IF($N13="","",IFERROR(INDEX($E$5:$E$204,MATCH($N13,$A$5:$A$204,0)),""))))</f>
        <v>Laayoune</v>
      </c>
      <c r="S13" s="26" t="str">
        <f aca="false">IF($A13="","",IF($H13&lt;&gt;"",$H13,IF($N13="","",IFERROR(INDEX($H$5:$H$204,MATCH($N13,$A$5:$A$204,0)),""))))</f>
        <v>CONGELE</v>
      </c>
      <c r="T13" s="26" t="str">
        <f aca="false">IF($A13="","",IF($F13&lt;&gt;"",$F13,IF($N13="","",IFERROR(INDEX($F$5:$F$204,MATCH($N13,$A$5:$A$204,0)),""))))</f>
        <v>12345-A-6</v>
      </c>
      <c r="U13" s="27" t="n">
        <f aca="false">IF($A13="","",SUMIFS(MVT_NET,MVT_LOT,$A13))</f>
        <v>150</v>
      </c>
      <c r="V13" s="28" t="n">
        <f aca="false">IF($A13="","",COUNTIFS(MVT_LOT,$A13,MVT_BRUT,"&lt;&gt;0"))</f>
        <v>1</v>
      </c>
      <c r="W13" s="28" t="n">
        <f aca="false">IF($A13="","",COUNTIFS(QC_LOT,$A13))</f>
        <v>0</v>
      </c>
      <c r="X13" s="26" t="str">
        <f aca="false">IF($A13="","",IFERROR(INDEX(QC_DEC,MATCH($A13,QC_CLEDER,0)),""))</f>
        <v/>
      </c>
      <c r="Y13" s="26" t="str">
        <f aca="false">IF($A13="","",IF(COUNTIF($A$5:$A$204,$A13)&gt;1,IF(SUMPRODUCT(($A$5:$A$204=$A13)*(($C$5:$C$204&lt;&gt;$C13)+($D$5:$D$204&lt;&gt;$D13)))&gt;0,"INCOHERENCE","LOT EN DOUBLE"),"OK"))</f>
        <v>OK</v>
      </c>
      <c r="Z13" s="28" t="n">
        <f aca="false">IF($A13="",0,IF(AND($O13&lt;&gt;"",$A13&lt;&gt;R_LOT,$O13=IFERROR(INDEX(LOT_EXTE,MATCH(R_LOT,LOT_KEY,0)),"#")),1,0))</f>
        <v>1</v>
      </c>
      <c r="AA13" s="26" t="n">
        <f aca="false">IF($Z13=0,"",COUNTIF($Z$5:$Z13,1))</f>
        <v>3</v>
      </c>
    </row>
    <row r="14" customFormat="false" ht="15" hidden="false" customHeight="false" outlineLevel="0" collapsed="false">
      <c r="A14" s="24" t="s">
        <v>129</v>
      </c>
      <c r="B14" s="24"/>
      <c r="C14" s="24"/>
      <c r="D14" s="24"/>
      <c r="E14" s="24"/>
      <c r="F14" s="24"/>
      <c r="G14" s="24" t="s">
        <v>130</v>
      </c>
      <c r="H14" s="24" t="s">
        <v>85</v>
      </c>
      <c r="I14" s="24" t="s">
        <v>86</v>
      </c>
      <c r="J14" s="24" t="s">
        <v>87</v>
      </c>
      <c r="K14" s="25" t="n">
        <v>46247</v>
      </c>
      <c r="L14" s="24" t="s">
        <v>107</v>
      </c>
      <c r="M14" s="24" t="s">
        <v>131</v>
      </c>
      <c r="N14" s="26" t="str">
        <f aca="false">IF($A14="","",IF($L14&lt;&gt;"",$L14,IF(IFERROR(INDEX(RES_LOTSRC,MATCH($A14,RES_LOTEFF,0)),"")=$A14,"",IFERROR(INDEX(RES_LOTSRC,MATCH($A14,RES_LOTEFF,0)),""))))</f>
        <v>300</v>
      </c>
      <c r="O14" s="26" t="str">
        <f aca="false">IF($A14="","",IF($B14&lt;&gt;"",$B14,IF($N14="","",IFERROR(INDEX($B$5:$B$204,MATCH($N14,$A$5:$A$204,0)),""))))</f>
        <v>L-EXT-300</v>
      </c>
      <c r="P14" s="26" t="str">
        <f aca="false">IF($A14="","",IF($C14&lt;&gt;"",$C14,IF($N14="","",IFERROR(INDEX($C$5:$C$204,MATCH($N14,$A$5:$A$204,0)),""))))</f>
        <v>Anchois</v>
      </c>
      <c r="Q14" s="26" t="str">
        <f aca="false">IF($A14="","",IF($D14&lt;&gt;"",$D14,IF($N14="","",IFERROR(INDEX($D$5:$D$204,MATCH($N14,$A$5:$A$204,0)),""))))</f>
        <v>Producteur Dakhla</v>
      </c>
      <c r="R14" s="26" t="str">
        <f aca="false">IF($A14="","",IF($E14&lt;&gt;"",$E14,IF($N14="","",IFERROR(INDEX($E$5:$E$204,MATCH($N14,$A$5:$A$204,0)),""))))</f>
        <v>Dakhla</v>
      </c>
      <c r="S14" s="26" t="str">
        <f aca="false">IF($A14="","",IF($H14&lt;&gt;"",$H14,IF($N14="","",IFERROR(INDEX($H$5:$H$204,MATCH($N14,$A$5:$A$204,0)),""))))</f>
        <v>CONGELE</v>
      </c>
      <c r="T14" s="26" t="str">
        <f aca="false">IF($A14="","",IF($F14&lt;&gt;"",$F14,IF($N14="","",IFERROR(INDEX($F$5:$F$204,MATCH($N14,$A$5:$A$204,0)),""))))</f>
        <v>44222-D-3</v>
      </c>
      <c r="U14" s="27" t="n">
        <f aca="false">IF($A14="","",SUMIFS(MVT_NET,MVT_LOT,$A14))</f>
        <v>590</v>
      </c>
      <c r="V14" s="28" t="n">
        <f aca="false">IF($A14="","",COUNTIFS(MVT_LOT,$A14,MVT_BRUT,"&lt;&gt;0"))</f>
        <v>1</v>
      </c>
      <c r="W14" s="28" t="n">
        <f aca="false">IF($A14="","",COUNTIFS(QC_LOT,$A14))</f>
        <v>0</v>
      </c>
      <c r="X14" s="26" t="str">
        <f aca="false">IF($A14="","",IFERROR(INDEX(QC_DEC,MATCH($A14,QC_CLEDER,0)),""))</f>
        <v/>
      </c>
      <c r="Y14" s="26" t="str">
        <f aca="false">IF($A14="","",IF(COUNTIF($A$5:$A$204,$A14)&gt;1,IF(SUMPRODUCT(($A$5:$A$204=$A14)*(($C$5:$C$204&lt;&gt;$C14)+($D$5:$D$204&lt;&gt;$D14)))&gt;0,"INCOHERENCE","LOT EN DOUBLE"),"OK"))</f>
        <v>OK</v>
      </c>
      <c r="Z14" s="28" t="n">
        <f aca="false">IF($A14="",0,IF(AND($O14&lt;&gt;"",$A14&lt;&gt;R_LOT,$O14=IFERROR(INDEX(LOT_EXTE,MATCH(R_LOT,LOT_KEY,0)),"#")),1,0))</f>
        <v>0</v>
      </c>
      <c r="AA14" s="26" t="str">
        <f aca="false">IF($Z14=0,"",COUNTIF($Z$5:$Z14,1))</f>
        <v/>
      </c>
    </row>
    <row r="15" customFormat="false" ht="15" hidden="false" customHeight="false" outlineLevel="0" collapsed="false">
      <c r="A15" s="24"/>
      <c r="B15" s="24"/>
      <c r="C15" s="24"/>
      <c r="D15" s="24"/>
      <c r="E15" s="24"/>
      <c r="F15" s="24"/>
      <c r="G15" s="24"/>
      <c r="H15" s="24"/>
      <c r="I15" s="24"/>
      <c r="J15" s="24"/>
      <c r="K15" s="25"/>
      <c r="L15" s="24"/>
      <c r="M15" s="24"/>
      <c r="N15" s="26" t="str">
        <f aca="false">IF($A15="","",IF($L15&lt;&gt;"",$L15,IF(IFERROR(INDEX(RES_LOTSRC,MATCH($A15,RES_LOTEFF,0)),"")=$A15,"",IFERROR(INDEX(RES_LOTSRC,MATCH($A15,RES_LOTEFF,0)),""))))</f>
        <v/>
      </c>
      <c r="O15" s="26" t="str">
        <f aca="false">IF($A15="","",IF($B15&lt;&gt;"",$B15,IF($N15="","",IFERROR(INDEX($B$5:$B$204,MATCH($N15,$A$5:$A$204,0)),""))))</f>
        <v/>
      </c>
      <c r="P15" s="26" t="str">
        <f aca="false">IF($A15="","",IF($C15&lt;&gt;"",$C15,IF($N15="","",IFERROR(INDEX($C$5:$C$204,MATCH($N15,$A$5:$A$204,0)),""))))</f>
        <v/>
      </c>
      <c r="Q15" s="26" t="str">
        <f aca="false">IF($A15="","",IF($D15&lt;&gt;"",$D15,IF($N15="","",IFERROR(INDEX($D$5:$D$204,MATCH($N15,$A$5:$A$204,0)),""))))</f>
        <v/>
      </c>
      <c r="R15" s="26" t="str">
        <f aca="false">IF($A15="","",IF($E15&lt;&gt;"",$E15,IF($N15="","",IFERROR(INDEX($E$5:$E$204,MATCH($N15,$A$5:$A$204,0)),""))))</f>
        <v/>
      </c>
      <c r="S15" s="26" t="str">
        <f aca="false">IF($A15="","",IF($H15&lt;&gt;"",$H15,IF($N15="","",IFERROR(INDEX($H$5:$H$204,MATCH($N15,$A$5:$A$204,0)),""))))</f>
        <v/>
      </c>
      <c r="T15" s="26" t="str">
        <f aca="false">IF($A15="","",IF($F15&lt;&gt;"",$F15,IF($N15="","",IFERROR(INDEX($F$5:$F$204,MATCH($N15,$A$5:$A$204,0)),""))))</f>
        <v/>
      </c>
      <c r="U15" s="27" t="str">
        <f aca="false">IF($A15="","",SUMIFS(MVT_NET,MVT_LOT,$A15))</f>
        <v/>
      </c>
      <c r="V15" s="28" t="str">
        <f aca="false">IF($A15="","",COUNTIFS(MVT_LOT,$A15,MVT_BRUT,"&lt;&gt;0"))</f>
        <v/>
      </c>
      <c r="W15" s="28" t="str">
        <f aca="false">IF($A15="","",COUNTIFS(QC_LOT,$A15))</f>
        <v/>
      </c>
      <c r="X15" s="26" t="str">
        <f aca="false">IF($A15="","",IFERROR(INDEX(QC_DEC,MATCH($A15,QC_CLEDER,0)),""))</f>
        <v/>
      </c>
      <c r="Y15" s="26" t="str">
        <f aca="false">IF($A15="","",IF(COUNTIF($A$5:$A$204,$A15)&gt;1,IF(SUMPRODUCT(($A$5:$A$204=$A15)*(($C$5:$C$204&lt;&gt;$C15)+($D$5:$D$204&lt;&gt;$D15)))&gt;0,"INCOHERENCE","LOT EN DOUBLE"),"OK"))</f>
        <v/>
      </c>
      <c r="Z15" s="28" t="n">
        <f aca="false">IF($A15="",0,IF(AND($O15&lt;&gt;"",$A15&lt;&gt;R_LOT,$O15=IFERROR(INDEX(LOT_EXTE,MATCH(R_LOT,LOT_KEY,0)),"#")),1,0))</f>
        <v>0</v>
      </c>
      <c r="AA15" s="26" t="str">
        <f aca="false">IF($Z15=0,"",COUNTIF($Z$5:$Z15,1))</f>
        <v/>
      </c>
    </row>
    <row r="16" customFormat="false" ht="15" hidden="false" customHeight="false" outlineLevel="0" collapsed="false">
      <c r="A16" s="24"/>
      <c r="B16" s="24"/>
      <c r="C16" s="24"/>
      <c r="D16" s="24"/>
      <c r="E16" s="24"/>
      <c r="F16" s="24"/>
      <c r="G16" s="24"/>
      <c r="H16" s="24"/>
      <c r="I16" s="24"/>
      <c r="J16" s="24"/>
      <c r="K16" s="25"/>
      <c r="L16" s="24"/>
      <c r="M16" s="24"/>
      <c r="N16" s="26" t="str">
        <f aca="false">IF($A16="","",IF($L16&lt;&gt;"",$L16,IF(IFERROR(INDEX(RES_LOTSRC,MATCH($A16,RES_LOTEFF,0)),"")=$A16,"",IFERROR(INDEX(RES_LOTSRC,MATCH($A16,RES_LOTEFF,0)),""))))</f>
        <v/>
      </c>
      <c r="O16" s="26" t="str">
        <f aca="false">IF($A16="","",IF($B16&lt;&gt;"",$B16,IF($N16="","",IFERROR(INDEX($B$5:$B$204,MATCH($N16,$A$5:$A$204,0)),""))))</f>
        <v/>
      </c>
      <c r="P16" s="26" t="str">
        <f aca="false">IF($A16="","",IF($C16&lt;&gt;"",$C16,IF($N16="","",IFERROR(INDEX($C$5:$C$204,MATCH($N16,$A$5:$A$204,0)),""))))</f>
        <v/>
      </c>
      <c r="Q16" s="26" t="str">
        <f aca="false">IF($A16="","",IF($D16&lt;&gt;"",$D16,IF($N16="","",IFERROR(INDEX($D$5:$D$204,MATCH($N16,$A$5:$A$204,0)),""))))</f>
        <v/>
      </c>
      <c r="R16" s="26" t="str">
        <f aca="false">IF($A16="","",IF($E16&lt;&gt;"",$E16,IF($N16="","",IFERROR(INDEX($E$5:$E$204,MATCH($N16,$A$5:$A$204,0)),""))))</f>
        <v/>
      </c>
      <c r="S16" s="26" t="str">
        <f aca="false">IF($A16="","",IF($H16&lt;&gt;"",$H16,IF($N16="","",IFERROR(INDEX($H$5:$H$204,MATCH($N16,$A$5:$A$204,0)),""))))</f>
        <v/>
      </c>
      <c r="T16" s="26" t="str">
        <f aca="false">IF($A16="","",IF($F16&lt;&gt;"",$F16,IF($N16="","",IFERROR(INDEX($F$5:$F$204,MATCH($N16,$A$5:$A$204,0)),""))))</f>
        <v/>
      </c>
      <c r="U16" s="27" t="str">
        <f aca="false">IF($A16="","",SUMIFS(MVT_NET,MVT_LOT,$A16))</f>
        <v/>
      </c>
      <c r="V16" s="28" t="str">
        <f aca="false">IF($A16="","",COUNTIFS(MVT_LOT,$A16,MVT_BRUT,"&lt;&gt;0"))</f>
        <v/>
      </c>
      <c r="W16" s="28" t="str">
        <f aca="false">IF($A16="","",COUNTIFS(QC_LOT,$A16))</f>
        <v/>
      </c>
      <c r="X16" s="26" t="str">
        <f aca="false">IF($A16="","",IFERROR(INDEX(QC_DEC,MATCH($A16,QC_CLEDER,0)),""))</f>
        <v/>
      </c>
      <c r="Y16" s="26" t="str">
        <f aca="false">IF($A16="","",IF(COUNTIF($A$5:$A$204,$A16)&gt;1,IF(SUMPRODUCT(($A$5:$A$204=$A16)*(($C$5:$C$204&lt;&gt;$C16)+($D$5:$D$204&lt;&gt;$D16)))&gt;0,"INCOHERENCE","LOT EN DOUBLE"),"OK"))</f>
        <v/>
      </c>
      <c r="Z16" s="28" t="n">
        <f aca="false">IF($A16="",0,IF(AND($O16&lt;&gt;"",$A16&lt;&gt;R_LOT,$O16=IFERROR(INDEX(LOT_EXTE,MATCH(R_LOT,LOT_KEY,0)),"#")),1,0))</f>
        <v>0</v>
      </c>
      <c r="AA16" s="26" t="str">
        <f aca="false">IF($Z16=0,"",COUNTIF($Z$5:$Z16,1))</f>
        <v/>
      </c>
    </row>
    <row r="17" customFormat="false" ht="15" hidden="false" customHeight="false" outlineLevel="0" collapsed="false">
      <c r="A17" s="24"/>
      <c r="B17" s="24"/>
      <c r="C17" s="24"/>
      <c r="D17" s="24"/>
      <c r="E17" s="24"/>
      <c r="F17" s="24"/>
      <c r="G17" s="24"/>
      <c r="H17" s="24"/>
      <c r="I17" s="24"/>
      <c r="J17" s="24"/>
      <c r="K17" s="25"/>
      <c r="L17" s="24"/>
      <c r="M17" s="24"/>
      <c r="N17" s="26" t="str">
        <f aca="false">IF($A17="","",IF($L17&lt;&gt;"",$L17,IF(IFERROR(INDEX(RES_LOTSRC,MATCH($A17,RES_LOTEFF,0)),"")=$A17,"",IFERROR(INDEX(RES_LOTSRC,MATCH($A17,RES_LOTEFF,0)),""))))</f>
        <v/>
      </c>
      <c r="O17" s="26" t="str">
        <f aca="false">IF($A17="","",IF($B17&lt;&gt;"",$B17,IF($N17="","",IFERROR(INDEX($B$5:$B$204,MATCH($N17,$A$5:$A$204,0)),""))))</f>
        <v/>
      </c>
      <c r="P17" s="26" t="str">
        <f aca="false">IF($A17="","",IF($C17&lt;&gt;"",$C17,IF($N17="","",IFERROR(INDEX($C$5:$C$204,MATCH($N17,$A$5:$A$204,0)),""))))</f>
        <v/>
      </c>
      <c r="Q17" s="26" t="str">
        <f aca="false">IF($A17="","",IF($D17&lt;&gt;"",$D17,IF($N17="","",IFERROR(INDEX($D$5:$D$204,MATCH($N17,$A$5:$A$204,0)),""))))</f>
        <v/>
      </c>
      <c r="R17" s="26" t="str">
        <f aca="false">IF($A17="","",IF($E17&lt;&gt;"",$E17,IF($N17="","",IFERROR(INDEX($E$5:$E$204,MATCH($N17,$A$5:$A$204,0)),""))))</f>
        <v/>
      </c>
      <c r="S17" s="26" t="str">
        <f aca="false">IF($A17="","",IF($H17&lt;&gt;"",$H17,IF($N17="","",IFERROR(INDEX($H$5:$H$204,MATCH($N17,$A$5:$A$204,0)),""))))</f>
        <v/>
      </c>
      <c r="T17" s="26" t="str">
        <f aca="false">IF($A17="","",IF($F17&lt;&gt;"",$F17,IF($N17="","",IFERROR(INDEX($F$5:$F$204,MATCH($N17,$A$5:$A$204,0)),""))))</f>
        <v/>
      </c>
      <c r="U17" s="27" t="str">
        <f aca="false">IF($A17="","",SUMIFS(MVT_NET,MVT_LOT,$A17))</f>
        <v/>
      </c>
      <c r="V17" s="28" t="str">
        <f aca="false">IF($A17="","",COUNTIFS(MVT_LOT,$A17,MVT_BRUT,"&lt;&gt;0"))</f>
        <v/>
      </c>
      <c r="W17" s="28" t="str">
        <f aca="false">IF($A17="","",COUNTIFS(QC_LOT,$A17))</f>
        <v/>
      </c>
      <c r="X17" s="26" t="str">
        <f aca="false">IF($A17="","",IFERROR(INDEX(QC_DEC,MATCH($A17,QC_CLEDER,0)),""))</f>
        <v/>
      </c>
      <c r="Y17" s="26" t="str">
        <f aca="false">IF($A17="","",IF(COUNTIF($A$5:$A$204,$A17)&gt;1,IF(SUMPRODUCT(($A$5:$A$204=$A17)*(($C$5:$C$204&lt;&gt;$C17)+($D$5:$D$204&lt;&gt;$D17)))&gt;0,"INCOHERENCE","LOT EN DOUBLE"),"OK"))</f>
        <v/>
      </c>
      <c r="Z17" s="28" t="n">
        <f aca="false">IF($A17="",0,IF(AND($O17&lt;&gt;"",$A17&lt;&gt;R_LOT,$O17=IFERROR(INDEX(LOT_EXTE,MATCH(R_LOT,LOT_KEY,0)),"#")),1,0))</f>
        <v>0</v>
      </c>
      <c r="AA17" s="26" t="str">
        <f aca="false">IF($Z17=0,"",COUNTIF($Z$5:$Z17,1))</f>
        <v/>
      </c>
    </row>
    <row r="18" customFormat="false" ht="15" hidden="false" customHeight="false" outlineLevel="0" collapsed="false">
      <c r="A18" s="24"/>
      <c r="B18" s="24"/>
      <c r="C18" s="24"/>
      <c r="D18" s="24"/>
      <c r="E18" s="24"/>
      <c r="F18" s="24"/>
      <c r="G18" s="24"/>
      <c r="H18" s="24"/>
      <c r="I18" s="24"/>
      <c r="J18" s="24"/>
      <c r="K18" s="25"/>
      <c r="L18" s="24"/>
      <c r="M18" s="24"/>
      <c r="N18" s="26" t="str">
        <f aca="false">IF($A18="","",IF($L18&lt;&gt;"",$L18,IF(IFERROR(INDEX(RES_LOTSRC,MATCH($A18,RES_LOTEFF,0)),"")=$A18,"",IFERROR(INDEX(RES_LOTSRC,MATCH($A18,RES_LOTEFF,0)),""))))</f>
        <v/>
      </c>
      <c r="O18" s="26" t="str">
        <f aca="false">IF($A18="","",IF($B18&lt;&gt;"",$B18,IF($N18="","",IFERROR(INDEX($B$5:$B$204,MATCH($N18,$A$5:$A$204,0)),""))))</f>
        <v/>
      </c>
      <c r="P18" s="26" t="str">
        <f aca="false">IF($A18="","",IF($C18&lt;&gt;"",$C18,IF($N18="","",IFERROR(INDEX($C$5:$C$204,MATCH($N18,$A$5:$A$204,0)),""))))</f>
        <v/>
      </c>
      <c r="Q18" s="26" t="str">
        <f aca="false">IF($A18="","",IF($D18&lt;&gt;"",$D18,IF($N18="","",IFERROR(INDEX($D$5:$D$204,MATCH($N18,$A$5:$A$204,0)),""))))</f>
        <v/>
      </c>
      <c r="R18" s="26" t="str">
        <f aca="false">IF($A18="","",IF($E18&lt;&gt;"",$E18,IF($N18="","",IFERROR(INDEX($E$5:$E$204,MATCH($N18,$A$5:$A$204,0)),""))))</f>
        <v/>
      </c>
      <c r="S18" s="26" t="str">
        <f aca="false">IF($A18="","",IF($H18&lt;&gt;"",$H18,IF($N18="","",IFERROR(INDEX($H$5:$H$204,MATCH($N18,$A$5:$A$204,0)),""))))</f>
        <v/>
      </c>
      <c r="T18" s="26" t="str">
        <f aca="false">IF($A18="","",IF($F18&lt;&gt;"",$F18,IF($N18="","",IFERROR(INDEX($F$5:$F$204,MATCH($N18,$A$5:$A$204,0)),""))))</f>
        <v/>
      </c>
      <c r="U18" s="27" t="str">
        <f aca="false">IF($A18="","",SUMIFS(MVT_NET,MVT_LOT,$A18))</f>
        <v/>
      </c>
      <c r="V18" s="28" t="str">
        <f aca="false">IF($A18="","",COUNTIFS(MVT_LOT,$A18,MVT_BRUT,"&lt;&gt;0"))</f>
        <v/>
      </c>
      <c r="W18" s="28" t="str">
        <f aca="false">IF($A18="","",COUNTIFS(QC_LOT,$A18))</f>
        <v/>
      </c>
      <c r="X18" s="26" t="str">
        <f aca="false">IF($A18="","",IFERROR(INDEX(QC_DEC,MATCH($A18,QC_CLEDER,0)),""))</f>
        <v/>
      </c>
      <c r="Y18" s="26" t="str">
        <f aca="false">IF($A18="","",IF(COUNTIF($A$5:$A$204,$A18)&gt;1,IF(SUMPRODUCT(($A$5:$A$204=$A18)*(($C$5:$C$204&lt;&gt;$C18)+($D$5:$D$204&lt;&gt;$D18)))&gt;0,"INCOHERENCE","LOT EN DOUBLE"),"OK"))</f>
        <v/>
      </c>
      <c r="Z18" s="28" t="n">
        <f aca="false">IF($A18="",0,IF(AND($O18&lt;&gt;"",$A18&lt;&gt;R_LOT,$O18=IFERROR(INDEX(LOT_EXTE,MATCH(R_LOT,LOT_KEY,0)),"#")),1,0))</f>
        <v>0</v>
      </c>
      <c r="AA18" s="26" t="str">
        <f aca="false">IF($Z18=0,"",COUNTIF($Z$5:$Z18,1))</f>
        <v/>
      </c>
    </row>
    <row r="19" customFormat="false" ht="15" hidden="false" customHeight="false" outlineLevel="0" collapsed="false">
      <c r="A19" s="24"/>
      <c r="B19" s="24"/>
      <c r="C19" s="24"/>
      <c r="D19" s="24"/>
      <c r="E19" s="24"/>
      <c r="F19" s="24"/>
      <c r="G19" s="24"/>
      <c r="H19" s="24"/>
      <c r="I19" s="24"/>
      <c r="J19" s="24"/>
      <c r="K19" s="25"/>
      <c r="L19" s="24"/>
      <c r="M19" s="24"/>
      <c r="N19" s="26" t="str">
        <f aca="false">IF($A19="","",IF($L19&lt;&gt;"",$L19,IF(IFERROR(INDEX(RES_LOTSRC,MATCH($A19,RES_LOTEFF,0)),"")=$A19,"",IFERROR(INDEX(RES_LOTSRC,MATCH($A19,RES_LOTEFF,0)),""))))</f>
        <v/>
      </c>
      <c r="O19" s="26" t="str">
        <f aca="false">IF($A19="","",IF($B19&lt;&gt;"",$B19,IF($N19="","",IFERROR(INDEX($B$5:$B$204,MATCH($N19,$A$5:$A$204,0)),""))))</f>
        <v/>
      </c>
      <c r="P19" s="26" t="str">
        <f aca="false">IF($A19="","",IF($C19&lt;&gt;"",$C19,IF($N19="","",IFERROR(INDEX($C$5:$C$204,MATCH($N19,$A$5:$A$204,0)),""))))</f>
        <v/>
      </c>
      <c r="Q19" s="26" t="str">
        <f aca="false">IF($A19="","",IF($D19&lt;&gt;"",$D19,IF($N19="","",IFERROR(INDEX($D$5:$D$204,MATCH($N19,$A$5:$A$204,0)),""))))</f>
        <v/>
      </c>
      <c r="R19" s="26" t="str">
        <f aca="false">IF($A19="","",IF($E19&lt;&gt;"",$E19,IF($N19="","",IFERROR(INDEX($E$5:$E$204,MATCH($N19,$A$5:$A$204,0)),""))))</f>
        <v/>
      </c>
      <c r="S19" s="26" t="str">
        <f aca="false">IF($A19="","",IF($H19&lt;&gt;"",$H19,IF($N19="","",IFERROR(INDEX($H$5:$H$204,MATCH($N19,$A$5:$A$204,0)),""))))</f>
        <v/>
      </c>
      <c r="T19" s="26" t="str">
        <f aca="false">IF($A19="","",IF($F19&lt;&gt;"",$F19,IF($N19="","",IFERROR(INDEX($F$5:$F$204,MATCH($N19,$A$5:$A$204,0)),""))))</f>
        <v/>
      </c>
      <c r="U19" s="27" t="str">
        <f aca="false">IF($A19="","",SUMIFS(MVT_NET,MVT_LOT,$A19))</f>
        <v/>
      </c>
      <c r="V19" s="28" t="str">
        <f aca="false">IF($A19="","",COUNTIFS(MVT_LOT,$A19,MVT_BRUT,"&lt;&gt;0"))</f>
        <v/>
      </c>
      <c r="W19" s="28" t="str">
        <f aca="false">IF($A19="","",COUNTIFS(QC_LOT,$A19))</f>
        <v/>
      </c>
      <c r="X19" s="26" t="str">
        <f aca="false">IF($A19="","",IFERROR(INDEX(QC_DEC,MATCH($A19,QC_CLEDER,0)),""))</f>
        <v/>
      </c>
      <c r="Y19" s="26" t="str">
        <f aca="false">IF($A19="","",IF(COUNTIF($A$5:$A$204,$A19)&gt;1,IF(SUMPRODUCT(($A$5:$A$204=$A19)*(($C$5:$C$204&lt;&gt;$C19)+($D$5:$D$204&lt;&gt;$D19)))&gt;0,"INCOHERENCE","LOT EN DOUBLE"),"OK"))</f>
        <v/>
      </c>
      <c r="Z19" s="28" t="n">
        <f aca="false">IF($A19="",0,IF(AND($O19&lt;&gt;"",$A19&lt;&gt;R_LOT,$O19=IFERROR(INDEX(LOT_EXTE,MATCH(R_LOT,LOT_KEY,0)),"#")),1,0))</f>
        <v>0</v>
      </c>
      <c r="AA19" s="26" t="str">
        <f aca="false">IF($Z19=0,"",COUNTIF($Z$5:$Z19,1))</f>
        <v/>
      </c>
    </row>
    <row r="20" customFormat="false" ht="15" hidden="false" customHeight="false" outlineLevel="0" collapsed="false">
      <c r="A20" s="24"/>
      <c r="B20" s="24"/>
      <c r="C20" s="24"/>
      <c r="D20" s="24"/>
      <c r="E20" s="24"/>
      <c r="F20" s="24"/>
      <c r="G20" s="24"/>
      <c r="H20" s="24"/>
      <c r="I20" s="24"/>
      <c r="J20" s="24"/>
      <c r="K20" s="25"/>
      <c r="L20" s="24"/>
      <c r="M20" s="24"/>
      <c r="N20" s="26" t="str">
        <f aca="false">IF($A20="","",IF($L20&lt;&gt;"",$L20,IF(IFERROR(INDEX(RES_LOTSRC,MATCH($A20,RES_LOTEFF,0)),"")=$A20,"",IFERROR(INDEX(RES_LOTSRC,MATCH($A20,RES_LOTEFF,0)),""))))</f>
        <v/>
      </c>
      <c r="O20" s="26" t="str">
        <f aca="false">IF($A20="","",IF($B20&lt;&gt;"",$B20,IF($N20="","",IFERROR(INDEX($B$5:$B$204,MATCH($N20,$A$5:$A$204,0)),""))))</f>
        <v/>
      </c>
      <c r="P20" s="26" t="str">
        <f aca="false">IF($A20="","",IF($C20&lt;&gt;"",$C20,IF($N20="","",IFERROR(INDEX($C$5:$C$204,MATCH($N20,$A$5:$A$204,0)),""))))</f>
        <v/>
      </c>
      <c r="Q20" s="26" t="str">
        <f aca="false">IF($A20="","",IF($D20&lt;&gt;"",$D20,IF($N20="","",IFERROR(INDEX($D$5:$D$204,MATCH($N20,$A$5:$A$204,0)),""))))</f>
        <v/>
      </c>
      <c r="R20" s="26" t="str">
        <f aca="false">IF($A20="","",IF($E20&lt;&gt;"",$E20,IF($N20="","",IFERROR(INDEX($E$5:$E$204,MATCH($N20,$A$5:$A$204,0)),""))))</f>
        <v/>
      </c>
      <c r="S20" s="26" t="str">
        <f aca="false">IF($A20="","",IF($H20&lt;&gt;"",$H20,IF($N20="","",IFERROR(INDEX($H$5:$H$204,MATCH($N20,$A$5:$A$204,0)),""))))</f>
        <v/>
      </c>
      <c r="T20" s="26" t="str">
        <f aca="false">IF($A20="","",IF($F20&lt;&gt;"",$F20,IF($N20="","",IFERROR(INDEX($F$5:$F$204,MATCH($N20,$A$5:$A$204,0)),""))))</f>
        <v/>
      </c>
      <c r="U20" s="27" t="str">
        <f aca="false">IF($A20="","",SUMIFS(MVT_NET,MVT_LOT,$A20))</f>
        <v/>
      </c>
      <c r="V20" s="28" t="str">
        <f aca="false">IF($A20="","",COUNTIFS(MVT_LOT,$A20,MVT_BRUT,"&lt;&gt;0"))</f>
        <v/>
      </c>
      <c r="W20" s="28" t="str">
        <f aca="false">IF($A20="","",COUNTIFS(QC_LOT,$A20))</f>
        <v/>
      </c>
      <c r="X20" s="26" t="str">
        <f aca="false">IF($A20="","",IFERROR(INDEX(QC_DEC,MATCH($A20,QC_CLEDER,0)),""))</f>
        <v/>
      </c>
      <c r="Y20" s="26" t="str">
        <f aca="false">IF($A20="","",IF(COUNTIF($A$5:$A$204,$A20)&gt;1,IF(SUMPRODUCT(($A$5:$A$204=$A20)*(($C$5:$C$204&lt;&gt;$C20)+($D$5:$D$204&lt;&gt;$D20)))&gt;0,"INCOHERENCE","LOT EN DOUBLE"),"OK"))</f>
        <v/>
      </c>
      <c r="Z20" s="28" t="n">
        <f aca="false">IF($A20="",0,IF(AND($O20&lt;&gt;"",$A20&lt;&gt;R_LOT,$O20=IFERROR(INDEX(LOT_EXTE,MATCH(R_LOT,LOT_KEY,0)),"#")),1,0))</f>
        <v>0</v>
      </c>
      <c r="AA20" s="26" t="str">
        <f aca="false">IF($Z20=0,"",COUNTIF($Z$5:$Z20,1))</f>
        <v/>
      </c>
    </row>
    <row r="21" customFormat="false" ht="15" hidden="false" customHeight="false" outlineLevel="0" collapsed="false">
      <c r="A21" s="24"/>
      <c r="B21" s="24"/>
      <c r="C21" s="24"/>
      <c r="D21" s="24"/>
      <c r="E21" s="24"/>
      <c r="F21" s="24"/>
      <c r="G21" s="24"/>
      <c r="H21" s="24"/>
      <c r="I21" s="24"/>
      <c r="J21" s="24"/>
      <c r="K21" s="25"/>
      <c r="L21" s="24"/>
      <c r="M21" s="24"/>
      <c r="N21" s="26" t="str">
        <f aca="false">IF($A21="","",IF($L21&lt;&gt;"",$L21,IF(IFERROR(INDEX(RES_LOTSRC,MATCH($A21,RES_LOTEFF,0)),"")=$A21,"",IFERROR(INDEX(RES_LOTSRC,MATCH($A21,RES_LOTEFF,0)),""))))</f>
        <v/>
      </c>
      <c r="O21" s="26" t="str">
        <f aca="false">IF($A21="","",IF($B21&lt;&gt;"",$B21,IF($N21="","",IFERROR(INDEX($B$5:$B$204,MATCH($N21,$A$5:$A$204,0)),""))))</f>
        <v/>
      </c>
      <c r="P21" s="26" t="str">
        <f aca="false">IF($A21="","",IF($C21&lt;&gt;"",$C21,IF($N21="","",IFERROR(INDEX($C$5:$C$204,MATCH($N21,$A$5:$A$204,0)),""))))</f>
        <v/>
      </c>
      <c r="Q21" s="26" t="str">
        <f aca="false">IF($A21="","",IF($D21&lt;&gt;"",$D21,IF($N21="","",IFERROR(INDEX($D$5:$D$204,MATCH($N21,$A$5:$A$204,0)),""))))</f>
        <v/>
      </c>
      <c r="R21" s="26" t="str">
        <f aca="false">IF($A21="","",IF($E21&lt;&gt;"",$E21,IF($N21="","",IFERROR(INDEX($E$5:$E$204,MATCH($N21,$A$5:$A$204,0)),""))))</f>
        <v/>
      </c>
      <c r="S21" s="26" t="str">
        <f aca="false">IF($A21="","",IF($H21&lt;&gt;"",$H21,IF($N21="","",IFERROR(INDEX($H$5:$H$204,MATCH($N21,$A$5:$A$204,0)),""))))</f>
        <v/>
      </c>
      <c r="T21" s="26" t="str">
        <f aca="false">IF($A21="","",IF($F21&lt;&gt;"",$F21,IF($N21="","",IFERROR(INDEX($F$5:$F$204,MATCH($N21,$A$5:$A$204,0)),""))))</f>
        <v/>
      </c>
      <c r="U21" s="27" t="str">
        <f aca="false">IF($A21="","",SUMIFS(MVT_NET,MVT_LOT,$A21))</f>
        <v/>
      </c>
      <c r="V21" s="28" t="str">
        <f aca="false">IF($A21="","",COUNTIFS(MVT_LOT,$A21,MVT_BRUT,"&lt;&gt;0"))</f>
        <v/>
      </c>
      <c r="W21" s="28" t="str">
        <f aca="false">IF($A21="","",COUNTIFS(QC_LOT,$A21))</f>
        <v/>
      </c>
      <c r="X21" s="26" t="str">
        <f aca="false">IF($A21="","",IFERROR(INDEX(QC_DEC,MATCH($A21,QC_CLEDER,0)),""))</f>
        <v/>
      </c>
      <c r="Y21" s="26" t="str">
        <f aca="false">IF($A21="","",IF(COUNTIF($A$5:$A$204,$A21)&gt;1,IF(SUMPRODUCT(($A$5:$A$204=$A21)*(($C$5:$C$204&lt;&gt;$C21)+($D$5:$D$204&lt;&gt;$D21)))&gt;0,"INCOHERENCE","LOT EN DOUBLE"),"OK"))</f>
        <v/>
      </c>
      <c r="Z21" s="28" t="n">
        <f aca="false">IF($A21="",0,IF(AND($O21&lt;&gt;"",$A21&lt;&gt;R_LOT,$O21=IFERROR(INDEX(LOT_EXTE,MATCH(R_LOT,LOT_KEY,0)),"#")),1,0))</f>
        <v>0</v>
      </c>
      <c r="AA21" s="26" t="str">
        <f aca="false">IF($Z21=0,"",COUNTIF($Z$5:$Z21,1))</f>
        <v/>
      </c>
    </row>
    <row r="22" customFormat="false" ht="15" hidden="false" customHeight="false" outlineLevel="0" collapsed="false">
      <c r="A22" s="24"/>
      <c r="B22" s="24"/>
      <c r="C22" s="24"/>
      <c r="D22" s="24"/>
      <c r="E22" s="24"/>
      <c r="F22" s="24"/>
      <c r="G22" s="24"/>
      <c r="H22" s="24"/>
      <c r="I22" s="24"/>
      <c r="J22" s="24"/>
      <c r="K22" s="25"/>
      <c r="L22" s="24"/>
      <c r="M22" s="24"/>
      <c r="N22" s="26" t="str">
        <f aca="false">IF($A22="","",IF($L22&lt;&gt;"",$L22,IF(IFERROR(INDEX(RES_LOTSRC,MATCH($A22,RES_LOTEFF,0)),"")=$A22,"",IFERROR(INDEX(RES_LOTSRC,MATCH($A22,RES_LOTEFF,0)),""))))</f>
        <v/>
      </c>
      <c r="O22" s="26" t="str">
        <f aca="false">IF($A22="","",IF($B22&lt;&gt;"",$B22,IF($N22="","",IFERROR(INDEX($B$5:$B$204,MATCH($N22,$A$5:$A$204,0)),""))))</f>
        <v/>
      </c>
      <c r="P22" s="26" t="str">
        <f aca="false">IF($A22="","",IF($C22&lt;&gt;"",$C22,IF($N22="","",IFERROR(INDEX($C$5:$C$204,MATCH($N22,$A$5:$A$204,0)),""))))</f>
        <v/>
      </c>
      <c r="Q22" s="26" t="str">
        <f aca="false">IF($A22="","",IF($D22&lt;&gt;"",$D22,IF($N22="","",IFERROR(INDEX($D$5:$D$204,MATCH($N22,$A$5:$A$204,0)),""))))</f>
        <v/>
      </c>
      <c r="R22" s="26" t="str">
        <f aca="false">IF($A22="","",IF($E22&lt;&gt;"",$E22,IF($N22="","",IFERROR(INDEX($E$5:$E$204,MATCH($N22,$A$5:$A$204,0)),""))))</f>
        <v/>
      </c>
      <c r="S22" s="26" t="str">
        <f aca="false">IF($A22="","",IF($H22&lt;&gt;"",$H22,IF($N22="","",IFERROR(INDEX($H$5:$H$204,MATCH($N22,$A$5:$A$204,0)),""))))</f>
        <v/>
      </c>
      <c r="T22" s="26" t="str">
        <f aca="false">IF($A22="","",IF($F22&lt;&gt;"",$F22,IF($N22="","",IFERROR(INDEX($F$5:$F$204,MATCH($N22,$A$5:$A$204,0)),""))))</f>
        <v/>
      </c>
      <c r="U22" s="27" t="str">
        <f aca="false">IF($A22="","",SUMIFS(MVT_NET,MVT_LOT,$A22))</f>
        <v/>
      </c>
      <c r="V22" s="28" t="str">
        <f aca="false">IF($A22="","",COUNTIFS(MVT_LOT,$A22,MVT_BRUT,"&lt;&gt;0"))</f>
        <v/>
      </c>
      <c r="W22" s="28" t="str">
        <f aca="false">IF($A22="","",COUNTIFS(QC_LOT,$A22))</f>
        <v/>
      </c>
      <c r="X22" s="26" t="str">
        <f aca="false">IF($A22="","",IFERROR(INDEX(QC_DEC,MATCH($A22,QC_CLEDER,0)),""))</f>
        <v/>
      </c>
      <c r="Y22" s="26" t="str">
        <f aca="false">IF($A22="","",IF(COUNTIF($A$5:$A$204,$A22)&gt;1,IF(SUMPRODUCT(($A$5:$A$204=$A22)*(($C$5:$C$204&lt;&gt;$C22)+($D$5:$D$204&lt;&gt;$D22)))&gt;0,"INCOHERENCE","LOT EN DOUBLE"),"OK"))</f>
        <v/>
      </c>
      <c r="Z22" s="28" t="n">
        <f aca="false">IF($A22="",0,IF(AND($O22&lt;&gt;"",$A22&lt;&gt;R_LOT,$O22=IFERROR(INDEX(LOT_EXTE,MATCH(R_LOT,LOT_KEY,0)),"#")),1,0))</f>
        <v>0</v>
      </c>
      <c r="AA22" s="26" t="str">
        <f aca="false">IF($Z22=0,"",COUNTIF($Z$5:$Z22,1))</f>
        <v/>
      </c>
    </row>
    <row r="23" customFormat="false" ht="15" hidden="false" customHeight="false" outlineLevel="0" collapsed="false">
      <c r="A23" s="24"/>
      <c r="B23" s="24"/>
      <c r="C23" s="24"/>
      <c r="D23" s="24"/>
      <c r="E23" s="24"/>
      <c r="F23" s="24"/>
      <c r="G23" s="24"/>
      <c r="H23" s="24"/>
      <c r="I23" s="24"/>
      <c r="J23" s="24"/>
      <c r="K23" s="25"/>
      <c r="L23" s="24"/>
      <c r="M23" s="24"/>
      <c r="N23" s="26" t="str">
        <f aca="false">IF($A23="","",IF($L23&lt;&gt;"",$L23,IF(IFERROR(INDEX(RES_LOTSRC,MATCH($A23,RES_LOTEFF,0)),"")=$A23,"",IFERROR(INDEX(RES_LOTSRC,MATCH($A23,RES_LOTEFF,0)),""))))</f>
        <v/>
      </c>
      <c r="O23" s="26" t="str">
        <f aca="false">IF($A23="","",IF($B23&lt;&gt;"",$B23,IF($N23="","",IFERROR(INDEX($B$5:$B$204,MATCH($N23,$A$5:$A$204,0)),""))))</f>
        <v/>
      </c>
      <c r="P23" s="26" t="str">
        <f aca="false">IF($A23="","",IF($C23&lt;&gt;"",$C23,IF($N23="","",IFERROR(INDEX($C$5:$C$204,MATCH($N23,$A$5:$A$204,0)),""))))</f>
        <v/>
      </c>
      <c r="Q23" s="26" t="str">
        <f aca="false">IF($A23="","",IF($D23&lt;&gt;"",$D23,IF($N23="","",IFERROR(INDEX($D$5:$D$204,MATCH($N23,$A$5:$A$204,0)),""))))</f>
        <v/>
      </c>
      <c r="R23" s="26" t="str">
        <f aca="false">IF($A23="","",IF($E23&lt;&gt;"",$E23,IF($N23="","",IFERROR(INDEX($E$5:$E$204,MATCH($N23,$A$5:$A$204,0)),""))))</f>
        <v/>
      </c>
      <c r="S23" s="26" t="str">
        <f aca="false">IF($A23="","",IF($H23&lt;&gt;"",$H23,IF($N23="","",IFERROR(INDEX($H$5:$H$204,MATCH($N23,$A$5:$A$204,0)),""))))</f>
        <v/>
      </c>
      <c r="T23" s="26" t="str">
        <f aca="false">IF($A23="","",IF($F23&lt;&gt;"",$F23,IF($N23="","",IFERROR(INDEX($F$5:$F$204,MATCH($N23,$A$5:$A$204,0)),""))))</f>
        <v/>
      </c>
      <c r="U23" s="27" t="str">
        <f aca="false">IF($A23="","",SUMIFS(MVT_NET,MVT_LOT,$A23))</f>
        <v/>
      </c>
      <c r="V23" s="28" t="str">
        <f aca="false">IF($A23="","",COUNTIFS(MVT_LOT,$A23,MVT_BRUT,"&lt;&gt;0"))</f>
        <v/>
      </c>
      <c r="W23" s="28" t="str">
        <f aca="false">IF($A23="","",COUNTIFS(QC_LOT,$A23))</f>
        <v/>
      </c>
      <c r="X23" s="26" t="str">
        <f aca="false">IF($A23="","",IFERROR(INDEX(QC_DEC,MATCH($A23,QC_CLEDER,0)),""))</f>
        <v/>
      </c>
      <c r="Y23" s="26" t="str">
        <f aca="false">IF($A23="","",IF(COUNTIF($A$5:$A$204,$A23)&gt;1,IF(SUMPRODUCT(($A$5:$A$204=$A23)*(($C$5:$C$204&lt;&gt;$C23)+($D$5:$D$204&lt;&gt;$D23)))&gt;0,"INCOHERENCE","LOT EN DOUBLE"),"OK"))</f>
        <v/>
      </c>
      <c r="Z23" s="28" t="n">
        <f aca="false">IF($A23="",0,IF(AND($O23&lt;&gt;"",$A23&lt;&gt;R_LOT,$O23=IFERROR(INDEX(LOT_EXTE,MATCH(R_LOT,LOT_KEY,0)),"#")),1,0))</f>
        <v>0</v>
      </c>
      <c r="AA23" s="26" t="str">
        <f aca="false">IF($Z23=0,"",COUNTIF($Z$5:$Z23,1))</f>
        <v/>
      </c>
    </row>
    <row r="24" customFormat="false" ht="15" hidden="false" customHeight="false" outlineLevel="0" collapsed="false">
      <c r="A24" s="24"/>
      <c r="B24" s="24"/>
      <c r="C24" s="24"/>
      <c r="D24" s="24"/>
      <c r="E24" s="24"/>
      <c r="F24" s="24"/>
      <c r="G24" s="24"/>
      <c r="H24" s="24"/>
      <c r="I24" s="24"/>
      <c r="J24" s="24"/>
      <c r="K24" s="25"/>
      <c r="L24" s="24"/>
      <c r="M24" s="24"/>
      <c r="N24" s="26" t="str">
        <f aca="false">IF($A24="","",IF($L24&lt;&gt;"",$L24,IF(IFERROR(INDEX(RES_LOTSRC,MATCH($A24,RES_LOTEFF,0)),"")=$A24,"",IFERROR(INDEX(RES_LOTSRC,MATCH($A24,RES_LOTEFF,0)),""))))</f>
        <v/>
      </c>
      <c r="O24" s="26" t="str">
        <f aca="false">IF($A24="","",IF($B24&lt;&gt;"",$B24,IF($N24="","",IFERROR(INDEX($B$5:$B$204,MATCH($N24,$A$5:$A$204,0)),""))))</f>
        <v/>
      </c>
      <c r="P24" s="26" t="str">
        <f aca="false">IF($A24="","",IF($C24&lt;&gt;"",$C24,IF($N24="","",IFERROR(INDEX($C$5:$C$204,MATCH($N24,$A$5:$A$204,0)),""))))</f>
        <v/>
      </c>
      <c r="Q24" s="26" t="str">
        <f aca="false">IF($A24="","",IF($D24&lt;&gt;"",$D24,IF($N24="","",IFERROR(INDEX($D$5:$D$204,MATCH($N24,$A$5:$A$204,0)),""))))</f>
        <v/>
      </c>
      <c r="R24" s="26" t="str">
        <f aca="false">IF($A24="","",IF($E24&lt;&gt;"",$E24,IF($N24="","",IFERROR(INDEX($E$5:$E$204,MATCH($N24,$A$5:$A$204,0)),""))))</f>
        <v/>
      </c>
      <c r="S24" s="26" t="str">
        <f aca="false">IF($A24="","",IF($H24&lt;&gt;"",$H24,IF($N24="","",IFERROR(INDEX($H$5:$H$204,MATCH($N24,$A$5:$A$204,0)),""))))</f>
        <v/>
      </c>
      <c r="T24" s="26" t="str">
        <f aca="false">IF($A24="","",IF($F24&lt;&gt;"",$F24,IF($N24="","",IFERROR(INDEX($F$5:$F$204,MATCH($N24,$A$5:$A$204,0)),""))))</f>
        <v/>
      </c>
      <c r="U24" s="27" t="str">
        <f aca="false">IF($A24="","",SUMIFS(MVT_NET,MVT_LOT,$A24))</f>
        <v/>
      </c>
      <c r="V24" s="28" t="str">
        <f aca="false">IF($A24="","",COUNTIFS(MVT_LOT,$A24,MVT_BRUT,"&lt;&gt;0"))</f>
        <v/>
      </c>
      <c r="W24" s="28" t="str">
        <f aca="false">IF($A24="","",COUNTIFS(QC_LOT,$A24))</f>
        <v/>
      </c>
      <c r="X24" s="26" t="str">
        <f aca="false">IF($A24="","",IFERROR(INDEX(QC_DEC,MATCH($A24,QC_CLEDER,0)),""))</f>
        <v/>
      </c>
      <c r="Y24" s="26" t="str">
        <f aca="false">IF($A24="","",IF(COUNTIF($A$5:$A$204,$A24)&gt;1,IF(SUMPRODUCT(($A$5:$A$204=$A24)*(($C$5:$C$204&lt;&gt;$C24)+($D$5:$D$204&lt;&gt;$D24)))&gt;0,"INCOHERENCE","LOT EN DOUBLE"),"OK"))</f>
        <v/>
      </c>
      <c r="Z24" s="28" t="n">
        <f aca="false">IF($A24="",0,IF(AND($O24&lt;&gt;"",$A24&lt;&gt;R_LOT,$O24=IFERROR(INDEX(LOT_EXTE,MATCH(R_LOT,LOT_KEY,0)),"#")),1,0))</f>
        <v>0</v>
      </c>
      <c r="AA24" s="26" t="str">
        <f aca="false">IF($Z24=0,"",COUNTIF($Z$5:$Z24,1))</f>
        <v/>
      </c>
    </row>
    <row r="25" customFormat="false" ht="15" hidden="false" customHeight="false" outlineLevel="0" collapsed="false">
      <c r="A25" s="24"/>
      <c r="B25" s="24"/>
      <c r="C25" s="24"/>
      <c r="D25" s="24"/>
      <c r="E25" s="24"/>
      <c r="F25" s="24"/>
      <c r="G25" s="24"/>
      <c r="H25" s="24"/>
      <c r="I25" s="24"/>
      <c r="J25" s="24"/>
      <c r="K25" s="25"/>
      <c r="L25" s="24"/>
      <c r="M25" s="24"/>
      <c r="N25" s="26" t="str">
        <f aca="false">IF($A25="","",IF($L25&lt;&gt;"",$L25,IF(IFERROR(INDEX(RES_LOTSRC,MATCH($A25,RES_LOTEFF,0)),"")=$A25,"",IFERROR(INDEX(RES_LOTSRC,MATCH($A25,RES_LOTEFF,0)),""))))</f>
        <v/>
      </c>
      <c r="O25" s="26" t="str">
        <f aca="false">IF($A25="","",IF($B25&lt;&gt;"",$B25,IF($N25="","",IFERROR(INDEX($B$5:$B$204,MATCH($N25,$A$5:$A$204,0)),""))))</f>
        <v/>
      </c>
      <c r="P25" s="26" t="str">
        <f aca="false">IF($A25="","",IF($C25&lt;&gt;"",$C25,IF($N25="","",IFERROR(INDEX($C$5:$C$204,MATCH($N25,$A$5:$A$204,0)),""))))</f>
        <v/>
      </c>
      <c r="Q25" s="26" t="str">
        <f aca="false">IF($A25="","",IF($D25&lt;&gt;"",$D25,IF($N25="","",IFERROR(INDEX($D$5:$D$204,MATCH($N25,$A$5:$A$204,0)),""))))</f>
        <v/>
      </c>
      <c r="R25" s="26" t="str">
        <f aca="false">IF($A25="","",IF($E25&lt;&gt;"",$E25,IF($N25="","",IFERROR(INDEX($E$5:$E$204,MATCH($N25,$A$5:$A$204,0)),""))))</f>
        <v/>
      </c>
      <c r="S25" s="26" t="str">
        <f aca="false">IF($A25="","",IF($H25&lt;&gt;"",$H25,IF($N25="","",IFERROR(INDEX($H$5:$H$204,MATCH($N25,$A$5:$A$204,0)),""))))</f>
        <v/>
      </c>
      <c r="T25" s="26" t="str">
        <f aca="false">IF($A25="","",IF($F25&lt;&gt;"",$F25,IF($N25="","",IFERROR(INDEX($F$5:$F$204,MATCH($N25,$A$5:$A$204,0)),""))))</f>
        <v/>
      </c>
      <c r="U25" s="27" t="str">
        <f aca="false">IF($A25="","",SUMIFS(MVT_NET,MVT_LOT,$A25))</f>
        <v/>
      </c>
      <c r="V25" s="28" t="str">
        <f aca="false">IF($A25="","",COUNTIFS(MVT_LOT,$A25,MVT_BRUT,"&lt;&gt;0"))</f>
        <v/>
      </c>
      <c r="W25" s="28" t="str">
        <f aca="false">IF($A25="","",COUNTIFS(QC_LOT,$A25))</f>
        <v/>
      </c>
      <c r="X25" s="26" t="str">
        <f aca="false">IF($A25="","",IFERROR(INDEX(QC_DEC,MATCH($A25,QC_CLEDER,0)),""))</f>
        <v/>
      </c>
      <c r="Y25" s="26" t="str">
        <f aca="false">IF($A25="","",IF(COUNTIF($A$5:$A$204,$A25)&gt;1,IF(SUMPRODUCT(($A$5:$A$204=$A25)*(($C$5:$C$204&lt;&gt;$C25)+($D$5:$D$204&lt;&gt;$D25)))&gt;0,"INCOHERENCE","LOT EN DOUBLE"),"OK"))</f>
        <v/>
      </c>
      <c r="Z25" s="28" t="n">
        <f aca="false">IF($A25="",0,IF(AND($O25&lt;&gt;"",$A25&lt;&gt;R_LOT,$O25=IFERROR(INDEX(LOT_EXTE,MATCH(R_LOT,LOT_KEY,0)),"#")),1,0))</f>
        <v>0</v>
      </c>
      <c r="AA25" s="26" t="str">
        <f aca="false">IF($Z25=0,"",COUNTIF($Z$5:$Z25,1))</f>
        <v/>
      </c>
    </row>
    <row r="26" customFormat="false" ht="15" hidden="false" customHeight="false" outlineLevel="0" collapsed="false">
      <c r="A26" s="24"/>
      <c r="B26" s="24"/>
      <c r="C26" s="24"/>
      <c r="D26" s="24"/>
      <c r="E26" s="24"/>
      <c r="F26" s="24"/>
      <c r="G26" s="24"/>
      <c r="H26" s="24"/>
      <c r="I26" s="24"/>
      <c r="J26" s="24"/>
      <c r="K26" s="25"/>
      <c r="L26" s="24"/>
      <c r="M26" s="24"/>
      <c r="N26" s="26" t="str">
        <f aca="false">IF($A26="","",IF($L26&lt;&gt;"",$L26,IF(IFERROR(INDEX(RES_LOTSRC,MATCH($A26,RES_LOTEFF,0)),"")=$A26,"",IFERROR(INDEX(RES_LOTSRC,MATCH($A26,RES_LOTEFF,0)),""))))</f>
        <v/>
      </c>
      <c r="O26" s="26" t="str">
        <f aca="false">IF($A26="","",IF($B26&lt;&gt;"",$B26,IF($N26="","",IFERROR(INDEX($B$5:$B$204,MATCH($N26,$A$5:$A$204,0)),""))))</f>
        <v/>
      </c>
      <c r="P26" s="26" t="str">
        <f aca="false">IF($A26="","",IF($C26&lt;&gt;"",$C26,IF($N26="","",IFERROR(INDEX($C$5:$C$204,MATCH($N26,$A$5:$A$204,0)),""))))</f>
        <v/>
      </c>
      <c r="Q26" s="26" t="str">
        <f aca="false">IF($A26="","",IF($D26&lt;&gt;"",$D26,IF($N26="","",IFERROR(INDEX($D$5:$D$204,MATCH($N26,$A$5:$A$204,0)),""))))</f>
        <v/>
      </c>
      <c r="R26" s="26" t="str">
        <f aca="false">IF($A26="","",IF($E26&lt;&gt;"",$E26,IF($N26="","",IFERROR(INDEX($E$5:$E$204,MATCH($N26,$A$5:$A$204,0)),""))))</f>
        <v/>
      </c>
      <c r="S26" s="26" t="str">
        <f aca="false">IF($A26="","",IF($H26&lt;&gt;"",$H26,IF($N26="","",IFERROR(INDEX($H$5:$H$204,MATCH($N26,$A$5:$A$204,0)),""))))</f>
        <v/>
      </c>
      <c r="T26" s="26" t="str">
        <f aca="false">IF($A26="","",IF($F26&lt;&gt;"",$F26,IF($N26="","",IFERROR(INDEX($F$5:$F$204,MATCH($N26,$A$5:$A$204,0)),""))))</f>
        <v/>
      </c>
      <c r="U26" s="27" t="str">
        <f aca="false">IF($A26="","",SUMIFS(MVT_NET,MVT_LOT,$A26))</f>
        <v/>
      </c>
      <c r="V26" s="28" t="str">
        <f aca="false">IF($A26="","",COUNTIFS(MVT_LOT,$A26,MVT_BRUT,"&lt;&gt;0"))</f>
        <v/>
      </c>
      <c r="W26" s="28" t="str">
        <f aca="false">IF($A26="","",COUNTIFS(QC_LOT,$A26))</f>
        <v/>
      </c>
      <c r="X26" s="26" t="str">
        <f aca="false">IF($A26="","",IFERROR(INDEX(QC_DEC,MATCH($A26,QC_CLEDER,0)),""))</f>
        <v/>
      </c>
      <c r="Y26" s="26" t="str">
        <f aca="false">IF($A26="","",IF(COUNTIF($A$5:$A$204,$A26)&gt;1,IF(SUMPRODUCT(($A$5:$A$204=$A26)*(($C$5:$C$204&lt;&gt;$C26)+($D$5:$D$204&lt;&gt;$D26)))&gt;0,"INCOHERENCE","LOT EN DOUBLE"),"OK"))</f>
        <v/>
      </c>
      <c r="Z26" s="28" t="n">
        <f aca="false">IF($A26="",0,IF(AND($O26&lt;&gt;"",$A26&lt;&gt;R_LOT,$O26=IFERROR(INDEX(LOT_EXTE,MATCH(R_LOT,LOT_KEY,0)),"#")),1,0))</f>
        <v>0</v>
      </c>
      <c r="AA26" s="26" t="str">
        <f aca="false">IF($Z26=0,"",COUNTIF($Z$5:$Z26,1))</f>
        <v/>
      </c>
    </row>
    <row r="27" customFormat="false" ht="15" hidden="false" customHeight="false" outlineLevel="0" collapsed="false">
      <c r="A27" s="24"/>
      <c r="B27" s="24"/>
      <c r="C27" s="24"/>
      <c r="D27" s="24"/>
      <c r="E27" s="24"/>
      <c r="F27" s="24"/>
      <c r="G27" s="24"/>
      <c r="H27" s="24"/>
      <c r="I27" s="24"/>
      <c r="J27" s="24"/>
      <c r="K27" s="25"/>
      <c r="L27" s="24"/>
      <c r="M27" s="24"/>
      <c r="N27" s="26" t="str">
        <f aca="false">IF($A27="","",IF($L27&lt;&gt;"",$L27,IF(IFERROR(INDEX(RES_LOTSRC,MATCH($A27,RES_LOTEFF,0)),"")=$A27,"",IFERROR(INDEX(RES_LOTSRC,MATCH($A27,RES_LOTEFF,0)),""))))</f>
        <v/>
      </c>
      <c r="O27" s="26" t="str">
        <f aca="false">IF($A27="","",IF($B27&lt;&gt;"",$B27,IF($N27="","",IFERROR(INDEX($B$5:$B$204,MATCH($N27,$A$5:$A$204,0)),""))))</f>
        <v/>
      </c>
      <c r="P27" s="26" t="str">
        <f aca="false">IF($A27="","",IF($C27&lt;&gt;"",$C27,IF($N27="","",IFERROR(INDEX($C$5:$C$204,MATCH($N27,$A$5:$A$204,0)),""))))</f>
        <v/>
      </c>
      <c r="Q27" s="26" t="str">
        <f aca="false">IF($A27="","",IF($D27&lt;&gt;"",$D27,IF($N27="","",IFERROR(INDEX($D$5:$D$204,MATCH($N27,$A$5:$A$204,0)),""))))</f>
        <v/>
      </c>
      <c r="R27" s="26" t="str">
        <f aca="false">IF($A27="","",IF($E27&lt;&gt;"",$E27,IF($N27="","",IFERROR(INDEX($E$5:$E$204,MATCH($N27,$A$5:$A$204,0)),""))))</f>
        <v/>
      </c>
      <c r="S27" s="26" t="str">
        <f aca="false">IF($A27="","",IF($H27&lt;&gt;"",$H27,IF($N27="","",IFERROR(INDEX($H$5:$H$204,MATCH($N27,$A$5:$A$204,0)),""))))</f>
        <v/>
      </c>
      <c r="T27" s="26" t="str">
        <f aca="false">IF($A27="","",IF($F27&lt;&gt;"",$F27,IF($N27="","",IFERROR(INDEX($F$5:$F$204,MATCH($N27,$A$5:$A$204,0)),""))))</f>
        <v/>
      </c>
      <c r="U27" s="27" t="str">
        <f aca="false">IF($A27="","",SUMIFS(MVT_NET,MVT_LOT,$A27))</f>
        <v/>
      </c>
      <c r="V27" s="28" t="str">
        <f aca="false">IF($A27="","",COUNTIFS(MVT_LOT,$A27,MVT_BRUT,"&lt;&gt;0"))</f>
        <v/>
      </c>
      <c r="W27" s="28" t="str">
        <f aca="false">IF($A27="","",COUNTIFS(QC_LOT,$A27))</f>
        <v/>
      </c>
      <c r="X27" s="26" t="str">
        <f aca="false">IF($A27="","",IFERROR(INDEX(QC_DEC,MATCH($A27,QC_CLEDER,0)),""))</f>
        <v/>
      </c>
      <c r="Y27" s="26" t="str">
        <f aca="false">IF($A27="","",IF(COUNTIF($A$5:$A$204,$A27)&gt;1,IF(SUMPRODUCT(($A$5:$A$204=$A27)*(($C$5:$C$204&lt;&gt;$C27)+($D$5:$D$204&lt;&gt;$D27)))&gt;0,"INCOHERENCE","LOT EN DOUBLE"),"OK"))</f>
        <v/>
      </c>
      <c r="Z27" s="28" t="n">
        <f aca="false">IF($A27="",0,IF(AND($O27&lt;&gt;"",$A27&lt;&gt;R_LOT,$O27=IFERROR(INDEX(LOT_EXTE,MATCH(R_LOT,LOT_KEY,0)),"#")),1,0))</f>
        <v>0</v>
      </c>
      <c r="AA27" s="26" t="str">
        <f aca="false">IF($Z27=0,"",COUNTIF($Z$5:$Z27,1))</f>
        <v/>
      </c>
    </row>
    <row r="28" customFormat="false" ht="15" hidden="false" customHeight="false" outlineLevel="0" collapsed="false">
      <c r="A28" s="24"/>
      <c r="B28" s="24"/>
      <c r="C28" s="24"/>
      <c r="D28" s="24"/>
      <c r="E28" s="24"/>
      <c r="F28" s="24"/>
      <c r="G28" s="24"/>
      <c r="H28" s="24"/>
      <c r="I28" s="24"/>
      <c r="J28" s="24"/>
      <c r="K28" s="25"/>
      <c r="L28" s="24"/>
      <c r="M28" s="24"/>
      <c r="N28" s="26" t="str">
        <f aca="false">IF($A28="","",IF($L28&lt;&gt;"",$L28,IF(IFERROR(INDEX(RES_LOTSRC,MATCH($A28,RES_LOTEFF,0)),"")=$A28,"",IFERROR(INDEX(RES_LOTSRC,MATCH($A28,RES_LOTEFF,0)),""))))</f>
        <v/>
      </c>
      <c r="O28" s="26" t="str">
        <f aca="false">IF($A28="","",IF($B28&lt;&gt;"",$B28,IF($N28="","",IFERROR(INDEX($B$5:$B$204,MATCH($N28,$A$5:$A$204,0)),""))))</f>
        <v/>
      </c>
      <c r="P28" s="26" t="str">
        <f aca="false">IF($A28="","",IF($C28&lt;&gt;"",$C28,IF($N28="","",IFERROR(INDEX($C$5:$C$204,MATCH($N28,$A$5:$A$204,0)),""))))</f>
        <v/>
      </c>
      <c r="Q28" s="26" t="str">
        <f aca="false">IF($A28="","",IF($D28&lt;&gt;"",$D28,IF($N28="","",IFERROR(INDEX($D$5:$D$204,MATCH($N28,$A$5:$A$204,0)),""))))</f>
        <v/>
      </c>
      <c r="R28" s="26" t="str">
        <f aca="false">IF($A28="","",IF($E28&lt;&gt;"",$E28,IF($N28="","",IFERROR(INDEX($E$5:$E$204,MATCH($N28,$A$5:$A$204,0)),""))))</f>
        <v/>
      </c>
      <c r="S28" s="26" t="str">
        <f aca="false">IF($A28="","",IF($H28&lt;&gt;"",$H28,IF($N28="","",IFERROR(INDEX($H$5:$H$204,MATCH($N28,$A$5:$A$204,0)),""))))</f>
        <v/>
      </c>
      <c r="T28" s="26" t="str">
        <f aca="false">IF($A28="","",IF($F28&lt;&gt;"",$F28,IF($N28="","",IFERROR(INDEX($F$5:$F$204,MATCH($N28,$A$5:$A$204,0)),""))))</f>
        <v/>
      </c>
      <c r="U28" s="27" t="str">
        <f aca="false">IF($A28="","",SUMIFS(MVT_NET,MVT_LOT,$A28))</f>
        <v/>
      </c>
      <c r="V28" s="28" t="str">
        <f aca="false">IF($A28="","",COUNTIFS(MVT_LOT,$A28,MVT_BRUT,"&lt;&gt;0"))</f>
        <v/>
      </c>
      <c r="W28" s="28" t="str">
        <f aca="false">IF($A28="","",COUNTIFS(QC_LOT,$A28))</f>
        <v/>
      </c>
      <c r="X28" s="26" t="str">
        <f aca="false">IF($A28="","",IFERROR(INDEX(QC_DEC,MATCH($A28,QC_CLEDER,0)),""))</f>
        <v/>
      </c>
      <c r="Y28" s="26" t="str">
        <f aca="false">IF($A28="","",IF(COUNTIF($A$5:$A$204,$A28)&gt;1,IF(SUMPRODUCT(($A$5:$A$204=$A28)*(($C$5:$C$204&lt;&gt;$C28)+($D$5:$D$204&lt;&gt;$D28)))&gt;0,"INCOHERENCE","LOT EN DOUBLE"),"OK"))</f>
        <v/>
      </c>
      <c r="Z28" s="28" t="n">
        <f aca="false">IF($A28="",0,IF(AND($O28&lt;&gt;"",$A28&lt;&gt;R_LOT,$O28=IFERROR(INDEX(LOT_EXTE,MATCH(R_LOT,LOT_KEY,0)),"#")),1,0))</f>
        <v>0</v>
      </c>
      <c r="AA28" s="26" t="str">
        <f aca="false">IF($Z28=0,"",COUNTIF($Z$5:$Z28,1))</f>
        <v/>
      </c>
    </row>
    <row r="29" customFormat="false" ht="15" hidden="false" customHeight="false" outlineLevel="0" collapsed="false">
      <c r="A29" s="24"/>
      <c r="B29" s="24"/>
      <c r="C29" s="24"/>
      <c r="D29" s="24"/>
      <c r="E29" s="24"/>
      <c r="F29" s="24"/>
      <c r="G29" s="24"/>
      <c r="H29" s="24"/>
      <c r="I29" s="24"/>
      <c r="J29" s="24"/>
      <c r="K29" s="25"/>
      <c r="L29" s="24"/>
      <c r="M29" s="24"/>
      <c r="N29" s="26" t="str">
        <f aca="false">IF($A29="","",IF($L29&lt;&gt;"",$L29,IF(IFERROR(INDEX(RES_LOTSRC,MATCH($A29,RES_LOTEFF,0)),"")=$A29,"",IFERROR(INDEX(RES_LOTSRC,MATCH($A29,RES_LOTEFF,0)),""))))</f>
        <v/>
      </c>
      <c r="O29" s="26" t="str">
        <f aca="false">IF($A29="","",IF($B29&lt;&gt;"",$B29,IF($N29="","",IFERROR(INDEX($B$5:$B$204,MATCH($N29,$A$5:$A$204,0)),""))))</f>
        <v/>
      </c>
      <c r="P29" s="26" t="str">
        <f aca="false">IF($A29="","",IF($C29&lt;&gt;"",$C29,IF($N29="","",IFERROR(INDEX($C$5:$C$204,MATCH($N29,$A$5:$A$204,0)),""))))</f>
        <v/>
      </c>
      <c r="Q29" s="26" t="str">
        <f aca="false">IF($A29="","",IF($D29&lt;&gt;"",$D29,IF($N29="","",IFERROR(INDEX($D$5:$D$204,MATCH($N29,$A$5:$A$204,0)),""))))</f>
        <v/>
      </c>
      <c r="R29" s="26" t="str">
        <f aca="false">IF($A29="","",IF($E29&lt;&gt;"",$E29,IF($N29="","",IFERROR(INDEX($E$5:$E$204,MATCH($N29,$A$5:$A$204,0)),""))))</f>
        <v/>
      </c>
      <c r="S29" s="26" t="str">
        <f aca="false">IF($A29="","",IF($H29&lt;&gt;"",$H29,IF($N29="","",IFERROR(INDEX($H$5:$H$204,MATCH($N29,$A$5:$A$204,0)),""))))</f>
        <v/>
      </c>
      <c r="T29" s="26" t="str">
        <f aca="false">IF($A29="","",IF($F29&lt;&gt;"",$F29,IF($N29="","",IFERROR(INDEX($F$5:$F$204,MATCH($N29,$A$5:$A$204,0)),""))))</f>
        <v/>
      </c>
      <c r="U29" s="27" t="str">
        <f aca="false">IF($A29="","",SUMIFS(MVT_NET,MVT_LOT,$A29))</f>
        <v/>
      </c>
      <c r="V29" s="28" t="str">
        <f aca="false">IF($A29="","",COUNTIFS(MVT_LOT,$A29,MVT_BRUT,"&lt;&gt;0"))</f>
        <v/>
      </c>
      <c r="W29" s="28" t="str">
        <f aca="false">IF($A29="","",COUNTIFS(QC_LOT,$A29))</f>
        <v/>
      </c>
      <c r="X29" s="26" t="str">
        <f aca="false">IF($A29="","",IFERROR(INDEX(QC_DEC,MATCH($A29,QC_CLEDER,0)),""))</f>
        <v/>
      </c>
      <c r="Y29" s="26" t="str">
        <f aca="false">IF($A29="","",IF(COUNTIF($A$5:$A$204,$A29)&gt;1,IF(SUMPRODUCT(($A$5:$A$204=$A29)*(($C$5:$C$204&lt;&gt;$C29)+($D$5:$D$204&lt;&gt;$D29)))&gt;0,"INCOHERENCE","LOT EN DOUBLE"),"OK"))</f>
        <v/>
      </c>
      <c r="Z29" s="28" t="n">
        <f aca="false">IF($A29="",0,IF(AND($O29&lt;&gt;"",$A29&lt;&gt;R_LOT,$O29=IFERROR(INDEX(LOT_EXTE,MATCH(R_LOT,LOT_KEY,0)),"#")),1,0))</f>
        <v>0</v>
      </c>
      <c r="AA29" s="26" t="str">
        <f aca="false">IF($Z29=0,"",COUNTIF($Z$5:$Z29,1))</f>
        <v/>
      </c>
    </row>
    <row r="30" customFormat="false" ht="15" hidden="false" customHeight="false" outlineLevel="0" collapsed="false">
      <c r="A30" s="24"/>
      <c r="B30" s="24"/>
      <c r="C30" s="24"/>
      <c r="D30" s="24"/>
      <c r="E30" s="24"/>
      <c r="F30" s="24"/>
      <c r="G30" s="24"/>
      <c r="H30" s="24"/>
      <c r="I30" s="24"/>
      <c r="J30" s="24"/>
      <c r="K30" s="25"/>
      <c r="L30" s="24"/>
      <c r="M30" s="24"/>
      <c r="N30" s="26" t="str">
        <f aca="false">IF($A30="","",IF($L30&lt;&gt;"",$L30,IF(IFERROR(INDEX(RES_LOTSRC,MATCH($A30,RES_LOTEFF,0)),"")=$A30,"",IFERROR(INDEX(RES_LOTSRC,MATCH($A30,RES_LOTEFF,0)),""))))</f>
        <v/>
      </c>
      <c r="O30" s="26" t="str">
        <f aca="false">IF($A30="","",IF($B30&lt;&gt;"",$B30,IF($N30="","",IFERROR(INDEX($B$5:$B$204,MATCH($N30,$A$5:$A$204,0)),""))))</f>
        <v/>
      </c>
      <c r="P30" s="26" t="str">
        <f aca="false">IF($A30="","",IF($C30&lt;&gt;"",$C30,IF($N30="","",IFERROR(INDEX($C$5:$C$204,MATCH($N30,$A$5:$A$204,0)),""))))</f>
        <v/>
      </c>
      <c r="Q30" s="26" t="str">
        <f aca="false">IF($A30="","",IF($D30&lt;&gt;"",$D30,IF($N30="","",IFERROR(INDEX($D$5:$D$204,MATCH($N30,$A$5:$A$204,0)),""))))</f>
        <v/>
      </c>
      <c r="R30" s="26" t="str">
        <f aca="false">IF($A30="","",IF($E30&lt;&gt;"",$E30,IF($N30="","",IFERROR(INDEX($E$5:$E$204,MATCH($N30,$A$5:$A$204,0)),""))))</f>
        <v/>
      </c>
      <c r="S30" s="26" t="str">
        <f aca="false">IF($A30="","",IF($H30&lt;&gt;"",$H30,IF($N30="","",IFERROR(INDEX($H$5:$H$204,MATCH($N30,$A$5:$A$204,0)),""))))</f>
        <v/>
      </c>
      <c r="T30" s="26" t="str">
        <f aca="false">IF($A30="","",IF($F30&lt;&gt;"",$F30,IF($N30="","",IFERROR(INDEX($F$5:$F$204,MATCH($N30,$A$5:$A$204,0)),""))))</f>
        <v/>
      </c>
      <c r="U30" s="27" t="str">
        <f aca="false">IF($A30="","",SUMIFS(MVT_NET,MVT_LOT,$A30))</f>
        <v/>
      </c>
      <c r="V30" s="28" t="str">
        <f aca="false">IF($A30="","",COUNTIFS(MVT_LOT,$A30,MVT_BRUT,"&lt;&gt;0"))</f>
        <v/>
      </c>
      <c r="W30" s="28" t="str">
        <f aca="false">IF($A30="","",COUNTIFS(QC_LOT,$A30))</f>
        <v/>
      </c>
      <c r="X30" s="26" t="str">
        <f aca="false">IF($A30="","",IFERROR(INDEX(QC_DEC,MATCH($A30,QC_CLEDER,0)),""))</f>
        <v/>
      </c>
      <c r="Y30" s="26" t="str">
        <f aca="false">IF($A30="","",IF(COUNTIF($A$5:$A$204,$A30)&gt;1,IF(SUMPRODUCT(($A$5:$A$204=$A30)*(($C$5:$C$204&lt;&gt;$C30)+($D$5:$D$204&lt;&gt;$D30)))&gt;0,"INCOHERENCE","LOT EN DOUBLE"),"OK"))</f>
        <v/>
      </c>
      <c r="Z30" s="28" t="n">
        <f aca="false">IF($A30="",0,IF(AND($O30&lt;&gt;"",$A30&lt;&gt;R_LOT,$O30=IFERROR(INDEX(LOT_EXTE,MATCH(R_LOT,LOT_KEY,0)),"#")),1,0))</f>
        <v>0</v>
      </c>
      <c r="AA30" s="26" t="str">
        <f aca="false">IF($Z30=0,"",COUNTIF($Z$5:$Z30,1))</f>
        <v/>
      </c>
    </row>
    <row r="31" customFormat="false" ht="15" hidden="false" customHeight="false" outlineLevel="0" collapsed="false">
      <c r="A31" s="24"/>
      <c r="B31" s="24"/>
      <c r="C31" s="24"/>
      <c r="D31" s="24"/>
      <c r="E31" s="24"/>
      <c r="F31" s="24"/>
      <c r="G31" s="24"/>
      <c r="H31" s="24"/>
      <c r="I31" s="24"/>
      <c r="J31" s="24"/>
      <c r="K31" s="25"/>
      <c r="L31" s="24"/>
      <c r="M31" s="24"/>
      <c r="N31" s="26" t="str">
        <f aca="false">IF($A31="","",IF($L31&lt;&gt;"",$L31,IF(IFERROR(INDEX(RES_LOTSRC,MATCH($A31,RES_LOTEFF,0)),"")=$A31,"",IFERROR(INDEX(RES_LOTSRC,MATCH($A31,RES_LOTEFF,0)),""))))</f>
        <v/>
      </c>
      <c r="O31" s="26" t="str">
        <f aca="false">IF($A31="","",IF($B31&lt;&gt;"",$B31,IF($N31="","",IFERROR(INDEX($B$5:$B$204,MATCH($N31,$A$5:$A$204,0)),""))))</f>
        <v/>
      </c>
      <c r="P31" s="26" t="str">
        <f aca="false">IF($A31="","",IF($C31&lt;&gt;"",$C31,IF($N31="","",IFERROR(INDEX($C$5:$C$204,MATCH($N31,$A$5:$A$204,0)),""))))</f>
        <v/>
      </c>
      <c r="Q31" s="26" t="str">
        <f aca="false">IF($A31="","",IF($D31&lt;&gt;"",$D31,IF($N31="","",IFERROR(INDEX($D$5:$D$204,MATCH($N31,$A$5:$A$204,0)),""))))</f>
        <v/>
      </c>
      <c r="R31" s="26" t="str">
        <f aca="false">IF($A31="","",IF($E31&lt;&gt;"",$E31,IF($N31="","",IFERROR(INDEX($E$5:$E$204,MATCH($N31,$A$5:$A$204,0)),""))))</f>
        <v/>
      </c>
      <c r="S31" s="26" t="str">
        <f aca="false">IF($A31="","",IF($H31&lt;&gt;"",$H31,IF($N31="","",IFERROR(INDEX($H$5:$H$204,MATCH($N31,$A$5:$A$204,0)),""))))</f>
        <v/>
      </c>
      <c r="T31" s="26" t="str">
        <f aca="false">IF($A31="","",IF($F31&lt;&gt;"",$F31,IF($N31="","",IFERROR(INDEX($F$5:$F$204,MATCH($N31,$A$5:$A$204,0)),""))))</f>
        <v/>
      </c>
      <c r="U31" s="27" t="str">
        <f aca="false">IF($A31="","",SUMIFS(MVT_NET,MVT_LOT,$A31))</f>
        <v/>
      </c>
      <c r="V31" s="28" t="str">
        <f aca="false">IF($A31="","",COUNTIFS(MVT_LOT,$A31,MVT_BRUT,"&lt;&gt;0"))</f>
        <v/>
      </c>
      <c r="W31" s="28" t="str">
        <f aca="false">IF($A31="","",COUNTIFS(QC_LOT,$A31))</f>
        <v/>
      </c>
      <c r="X31" s="26" t="str">
        <f aca="false">IF($A31="","",IFERROR(INDEX(QC_DEC,MATCH($A31,QC_CLEDER,0)),""))</f>
        <v/>
      </c>
      <c r="Y31" s="26" t="str">
        <f aca="false">IF($A31="","",IF(COUNTIF($A$5:$A$204,$A31)&gt;1,IF(SUMPRODUCT(($A$5:$A$204=$A31)*(($C$5:$C$204&lt;&gt;$C31)+($D$5:$D$204&lt;&gt;$D31)))&gt;0,"INCOHERENCE","LOT EN DOUBLE"),"OK"))</f>
        <v/>
      </c>
      <c r="Z31" s="28" t="n">
        <f aca="false">IF($A31="",0,IF(AND($O31&lt;&gt;"",$A31&lt;&gt;R_LOT,$O31=IFERROR(INDEX(LOT_EXTE,MATCH(R_LOT,LOT_KEY,0)),"#")),1,0))</f>
        <v>0</v>
      </c>
      <c r="AA31" s="26" t="str">
        <f aca="false">IF($Z31=0,"",COUNTIF($Z$5:$Z31,1))</f>
        <v/>
      </c>
    </row>
    <row r="32" customFormat="false" ht="15" hidden="false" customHeight="false" outlineLevel="0" collapsed="false">
      <c r="A32" s="24"/>
      <c r="B32" s="24"/>
      <c r="C32" s="24"/>
      <c r="D32" s="24"/>
      <c r="E32" s="24"/>
      <c r="F32" s="24"/>
      <c r="G32" s="24"/>
      <c r="H32" s="24"/>
      <c r="I32" s="24"/>
      <c r="J32" s="24"/>
      <c r="K32" s="25"/>
      <c r="L32" s="24"/>
      <c r="M32" s="24"/>
      <c r="N32" s="26" t="str">
        <f aca="false">IF($A32="","",IF($L32&lt;&gt;"",$L32,IF(IFERROR(INDEX(RES_LOTSRC,MATCH($A32,RES_LOTEFF,0)),"")=$A32,"",IFERROR(INDEX(RES_LOTSRC,MATCH($A32,RES_LOTEFF,0)),""))))</f>
        <v/>
      </c>
      <c r="O32" s="26" t="str">
        <f aca="false">IF($A32="","",IF($B32&lt;&gt;"",$B32,IF($N32="","",IFERROR(INDEX($B$5:$B$204,MATCH($N32,$A$5:$A$204,0)),""))))</f>
        <v/>
      </c>
      <c r="P32" s="26" t="str">
        <f aca="false">IF($A32="","",IF($C32&lt;&gt;"",$C32,IF($N32="","",IFERROR(INDEX($C$5:$C$204,MATCH($N32,$A$5:$A$204,0)),""))))</f>
        <v/>
      </c>
      <c r="Q32" s="26" t="str">
        <f aca="false">IF($A32="","",IF($D32&lt;&gt;"",$D32,IF($N32="","",IFERROR(INDEX($D$5:$D$204,MATCH($N32,$A$5:$A$204,0)),""))))</f>
        <v/>
      </c>
      <c r="R32" s="26" t="str">
        <f aca="false">IF($A32="","",IF($E32&lt;&gt;"",$E32,IF($N32="","",IFERROR(INDEX($E$5:$E$204,MATCH($N32,$A$5:$A$204,0)),""))))</f>
        <v/>
      </c>
      <c r="S32" s="26" t="str">
        <f aca="false">IF($A32="","",IF($H32&lt;&gt;"",$H32,IF($N32="","",IFERROR(INDEX($H$5:$H$204,MATCH($N32,$A$5:$A$204,0)),""))))</f>
        <v/>
      </c>
      <c r="T32" s="26" t="str">
        <f aca="false">IF($A32="","",IF($F32&lt;&gt;"",$F32,IF($N32="","",IFERROR(INDEX($F$5:$F$204,MATCH($N32,$A$5:$A$204,0)),""))))</f>
        <v/>
      </c>
      <c r="U32" s="27" t="str">
        <f aca="false">IF($A32="","",SUMIFS(MVT_NET,MVT_LOT,$A32))</f>
        <v/>
      </c>
      <c r="V32" s="28" t="str">
        <f aca="false">IF($A32="","",COUNTIFS(MVT_LOT,$A32,MVT_BRUT,"&lt;&gt;0"))</f>
        <v/>
      </c>
      <c r="W32" s="28" t="str">
        <f aca="false">IF($A32="","",COUNTIFS(QC_LOT,$A32))</f>
        <v/>
      </c>
      <c r="X32" s="26" t="str">
        <f aca="false">IF($A32="","",IFERROR(INDEX(QC_DEC,MATCH($A32,QC_CLEDER,0)),""))</f>
        <v/>
      </c>
      <c r="Y32" s="26" t="str">
        <f aca="false">IF($A32="","",IF(COUNTIF($A$5:$A$204,$A32)&gt;1,IF(SUMPRODUCT(($A$5:$A$204=$A32)*(($C$5:$C$204&lt;&gt;$C32)+($D$5:$D$204&lt;&gt;$D32)))&gt;0,"INCOHERENCE","LOT EN DOUBLE"),"OK"))</f>
        <v/>
      </c>
      <c r="Z32" s="28" t="n">
        <f aca="false">IF($A32="",0,IF(AND($O32&lt;&gt;"",$A32&lt;&gt;R_LOT,$O32=IFERROR(INDEX(LOT_EXTE,MATCH(R_LOT,LOT_KEY,0)),"#")),1,0))</f>
        <v>0</v>
      </c>
      <c r="AA32" s="26" t="str">
        <f aca="false">IF($Z32=0,"",COUNTIF($Z$5:$Z32,1))</f>
        <v/>
      </c>
    </row>
    <row r="33" customFormat="false" ht="15" hidden="false" customHeight="false" outlineLevel="0" collapsed="false">
      <c r="A33" s="24"/>
      <c r="B33" s="24"/>
      <c r="C33" s="24"/>
      <c r="D33" s="24"/>
      <c r="E33" s="24"/>
      <c r="F33" s="24"/>
      <c r="G33" s="24"/>
      <c r="H33" s="24"/>
      <c r="I33" s="24"/>
      <c r="J33" s="24"/>
      <c r="K33" s="25"/>
      <c r="L33" s="24"/>
      <c r="M33" s="24"/>
      <c r="N33" s="26" t="str">
        <f aca="false">IF($A33="","",IF($L33&lt;&gt;"",$L33,IF(IFERROR(INDEX(RES_LOTSRC,MATCH($A33,RES_LOTEFF,0)),"")=$A33,"",IFERROR(INDEX(RES_LOTSRC,MATCH($A33,RES_LOTEFF,0)),""))))</f>
        <v/>
      </c>
      <c r="O33" s="26" t="str">
        <f aca="false">IF($A33="","",IF($B33&lt;&gt;"",$B33,IF($N33="","",IFERROR(INDEX($B$5:$B$204,MATCH($N33,$A$5:$A$204,0)),""))))</f>
        <v/>
      </c>
      <c r="P33" s="26" t="str">
        <f aca="false">IF($A33="","",IF($C33&lt;&gt;"",$C33,IF($N33="","",IFERROR(INDEX($C$5:$C$204,MATCH($N33,$A$5:$A$204,0)),""))))</f>
        <v/>
      </c>
      <c r="Q33" s="26" t="str">
        <f aca="false">IF($A33="","",IF($D33&lt;&gt;"",$D33,IF($N33="","",IFERROR(INDEX($D$5:$D$204,MATCH($N33,$A$5:$A$204,0)),""))))</f>
        <v/>
      </c>
      <c r="R33" s="26" t="str">
        <f aca="false">IF($A33="","",IF($E33&lt;&gt;"",$E33,IF($N33="","",IFERROR(INDEX($E$5:$E$204,MATCH($N33,$A$5:$A$204,0)),""))))</f>
        <v/>
      </c>
      <c r="S33" s="26" t="str">
        <f aca="false">IF($A33="","",IF($H33&lt;&gt;"",$H33,IF($N33="","",IFERROR(INDEX($H$5:$H$204,MATCH($N33,$A$5:$A$204,0)),""))))</f>
        <v/>
      </c>
      <c r="T33" s="26" t="str">
        <f aca="false">IF($A33="","",IF($F33&lt;&gt;"",$F33,IF($N33="","",IFERROR(INDEX($F$5:$F$204,MATCH($N33,$A$5:$A$204,0)),""))))</f>
        <v/>
      </c>
      <c r="U33" s="27" t="str">
        <f aca="false">IF($A33="","",SUMIFS(MVT_NET,MVT_LOT,$A33))</f>
        <v/>
      </c>
      <c r="V33" s="28" t="str">
        <f aca="false">IF($A33="","",COUNTIFS(MVT_LOT,$A33,MVT_BRUT,"&lt;&gt;0"))</f>
        <v/>
      </c>
      <c r="W33" s="28" t="str">
        <f aca="false">IF($A33="","",COUNTIFS(QC_LOT,$A33))</f>
        <v/>
      </c>
      <c r="X33" s="26" t="str">
        <f aca="false">IF($A33="","",IFERROR(INDEX(QC_DEC,MATCH($A33,QC_CLEDER,0)),""))</f>
        <v/>
      </c>
      <c r="Y33" s="26" t="str">
        <f aca="false">IF($A33="","",IF(COUNTIF($A$5:$A$204,$A33)&gt;1,IF(SUMPRODUCT(($A$5:$A$204=$A33)*(($C$5:$C$204&lt;&gt;$C33)+($D$5:$D$204&lt;&gt;$D33)))&gt;0,"INCOHERENCE","LOT EN DOUBLE"),"OK"))</f>
        <v/>
      </c>
      <c r="Z33" s="28" t="n">
        <f aca="false">IF($A33="",0,IF(AND($O33&lt;&gt;"",$A33&lt;&gt;R_LOT,$O33=IFERROR(INDEX(LOT_EXTE,MATCH(R_LOT,LOT_KEY,0)),"#")),1,0))</f>
        <v>0</v>
      </c>
      <c r="AA33" s="26" t="str">
        <f aca="false">IF($Z33=0,"",COUNTIF($Z$5:$Z33,1))</f>
        <v/>
      </c>
    </row>
    <row r="34" customFormat="false" ht="15" hidden="false" customHeight="false" outlineLevel="0" collapsed="false">
      <c r="A34" s="24"/>
      <c r="B34" s="24"/>
      <c r="C34" s="24"/>
      <c r="D34" s="24"/>
      <c r="E34" s="24"/>
      <c r="F34" s="24"/>
      <c r="G34" s="24"/>
      <c r="H34" s="24"/>
      <c r="I34" s="24"/>
      <c r="J34" s="24"/>
      <c r="K34" s="25"/>
      <c r="L34" s="24"/>
      <c r="M34" s="24"/>
      <c r="N34" s="26" t="str">
        <f aca="false">IF($A34="","",IF($L34&lt;&gt;"",$L34,IF(IFERROR(INDEX(RES_LOTSRC,MATCH($A34,RES_LOTEFF,0)),"")=$A34,"",IFERROR(INDEX(RES_LOTSRC,MATCH($A34,RES_LOTEFF,0)),""))))</f>
        <v/>
      </c>
      <c r="O34" s="26" t="str">
        <f aca="false">IF($A34="","",IF($B34&lt;&gt;"",$B34,IF($N34="","",IFERROR(INDEX($B$5:$B$204,MATCH($N34,$A$5:$A$204,0)),""))))</f>
        <v/>
      </c>
      <c r="P34" s="26" t="str">
        <f aca="false">IF($A34="","",IF($C34&lt;&gt;"",$C34,IF($N34="","",IFERROR(INDEX($C$5:$C$204,MATCH($N34,$A$5:$A$204,0)),""))))</f>
        <v/>
      </c>
      <c r="Q34" s="26" t="str">
        <f aca="false">IF($A34="","",IF($D34&lt;&gt;"",$D34,IF($N34="","",IFERROR(INDEX($D$5:$D$204,MATCH($N34,$A$5:$A$204,0)),""))))</f>
        <v/>
      </c>
      <c r="R34" s="26" t="str">
        <f aca="false">IF($A34="","",IF($E34&lt;&gt;"",$E34,IF($N34="","",IFERROR(INDEX($E$5:$E$204,MATCH($N34,$A$5:$A$204,0)),""))))</f>
        <v/>
      </c>
      <c r="S34" s="26" t="str">
        <f aca="false">IF($A34="","",IF($H34&lt;&gt;"",$H34,IF($N34="","",IFERROR(INDEX($H$5:$H$204,MATCH($N34,$A$5:$A$204,0)),""))))</f>
        <v/>
      </c>
      <c r="T34" s="26" t="str">
        <f aca="false">IF($A34="","",IF($F34&lt;&gt;"",$F34,IF($N34="","",IFERROR(INDEX($F$5:$F$204,MATCH($N34,$A$5:$A$204,0)),""))))</f>
        <v/>
      </c>
      <c r="U34" s="27" t="str">
        <f aca="false">IF($A34="","",SUMIFS(MVT_NET,MVT_LOT,$A34))</f>
        <v/>
      </c>
      <c r="V34" s="28" t="str">
        <f aca="false">IF($A34="","",COUNTIFS(MVT_LOT,$A34,MVT_BRUT,"&lt;&gt;0"))</f>
        <v/>
      </c>
      <c r="W34" s="28" t="str">
        <f aca="false">IF($A34="","",COUNTIFS(QC_LOT,$A34))</f>
        <v/>
      </c>
      <c r="X34" s="26" t="str">
        <f aca="false">IF($A34="","",IFERROR(INDEX(QC_DEC,MATCH($A34,QC_CLEDER,0)),""))</f>
        <v/>
      </c>
      <c r="Y34" s="26" t="str">
        <f aca="false">IF($A34="","",IF(COUNTIF($A$5:$A$204,$A34)&gt;1,IF(SUMPRODUCT(($A$5:$A$204=$A34)*(($C$5:$C$204&lt;&gt;$C34)+($D$5:$D$204&lt;&gt;$D34)))&gt;0,"INCOHERENCE","LOT EN DOUBLE"),"OK"))</f>
        <v/>
      </c>
      <c r="Z34" s="28" t="n">
        <f aca="false">IF($A34="",0,IF(AND($O34&lt;&gt;"",$A34&lt;&gt;R_LOT,$O34=IFERROR(INDEX(LOT_EXTE,MATCH(R_LOT,LOT_KEY,0)),"#")),1,0))</f>
        <v>0</v>
      </c>
      <c r="AA34" s="26" t="str">
        <f aca="false">IF($Z34=0,"",COUNTIF($Z$5:$Z34,1))</f>
        <v/>
      </c>
    </row>
    <row r="35" customFormat="false" ht="15" hidden="false" customHeight="false" outlineLevel="0" collapsed="false">
      <c r="A35" s="24"/>
      <c r="B35" s="24"/>
      <c r="C35" s="24"/>
      <c r="D35" s="24"/>
      <c r="E35" s="24"/>
      <c r="F35" s="24"/>
      <c r="G35" s="24"/>
      <c r="H35" s="24"/>
      <c r="I35" s="24"/>
      <c r="J35" s="24"/>
      <c r="K35" s="25"/>
      <c r="L35" s="24"/>
      <c r="M35" s="24"/>
      <c r="N35" s="26" t="str">
        <f aca="false">IF($A35="","",IF($L35&lt;&gt;"",$L35,IF(IFERROR(INDEX(RES_LOTSRC,MATCH($A35,RES_LOTEFF,0)),"")=$A35,"",IFERROR(INDEX(RES_LOTSRC,MATCH($A35,RES_LOTEFF,0)),""))))</f>
        <v/>
      </c>
      <c r="O35" s="26" t="str">
        <f aca="false">IF($A35="","",IF($B35&lt;&gt;"",$B35,IF($N35="","",IFERROR(INDEX($B$5:$B$204,MATCH($N35,$A$5:$A$204,0)),""))))</f>
        <v/>
      </c>
      <c r="P35" s="26" t="str">
        <f aca="false">IF($A35="","",IF($C35&lt;&gt;"",$C35,IF($N35="","",IFERROR(INDEX($C$5:$C$204,MATCH($N35,$A$5:$A$204,0)),""))))</f>
        <v/>
      </c>
      <c r="Q35" s="26" t="str">
        <f aca="false">IF($A35="","",IF($D35&lt;&gt;"",$D35,IF($N35="","",IFERROR(INDEX($D$5:$D$204,MATCH($N35,$A$5:$A$204,0)),""))))</f>
        <v/>
      </c>
      <c r="R35" s="26" t="str">
        <f aca="false">IF($A35="","",IF($E35&lt;&gt;"",$E35,IF($N35="","",IFERROR(INDEX($E$5:$E$204,MATCH($N35,$A$5:$A$204,0)),""))))</f>
        <v/>
      </c>
      <c r="S35" s="26" t="str">
        <f aca="false">IF($A35="","",IF($H35&lt;&gt;"",$H35,IF($N35="","",IFERROR(INDEX($H$5:$H$204,MATCH($N35,$A$5:$A$204,0)),""))))</f>
        <v/>
      </c>
      <c r="T35" s="26" t="str">
        <f aca="false">IF($A35="","",IF($F35&lt;&gt;"",$F35,IF($N35="","",IFERROR(INDEX($F$5:$F$204,MATCH($N35,$A$5:$A$204,0)),""))))</f>
        <v/>
      </c>
      <c r="U35" s="27" t="str">
        <f aca="false">IF($A35="","",SUMIFS(MVT_NET,MVT_LOT,$A35))</f>
        <v/>
      </c>
      <c r="V35" s="28" t="str">
        <f aca="false">IF($A35="","",COUNTIFS(MVT_LOT,$A35,MVT_BRUT,"&lt;&gt;0"))</f>
        <v/>
      </c>
      <c r="W35" s="28" t="str">
        <f aca="false">IF($A35="","",COUNTIFS(QC_LOT,$A35))</f>
        <v/>
      </c>
      <c r="X35" s="26" t="str">
        <f aca="false">IF($A35="","",IFERROR(INDEX(QC_DEC,MATCH($A35,QC_CLEDER,0)),""))</f>
        <v/>
      </c>
      <c r="Y35" s="26" t="str">
        <f aca="false">IF($A35="","",IF(COUNTIF($A$5:$A$204,$A35)&gt;1,IF(SUMPRODUCT(($A$5:$A$204=$A35)*(($C$5:$C$204&lt;&gt;$C35)+($D$5:$D$204&lt;&gt;$D35)))&gt;0,"INCOHERENCE","LOT EN DOUBLE"),"OK"))</f>
        <v/>
      </c>
      <c r="Z35" s="28" t="n">
        <f aca="false">IF($A35="",0,IF(AND($O35&lt;&gt;"",$A35&lt;&gt;R_LOT,$O35=IFERROR(INDEX(LOT_EXTE,MATCH(R_LOT,LOT_KEY,0)),"#")),1,0))</f>
        <v>0</v>
      </c>
      <c r="AA35" s="26" t="str">
        <f aca="false">IF($Z35=0,"",COUNTIF($Z$5:$Z35,1))</f>
        <v/>
      </c>
    </row>
    <row r="36" customFormat="false" ht="15" hidden="false" customHeight="false" outlineLevel="0" collapsed="false">
      <c r="A36" s="24"/>
      <c r="B36" s="24"/>
      <c r="C36" s="24"/>
      <c r="D36" s="24"/>
      <c r="E36" s="24"/>
      <c r="F36" s="24"/>
      <c r="G36" s="24"/>
      <c r="H36" s="24"/>
      <c r="I36" s="24"/>
      <c r="J36" s="24"/>
      <c r="K36" s="25"/>
      <c r="L36" s="24"/>
      <c r="M36" s="24"/>
      <c r="N36" s="26" t="str">
        <f aca="false">IF($A36="","",IF($L36&lt;&gt;"",$L36,IF(IFERROR(INDEX(RES_LOTSRC,MATCH($A36,RES_LOTEFF,0)),"")=$A36,"",IFERROR(INDEX(RES_LOTSRC,MATCH($A36,RES_LOTEFF,0)),""))))</f>
        <v/>
      </c>
      <c r="O36" s="26" t="str">
        <f aca="false">IF($A36="","",IF($B36&lt;&gt;"",$B36,IF($N36="","",IFERROR(INDEX($B$5:$B$204,MATCH($N36,$A$5:$A$204,0)),""))))</f>
        <v/>
      </c>
      <c r="P36" s="26" t="str">
        <f aca="false">IF($A36="","",IF($C36&lt;&gt;"",$C36,IF($N36="","",IFERROR(INDEX($C$5:$C$204,MATCH($N36,$A$5:$A$204,0)),""))))</f>
        <v/>
      </c>
      <c r="Q36" s="26" t="str">
        <f aca="false">IF($A36="","",IF($D36&lt;&gt;"",$D36,IF($N36="","",IFERROR(INDEX($D$5:$D$204,MATCH($N36,$A$5:$A$204,0)),""))))</f>
        <v/>
      </c>
      <c r="R36" s="26" t="str">
        <f aca="false">IF($A36="","",IF($E36&lt;&gt;"",$E36,IF($N36="","",IFERROR(INDEX($E$5:$E$204,MATCH($N36,$A$5:$A$204,0)),""))))</f>
        <v/>
      </c>
      <c r="S36" s="26" t="str">
        <f aca="false">IF($A36="","",IF($H36&lt;&gt;"",$H36,IF($N36="","",IFERROR(INDEX($H$5:$H$204,MATCH($N36,$A$5:$A$204,0)),""))))</f>
        <v/>
      </c>
      <c r="T36" s="26" t="str">
        <f aca="false">IF($A36="","",IF($F36&lt;&gt;"",$F36,IF($N36="","",IFERROR(INDEX($F$5:$F$204,MATCH($N36,$A$5:$A$204,0)),""))))</f>
        <v/>
      </c>
      <c r="U36" s="27" t="str">
        <f aca="false">IF($A36="","",SUMIFS(MVT_NET,MVT_LOT,$A36))</f>
        <v/>
      </c>
      <c r="V36" s="28" t="str">
        <f aca="false">IF($A36="","",COUNTIFS(MVT_LOT,$A36,MVT_BRUT,"&lt;&gt;0"))</f>
        <v/>
      </c>
      <c r="W36" s="28" t="str">
        <f aca="false">IF($A36="","",COUNTIFS(QC_LOT,$A36))</f>
        <v/>
      </c>
      <c r="X36" s="26" t="str">
        <f aca="false">IF($A36="","",IFERROR(INDEX(QC_DEC,MATCH($A36,QC_CLEDER,0)),""))</f>
        <v/>
      </c>
      <c r="Y36" s="26" t="str">
        <f aca="false">IF($A36="","",IF(COUNTIF($A$5:$A$204,$A36)&gt;1,IF(SUMPRODUCT(($A$5:$A$204=$A36)*(($C$5:$C$204&lt;&gt;$C36)+($D$5:$D$204&lt;&gt;$D36)))&gt;0,"INCOHERENCE","LOT EN DOUBLE"),"OK"))</f>
        <v/>
      </c>
      <c r="Z36" s="28" t="n">
        <f aca="false">IF($A36="",0,IF(AND($O36&lt;&gt;"",$A36&lt;&gt;R_LOT,$O36=IFERROR(INDEX(LOT_EXTE,MATCH(R_LOT,LOT_KEY,0)),"#")),1,0))</f>
        <v>0</v>
      </c>
      <c r="AA36" s="26" t="str">
        <f aca="false">IF($Z36=0,"",COUNTIF($Z$5:$Z36,1))</f>
        <v/>
      </c>
    </row>
    <row r="37" customFormat="false" ht="15" hidden="false" customHeight="false" outlineLevel="0" collapsed="false">
      <c r="A37" s="24"/>
      <c r="B37" s="24"/>
      <c r="C37" s="24"/>
      <c r="D37" s="24"/>
      <c r="E37" s="24"/>
      <c r="F37" s="24"/>
      <c r="G37" s="24"/>
      <c r="H37" s="24"/>
      <c r="I37" s="24"/>
      <c r="J37" s="24"/>
      <c r="K37" s="25"/>
      <c r="L37" s="24"/>
      <c r="M37" s="24"/>
      <c r="N37" s="26" t="str">
        <f aca="false">IF($A37="","",IF($L37&lt;&gt;"",$L37,IF(IFERROR(INDEX(RES_LOTSRC,MATCH($A37,RES_LOTEFF,0)),"")=$A37,"",IFERROR(INDEX(RES_LOTSRC,MATCH($A37,RES_LOTEFF,0)),""))))</f>
        <v/>
      </c>
      <c r="O37" s="26" t="str">
        <f aca="false">IF($A37="","",IF($B37&lt;&gt;"",$B37,IF($N37="","",IFERROR(INDEX($B$5:$B$204,MATCH($N37,$A$5:$A$204,0)),""))))</f>
        <v/>
      </c>
      <c r="P37" s="26" t="str">
        <f aca="false">IF($A37="","",IF($C37&lt;&gt;"",$C37,IF($N37="","",IFERROR(INDEX($C$5:$C$204,MATCH($N37,$A$5:$A$204,0)),""))))</f>
        <v/>
      </c>
      <c r="Q37" s="26" t="str">
        <f aca="false">IF($A37="","",IF($D37&lt;&gt;"",$D37,IF($N37="","",IFERROR(INDEX($D$5:$D$204,MATCH($N37,$A$5:$A$204,0)),""))))</f>
        <v/>
      </c>
      <c r="R37" s="26" t="str">
        <f aca="false">IF($A37="","",IF($E37&lt;&gt;"",$E37,IF($N37="","",IFERROR(INDEX($E$5:$E$204,MATCH($N37,$A$5:$A$204,0)),""))))</f>
        <v/>
      </c>
      <c r="S37" s="26" t="str">
        <f aca="false">IF($A37="","",IF($H37&lt;&gt;"",$H37,IF($N37="","",IFERROR(INDEX($H$5:$H$204,MATCH($N37,$A$5:$A$204,0)),""))))</f>
        <v/>
      </c>
      <c r="T37" s="26" t="str">
        <f aca="false">IF($A37="","",IF($F37&lt;&gt;"",$F37,IF($N37="","",IFERROR(INDEX($F$5:$F$204,MATCH($N37,$A$5:$A$204,0)),""))))</f>
        <v/>
      </c>
      <c r="U37" s="27" t="str">
        <f aca="false">IF($A37="","",SUMIFS(MVT_NET,MVT_LOT,$A37))</f>
        <v/>
      </c>
      <c r="V37" s="28" t="str">
        <f aca="false">IF($A37="","",COUNTIFS(MVT_LOT,$A37,MVT_BRUT,"&lt;&gt;0"))</f>
        <v/>
      </c>
      <c r="W37" s="28" t="str">
        <f aca="false">IF($A37="","",COUNTIFS(QC_LOT,$A37))</f>
        <v/>
      </c>
      <c r="X37" s="26" t="str">
        <f aca="false">IF($A37="","",IFERROR(INDEX(QC_DEC,MATCH($A37,QC_CLEDER,0)),""))</f>
        <v/>
      </c>
      <c r="Y37" s="26" t="str">
        <f aca="false">IF($A37="","",IF(COUNTIF($A$5:$A$204,$A37)&gt;1,IF(SUMPRODUCT(($A$5:$A$204=$A37)*(($C$5:$C$204&lt;&gt;$C37)+($D$5:$D$204&lt;&gt;$D37)))&gt;0,"INCOHERENCE","LOT EN DOUBLE"),"OK"))</f>
        <v/>
      </c>
      <c r="Z37" s="28" t="n">
        <f aca="false">IF($A37="",0,IF(AND($O37&lt;&gt;"",$A37&lt;&gt;R_LOT,$O37=IFERROR(INDEX(LOT_EXTE,MATCH(R_LOT,LOT_KEY,0)),"#")),1,0))</f>
        <v>0</v>
      </c>
      <c r="AA37" s="26" t="str">
        <f aca="false">IF($Z37=0,"",COUNTIF($Z$5:$Z37,1))</f>
        <v/>
      </c>
    </row>
    <row r="38" customFormat="false" ht="15" hidden="false" customHeight="false" outlineLevel="0" collapsed="false">
      <c r="A38" s="24"/>
      <c r="B38" s="24"/>
      <c r="C38" s="24"/>
      <c r="D38" s="24"/>
      <c r="E38" s="24"/>
      <c r="F38" s="24"/>
      <c r="G38" s="24"/>
      <c r="H38" s="24"/>
      <c r="I38" s="24"/>
      <c r="J38" s="24"/>
      <c r="K38" s="25"/>
      <c r="L38" s="24"/>
      <c r="M38" s="24"/>
      <c r="N38" s="26" t="str">
        <f aca="false">IF($A38="","",IF($L38&lt;&gt;"",$L38,IF(IFERROR(INDEX(RES_LOTSRC,MATCH($A38,RES_LOTEFF,0)),"")=$A38,"",IFERROR(INDEX(RES_LOTSRC,MATCH($A38,RES_LOTEFF,0)),""))))</f>
        <v/>
      </c>
      <c r="O38" s="26" t="str">
        <f aca="false">IF($A38="","",IF($B38&lt;&gt;"",$B38,IF($N38="","",IFERROR(INDEX($B$5:$B$204,MATCH($N38,$A$5:$A$204,0)),""))))</f>
        <v/>
      </c>
      <c r="P38" s="26" t="str">
        <f aca="false">IF($A38="","",IF($C38&lt;&gt;"",$C38,IF($N38="","",IFERROR(INDEX($C$5:$C$204,MATCH($N38,$A$5:$A$204,0)),""))))</f>
        <v/>
      </c>
      <c r="Q38" s="26" t="str">
        <f aca="false">IF($A38="","",IF($D38&lt;&gt;"",$D38,IF($N38="","",IFERROR(INDEX($D$5:$D$204,MATCH($N38,$A$5:$A$204,0)),""))))</f>
        <v/>
      </c>
      <c r="R38" s="26" t="str">
        <f aca="false">IF($A38="","",IF($E38&lt;&gt;"",$E38,IF($N38="","",IFERROR(INDEX($E$5:$E$204,MATCH($N38,$A$5:$A$204,0)),""))))</f>
        <v/>
      </c>
      <c r="S38" s="26" t="str">
        <f aca="false">IF($A38="","",IF($H38&lt;&gt;"",$H38,IF($N38="","",IFERROR(INDEX($H$5:$H$204,MATCH($N38,$A$5:$A$204,0)),""))))</f>
        <v/>
      </c>
      <c r="T38" s="26" t="str">
        <f aca="false">IF($A38="","",IF($F38&lt;&gt;"",$F38,IF($N38="","",IFERROR(INDEX($F$5:$F$204,MATCH($N38,$A$5:$A$204,0)),""))))</f>
        <v/>
      </c>
      <c r="U38" s="27" t="str">
        <f aca="false">IF($A38="","",SUMIFS(MVT_NET,MVT_LOT,$A38))</f>
        <v/>
      </c>
      <c r="V38" s="28" t="str">
        <f aca="false">IF($A38="","",COUNTIFS(MVT_LOT,$A38,MVT_BRUT,"&lt;&gt;0"))</f>
        <v/>
      </c>
      <c r="W38" s="28" t="str">
        <f aca="false">IF($A38="","",COUNTIFS(QC_LOT,$A38))</f>
        <v/>
      </c>
      <c r="X38" s="26" t="str">
        <f aca="false">IF($A38="","",IFERROR(INDEX(QC_DEC,MATCH($A38,QC_CLEDER,0)),""))</f>
        <v/>
      </c>
      <c r="Y38" s="26" t="str">
        <f aca="false">IF($A38="","",IF(COUNTIF($A$5:$A$204,$A38)&gt;1,IF(SUMPRODUCT(($A$5:$A$204=$A38)*(($C$5:$C$204&lt;&gt;$C38)+($D$5:$D$204&lt;&gt;$D38)))&gt;0,"INCOHERENCE","LOT EN DOUBLE"),"OK"))</f>
        <v/>
      </c>
      <c r="Z38" s="28" t="n">
        <f aca="false">IF($A38="",0,IF(AND($O38&lt;&gt;"",$A38&lt;&gt;R_LOT,$O38=IFERROR(INDEX(LOT_EXTE,MATCH(R_LOT,LOT_KEY,0)),"#")),1,0))</f>
        <v>0</v>
      </c>
      <c r="AA38" s="26" t="str">
        <f aca="false">IF($Z38=0,"",COUNTIF($Z$5:$Z38,1))</f>
        <v/>
      </c>
    </row>
    <row r="39" customFormat="false" ht="15" hidden="false" customHeight="false" outlineLevel="0" collapsed="false">
      <c r="A39" s="24"/>
      <c r="B39" s="24"/>
      <c r="C39" s="24"/>
      <c r="D39" s="24"/>
      <c r="E39" s="24"/>
      <c r="F39" s="24"/>
      <c r="G39" s="24"/>
      <c r="H39" s="24"/>
      <c r="I39" s="24"/>
      <c r="J39" s="24"/>
      <c r="K39" s="25"/>
      <c r="L39" s="24"/>
      <c r="M39" s="24"/>
      <c r="N39" s="26" t="str">
        <f aca="false">IF($A39="","",IF($L39&lt;&gt;"",$L39,IF(IFERROR(INDEX(RES_LOTSRC,MATCH($A39,RES_LOTEFF,0)),"")=$A39,"",IFERROR(INDEX(RES_LOTSRC,MATCH($A39,RES_LOTEFF,0)),""))))</f>
        <v/>
      </c>
      <c r="O39" s="26" t="str">
        <f aca="false">IF($A39="","",IF($B39&lt;&gt;"",$B39,IF($N39="","",IFERROR(INDEX($B$5:$B$204,MATCH($N39,$A$5:$A$204,0)),""))))</f>
        <v/>
      </c>
      <c r="P39" s="26" t="str">
        <f aca="false">IF($A39="","",IF($C39&lt;&gt;"",$C39,IF($N39="","",IFERROR(INDEX($C$5:$C$204,MATCH($N39,$A$5:$A$204,0)),""))))</f>
        <v/>
      </c>
      <c r="Q39" s="26" t="str">
        <f aca="false">IF($A39="","",IF($D39&lt;&gt;"",$D39,IF($N39="","",IFERROR(INDEX($D$5:$D$204,MATCH($N39,$A$5:$A$204,0)),""))))</f>
        <v/>
      </c>
      <c r="R39" s="26" t="str">
        <f aca="false">IF($A39="","",IF($E39&lt;&gt;"",$E39,IF($N39="","",IFERROR(INDEX($E$5:$E$204,MATCH($N39,$A$5:$A$204,0)),""))))</f>
        <v/>
      </c>
      <c r="S39" s="26" t="str">
        <f aca="false">IF($A39="","",IF($H39&lt;&gt;"",$H39,IF($N39="","",IFERROR(INDEX($H$5:$H$204,MATCH($N39,$A$5:$A$204,0)),""))))</f>
        <v/>
      </c>
      <c r="T39" s="26" t="str">
        <f aca="false">IF($A39="","",IF($F39&lt;&gt;"",$F39,IF($N39="","",IFERROR(INDEX($F$5:$F$204,MATCH($N39,$A$5:$A$204,0)),""))))</f>
        <v/>
      </c>
      <c r="U39" s="27" t="str">
        <f aca="false">IF($A39="","",SUMIFS(MVT_NET,MVT_LOT,$A39))</f>
        <v/>
      </c>
      <c r="V39" s="28" t="str">
        <f aca="false">IF($A39="","",COUNTIFS(MVT_LOT,$A39,MVT_BRUT,"&lt;&gt;0"))</f>
        <v/>
      </c>
      <c r="W39" s="28" t="str">
        <f aca="false">IF($A39="","",COUNTIFS(QC_LOT,$A39))</f>
        <v/>
      </c>
      <c r="X39" s="26" t="str">
        <f aca="false">IF($A39="","",IFERROR(INDEX(QC_DEC,MATCH($A39,QC_CLEDER,0)),""))</f>
        <v/>
      </c>
      <c r="Y39" s="26" t="str">
        <f aca="false">IF($A39="","",IF(COUNTIF($A$5:$A$204,$A39)&gt;1,IF(SUMPRODUCT(($A$5:$A$204=$A39)*(($C$5:$C$204&lt;&gt;$C39)+($D$5:$D$204&lt;&gt;$D39)))&gt;0,"INCOHERENCE","LOT EN DOUBLE"),"OK"))</f>
        <v/>
      </c>
      <c r="Z39" s="28" t="n">
        <f aca="false">IF($A39="",0,IF(AND($O39&lt;&gt;"",$A39&lt;&gt;R_LOT,$O39=IFERROR(INDEX(LOT_EXTE,MATCH(R_LOT,LOT_KEY,0)),"#")),1,0))</f>
        <v>0</v>
      </c>
      <c r="AA39" s="26" t="str">
        <f aca="false">IF($Z39=0,"",COUNTIF($Z$5:$Z39,1))</f>
        <v/>
      </c>
    </row>
    <row r="40" customFormat="false" ht="15" hidden="false" customHeight="false" outlineLevel="0" collapsed="false">
      <c r="A40" s="24"/>
      <c r="B40" s="24"/>
      <c r="C40" s="24"/>
      <c r="D40" s="24"/>
      <c r="E40" s="24"/>
      <c r="F40" s="24"/>
      <c r="G40" s="24"/>
      <c r="H40" s="24"/>
      <c r="I40" s="24"/>
      <c r="J40" s="24"/>
      <c r="K40" s="25"/>
      <c r="L40" s="24"/>
      <c r="M40" s="24"/>
      <c r="N40" s="26" t="str">
        <f aca="false">IF($A40="","",IF($L40&lt;&gt;"",$L40,IF(IFERROR(INDEX(RES_LOTSRC,MATCH($A40,RES_LOTEFF,0)),"")=$A40,"",IFERROR(INDEX(RES_LOTSRC,MATCH($A40,RES_LOTEFF,0)),""))))</f>
        <v/>
      </c>
      <c r="O40" s="26" t="str">
        <f aca="false">IF($A40="","",IF($B40&lt;&gt;"",$B40,IF($N40="","",IFERROR(INDEX($B$5:$B$204,MATCH($N40,$A$5:$A$204,0)),""))))</f>
        <v/>
      </c>
      <c r="P40" s="26" t="str">
        <f aca="false">IF($A40="","",IF($C40&lt;&gt;"",$C40,IF($N40="","",IFERROR(INDEX($C$5:$C$204,MATCH($N40,$A$5:$A$204,0)),""))))</f>
        <v/>
      </c>
      <c r="Q40" s="26" t="str">
        <f aca="false">IF($A40="","",IF($D40&lt;&gt;"",$D40,IF($N40="","",IFERROR(INDEX($D$5:$D$204,MATCH($N40,$A$5:$A$204,0)),""))))</f>
        <v/>
      </c>
      <c r="R40" s="26" t="str">
        <f aca="false">IF($A40="","",IF($E40&lt;&gt;"",$E40,IF($N40="","",IFERROR(INDEX($E$5:$E$204,MATCH($N40,$A$5:$A$204,0)),""))))</f>
        <v/>
      </c>
      <c r="S40" s="26" t="str">
        <f aca="false">IF($A40="","",IF($H40&lt;&gt;"",$H40,IF($N40="","",IFERROR(INDEX($H$5:$H$204,MATCH($N40,$A$5:$A$204,0)),""))))</f>
        <v/>
      </c>
      <c r="T40" s="26" t="str">
        <f aca="false">IF($A40="","",IF($F40&lt;&gt;"",$F40,IF($N40="","",IFERROR(INDEX($F$5:$F$204,MATCH($N40,$A$5:$A$204,0)),""))))</f>
        <v/>
      </c>
      <c r="U40" s="27" t="str">
        <f aca="false">IF($A40="","",SUMIFS(MVT_NET,MVT_LOT,$A40))</f>
        <v/>
      </c>
      <c r="V40" s="28" t="str">
        <f aca="false">IF($A40="","",COUNTIFS(MVT_LOT,$A40,MVT_BRUT,"&lt;&gt;0"))</f>
        <v/>
      </c>
      <c r="W40" s="28" t="str">
        <f aca="false">IF($A40="","",COUNTIFS(QC_LOT,$A40))</f>
        <v/>
      </c>
      <c r="X40" s="26" t="str">
        <f aca="false">IF($A40="","",IFERROR(INDEX(QC_DEC,MATCH($A40,QC_CLEDER,0)),""))</f>
        <v/>
      </c>
      <c r="Y40" s="26" t="str">
        <f aca="false">IF($A40="","",IF(COUNTIF($A$5:$A$204,$A40)&gt;1,IF(SUMPRODUCT(($A$5:$A$204=$A40)*(($C$5:$C$204&lt;&gt;$C40)+($D$5:$D$204&lt;&gt;$D40)))&gt;0,"INCOHERENCE","LOT EN DOUBLE"),"OK"))</f>
        <v/>
      </c>
      <c r="Z40" s="28" t="n">
        <f aca="false">IF($A40="",0,IF(AND($O40&lt;&gt;"",$A40&lt;&gt;R_LOT,$O40=IFERROR(INDEX(LOT_EXTE,MATCH(R_LOT,LOT_KEY,0)),"#")),1,0))</f>
        <v>0</v>
      </c>
      <c r="AA40" s="26" t="str">
        <f aca="false">IF($Z40=0,"",COUNTIF($Z$5:$Z40,1))</f>
        <v/>
      </c>
    </row>
    <row r="41" customFormat="false" ht="15" hidden="false" customHeight="false" outlineLevel="0" collapsed="false">
      <c r="A41" s="24"/>
      <c r="B41" s="24"/>
      <c r="C41" s="24"/>
      <c r="D41" s="24"/>
      <c r="E41" s="24"/>
      <c r="F41" s="24"/>
      <c r="G41" s="24"/>
      <c r="H41" s="24"/>
      <c r="I41" s="24"/>
      <c r="J41" s="24"/>
      <c r="K41" s="25"/>
      <c r="L41" s="24"/>
      <c r="M41" s="24"/>
      <c r="N41" s="26" t="str">
        <f aca="false">IF($A41="","",IF($L41&lt;&gt;"",$L41,IF(IFERROR(INDEX(RES_LOTSRC,MATCH($A41,RES_LOTEFF,0)),"")=$A41,"",IFERROR(INDEX(RES_LOTSRC,MATCH($A41,RES_LOTEFF,0)),""))))</f>
        <v/>
      </c>
      <c r="O41" s="26" t="str">
        <f aca="false">IF($A41="","",IF($B41&lt;&gt;"",$B41,IF($N41="","",IFERROR(INDEX($B$5:$B$204,MATCH($N41,$A$5:$A$204,0)),""))))</f>
        <v/>
      </c>
      <c r="P41" s="26" t="str">
        <f aca="false">IF($A41="","",IF($C41&lt;&gt;"",$C41,IF($N41="","",IFERROR(INDEX($C$5:$C$204,MATCH($N41,$A$5:$A$204,0)),""))))</f>
        <v/>
      </c>
      <c r="Q41" s="26" t="str">
        <f aca="false">IF($A41="","",IF($D41&lt;&gt;"",$D41,IF($N41="","",IFERROR(INDEX($D$5:$D$204,MATCH($N41,$A$5:$A$204,0)),""))))</f>
        <v/>
      </c>
      <c r="R41" s="26" t="str">
        <f aca="false">IF($A41="","",IF($E41&lt;&gt;"",$E41,IF($N41="","",IFERROR(INDEX($E$5:$E$204,MATCH($N41,$A$5:$A$204,0)),""))))</f>
        <v/>
      </c>
      <c r="S41" s="26" t="str">
        <f aca="false">IF($A41="","",IF($H41&lt;&gt;"",$H41,IF($N41="","",IFERROR(INDEX($H$5:$H$204,MATCH($N41,$A$5:$A$204,0)),""))))</f>
        <v/>
      </c>
      <c r="T41" s="26" t="str">
        <f aca="false">IF($A41="","",IF($F41&lt;&gt;"",$F41,IF($N41="","",IFERROR(INDEX($F$5:$F$204,MATCH($N41,$A$5:$A$204,0)),""))))</f>
        <v/>
      </c>
      <c r="U41" s="27" t="str">
        <f aca="false">IF($A41="","",SUMIFS(MVT_NET,MVT_LOT,$A41))</f>
        <v/>
      </c>
      <c r="V41" s="28" t="str">
        <f aca="false">IF($A41="","",COUNTIFS(MVT_LOT,$A41,MVT_BRUT,"&lt;&gt;0"))</f>
        <v/>
      </c>
      <c r="W41" s="28" t="str">
        <f aca="false">IF($A41="","",COUNTIFS(QC_LOT,$A41))</f>
        <v/>
      </c>
      <c r="X41" s="26" t="str">
        <f aca="false">IF($A41="","",IFERROR(INDEX(QC_DEC,MATCH($A41,QC_CLEDER,0)),""))</f>
        <v/>
      </c>
      <c r="Y41" s="26" t="str">
        <f aca="false">IF($A41="","",IF(COUNTIF($A$5:$A$204,$A41)&gt;1,IF(SUMPRODUCT(($A$5:$A$204=$A41)*(($C$5:$C$204&lt;&gt;$C41)+($D$5:$D$204&lt;&gt;$D41)))&gt;0,"INCOHERENCE","LOT EN DOUBLE"),"OK"))</f>
        <v/>
      </c>
      <c r="Z41" s="28" t="n">
        <f aca="false">IF($A41="",0,IF(AND($O41&lt;&gt;"",$A41&lt;&gt;R_LOT,$O41=IFERROR(INDEX(LOT_EXTE,MATCH(R_LOT,LOT_KEY,0)),"#")),1,0))</f>
        <v>0</v>
      </c>
      <c r="AA41" s="26" t="str">
        <f aca="false">IF($Z41=0,"",COUNTIF($Z$5:$Z41,1))</f>
        <v/>
      </c>
    </row>
    <row r="42" customFormat="false" ht="15" hidden="false" customHeight="false" outlineLevel="0" collapsed="false">
      <c r="A42" s="24"/>
      <c r="B42" s="24"/>
      <c r="C42" s="24"/>
      <c r="D42" s="24"/>
      <c r="E42" s="24"/>
      <c r="F42" s="24"/>
      <c r="G42" s="24"/>
      <c r="H42" s="24"/>
      <c r="I42" s="24"/>
      <c r="J42" s="24"/>
      <c r="K42" s="25"/>
      <c r="L42" s="24"/>
      <c r="M42" s="24"/>
      <c r="N42" s="26" t="str">
        <f aca="false">IF($A42="","",IF($L42&lt;&gt;"",$L42,IF(IFERROR(INDEX(RES_LOTSRC,MATCH($A42,RES_LOTEFF,0)),"")=$A42,"",IFERROR(INDEX(RES_LOTSRC,MATCH($A42,RES_LOTEFF,0)),""))))</f>
        <v/>
      </c>
      <c r="O42" s="26" t="str">
        <f aca="false">IF($A42="","",IF($B42&lt;&gt;"",$B42,IF($N42="","",IFERROR(INDEX($B$5:$B$204,MATCH($N42,$A$5:$A$204,0)),""))))</f>
        <v/>
      </c>
      <c r="P42" s="26" t="str">
        <f aca="false">IF($A42="","",IF($C42&lt;&gt;"",$C42,IF($N42="","",IFERROR(INDEX($C$5:$C$204,MATCH($N42,$A$5:$A$204,0)),""))))</f>
        <v/>
      </c>
      <c r="Q42" s="26" t="str">
        <f aca="false">IF($A42="","",IF($D42&lt;&gt;"",$D42,IF($N42="","",IFERROR(INDEX($D$5:$D$204,MATCH($N42,$A$5:$A$204,0)),""))))</f>
        <v/>
      </c>
      <c r="R42" s="26" t="str">
        <f aca="false">IF($A42="","",IF($E42&lt;&gt;"",$E42,IF($N42="","",IFERROR(INDEX($E$5:$E$204,MATCH($N42,$A$5:$A$204,0)),""))))</f>
        <v/>
      </c>
      <c r="S42" s="26" t="str">
        <f aca="false">IF($A42="","",IF($H42&lt;&gt;"",$H42,IF($N42="","",IFERROR(INDEX($H$5:$H$204,MATCH($N42,$A$5:$A$204,0)),""))))</f>
        <v/>
      </c>
      <c r="T42" s="26" t="str">
        <f aca="false">IF($A42="","",IF($F42&lt;&gt;"",$F42,IF($N42="","",IFERROR(INDEX($F$5:$F$204,MATCH($N42,$A$5:$A$204,0)),""))))</f>
        <v/>
      </c>
      <c r="U42" s="27" t="str">
        <f aca="false">IF($A42="","",SUMIFS(MVT_NET,MVT_LOT,$A42))</f>
        <v/>
      </c>
      <c r="V42" s="28" t="str">
        <f aca="false">IF($A42="","",COUNTIFS(MVT_LOT,$A42,MVT_BRUT,"&lt;&gt;0"))</f>
        <v/>
      </c>
      <c r="W42" s="28" t="str">
        <f aca="false">IF($A42="","",COUNTIFS(QC_LOT,$A42))</f>
        <v/>
      </c>
      <c r="X42" s="26" t="str">
        <f aca="false">IF($A42="","",IFERROR(INDEX(QC_DEC,MATCH($A42,QC_CLEDER,0)),""))</f>
        <v/>
      </c>
      <c r="Y42" s="26" t="str">
        <f aca="false">IF($A42="","",IF(COUNTIF($A$5:$A$204,$A42)&gt;1,IF(SUMPRODUCT(($A$5:$A$204=$A42)*(($C$5:$C$204&lt;&gt;$C42)+($D$5:$D$204&lt;&gt;$D42)))&gt;0,"INCOHERENCE","LOT EN DOUBLE"),"OK"))</f>
        <v/>
      </c>
      <c r="Z42" s="28" t="n">
        <f aca="false">IF($A42="",0,IF(AND($O42&lt;&gt;"",$A42&lt;&gt;R_LOT,$O42=IFERROR(INDEX(LOT_EXTE,MATCH(R_LOT,LOT_KEY,0)),"#")),1,0))</f>
        <v>0</v>
      </c>
      <c r="AA42" s="26" t="str">
        <f aca="false">IF($Z42=0,"",COUNTIF($Z$5:$Z42,1))</f>
        <v/>
      </c>
    </row>
    <row r="43" customFormat="false" ht="15" hidden="false" customHeight="false" outlineLevel="0" collapsed="false">
      <c r="A43" s="24"/>
      <c r="B43" s="24"/>
      <c r="C43" s="24"/>
      <c r="D43" s="24"/>
      <c r="E43" s="24"/>
      <c r="F43" s="24"/>
      <c r="G43" s="24"/>
      <c r="H43" s="24"/>
      <c r="I43" s="24"/>
      <c r="J43" s="24"/>
      <c r="K43" s="25"/>
      <c r="L43" s="24"/>
      <c r="M43" s="24"/>
      <c r="N43" s="26" t="str">
        <f aca="false">IF($A43="","",IF($L43&lt;&gt;"",$L43,IF(IFERROR(INDEX(RES_LOTSRC,MATCH($A43,RES_LOTEFF,0)),"")=$A43,"",IFERROR(INDEX(RES_LOTSRC,MATCH($A43,RES_LOTEFF,0)),""))))</f>
        <v/>
      </c>
      <c r="O43" s="26" t="str">
        <f aca="false">IF($A43="","",IF($B43&lt;&gt;"",$B43,IF($N43="","",IFERROR(INDEX($B$5:$B$204,MATCH($N43,$A$5:$A$204,0)),""))))</f>
        <v/>
      </c>
      <c r="P43" s="26" t="str">
        <f aca="false">IF($A43="","",IF($C43&lt;&gt;"",$C43,IF($N43="","",IFERROR(INDEX($C$5:$C$204,MATCH($N43,$A$5:$A$204,0)),""))))</f>
        <v/>
      </c>
      <c r="Q43" s="26" t="str">
        <f aca="false">IF($A43="","",IF($D43&lt;&gt;"",$D43,IF($N43="","",IFERROR(INDEX($D$5:$D$204,MATCH($N43,$A$5:$A$204,0)),""))))</f>
        <v/>
      </c>
      <c r="R43" s="26" t="str">
        <f aca="false">IF($A43="","",IF($E43&lt;&gt;"",$E43,IF($N43="","",IFERROR(INDEX($E$5:$E$204,MATCH($N43,$A$5:$A$204,0)),""))))</f>
        <v/>
      </c>
      <c r="S43" s="26" t="str">
        <f aca="false">IF($A43="","",IF($H43&lt;&gt;"",$H43,IF($N43="","",IFERROR(INDEX($H$5:$H$204,MATCH($N43,$A$5:$A$204,0)),""))))</f>
        <v/>
      </c>
      <c r="T43" s="26" t="str">
        <f aca="false">IF($A43="","",IF($F43&lt;&gt;"",$F43,IF($N43="","",IFERROR(INDEX($F$5:$F$204,MATCH($N43,$A$5:$A$204,0)),""))))</f>
        <v/>
      </c>
      <c r="U43" s="27" t="str">
        <f aca="false">IF($A43="","",SUMIFS(MVT_NET,MVT_LOT,$A43))</f>
        <v/>
      </c>
      <c r="V43" s="28" t="str">
        <f aca="false">IF($A43="","",COUNTIFS(MVT_LOT,$A43,MVT_BRUT,"&lt;&gt;0"))</f>
        <v/>
      </c>
      <c r="W43" s="28" t="str">
        <f aca="false">IF($A43="","",COUNTIFS(QC_LOT,$A43))</f>
        <v/>
      </c>
      <c r="X43" s="26" t="str">
        <f aca="false">IF($A43="","",IFERROR(INDEX(QC_DEC,MATCH($A43,QC_CLEDER,0)),""))</f>
        <v/>
      </c>
      <c r="Y43" s="26" t="str">
        <f aca="false">IF($A43="","",IF(COUNTIF($A$5:$A$204,$A43)&gt;1,IF(SUMPRODUCT(($A$5:$A$204=$A43)*(($C$5:$C$204&lt;&gt;$C43)+($D$5:$D$204&lt;&gt;$D43)))&gt;0,"INCOHERENCE","LOT EN DOUBLE"),"OK"))</f>
        <v/>
      </c>
      <c r="Z43" s="28" t="n">
        <f aca="false">IF($A43="",0,IF(AND($O43&lt;&gt;"",$A43&lt;&gt;R_LOT,$O43=IFERROR(INDEX(LOT_EXTE,MATCH(R_LOT,LOT_KEY,0)),"#")),1,0))</f>
        <v>0</v>
      </c>
      <c r="AA43" s="26" t="str">
        <f aca="false">IF($Z43=0,"",COUNTIF($Z$5:$Z43,1))</f>
        <v/>
      </c>
    </row>
    <row r="44" customFormat="false" ht="15" hidden="false" customHeight="false" outlineLevel="0" collapsed="false">
      <c r="A44" s="24"/>
      <c r="B44" s="24"/>
      <c r="C44" s="24"/>
      <c r="D44" s="24"/>
      <c r="E44" s="24"/>
      <c r="F44" s="24"/>
      <c r="G44" s="24"/>
      <c r="H44" s="24"/>
      <c r="I44" s="24"/>
      <c r="J44" s="24"/>
      <c r="K44" s="25"/>
      <c r="L44" s="24"/>
      <c r="M44" s="24"/>
      <c r="N44" s="26" t="str">
        <f aca="false">IF($A44="","",IF($L44&lt;&gt;"",$L44,IF(IFERROR(INDEX(RES_LOTSRC,MATCH($A44,RES_LOTEFF,0)),"")=$A44,"",IFERROR(INDEX(RES_LOTSRC,MATCH($A44,RES_LOTEFF,0)),""))))</f>
        <v/>
      </c>
      <c r="O44" s="26" t="str">
        <f aca="false">IF($A44="","",IF($B44&lt;&gt;"",$B44,IF($N44="","",IFERROR(INDEX($B$5:$B$204,MATCH($N44,$A$5:$A$204,0)),""))))</f>
        <v/>
      </c>
      <c r="P44" s="26" t="str">
        <f aca="false">IF($A44="","",IF($C44&lt;&gt;"",$C44,IF($N44="","",IFERROR(INDEX($C$5:$C$204,MATCH($N44,$A$5:$A$204,0)),""))))</f>
        <v/>
      </c>
      <c r="Q44" s="26" t="str">
        <f aca="false">IF($A44="","",IF($D44&lt;&gt;"",$D44,IF($N44="","",IFERROR(INDEX($D$5:$D$204,MATCH($N44,$A$5:$A$204,0)),""))))</f>
        <v/>
      </c>
      <c r="R44" s="26" t="str">
        <f aca="false">IF($A44="","",IF($E44&lt;&gt;"",$E44,IF($N44="","",IFERROR(INDEX($E$5:$E$204,MATCH($N44,$A$5:$A$204,0)),""))))</f>
        <v/>
      </c>
      <c r="S44" s="26" t="str">
        <f aca="false">IF($A44="","",IF($H44&lt;&gt;"",$H44,IF($N44="","",IFERROR(INDEX($H$5:$H$204,MATCH($N44,$A$5:$A$204,0)),""))))</f>
        <v/>
      </c>
      <c r="T44" s="26" t="str">
        <f aca="false">IF($A44="","",IF($F44&lt;&gt;"",$F44,IF($N44="","",IFERROR(INDEX($F$5:$F$204,MATCH($N44,$A$5:$A$204,0)),""))))</f>
        <v/>
      </c>
      <c r="U44" s="27" t="str">
        <f aca="false">IF($A44="","",SUMIFS(MVT_NET,MVT_LOT,$A44))</f>
        <v/>
      </c>
      <c r="V44" s="28" t="str">
        <f aca="false">IF($A44="","",COUNTIFS(MVT_LOT,$A44,MVT_BRUT,"&lt;&gt;0"))</f>
        <v/>
      </c>
      <c r="W44" s="28" t="str">
        <f aca="false">IF($A44="","",COUNTIFS(QC_LOT,$A44))</f>
        <v/>
      </c>
      <c r="X44" s="26" t="str">
        <f aca="false">IF($A44="","",IFERROR(INDEX(QC_DEC,MATCH($A44,QC_CLEDER,0)),""))</f>
        <v/>
      </c>
      <c r="Y44" s="26" t="str">
        <f aca="false">IF($A44="","",IF(COUNTIF($A$5:$A$204,$A44)&gt;1,IF(SUMPRODUCT(($A$5:$A$204=$A44)*(($C$5:$C$204&lt;&gt;$C44)+($D$5:$D$204&lt;&gt;$D44)))&gt;0,"INCOHERENCE","LOT EN DOUBLE"),"OK"))</f>
        <v/>
      </c>
      <c r="Z44" s="28" t="n">
        <f aca="false">IF($A44="",0,IF(AND($O44&lt;&gt;"",$A44&lt;&gt;R_LOT,$O44=IFERROR(INDEX(LOT_EXTE,MATCH(R_LOT,LOT_KEY,0)),"#")),1,0))</f>
        <v>0</v>
      </c>
      <c r="AA44" s="26" t="str">
        <f aca="false">IF($Z44=0,"",COUNTIF($Z$5:$Z44,1))</f>
        <v/>
      </c>
    </row>
    <row r="45" customFormat="false" ht="15" hidden="false" customHeight="false" outlineLevel="0" collapsed="false">
      <c r="A45" s="24"/>
      <c r="B45" s="24"/>
      <c r="C45" s="24"/>
      <c r="D45" s="24"/>
      <c r="E45" s="24"/>
      <c r="F45" s="24"/>
      <c r="G45" s="24"/>
      <c r="H45" s="24"/>
      <c r="I45" s="24"/>
      <c r="J45" s="24"/>
      <c r="K45" s="25"/>
      <c r="L45" s="24"/>
      <c r="M45" s="24"/>
      <c r="N45" s="26" t="str">
        <f aca="false">IF($A45="","",IF($L45&lt;&gt;"",$L45,IF(IFERROR(INDEX(RES_LOTSRC,MATCH($A45,RES_LOTEFF,0)),"")=$A45,"",IFERROR(INDEX(RES_LOTSRC,MATCH($A45,RES_LOTEFF,0)),""))))</f>
        <v/>
      </c>
      <c r="O45" s="26" t="str">
        <f aca="false">IF($A45="","",IF($B45&lt;&gt;"",$B45,IF($N45="","",IFERROR(INDEX($B$5:$B$204,MATCH($N45,$A$5:$A$204,0)),""))))</f>
        <v/>
      </c>
      <c r="P45" s="26" t="str">
        <f aca="false">IF($A45="","",IF($C45&lt;&gt;"",$C45,IF($N45="","",IFERROR(INDEX($C$5:$C$204,MATCH($N45,$A$5:$A$204,0)),""))))</f>
        <v/>
      </c>
      <c r="Q45" s="26" t="str">
        <f aca="false">IF($A45="","",IF($D45&lt;&gt;"",$D45,IF($N45="","",IFERROR(INDEX($D$5:$D$204,MATCH($N45,$A$5:$A$204,0)),""))))</f>
        <v/>
      </c>
      <c r="R45" s="26" t="str">
        <f aca="false">IF($A45="","",IF($E45&lt;&gt;"",$E45,IF($N45="","",IFERROR(INDEX($E$5:$E$204,MATCH($N45,$A$5:$A$204,0)),""))))</f>
        <v/>
      </c>
      <c r="S45" s="26" t="str">
        <f aca="false">IF($A45="","",IF($H45&lt;&gt;"",$H45,IF($N45="","",IFERROR(INDEX($H$5:$H$204,MATCH($N45,$A$5:$A$204,0)),""))))</f>
        <v/>
      </c>
      <c r="T45" s="26" t="str">
        <f aca="false">IF($A45="","",IF($F45&lt;&gt;"",$F45,IF($N45="","",IFERROR(INDEX($F$5:$F$204,MATCH($N45,$A$5:$A$204,0)),""))))</f>
        <v/>
      </c>
      <c r="U45" s="27" t="str">
        <f aca="false">IF($A45="","",SUMIFS(MVT_NET,MVT_LOT,$A45))</f>
        <v/>
      </c>
      <c r="V45" s="28" t="str">
        <f aca="false">IF($A45="","",COUNTIFS(MVT_LOT,$A45,MVT_BRUT,"&lt;&gt;0"))</f>
        <v/>
      </c>
      <c r="W45" s="28" t="str">
        <f aca="false">IF($A45="","",COUNTIFS(QC_LOT,$A45))</f>
        <v/>
      </c>
      <c r="X45" s="26" t="str">
        <f aca="false">IF($A45="","",IFERROR(INDEX(QC_DEC,MATCH($A45,QC_CLEDER,0)),""))</f>
        <v/>
      </c>
      <c r="Y45" s="26" t="str">
        <f aca="false">IF($A45="","",IF(COUNTIF($A$5:$A$204,$A45)&gt;1,IF(SUMPRODUCT(($A$5:$A$204=$A45)*(($C$5:$C$204&lt;&gt;$C45)+($D$5:$D$204&lt;&gt;$D45)))&gt;0,"INCOHERENCE","LOT EN DOUBLE"),"OK"))</f>
        <v/>
      </c>
      <c r="Z45" s="28" t="n">
        <f aca="false">IF($A45="",0,IF(AND($O45&lt;&gt;"",$A45&lt;&gt;R_LOT,$O45=IFERROR(INDEX(LOT_EXTE,MATCH(R_LOT,LOT_KEY,0)),"#")),1,0))</f>
        <v>0</v>
      </c>
      <c r="AA45" s="26" t="str">
        <f aca="false">IF($Z45=0,"",COUNTIF($Z$5:$Z45,1))</f>
        <v/>
      </c>
    </row>
    <row r="46" customFormat="false" ht="15" hidden="false" customHeight="false" outlineLevel="0" collapsed="false">
      <c r="A46" s="24"/>
      <c r="B46" s="24"/>
      <c r="C46" s="24"/>
      <c r="D46" s="24"/>
      <c r="E46" s="24"/>
      <c r="F46" s="24"/>
      <c r="G46" s="24"/>
      <c r="H46" s="24"/>
      <c r="I46" s="24"/>
      <c r="J46" s="24"/>
      <c r="K46" s="25"/>
      <c r="L46" s="24"/>
      <c r="M46" s="24"/>
      <c r="N46" s="26" t="str">
        <f aca="false">IF($A46="","",IF($L46&lt;&gt;"",$L46,IF(IFERROR(INDEX(RES_LOTSRC,MATCH($A46,RES_LOTEFF,0)),"")=$A46,"",IFERROR(INDEX(RES_LOTSRC,MATCH($A46,RES_LOTEFF,0)),""))))</f>
        <v/>
      </c>
      <c r="O46" s="26" t="str">
        <f aca="false">IF($A46="","",IF($B46&lt;&gt;"",$B46,IF($N46="","",IFERROR(INDEX($B$5:$B$204,MATCH($N46,$A$5:$A$204,0)),""))))</f>
        <v/>
      </c>
      <c r="P46" s="26" t="str">
        <f aca="false">IF($A46="","",IF($C46&lt;&gt;"",$C46,IF($N46="","",IFERROR(INDEX($C$5:$C$204,MATCH($N46,$A$5:$A$204,0)),""))))</f>
        <v/>
      </c>
      <c r="Q46" s="26" t="str">
        <f aca="false">IF($A46="","",IF($D46&lt;&gt;"",$D46,IF($N46="","",IFERROR(INDEX($D$5:$D$204,MATCH($N46,$A$5:$A$204,0)),""))))</f>
        <v/>
      </c>
      <c r="R46" s="26" t="str">
        <f aca="false">IF($A46="","",IF($E46&lt;&gt;"",$E46,IF($N46="","",IFERROR(INDEX($E$5:$E$204,MATCH($N46,$A$5:$A$204,0)),""))))</f>
        <v/>
      </c>
      <c r="S46" s="26" t="str">
        <f aca="false">IF($A46="","",IF($H46&lt;&gt;"",$H46,IF($N46="","",IFERROR(INDEX($H$5:$H$204,MATCH($N46,$A$5:$A$204,0)),""))))</f>
        <v/>
      </c>
      <c r="T46" s="26" t="str">
        <f aca="false">IF($A46="","",IF($F46&lt;&gt;"",$F46,IF($N46="","",IFERROR(INDEX($F$5:$F$204,MATCH($N46,$A$5:$A$204,0)),""))))</f>
        <v/>
      </c>
      <c r="U46" s="27" t="str">
        <f aca="false">IF($A46="","",SUMIFS(MVT_NET,MVT_LOT,$A46))</f>
        <v/>
      </c>
      <c r="V46" s="28" t="str">
        <f aca="false">IF($A46="","",COUNTIFS(MVT_LOT,$A46,MVT_BRUT,"&lt;&gt;0"))</f>
        <v/>
      </c>
      <c r="W46" s="28" t="str">
        <f aca="false">IF($A46="","",COUNTIFS(QC_LOT,$A46))</f>
        <v/>
      </c>
      <c r="X46" s="26" t="str">
        <f aca="false">IF($A46="","",IFERROR(INDEX(QC_DEC,MATCH($A46,QC_CLEDER,0)),""))</f>
        <v/>
      </c>
      <c r="Y46" s="26" t="str">
        <f aca="false">IF($A46="","",IF(COUNTIF($A$5:$A$204,$A46)&gt;1,IF(SUMPRODUCT(($A$5:$A$204=$A46)*(($C$5:$C$204&lt;&gt;$C46)+($D$5:$D$204&lt;&gt;$D46)))&gt;0,"INCOHERENCE","LOT EN DOUBLE"),"OK"))</f>
        <v/>
      </c>
      <c r="Z46" s="28" t="n">
        <f aca="false">IF($A46="",0,IF(AND($O46&lt;&gt;"",$A46&lt;&gt;R_LOT,$O46=IFERROR(INDEX(LOT_EXTE,MATCH(R_LOT,LOT_KEY,0)),"#")),1,0))</f>
        <v>0</v>
      </c>
      <c r="AA46" s="26" t="str">
        <f aca="false">IF($Z46=0,"",COUNTIF($Z$5:$Z46,1))</f>
        <v/>
      </c>
    </row>
    <row r="47" customFormat="false" ht="15" hidden="false" customHeight="false" outlineLevel="0" collapsed="false">
      <c r="A47" s="24"/>
      <c r="B47" s="24"/>
      <c r="C47" s="24"/>
      <c r="D47" s="24"/>
      <c r="E47" s="24"/>
      <c r="F47" s="24"/>
      <c r="G47" s="24"/>
      <c r="H47" s="24"/>
      <c r="I47" s="24"/>
      <c r="J47" s="24"/>
      <c r="K47" s="25"/>
      <c r="L47" s="24"/>
      <c r="M47" s="24"/>
      <c r="N47" s="26" t="str">
        <f aca="false">IF($A47="","",IF($L47&lt;&gt;"",$L47,IF(IFERROR(INDEX(RES_LOTSRC,MATCH($A47,RES_LOTEFF,0)),"")=$A47,"",IFERROR(INDEX(RES_LOTSRC,MATCH($A47,RES_LOTEFF,0)),""))))</f>
        <v/>
      </c>
      <c r="O47" s="26" t="str">
        <f aca="false">IF($A47="","",IF($B47&lt;&gt;"",$B47,IF($N47="","",IFERROR(INDEX($B$5:$B$204,MATCH($N47,$A$5:$A$204,0)),""))))</f>
        <v/>
      </c>
      <c r="P47" s="26" t="str">
        <f aca="false">IF($A47="","",IF($C47&lt;&gt;"",$C47,IF($N47="","",IFERROR(INDEX($C$5:$C$204,MATCH($N47,$A$5:$A$204,0)),""))))</f>
        <v/>
      </c>
      <c r="Q47" s="26" t="str">
        <f aca="false">IF($A47="","",IF($D47&lt;&gt;"",$D47,IF($N47="","",IFERROR(INDEX($D$5:$D$204,MATCH($N47,$A$5:$A$204,0)),""))))</f>
        <v/>
      </c>
      <c r="R47" s="26" t="str">
        <f aca="false">IF($A47="","",IF($E47&lt;&gt;"",$E47,IF($N47="","",IFERROR(INDEX($E$5:$E$204,MATCH($N47,$A$5:$A$204,0)),""))))</f>
        <v/>
      </c>
      <c r="S47" s="26" t="str">
        <f aca="false">IF($A47="","",IF($H47&lt;&gt;"",$H47,IF($N47="","",IFERROR(INDEX($H$5:$H$204,MATCH($N47,$A$5:$A$204,0)),""))))</f>
        <v/>
      </c>
      <c r="T47" s="26" t="str">
        <f aca="false">IF($A47="","",IF($F47&lt;&gt;"",$F47,IF($N47="","",IFERROR(INDEX($F$5:$F$204,MATCH($N47,$A$5:$A$204,0)),""))))</f>
        <v/>
      </c>
      <c r="U47" s="27" t="str">
        <f aca="false">IF($A47="","",SUMIFS(MVT_NET,MVT_LOT,$A47))</f>
        <v/>
      </c>
      <c r="V47" s="28" t="str">
        <f aca="false">IF($A47="","",COUNTIFS(MVT_LOT,$A47,MVT_BRUT,"&lt;&gt;0"))</f>
        <v/>
      </c>
      <c r="W47" s="28" t="str">
        <f aca="false">IF($A47="","",COUNTIFS(QC_LOT,$A47))</f>
        <v/>
      </c>
      <c r="X47" s="26" t="str">
        <f aca="false">IF($A47="","",IFERROR(INDEX(QC_DEC,MATCH($A47,QC_CLEDER,0)),""))</f>
        <v/>
      </c>
      <c r="Y47" s="26" t="str">
        <f aca="false">IF($A47="","",IF(COUNTIF($A$5:$A$204,$A47)&gt;1,IF(SUMPRODUCT(($A$5:$A$204=$A47)*(($C$5:$C$204&lt;&gt;$C47)+($D$5:$D$204&lt;&gt;$D47)))&gt;0,"INCOHERENCE","LOT EN DOUBLE"),"OK"))</f>
        <v/>
      </c>
      <c r="Z47" s="28" t="n">
        <f aca="false">IF($A47="",0,IF(AND($O47&lt;&gt;"",$A47&lt;&gt;R_LOT,$O47=IFERROR(INDEX(LOT_EXTE,MATCH(R_LOT,LOT_KEY,0)),"#")),1,0))</f>
        <v>0</v>
      </c>
      <c r="AA47" s="26" t="str">
        <f aca="false">IF($Z47=0,"",COUNTIF($Z$5:$Z47,1))</f>
        <v/>
      </c>
    </row>
    <row r="48" customFormat="false" ht="15" hidden="false" customHeight="false" outlineLevel="0" collapsed="false">
      <c r="A48" s="24"/>
      <c r="B48" s="24"/>
      <c r="C48" s="24"/>
      <c r="D48" s="24"/>
      <c r="E48" s="24"/>
      <c r="F48" s="24"/>
      <c r="G48" s="24"/>
      <c r="H48" s="24"/>
      <c r="I48" s="24"/>
      <c r="J48" s="24"/>
      <c r="K48" s="25"/>
      <c r="L48" s="24"/>
      <c r="M48" s="24"/>
      <c r="N48" s="26" t="str">
        <f aca="false">IF($A48="","",IF($L48&lt;&gt;"",$L48,IF(IFERROR(INDEX(RES_LOTSRC,MATCH($A48,RES_LOTEFF,0)),"")=$A48,"",IFERROR(INDEX(RES_LOTSRC,MATCH($A48,RES_LOTEFF,0)),""))))</f>
        <v/>
      </c>
      <c r="O48" s="26" t="str">
        <f aca="false">IF($A48="","",IF($B48&lt;&gt;"",$B48,IF($N48="","",IFERROR(INDEX($B$5:$B$204,MATCH($N48,$A$5:$A$204,0)),""))))</f>
        <v/>
      </c>
      <c r="P48" s="26" t="str">
        <f aca="false">IF($A48="","",IF($C48&lt;&gt;"",$C48,IF($N48="","",IFERROR(INDEX($C$5:$C$204,MATCH($N48,$A$5:$A$204,0)),""))))</f>
        <v/>
      </c>
      <c r="Q48" s="26" t="str">
        <f aca="false">IF($A48="","",IF($D48&lt;&gt;"",$D48,IF($N48="","",IFERROR(INDEX($D$5:$D$204,MATCH($N48,$A$5:$A$204,0)),""))))</f>
        <v/>
      </c>
      <c r="R48" s="26" t="str">
        <f aca="false">IF($A48="","",IF($E48&lt;&gt;"",$E48,IF($N48="","",IFERROR(INDEX($E$5:$E$204,MATCH($N48,$A$5:$A$204,0)),""))))</f>
        <v/>
      </c>
      <c r="S48" s="26" t="str">
        <f aca="false">IF($A48="","",IF($H48&lt;&gt;"",$H48,IF($N48="","",IFERROR(INDEX($H$5:$H$204,MATCH($N48,$A$5:$A$204,0)),""))))</f>
        <v/>
      </c>
      <c r="T48" s="26" t="str">
        <f aca="false">IF($A48="","",IF($F48&lt;&gt;"",$F48,IF($N48="","",IFERROR(INDEX($F$5:$F$204,MATCH($N48,$A$5:$A$204,0)),""))))</f>
        <v/>
      </c>
      <c r="U48" s="27" t="str">
        <f aca="false">IF($A48="","",SUMIFS(MVT_NET,MVT_LOT,$A48))</f>
        <v/>
      </c>
      <c r="V48" s="28" t="str">
        <f aca="false">IF($A48="","",COUNTIFS(MVT_LOT,$A48,MVT_BRUT,"&lt;&gt;0"))</f>
        <v/>
      </c>
      <c r="W48" s="28" t="str">
        <f aca="false">IF($A48="","",COUNTIFS(QC_LOT,$A48))</f>
        <v/>
      </c>
      <c r="X48" s="26" t="str">
        <f aca="false">IF($A48="","",IFERROR(INDEX(QC_DEC,MATCH($A48,QC_CLEDER,0)),""))</f>
        <v/>
      </c>
      <c r="Y48" s="26" t="str">
        <f aca="false">IF($A48="","",IF(COUNTIF($A$5:$A$204,$A48)&gt;1,IF(SUMPRODUCT(($A$5:$A$204=$A48)*(($C$5:$C$204&lt;&gt;$C48)+($D$5:$D$204&lt;&gt;$D48)))&gt;0,"INCOHERENCE","LOT EN DOUBLE"),"OK"))</f>
        <v/>
      </c>
      <c r="Z48" s="28" t="n">
        <f aca="false">IF($A48="",0,IF(AND($O48&lt;&gt;"",$A48&lt;&gt;R_LOT,$O48=IFERROR(INDEX(LOT_EXTE,MATCH(R_LOT,LOT_KEY,0)),"#")),1,0))</f>
        <v>0</v>
      </c>
      <c r="AA48" s="26" t="str">
        <f aca="false">IF($Z48=0,"",COUNTIF($Z$5:$Z48,1))</f>
        <v/>
      </c>
    </row>
    <row r="49" customFormat="false" ht="15" hidden="false" customHeight="false" outlineLevel="0" collapsed="false">
      <c r="A49" s="24"/>
      <c r="B49" s="24"/>
      <c r="C49" s="24"/>
      <c r="D49" s="24"/>
      <c r="E49" s="24"/>
      <c r="F49" s="24"/>
      <c r="G49" s="24"/>
      <c r="H49" s="24"/>
      <c r="I49" s="24"/>
      <c r="J49" s="24"/>
      <c r="K49" s="25"/>
      <c r="L49" s="24"/>
      <c r="M49" s="24"/>
      <c r="N49" s="26" t="str">
        <f aca="false">IF($A49="","",IF($L49&lt;&gt;"",$L49,IF(IFERROR(INDEX(RES_LOTSRC,MATCH($A49,RES_LOTEFF,0)),"")=$A49,"",IFERROR(INDEX(RES_LOTSRC,MATCH($A49,RES_LOTEFF,0)),""))))</f>
        <v/>
      </c>
      <c r="O49" s="26" t="str">
        <f aca="false">IF($A49="","",IF($B49&lt;&gt;"",$B49,IF($N49="","",IFERROR(INDEX($B$5:$B$204,MATCH($N49,$A$5:$A$204,0)),""))))</f>
        <v/>
      </c>
      <c r="P49" s="26" t="str">
        <f aca="false">IF($A49="","",IF($C49&lt;&gt;"",$C49,IF($N49="","",IFERROR(INDEX($C$5:$C$204,MATCH($N49,$A$5:$A$204,0)),""))))</f>
        <v/>
      </c>
      <c r="Q49" s="26" t="str">
        <f aca="false">IF($A49="","",IF($D49&lt;&gt;"",$D49,IF($N49="","",IFERROR(INDEX($D$5:$D$204,MATCH($N49,$A$5:$A$204,0)),""))))</f>
        <v/>
      </c>
      <c r="R49" s="26" t="str">
        <f aca="false">IF($A49="","",IF($E49&lt;&gt;"",$E49,IF($N49="","",IFERROR(INDEX($E$5:$E$204,MATCH($N49,$A$5:$A$204,0)),""))))</f>
        <v/>
      </c>
      <c r="S49" s="26" t="str">
        <f aca="false">IF($A49="","",IF($H49&lt;&gt;"",$H49,IF($N49="","",IFERROR(INDEX($H$5:$H$204,MATCH($N49,$A$5:$A$204,0)),""))))</f>
        <v/>
      </c>
      <c r="T49" s="26" t="str">
        <f aca="false">IF($A49="","",IF($F49&lt;&gt;"",$F49,IF($N49="","",IFERROR(INDEX($F$5:$F$204,MATCH($N49,$A$5:$A$204,0)),""))))</f>
        <v/>
      </c>
      <c r="U49" s="27" t="str">
        <f aca="false">IF($A49="","",SUMIFS(MVT_NET,MVT_LOT,$A49))</f>
        <v/>
      </c>
      <c r="V49" s="28" t="str">
        <f aca="false">IF($A49="","",COUNTIFS(MVT_LOT,$A49,MVT_BRUT,"&lt;&gt;0"))</f>
        <v/>
      </c>
      <c r="W49" s="28" t="str">
        <f aca="false">IF($A49="","",COUNTIFS(QC_LOT,$A49))</f>
        <v/>
      </c>
      <c r="X49" s="26" t="str">
        <f aca="false">IF($A49="","",IFERROR(INDEX(QC_DEC,MATCH($A49,QC_CLEDER,0)),""))</f>
        <v/>
      </c>
      <c r="Y49" s="26" t="str">
        <f aca="false">IF($A49="","",IF(COUNTIF($A$5:$A$204,$A49)&gt;1,IF(SUMPRODUCT(($A$5:$A$204=$A49)*(($C$5:$C$204&lt;&gt;$C49)+($D$5:$D$204&lt;&gt;$D49)))&gt;0,"INCOHERENCE","LOT EN DOUBLE"),"OK"))</f>
        <v/>
      </c>
      <c r="Z49" s="28" t="n">
        <f aca="false">IF($A49="",0,IF(AND($O49&lt;&gt;"",$A49&lt;&gt;R_LOT,$O49=IFERROR(INDEX(LOT_EXTE,MATCH(R_LOT,LOT_KEY,0)),"#")),1,0))</f>
        <v>0</v>
      </c>
      <c r="AA49" s="26" t="str">
        <f aca="false">IF($Z49=0,"",COUNTIF($Z$5:$Z49,1))</f>
        <v/>
      </c>
    </row>
    <row r="50" customFormat="false" ht="15" hidden="false" customHeight="false" outlineLevel="0" collapsed="false">
      <c r="A50" s="24"/>
      <c r="B50" s="24"/>
      <c r="C50" s="24"/>
      <c r="D50" s="24"/>
      <c r="E50" s="24"/>
      <c r="F50" s="24"/>
      <c r="G50" s="24"/>
      <c r="H50" s="24"/>
      <c r="I50" s="24"/>
      <c r="J50" s="24"/>
      <c r="K50" s="25"/>
      <c r="L50" s="24"/>
      <c r="M50" s="24"/>
      <c r="N50" s="26" t="str">
        <f aca="false">IF($A50="","",IF($L50&lt;&gt;"",$L50,IF(IFERROR(INDEX(RES_LOTSRC,MATCH($A50,RES_LOTEFF,0)),"")=$A50,"",IFERROR(INDEX(RES_LOTSRC,MATCH($A50,RES_LOTEFF,0)),""))))</f>
        <v/>
      </c>
      <c r="O50" s="26" t="str">
        <f aca="false">IF($A50="","",IF($B50&lt;&gt;"",$B50,IF($N50="","",IFERROR(INDEX($B$5:$B$204,MATCH($N50,$A$5:$A$204,0)),""))))</f>
        <v/>
      </c>
      <c r="P50" s="26" t="str">
        <f aca="false">IF($A50="","",IF($C50&lt;&gt;"",$C50,IF($N50="","",IFERROR(INDEX($C$5:$C$204,MATCH($N50,$A$5:$A$204,0)),""))))</f>
        <v/>
      </c>
      <c r="Q50" s="26" t="str">
        <f aca="false">IF($A50="","",IF($D50&lt;&gt;"",$D50,IF($N50="","",IFERROR(INDEX($D$5:$D$204,MATCH($N50,$A$5:$A$204,0)),""))))</f>
        <v/>
      </c>
      <c r="R50" s="26" t="str">
        <f aca="false">IF($A50="","",IF($E50&lt;&gt;"",$E50,IF($N50="","",IFERROR(INDEX($E$5:$E$204,MATCH($N50,$A$5:$A$204,0)),""))))</f>
        <v/>
      </c>
      <c r="S50" s="26" t="str">
        <f aca="false">IF($A50="","",IF($H50&lt;&gt;"",$H50,IF($N50="","",IFERROR(INDEX($H$5:$H$204,MATCH($N50,$A$5:$A$204,0)),""))))</f>
        <v/>
      </c>
      <c r="T50" s="26" t="str">
        <f aca="false">IF($A50="","",IF($F50&lt;&gt;"",$F50,IF($N50="","",IFERROR(INDEX($F$5:$F$204,MATCH($N50,$A$5:$A$204,0)),""))))</f>
        <v/>
      </c>
      <c r="U50" s="27" t="str">
        <f aca="false">IF($A50="","",SUMIFS(MVT_NET,MVT_LOT,$A50))</f>
        <v/>
      </c>
      <c r="V50" s="28" t="str">
        <f aca="false">IF($A50="","",COUNTIFS(MVT_LOT,$A50,MVT_BRUT,"&lt;&gt;0"))</f>
        <v/>
      </c>
      <c r="W50" s="28" t="str">
        <f aca="false">IF($A50="","",COUNTIFS(QC_LOT,$A50))</f>
        <v/>
      </c>
      <c r="X50" s="26" t="str">
        <f aca="false">IF($A50="","",IFERROR(INDEX(QC_DEC,MATCH($A50,QC_CLEDER,0)),""))</f>
        <v/>
      </c>
      <c r="Y50" s="26" t="str">
        <f aca="false">IF($A50="","",IF(COUNTIF($A$5:$A$204,$A50)&gt;1,IF(SUMPRODUCT(($A$5:$A$204=$A50)*(($C$5:$C$204&lt;&gt;$C50)+($D$5:$D$204&lt;&gt;$D50)))&gt;0,"INCOHERENCE","LOT EN DOUBLE"),"OK"))</f>
        <v/>
      </c>
      <c r="Z50" s="28" t="n">
        <f aca="false">IF($A50="",0,IF(AND($O50&lt;&gt;"",$A50&lt;&gt;R_LOT,$O50=IFERROR(INDEX(LOT_EXTE,MATCH(R_LOT,LOT_KEY,0)),"#")),1,0))</f>
        <v>0</v>
      </c>
      <c r="AA50" s="26" t="str">
        <f aca="false">IF($Z50=0,"",COUNTIF($Z$5:$Z50,1))</f>
        <v/>
      </c>
    </row>
    <row r="51" customFormat="false" ht="15" hidden="false" customHeight="false" outlineLevel="0" collapsed="false">
      <c r="A51" s="24"/>
      <c r="B51" s="24"/>
      <c r="C51" s="24"/>
      <c r="D51" s="24"/>
      <c r="E51" s="24"/>
      <c r="F51" s="24"/>
      <c r="G51" s="24"/>
      <c r="H51" s="24"/>
      <c r="I51" s="24"/>
      <c r="J51" s="24"/>
      <c r="K51" s="25"/>
      <c r="L51" s="24"/>
      <c r="M51" s="24"/>
      <c r="N51" s="26" t="str">
        <f aca="false">IF($A51="","",IF($L51&lt;&gt;"",$L51,IF(IFERROR(INDEX(RES_LOTSRC,MATCH($A51,RES_LOTEFF,0)),"")=$A51,"",IFERROR(INDEX(RES_LOTSRC,MATCH($A51,RES_LOTEFF,0)),""))))</f>
        <v/>
      </c>
      <c r="O51" s="26" t="str">
        <f aca="false">IF($A51="","",IF($B51&lt;&gt;"",$B51,IF($N51="","",IFERROR(INDEX($B$5:$B$204,MATCH($N51,$A$5:$A$204,0)),""))))</f>
        <v/>
      </c>
      <c r="P51" s="26" t="str">
        <f aca="false">IF($A51="","",IF($C51&lt;&gt;"",$C51,IF($N51="","",IFERROR(INDEX($C$5:$C$204,MATCH($N51,$A$5:$A$204,0)),""))))</f>
        <v/>
      </c>
      <c r="Q51" s="26" t="str">
        <f aca="false">IF($A51="","",IF($D51&lt;&gt;"",$D51,IF($N51="","",IFERROR(INDEX($D$5:$D$204,MATCH($N51,$A$5:$A$204,0)),""))))</f>
        <v/>
      </c>
      <c r="R51" s="26" t="str">
        <f aca="false">IF($A51="","",IF($E51&lt;&gt;"",$E51,IF($N51="","",IFERROR(INDEX($E$5:$E$204,MATCH($N51,$A$5:$A$204,0)),""))))</f>
        <v/>
      </c>
      <c r="S51" s="26" t="str">
        <f aca="false">IF($A51="","",IF($H51&lt;&gt;"",$H51,IF($N51="","",IFERROR(INDEX($H$5:$H$204,MATCH($N51,$A$5:$A$204,0)),""))))</f>
        <v/>
      </c>
      <c r="T51" s="26" t="str">
        <f aca="false">IF($A51="","",IF($F51&lt;&gt;"",$F51,IF($N51="","",IFERROR(INDEX($F$5:$F$204,MATCH($N51,$A$5:$A$204,0)),""))))</f>
        <v/>
      </c>
      <c r="U51" s="27" t="str">
        <f aca="false">IF($A51="","",SUMIFS(MVT_NET,MVT_LOT,$A51))</f>
        <v/>
      </c>
      <c r="V51" s="28" t="str">
        <f aca="false">IF($A51="","",COUNTIFS(MVT_LOT,$A51,MVT_BRUT,"&lt;&gt;0"))</f>
        <v/>
      </c>
      <c r="W51" s="28" t="str">
        <f aca="false">IF($A51="","",COUNTIFS(QC_LOT,$A51))</f>
        <v/>
      </c>
      <c r="X51" s="26" t="str">
        <f aca="false">IF($A51="","",IFERROR(INDEX(QC_DEC,MATCH($A51,QC_CLEDER,0)),""))</f>
        <v/>
      </c>
      <c r="Y51" s="26" t="str">
        <f aca="false">IF($A51="","",IF(COUNTIF($A$5:$A$204,$A51)&gt;1,IF(SUMPRODUCT(($A$5:$A$204=$A51)*(($C$5:$C$204&lt;&gt;$C51)+($D$5:$D$204&lt;&gt;$D51)))&gt;0,"INCOHERENCE","LOT EN DOUBLE"),"OK"))</f>
        <v/>
      </c>
      <c r="Z51" s="28" t="n">
        <f aca="false">IF($A51="",0,IF(AND($O51&lt;&gt;"",$A51&lt;&gt;R_LOT,$O51=IFERROR(INDEX(LOT_EXTE,MATCH(R_LOT,LOT_KEY,0)),"#")),1,0))</f>
        <v>0</v>
      </c>
      <c r="AA51" s="26" t="str">
        <f aca="false">IF($Z51=0,"",COUNTIF($Z$5:$Z51,1))</f>
        <v/>
      </c>
    </row>
    <row r="52" customFormat="false" ht="15" hidden="false" customHeight="false" outlineLevel="0" collapsed="false">
      <c r="A52" s="24"/>
      <c r="B52" s="24"/>
      <c r="C52" s="24"/>
      <c r="D52" s="24"/>
      <c r="E52" s="24"/>
      <c r="F52" s="24"/>
      <c r="G52" s="24"/>
      <c r="H52" s="24"/>
      <c r="I52" s="24"/>
      <c r="J52" s="24"/>
      <c r="K52" s="25"/>
      <c r="L52" s="24"/>
      <c r="M52" s="24"/>
      <c r="N52" s="26" t="str">
        <f aca="false">IF($A52="","",IF($L52&lt;&gt;"",$L52,IF(IFERROR(INDEX(RES_LOTSRC,MATCH($A52,RES_LOTEFF,0)),"")=$A52,"",IFERROR(INDEX(RES_LOTSRC,MATCH($A52,RES_LOTEFF,0)),""))))</f>
        <v/>
      </c>
      <c r="O52" s="26" t="str">
        <f aca="false">IF($A52="","",IF($B52&lt;&gt;"",$B52,IF($N52="","",IFERROR(INDEX($B$5:$B$204,MATCH($N52,$A$5:$A$204,0)),""))))</f>
        <v/>
      </c>
      <c r="P52" s="26" t="str">
        <f aca="false">IF($A52="","",IF($C52&lt;&gt;"",$C52,IF($N52="","",IFERROR(INDEX($C$5:$C$204,MATCH($N52,$A$5:$A$204,0)),""))))</f>
        <v/>
      </c>
      <c r="Q52" s="26" t="str">
        <f aca="false">IF($A52="","",IF($D52&lt;&gt;"",$D52,IF($N52="","",IFERROR(INDEX($D$5:$D$204,MATCH($N52,$A$5:$A$204,0)),""))))</f>
        <v/>
      </c>
      <c r="R52" s="26" t="str">
        <f aca="false">IF($A52="","",IF($E52&lt;&gt;"",$E52,IF($N52="","",IFERROR(INDEX($E$5:$E$204,MATCH($N52,$A$5:$A$204,0)),""))))</f>
        <v/>
      </c>
      <c r="S52" s="26" t="str">
        <f aca="false">IF($A52="","",IF($H52&lt;&gt;"",$H52,IF($N52="","",IFERROR(INDEX($H$5:$H$204,MATCH($N52,$A$5:$A$204,0)),""))))</f>
        <v/>
      </c>
      <c r="T52" s="26" t="str">
        <f aca="false">IF($A52="","",IF($F52&lt;&gt;"",$F52,IF($N52="","",IFERROR(INDEX($F$5:$F$204,MATCH($N52,$A$5:$A$204,0)),""))))</f>
        <v/>
      </c>
      <c r="U52" s="27" t="str">
        <f aca="false">IF($A52="","",SUMIFS(MVT_NET,MVT_LOT,$A52))</f>
        <v/>
      </c>
      <c r="V52" s="28" t="str">
        <f aca="false">IF($A52="","",COUNTIFS(MVT_LOT,$A52,MVT_BRUT,"&lt;&gt;0"))</f>
        <v/>
      </c>
      <c r="W52" s="28" t="str">
        <f aca="false">IF($A52="","",COUNTIFS(QC_LOT,$A52))</f>
        <v/>
      </c>
      <c r="X52" s="26" t="str">
        <f aca="false">IF($A52="","",IFERROR(INDEX(QC_DEC,MATCH($A52,QC_CLEDER,0)),""))</f>
        <v/>
      </c>
      <c r="Y52" s="26" t="str">
        <f aca="false">IF($A52="","",IF(COUNTIF($A$5:$A$204,$A52)&gt;1,IF(SUMPRODUCT(($A$5:$A$204=$A52)*(($C$5:$C$204&lt;&gt;$C52)+($D$5:$D$204&lt;&gt;$D52)))&gt;0,"INCOHERENCE","LOT EN DOUBLE"),"OK"))</f>
        <v/>
      </c>
      <c r="Z52" s="28" t="n">
        <f aca="false">IF($A52="",0,IF(AND($O52&lt;&gt;"",$A52&lt;&gt;R_LOT,$O52=IFERROR(INDEX(LOT_EXTE,MATCH(R_LOT,LOT_KEY,0)),"#")),1,0))</f>
        <v>0</v>
      </c>
      <c r="AA52" s="26" t="str">
        <f aca="false">IF($Z52=0,"",COUNTIF($Z$5:$Z52,1))</f>
        <v/>
      </c>
    </row>
    <row r="53" customFormat="false" ht="15" hidden="false" customHeight="false" outlineLevel="0" collapsed="false">
      <c r="A53" s="24"/>
      <c r="B53" s="24"/>
      <c r="C53" s="24"/>
      <c r="D53" s="24"/>
      <c r="E53" s="24"/>
      <c r="F53" s="24"/>
      <c r="G53" s="24"/>
      <c r="H53" s="24"/>
      <c r="I53" s="24"/>
      <c r="J53" s="24"/>
      <c r="K53" s="25"/>
      <c r="L53" s="24"/>
      <c r="M53" s="24"/>
      <c r="N53" s="26" t="str">
        <f aca="false">IF($A53="","",IF($L53&lt;&gt;"",$L53,IF(IFERROR(INDEX(RES_LOTSRC,MATCH($A53,RES_LOTEFF,0)),"")=$A53,"",IFERROR(INDEX(RES_LOTSRC,MATCH($A53,RES_LOTEFF,0)),""))))</f>
        <v/>
      </c>
      <c r="O53" s="26" t="str">
        <f aca="false">IF($A53="","",IF($B53&lt;&gt;"",$B53,IF($N53="","",IFERROR(INDEX($B$5:$B$204,MATCH($N53,$A$5:$A$204,0)),""))))</f>
        <v/>
      </c>
      <c r="P53" s="26" t="str">
        <f aca="false">IF($A53="","",IF($C53&lt;&gt;"",$C53,IF($N53="","",IFERROR(INDEX($C$5:$C$204,MATCH($N53,$A$5:$A$204,0)),""))))</f>
        <v/>
      </c>
      <c r="Q53" s="26" t="str">
        <f aca="false">IF($A53="","",IF($D53&lt;&gt;"",$D53,IF($N53="","",IFERROR(INDEX($D$5:$D$204,MATCH($N53,$A$5:$A$204,0)),""))))</f>
        <v/>
      </c>
      <c r="R53" s="26" t="str">
        <f aca="false">IF($A53="","",IF($E53&lt;&gt;"",$E53,IF($N53="","",IFERROR(INDEX($E$5:$E$204,MATCH($N53,$A$5:$A$204,0)),""))))</f>
        <v/>
      </c>
      <c r="S53" s="26" t="str">
        <f aca="false">IF($A53="","",IF($H53&lt;&gt;"",$H53,IF($N53="","",IFERROR(INDEX($H$5:$H$204,MATCH($N53,$A$5:$A$204,0)),""))))</f>
        <v/>
      </c>
      <c r="T53" s="26" t="str">
        <f aca="false">IF($A53="","",IF($F53&lt;&gt;"",$F53,IF($N53="","",IFERROR(INDEX($F$5:$F$204,MATCH($N53,$A$5:$A$204,0)),""))))</f>
        <v/>
      </c>
      <c r="U53" s="27" t="str">
        <f aca="false">IF($A53="","",SUMIFS(MVT_NET,MVT_LOT,$A53))</f>
        <v/>
      </c>
      <c r="V53" s="28" t="str">
        <f aca="false">IF($A53="","",COUNTIFS(MVT_LOT,$A53,MVT_BRUT,"&lt;&gt;0"))</f>
        <v/>
      </c>
      <c r="W53" s="28" t="str">
        <f aca="false">IF($A53="","",COUNTIFS(QC_LOT,$A53))</f>
        <v/>
      </c>
      <c r="X53" s="26" t="str">
        <f aca="false">IF($A53="","",IFERROR(INDEX(QC_DEC,MATCH($A53,QC_CLEDER,0)),""))</f>
        <v/>
      </c>
      <c r="Y53" s="26" t="str">
        <f aca="false">IF($A53="","",IF(COUNTIF($A$5:$A$204,$A53)&gt;1,IF(SUMPRODUCT(($A$5:$A$204=$A53)*(($C$5:$C$204&lt;&gt;$C53)+($D$5:$D$204&lt;&gt;$D53)))&gt;0,"INCOHERENCE","LOT EN DOUBLE"),"OK"))</f>
        <v/>
      </c>
      <c r="Z53" s="28" t="n">
        <f aca="false">IF($A53="",0,IF(AND($O53&lt;&gt;"",$A53&lt;&gt;R_LOT,$O53=IFERROR(INDEX(LOT_EXTE,MATCH(R_LOT,LOT_KEY,0)),"#")),1,0))</f>
        <v>0</v>
      </c>
      <c r="AA53" s="26" t="str">
        <f aca="false">IF($Z53=0,"",COUNTIF($Z$5:$Z53,1))</f>
        <v/>
      </c>
    </row>
    <row r="54" customFormat="false" ht="15" hidden="false" customHeight="false" outlineLevel="0" collapsed="false">
      <c r="A54" s="24"/>
      <c r="B54" s="24"/>
      <c r="C54" s="24"/>
      <c r="D54" s="24"/>
      <c r="E54" s="24"/>
      <c r="F54" s="24"/>
      <c r="G54" s="24"/>
      <c r="H54" s="24"/>
      <c r="I54" s="24"/>
      <c r="J54" s="24"/>
      <c r="K54" s="25"/>
      <c r="L54" s="24"/>
      <c r="M54" s="24"/>
      <c r="N54" s="26" t="str">
        <f aca="false">IF($A54="","",IF($L54&lt;&gt;"",$L54,IF(IFERROR(INDEX(RES_LOTSRC,MATCH($A54,RES_LOTEFF,0)),"")=$A54,"",IFERROR(INDEX(RES_LOTSRC,MATCH($A54,RES_LOTEFF,0)),""))))</f>
        <v/>
      </c>
      <c r="O54" s="26" t="str">
        <f aca="false">IF($A54="","",IF($B54&lt;&gt;"",$B54,IF($N54="","",IFERROR(INDEX($B$5:$B$204,MATCH($N54,$A$5:$A$204,0)),""))))</f>
        <v/>
      </c>
      <c r="P54" s="26" t="str">
        <f aca="false">IF($A54="","",IF($C54&lt;&gt;"",$C54,IF($N54="","",IFERROR(INDEX($C$5:$C$204,MATCH($N54,$A$5:$A$204,0)),""))))</f>
        <v/>
      </c>
      <c r="Q54" s="26" t="str">
        <f aca="false">IF($A54="","",IF($D54&lt;&gt;"",$D54,IF($N54="","",IFERROR(INDEX($D$5:$D$204,MATCH($N54,$A$5:$A$204,0)),""))))</f>
        <v/>
      </c>
      <c r="R54" s="26" t="str">
        <f aca="false">IF($A54="","",IF($E54&lt;&gt;"",$E54,IF($N54="","",IFERROR(INDEX($E$5:$E$204,MATCH($N54,$A$5:$A$204,0)),""))))</f>
        <v/>
      </c>
      <c r="S54" s="26" t="str">
        <f aca="false">IF($A54="","",IF($H54&lt;&gt;"",$H54,IF($N54="","",IFERROR(INDEX($H$5:$H$204,MATCH($N54,$A$5:$A$204,0)),""))))</f>
        <v/>
      </c>
      <c r="T54" s="26" t="str">
        <f aca="false">IF($A54="","",IF($F54&lt;&gt;"",$F54,IF($N54="","",IFERROR(INDEX($F$5:$F$204,MATCH($N54,$A$5:$A$204,0)),""))))</f>
        <v/>
      </c>
      <c r="U54" s="27" t="str">
        <f aca="false">IF($A54="","",SUMIFS(MVT_NET,MVT_LOT,$A54))</f>
        <v/>
      </c>
      <c r="V54" s="28" t="str">
        <f aca="false">IF($A54="","",COUNTIFS(MVT_LOT,$A54,MVT_BRUT,"&lt;&gt;0"))</f>
        <v/>
      </c>
      <c r="W54" s="28" t="str">
        <f aca="false">IF($A54="","",COUNTIFS(QC_LOT,$A54))</f>
        <v/>
      </c>
      <c r="X54" s="26" t="str">
        <f aca="false">IF($A54="","",IFERROR(INDEX(QC_DEC,MATCH($A54,QC_CLEDER,0)),""))</f>
        <v/>
      </c>
      <c r="Y54" s="26" t="str">
        <f aca="false">IF($A54="","",IF(COUNTIF($A$5:$A$204,$A54)&gt;1,IF(SUMPRODUCT(($A$5:$A$204=$A54)*(($C$5:$C$204&lt;&gt;$C54)+($D$5:$D$204&lt;&gt;$D54)))&gt;0,"INCOHERENCE","LOT EN DOUBLE"),"OK"))</f>
        <v/>
      </c>
      <c r="Z54" s="28" t="n">
        <f aca="false">IF($A54="",0,IF(AND($O54&lt;&gt;"",$A54&lt;&gt;R_LOT,$O54=IFERROR(INDEX(LOT_EXTE,MATCH(R_LOT,LOT_KEY,0)),"#")),1,0))</f>
        <v>0</v>
      </c>
      <c r="AA54" s="26" t="str">
        <f aca="false">IF($Z54=0,"",COUNTIF($Z$5:$Z54,1))</f>
        <v/>
      </c>
    </row>
    <row r="55" customFormat="false" ht="15" hidden="false" customHeight="false" outlineLevel="0" collapsed="false">
      <c r="A55" s="24"/>
      <c r="B55" s="24"/>
      <c r="C55" s="24"/>
      <c r="D55" s="24"/>
      <c r="E55" s="24"/>
      <c r="F55" s="24"/>
      <c r="G55" s="24"/>
      <c r="H55" s="24"/>
      <c r="I55" s="24"/>
      <c r="J55" s="24"/>
      <c r="K55" s="25"/>
      <c r="L55" s="24"/>
      <c r="M55" s="24"/>
      <c r="N55" s="26" t="str">
        <f aca="false">IF($A55="","",IF($L55&lt;&gt;"",$L55,IF(IFERROR(INDEX(RES_LOTSRC,MATCH($A55,RES_LOTEFF,0)),"")=$A55,"",IFERROR(INDEX(RES_LOTSRC,MATCH($A55,RES_LOTEFF,0)),""))))</f>
        <v/>
      </c>
      <c r="O55" s="26" t="str">
        <f aca="false">IF($A55="","",IF($B55&lt;&gt;"",$B55,IF($N55="","",IFERROR(INDEX($B$5:$B$204,MATCH($N55,$A$5:$A$204,0)),""))))</f>
        <v/>
      </c>
      <c r="P55" s="26" t="str">
        <f aca="false">IF($A55="","",IF($C55&lt;&gt;"",$C55,IF($N55="","",IFERROR(INDEX($C$5:$C$204,MATCH($N55,$A$5:$A$204,0)),""))))</f>
        <v/>
      </c>
      <c r="Q55" s="26" t="str">
        <f aca="false">IF($A55="","",IF($D55&lt;&gt;"",$D55,IF($N55="","",IFERROR(INDEX($D$5:$D$204,MATCH($N55,$A$5:$A$204,0)),""))))</f>
        <v/>
      </c>
      <c r="R55" s="26" t="str">
        <f aca="false">IF($A55="","",IF($E55&lt;&gt;"",$E55,IF($N55="","",IFERROR(INDEX($E$5:$E$204,MATCH($N55,$A$5:$A$204,0)),""))))</f>
        <v/>
      </c>
      <c r="S55" s="26" t="str">
        <f aca="false">IF($A55="","",IF($H55&lt;&gt;"",$H55,IF($N55="","",IFERROR(INDEX($H$5:$H$204,MATCH($N55,$A$5:$A$204,0)),""))))</f>
        <v/>
      </c>
      <c r="T55" s="26" t="str">
        <f aca="false">IF($A55="","",IF($F55&lt;&gt;"",$F55,IF($N55="","",IFERROR(INDEX($F$5:$F$204,MATCH($N55,$A$5:$A$204,0)),""))))</f>
        <v/>
      </c>
      <c r="U55" s="27" t="str">
        <f aca="false">IF($A55="","",SUMIFS(MVT_NET,MVT_LOT,$A55))</f>
        <v/>
      </c>
      <c r="V55" s="28" t="str">
        <f aca="false">IF($A55="","",COUNTIFS(MVT_LOT,$A55,MVT_BRUT,"&lt;&gt;0"))</f>
        <v/>
      </c>
      <c r="W55" s="28" t="str">
        <f aca="false">IF($A55="","",COUNTIFS(QC_LOT,$A55))</f>
        <v/>
      </c>
      <c r="X55" s="26" t="str">
        <f aca="false">IF($A55="","",IFERROR(INDEX(QC_DEC,MATCH($A55,QC_CLEDER,0)),""))</f>
        <v/>
      </c>
      <c r="Y55" s="26" t="str">
        <f aca="false">IF($A55="","",IF(COUNTIF($A$5:$A$204,$A55)&gt;1,IF(SUMPRODUCT(($A$5:$A$204=$A55)*(($C$5:$C$204&lt;&gt;$C55)+($D$5:$D$204&lt;&gt;$D55)))&gt;0,"INCOHERENCE","LOT EN DOUBLE"),"OK"))</f>
        <v/>
      </c>
      <c r="Z55" s="28" t="n">
        <f aca="false">IF($A55="",0,IF(AND($O55&lt;&gt;"",$A55&lt;&gt;R_LOT,$O55=IFERROR(INDEX(LOT_EXTE,MATCH(R_LOT,LOT_KEY,0)),"#")),1,0))</f>
        <v>0</v>
      </c>
      <c r="AA55" s="26" t="str">
        <f aca="false">IF($Z55=0,"",COUNTIF($Z$5:$Z55,1))</f>
        <v/>
      </c>
    </row>
    <row r="56" customFormat="false" ht="15" hidden="false" customHeight="false" outlineLevel="0" collapsed="false">
      <c r="A56" s="24"/>
      <c r="B56" s="24"/>
      <c r="C56" s="24"/>
      <c r="D56" s="24"/>
      <c r="E56" s="24"/>
      <c r="F56" s="24"/>
      <c r="G56" s="24"/>
      <c r="H56" s="24"/>
      <c r="I56" s="24"/>
      <c r="J56" s="24"/>
      <c r="K56" s="25"/>
      <c r="L56" s="24"/>
      <c r="M56" s="24"/>
      <c r="N56" s="26" t="str">
        <f aca="false">IF($A56="","",IF($L56&lt;&gt;"",$L56,IF(IFERROR(INDEX(RES_LOTSRC,MATCH($A56,RES_LOTEFF,0)),"")=$A56,"",IFERROR(INDEX(RES_LOTSRC,MATCH($A56,RES_LOTEFF,0)),""))))</f>
        <v/>
      </c>
      <c r="O56" s="26" t="str">
        <f aca="false">IF($A56="","",IF($B56&lt;&gt;"",$B56,IF($N56="","",IFERROR(INDEX($B$5:$B$204,MATCH($N56,$A$5:$A$204,0)),""))))</f>
        <v/>
      </c>
      <c r="P56" s="26" t="str">
        <f aca="false">IF($A56="","",IF($C56&lt;&gt;"",$C56,IF($N56="","",IFERROR(INDEX($C$5:$C$204,MATCH($N56,$A$5:$A$204,0)),""))))</f>
        <v/>
      </c>
      <c r="Q56" s="26" t="str">
        <f aca="false">IF($A56="","",IF($D56&lt;&gt;"",$D56,IF($N56="","",IFERROR(INDEX($D$5:$D$204,MATCH($N56,$A$5:$A$204,0)),""))))</f>
        <v/>
      </c>
      <c r="R56" s="26" t="str">
        <f aca="false">IF($A56="","",IF($E56&lt;&gt;"",$E56,IF($N56="","",IFERROR(INDEX($E$5:$E$204,MATCH($N56,$A$5:$A$204,0)),""))))</f>
        <v/>
      </c>
      <c r="S56" s="26" t="str">
        <f aca="false">IF($A56="","",IF($H56&lt;&gt;"",$H56,IF($N56="","",IFERROR(INDEX($H$5:$H$204,MATCH($N56,$A$5:$A$204,0)),""))))</f>
        <v/>
      </c>
      <c r="T56" s="26" t="str">
        <f aca="false">IF($A56="","",IF($F56&lt;&gt;"",$F56,IF($N56="","",IFERROR(INDEX($F$5:$F$204,MATCH($N56,$A$5:$A$204,0)),""))))</f>
        <v/>
      </c>
      <c r="U56" s="27" t="str">
        <f aca="false">IF($A56="","",SUMIFS(MVT_NET,MVT_LOT,$A56))</f>
        <v/>
      </c>
      <c r="V56" s="28" t="str">
        <f aca="false">IF($A56="","",COUNTIFS(MVT_LOT,$A56,MVT_BRUT,"&lt;&gt;0"))</f>
        <v/>
      </c>
      <c r="W56" s="28" t="str">
        <f aca="false">IF($A56="","",COUNTIFS(QC_LOT,$A56))</f>
        <v/>
      </c>
      <c r="X56" s="26" t="str">
        <f aca="false">IF($A56="","",IFERROR(INDEX(QC_DEC,MATCH($A56,QC_CLEDER,0)),""))</f>
        <v/>
      </c>
      <c r="Y56" s="26" t="str">
        <f aca="false">IF($A56="","",IF(COUNTIF($A$5:$A$204,$A56)&gt;1,IF(SUMPRODUCT(($A$5:$A$204=$A56)*(($C$5:$C$204&lt;&gt;$C56)+($D$5:$D$204&lt;&gt;$D56)))&gt;0,"INCOHERENCE","LOT EN DOUBLE"),"OK"))</f>
        <v/>
      </c>
      <c r="Z56" s="28" t="n">
        <f aca="false">IF($A56="",0,IF(AND($O56&lt;&gt;"",$A56&lt;&gt;R_LOT,$O56=IFERROR(INDEX(LOT_EXTE,MATCH(R_LOT,LOT_KEY,0)),"#")),1,0))</f>
        <v>0</v>
      </c>
      <c r="AA56" s="26" t="str">
        <f aca="false">IF($Z56=0,"",COUNTIF($Z$5:$Z56,1))</f>
        <v/>
      </c>
    </row>
    <row r="57" customFormat="false" ht="15" hidden="false" customHeight="false" outlineLevel="0" collapsed="false">
      <c r="A57" s="24"/>
      <c r="B57" s="24"/>
      <c r="C57" s="24"/>
      <c r="D57" s="24"/>
      <c r="E57" s="24"/>
      <c r="F57" s="24"/>
      <c r="G57" s="24"/>
      <c r="H57" s="24"/>
      <c r="I57" s="24"/>
      <c r="J57" s="24"/>
      <c r="K57" s="25"/>
      <c r="L57" s="24"/>
      <c r="M57" s="24"/>
      <c r="N57" s="26" t="str">
        <f aca="false">IF($A57="","",IF($L57&lt;&gt;"",$L57,IF(IFERROR(INDEX(RES_LOTSRC,MATCH($A57,RES_LOTEFF,0)),"")=$A57,"",IFERROR(INDEX(RES_LOTSRC,MATCH($A57,RES_LOTEFF,0)),""))))</f>
        <v/>
      </c>
      <c r="O57" s="26" t="str">
        <f aca="false">IF($A57="","",IF($B57&lt;&gt;"",$B57,IF($N57="","",IFERROR(INDEX($B$5:$B$204,MATCH($N57,$A$5:$A$204,0)),""))))</f>
        <v/>
      </c>
      <c r="P57" s="26" t="str">
        <f aca="false">IF($A57="","",IF($C57&lt;&gt;"",$C57,IF($N57="","",IFERROR(INDEX($C$5:$C$204,MATCH($N57,$A$5:$A$204,0)),""))))</f>
        <v/>
      </c>
      <c r="Q57" s="26" t="str">
        <f aca="false">IF($A57="","",IF($D57&lt;&gt;"",$D57,IF($N57="","",IFERROR(INDEX($D$5:$D$204,MATCH($N57,$A$5:$A$204,0)),""))))</f>
        <v/>
      </c>
      <c r="R57" s="26" t="str">
        <f aca="false">IF($A57="","",IF($E57&lt;&gt;"",$E57,IF($N57="","",IFERROR(INDEX($E$5:$E$204,MATCH($N57,$A$5:$A$204,0)),""))))</f>
        <v/>
      </c>
      <c r="S57" s="26" t="str">
        <f aca="false">IF($A57="","",IF($H57&lt;&gt;"",$H57,IF($N57="","",IFERROR(INDEX($H$5:$H$204,MATCH($N57,$A$5:$A$204,0)),""))))</f>
        <v/>
      </c>
      <c r="T57" s="26" t="str">
        <f aca="false">IF($A57="","",IF($F57&lt;&gt;"",$F57,IF($N57="","",IFERROR(INDEX($F$5:$F$204,MATCH($N57,$A$5:$A$204,0)),""))))</f>
        <v/>
      </c>
      <c r="U57" s="27" t="str">
        <f aca="false">IF($A57="","",SUMIFS(MVT_NET,MVT_LOT,$A57))</f>
        <v/>
      </c>
      <c r="V57" s="28" t="str">
        <f aca="false">IF($A57="","",COUNTIFS(MVT_LOT,$A57,MVT_BRUT,"&lt;&gt;0"))</f>
        <v/>
      </c>
      <c r="W57" s="28" t="str">
        <f aca="false">IF($A57="","",COUNTIFS(QC_LOT,$A57))</f>
        <v/>
      </c>
      <c r="X57" s="26" t="str">
        <f aca="false">IF($A57="","",IFERROR(INDEX(QC_DEC,MATCH($A57,QC_CLEDER,0)),""))</f>
        <v/>
      </c>
      <c r="Y57" s="26" t="str">
        <f aca="false">IF($A57="","",IF(COUNTIF($A$5:$A$204,$A57)&gt;1,IF(SUMPRODUCT(($A$5:$A$204=$A57)*(($C$5:$C$204&lt;&gt;$C57)+($D$5:$D$204&lt;&gt;$D57)))&gt;0,"INCOHERENCE","LOT EN DOUBLE"),"OK"))</f>
        <v/>
      </c>
      <c r="Z57" s="28" t="n">
        <f aca="false">IF($A57="",0,IF(AND($O57&lt;&gt;"",$A57&lt;&gt;R_LOT,$O57=IFERROR(INDEX(LOT_EXTE,MATCH(R_LOT,LOT_KEY,0)),"#")),1,0))</f>
        <v>0</v>
      </c>
      <c r="AA57" s="26" t="str">
        <f aca="false">IF($Z57=0,"",COUNTIF($Z$5:$Z57,1))</f>
        <v/>
      </c>
    </row>
    <row r="58" customFormat="false" ht="15" hidden="false" customHeight="false" outlineLevel="0" collapsed="false">
      <c r="A58" s="24"/>
      <c r="B58" s="24"/>
      <c r="C58" s="24"/>
      <c r="D58" s="24"/>
      <c r="E58" s="24"/>
      <c r="F58" s="24"/>
      <c r="G58" s="24"/>
      <c r="H58" s="24"/>
      <c r="I58" s="24"/>
      <c r="J58" s="24"/>
      <c r="K58" s="25"/>
      <c r="L58" s="24"/>
      <c r="M58" s="24"/>
      <c r="N58" s="26" t="str">
        <f aca="false">IF($A58="","",IF($L58&lt;&gt;"",$L58,IF(IFERROR(INDEX(RES_LOTSRC,MATCH($A58,RES_LOTEFF,0)),"")=$A58,"",IFERROR(INDEX(RES_LOTSRC,MATCH($A58,RES_LOTEFF,0)),""))))</f>
        <v/>
      </c>
      <c r="O58" s="26" t="str">
        <f aca="false">IF($A58="","",IF($B58&lt;&gt;"",$B58,IF($N58="","",IFERROR(INDEX($B$5:$B$204,MATCH($N58,$A$5:$A$204,0)),""))))</f>
        <v/>
      </c>
      <c r="P58" s="26" t="str">
        <f aca="false">IF($A58="","",IF($C58&lt;&gt;"",$C58,IF($N58="","",IFERROR(INDEX($C$5:$C$204,MATCH($N58,$A$5:$A$204,0)),""))))</f>
        <v/>
      </c>
      <c r="Q58" s="26" t="str">
        <f aca="false">IF($A58="","",IF($D58&lt;&gt;"",$D58,IF($N58="","",IFERROR(INDEX($D$5:$D$204,MATCH($N58,$A$5:$A$204,0)),""))))</f>
        <v/>
      </c>
      <c r="R58" s="26" t="str">
        <f aca="false">IF($A58="","",IF($E58&lt;&gt;"",$E58,IF($N58="","",IFERROR(INDEX($E$5:$E$204,MATCH($N58,$A$5:$A$204,0)),""))))</f>
        <v/>
      </c>
      <c r="S58" s="26" t="str">
        <f aca="false">IF($A58="","",IF($H58&lt;&gt;"",$H58,IF($N58="","",IFERROR(INDEX($H$5:$H$204,MATCH($N58,$A$5:$A$204,0)),""))))</f>
        <v/>
      </c>
      <c r="T58" s="26" t="str">
        <f aca="false">IF($A58="","",IF($F58&lt;&gt;"",$F58,IF($N58="","",IFERROR(INDEX($F$5:$F$204,MATCH($N58,$A$5:$A$204,0)),""))))</f>
        <v/>
      </c>
      <c r="U58" s="27" t="str">
        <f aca="false">IF($A58="","",SUMIFS(MVT_NET,MVT_LOT,$A58))</f>
        <v/>
      </c>
      <c r="V58" s="28" t="str">
        <f aca="false">IF($A58="","",COUNTIFS(MVT_LOT,$A58,MVT_BRUT,"&lt;&gt;0"))</f>
        <v/>
      </c>
      <c r="W58" s="28" t="str">
        <f aca="false">IF($A58="","",COUNTIFS(QC_LOT,$A58))</f>
        <v/>
      </c>
      <c r="X58" s="26" t="str">
        <f aca="false">IF($A58="","",IFERROR(INDEX(QC_DEC,MATCH($A58,QC_CLEDER,0)),""))</f>
        <v/>
      </c>
      <c r="Y58" s="26" t="str">
        <f aca="false">IF($A58="","",IF(COUNTIF($A$5:$A$204,$A58)&gt;1,IF(SUMPRODUCT(($A$5:$A$204=$A58)*(($C$5:$C$204&lt;&gt;$C58)+($D$5:$D$204&lt;&gt;$D58)))&gt;0,"INCOHERENCE","LOT EN DOUBLE"),"OK"))</f>
        <v/>
      </c>
      <c r="Z58" s="28" t="n">
        <f aca="false">IF($A58="",0,IF(AND($O58&lt;&gt;"",$A58&lt;&gt;R_LOT,$O58=IFERROR(INDEX(LOT_EXTE,MATCH(R_LOT,LOT_KEY,0)),"#")),1,0))</f>
        <v>0</v>
      </c>
      <c r="AA58" s="26" t="str">
        <f aca="false">IF($Z58=0,"",COUNTIF($Z$5:$Z58,1))</f>
        <v/>
      </c>
    </row>
    <row r="59" customFormat="false" ht="15" hidden="false" customHeight="false" outlineLevel="0" collapsed="false">
      <c r="A59" s="24"/>
      <c r="B59" s="24"/>
      <c r="C59" s="24"/>
      <c r="D59" s="24"/>
      <c r="E59" s="24"/>
      <c r="F59" s="24"/>
      <c r="G59" s="24"/>
      <c r="H59" s="24"/>
      <c r="I59" s="24"/>
      <c r="J59" s="24"/>
      <c r="K59" s="25"/>
      <c r="L59" s="24"/>
      <c r="M59" s="24"/>
      <c r="N59" s="26" t="str">
        <f aca="false">IF($A59="","",IF($L59&lt;&gt;"",$L59,IF(IFERROR(INDEX(RES_LOTSRC,MATCH($A59,RES_LOTEFF,0)),"")=$A59,"",IFERROR(INDEX(RES_LOTSRC,MATCH($A59,RES_LOTEFF,0)),""))))</f>
        <v/>
      </c>
      <c r="O59" s="26" t="str">
        <f aca="false">IF($A59="","",IF($B59&lt;&gt;"",$B59,IF($N59="","",IFERROR(INDEX($B$5:$B$204,MATCH($N59,$A$5:$A$204,0)),""))))</f>
        <v/>
      </c>
      <c r="P59" s="26" t="str">
        <f aca="false">IF($A59="","",IF($C59&lt;&gt;"",$C59,IF($N59="","",IFERROR(INDEX($C$5:$C$204,MATCH($N59,$A$5:$A$204,0)),""))))</f>
        <v/>
      </c>
      <c r="Q59" s="26" t="str">
        <f aca="false">IF($A59="","",IF($D59&lt;&gt;"",$D59,IF($N59="","",IFERROR(INDEX($D$5:$D$204,MATCH($N59,$A$5:$A$204,0)),""))))</f>
        <v/>
      </c>
      <c r="R59" s="26" t="str">
        <f aca="false">IF($A59="","",IF($E59&lt;&gt;"",$E59,IF($N59="","",IFERROR(INDEX($E$5:$E$204,MATCH($N59,$A$5:$A$204,0)),""))))</f>
        <v/>
      </c>
      <c r="S59" s="26" t="str">
        <f aca="false">IF($A59="","",IF($H59&lt;&gt;"",$H59,IF($N59="","",IFERROR(INDEX($H$5:$H$204,MATCH($N59,$A$5:$A$204,0)),""))))</f>
        <v/>
      </c>
      <c r="T59" s="26" t="str">
        <f aca="false">IF($A59="","",IF($F59&lt;&gt;"",$F59,IF($N59="","",IFERROR(INDEX($F$5:$F$204,MATCH($N59,$A$5:$A$204,0)),""))))</f>
        <v/>
      </c>
      <c r="U59" s="27" t="str">
        <f aca="false">IF($A59="","",SUMIFS(MVT_NET,MVT_LOT,$A59))</f>
        <v/>
      </c>
      <c r="V59" s="28" t="str">
        <f aca="false">IF($A59="","",COUNTIFS(MVT_LOT,$A59,MVT_BRUT,"&lt;&gt;0"))</f>
        <v/>
      </c>
      <c r="W59" s="28" t="str">
        <f aca="false">IF($A59="","",COUNTIFS(QC_LOT,$A59))</f>
        <v/>
      </c>
      <c r="X59" s="26" t="str">
        <f aca="false">IF($A59="","",IFERROR(INDEX(QC_DEC,MATCH($A59,QC_CLEDER,0)),""))</f>
        <v/>
      </c>
      <c r="Y59" s="26" t="str">
        <f aca="false">IF($A59="","",IF(COUNTIF($A$5:$A$204,$A59)&gt;1,IF(SUMPRODUCT(($A$5:$A$204=$A59)*(($C$5:$C$204&lt;&gt;$C59)+($D$5:$D$204&lt;&gt;$D59)))&gt;0,"INCOHERENCE","LOT EN DOUBLE"),"OK"))</f>
        <v/>
      </c>
      <c r="Z59" s="28" t="n">
        <f aca="false">IF($A59="",0,IF(AND($O59&lt;&gt;"",$A59&lt;&gt;R_LOT,$O59=IFERROR(INDEX(LOT_EXTE,MATCH(R_LOT,LOT_KEY,0)),"#")),1,0))</f>
        <v>0</v>
      </c>
      <c r="AA59" s="26" t="str">
        <f aca="false">IF($Z59=0,"",COUNTIF($Z$5:$Z59,1))</f>
        <v/>
      </c>
    </row>
    <row r="60" customFormat="false" ht="15" hidden="false" customHeight="false" outlineLevel="0" collapsed="false">
      <c r="A60" s="24"/>
      <c r="B60" s="24"/>
      <c r="C60" s="24"/>
      <c r="D60" s="24"/>
      <c r="E60" s="24"/>
      <c r="F60" s="24"/>
      <c r="G60" s="24"/>
      <c r="H60" s="24"/>
      <c r="I60" s="24"/>
      <c r="J60" s="24"/>
      <c r="K60" s="25"/>
      <c r="L60" s="24"/>
      <c r="M60" s="24"/>
      <c r="N60" s="26" t="str">
        <f aca="false">IF($A60="","",IF($L60&lt;&gt;"",$L60,IF(IFERROR(INDEX(RES_LOTSRC,MATCH($A60,RES_LOTEFF,0)),"")=$A60,"",IFERROR(INDEX(RES_LOTSRC,MATCH($A60,RES_LOTEFF,0)),""))))</f>
        <v/>
      </c>
      <c r="O60" s="26" t="str">
        <f aca="false">IF($A60="","",IF($B60&lt;&gt;"",$B60,IF($N60="","",IFERROR(INDEX($B$5:$B$204,MATCH($N60,$A$5:$A$204,0)),""))))</f>
        <v/>
      </c>
      <c r="P60" s="26" t="str">
        <f aca="false">IF($A60="","",IF($C60&lt;&gt;"",$C60,IF($N60="","",IFERROR(INDEX($C$5:$C$204,MATCH($N60,$A$5:$A$204,0)),""))))</f>
        <v/>
      </c>
      <c r="Q60" s="26" t="str">
        <f aca="false">IF($A60="","",IF($D60&lt;&gt;"",$D60,IF($N60="","",IFERROR(INDEX($D$5:$D$204,MATCH($N60,$A$5:$A$204,0)),""))))</f>
        <v/>
      </c>
      <c r="R60" s="26" t="str">
        <f aca="false">IF($A60="","",IF($E60&lt;&gt;"",$E60,IF($N60="","",IFERROR(INDEX($E$5:$E$204,MATCH($N60,$A$5:$A$204,0)),""))))</f>
        <v/>
      </c>
      <c r="S60" s="26" t="str">
        <f aca="false">IF($A60="","",IF($H60&lt;&gt;"",$H60,IF($N60="","",IFERROR(INDEX($H$5:$H$204,MATCH($N60,$A$5:$A$204,0)),""))))</f>
        <v/>
      </c>
      <c r="T60" s="26" t="str">
        <f aca="false">IF($A60="","",IF($F60&lt;&gt;"",$F60,IF($N60="","",IFERROR(INDEX($F$5:$F$204,MATCH($N60,$A$5:$A$204,0)),""))))</f>
        <v/>
      </c>
      <c r="U60" s="27" t="str">
        <f aca="false">IF($A60="","",SUMIFS(MVT_NET,MVT_LOT,$A60))</f>
        <v/>
      </c>
      <c r="V60" s="28" t="str">
        <f aca="false">IF($A60="","",COUNTIFS(MVT_LOT,$A60,MVT_BRUT,"&lt;&gt;0"))</f>
        <v/>
      </c>
      <c r="W60" s="28" t="str">
        <f aca="false">IF($A60="","",COUNTIFS(QC_LOT,$A60))</f>
        <v/>
      </c>
      <c r="X60" s="26" t="str">
        <f aca="false">IF($A60="","",IFERROR(INDEX(QC_DEC,MATCH($A60,QC_CLEDER,0)),""))</f>
        <v/>
      </c>
      <c r="Y60" s="26" t="str">
        <f aca="false">IF($A60="","",IF(COUNTIF($A$5:$A$204,$A60)&gt;1,IF(SUMPRODUCT(($A$5:$A$204=$A60)*(($C$5:$C$204&lt;&gt;$C60)+($D$5:$D$204&lt;&gt;$D60)))&gt;0,"INCOHERENCE","LOT EN DOUBLE"),"OK"))</f>
        <v/>
      </c>
      <c r="Z60" s="28" t="n">
        <f aca="false">IF($A60="",0,IF(AND($O60&lt;&gt;"",$A60&lt;&gt;R_LOT,$O60=IFERROR(INDEX(LOT_EXTE,MATCH(R_LOT,LOT_KEY,0)),"#")),1,0))</f>
        <v>0</v>
      </c>
      <c r="AA60" s="26" t="str">
        <f aca="false">IF($Z60=0,"",COUNTIF($Z$5:$Z60,1))</f>
        <v/>
      </c>
    </row>
    <row r="61" customFormat="false" ht="15" hidden="false" customHeight="false" outlineLevel="0" collapsed="false">
      <c r="A61" s="24"/>
      <c r="B61" s="24"/>
      <c r="C61" s="24"/>
      <c r="D61" s="24"/>
      <c r="E61" s="24"/>
      <c r="F61" s="24"/>
      <c r="G61" s="24"/>
      <c r="H61" s="24"/>
      <c r="I61" s="24"/>
      <c r="J61" s="24"/>
      <c r="K61" s="25"/>
      <c r="L61" s="24"/>
      <c r="M61" s="24"/>
      <c r="N61" s="26" t="str">
        <f aca="false">IF($A61="","",IF($L61&lt;&gt;"",$L61,IF(IFERROR(INDEX(RES_LOTSRC,MATCH($A61,RES_LOTEFF,0)),"")=$A61,"",IFERROR(INDEX(RES_LOTSRC,MATCH($A61,RES_LOTEFF,0)),""))))</f>
        <v/>
      </c>
      <c r="O61" s="26" t="str">
        <f aca="false">IF($A61="","",IF($B61&lt;&gt;"",$B61,IF($N61="","",IFERROR(INDEX($B$5:$B$204,MATCH($N61,$A$5:$A$204,0)),""))))</f>
        <v/>
      </c>
      <c r="P61" s="26" t="str">
        <f aca="false">IF($A61="","",IF($C61&lt;&gt;"",$C61,IF($N61="","",IFERROR(INDEX($C$5:$C$204,MATCH($N61,$A$5:$A$204,0)),""))))</f>
        <v/>
      </c>
      <c r="Q61" s="26" t="str">
        <f aca="false">IF($A61="","",IF($D61&lt;&gt;"",$D61,IF($N61="","",IFERROR(INDEX($D$5:$D$204,MATCH($N61,$A$5:$A$204,0)),""))))</f>
        <v/>
      </c>
      <c r="R61" s="26" t="str">
        <f aca="false">IF($A61="","",IF($E61&lt;&gt;"",$E61,IF($N61="","",IFERROR(INDEX($E$5:$E$204,MATCH($N61,$A$5:$A$204,0)),""))))</f>
        <v/>
      </c>
      <c r="S61" s="26" t="str">
        <f aca="false">IF($A61="","",IF($H61&lt;&gt;"",$H61,IF($N61="","",IFERROR(INDEX($H$5:$H$204,MATCH($N61,$A$5:$A$204,0)),""))))</f>
        <v/>
      </c>
      <c r="T61" s="26" t="str">
        <f aca="false">IF($A61="","",IF($F61&lt;&gt;"",$F61,IF($N61="","",IFERROR(INDEX($F$5:$F$204,MATCH($N61,$A$5:$A$204,0)),""))))</f>
        <v/>
      </c>
      <c r="U61" s="27" t="str">
        <f aca="false">IF($A61="","",SUMIFS(MVT_NET,MVT_LOT,$A61))</f>
        <v/>
      </c>
      <c r="V61" s="28" t="str">
        <f aca="false">IF($A61="","",COUNTIFS(MVT_LOT,$A61,MVT_BRUT,"&lt;&gt;0"))</f>
        <v/>
      </c>
      <c r="W61" s="28" t="str">
        <f aca="false">IF($A61="","",COUNTIFS(QC_LOT,$A61))</f>
        <v/>
      </c>
      <c r="X61" s="26" t="str">
        <f aca="false">IF($A61="","",IFERROR(INDEX(QC_DEC,MATCH($A61,QC_CLEDER,0)),""))</f>
        <v/>
      </c>
      <c r="Y61" s="26" t="str">
        <f aca="false">IF($A61="","",IF(COUNTIF($A$5:$A$204,$A61)&gt;1,IF(SUMPRODUCT(($A$5:$A$204=$A61)*(($C$5:$C$204&lt;&gt;$C61)+($D$5:$D$204&lt;&gt;$D61)))&gt;0,"INCOHERENCE","LOT EN DOUBLE"),"OK"))</f>
        <v/>
      </c>
      <c r="Z61" s="28" t="n">
        <f aca="false">IF($A61="",0,IF(AND($O61&lt;&gt;"",$A61&lt;&gt;R_LOT,$O61=IFERROR(INDEX(LOT_EXTE,MATCH(R_LOT,LOT_KEY,0)),"#")),1,0))</f>
        <v>0</v>
      </c>
      <c r="AA61" s="26" t="str">
        <f aca="false">IF($Z61=0,"",COUNTIF($Z$5:$Z61,1))</f>
        <v/>
      </c>
    </row>
    <row r="62" customFormat="false" ht="15" hidden="false" customHeight="false" outlineLevel="0" collapsed="false">
      <c r="A62" s="24"/>
      <c r="B62" s="24"/>
      <c r="C62" s="24"/>
      <c r="D62" s="24"/>
      <c r="E62" s="24"/>
      <c r="F62" s="24"/>
      <c r="G62" s="24"/>
      <c r="H62" s="24"/>
      <c r="I62" s="24"/>
      <c r="J62" s="24"/>
      <c r="K62" s="25"/>
      <c r="L62" s="24"/>
      <c r="M62" s="24"/>
      <c r="N62" s="26" t="str">
        <f aca="false">IF($A62="","",IF($L62&lt;&gt;"",$L62,IF(IFERROR(INDEX(RES_LOTSRC,MATCH($A62,RES_LOTEFF,0)),"")=$A62,"",IFERROR(INDEX(RES_LOTSRC,MATCH($A62,RES_LOTEFF,0)),""))))</f>
        <v/>
      </c>
      <c r="O62" s="26" t="str">
        <f aca="false">IF($A62="","",IF($B62&lt;&gt;"",$B62,IF($N62="","",IFERROR(INDEX($B$5:$B$204,MATCH($N62,$A$5:$A$204,0)),""))))</f>
        <v/>
      </c>
      <c r="P62" s="26" t="str">
        <f aca="false">IF($A62="","",IF($C62&lt;&gt;"",$C62,IF($N62="","",IFERROR(INDEX($C$5:$C$204,MATCH($N62,$A$5:$A$204,0)),""))))</f>
        <v/>
      </c>
      <c r="Q62" s="26" t="str">
        <f aca="false">IF($A62="","",IF($D62&lt;&gt;"",$D62,IF($N62="","",IFERROR(INDEX($D$5:$D$204,MATCH($N62,$A$5:$A$204,0)),""))))</f>
        <v/>
      </c>
      <c r="R62" s="26" t="str">
        <f aca="false">IF($A62="","",IF($E62&lt;&gt;"",$E62,IF($N62="","",IFERROR(INDEX($E$5:$E$204,MATCH($N62,$A$5:$A$204,0)),""))))</f>
        <v/>
      </c>
      <c r="S62" s="26" t="str">
        <f aca="false">IF($A62="","",IF($H62&lt;&gt;"",$H62,IF($N62="","",IFERROR(INDEX($H$5:$H$204,MATCH($N62,$A$5:$A$204,0)),""))))</f>
        <v/>
      </c>
      <c r="T62" s="26" t="str">
        <f aca="false">IF($A62="","",IF($F62&lt;&gt;"",$F62,IF($N62="","",IFERROR(INDEX($F$5:$F$204,MATCH($N62,$A$5:$A$204,0)),""))))</f>
        <v/>
      </c>
      <c r="U62" s="27" t="str">
        <f aca="false">IF($A62="","",SUMIFS(MVT_NET,MVT_LOT,$A62))</f>
        <v/>
      </c>
      <c r="V62" s="28" t="str">
        <f aca="false">IF($A62="","",COUNTIFS(MVT_LOT,$A62,MVT_BRUT,"&lt;&gt;0"))</f>
        <v/>
      </c>
      <c r="W62" s="28" t="str">
        <f aca="false">IF($A62="","",COUNTIFS(QC_LOT,$A62))</f>
        <v/>
      </c>
      <c r="X62" s="26" t="str">
        <f aca="false">IF($A62="","",IFERROR(INDEX(QC_DEC,MATCH($A62,QC_CLEDER,0)),""))</f>
        <v/>
      </c>
      <c r="Y62" s="26" t="str">
        <f aca="false">IF($A62="","",IF(COUNTIF($A$5:$A$204,$A62)&gt;1,IF(SUMPRODUCT(($A$5:$A$204=$A62)*(($C$5:$C$204&lt;&gt;$C62)+($D$5:$D$204&lt;&gt;$D62)))&gt;0,"INCOHERENCE","LOT EN DOUBLE"),"OK"))</f>
        <v/>
      </c>
      <c r="Z62" s="28" t="n">
        <f aca="false">IF($A62="",0,IF(AND($O62&lt;&gt;"",$A62&lt;&gt;R_LOT,$O62=IFERROR(INDEX(LOT_EXTE,MATCH(R_LOT,LOT_KEY,0)),"#")),1,0))</f>
        <v>0</v>
      </c>
      <c r="AA62" s="26" t="str">
        <f aca="false">IF($Z62=0,"",COUNTIF($Z$5:$Z62,1))</f>
        <v/>
      </c>
    </row>
    <row r="63" customFormat="false" ht="15" hidden="false" customHeight="false" outlineLevel="0" collapsed="false">
      <c r="A63" s="24"/>
      <c r="B63" s="24"/>
      <c r="C63" s="24"/>
      <c r="D63" s="24"/>
      <c r="E63" s="24"/>
      <c r="F63" s="24"/>
      <c r="G63" s="24"/>
      <c r="H63" s="24"/>
      <c r="I63" s="24"/>
      <c r="J63" s="24"/>
      <c r="K63" s="25"/>
      <c r="L63" s="24"/>
      <c r="M63" s="24"/>
      <c r="N63" s="26" t="str">
        <f aca="false">IF($A63="","",IF($L63&lt;&gt;"",$L63,IF(IFERROR(INDEX(RES_LOTSRC,MATCH($A63,RES_LOTEFF,0)),"")=$A63,"",IFERROR(INDEX(RES_LOTSRC,MATCH($A63,RES_LOTEFF,0)),""))))</f>
        <v/>
      </c>
      <c r="O63" s="26" t="str">
        <f aca="false">IF($A63="","",IF($B63&lt;&gt;"",$B63,IF($N63="","",IFERROR(INDEX($B$5:$B$204,MATCH($N63,$A$5:$A$204,0)),""))))</f>
        <v/>
      </c>
      <c r="P63" s="26" t="str">
        <f aca="false">IF($A63="","",IF($C63&lt;&gt;"",$C63,IF($N63="","",IFERROR(INDEX($C$5:$C$204,MATCH($N63,$A$5:$A$204,0)),""))))</f>
        <v/>
      </c>
      <c r="Q63" s="26" t="str">
        <f aca="false">IF($A63="","",IF($D63&lt;&gt;"",$D63,IF($N63="","",IFERROR(INDEX($D$5:$D$204,MATCH($N63,$A$5:$A$204,0)),""))))</f>
        <v/>
      </c>
      <c r="R63" s="26" t="str">
        <f aca="false">IF($A63="","",IF($E63&lt;&gt;"",$E63,IF($N63="","",IFERROR(INDEX($E$5:$E$204,MATCH($N63,$A$5:$A$204,0)),""))))</f>
        <v/>
      </c>
      <c r="S63" s="26" t="str">
        <f aca="false">IF($A63="","",IF($H63&lt;&gt;"",$H63,IF($N63="","",IFERROR(INDEX($H$5:$H$204,MATCH($N63,$A$5:$A$204,0)),""))))</f>
        <v/>
      </c>
      <c r="T63" s="26" t="str">
        <f aca="false">IF($A63="","",IF($F63&lt;&gt;"",$F63,IF($N63="","",IFERROR(INDEX($F$5:$F$204,MATCH($N63,$A$5:$A$204,0)),""))))</f>
        <v/>
      </c>
      <c r="U63" s="27" t="str">
        <f aca="false">IF($A63="","",SUMIFS(MVT_NET,MVT_LOT,$A63))</f>
        <v/>
      </c>
      <c r="V63" s="28" t="str">
        <f aca="false">IF($A63="","",COUNTIFS(MVT_LOT,$A63,MVT_BRUT,"&lt;&gt;0"))</f>
        <v/>
      </c>
      <c r="W63" s="28" t="str">
        <f aca="false">IF($A63="","",COUNTIFS(QC_LOT,$A63))</f>
        <v/>
      </c>
      <c r="X63" s="26" t="str">
        <f aca="false">IF($A63="","",IFERROR(INDEX(QC_DEC,MATCH($A63,QC_CLEDER,0)),""))</f>
        <v/>
      </c>
      <c r="Y63" s="26" t="str">
        <f aca="false">IF($A63="","",IF(COUNTIF($A$5:$A$204,$A63)&gt;1,IF(SUMPRODUCT(($A$5:$A$204=$A63)*(($C$5:$C$204&lt;&gt;$C63)+($D$5:$D$204&lt;&gt;$D63)))&gt;0,"INCOHERENCE","LOT EN DOUBLE"),"OK"))</f>
        <v/>
      </c>
      <c r="Z63" s="28" t="n">
        <f aca="false">IF($A63="",0,IF(AND($O63&lt;&gt;"",$A63&lt;&gt;R_LOT,$O63=IFERROR(INDEX(LOT_EXTE,MATCH(R_LOT,LOT_KEY,0)),"#")),1,0))</f>
        <v>0</v>
      </c>
      <c r="AA63" s="26" t="str">
        <f aca="false">IF($Z63=0,"",COUNTIF($Z$5:$Z63,1))</f>
        <v/>
      </c>
    </row>
    <row r="64" customFormat="false" ht="15" hidden="false" customHeight="false" outlineLevel="0" collapsed="false">
      <c r="A64" s="24"/>
      <c r="B64" s="24"/>
      <c r="C64" s="24"/>
      <c r="D64" s="24"/>
      <c r="E64" s="24"/>
      <c r="F64" s="24"/>
      <c r="G64" s="24"/>
      <c r="H64" s="24"/>
      <c r="I64" s="24"/>
      <c r="J64" s="24"/>
      <c r="K64" s="25"/>
      <c r="L64" s="24"/>
      <c r="M64" s="24"/>
      <c r="N64" s="26" t="str">
        <f aca="false">IF($A64="","",IF($L64&lt;&gt;"",$L64,IF(IFERROR(INDEX(RES_LOTSRC,MATCH($A64,RES_LOTEFF,0)),"")=$A64,"",IFERROR(INDEX(RES_LOTSRC,MATCH($A64,RES_LOTEFF,0)),""))))</f>
        <v/>
      </c>
      <c r="O64" s="26" t="str">
        <f aca="false">IF($A64="","",IF($B64&lt;&gt;"",$B64,IF($N64="","",IFERROR(INDEX($B$5:$B$204,MATCH($N64,$A$5:$A$204,0)),""))))</f>
        <v/>
      </c>
      <c r="P64" s="26" t="str">
        <f aca="false">IF($A64="","",IF($C64&lt;&gt;"",$C64,IF($N64="","",IFERROR(INDEX($C$5:$C$204,MATCH($N64,$A$5:$A$204,0)),""))))</f>
        <v/>
      </c>
      <c r="Q64" s="26" t="str">
        <f aca="false">IF($A64="","",IF($D64&lt;&gt;"",$D64,IF($N64="","",IFERROR(INDEX($D$5:$D$204,MATCH($N64,$A$5:$A$204,0)),""))))</f>
        <v/>
      </c>
      <c r="R64" s="26" t="str">
        <f aca="false">IF($A64="","",IF($E64&lt;&gt;"",$E64,IF($N64="","",IFERROR(INDEX($E$5:$E$204,MATCH($N64,$A$5:$A$204,0)),""))))</f>
        <v/>
      </c>
      <c r="S64" s="26" t="str">
        <f aca="false">IF($A64="","",IF($H64&lt;&gt;"",$H64,IF($N64="","",IFERROR(INDEX($H$5:$H$204,MATCH($N64,$A$5:$A$204,0)),""))))</f>
        <v/>
      </c>
      <c r="T64" s="26" t="str">
        <f aca="false">IF($A64="","",IF($F64&lt;&gt;"",$F64,IF($N64="","",IFERROR(INDEX($F$5:$F$204,MATCH($N64,$A$5:$A$204,0)),""))))</f>
        <v/>
      </c>
      <c r="U64" s="27" t="str">
        <f aca="false">IF($A64="","",SUMIFS(MVT_NET,MVT_LOT,$A64))</f>
        <v/>
      </c>
      <c r="V64" s="28" t="str">
        <f aca="false">IF($A64="","",COUNTIFS(MVT_LOT,$A64,MVT_BRUT,"&lt;&gt;0"))</f>
        <v/>
      </c>
      <c r="W64" s="28" t="str">
        <f aca="false">IF($A64="","",COUNTIFS(QC_LOT,$A64))</f>
        <v/>
      </c>
      <c r="X64" s="26" t="str">
        <f aca="false">IF($A64="","",IFERROR(INDEX(QC_DEC,MATCH($A64,QC_CLEDER,0)),""))</f>
        <v/>
      </c>
      <c r="Y64" s="26" t="str">
        <f aca="false">IF($A64="","",IF(COUNTIF($A$5:$A$204,$A64)&gt;1,IF(SUMPRODUCT(($A$5:$A$204=$A64)*(($C$5:$C$204&lt;&gt;$C64)+($D$5:$D$204&lt;&gt;$D64)))&gt;0,"INCOHERENCE","LOT EN DOUBLE"),"OK"))</f>
        <v/>
      </c>
      <c r="Z64" s="28" t="n">
        <f aca="false">IF($A64="",0,IF(AND($O64&lt;&gt;"",$A64&lt;&gt;R_LOT,$O64=IFERROR(INDEX(LOT_EXTE,MATCH(R_LOT,LOT_KEY,0)),"#")),1,0))</f>
        <v>0</v>
      </c>
      <c r="AA64" s="26" t="str">
        <f aca="false">IF($Z64=0,"",COUNTIF($Z$5:$Z64,1))</f>
        <v/>
      </c>
    </row>
    <row r="65" customFormat="false" ht="15" hidden="false" customHeight="false" outlineLevel="0" collapsed="false">
      <c r="A65" s="24"/>
      <c r="B65" s="24"/>
      <c r="C65" s="24"/>
      <c r="D65" s="24"/>
      <c r="E65" s="24"/>
      <c r="F65" s="24"/>
      <c r="G65" s="24"/>
      <c r="H65" s="24"/>
      <c r="I65" s="24"/>
      <c r="J65" s="24"/>
      <c r="K65" s="25"/>
      <c r="L65" s="24"/>
      <c r="M65" s="24"/>
      <c r="N65" s="26" t="str">
        <f aca="false">IF($A65="","",IF($L65&lt;&gt;"",$L65,IF(IFERROR(INDEX(RES_LOTSRC,MATCH($A65,RES_LOTEFF,0)),"")=$A65,"",IFERROR(INDEX(RES_LOTSRC,MATCH($A65,RES_LOTEFF,0)),""))))</f>
        <v/>
      </c>
      <c r="O65" s="26" t="str">
        <f aca="false">IF($A65="","",IF($B65&lt;&gt;"",$B65,IF($N65="","",IFERROR(INDEX($B$5:$B$204,MATCH($N65,$A$5:$A$204,0)),""))))</f>
        <v/>
      </c>
      <c r="P65" s="26" t="str">
        <f aca="false">IF($A65="","",IF($C65&lt;&gt;"",$C65,IF($N65="","",IFERROR(INDEX($C$5:$C$204,MATCH($N65,$A$5:$A$204,0)),""))))</f>
        <v/>
      </c>
      <c r="Q65" s="26" t="str">
        <f aca="false">IF($A65="","",IF($D65&lt;&gt;"",$D65,IF($N65="","",IFERROR(INDEX($D$5:$D$204,MATCH($N65,$A$5:$A$204,0)),""))))</f>
        <v/>
      </c>
      <c r="R65" s="26" t="str">
        <f aca="false">IF($A65="","",IF($E65&lt;&gt;"",$E65,IF($N65="","",IFERROR(INDEX($E$5:$E$204,MATCH($N65,$A$5:$A$204,0)),""))))</f>
        <v/>
      </c>
      <c r="S65" s="26" t="str">
        <f aca="false">IF($A65="","",IF($H65&lt;&gt;"",$H65,IF($N65="","",IFERROR(INDEX($H$5:$H$204,MATCH($N65,$A$5:$A$204,0)),""))))</f>
        <v/>
      </c>
      <c r="T65" s="26" t="str">
        <f aca="false">IF($A65="","",IF($F65&lt;&gt;"",$F65,IF($N65="","",IFERROR(INDEX($F$5:$F$204,MATCH($N65,$A$5:$A$204,0)),""))))</f>
        <v/>
      </c>
      <c r="U65" s="27" t="str">
        <f aca="false">IF($A65="","",SUMIFS(MVT_NET,MVT_LOT,$A65))</f>
        <v/>
      </c>
      <c r="V65" s="28" t="str">
        <f aca="false">IF($A65="","",COUNTIFS(MVT_LOT,$A65,MVT_BRUT,"&lt;&gt;0"))</f>
        <v/>
      </c>
      <c r="W65" s="28" t="str">
        <f aca="false">IF($A65="","",COUNTIFS(QC_LOT,$A65))</f>
        <v/>
      </c>
      <c r="X65" s="26" t="str">
        <f aca="false">IF($A65="","",IFERROR(INDEX(QC_DEC,MATCH($A65,QC_CLEDER,0)),""))</f>
        <v/>
      </c>
      <c r="Y65" s="26" t="str">
        <f aca="false">IF($A65="","",IF(COUNTIF($A$5:$A$204,$A65)&gt;1,IF(SUMPRODUCT(($A$5:$A$204=$A65)*(($C$5:$C$204&lt;&gt;$C65)+($D$5:$D$204&lt;&gt;$D65)))&gt;0,"INCOHERENCE","LOT EN DOUBLE"),"OK"))</f>
        <v/>
      </c>
      <c r="Z65" s="28" t="n">
        <f aca="false">IF($A65="",0,IF(AND($O65&lt;&gt;"",$A65&lt;&gt;R_LOT,$O65=IFERROR(INDEX(LOT_EXTE,MATCH(R_LOT,LOT_KEY,0)),"#")),1,0))</f>
        <v>0</v>
      </c>
      <c r="AA65" s="26" t="str">
        <f aca="false">IF($Z65=0,"",COUNTIF($Z$5:$Z65,1))</f>
        <v/>
      </c>
    </row>
    <row r="66" customFormat="false" ht="15" hidden="false" customHeight="false" outlineLevel="0" collapsed="false">
      <c r="A66" s="24"/>
      <c r="B66" s="24"/>
      <c r="C66" s="24"/>
      <c r="D66" s="24"/>
      <c r="E66" s="24"/>
      <c r="F66" s="24"/>
      <c r="G66" s="24"/>
      <c r="H66" s="24"/>
      <c r="I66" s="24"/>
      <c r="J66" s="24"/>
      <c r="K66" s="25"/>
      <c r="L66" s="24"/>
      <c r="M66" s="24"/>
      <c r="N66" s="26" t="str">
        <f aca="false">IF($A66="","",IF($L66&lt;&gt;"",$L66,IF(IFERROR(INDEX(RES_LOTSRC,MATCH($A66,RES_LOTEFF,0)),"")=$A66,"",IFERROR(INDEX(RES_LOTSRC,MATCH($A66,RES_LOTEFF,0)),""))))</f>
        <v/>
      </c>
      <c r="O66" s="26" t="str">
        <f aca="false">IF($A66="","",IF($B66&lt;&gt;"",$B66,IF($N66="","",IFERROR(INDEX($B$5:$B$204,MATCH($N66,$A$5:$A$204,0)),""))))</f>
        <v/>
      </c>
      <c r="P66" s="26" t="str">
        <f aca="false">IF($A66="","",IF($C66&lt;&gt;"",$C66,IF($N66="","",IFERROR(INDEX($C$5:$C$204,MATCH($N66,$A$5:$A$204,0)),""))))</f>
        <v/>
      </c>
      <c r="Q66" s="26" t="str">
        <f aca="false">IF($A66="","",IF($D66&lt;&gt;"",$D66,IF($N66="","",IFERROR(INDEX($D$5:$D$204,MATCH($N66,$A$5:$A$204,0)),""))))</f>
        <v/>
      </c>
      <c r="R66" s="26" t="str">
        <f aca="false">IF($A66="","",IF($E66&lt;&gt;"",$E66,IF($N66="","",IFERROR(INDEX($E$5:$E$204,MATCH($N66,$A$5:$A$204,0)),""))))</f>
        <v/>
      </c>
      <c r="S66" s="26" t="str">
        <f aca="false">IF($A66="","",IF($H66&lt;&gt;"",$H66,IF($N66="","",IFERROR(INDEX($H$5:$H$204,MATCH($N66,$A$5:$A$204,0)),""))))</f>
        <v/>
      </c>
      <c r="T66" s="26" t="str">
        <f aca="false">IF($A66="","",IF($F66&lt;&gt;"",$F66,IF($N66="","",IFERROR(INDEX($F$5:$F$204,MATCH($N66,$A$5:$A$204,0)),""))))</f>
        <v/>
      </c>
      <c r="U66" s="27" t="str">
        <f aca="false">IF($A66="","",SUMIFS(MVT_NET,MVT_LOT,$A66))</f>
        <v/>
      </c>
      <c r="V66" s="28" t="str">
        <f aca="false">IF($A66="","",COUNTIFS(MVT_LOT,$A66,MVT_BRUT,"&lt;&gt;0"))</f>
        <v/>
      </c>
      <c r="W66" s="28" t="str">
        <f aca="false">IF($A66="","",COUNTIFS(QC_LOT,$A66))</f>
        <v/>
      </c>
      <c r="X66" s="26" t="str">
        <f aca="false">IF($A66="","",IFERROR(INDEX(QC_DEC,MATCH($A66,QC_CLEDER,0)),""))</f>
        <v/>
      </c>
      <c r="Y66" s="26" t="str">
        <f aca="false">IF($A66="","",IF(COUNTIF($A$5:$A$204,$A66)&gt;1,IF(SUMPRODUCT(($A$5:$A$204=$A66)*(($C$5:$C$204&lt;&gt;$C66)+($D$5:$D$204&lt;&gt;$D66)))&gt;0,"INCOHERENCE","LOT EN DOUBLE"),"OK"))</f>
        <v/>
      </c>
      <c r="Z66" s="28" t="n">
        <f aca="false">IF($A66="",0,IF(AND($O66&lt;&gt;"",$A66&lt;&gt;R_LOT,$O66=IFERROR(INDEX(LOT_EXTE,MATCH(R_LOT,LOT_KEY,0)),"#")),1,0))</f>
        <v>0</v>
      </c>
      <c r="AA66" s="26" t="str">
        <f aca="false">IF($Z66=0,"",COUNTIF($Z$5:$Z66,1))</f>
        <v/>
      </c>
    </row>
    <row r="67" customFormat="false" ht="15" hidden="false" customHeight="false" outlineLevel="0" collapsed="false">
      <c r="A67" s="24"/>
      <c r="B67" s="24"/>
      <c r="C67" s="24"/>
      <c r="D67" s="24"/>
      <c r="E67" s="24"/>
      <c r="F67" s="24"/>
      <c r="G67" s="24"/>
      <c r="H67" s="24"/>
      <c r="I67" s="24"/>
      <c r="J67" s="24"/>
      <c r="K67" s="25"/>
      <c r="L67" s="24"/>
      <c r="M67" s="24"/>
      <c r="N67" s="26" t="str">
        <f aca="false">IF($A67="","",IF($L67&lt;&gt;"",$L67,IF(IFERROR(INDEX(RES_LOTSRC,MATCH($A67,RES_LOTEFF,0)),"")=$A67,"",IFERROR(INDEX(RES_LOTSRC,MATCH($A67,RES_LOTEFF,0)),""))))</f>
        <v/>
      </c>
      <c r="O67" s="26" t="str">
        <f aca="false">IF($A67="","",IF($B67&lt;&gt;"",$B67,IF($N67="","",IFERROR(INDEX($B$5:$B$204,MATCH($N67,$A$5:$A$204,0)),""))))</f>
        <v/>
      </c>
      <c r="P67" s="26" t="str">
        <f aca="false">IF($A67="","",IF($C67&lt;&gt;"",$C67,IF($N67="","",IFERROR(INDEX($C$5:$C$204,MATCH($N67,$A$5:$A$204,0)),""))))</f>
        <v/>
      </c>
      <c r="Q67" s="26" t="str">
        <f aca="false">IF($A67="","",IF($D67&lt;&gt;"",$D67,IF($N67="","",IFERROR(INDEX($D$5:$D$204,MATCH($N67,$A$5:$A$204,0)),""))))</f>
        <v/>
      </c>
      <c r="R67" s="26" t="str">
        <f aca="false">IF($A67="","",IF($E67&lt;&gt;"",$E67,IF($N67="","",IFERROR(INDEX($E$5:$E$204,MATCH($N67,$A$5:$A$204,0)),""))))</f>
        <v/>
      </c>
      <c r="S67" s="26" t="str">
        <f aca="false">IF($A67="","",IF($H67&lt;&gt;"",$H67,IF($N67="","",IFERROR(INDEX($H$5:$H$204,MATCH($N67,$A$5:$A$204,0)),""))))</f>
        <v/>
      </c>
      <c r="T67" s="26" t="str">
        <f aca="false">IF($A67="","",IF($F67&lt;&gt;"",$F67,IF($N67="","",IFERROR(INDEX($F$5:$F$204,MATCH($N67,$A$5:$A$204,0)),""))))</f>
        <v/>
      </c>
      <c r="U67" s="27" t="str">
        <f aca="false">IF($A67="","",SUMIFS(MVT_NET,MVT_LOT,$A67))</f>
        <v/>
      </c>
      <c r="V67" s="28" t="str">
        <f aca="false">IF($A67="","",COUNTIFS(MVT_LOT,$A67,MVT_BRUT,"&lt;&gt;0"))</f>
        <v/>
      </c>
      <c r="W67" s="28" t="str">
        <f aca="false">IF($A67="","",COUNTIFS(QC_LOT,$A67))</f>
        <v/>
      </c>
      <c r="X67" s="26" t="str">
        <f aca="false">IF($A67="","",IFERROR(INDEX(QC_DEC,MATCH($A67,QC_CLEDER,0)),""))</f>
        <v/>
      </c>
      <c r="Y67" s="26" t="str">
        <f aca="false">IF($A67="","",IF(COUNTIF($A$5:$A$204,$A67)&gt;1,IF(SUMPRODUCT(($A$5:$A$204=$A67)*(($C$5:$C$204&lt;&gt;$C67)+($D$5:$D$204&lt;&gt;$D67)))&gt;0,"INCOHERENCE","LOT EN DOUBLE"),"OK"))</f>
        <v/>
      </c>
      <c r="Z67" s="28" t="n">
        <f aca="false">IF($A67="",0,IF(AND($O67&lt;&gt;"",$A67&lt;&gt;R_LOT,$O67=IFERROR(INDEX(LOT_EXTE,MATCH(R_LOT,LOT_KEY,0)),"#")),1,0))</f>
        <v>0</v>
      </c>
      <c r="AA67" s="26" t="str">
        <f aca="false">IF($Z67=0,"",COUNTIF($Z$5:$Z67,1))</f>
        <v/>
      </c>
    </row>
    <row r="68" customFormat="false" ht="15" hidden="false" customHeight="false" outlineLevel="0" collapsed="false">
      <c r="A68" s="24"/>
      <c r="B68" s="24"/>
      <c r="C68" s="24"/>
      <c r="D68" s="24"/>
      <c r="E68" s="24"/>
      <c r="F68" s="24"/>
      <c r="G68" s="24"/>
      <c r="H68" s="24"/>
      <c r="I68" s="24"/>
      <c r="J68" s="24"/>
      <c r="K68" s="25"/>
      <c r="L68" s="24"/>
      <c r="M68" s="24"/>
      <c r="N68" s="26" t="str">
        <f aca="false">IF($A68="","",IF($L68&lt;&gt;"",$L68,IF(IFERROR(INDEX(RES_LOTSRC,MATCH($A68,RES_LOTEFF,0)),"")=$A68,"",IFERROR(INDEX(RES_LOTSRC,MATCH($A68,RES_LOTEFF,0)),""))))</f>
        <v/>
      </c>
      <c r="O68" s="26" t="str">
        <f aca="false">IF($A68="","",IF($B68&lt;&gt;"",$B68,IF($N68="","",IFERROR(INDEX($B$5:$B$204,MATCH($N68,$A$5:$A$204,0)),""))))</f>
        <v/>
      </c>
      <c r="P68" s="26" t="str">
        <f aca="false">IF($A68="","",IF($C68&lt;&gt;"",$C68,IF($N68="","",IFERROR(INDEX($C$5:$C$204,MATCH($N68,$A$5:$A$204,0)),""))))</f>
        <v/>
      </c>
      <c r="Q68" s="26" t="str">
        <f aca="false">IF($A68="","",IF($D68&lt;&gt;"",$D68,IF($N68="","",IFERROR(INDEX($D$5:$D$204,MATCH($N68,$A$5:$A$204,0)),""))))</f>
        <v/>
      </c>
      <c r="R68" s="26" t="str">
        <f aca="false">IF($A68="","",IF($E68&lt;&gt;"",$E68,IF($N68="","",IFERROR(INDEX($E$5:$E$204,MATCH($N68,$A$5:$A$204,0)),""))))</f>
        <v/>
      </c>
      <c r="S68" s="26" t="str">
        <f aca="false">IF($A68="","",IF($H68&lt;&gt;"",$H68,IF($N68="","",IFERROR(INDEX($H$5:$H$204,MATCH($N68,$A$5:$A$204,0)),""))))</f>
        <v/>
      </c>
      <c r="T68" s="26" t="str">
        <f aca="false">IF($A68="","",IF($F68&lt;&gt;"",$F68,IF($N68="","",IFERROR(INDEX($F$5:$F$204,MATCH($N68,$A$5:$A$204,0)),""))))</f>
        <v/>
      </c>
      <c r="U68" s="27" t="str">
        <f aca="false">IF($A68="","",SUMIFS(MVT_NET,MVT_LOT,$A68))</f>
        <v/>
      </c>
      <c r="V68" s="28" t="str">
        <f aca="false">IF($A68="","",COUNTIFS(MVT_LOT,$A68,MVT_BRUT,"&lt;&gt;0"))</f>
        <v/>
      </c>
      <c r="W68" s="28" t="str">
        <f aca="false">IF($A68="","",COUNTIFS(QC_LOT,$A68))</f>
        <v/>
      </c>
      <c r="X68" s="26" t="str">
        <f aca="false">IF($A68="","",IFERROR(INDEX(QC_DEC,MATCH($A68,QC_CLEDER,0)),""))</f>
        <v/>
      </c>
      <c r="Y68" s="26" t="str">
        <f aca="false">IF($A68="","",IF(COUNTIF($A$5:$A$204,$A68)&gt;1,IF(SUMPRODUCT(($A$5:$A$204=$A68)*(($C$5:$C$204&lt;&gt;$C68)+($D$5:$D$204&lt;&gt;$D68)))&gt;0,"INCOHERENCE","LOT EN DOUBLE"),"OK"))</f>
        <v/>
      </c>
      <c r="Z68" s="28" t="n">
        <f aca="false">IF($A68="",0,IF(AND($O68&lt;&gt;"",$A68&lt;&gt;R_LOT,$O68=IFERROR(INDEX(LOT_EXTE,MATCH(R_LOT,LOT_KEY,0)),"#")),1,0))</f>
        <v>0</v>
      </c>
      <c r="AA68" s="26" t="str">
        <f aca="false">IF($Z68=0,"",COUNTIF($Z$5:$Z68,1))</f>
        <v/>
      </c>
    </row>
    <row r="69" customFormat="false" ht="15" hidden="false" customHeight="false" outlineLevel="0" collapsed="false">
      <c r="A69" s="24"/>
      <c r="B69" s="24"/>
      <c r="C69" s="24"/>
      <c r="D69" s="24"/>
      <c r="E69" s="24"/>
      <c r="F69" s="24"/>
      <c r="G69" s="24"/>
      <c r="H69" s="24"/>
      <c r="I69" s="24"/>
      <c r="J69" s="24"/>
      <c r="K69" s="25"/>
      <c r="L69" s="24"/>
      <c r="M69" s="24"/>
      <c r="N69" s="26" t="str">
        <f aca="false">IF($A69="","",IF($L69&lt;&gt;"",$L69,IF(IFERROR(INDEX(RES_LOTSRC,MATCH($A69,RES_LOTEFF,0)),"")=$A69,"",IFERROR(INDEX(RES_LOTSRC,MATCH($A69,RES_LOTEFF,0)),""))))</f>
        <v/>
      </c>
      <c r="O69" s="26" t="str">
        <f aca="false">IF($A69="","",IF($B69&lt;&gt;"",$B69,IF($N69="","",IFERROR(INDEX($B$5:$B$204,MATCH($N69,$A$5:$A$204,0)),""))))</f>
        <v/>
      </c>
      <c r="P69" s="26" t="str">
        <f aca="false">IF($A69="","",IF($C69&lt;&gt;"",$C69,IF($N69="","",IFERROR(INDEX($C$5:$C$204,MATCH($N69,$A$5:$A$204,0)),""))))</f>
        <v/>
      </c>
      <c r="Q69" s="26" t="str">
        <f aca="false">IF($A69="","",IF($D69&lt;&gt;"",$D69,IF($N69="","",IFERROR(INDEX($D$5:$D$204,MATCH($N69,$A$5:$A$204,0)),""))))</f>
        <v/>
      </c>
      <c r="R69" s="26" t="str">
        <f aca="false">IF($A69="","",IF($E69&lt;&gt;"",$E69,IF($N69="","",IFERROR(INDEX($E$5:$E$204,MATCH($N69,$A$5:$A$204,0)),""))))</f>
        <v/>
      </c>
      <c r="S69" s="26" t="str">
        <f aca="false">IF($A69="","",IF($H69&lt;&gt;"",$H69,IF($N69="","",IFERROR(INDEX($H$5:$H$204,MATCH($N69,$A$5:$A$204,0)),""))))</f>
        <v/>
      </c>
      <c r="T69" s="26" t="str">
        <f aca="false">IF($A69="","",IF($F69&lt;&gt;"",$F69,IF($N69="","",IFERROR(INDEX($F$5:$F$204,MATCH($N69,$A$5:$A$204,0)),""))))</f>
        <v/>
      </c>
      <c r="U69" s="27" t="str">
        <f aca="false">IF($A69="","",SUMIFS(MVT_NET,MVT_LOT,$A69))</f>
        <v/>
      </c>
      <c r="V69" s="28" t="str">
        <f aca="false">IF($A69="","",COUNTIFS(MVT_LOT,$A69,MVT_BRUT,"&lt;&gt;0"))</f>
        <v/>
      </c>
      <c r="W69" s="28" t="str">
        <f aca="false">IF($A69="","",COUNTIFS(QC_LOT,$A69))</f>
        <v/>
      </c>
      <c r="X69" s="26" t="str">
        <f aca="false">IF($A69="","",IFERROR(INDEX(QC_DEC,MATCH($A69,QC_CLEDER,0)),""))</f>
        <v/>
      </c>
      <c r="Y69" s="26" t="str">
        <f aca="false">IF($A69="","",IF(COUNTIF($A$5:$A$204,$A69)&gt;1,IF(SUMPRODUCT(($A$5:$A$204=$A69)*(($C$5:$C$204&lt;&gt;$C69)+($D$5:$D$204&lt;&gt;$D69)))&gt;0,"INCOHERENCE","LOT EN DOUBLE"),"OK"))</f>
        <v/>
      </c>
      <c r="Z69" s="28" t="n">
        <f aca="false">IF($A69="",0,IF(AND($O69&lt;&gt;"",$A69&lt;&gt;R_LOT,$O69=IFERROR(INDEX(LOT_EXTE,MATCH(R_LOT,LOT_KEY,0)),"#")),1,0))</f>
        <v>0</v>
      </c>
      <c r="AA69" s="26" t="str">
        <f aca="false">IF($Z69=0,"",COUNTIF($Z$5:$Z69,1))</f>
        <v/>
      </c>
    </row>
    <row r="70" customFormat="false" ht="15" hidden="false" customHeight="false" outlineLevel="0" collapsed="false">
      <c r="A70" s="24"/>
      <c r="B70" s="24"/>
      <c r="C70" s="24"/>
      <c r="D70" s="24"/>
      <c r="E70" s="24"/>
      <c r="F70" s="24"/>
      <c r="G70" s="24"/>
      <c r="H70" s="24"/>
      <c r="I70" s="24"/>
      <c r="J70" s="24"/>
      <c r="K70" s="25"/>
      <c r="L70" s="24"/>
      <c r="M70" s="24"/>
      <c r="N70" s="26" t="str">
        <f aca="false">IF($A70="","",IF($L70&lt;&gt;"",$L70,IF(IFERROR(INDEX(RES_LOTSRC,MATCH($A70,RES_LOTEFF,0)),"")=$A70,"",IFERROR(INDEX(RES_LOTSRC,MATCH($A70,RES_LOTEFF,0)),""))))</f>
        <v/>
      </c>
      <c r="O70" s="26" t="str">
        <f aca="false">IF($A70="","",IF($B70&lt;&gt;"",$B70,IF($N70="","",IFERROR(INDEX($B$5:$B$204,MATCH($N70,$A$5:$A$204,0)),""))))</f>
        <v/>
      </c>
      <c r="P70" s="26" t="str">
        <f aca="false">IF($A70="","",IF($C70&lt;&gt;"",$C70,IF($N70="","",IFERROR(INDEX($C$5:$C$204,MATCH($N70,$A$5:$A$204,0)),""))))</f>
        <v/>
      </c>
      <c r="Q70" s="26" t="str">
        <f aca="false">IF($A70="","",IF($D70&lt;&gt;"",$D70,IF($N70="","",IFERROR(INDEX($D$5:$D$204,MATCH($N70,$A$5:$A$204,0)),""))))</f>
        <v/>
      </c>
      <c r="R70" s="26" t="str">
        <f aca="false">IF($A70="","",IF($E70&lt;&gt;"",$E70,IF($N70="","",IFERROR(INDEX($E$5:$E$204,MATCH($N70,$A$5:$A$204,0)),""))))</f>
        <v/>
      </c>
      <c r="S70" s="26" t="str">
        <f aca="false">IF($A70="","",IF($H70&lt;&gt;"",$H70,IF($N70="","",IFERROR(INDEX($H$5:$H$204,MATCH($N70,$A$5:$A$204,0)),""))))</f>
        <v/>
      </c>
      <c r="T70" s="26" t="str">
        <f aca="false">IF($A70="","",IF($F70&lt;&gt;"",$F70,IF($N70="","",IFERROR(INDEX($F$5:$F$204,MATCH($N70,$A$5:$A$204,0)),""))))</f>
        <v/>
      </c>
      <c r="U70" s="27" t="str">
        <f aca="false">IF($A70="","",SUMIFS(MVT_NET,MVT_LOT,$A70))</f>
        <v/>
      </c>
      <c r="V70" s="28" t="str">
        <f aca="false">IF($A70="","",COUNTIFS(MVT_LOT,$A70,MVT_BRUT,"&lt;&gt;0"))</f>
        <v/>
      </c>
      <c r="W70" s="28" t="str">
        <f aca="false">IF($A70="","",COUNTIFS(QC_LOT,$A70))</f>
        <v/>
      </c>
      <c r="X70" s="26" t="str">
        <f aca="false">IF($A70="","",IFERROR(INDEX(QC_DEC,MATCH($A70,QC_CLEDER,0)),""))</f>
        <v/>
      </c>
      <c r="Y70" s="26" t="str">
        <f aca="false">IF($A70="","",IF(COUNTIF($A$5:$A$204,$A70)&gt;1,IF(SUMPRODUCT(($A$5:$A$204=$A70)*(($C$5:$C$204&lt;&gt;$C70)+($D$5:$D$204&lt;&gt;$D70)))&gt;0,"INCOHERENCE","LOT EN DOUBLE"),"OK"))</f>
        <v/>
      </c>
      <c r="Z70" s="28" t="n">
        <f aca="false">IF($A70="",0,IF(AND($O70&lt;&gt;"",$A70&lt;&gt;R_LOT,$O70=IFERROR(INDEX(LOT_EXTE,MATCH(R_LOT,LOT_KEY,0)),"#")),1,0))</f>
        <v>0</v>
      </c>
      <c r="AA70" s="26" t="str">
        <f aca="false">IF($Z70=0,"",COUNTIF($Z$5:$Z70,1))</f>
        <v/>
      </c>
    </row>
    <row r="71" customFormat="false" ht="15" hidden="false" customHeight="false" outlineLevel="0" collapsed="false">
      <c r="A71" s="24"/>
      <c r="B71" s="24"/>
      <c r="C71" s="24"/>
      <c r="D71" s="24"/>
      <c r="E71" s="24"/>
      <c r="F71" s="24"/>
      <c r="G71" s="24"/>
      <c r="H71" s="24"/>
      <c r="I71" s="24"/>
      <c r="J71" s="24"/>
      <c r="K71" s="25"/>
      <c r="L71" s="24"/>
      <c r="M71" s="24"/>
      <c r="N71" s="26" t="str">
        <f aca="false">IF($A71="","",IF($L71&lt;&gt;"",$L71,IF(IFERROR(INDEX(RES_LOTSRC,MATCH($A71,RES_LOTEFF,0)),"")=$A71,"",IFERROR(INDEX(RES_LOTSRC,MATCH($A71,RES_LOTEFF,0)),""))))</f>
        <v/>
      </c>
      <c r="O71" s="26" t="str">
        <f aca="false">IF($A71="","",IF($B71&lt;&gt;"",$B71,IF($N71="","",IFERROR(INDEX($B$5:$B$204,MATCH($N71,$A$5:$A$204,0)),""))))</f>
        <v/>
      </c>
      <c r="P71" s="26" t="str">
        <f aca="false">IF($A71="","",IF($C71&lt;&gt;"",$C71,IF($N71="","",IFERROR(INDEX($C$5:$C$204,MATCH($N71,$A$5:$A$204,0)),""))))</f>
        <v/>
      </c>
      <c r="Q71" s="26" t="str">
        <f aca="false">IF($A71="","",IF($D71&lt;&gt;"",$D71,IF($N71="","",IFERROR(INDEX($D$5:$D$204,MATCH($N71,$A$5:$A$204,0)),""))))</f>
        <v/>
      </c>
      <c r="R71" s="26" t="str">
        <f aca="false">IF($A71="","",IF($E71&lt;&gt;"",$E71,IF($N71="","",IFERROR(INDEX($E$5:$E$204,MATCH($N71,$A$5:$A$204,0)),""))))</f>
        <v/>
      </c>
      <c r="S71" s="26" t="str">
        <f aca="false">IF($A71="","",IF($H71&lt;&gt;"",$H71,IF($N71="","",IFERROR(INDEX($H$5:$H$204,MATCH($N71,$A$5:$A$204,0)),""))))</f>
        <v/>
      </c>
      <c r="T71" s="26" t="str">
        <f aca="false">IF($A71="","",IF($F71&lt;&gt;"",$F71,IF($N71="","",IFERROR(INDEX($F$5:$F$204,MATCH($N71,$A$5:$A$204,0)),""))))</f>
        <v/>
      </c>
      <c r="U71" s="27" t="str">
        <f aca="false">IF($A71="","",SUMIFS(MVT_NET,MVT_LOT,$A71))</f>
        <v/>
      </c>
      <c r="V71" s="28" t="str">
        <f aca="false">IF($A71="","",COUNTIFS(MVT_LOT,$A71,MVT_BRUT,"&lt;&gt;0"))</f>
        <v/>
      </c>
      <c r="W71" s="28" t="str">
        <f aca="false">IF($A71="","",COUNTIFS(QC_LOT,$A71))</f>
        <v/>
      </c>
      <c r="X71" s="26" t="str">
        <f aca="false">IF($A71="","",IFERROR(INDEX(QC_DEC,MATCH($A71,QC_CLEDER,0)),""))</f>
        <v/>
      </c>
      <c r="Y71" s="26" t="str">
        <f aca="false">IF($A71="","",IF(COUNTIF($A$5:$A$204,$A71)&gt;1,IF(SUMPRODUCT(($A$5:$A$204=$A71)*(($C$5:$C$204&lt;&gt;$C71)+($D$5:$D$204&lt;&gt;$D71)))&gt;0,"INCOHERENCE","LOT EN DOUBLE"),"OK"))</f>
        <v/>
      </c>
      <c r="Z71" s="28" t="n">
        <f aca="false">IF($A71="",0,IF(AND($O71&lt;&gt;"",$A71&lt;&gt;R_LOT,$O71=IFERROR(INDEX(LOT_EXTE,MATCH(R_LOT,LOT_KEY,0)),"#")),1,0))</f>
        <v>0</v>
      </c>
      <c r="AA71" s="26" t="str">
        <f aca="false">IF($Z71=0,"",COUNTIF($Z$5:$Z71,1))</f>
        <v/>
      </c>
    </row>
    <row r="72" customFormat="false" ht="15" hidden="false" customHeight="false" outlineLevel="0" collapsed="false">
      <c r="A72" s="24"/>
      <c r="B72" s="24"/>
      <c r="C72" s="24"/>
      <c r="D72" s="24"/>
      <c r="E72" s="24"/>
      <c r="F72" s="24"/>
      <c r="G72" s="24"/>
      <c r="H72" s="24"/>
      <c r="I72" s="24"/>
      <c r="J72" s="24"/>
      <c r="K72" s="25"/>
      <c r="L72" s="24"/>
      <c r="M72" s="24"/>
      <c r="N72" s="26" t="str">
        <f aca="false">IF($A72="","",IF($L72&lt;&gt;"",$L72,IF(IFERROR(INDEX(RES_LOTSRC,MATCH($A72,RES_LOTEFF,0)),"")=$A72,"",IFERROR(INDEX(RES_LOTSRC,MATCH($A72,RES_LOTEFF,0)),""))))</f>
        <v/>
      </c>
      <c r="O72" s="26" t="str">
        <f aca="false">IF($A72="","",IF($B72&lt;&gt;"",$B72,IF($N72="","",IFERROR(INDEX($B$5:$B$204,MATCH($N72,$A$5:$A$204,0)),""))))</f>
        <v/>
      </c>
      <c r="P72" s="26" t="str">
        <f aca="false">IF($A72="","",IF($C72&lt;&gt;"",$C72,IF($N72="","",IFERROR(INDEX($C$5:$C$204,MATCH($N72,$A$5:$A$204,0)),""))))</f>
        <v/>
      </c>
      <c r="Q72" s="26" t="str">
        <f aca="false">IF($A72="","",IF($D72&lt;&gt;"",$D72,IF($N72="","",IFERROR(INDEX($D$5:$D$204,MATCH($N72,$A$5:$A$204,0)),""))))</f>
        <v/>
      </c>
      <c r="R72" s="26" t="str">
        <f aca="false">IF($A72="","",IF($E72&lt;&gt;"",$E72,IF($N72="","",IFERROR(INDEX($E$5:$E$204,MATCH($N72,$A$5:$A$204,0)),""))))</f>
        <v/>
      </c>
      <c r="S72" s="26" t="str">
        <f aca="false">IF($A72="","",IF($H72&lt;&gt;"",$H72,IF($N72="","",IFERROR(INDEX($H$5:$H$204,MATCH($N72,$A$5:$A$204,0)),""))))</f>
        <v/>
      </c>
      <c r="T72" s="26" t="str">
        <f aca="false">IF($A72="","",IF($F72&lt;&gt;"",$F72,IF($N72="","",IFERROR(INDEX($F$5:$F$204,MATCH($N72,$A$5:$A$204,0)),""))))</f>
        <v/>
      </c>
      <c r="U72" s="27" t="str">
        <f aca="false">IF($A72="","",SUMIFS(MVT_NET,MVT_LOT,$A72))</f>
        <v/>
      </c>
      <c r="V72" s="28" t="str">
        <f aca="false">IF($A72="","",COUNTIFS(MVT_LOT,$A72,MVT_BRUT,"&lt;&gt;0"))</f>
        <v/>
      </c>
      <c r="W72" s="28" t="str">
        <f aca="false">IF($A72="","",COUNTIFS(QC_LOT,$A72))</f>
        <v/>
      </c>
      <c r="X72" s="26" t="str">
        <f aca="false">IF($A72="","",IFERROR(INDEX(QC_DEC,MATCH($A72,QC_CLEDER,0)),""))</f>
        <v/>
      </c>
      <c r="Y72" s="26" t="str">
        <f aca="false">IF($A72="","",IF(COUNTIF($A$5:$A$204,$A72)&gt;1,IF(SUMPRODUCT(($A$5:$A$204=$A72)*(($C$5:$C$204&lt;&gt;$C72)+($D$5:$D$204&lt;&gt;$D72)))&gt;0,"INCOHERENCE","LOT EN DOUBLE"),"OK"))</f>
        <v/>
      </c>
      <c r="Z72" s="28" t="n">
        <f aca="false">IF($A72="",0,IF(AND($O72&lt;&gt;"",$A72&lt;&gt;R_LOT,$O72=IFERROR(INDEX(LOT_EXTE,MATCH(R_LOT,LOT_KEY,0)),"#")),1,0))</f>
        <v>0</v>
      </c>
      <c r="AA72" s="26" t="str">
        <f aca="false">IF($Z72=0,"",COUNTIF($Z$5:$Z72,1))</f>
        <v/>
      </c>
    </row>
    <row r="73" customFormat="false" ht="15" hidden="false" customHeight="false" outlineLevel="0" collapsed="false">
      <c r="A73" s="24"/>
      <c r="B73" s="24"/>
      <c r="C73" s="24"/>
      <c r="D73" s="24"/>
      <c r="E73" s="24"/>
      <c r="F73" s="24"/>
      <c r="G73" s="24"/>
      <c r="H73" s="24"/>
      <c r="I73" s="24"/>
      <c r="J73" s="24"/>
      <c r="K73" s="25"/>
      <c r="L73" s="24"/>
      <c r="M73" s="24"/>
      <c r="N73" s="26" t="str">
        <f aca="false">IF($A73="","",IF($L73&lt;&gt;"",$L73,IF(IFERROR(INDEX(RES_LOTSRC,MATCH($A73,RES_LOTEFF,0)),"")=$A73,"",IFERROR(INDEX(RES_LOTSRC,MATCH($A73,RES_LOTEFF,0)),""))))</f>
        <v/>
      </c>
      <c r="O73" s="26" t="str">
        <f aca="false">IF($A73="","",IF($B73&lt;&gt;"",$B73,IF($N73="","",IFERROR(INDEX($B$5:$B$204,MATCH($N73,$A$5:$A$204,0)),""))))</f>
        <v/>
      </c>
      <c r="P73" s="26" t="str">
        <f aca="false">IF($A73="","",IF($C73&lt;&gt;"",$C73,IF($N73="","",IFERROR(INDEX($C$5:$C$204,MATCH($N73,$A$5:$A$204,0)),""))))</f>
        <v/>
      </c>
      <c r="Q73" s="26" t="str">
        <f aca="false">IF($A73="","",IF($D73&lt;&gt;"",$D73,IF($N73="","",IFERROR(INDEX($D$5:$D$204,MATCH($N73,$A$5:$A$204,0)),""))))</f>
        <v/>
      </c>
      <c r="R73" s="26" t="str">
        <f aca="false">IF($A73="","",IF($E73&lt;&gt;"",$E73,IF($N73="","",IFERROR(INDEX($E$5:$E$204,MATCH($N73,$A$5:$A$204,0)),""))))</f>
        <v/>
      </c>
      <c r="S73" s="26" t="str">
        <f aca="false">IF($A73="","",IF($H73&lt;&gt;"",$H73,IF($N73="","",IFERROR(INDEX($H$5:$H$204,MATCH($N73,$A$5:$A$204,0)),""))))</f>
        <v/>
      </c>
      <c r="T73" s="26" t="str">
        <f aca="false">IF($A73="","",IF($F73&lt;&gt;"",$F73,IF($N73="","",IFERROR(INDEX($F$5:$F$204,MATCH($N73,$A$5:$A$204,0)),""))))</f>
        <v/>
      </c>
      <c r="U73" s="27" t="str">
        <f aca="false">IF($A73="","",SUMIFS(MVT_NET,MVT_LOT,$A73))</f>
        <v/>
      </c>
      <c r="V73" s="28" t="str">
        <f aca="false">IF($A73="","",COUNTIFS(MVT_LOT,$A73,MVT_BRUT,"&lt;&gt;0"))</f>
        <v/>
      </c>
      <c r="W73" s="28" t="str">
        <f aca="false">IF($A73="","",COUNTIFS(QC_LOT,$A73))</f>
        <v/>
      </c>
      <c r="X73" s="26" t="str">
        <f aca="false">IF($A73="","",IFERROR(INDEX(QC_DEC,MATCH($A73,QC_CLEDER,0)),""))</f>
        <v/>
      </c>
      <c r="Y73" s="26" t="str">
        <f aca="false">IF($A73="","",IF(COUNTIF($A$5:$A$204,$A73)&gt;1,IF(SUMPRODUCT(($A$5:$A$204=$A73)*(($C$5:$C$204&lt;&gt;$C73)+($D$5:$D$204&lt;&gt;$D73)))&gt;0,"INCOHERENCE","LOT EN DOUBLE"),"OK"))</f>
        <v/>
      </c>
      <c r="Z73" s="28" t="n">
        <f aca="false">IF($A73="",0,IF(AND($O73&lt;&gt;"",$A73&lt;&gt;R_LOT,$O73=IFERROR(INDEX(LOT_EXTE,MATCH(R_LOT,LOT_KEY,0)),"#")),1,0))</f>
        <v>0</v>
      </c>
      <c r="AA73" s="26" t="str">
        <f aca="false">IF($Z73=0,"",COUNTIF($Z$5:$Z73,1))</f>
        <v/>
      </c>
    </row>
    <row r="74" customFormat="false" ht="15" hidden="false" customHeight="false" outlineLevel="0" collapsed="false">
      <c r="A74" s="24"/>
      <c r="B74" s="24"/>
      <c r="C74" s="24"/>
      <c r="D74" s="24"/>
      <c r="E74" s="24"/>
      <c r="F74" s="24"/>
      <c r="G74" s="24"/>
      <c r="H74" s="24"/>
      <c r="I74" s="24"/>
      <c r="J74" s="24"/>
      <c r="K74" s="25"/>
      <c r="L74" s="24"/>
      <c r="M74" s="24"/>
      <c r="N74" s="26" t="str">
        <f aca="false">IF($A74="","",IF($L74&lt;&gt;"",$L74,IF(IFERROR(INDEX(RES_LOTSRC,MATCH($A74,RES_LOTEFF,0)),"")=$A74,"",IFERROR(INDEX(RES_LOTSRC,MATCH($A74,RES_LOTEFF,0)),""))))</f>
        <v/>
      </c>
      <c r="O74" s="26" t="str">
        <f aca="false">IF($A74="","",IF($B74&lt;&gt;"",$B74,IF($N74="","",IFERROR(INDEX($B$5:$B$204,MATCH($N74,$A$5:$A$204,0)),""))))</f>
        <v/>
      </c>
      <c r="P74" s="26" t="str">
        <f aca="false">IF($A74="","",IF($C74&lt;&gt;"",$C74,IF($N74="","",IFERROR(INDEX($C$5:$C$204,MATCH($N74,$A$5:$A$204,0)),""))))</f>
        <v/>
      </c>
      <c r="Q74" s="26" t="str">
        <f aca="false">IF($A74="","",IF($D74&lt;&gt;"",$D74,IF($N74="","",IFERROR(INDEX($D$5:$D$204,MATCH($N74,$A$5:$A$204,0)),""))))</f>
        <v/>
      </c>
      <c r="R74" s="26" t="str">
        <f aca="false">IF($A74="","",IF($E74&lt;&gt;"",$E74,IF($N74="","",IFERROR(INDEX($E$5:$E$204,MATCH($N74,$A$5:$A$204,0)),""))))</f>
        <v/>
      </c>
      <c r="S74" s="26" t="str">
        <f aca="false">IF($A74="","",IF($H74&lt;&gt;"",$H74,IF($N74="","",IFERROR(INDEX($H$5:$H$204,MATCH($N74,$A$5:$A$204,0)),""))))</f>
        <v/>
      </c>
      <c r="T74" s="26" t="str">
        <f aca="false">IF($A74="","",IF($F74&lt;&gt;"",$F74,IF($N74="","",IFERROR(INDEX($F$5:$F$204,MATCH($N74,$A$5:$A$204,0)),""))))</f>
        <v/>
      </c>
      <c r="U74" s="27" t="str">
        <f aca="false">IF($A74="","",SUMIFS(MVT_NET,MVT_LOT,$A74))</f>
        <v/>
      </c>
      <c r="V74" s="28" t="str">
        <f aca="false">IF($A74="","",COUNTIFS(MVT_LOT,$A74,MVT_BRUT,"&lt;&gt;0"))</f>
        <v/>
      </c>
      <c r="W74" s="28" t="str">
        <f aca="false">IF($A74="","",COUNTIFS(QC_LOT,$A74))</f>
        <v/>
      </c>
      <c r="X74" s="26" t="str">
        <f aca="false">IF($A74="","",IFERROR(INDEX(QC_DEC,MATCH($A74,QC_CLEDER,0)),""))</f>
        <v/>
      </c>
      <c r="Y74" s="26" t="str">
        <f aca="false">IF($A74="","",IF(COUNTIF($A$5:$A$204,$A74)&gt;1,IF(SUMPRODUCT(($A$5:$A$204=$A74)*(($C$5:$C$204&lt;&gt;$C74)+($D$5:$D$204&lt;&gt;$D74)))&gt;0,"INCOHERENCE","LOT EN DOUBLE"),"OK"))</f>
        <v/>
      </c>
      <c r="Z74" s="28" t="n">
        <f aca="false">IF($A74="",0,IF(AND($O74&lt;&gt;"",$A74&lt;&gt;R_LOT,$O74=IFERROR(INDEX(LOT_EXTE,MATCH(R_LOT,LOT_KEY,0)),"#")),1,0))</f>
        <v>0</v>
      </c>
      <c r="AA74" s="26" t="str">
        <f aca="false">IF($Z74=0,"",COUNTIF($Z$5:$Z74,1))</f>
        <v/>
      </c>
    </row>
    <row r="75" customFormat="false" ht="15" hidden="false" customHeight="false" outlineLevel="0" collapsed="false">
      <c r="A75" s="24"/>
      <c r="B75" s="24"/>
      <c r="C75" s="24"/>
      <c r="D75" s="24"/>
      <c r="E75" s="24"/>
      <c r="F75" s="24"/>
      <c r="G75" s="24"/>
      <c r="H75" s="24"/>
      <c r="I75" s="24"/>
      <c r="J75" s="24"/>
      <c r="K75" s="25"/>
      <c r="L75" s="24"/>
      <c r="M75" s="24"/>
      <c r="N75" s="26" t="str">
        <f aca="false">IF($A75="","",IF($L75&lt;&gt;"",$L75,IF(IFERROR(INDEX(RES_LOTSRC,MATCH($A75,RES_LOTEFF,0)),"")=$A75,"",IFERROR(INDEX(RES_LOTSRC,MATCH($A75,RES_LOTEFF,0)),""))))</f>
        <v/>
      </c>
      <c r="O75" s="26" t="str">
        <f aca="false">IF($A75="","",IF($B75&lt;&gt;"",$B75,IF($N75="","",IFERROR(INDEX($B$5:$B$204,MATCH($N75,$A$5:$A$204,0)),""))))</f>
        <v/>
      </c>
      <c r="P75" s="26" t="str">
        <f aca="false">IF($A75="","",IF($C75&lt;&gt;"",$C75,IF($N75="","",IFERROR(INDEX($C$5:$C$204,MATCH($N75,$A$5:$A$204,0)),""))))</f>
        <v/>
      </c>
      <c r="Q75" s="26" t="str">
        <f aca="false">IF($A75="","",IF($D75&lt;&gt;"",$D75,IF($N75="","",IFERROR(INDEX($D$5:$D$204,MATCH($N75,$A$5:$A$204,0)),""))))</f>
        <v/>
      </c>
      <c r="R75" s="26" t="str">
        <f aca="false">IF($A75="","",IF($E75&lt;&gt;"",$E75,IF($N75="","",IFERROR(INDEX($E$5:$E$204,MATCH($N75,$A$5:$A$204,0)),""))))</f>
        <v/>
      </c>
      <c r="S75" s="26" t="str">
        <f aca="false">IF($A75="","",IF($H75&lt;&gt;"",$H75,IF($N75="","",IFERROR(INDEX($H$5:$H$204,MATCH($N75,$A$5:$A$204,0)),""))))</f>
        <v/>
      </c>
      <c r="T75" s="26" t="str">
        <f aca="false">IF($A75="","",IF($F75&lt;&gt;"",$F75,IF($N75="","",IFERROR(INDEX($F$5:$F$204,MATCH($N75,$A$5:$A$204,0)),""))))</f>
        <v/>
      </c>
      <c r="U75" s="27" t="str">
        <f aca="false">IF($A75="","",SUMIFS(MVT_NET,MVT_LOT,$A75))</f>
        <v/>
      </c>
      <c r="V75" s="28" t="str">
        <f aca="false">IF($A75="","",COUNTIFS(MVT_LOT,$A75,MVT_BRUT,"&lt;&gt;0"))</f>
        <v/>
      </c>
      <c r="W75" s="28" t="str">
        <f aca="false">IF($A75="","",COUNTIFS(QC_LOT,$A75))</f>
        <v/>
      </c>
      <c r="X75" s="26" t="str">
        <f aca="false">IF($A75="","",IFERROR(INDEX(QC_DEC,MATCH($A75,QC_CLEDER,0)),""))</f>
        <v/>
      </c>
      <c r="Y75" s="26" t="str">
        <f aca="false">IF($A75="","",IF(COUNTIF($A$5:$A$204,$A75)&gt;1,IF(SUMPRODUCT(($A$5:$A$204=$A75)*(($C$5:$C$204&lt;&gt;$C75)+($D$5:$D$204&lt;&gt;$D75)))&gt;0,"INCOHERENCE","LOT EN DOUBLE"),"OK"))</f>
        <v/>
      </c>
      <c r="Z75" s="28" t="n">
        <f aca="false">IF($A75="",0,IF(AND($O75&lt;&gt;"",$A75&lt;&gt;R_LOT,$O75=IFERROR(INDEX(LOT_EXTE,MATCH(R_LOT,LOT_KEY,0)),"#")),1,0))</f>
        <v>0</v>
      </c>
      <c r="AA75" s="26" t="str">
        <f aca="false">IF($Z75=0,"",COUNTIF($Z$5:$Z75,1))</f>
        <v/>
      </c>
    </row>
    <row r="76" customFormat="false" ht="15" hidden="false" customHeight="false" outlineLevel="0" collapsed="false">
      <c r="A76" s="24"/>
      <c r="B76" s="24"/>
      <c r="C76" s="24"/>
      <c r="D76" s="24"/>
      <c r="E76" s="24"/>
      <c r="F76" s="24"/>
      <c r="G76" s="24"/>
      <c r="H76" s="24"/>
      <c r="I76" s="24"/>
      <c r="J76" s="24"/>
      <c r="K76" s="25"/>
      <c r="L76" s="24"/>
      <c r="M76" s="24"/>
      <c r="N76" s="26" t="str">
        <f aca="false">IF($A76="","",IF($L76&lt;&gt;"",$L76,IF(IFERROR(INDEX(RES_LOTSRC,MATCH($A76,RES_LOTEFF,0)),"")=$A76,"",IFERROR(INDEX(RES_LOTSRC,MATCH($A76,RES_LOTEFF,0)),""))))</f>
        <v/>
      </c>
      <c r="O76" s="26" t="str">
        <f aca="false">IF($A76="","",IF($B76&lt;&gt;"",$B76,IF($N76="","",IFERROR(INDEX($B$5:$B$204,MATCH($N76,$A$5:$A$204,0)),""))))</f>
        <v/>
      </c>
      <c r="P76" s="26" t="str">
        <f aca="false">IF($A76="","",IF($C76&lt;&gt;"",$C76,IF($N76="","",IFERROR(INDEX($C$5:$C$204,MATCH($N76,$A$5:$A$204,0)),""))))</f>
        <v/>
      </c>
      <c r="Q76" s="26" t="str">
        <f aca="false">IF($A76="","",IF($D76&lt;&gt;"",$D76,IF($N76="","",IFERROR(INDEX($D$5:$D$204,MATCH($N76,$A$5:$A$204,0)),""))))</f>
        <v/>
      </c>
      <c r="R76" s="26" t="str">
        <f aca="false">IF($A76="","",IF($E76&lt;&gt;"",$E76,IF($N76="","",IFERROR(INDEX($E$5:$E$204,MATCH($N76,$A$5:$A$204,0)),""))))</f>
        <v/>
      </c>
      <c r="S76" s="26" t="str">
        <f aca="false">IF($A76="","",IF($H76&lt;&gt;"",$H76,IF($N76="","",IFERROR(INDEX($H$5:$H$204,MATCH($N76,$A$5:$A$204,0)),""))))</f>
        <v/>
      </c>
      <c r="T76" s="26" t="str">
        <f aca="false">IF($A76="","",IF($F76&lt;&gt;"",$F76,IF($N76="","",IFERROR(INDEX($F$5:$F$204,MATCH($N76,$A$5:$A$204,0)),""))))</f>
        <v/>
      </c>
      <c r="U76" s="27" t="str">
        <f aca="false">IF($A76="","",SUMIFS(MVT_NET,MVT_LOT,$A76))</f>
        <v/>
      </c>
      <c r="V76" s="28" t="str">
        <f aca="false">IF($A76="","",COUNTIFS(MVT_LOT,$A76,MVT_BRUT,"&lt;&gt;0"))</f>
        <v/>
      </c>
      <c r="W76" s="28" t="str">
        <f aca="false">IF($A76="","",COUNTIFS(QC_LOT,$A76))</f>
        <v/>
      </c>
      <c r="X76" s="26" t="str">
        <f aca="false">IF($A76="","",IFERROR(INDEX(QC_DEC,MATCH($A76,QC_CLEDER,0)),""))</f>
        <v/>
      </c>
      <c r="Y76" s="26" t="str">
        <f aca="false">IF($A76="","",IF(COUNTIF($A$5:$A$204,$A76)&gt;1,IF(SUMPRODUCT(($A$5:$A$204=$A76)*(($C$5:$C$204&lt;&gt;$C76)+($D$5:$D$204&lt;&gt;$D76)))&gt;0,"INCOHERENCE","LOT EN DOUBLE"),"OK"))</f>
        <v/>
      </c>
      <c r="Z76" s="28" t="n">
        <f aca="false">IF($A76="",0,IF(AND($O76&lt;&gt;"",$A76&lt;&gt;R_LOT,$O76=IFERROR(INDEX(LOT_EXTE,MATCH(R_LOT,LOT_KEY,0)),"#")),1,0))</f>
        <v>0</v>
      </c>
      <c r="AA76" s="26" t="str">
        <f aca="false">IF($Z76=0,"",COUNTIF($Z$5:$Z76,1))</f>
        <v/>
      </c>
    </row>
    <row r="77" customFormat="false" ht="15" hidden="false" customHeight="false" outlineLevel="0" collapsed="false">
      <c r="A77" s="24"/>
      <c r="B77" s="24"/>
      <c r="C77" s="24"/>
      <c r="D77" s="24"/>
      <c r="E77" s="24"/>
      <c r="F77" s="24"/>
      <c r="G77" s="24"/>
      <c r="H77" s="24"/>
      <c r="I77" s="24"/>
      <c r="J77" s="24"/>
      <c r="K77" s="25"/>
      <c r="L77" s="24"/>
      <c r="M77" s="24"/>
      <c r="N77" s="26" t="str">
        <f aca="false">IF($A77="","",IF($L77&lt;&gt;"",$L77,IF(IFERROR(INDEX(RES_LOTSRC,MATCH($A77,RES_LOTEFF,0)),"")=$A77,"",IFERROR(INDEX(RES_LOTSRC,MATCH($A77,RES_LOTEFF,0)),""))))</f>
        <v/>
      </c>
      <c r="O77" s="26" t="str">
        <f aca="false">IF($A77="","",IF($B77&lt;&gt;"",$B77,IF($N77="","",IFERROR(INDEX($B$5:$B$204,MATCH($N77,$A$5:$A$204,0)),""))))</f>
        <v/>
      </c>
      <c r="P77" s="26" t="str">
        <f aca="false">IF($A77="","",IF($C77&lt;&gt;"",$C77,IF($N77="","",IFERROR(INDEX($C$5:$C$204,MATCH($N77,$A$5:$A$204,0)),""))))</f>
        <v/>
      </c>
      <c r="Q77" s="26" t="str">
        <f aca="false">IF($A77="","",IF($D77&lt;&gt;"",$D77,IF($N77="","",IFERROR(INDEX($D$5:$D$204,MATCH($N77,$A$5:$A$204,0)),""))))</f>
        <v/>
      </c>
      <c r="R77" s="26" t="str">
        <f aca="false">IF($A77="","",IF($E77&lt;&gt;"",$E77,IF($N77="","",IFERROR(INDEX($E$5:$E$204,MATCH($N77,$A$5:$A$204,0)),""))))</f>
        <v/>
      </c>
      <c r="S77" s="26" t="str">
        <f aca="false">IF($A77="","",IF($H77&lt;&gt;"",$H77,IF($N77="","",IFERROR(INDEX($H$5:$H$204,MATCH($N77,$A$5:$A$204,0)),""))))</f>
        <v/>
      </c>
      <c r="T77" s="26" t="str">
        <f aca="false">IF($A77="","",IF($F77&lt;&gt;"",$F77,IF($N77="","",IFERROR(INDEX($F$5:$F$204,MATCH($N77,$A$5:$A$204,0)),""))))</f>
        <v/>
      </c>
      <c r="U77" s="27" t="str">
        <f aca="false">IF($A77="","",SUMIFS(MVT_NET,MVT_LOT,$A77))</f>
        <v/>
      </c>
      <c r="V77" s="28" t="str">
        <f aca="false">IF($A77="","",COUNTIFS(MVT_LOT,$A77,MVT_BRUT,"&lt;&gt;0"))</f>
        <v/>
      </c>
      <c r="W77" s="28" t="str">
        <f aca="false">IF($A77="","",COUNTIFS(QC_LOT,$A77))</f>
        <v/>
      </c>
      <c r="X77" s="26" t="str">
        <f aca="false">IF($A77="","",IFERROR(INDEX(QC_DEC,MATCH($A77,QC_CLEDER,0)),""))</f>
        <v/>
      </c>
      <c r="Y77" s="26" t="str">
        <f aca="false">IF($A77="","",IF(COUNTIF($A$5:$A$204,$A77)&gt;1,IF(SUMPRODUCT(($A$5:$A$204=$A77)*(($C$5:$C$204&lt;&gt;$C77)+($D$5:$D$204&lt;&gt;$D77)))&gt;0,"INCOHERENCE","LOT EN DOUBLE"),"OK"))</f>
        <v/>
      </c>
      <c r="Z77" s="28" t="n">
        <f aca="false">IF($A77="",0,IF(AND($O77&lt;&gt;"",$A77&lt;&gt;R_LOT,$O77=IFERROR(INDEX(LOT_EXTE,MATCH(R_LOT,LOT_KEY,0)),"#")),1,0))</f>
        <v>0</v>
      </c>
      <c r="AA77" s="26" t="str">
        <f aca="false">IF($Z77=0,"",COUNTIF($Z$5:$Z77,1))</f>
        <v/>
      </c>
    </row>
    <row r="78" customFormat="false" ht="15" hidden="false" customHeight="false" outlineLevel="0" collapsed="false">
      <c r="A78" s="24"/>
      <c r="B78" s="24"/>
      <c r="C78" s="24"/>
      <c r="D78" s="24"/>
      <c r="E78" s="24"/>
      <c r="F78" s="24"/>
      <c r="G78" s="24"/>
      <c r="H78" s="24"/>
      <c r="I78" s="24"/>
      <c r="J78" s="24"/>
      <c r="K78" s="25"/>
      <c r="L78" s="24"/>
      <c r="M78" s="24"/>
      <c r="N78" s="26" t="str">
        <f aca="false">IF($A78="","",IF($L78&lt;&gt;"",$L78,IF(IFERROR(INDEX(RES_LOTSRC,MATCH($A78,RES_LOTEFF,0)),"")=$A78,"",IFERROR(INDEX(RES_LOTSRC,MATCH($A78,RES_LOTEFF,0)),""))))</f>
        <v/>
      </c>
      <c r="O78" s="26" t="str">
        <f aca="false">IF($A78="","",IF($B78&lt;&gt;"",$B78,IF($N78="","",IFERROR(INDEX($B$5:$B$204,MATCH($N78,$A$5:$A$204,0)),""))))</f>
        <v/>
      </c>
      <c r="P78" s="26" t="str">
        <f aca="false">IF($A78="","",IF($C78&lt;&gt;"",$C78,IF($N78="","",IFERROR(INDEX($C$5:$C$204,MATCH($N78,$A$5:$A$204,0)),""))))</f>
        <v/>
      </c>
      <c r="Q78" s="26" t="str">
        <f aca="false">IF($A78="","",IF($D78&lt;&gt;"",$D78,IF($N78="","",IFERROR(INDEX($D$5:$D$204,MATCH($N78,$A$5:$A$204,0)),""))))</f>
        <v/>
      </c>
      <c r="R78" s="26" t="str">
        <f aca="false">IF($A78="","",IF($E78&lt;&gt;"",$E78,IF($N78="","",IFERROR(INDEX($E$5:$E$204,MATCH($N78,$A$5:$A$204,0)),""))))</f>
        <v/>
      </c>
      <c r="S78" s="26" t="str">
        <f aca="false">IF($A78="","",IF($H78&lt;&gt;"",$H78,IF($N78="","",IFERROR(INDEX($H$5:$H$204,MATCH($N78,$A$5:$A$204,0)),""))))</f>
        <v/>
      </c>
      <c r="T78" s="26" t="str">
        <f aca="false">IF($A78="","",IF($F78&lt;&gt;"",$F78,IF($N78="","",IFERROR(INDEX($F$5:$F$204,MATCH($N78,$A$5:$A$204,0)),""))))</f>
        <v/>
      </c>
      <c r="U78" s="27" t="str">
        <f aca="false">IF($A78="","",SUMIFS(MVT_NET,MVT_LOT,$A78))</f>
        <v/>
      </c>
      <c r="V78" s="28" t="str">
        <f aca="false">IF($A78="","",COUNTIFS(MVT_LOT,$A78,MVT_BRUT,"&lt;&gt;0"))</f>
        <v/>
      </c>
      <c r="W78" s="28" t="str">
        <f aca="false">IF($A78="","",COUNTIFS(QC_LOT,$A78))</f>
        <v/>
      </c>
      <c r="X78" s="26" t="str">
        <f aca="false">IF($A78="","",IFERROR(INDEX(QC_DEC,MATCH($A78,QC_CLEDER,0)),""))</f>
        <v/>
      </c>
      <c r="Y78" s="26" t="str">
        <f aca="false">IF($A78="","",IF(COUNTIF($A$5:$A$204,$A78)&gt;1,IF(SUMPRODUCT(($A$5:$A$204=$A78)*(($C$5:$C$204&lt;&gt;$C78)+($D$5:$D$204&lt;&gt;$D78)))&gt;0,"INCOHERENCE","LOT EN DOUBLE"),"OK"))</f>
        <v/>
      </c>
      <c r="Z78" s="28" t="n">
        <f aca="false">IF($A78="",0,IF(AND($O78&lt;&gt;"",$A78&lt;&gt;R_LOT,$O78=IFERROR(INDEX(LOT_EXTE,MATCH(R_LOT,LOT_KEY,0)),"#")),1,0))</f>
        <v>0</v>
      </c>
      <c r="AA78" s="26" t="str">
        <f aca="false">IF($Z78=0,"",COUNTIF($Z$5:$Z78,1))</f>
        <v/>
      </c>
    </row>
    <row r="79" customFormat="false" ht="15" hidden="false" customHeight="false" outlineLevel="0" collapsed="false">
      <c r="A79" s="24"/>
      <c r="B79" s="24"/>
      <c r="C79" s="24"/>
      <c r="D79" s="24"/>
      <c r="E79" s="24"/>
      <c r="F79" s="24"/>
      <c r="G79" s="24"/>
      <c r="H79" s="24"/>
      <c r="I79" s="24"/>
      <c r="J79" s="24"/>
      <c r="K79" s="25"/>
      <c r="L79" s="24"/>
      <c r="M79" s="24"/>
      <c r="N79" s="26" t="str">
        <f aca="false">IF($A79="","",IF($L79&lt;&gt;"",$L79,IF(IFERROR(INDEX(RES_LOTSRC,MATCH($A79,RES_LOTEFF,0)),"")=$A79,"",IFERROR(INDEX(RES_LOTSRC,MATCH($A79,RES_LOTEFF,0)),""))))</f>
        <v/>
      </c>
      <c r="O79" s="26" t="str">
        <f aca="false">IF($A79="","",IF($B79&lt;&gt;"",$B79,IF($N79="","",IFERROR(INDEX($B$5:$B$204,MATCH($N79,$A$5:$A$204,0)),""))))</f>
        <v/>
      </c>
      <c r="P79" s="26" t="str">
        <f aca="false">IF($A79="","",IF($C79&lt;&gt;"",$C79,IF($N79="","",IFERROR(INDEX($C$5:$C$204,MATCH($N79,$A$5:$A$204,0)),""))))</f>
        <v/>
      </c>
      <c r="Q79" s="26" t="str">
        <f aca="false">IF($A79="","",IF($D79&lt;&gt;"",$D79,IF($N79="","",IFERROR(INDEX($D$5:$D$204,MATCH($N79,$A$5:$A$204,0)),""))))</f>
        <v/>
      </c>
      <c r="R79" s="26" t="str">
        <f aca="false">IF($A79="","",IF($E79&lt;&gt;"",$E79,IF($N79="","",IFERROR(INDEX($E$5:$E$204,MATCH($N79,$A$5:$A$204,0)),""))))</f>
        <v/>
      </c>
      <c r="S79" s="26" t="str">
        <f aca="false">IF($A79="","",IF($H79&lt;&gt;"",$H79,IF($N79="","",IFERROR(INDEX($H$5:$H$204,MATCH($N79,$A$5:$A$204,0)),""))))</f>
        <v/>
      </c>
      <c r="T79" s="26" t="str">
        <f aca="false">IF($A79="","",IF($F79&lt;&gt;"",$F79,IF($N79="","",IFERROR(INDEX($F$5:$F$204,MATCH($N79,$A$5:$A$204,0)),""))))</f>
        <v/>
      </c>
      <c r="U79" s="27" t="str">
        <f aca="false">IF($A79="","",SUMIFS(MVT_NET,MVT_LOT,$A79))</f>
        <v/>
      </c>
      <c r="V79" s="28" t="str">
        <f aca="false">IF($A79="","",COUNTIFS(MVT_LOT,$A79,MVT_BRUT,"&lt;&gt;0"))</f>
        <v/>
      </c>
      <c r="W79" s="28" t="str">
        <f aca="false">IF($A79="","",COUNTIFS(QC_LOT,$A79))</f>
        <v/>
      </c>
      <c r="X79" s="26" t="str">
        <f aca="false">IF($A79="","",IFERROR(INDEX(QC_DEC,MATCH($A79,QC_CLEDER,0)),""))</f>
        <v/>
      </c>
      <c r="Y79" s="26" t="str">
        <f aca="false">IF($A79="","",IF(COUNTIF($A$5:$A$204,$A79)&gt;1,IF(SUMPRODUCT(($A$5:$A$204=$A79)*(($C$5:$C$204&lt;&gt;$C79)+($D$5:$D$204&lt;&gt;$D79)))&gt;0,"INCOHERENCE","LOT EN DOUBLE"),"OK"))</f>
        <v/>
      </c>
      <c r="Z79" s="28" t="n">
        <f aca="false">IF($A79="",0,IF(AND($O79&lt;&gt;"",$A79&lt;&gt;R_LOT,$O79=IFERROR(INDEX(LOT_EXTE,MATCH(R_LOT,LOT_KEY,0)),"#")),1,0))</f>
        <v>0</v>
      </c>
      <c r="AA79" s="26" t="str">
        <f aca="false">IF($Z79=0,"",COUNTIF($Z$5:$Z79,1))</f>
        <v/>
      </c>
    </row>
    <row r="80" customFormat="false" ht="15" hidden="false" customHeight="false" outlineLevel="0" collapsed="false">
      <c r="A80" s="24"/>
      <c r="B80" s="24"/>
      <c r="C80" s="24"/>
      <c r="D80" s="24"/>
      <c r="E80" s="24"/>
      <c r="F80" s="24"/>
      <c r="G80" s="24"/>
      <c r="H80" s="24"/>
      <c r="I80" s="24"/>
      <c r="J80" s="24"/>
      <c r="K80" s="25"/>
      <c r="L80" s="24"/>
      <c r="M80" s="24"/>
      <c r="N80" s="26" t="str">
        <f aca="false">IF($A80="","",IF($L80&lt;&gt;"",$L80,IF(IFERROR(INDEX(RES_LOTSRC,MATCH($A80,RES_LOTEFF,0)),"")=$A80,"",IFERROR(INDEX(RES_LOTSRC,MATCH($A80,RES_LOTEFF,0)),""))))</f>
        <v/>
      </c>
      <c r="O80" s="26" t="str">
        <f aca="false">IF($A80="","",IF($B80&lt;&gt;"",$B80,IF($N80="","",IFERROR(INDEX($B$5:$B$204,MATCH($N80,$A$5:$A$204,0)),""))))</f>
        <v/>
      </c>
      <c r="P80" s="26" t="str">
        <f aca="false">IF($A80="","",IF($C80&lt;&gt;"",$C80,IF($N80="","",IFERROR(INDEX($C$5:$C$204,MATCH($N80,$A$5:$A$204,0)),""))))</f>
        <v/>
      </c>
      <c r="Q80" s="26" t="str">
        <f aca="false">IF($A80="","",IF($D80&lt;&gt;"",$D80,IF($N80="","",IFERROR(INDEX($D$5:$D$204,MATCH($N80,$A$5:$A$204,0)),""))))</f>
        <v/>
      </c>
      <c r="R80" s="26" t="str">
        <f aca="false">IF($A80="","",IF($E80&lt;&gt;"",$E80,IF($N80="","",IFERROR(INDEX($E$5:$E$204,MATCH($N80,$A$5:$A$204,0)),""))))</f>
        <v/>
      </c>
      <c r="S80" s="26" t="str">
        <f aca="false">IF($A80="","",IF($H80&lt;&gt;"",$H80,IF($N80="","",IFERROR(INDEX($H$5:$H$204,MATCH($N80,$A$5:$A$204,0)),""))))</f>
        <v/>
      </c>
      <c r="T80" s="26" t="str">
        <f aca="false">IF($A80="","",IF($F80&lt;&gt;"",$F80,IF($N80="","",IFERROR(INDEX($F$5:$F$204,MATCH($N80,$A$5:$A$204,0)),""))))</f>
        <v/>
      </c>
      <c r="U80" s="27" t="str">
        <f aca="false">IF($A80="","",SUMIFS(MVT_NET,MVT_LOT,$A80))</f>
        <v/>
      </c>
      <c r="V80" s="28" t="str">
        <f aca="false">IF($A80="","",COUNTIFS(MVT_LOT,$A80,MVT_BRUT,"&lt;&gt;0"))</f>
        <v/>
      </c>
      <c r="W80" s="28" t="str">
        <f aca="false">IF($A80="","",COUNTIFS(QC_LOT,$A80))</f>
        <v/>
      </c>
      <c r="X80" s="26" t="str">
        <f aca="false">IF($A80="","",IFERROR(INDEX(QC_DEC,MATCH($A80,QC_CLEDER,0)),""))</f>
        <v/>
      </c>
      <c r="Y80" s="26" t="str">
        <f aca="false">IF($A80="","",IF(COUNTIF($A$5:$A$204,$A80)&gt;1,IF(SUMPRODUCT(($A$5:$A$204=$A80)*(($C$5:$C$204&lt;&gt;$C80)+($D$5:$D$204&lt;&gt;$D80)))&gt;0,"INCOHERENCE","LOT EN DOUBLE"),"OK"))</f>
        <v/>
      </c>
      <c r="Z80" s="28" t="n">
        <f aca="false">IF($A80="",0,IF(AND($O80&lt;&gt;"",$A80&lt;&gt;R_LOT,$O80=IFERROR(INDEX(LOT_EXTE,MATCH(R_LOT,LOT_KEY,0)),"#")),1,0))</f>
        <v>0</v>
      </c>
      <c r="AA80" s="26" t="str">
        <f aca="false">IF($Z80=0,"",COUNTIF($Z$5:$Z80,1))</f>
        <v/>
      </c>
    </row>
    <row r="81" customFormat="false" ht="15" hidden="false" customHeight="false" outlineLevel="0" collapsed="false">
      <c r="A81" s="24"/>
      <c r="B81" s="24"/>
      <c r="C81" s="24"/>
      <c r="D81" s="24"/>
      <c r="E81" s="24"/>
      <c r="F81" s="24"/>
      <c r="G81" s="24"/>
      <c r="H81" s="24"/>
      <c r="I81" s="24"/>
      <c r="J81" s="24"/>
      <c r="K81" s="25"/>
      <c r="L81" s="24"/>
      <c r="M81" s="24"/>
      <c r="N81" s="26" t="str">
        <f aca="false">IF($A81="","",IF($L81&lt;&gt;"",$L81,IF(IFERROR(INDEX(RES_LOTSRC,MATCH($A81,RES_LOTEFF,0)),"")=$A81,"",IFERROR(INDEX(RES_LOTSRC,MATCH($A81,RES_LOTEFF,0)),""))))</f>
        <v/>
      </c>
      <c r="O81" s="26" t="str">
        <f aca="false">IF($A81="","",IF($B81&lt;&gt;"",$B81,IF($N81="","",IFERROR(INDEX($B$5:$B$204,MATCH($N81,$A$5:$A$204,0)),""))))</f>
        <v/>
      </c>
      <c r="P81" s="26" t="str">
        <f aca="false">IF($A81="","",IF($C81&lt;&gt;"",$C81,IF($N81="","",IFERROR(INDEX($C$5:$C$204,MATCH($N81,$A$5:$A$204,0)),""))))</f>
        <v/>
      </c>
      <c r="Q81" s="26" t="str">
        <f aca="false">IF($A81="","",IF($D81&lt;&gt;"",$D81,IF($N81="","",IFERROR(INDEX($D$5:$D$204,MATCH($N81,$A$5:$A$204,0)),""))))</f>
        <v/>
      </c>
      <c r="R81" s="26" t="str">
        <f aca="false">IF($A81="","",IF($E81&lt;&gt;"",$E81,IF($N81="","",IFERROR(INDEX($E$5:$E$204,MATCH($N81,$A$5:$A$204,0)),""))))</f>
        <v/>
      </c>
      <c r="S81" s="26" t="str">
        <f aca="false">IF($A81="","",IF($H81&lt;&gt;"",$H81,IF($N81="","",IFERROR(INDEX($H$5:$H$204,MATCH($N81,$A$5:$A$204,0)),""))))</f>
        <v/>
      </c>
      <c r="T81" s="26" t="str">
        <f aca="false">IF($A81="","",IF($F81&lt;&gt;"",$F81,IF($N81="","",IFERROR(INDEX($F$5:$F$204,MATCH($N81,$A$5:$A$204,0)),""))))</f>
        <v/>
      </c>
      <c r="U81" s="27" t="str">
        <f aca="false">IF($A81="","",SUMIFS(MVT_NET,MVT_LOT,$A81))</f>
        <v/>
      </c>
      <c r="V81" s="28" t="str">
        <f aca="false">IF($A81="","",COUNTIFS(MVT_LOT,$A81,MVT_BRUT,"&lt;&gt;0"))</f>
        <v/>
      </c>
      <c r="W81" s="28" t="str">
        <f aca="false">IF($A81="","",COUNTIFS(QC_LOT,$A81))</f>
        <v/>
      </c>
      <c r="X81" s="26" t="str">
        <f aca="false">IF($A81="","",IFERROR(INDEX(QC_DEC,MATCH($A81,QC_CLEDER,0)),""))</f>
        <v/>
      </c>
      <c r="Y81" s="26" t="str">
        <f aca="false">IF($A81="","",IF(COUNTIF($A$5:$A$204,$A81)&gt;1,IF(SUMPRODUCT(($A$5:$A$204=$A81)*(($C$5:$C$204&lt;&gt;$C81)+($D$5:$D$204&lt;&gt;$D81)))&gt;0,"INCOHERENCE","LOT EN DOUBLE"),"OK"))</f>
        <v/>
      </c>
      <c r="Z81" s="28" t="n">
        <f aca="false">IF($A81="",0,IF(AND($O81&lt;&gt;"",$A81&lt;&gt;R_LOT,$O81=IFERROR(INDEX(LOT_EXTE,MATCH(R_LOT,LOT_KEY,0)),"#")),1,0))</f>
        <v>0</v>
      </c>
      <c r="AA81" s="26" t="str">
        <f aca="false">IF($Z81=0,"",COUNTIF($Z$5:$Z81,1))</f>
        <v/>
      </c>
    </row>
    <row r="82" customFormat="false" ht="15" hidden="false" customHeight="false" outlineLevel="0" collapsed="false">
      <c r="A82" s="24"/>
      <c r="B82" s="24"/>
      <c r="C82" s="24"/>
      <c r="D82" s="24"/>
      <c r="E82" s="24"/>
      <c r="F82" s="24"/>
      <c r="G82" s="24"/>
      <c r="H82" s="24"/>
      <c r="I82" s="24"/>
      <c r="J82" s="24"/>
      <c r="K82" s="25"/>
      <c r="L82" s="24"/>
      <c r="M82" s="24"/>
      <c r="N82" s="26" t="str">
        <f aca="false">IF($A82="","",IF($L82&lt;&gt;"",$L82,IF(IFERROR(INDEX(RES_LOTSRC,MATCH($A82,RES_LOTEFF,0)),"")=$A82,"",IFERROR(INDEX(RES_LOTSRC,MATCH($A82,RES_LOTEFF,0)),""))))</f>
        <v/>
      </c>
      <c r="O82" s="26" t="str">
        <f aca="false">IF($A82="","",IF($B82&lt;&gt;"",$B82,IF($N82="","",IFERROR(INDEX($B$5:$B$204,MATCH($N82,$A$5:$A$204,0)),""))))</f>
        <v/>
      </c>
      <c r="P82" s="26" t="str">
        <f aca="false">IF($A82="","",IF($C82&lt;&gt;"",$C82,IF($N82="","",IFERROR(INDEX($C$5:$C$204,MATCH($N82,$A$5:$A$204,0)),""))))</f>
        <v/>
      </c>
      <c r="Q82" s="26" t="str">
        <f aca="false">IF($A82="","",IF($D82&lt;&gt;"",$D82,IF($N82="","",IFERROR(INDEX($D$5:$D$204,MATCH($N82,$A$5:$A$204,0)),""))))</f>
        <v/>
      </c>
      <c r="R82" s="26" t="str">
        <f aca="false">IF($A82="","",IF($E82&lt;&gt;"",$E82,IF($N82="","",IFERROR(INDEX($E$5:$E$204,MATCH($N82,$A$5:$A$204,0)),""))))</f>
        <v/>
      </c>
      <c r="S82" s="26" t="str">
        <f aca="false">IF($A82="","",IF($H82&lt;&gt;"",$H82,IF($N82="","",IFERROR(INDEX($H$5:$H$204,MATCH($N82,$A$5:$A$204,0)),""))))</f>
        <v/>
      </c>
      <c r="T82" s="26" t="str">
        <f aca="false">IF($A82="","",IF($F82&lt;&gt;"",$F82,IF($N82="","",IFERROR(INDEX($F$5:$F$204,MATCH($N82,$A$5:$A$204,0)),""))))</f>
        <v/>
      </c>
      <c r="U82" s="27" t="str">
        <f aca="false">IF($A82="","",SUMIFS(MVT_NET,MVT_LOT,$A82))</f>
        <v/>
      </c>
      <c r="V82" s="28" t="str">
        <f aca="false">IF($A82="","",COUNTIFS(MVT_LOT,$A82,MVT_BRUT,"&lt;&gt;0"))</f>
        <v/>
      </c>
      <c r="W82" s="28" t="str">
        <f aca="false">IF($A82="","",COUNTIFS(QC_LOT,$A82))</f>
        <v/>
      </c>
      <c r="X82" s="26" t="str">
        <f aca="false">IF($A82="","",IFERROR(INDEX(QC_DEC,MATCH($A82,QC_CLEDER,0)),""))</f>
        <v/>
      </c>
      <c r="Y82" s="26" t="str">
        <f aca="false">IF($A82="","",IF(COUNTIF($A$5:$A$204,$A82)&gt;1,IF(SUMPRODUCT(($A$5:$A$204=$A82)*(($C$5:$C$204&lt;&gt;$C82)+($D$5:$D$204&lt;&gt;$D82)))&gt;0,"INCOHERENCE","LOT EN DOUBLE"),"OK"))</f>
        <v/>
      </c>
      <c r="Z82" s="28" t="n">
        <f aca="false">IF($A82="",0,IF(AND($O82&lt;&gt;"",$A82&lt;&gt;R_LOT,$O82=IFERROR(INDEX(LOT_EXTE,MATCH(R_LOT,LOT_KEY,0)),"#")),1,0))</f>
        <v>0</v>
      </c>
      <c r="AA82" s="26" t="str">
        <f aca="false">IF($Z82=0,"",COUNTIF($Z$5:$Z82,1))</f>
        <v/>
      </c>
    </row>
    <row r="83" customFormat="false" ht="15" hidden="false" customHeight="false" outlineLevel="0" collapsed="false">
      <c r="A83" s="24"/>
      <c r="B83" s="24"/>
      <c r="C83" s="24"/>
      <c r="D83" s="24"/>
      <c r="E83" s="24"/>
      <c r="F83" s="24"/>
      <c r="G83" s="24"/>
      <c r="H83" s="24"/>
      <c r="I83" s="24"/>
      <c r="J83" s="24"/>
      <c r="K83" s="25"/>
      <c r="L83" s="24"/>
      <c r="M83" s="24"/>
      <c r="N83" s="26" t="str">
        <f aca="false">IF($A83="","",IF($L83&lt;&gt;"",$L83,IF(IFERROR(INDEX(RES_LOTSRC,MATCH($A83,RES_LOTEFF,0)),"")=$A83,"",IFERROR(INDEX(RES_LOTSRC,MATCH($A83,RES_LOTEFF,0)),""))))</f>
        <v/>
      </c>
      <c r="O83" s="26" t="str">
        <f aca="false">IF($A83="","",IF($B83&lt;&gt;"",$B83,IF($N83="","",IFERROR(INDEX($B$5:$B$204,MATCH($N83,$A$5:$A$204,0)),""))))</f>
        <v/>
      </c>
      <c r="P83" s="26" t="str">
        <f aca="false">IF($A83="","",IF($C83&lt;&gt;"",$C83,IF($N83="","",IFERROR(INDEX($C$5:$C$204,MATCH($N83,$A$5:$A$204,0)),""))))</f>
        <v/>
      </c>
      <c r="Q83" s="26" t="str">
        <f aca="false">IF($A83="","",IF($D83&lt;&gt;"",$D83,IF($N83="","",IFERROR(INDEX($D$5:$D$204,MATCH($N83,$A$5:$A$204,0)),""))))</f>
        <v/>
      </c>
      <c r="R83" s="26" t="str">
        <f aca="false">IF($A83="","",IF($E83&lt;&gt;"",$E83,IF($N83="","",IFERROR(INDEX($E$5:$E$204,MATCH($N83,$A$5:$A$204,0)),""))))</f>
        <v/>
      </c>
      <c r="S83" s="26" t="str">
        <f aca="false">IF($A83="","",IF($H83&lt;&gt;"",$H83,IF($N83="","",IFERROR(INDEX($H$5:$H$204,MATCH($N83,$A$5:$A$204,0)),""))))</f>
        <v/>
      </c>
      <c r="T83" s="26" t="str">
        <f aca="false">IF($A83="","",IF($F83&lt;&gt;"",$F83,IF($N83="","",IFERROR(INDEX($F$5:$F$204,MATCH($N83,$A$5:$A$204,0)),""))))</f>
        <v/>
      </c>
      <c r="U83" s="27" t="str">
        <f aca="false">IF($A83="","",SUMIFS(MVT_NET,MVT_LOT,$A83))</f>
        <v/>
      </c>
      <c r="V83" s="28" t="str">
        <f aca="false">IF($A83="","",COUNTIFS(MVT_LOT,$A83,MVT_BRUT,"&lt;&gt;0"))</f>
        <v/>
      </c>
      <c r="W83" s="28" t="str">
        <f aca="false">IF($A83="","",COUNTIFS(QC_LOT,$A83))</f>
        <v/>
      </c>
      <c r="X83" s="26" t="str">
        <f aca="false">IF($A83="","",IFERROR(INDEX(QC_DEC,MATCH($A83,QC_CLEDER,0)),""))</f>
        <v/>
      </c>
      <c r="Y83" s="26" t="str">
        <f aca="false">IF($A83="","",IF(COUNTIF($A$5:$A$204,$A83)&gt;1,IF(SUMPRODUCT(($A$5:$A$204=$A83)*(($C$5:$C$204&lt;&gt;$C83)+($D$5:$D$204&lt;&gt;$D83)))&gt;0,"INCOHERENCE","LOT EN DOUBLE"),"OK"))</f>
        <v/>
      </c>
      <c r="Z83" s="28" t="n">
        <f aca="false">IF($A83="",0,IF(AND($O83&lt;&gt;"",$A83&lt;&gt;R_LOT,$O83=IFERROR(INDEX(LOT_EXTE,MATCH(R_LOT,LOT_KEY,0)),"#")),1,0))</f>
        <v>0</v>
      </c>
      <c r="AA83" s="26" t="str">
        <f aca="false">IF($Z83=0,"",COUNTIF($Z$5:$Z83,1))</f>
        <v/>
      </c>
    </row>
    <row r="84" customFormat="false" ht="15" hidden="false" customHeight="false" outlineLevel="0" collapsed="false">
      <c r="A84" s="24"/>
      <c r="B84" s="24"/>
      <c r="C84" s="24"/>
      <c r="D84" s="24"/>
      <c r="E84" s="24"/>
      <c r="F84" s="24"/>
      <c r="G84" s="24"/>
      <c r="H84" s="24"/>
      <c r="I84" s="24"/>
      <c r="J84" s="24"/>
      <c r="K84" s="25"/>
      <c r="L84" s="24"/>
      <c r="M84" s="24"/>
      <c r="N84" s="26" t="str">
        <f aca="false">IF($A84="","",IF($L84&lt;&gt;"",$L84,IF(IFERROR(INDEX(RES_LOTSRC,MATCH($A84,RES_LOTEFF,0)),"")=$A84,"",IFERROR(INDEX(RES_LOTSRC,MATCH($A84,RES_LOTEFF,0)),""))))</f>
        <v/>
      </c>
      <c r="O84" s="26" t="str">
        <f aca="false">IF($A84="","",IF($B84&lt;&gt;"",$B84,IF($N84="","",IFERROR(INDEX($B$5:$B$204,MATCH($N84,$A$5:$A$204,0)),""))))</f>
        <v/>
      </c>
      <c r="P84" s="26" t="str">
        <f aca="false">IF($A84="","",IF($C84&lt;&gt;"",$C84,IF($N84="","",IFERROR(INDEX($C$5:$C$204,MATCH($N84,$A$5:$A$204,0)),""))))</f>
        <v/>
      </c>
      <c r="Q84" s="26" t="str">
        <f aca="false">IF($A84="","",IF($D84&lt;&gt;"",$D84,IF($N84="","",IFERROR(INDEX($D$5:$D$204,MATCH($N84,$A$5:$A$204,0)),""))))</f>
        <v/>
      </c>
      <c r="R84" s="26" t="str">
        <f aca="false">IF($A84="","",IF($E84&lt;&gt;"",$E84,IF($N84="","",IFERROR(INDEX($E$5:$E$204,MATCH($N84,$A$5:$A$204,0)),""))))</f>
        <v/>
      </c>
      <c r="S84" s="26" t="str">
        <f aca="false">IF($A84="","",IF($H84&lt;&gt;"",$H84,IF($N84="","",IFERROR(INDEX($H$5:$H$204,MATCH($N84,$A$5:$A$204,0)),""))))</f>
        <v/>
      </c>
      <c r="T84" s="26" t="str">
        <f aca="false">IF($A84="","",IF($F84&lt;&gt;"",$F84,IF($N84="","",IFERROR(INDEX($F$5:$F$204,MATCH($N84,$A$5:$A$204,0)),""))))</f>
        <v/>
      </c>
      <c r="U84" s="27" t="str">
        <f aca="false">IF($A84="","",SUMIFS(MVT_NET,MVT_LOT,$A84))</f>
        <v/>
      </c>
      <c r="V84" s="28" t="str">
        <f aca="false">IF($A84="","",COUNTIFS(MVT_LOT,$A84,MVT_BRUT,"&lt;&gt;0"))</f>
        <v/>
      </c>
      <c r="W84" s="28" t="str">
        <f aca="false">IF($A84="","",COUNTIFS(QC_LOT,$A84))</f>
        <v/>
      </c>
      <c r="X84" s="26" t="str">
        <f aca="false">IF($A84="","",IFERROR(INDEX(QC_DEC,MATCH($A84,QC_CLEDER,0)),""))</f>
        <v/>
      </c>
      <c r="Y84" s="26" t="str">
        <f aca="false">IF($A84="","",IF(COUNTIF($A$5:$A$204,$A84)&gt;1,IF(SUMPRODUCT(($A$5:$A$204=$A84)*(($C$5:$C$204&lt;&gt;$C84)+($D$5:$D$204&lt;&gt;$D84)))&gt;0,"INCOHERENCE","LOT EN DOUBLE"),"OK"))</f>
        <v/>
      </c>
      <c r="Z84" s="28" t="n">
        <f aca="false">IF($A84="",0,IF(AND($O84&lt;&gt;"",$A84&lt;&gt;R_LOT,$O84=IFERROR(INDEX(LOT_EXTE,MATCH(R_LOT,LOT_KEY,0)),"#")),1,0))</f>
        <v>0</v>
      </c>
      <c r="AA84" s="26" t="str">
        <f aca="false">IF($Z84=0,"",COUNTIF($Z$5:$Z84,1))</f>
        <v/>
      </c>
    </row>
    <row r="85" customFormat="false" ht="15" hidden="false" customHeight="false" outlineLevel="0" collapsed="false">
      <c r="A85" s="24"/>
      <c r="B85" s="24"/>
      <c r="C85" s="24"/>
      <c r="D85" s="24"/>
      <c r="E85" s="24"/>
      <c r="F85" s="24"/>
      <c r="G85" s="24"/>
      <c r="H85" s="24"/>
      <c r="I85" s="24"/>
      <c r="J85" s="24"/>
      <c r="K85" s="25"/>
      <c r="L85" s="24"/>
      <c r="M85" s="24"/>
      <c r="N85" s="26" t="str">
        <f aca="false">IF($A85="","",IF($L85&lt;&gt;"",$L85,IF(IFERROR(INDEX(RES_LOTSRC,MATCH($A85,RES_LOTEFF,0)),"")=$A85,"",IFERROR(INDEX(RES_LOTSRC,MATCH($A85,RES_LOTEFF,0)),""))))</f>
        <v/>
      </c>
      <c r="O85" s="26" t="str">
        <f aca="false">IF($A85="","",IF($B85&lt;&gt;"",$B85,IF($N85="","",IFERROR(INDEX($B$5:$B$204,MATCH($N85,$A$5:$A$204,0)),""))))</f>
        <v/>
      </c>
      <c r="P85" s="26" t="str">
        <f aca="false">IF($A85="","",IF($C85&lt;&gt;"",$C85,IF($N85="","",IFERROR(INDEX($C$5:$C$204,MATCH($N85,$A$5:$A$204,0)),""))))</f>
        <v/>
      </c>
      <c r="Q85" s="26" t="str">
        <f aca="false">IF($A85="","",IF($D85&lt;&gt;"",$D85,IF($N85="","",IFERROR(INDEX($D$5:$D$204,MATCH($N85,$A$5:$A$204,0)),""))))</f>
        <v/>
      </c>
      <c r="R85" s="26" t="str">
        <f aca="false">IF($A85="","",IF($E85&lt;&gt;"",$E85,IF($N85="","",IFERROR(INDEX($E$5:$E$204,MATCH($N85,$A$5:$A$204,0)),""))))</f>
        <v/>
      </c>
      <c r="S85" s="26" t="str">
        <f aca="false">IF($A85="","",IF($H85&lt;&gt;"",$H85,IF($N85="","",IFERROR(INDEX($H$5:$H$204,MATCH($N85,$A$5:$A$204,0)),""))))</f>
        <v/>
      </c>
      <c r="T85" s="26" t="str">
        <f aca="false">IF($A85="","",IF($F85&lt;&gt;"",$F85,IF($N85="","",IFERROR(INDEX($F$5:$F$204,MATCH($N85,$A$5:$A$204,0)),""))))</f>
        <v/>
      </c>
      <c r="U85" s="27" t="str">
        <f aca="false">IF($A85="","",SUMIFS(MVT_NET,MVT_LOT,$A85))</f>
        <v/>
      </c>
      <c r="V85" s="28" t="str">
        <f aca="false">IF($A85="","",COUNTIFS(MVT_LOT,$A85,MVT_BRUT,"&lt;&gt;0"))</f>
        <v/>
      </c>
      <c r="W85" s="28" t="str">
        <f aca="false">IF($A85="","",COUNTIFS(QC_LOT,$A85))</f>
        <v/>
      </c>
      <c r="X85" s="26" t="str">
        <f aca="false">IF($A85="","",IFERROR(INDEX(QC_DEC,MATCH($A85,QC_CLEDER,0)),""))</f>
        <v/>
      </c>
      <c r="Y85" s="26" t="str">
        <f aca="false">IF($A85="","",IF(COUNTIF($A$5:$A$204,$A85)&gt;1,IF(SUMPRODUCT(($A$5:$A$204=$A85)*(($C$5:$C$204&lt;&gt;$C85)+($D$5:$D$204&lt;&gt;$D85)))&gt;0,"INCOHERENCE","LOT EN DOUBLE"),"OK"))</f>
        <v/>
      </c>
      <c r="Z85" s="28" t="n">
        <f aca="false">IF($A85="",0,IF(AND($O85&lt;&gt;"",$A85&lt;&gt;R_LOT,$O85=IFERROR(INDEX(LOT_EXTE,MATCH(R_LOT,LOT_KEY,0)),"#")),1,0))</f>
        <v>0</v>
      </c>
      <c r="AA85" s="26" t="str">
        <f aca="false">IF($Z85=0,"",COUNTIF($Z$5:$Z85,1))</f>
        <v/>
      </c>
    </row>
    <row r="86" customFormat="false" ht="15" hidden="false" customHeight="false" outlineLevel="0" collapsed="false">
      <c r="A86" s="24"/>
      <c r="B86" s="24"/>
      <c r="C86" s="24"/>
      <c r="D86" s="24"/>
      <c r="E86" s="24"/>
      <c r="F86" s="24"/>
      <c r="G86" s="24"/>
      <c r="H86" s="24"/>
      <c r="I86" s="24"/>
      <c r="J86" s="24"/>
      <c r="K86" s="25"/>
      <c r="L86" s="24"/>
      <c r="M86" s="24"/>
      <c r="N86" s="26" t="str">
        <f aca="false">IF($A86="","",IF($L86&lt;&gt;"",$L86,IF(IFERROR(INDEX(RES_LOTSRC,MATCH($A86,RES_LOTEFF,0)),"")=$A86,"",IFERROR(INDEX(RES_LOTSRC,MATCH($A86,RES_LOTEFF,0)),""))))</f>
        <v/>
      </c>
      <c r="O86" s="26" t="str">
        <f aca="false">IF($A86="","",IF($B86&lt;&gt;"",$B86,IF($N86="","",IFERROR(INDEX($B$5:$B$204,MATCH($N86,$A$5:$A$204,0)),""))))</f>
        <v/>
      </c>
      <c r="P86" s="26" t="str">
        <f aca="false">IF($A86="","",IF($C86&lt;&gt;"",$C86,IF($N86="","",IFERROR(INDEX($C$5:$C$204,MATCH($N86,$A$5:$A$204,0)),""))))</f>
        <v/>
      </c>
      <c r="Q86" s="26" t="str">
        <f aca="false">IF($A86="","",IF($D86&lt;&gt;"",$D86,IF($N86="","",IFERROR(INDEX($D$5:$D$204,MATCH($N86,$A$5:$A$204,0)),""))))</f>
        <v/>
      </c>
      <c r="R86" s="26" t="str">
        <f aca="false">IF($A86="","",IF($E86&lt;&gt;"",$E86,IF($N86="","",IFERROR(INDEX($E$5:$E$204,MATCH($N86,$A$5:$A$204,0)),""))))</f>
        <v/>
      </c>
      <c r="S86" s="26" t="str">
        <f aca="false">IF($A86="","",IF($H86&lt;&gt;"",$H86,IF($N86="","",IFERROR(INDEX($H$5:$H$204,MATCH($N86,$A$5:$A$204,0)),""))))</f>
        <v/>
      </c>
      <c r="T86" s="26" t="str">
        <f aca="false">IF($A86="","",IF($F86&lt;&gt;"",$F86,IF($N86="","",IFERROR(INDEX($F$5:$F$204,MATCH($N86,$A$5:$A$204,0)),""))))</f>
        <v/>
      </c>
      <c r="U86" s="27" t="str">
        <f aca="false">IF($A86="","",SUMIFS(MVT_NET,MVT_LOT,$A86))</f>
        <v/>
      </c>
      <c r="V86" s="28" t="str">
        <f aca="false">IF($A86="","",COUNTIFS(MVT_LOT,$A86,MVT_BRUT,"&lt;&gt;0"))</f>
        <v/>
      </c>
      <c r="W86" s="28" t="str">
        <f aca="false">IF($A86="","",COUNTIFS(QC_LOT,$A86))</f>
        <v/>
      </c>
      <c r="X86" s="26" t="str">
        <f aca="false">IF($A86="","",IFERROR(INDEX(QC_DEC,MATCH($A86,QC_CLEDER,0)),""))</f>
        <v/>
      </c>
      <c r="Y86" s="26" t="str">
        <f aca="false">IF($A86="","",IF(COUNTIF($A$5:$A$204,$A86)&gt;1,IF(SUMPRODUCT(($A$5:$A$204=$A86)*(($C$5:$C$204&lt;&gt;$C86)+($D$5:$D$204&lt;&gt;$D86)))&gt;0,"INCOHERENCE","LOT EN DOUBLE"),"OK"))</f>
        <v/>
      </c>
      <c r="Z86" s="28" t="n">
        <f aca="false">IF($A86="",0,IF(AND($O86&lt;&gt;"",$A86&lt;&gt;R_LOT,$O86=IFERROR(INDEX(LOT_EXTE,MATCH(R_LOT,LOT_KEY,0)),"#")),1,0))</f>
        <v>0</v>
      </c>
      <c r="AA86" s="26" t="str">
        <f aca="false">IF($Z86=0,"",COUNTIF($Z$5:$Z86,1))</f>
        <v/>
      </c>
    </row>
    <row r="87" customFormat="false" ht="15" hidden="false" customHeight="false" outlineLevel="0" collapsed="false">
      <c r="A87" s="24"/>
      <c r="B87" s="24"/>
      <c r="C87" s="24"/>
      <c r="D87" s="24"/>
      <c r="E87" s="24"/>
      <c r="F87" s="24"/>
      <c r="G87" s="24"/>
      <c r="H87" s="24"/>
      <c r="I87" s="24"/>
      <c r="J87" s="24"/>
      <c r="K87" s="25"/>
      <c r="L87" s="24"/>
      <c r="M87" s="24"/>
      <c r="N87" s="26" t="str">
        <f aca="false">IF($A87="","",IF($L87&lt;&gt;"",$L87,IF(IFERROR(INDEX(RES_LOTSRC,MATCH($A87,RES_LOTEFF,0)),"")=$A87,"",IFERROR(INDEX(RES_LOTSRC,MATCH($A87,RES_LOTEFF,0)),""))))</f>
        <v/>
      </c>
      <c r="O87" s="26" t="str">
        <f aca="false">IF($A87="","",IF($B87&lt;&gt;"",$B87,IF($N87="","",IFERROR(INDEX($B$5:$B$204,MATCH($N87,$A$5:$A$204,0)),""))))</f>
        <v/>
      </c>
      <c r="P87" s="26" t="str">
        <f aca="false">IF($A87="","",IF($C87&lt;&gt;"",$C87,IF($N87="","",IFERROR(INDEX($C$5:$C$204,MATCH($N87,$A$5:$A$204,0)),""))))</f>
        <v/>
      </c>
      <c r="Q87" s="26" t="str">
        <f aca="false">IF($A87="","",IF($D87&lt;&gt;"",$D87,IF($N87="","",IFERROR(INDEX($D$5:$D$204,MATCH($N87,$A$5:$A$204,0)),""))))</f>
        <v/>
      </c>
      <c r="R87" s="26" t="str">
        <f aca="false">IF($A87="","",IF($E87&lt;&gt;"",$E87,IF($N87="","",IFERROR(INDEX($E$5:$E$204,MATCH($N87,$A$5:$A$204,0)),""))))</f>
        <v/>
      </c>
      <c r="S87" s="26" t="str">
        <f aca="false">IF($A87="","",IF($H87&lt;&gt;"",$H87,IF($N87="","",IFERROR(INDEX($H$5:$H$204,MATCH($N87,$A$5:$A$204,0)),""))))</f>
        <v/>
      </c>
      <c r="T87" s="26" t="str">
        <f aca="false">IF($A87="","",IF($F87&lt;&gt;"",$F87,IF($N87="","",IFERROR(INDEX($F$5:$F$204,MATCH($N87,$A$5:$A$204,0)),""))))</f>
        <v/>
      </c>
      <c r="U87" s="27" t="str">
        <f aca="false">IF($A87="","",SUMIFS(MVT_NET,MVT_LOT,$A87))</f>
        <v/>
      </c>
      <c r="V87" s="28" t="str">
        <f aca="false">IF($A87="","",COUNTIFS(MVT_LOT,$A87,MVT_BRUT,"&lt;&gt;0"))</f>
        <v/>
      </c>
      <c r="W87" s="28" t="str">
        <f aca="false">IF($A87="","",COUNTIFS(QC_LOT,$A87))</f>
        <v/>
      </c>
      <c r="X87" s="26" t="str">
        <f aca="false">IF($A87="","",IFERROR(INDEX(QC_DEC,MATCH($A87,QC_CLEDER,0)),""))</f>
        <v/>
      </c>
      <c r="Y87" s="26" t="str">
        <f aca="false">IF($A87="","",IF(COUNTIF($A$5:$A$204,$A87)&gt;1,IF(SUMPRODUCT(($A$5:$A$204=$A87)*(($C$5:$C$204&lt;&gt;$C87)+($D$5:$D$204&lt;&gt;$D87)))&gt;0,"INCOHERENCE","LOT EN DOUBLE"),"OK"))</f>
        <v/>
      </c>
      <c r="Z87" s="28" t="n">
        <f aca="false">IF($A87="",0,IF(AND($O87&lt;&gt;"",$A87&lt;&gt;R_LOT,$O87=IFERROR(INDEX(LOT_EXTE,MATCH(R_LOT,LOT_KEY,0)),"#")),1,0))</f>
        <v>0</v>
      </c>
      <c r="AA87" s="26" t="str">
        <f aca="false">IF($Z87=0,"",COUNTIF($Z$5:$Z87,1))</f>
        <v/>
      </c>
    </row>
    <row r="88" customFormat="false" ht="15" hidden="false" customHeight="false" outlineLevel="0" collapsed="false">
      <c r="A88" s="24"/>
      <c r="B88" s="24"/>
      <c r="C88" s="24"/>
      <c r="D88" s="24"/>
      <c r="E88" s="24"/>
      <c r="F88" s="24"/>
      <c r="G88" s="24"/>
      <c r="H88" s="24"/>
      <c r="I88" s="24"/>
      <c r="J88" s="24"/>
      <c r="K88" s="25"/>
      <c r="L88" s="24"/>
      <c r="M88" s="24"/>
      <c r="N88" s="26" t="str">
        <f aca="false">IF($A88="","",IF($L88&lt;&gt;"",$L88,IF(IFERROR(INDEX(RES_LOTSRC,MATCH($A88,RES_LOTEFF,0)),"")=$A88,"",IFERROR(INDEX(RES_LOTSRC,MATCH($A88,RES_LOTEFF,0)),""))))</f>
        <v/>
      </c>
      <c r="O88" s="26" t="str">
        <f aca="false">IF($A88="","",IF($B88&lt;&gt;"",$B88,IF($N88="","",IFERROR(INDEX($B$5:$B$204,MATCH($N88,$A$5:$A$204,0)),""))))</f>
        <v/>
      </c>
      <c r="P88" s="26" t="str">
        <f aca="false">IF($A88="","",IF($C88&lt;&gt;"",$C88,IF($N88="","",IFERROR(INDEX($C$5:$C$204,MATCH($N88,$A$5:$A$204,0)),""))))</f>
        <v/>
      </c>
      <c r="Q88" s="26" t="str">
        <f aca="false">IF($A88="","",IF($D88&lt;&gt;"",$D88,IF($N88="","",IFERROR(INDEX($D$5:$D$204,MATCH($N88,$A$5:$A$204,0)),""))))</f>
        <v/>
      </c>
      <c r="R88" s="26" t="str">
        <f aca="false">IF($A88="","",IF($E88&lt;&gt;"",$E88,IF($N88="","",IFERROR(INDEX($E$5:$E$204,MATCH($N88,$A$5:$A$204,0)),""))))</f>
        <v/>
      </c>
      <c r="S88" s="26" t="str">
        <f aca="false">IF($A88="","",IF($H88&lt;&gt;"",$H88,IF($N88="","",IFERROR(INDEX($H$5:$H$204,MATCH($N88,$A$5:$A$204,0)),""))))</f>
        <v/>
      </c>
      <c r="T88" s="26" t="str">
        <f aca="false">IF($A88="","",IF($F88&lt;&gt;"",$F88,IF($N88="","",IFERROR(INDEX($F$5:$F$204,MATCH($N88,$A$5:$A$204,0)),""))))</f>
        <v/>
      </c>
      <c r="U88" s="27" t="str">
        <f aca="false">IF($A88="","",SUMIFS(MVT_NET,MVT_LOT,$A88))</f>
        <v/>
      </c>
      <c r="V88" s="28" t="str">
        <f aca="false">IF($A88="","",COUNTIFS(MVT_LOT,$A88,MVT_BRUT,"&lt;&gt;0"))</f>
        <v/>
      </c>
      <c r="W88" s="28" t="str">
        <f aca="false">IF($A88="","",COUNTIFS(QC_LOT,$A88))</f>
        <v/>
      </c>
      <c r="X88" s="26" t="str">
        <f aca="false">IF($A88="","",IFERROR(INDEX(QC_DEC,MATCH($A88,QC_CLEDER,0)),""))</f>
        <v/>
      </c>
      <c r="Y88" s="26" t="str">
        <f aca="false">IF($A88="","",IF(COUNTIF($A$5:$A$204,$A88)&gt;1,IF(SUMPRODUCT(($A$5:$A$204=$A88)*(($C$5:$C$204&lt;&gt;$C88)+($D$5:$D$204&lt;&gt;$D88)))&gt;0,"INCOHERENCE","LOT EN DOUBLE"),"OK"))</f>
        <v/>
      </c>
      <c r="Z88" s="28" t="n">
        <f aca="false">IF($A88="",0,IF(AND($O88&lt;&gt;"",$A88&lt;&gt;R_LOT,$O88=IFERROR(INDEX(LOT_EXTE,MATCH(R_LOT,LOT_KEY,0)),"#")),1,0))</f>
        <v>0</v>
      </c>
      <c r="AA88" s="26" t="str">
        <f aca="false">IF($Z88=0,"",COUNTIF($Z$5:$Z88,1))</f>
        <v/>
      </c>
    </row>
    <row r="89" customFormat="false" ht="15" hidden="false" customHeight="false" outlineLevel="0" collapsed="false">
      <c r="A89" s="24"/>
      <c r="B89" s="24"/>
      <c r="C89" s="24"/>
      <c r="D89" s="24"/>
      <c r="E89" s="24"/>
      <c r="F89" s="24"/>
      <c r="G89" s="24"/>
      <c r="H89" s="24"/>
      <c r="I89" s="24"/>
      <c r="J89" s="24"/>
      <c r="K89" s="25"/>
      <c r="L89" s="24"/>
      <c r="M89" s="24"/>
      <c r="N89" s="26" t="str">
        <f aca="false">IF($A89="","",IF($L89&lt;&gt;"",$L89,IF(IFERROR(INDEX(RES_LOTSRC,MATCH($A89,RES_LOTEFF,0)),"")=$A89,"",IFERROR(INDEX(RES_LOTSRC,MATCH($A89,RES_LOTEFF,0)),""))))</f>
        <v/>
      </c>
      <c r="O89" s="26" t="str">
        <f aca="false">IF($A89="","",IF($B89&lt;&gt;"",$B89,IF($N89="","",IFERROR(INDEX($B$5:$B$204,MATCH($N89,$A$5:$A$204,0)),""))))</f>
        <v/>
      </c>
      <c r="P89" s="26" t="str">
        <f aca="false">IF($A89="","",IF($C89&lt;&gt;"",$C89,IF($N89="","",IFERROR(INDEX($C$5:$C$204,MATCH($N89,$A$5:$A$204,0)),""))))</f>
        <v/>
      </c>
      <c r="Q89" s="26" t="str">
        <f aca="false">IF($A89="","",IF($D89&lt;&gt;"",$D89,IF($N89="","",IFERROR(INDEX($D$5:$D$204,MATCH($N89,$A$5:$A$204,0)),""))))</f>
        <v/>
      </c>
      <c r="R89" s="26" t="str">
        <f aca="false">IF($A89="","",IF($E89&lt;&gt;"",$E89,IF($N89="","",IFERROR(INDEX($E$5:$E$204,MATCH($N89,$A$5:$A$204,0)),""))))</f>
        <v/>
      </c>
      <c r="S89" s="26" t="str">
        <f aca="false">IF($A89="","",IF($H89&lt;&gt;"",$H89,IF($N89="","",IFERROR(INDEX($H$5:$H$204,MATCH($N89,$A$5:$A$204,0)),""))))</f>
        <v/>
      </c>
      <c r="T89" s="26" t="str">
        <f aca="false">IF($A89="","",IF($F89&lt;&gt;"",$F89,IF($N89="","",IFERROR(INDEX($F$5:$F$204,MATCH($N89,$A$5:$A$204,0)),""))))</f>
        <v/>
      </c>
      <c r="U89" s="27" t="str">
        <f aca="false">IF($A89="","",SUMIFS(MVT_NET,MVT_LOT,$A89))</f>
        <v/>
      </c>
      <c r="V89" s="28" t="str">
        <f aca="false">IF($A89="","",COUNTIFS(MVT_LOT,$A89,MVT_BRUT,"&lt;&gt;0"))</f>
        <v/>
      </c>
      <c r="W89" s="28" t="str">
        <f aca="false">IF($A89="","",COUNTIFS(QC_LOT,$A89))</f>
        <v/>
      </c>
      <c r="X89" s="26" t="str">
        <f aca="false">IF($A89="","",IFERROR(INDEX(QC_DEC,MATCH($A89,QC_CLEDER,0)),""))</f>
        <v/>
      </c>
      <c r="Y89" s="26" t="str">
        <f aca="false">IF($A89="","",IF(COUNTIF($A$5:$A$204,$A89)&gt;1,IF(SUMPRODUCT(($A$5:$A$204=$A89)*(($C$5:$C$204&lt;&gt;$C89)+($D$5:$D$204&lt;&gt;$D89)))&gt;0,"INCOHERENCE","LOT EN DOUBLE"),"OK"))</f>
        <v/>
      </c>
      <c r="Z89" s="28" t="n">
        <f aca="false">IF($A89="",0,IF(AND($O89&lt;&gt;"",$A89&lt;&gt;R_LOT,$O89=IFERROR(INDEX(LOT_EXTE,MATCH(R_LOT,LOT_KEY,0)),"#")),1,0))</f>
        <v>0</v>
      </c>
      <c r="AA89" s="26" t="str">
        <f aca="false">IF($Z89=0,"",COUNTIF($Z$5:$Z89,1))</f>
        <v/>
      </c>
    </row>
    <row r="90" customFormat="false" ht="15" hidden="false" customHeight="false" outlineLevel="0" collapsed="false">
      <c r="A90" s="24"/>
      <c r="B90" s="24"/>
      <c r="C90" s="24"/>
      <c r="D90" s="24"/>
      <c r="E90" s="24"/>
      <c r="F90" s="24"/>
      <c r="G90" s="24"/>
      <c r="H90" s="24"/>
      <c r="I90" s="24"/>
      <c r="J90" s="24"/>
      <c r="K90" s="25"/>
      <c r="L90" s="24"/>
      <c r="M90" s="24"/>
      <c r="N90" s="26" t="str">
        <f aca="false">IF($A90="","",IF($L90&lt;&gt;"",$L90,IF(IFERROR(INDEX(RES_LOTSRC,MATCH($A90,RES_LOTEFF,0)),"")=$A90,"",IFERROR(INDEX(RES_LOTSRC,MATCH($A90,RES_LOTEFF,0)),""))))</f>
        <v/>
      </c>
      <c r="O90" s="26" t="str">
        <f aca="false">IF($A90="","",IF($B90&lt;&gt;"",$B90,IF($N90="","",IFERROR(INDEX($B$5:$B$204,MATCH($N90,$A$5:$A$204,0)),""))))</f>
        <v/>
      </c>
      <c r="P90" s="26" t="str">
        <f aca="false">IF($A90="","",IF($C90&lt;&gt;"",$C90,IF($N90="","",IFERROR(INDEX($C$5:$C$204,MATCH($N90,$A$5:$A$204,0)),""))))</f>
        <v/>
      </c>
      <c r="Q90" s="26" t="str">
        <f aca="false">IF($A90="","",IF($D90&lt;&gt;"",$D90,IF($N90="","",IFERROR(INDEX($D$5:$D$204,MATCH($N90,$A$5:$A$204,0)),""))))</f>
        <v/>
      </c>
      <c r="R90" s="26" t="str">
        <f aca="false">IF($A90="","",IF($E90&lt;&gt;"",$E90,IF($N90="","",IFERROR(INDEX($E$5:$E$204,MATCH($N90,$A$5:$A$204,0)),""))))</f>
        <v/>
      </c>
      <c r="S90" s="26" t="str">
        <f aca="false">IF($A90="","",IF($H90&lt;&gt;"",$H90,IF($N90="","",IFERROR(INDEX($H$5:$H$204,MATCH($N90,$A$5:$A$204,0)),""))))</f>
        <v/>
      </c>
      <c r="T90" s="26" t="str">
        <f aca="false">IF($A90="","",IF($F90&lt;&gt;"",$F90,IF($N90="","",IFERROR(INDEX($F$5:$F$204,MATCH($N90,$A$5:$A$204,0)),""))))</f>
        <v/>
      </c>
      <c r="U90" s="27" t="str">
        <f aca="false">IF($A90="","",SUMIFS(MVT_NET,MVT_LOT,$A90))</f>
        <v/>
      </c>
      <c r="V90" s="28" t="str">
        <f aca="false">IF($A90="","",COUNTIFS(MVT_LOT,$A90,MVT_BRUT,"&lt;&gt;0"))</f>
        <v/>
      </c>
      <c r="W90" s="28" t="str">
        <f aca="false">IF($A90="","",COUNTIFS(QC_LOT,$A90))</f>
        <v/>
      </c>
      <c r="X90" s="26" t="str">
        <f aca="false">IF($A90="","",IFERROR(INDEX(QC_DEC,MATCH($A90,QC_CLEDER,0)),""))</f>
        <v/>
      </c>
      <c r="Y90" s="26" t="str">
        <f aca="false">IF($A90="","",IF(COUNTIF($A$5:$A$204,$A90)&gt;1,IF(SUMPRODUCT(($A$5:$A$204=$A90)*(($C$5:$C$204&lt;&gt;$C90)+($D$5:$D$204&lt;&gt;$D90)))&gt;0,"INCOHERENCE","LOT EN DOUBLE"),"OK"))</f>
        <v/>
      </c>
      <c r="Z90" s="28" t="n">
        <f aca="false">IF($A90="",0,IF(AND($O90&lt;&gt;"",$A90&lt;&gt;R_LOT,$O90=IFERROR(INDEX(LOT_EXTE,MATCH(R_LOT,LOT_KEY,0)),"#")),1,0))</f>
        <v>0</v>
      </c>
      <c r="AA90" s="26" t="str">
        <f aca="false">IF($Z90=0,"",COUNTIF($Z$5:$Z90,1))</f>
        <v/>
      </c>
    </row>
    <row r="91" customFormat="false" ht="15" hidden="false" customHeight="false" outlineLevel="0" collapsed="false">
      <c r="A91" s="24"/>
      <c r="B91" s="24"/>
      <c r="C91" s="24"/>
      <c r="D91" s="24"/>
      <c r="E91" s="24"/>
      <c r="F91" s="24"/>
      <c r="G91" s="24"/>
      <c r="H91" s="24"/>
      <c r="I91" s="24"/>
      <c r="J91" s="24"/>
      <c r="K91" s="25"/>
      <c r="L91" s="24"/>
      <c r="M91" s="24"/>
      <c r="N91" s="26" t="str">
        <f aca="false">IF($A91="","",IF($L91&lt;&gt;"",$L91,IF(IFERROR(INDEX(RES_LOTSRC,MATCH($A91,RES_LOTEFF,0)),"")=$A91,"",IFERROR(INDEX(RES_LOTSRC,MATCH($A91,RES_LOTEFF,0)),""))))</f>
        <v/>
      </c>
      <c r="O91" s="26" t="str">
        <f aca="false">IF($A91="","",IF($B91&lt;&gt;"",$B91,IF($N91="","",IFERROR(INDEX($B$5:$B$204,MATCH($N91,$A$5:$A$204,0)),""))))</f>
        <v/>
      </c>
      <c r="P91" s="26" t="str">
        <f aca="false">IF($A91="","",IF($C91&lt;&gt;"",$C91,IF($N91="","",IFERROR(INDEX($C$5:$C$204,MATCH($N91,$A$5:$A$204,0)),""))))</f>
        <v/>
      </c>
      <c r="Q91" s="26" t="str">
        <f aca="false">IF($A91="","",IF($D91&lt;&gt;"",$D91,IF($N91="","",IFERROR(INDEX($D$5:$D$204,MATCH($N91,$A$5:$A$204,0)),""))))</f>
        <v/>
      </c>
      <c r="R91" s="26" t="str">
        <f aca="false">IF($A91="","",IF($E91&lt;&gt;"",$E91,IF($N91="","",IFERROR(INDEX($E$5:$E$204,MATCH($N91,$A$5:$A$204,0)),""))))</f>
        <v/>
      </c>
      <c r="S91" s="26" t="str">
        <f aca="false">IF($A91="","",IF($H91&lt;&gt;"",$H91,IF($N91="","",IFERROR(INDEX($H$5:$H$204,MATCH($N91,$A$5:$A$204,0)),""))))</f>
        <v/>
      </c>
      <c r="T91" s="26" t="str">
        <f aca="false">IF($A91="","",IF($F91&lt;&gt;"",$F91,IF($N91="","",IFERROR(INDEX($F$5:$F$204,MATCH($N91,$A$5:$A$204,0)),""))))</f>
        <v/>
      </c>
      <c r="U91" s="27" t="str">
        <f aca="false">IF($A91="","",SUMIFS(MVT_NET,MVT_LOT,$A91))</f>
        <v/>
      </c>
      <c r="V91" s="28" t="str">
        <f aca="false">IF($A91="","",COUNTIFS(MVT_LOT,$A91,MVT_BRUT,"&lt;&gt;0"))</f>
        <v/>
      </c>
      <c r="W91" s="28" t="str">
        <f aca="false">IF($A91="","",COUNTIFS(QC_LOT,$A91))</f>
        <v/>
      </c>
      <c r="X91" s="26" t="str">
        <f aca="false">IF($A91="","",IFERROR(INDEX(QC_DEC,MATCH($A91,QC_CLEDER,0)),""))</f>
        <v/>
      </c>
      <c r="Y91" s="26" t="str">
        <f aca="false">IF($A91="","",IF(COUNTIF($A$5:$A$204,$A91)&gt;1,IF(SUMPRODUCT(($A$5:$A$204=$A91)*(($C$5:$C$204&lt;&gt;$C91)+($D$5:$D$204&lt;&gt;$D91)))&gt;0,"INCOHERENCE","LOT EN DOUBLE"),"OK"))</f>
        <v/>
      </c>
      <c r="Z91" s="28" t="n">
        <f aca="false">IF($A91="",0,IF(AND($O91&lt;&gt;"",$A91&lt;&gt;R_LOT,$O91=IFERROR(INDEX(LOT_EXTE,MATCH(R_LOT,LOT_KEY,0)),"#")),1,0))</f>
        <v>0</v>
      </c>
      <c r="AA91" s="26" t="str">
        <f aca="false">IF($Z91=0,"",COUNTIF($Z$5:$Z91,1))</f>
        <v/>
      </c>
    </row>
    <row r="92" customFormat="false" ht="15" hidden="false" customHeight="false" outlineLevel="0" collapsed="false">
      <c r="A92" s="24"/>
      <c r="B92" s="24"/>
      <c r="C92" s="24"/>
      <c r="D92" s="24"/>
      <c r="E92" s="24"/>
      <c r="F92" s="24"/>
      <c r="G92" s="24"/>
      <c r="H92" s="24"/>
      <c r="I92" s="24"/>
      <c r="J92" s="24"/>
      <c r="K92" s="25"/>
      <c r="L92" s="24"/>
      <c r="M92" s="24"/>
      <c r="N92" s="26" t="str">
        <f aca="false">IF($A92="","",IF($L92&lt;&gt;"",$L92,IF(IFERROR(INDEX(RES_LOTSRC,MATCH($A92,RES_LOTEFF,0)),"")=$A92,"",IFERROR(INDEX(RES_LOTSRC,MATCH($A92,RES_LOTEFF,0)),""))))</f>
        <v/>
      </c>
      <c r="O92" s="26" t="str">
        <f aca="false">IF($A92="","",IF($B92&lt;&gt;"",$B92,IF($N92="","",IFERROR(INDEX($B$5:$B$204,MATCH($N92,$A$5:$A$204,0)),""))))</f>
        <v/>
      </c>
      <c r="P92" s="26" t="str">
        <f aca="false">IF($A92="","",IF($C92&lt;&gt;"",$C92,IF($N92="","",IFERROR(INDEX($C$5:$C$204,MATCH($N92,$A$5:$A$204,0)),""))))</f>
        <v/>
      </c>
      <c r="Q92" s="26" t="str">
        <f aca="false">IF($A92="","",IF($D92&lt;&gt;"",$D92,IF($N92="","",IFERROR(INDEX($D$5:$D$204,MATCH($N92,$A$5:$A$204,0)),""))))</f>
        <v/>
      </c>
      <c r="R92" s="26" t="str">
        <f aca="false">IF($A92="","",IF($E92&lt;&gt;"",$E92,IF($N92="","",IFERROR(INDEX($E$5:$E$204,MATCH($N92,$A$5:$A$204,0)),""))))</f>
        <v/>
      </c>
      <c r="S92" s="26" t="str">
        <f aca="false">IF($A92="","",IF($H92&lt;&gt;"",$H92,IF($N92="","",IFERROR(INDEX($H$5:$H$204,MATCH($N92,$A$5:$A$204,0)),""))))</f>
        <v/>
      </c>
      <c r="T92" s="26" t="str">
        <f aca="false">IF($A92="","",IF($F92&lt;&gt;"",$F92,IF($N92="","",IFERROR(INDEX($F$5:$F$204,MATCH($N92,$A$5:$A$204,0)),""))))</f>
        <v/>
      </c>
      <c r="U92" s="27" t="str">
        <f aca="false">IF($A92="","",SUMIFS(MVT_NET,MVT_LOT,$A92))</f>
        <v/>
      </c>
      <c r="V92" s="28" t="str">
        <f aca="false">IF($A92="","",COUNTIFS(MVT_LOT,$A92,MVT_BRUT,"&lt;&gt;0"))</f>
        <v/>
      </c>
      <c r="W92" s="28" t="str">
        <f aca="false">IF($A92="","",COUNTIFS(QC_LOT,$A92))</f>
        <v/>
      </c>
      <c r="X92" s="26" t="str">
        <f aca="false">IF($A92="","",IFERROR(INDEX(QC_DEC,MATCH($A92,QC_CLEDER,0)),""))</f>
        <v/>
      </c>
      <c r="Y92" s="26" t="str">
        <f aca="false">IF($A92="","",IF(COUNTIF($A$5:$A$204,$A92)&gt;1,IF(SUMPRODUCT(($A$5:$A$204=$A92)*(($C$5:$C$204&lt;&gt;$C92)+($D$5:$D$204&lt;&gt;$D92)))&gt;0,"INCOHERENCE","LOT EN DOUBLE"),"OK"))</f>
        <v/>
      </c>
      <c r="Z92" s="28" t="n">
        <f aca="false">IF($A92="",0,IF(AND($O92&lt;&gt;"",$A92&lt;&gt;R_LOT,$O92=IFERROR(INDEX(LOT_EXTE,MATCH(R_LOT,LOT_KEY,0)),"#")),1,0))</f>
        <v>0</v>
      </c>
      <c r="AA92" s="26" t="str">
        <f aca="false">IF($Z92=0,"",COUNTIF($Z$5:$Z92,1))</f>
        <v/>
      </c>
    </row>
    <row r="93" customFormat="false" ht="15" hidden="false" customHeight="false" outlineLevel="0" collapsed="false">
      <c r="A93" s="24"/>
      <c r="B93" s="24"/>
      <c r="C93" s="24"/>
      <c r="D93" s="24"/>
      <c r="E93" s="24"/>
      <c r="F93" s="24"/>
      <c r="G93" s="24"/>
      <c r="H93" s="24"/>
      <c r="I93" s="24"/>
      <c r="J93" s="24"/>
      <c r="K93" s="25"/>
      <c r="L93" s="24"/>
      <c r="M93" s="24"/>
      <c r="N93" s="26" t="str">
        <f aca="false">IF($A93="","",IF($L93&lt;&gt;"",$L93,IF(IFERROR(INDEX(RES_LOTSRC,MATCH($A93,RES_LOTEFF,0)),"")=$A93,"",IFERROR(INDEX(RES_LOTSRC,MATCH($A93,RES_LOTEFF,0)),""))))</f>
        <v/>
      </c>
      <c r="O93" s="26" t="str">
        <f aca="false">IF($A93="","",IF($B93&lt;&gt;"",$B93,IF($N93="","",IFERROR(INDEX($B$5:$B$204,MATCH($N93,$A$5:$A$204,0)),""))))</f>
        <v/>
      </c>
      <c r="P93" s="26" t="str">
        <f aca="false">IF($A93="","",IF($C93&lt;&gt;"",$C93,IF($N93="","",IFERROR(INDEX($C$5:$C$204,MATCH($N93,$A$5:$A$204,0)),""))))</f>
        <v/>
      </c>
      <c r="Q93" s="26" t="str">
        <f aca="false">IF($A93="","",IF($D93&lt;&gt;"",$D93,IF($N93="","",IFERROR(INDEX($D$5:$D$204,MATCH($N93,$A$5:$A$204,0)),""))))</f>
        <v/>
      </c>
      <c r="R93" s="26" t="str">
        <f aca="false">IF($A93="","",IF($E93&lt;&gt;"",$E93,IF($N93="","",IFERROR(INDEX($E$5:$E$204,MATCH($N93,$A$5:$A$204,0)),""))))</f>
        <v/>
      </c>
      <c r="S93" s="26" t="str">
        <f aca="false">IF($A93="","",IF($H93&lt;&gt;"",$H93,IF($N93="","",IFERROR(INDEX($H$5:$H$204,MATCH($N93,$A$5:$A$204,0)),""))))</f>
        <v/>
      </c>
      <c r="T93" s="26" t="str">
        <f aca="false">IF($A93="","",IF($F93&lt;&gt;"",$F93,IF($N93="","",IFERROR(INDEX($F$5:$F$204,MATCH($N93,$A$5:$A$204,0)),""))))</f>
        <v/>
      </c>
      <c r="U93" s="27" t="str">
        <f aca="false">IF($A93="","",SUMIFS(MVT_NET,MVT_LOT,$A93))</f>
        <v/>
      </c>
      <c r="V93" s="28" t="str">
        <f aca="false">IF($A93="","",COUNTIFS(MVT_LOT,$A93,MVT_BRUT,"&lt;&gt;0"))</f>
        <v/>
      </c>
      <c r="W93" s="28" t="str">
        <f aca="false">IF($A93="","",COUNTIFS(QC_LOT,$A93))</f>
        <v/>
      </c>
      <c r="X93" s="26" t="str">
        <f aca="false">IF($A93="","",IFERROR(INDEX(QC_DEC,MATCH($A93,QC_CLEDER,0)),""))</f>
        <v/>
      </c>
      <c r="Y93" s="26" t="str">
        <f aca="false">IF($A93="","",IF(COUNTIF($A$5:$A$204,$A93)&gt;1,IF(SUMPRODUCT(($A$5:$A$204=$A93)*(($C$5:$C$204&lt;&gt;$C93)+($D$5:$D$204&lt;&gt;$D93)))&gt;0,"INCOHERENCE","LOT EN DOUBLE"),"OK"))</f>
        <v/>
      </c>
      <c r="Z93" s="28" t="n">
        <f aca="false">IF($A93="",0,IF(AND($O93&lt;&gt;"",$A93&lt;&gt;R_LOT,$O93=IFERROR(INDEX(LOT_EXTE,MATCH(R_LOT,LOT_KEY,0)),"#")),1,0))</f>
        <v>0</v>
      </c>
      <c r="AA93" s="26" t="str">
        <f aca="false">IF($Z93=0,"",COUNTIF($Z$5:$Z93,1))</f>
        <v/>
      </c>
    </row>
    <row r="94" customFormat="false" ht="15" hidden="false" customHeight="false" outlineLevel="0" collapsed="false">
      <c r="A94" s="24"/>
      <c r="B94" s="24"/>
      <c r="C94" s="24"/>
      <c r="D94" s="24"/>
      <c r="E94" s="24"/>
      <c r="F94" s="24"/>
      <c r="G94" s="24"/>
      <c r="H94" s="24"/>
      <c r="I94" s="24"/>
      <c r="J94" s="24"/>
      <c r="K94" s="25"/>
      <c r="L94" s="24"/>
      <c r="M94" s="24"/>
      <c r="N94" s="26" t="str">
        <f aca="false">IF($A94="","",IF($L94&lt;&gt;"",$L94,IF(IFERROR(INDEX(RES_LOTSRC,MATCH($A94,RES_LOTEFF,0)),"")=$A94,"",IFERROR(INDEX(RES_LOTSRC,MATCH($A94,RES_LOTEFF,0)),""))))</f>
        <v/>
      </c>
      <c r="O94" s="26" t="str">
        <f aca="false">IF($A94="","",IF($B94&lt;&gt;"",$B94,IF($N94="","",IFERROR(INDEX($B$5:$B$204,MATCH($N94,$A$5:$A$204,0)),""))))</f>
        <v/>
      </c>
      <c r="P94" s="26" t="str">
        <f aca="false">IF($A94="","",IF($C94&lt;&gt;"",$C94,IF($N94="","",IFERROR(INDEX($C$5:$C$204,MATCH($N94,$A$5:$A$204,0)),""))))</f>
        <v/>
      </c>
      <c r="Q94" s="26" t="str">
        <f aca="false">IF($A94="","",IF($D94&lt;&gt;"",$D94,IF($N94="","",IFERROR(INDEX($D$5:$D$204,MATCH($N94,$A$5:$A$204,0)),""))))</f>
        <v/>
      </c>
      <c r="R94" s="26" t="str">
        <f aca="false">IF($A94="","",IF($E94&lt;&gt;"",$E94,IF($N94="","",IFERROR(INDEX($E$5:$E$204,MATCH($N94,$A$5:$A$204,0)),""))))</f>
        <v/>
      </c>
      <c r="S94" s="26" t="str">
        <f aca="false">IF($A94="","",IF($H94&lt;&gt;"",$H94,IF($N94="","",IFERROR(INDEX($H$5:$H$204,MATCH($N94,$A$5:$A$204,0)),""))))</f>
        <v/>
      </c>
      <c r="T94" s="26" t="str">
        <f aca="false">IF($A94="","",IF($F94&lt;&gt;"",$F94,IF($N94="","",IFERROR(INDEX($F$5:$F$204,MATCH($N94,$A$5:$A$204,0)),""))))</f>
        <v/>
      </c>
      <c r="U94" s="27" t="str">
        <f aca="false">IF($A94="","",SUMIFS(MVT_NET,MVT_LOT,$A94))</f>
        <v/>
      </c>
      <c r="V94" s="28" t="str">
        <f aca="false">IF($A94="","",COUNTIFS(MVT_LOT,$A94,MVT_BRUT,"&lt;&gt;0"))</f>
        <v/>
      </c>
      <c r="W94" s="28" t="str">
        <f aca="false">IF($A94="","",COUNTIFS(QC_LOT,$A94))</f>
        <v/>
      </c>
      <c r="X94" s="26" t="str">
        <f aca="false">IF($A94="","",IFERROR(INDEX(QC_DEC,MATCH($A94,QC_CLEDER,0)),""))</f>
        <v/>
      </c>
      <c r="Y94" s="26" t="str">
        <f aca="false">IF($A94="","",IF(COUNTIF($A$5:$A$204,$A94)&gt;1,IF(SUMPRODUCT(($A$5:$A$204=$A94)*(($C$5:$C$204&lt;&gt;$C94)+($D$5:$D$204&lt;&gt;$D94)))&gt;0,"INCOHERENCE","LOT EN DOUBLE"),"OK"))</f>
        <v/>
      </c>
      <c r="Z94" s="28" t="n">
        <f aca="false">IF($A94="",0,IF(AND($O94&lt;&gt;"",$A94&lt;&gt;R_LOT,$O94=IFERROR(INDEX(LOT_EXTE,MATCH(R_LOT,LOT_KEY,0)),"#")),1,0))</f>
        <v>0</v>
      </c>
      <c r="AA94" s="26" t="str">
        <f aca="false">IF($Z94=0,"",COUNTIF($Z$5:$Z94,1))</f>
        <v/>
      </c>
    </row>
    <row r="95" customFormat="false" ht="15" hidden="false" customHeight="false" outlineLevel="0" collapsed="false">
      <c r="A95" s="24"/>
      <c r="B95" s="24"/>
      <c r="C95" s="24"/>
      <c r="D95" s="24"/>
      <c r="E95" s="24"/>
      <c r="F95" s="24"/>
      <c r="G95" s="24"/>
      <c r="H95" s="24"/>
      <c r="I95" s="24"/>
      <c r="J95" s="24"/>
      <c r="K95" s="25"/>
      <c r="L95" s="24"/>
      <c r="M95" s="24"/>
      <c r="N95" s="26" t="str">
        <f aca="false">IF($A95="","",IF($L95&lt;&gt;"",$L95,IF(IFERROR(INDEX(RES_LOTSRC,MATCH($A95,RES_LOTEFF,0)),"")=$A95,"",IFERROR(INDEX(RES_LOTSRC,MATCH($A95,RES_LOTEFF,0)),""))))</f>
        <v/>
      </c>
      <c r="O95" s="26" t="str">
        <f aca="false">IF($A95="","",IF($B95&lt;&gt;"",$B95,IF($N95="","",IFERROR(INDEX($B$5:$B$204,MATCH($N95,$A$5:$A$204,0)),""))))</f>
        <v/>
      </c>
      <c r="P95" s="26" t="str">
        <f aca="false">IF($A95="","",IF($C95&lt;&gt;"",$C95,IF($N95="","",IFERROR(INDEX($C$5:$C$204,MATCH($N95,$A$5:$A$204,0)),""))))</f>
        <v/>
      </c>
      <c r="Q95" s="26" t="str">
        <f aca="false">IF($A95="","",IF($D95&lt;&gt;"",$D95,IF($N95="","",IFERROR(INDEX($D$5:$D$204,MATCH($N95,$A$5:$A$204,0)),""))))</f>
        <v/>
      </c>
      <c r="R95" s="26" t="str">
        <f aca="false">IF($A95="","",IF($E95&lt;&gt;"",$E95,IF($N95="","",IFERROR(INDEX($E$5:$E$204,MATCH($N95,$A$5:$A$204,0)),""))))</f>
        <v/>
      </c>
      <c r="S95" s="26" t="str">
        <f aca="false">IF($A95="","",IF($H95&lt;&gt;"",$H95,IF($N95="","",IFERROR(INDEX($H$5:$H$204,MATCH($N95,$A$5:$A$204,0)),""))))</f>
        <v/>
      </c>
      <c r="T95" s="26" t="str">
        <f aca="false">IF($A95="","",IF($F95&lt;&gt;"",$F95,IF($N95="","",IFERROR(INDEX($F$5:$F$204,MATCH($N95,$A$5:$A$204,0)),""))))</f>
        <v/>
      </c>
      <c r="U95" s="27" t="str">
        <f aca="false">IF($A95="","",SUMIFS(MVT_NET,MVT_LOT,$A95))</f>
        <v/>
      </c>
      <c r="V95" s="28" t="str">
        <f aca="false">IF($A95="","",COUNTIFS(MVT_LOT,$A95,MVT_BRUT,"&lt;&gt;0"))</f>
        <v/>
      </c>
      <c r="W95" s="28" t="str">
        <f aca="false">IF($A95="","",COUNTIFS(QC_LOT,$A95))</f>
        <v/>
      </c>
      <c r="X95" s="26" t="str">
        <f aca="false">IF($A95="","",IFERROR(INDEX(QC_DEC,MATCH($A95,QC_CLEDER,0)),""))</f>
        <v/>
      </c>
      <c r="Y95" s="26" t="str">
        <f aca="false">IF($A95="","",IF(COUNTIF($A$5:$A$204,$A95)&gt;1,IF(SUMPRODUCT(($A$5:$A$204=$A95)*(($C$5:$C$204&lt;&gt;$C95)+($D$5:$D$204&lt;&gt;$D95)))&gt;0,"INCOHERENCE","LOT EN DOUBLE"),"OK"))</f>
        <v/>
      </c>
      <c r="Z95" s="28" t="n">
        <f aca="false">IF($A95="",0,IF(AND($O95&lt;&gt;"",$A95&lt;&gt;R_LOT,$O95=IFERROR(INDEX(LOT_EXTE,MATCH(R_LOT,LOT_KEY,0)),"#")),1,0))</f>
        <v>0</v>
      </c>
      <c r="AA95" s="26" t="str">
        <f aca="false">IF($Z95=0,"",COUNTIF($Z$5:$Z95,1))</f>
        <v/>
      </c>
    </row>
    <row r="96" customFormat="false" ht="15" hidden="false" customHeight="false" outlineLevel="0" collapsed="false">
      <c r="A96" s="24"/>
      <c r="B96" s="24"/>
      <c r="C96" s="24"/>
      <c r="D96" s="24"/>
      <c r="E96" s="24"/>
      <c r="F96" s="24"/>
      <c r="G96" s="24"/>
      <c r="H96" s="24"/>
      <c r="I96" s="24"/>
      <c r="J96" s="24"/>
      <c r="K96" s="25"/>
      <c r="L96" s="24"/>
      <c r="M96" s="24"/>
      <c r="N96" s="26" t="str">
        <f aca="false">IF($A96="","",IF($L96&lt;&gt;"",$L96,IF(IFERROR(INDEX(RES_LOTSRC,MATCH($A96,RES_LOTEFF,0)),"")=$A96,"",IFERROR(INDEX(RES_LOTSRC,MATCH($A96,RES_LOTEFF,0)),""))))</f>
        <v/>
      </c>
      <c r="O96" s="26" t="str">
        <f aca="false">IF($A96="","",IF($B96&lt;&gt;"",$B96,IF($N96="","",IFERROR(INDEX($B$5:$B$204,MATCH($N96,$A$5:$A$204,0)),""))))</f>
        <v/>
      </c>
      <c r="P96" s="26" t="str">
        <f aca="false">IF($A96="","",IF($C96&lt;&gt;"",$C96,IF($N96="","",IFERROR(INDEX($C$5:$C$204,MATCH($N96,$A$5:$A$204,0)),""))))</f>
        <v/>
      </c>
      <c r="Q96" s="26" t="str">
        <f aca="false">IF($A96="","",IF($D96&lt;&gt;"",$D96,IF($N96="","",IFERROR(INDEX($D$5:$D$204,MATCH($N96,$A$5:$A$204,0)),""))))</f>
        <v/>
      </c>
      <c r="R96" s="26" t="str">
        <f aca="false">IF($A96="","",IF($E96&lt;&gt;"",$E96,IF($N96="","",IFERROR(INDEX($E$5:$E$204,MATCH($N96,$A$5:$A$204,0)),""))))</f>
        <v/>
      </c>
      <c r="S96" s="26" t="str">
        <f aca="false">IF($A96="","",IF($H96&lt;&gt;"",$H96,IF($N96="","",IFERROR(INDEX($H$5:$H$204,MATCH($N96,$A$5:$A$204,0)),""))))</f>
        <v/>
      </c>
      <c r="T96" s="26" t="str">
        <f aca="false">IF($A96="","",IF($F96&lt;&gt;"",$F96,IF($N96="","",IFERROR(INDEX($F$5:$F$204,MATCH($N96,$A$5:$A$204,0)),""))))</f>
        <v/>
      </c>
      <c r="U96" s="27" t="str">
        <f aca="false">IF($A96="","",SUMIFS(MVT_NET,MVT_LOT,$A96))</f>
        <v/>
      </c>
      <c r="V96" s="28" t="str">
        <f aca="false">IF($A96="","",COUNTIFS(MVT_LOT,$A96,MVT_BRUT,"&lt;&gt;0"))</f>
        <v/>
      </c>
      <c r="W96" s="28" t="str">
        <f aca="false">IF($A96="","",COUNTIFS(QC_LOT,$A96))</f>
        <v/>
      </c>
      <c r="X96" s="26" t="str">
        <f aca="false">IF($A96="","",IFERROR(INDEX(QC_DEC,MATCH($A96,QC_CLEDER,0)),""))</f>
        <v/>
      </c>
      <c r="Y96" s="26" t="str">
        <f aca="false">IF($A96="","",IF(COUNTIF($A$5:$A$204,$A96)&gt;1,IF(SUMPRODUCT(($A$5:$A$204=$A96)*(($C$5:$C$204&lt;&gt;$C96)+($D$5:$D$204&lt;&gt;$D96)))&gt;0,"INCOHERENCE","LOT EN DOUBLE"),"OK"))</f>
        <v/>
      </c>
      <c r="Z96" s="28" t="n">
        <f aca="false">IF($A96="",0,IF(AND($O96&lt;&gt;"",$A96&lt;&gt;R_LOT,$O96=IFERROR(INDEX(LOT_EXTE,MATCH(R_LOT,LOT_KEY,0)),"#")),1,0))</f>
        <v>0</v>
      </c>
      <c r="AA96" s="26" t="str">
        <f aca="false">IF($Z96=0,"",COUNTIF($Z$5:$Z96,1))</f>
        <v/>
      </c>
    </row>
    <row r="97" customFormat="false" ht="15" hidden="false" customHeight="false" outlineLevel="0" collapsed="false">
      <c r="A97" s="24"/>
      <c r="B97" s="24"/>
      <c r="C97" s="24"/>
      <c r="D97" s="24"/>
      <c r="E97" s="24"/>
      <c r="F97" s="24"/>
      <c r="G97" s="24"/>
      <c r="H97" s="24"/>
      <c r="I97" s="24"/>
      <c r="J97" s="24"/>
      <c r="K97" s="25"/>
      <c r="L97" s="24"/>
      <c r="M97" s="24"/>
      <c r="N97" s="26" t="str">
        <f aca="false">IF($A97="","",IF($L97&lt;&gt;"",$L97,IF(IFERROR(INDEX(RES_LOTSRC,MATCH($A97,RES_LOTEFF,0)),"")=$A97,"",IFERROR(INDEX(RES_LOTSRC,MATCH($A97,RES_LOTEFF,0)),""))))</f>
        <v/>
      </c>
      <c r="O97" s="26" t="str">
        <f aca="false">IF($A97="","",IF($B97&lt;&gt;"",$B97,IF($N97="","",IFERROR(INDEX($B$5:$B$204,MATCH($N97,$A$5:$A$204,0)),""))))</f>
        <v/>
      </c>
      <c r="P97" s="26" t="str">
        <f aca="false">IF($A97="","",IF($C97&lt;&gt;"",$C97,IF($N97="","",IFERROR(INDEX($C$5:$C$204,MATCH($N97,$A$5:$A$204,0)),""))))</f>
        <v/>
      </c>
      <c r="Q97" s="26" t="str">
        <f aca="false">IF($A97="","",IF($D97&lt;&gt;"",$D97,IF($N97="","",IFERROR(INDEX($D$5:$D$204,MATCH($N97,$A$5:$A$204,0)),""))))</f>
        <v/>
      </c>
      <c r="R97" s="26" t="str">
        <f aca="false">IF($A97="","",IF($E97&lt;&gt;"",$E97,IF($N97="","",IFERROR(INDEX($E$5:$E$204,MATCH($N97,$A$5:$A$204,0)),""))))</f>
        <v/>
      </c>
      <c r="S97" s="26" t="str">
        <f aca="false">IF($A97="","",IF($H97&lt;&gt;"",$H97,IF($N97="","",IFERROR(INDEX($H$5:$H$204,MATCH($N97,$A$5:$A$204,0)),""))))</f>
        <v/>
      </c>
      <c r="T97" s="26" t="str">
        <f aca="false">IF($A97="","",IF($F97&lt;&gt;"",$F97,IF($N97="","",IFERROR(INDEX($F$5:$F$204,MATCH($N97,$A$5:$A$204,0)),""))))</f>
        <v/>
      </c>
      <c r="U97" s="27" t="str">
        <f aca="false">IF($A97="","",SUMIFS(MVT_NET,MVT_LOT,$A97))</f>
        <v/>
      </c>
      <c r="V97" s="28" t="str">
        <f aca="false">IF($A97="","",COUNTIFS(MVT_LOT,$A97,MVT_BRUT,"&lt;&gt;0"))</f>
        <v/>
      </c>
      <c r="W97" s="28" t="str">
        <f aca="false">IF($A97="","",COUNTIFS(QC_LOT,$A97))</f>
        <v/>
      </c>
      <c r="X97" s="26" t="str">
        <f aca="false">IF($A97="","",IFERROR(INDEX(QC_DEC,MATCH($A97,QC_CLEDER,0)),""))</f>
        <v/>
      </c>
      <c r="Y97" s="26" t="str">
        <f aca="false">IF($A97="","",IF(COUNTIF($A$5:$A$204,$A97)&gt;1,IF(SUMPRODUCT(($A$5:$A$204=$A97)*(($C$5:$C$204&lt;&gt;$C97)+($D$5:$D$204&lt;&gt;$D97)))&gt;0,"INCOHERENCE","LOT EN DOUBLE"),"OK"))</f>
        <v/>
      </c>
      <c r="Z97" s="28" t="n">
        <f aca="false">IF($A97="",0,IF(AND($O97&lt;&gt;"",$A97&lt;&gt;R_LOT,$O97=IFERROR(INDEX(LOT_EXTE,MATCH(R_LOT,LOT_KEY,0)),"#")),1,0))</f>
        <v>0</v>
      </c>
      <c r="AA97" s="26" t="str">
        <f aca="false">IF($Z97=0,"",COUNTIF($Z$5:$Z97,1))</f>
        <v/>
      </c>
    </row>
    <row r="98" customFormat="false" ht="15" hidden="false" customHeight="false" outlineLevel="0" collapsed="false">
      <c r="A98" s="24"/>
      <c r="B98" s="24"/>
      <c r="C98" s="24"/>
      <c r="D98" s="24"/>
      <c r="E98" s="24"/>
      <c r="F98" s="24"/>
      <c r="G98" s="24"/>
      <c r="H98" s="24"/>
      <c r="I98" s="24"/>
      <c r="J98" s="24"/>
      <c r="K98" s="25"/>
      <c r="L98" s="24"/>
      <c r="M98" s="24"/>
      <c r="N98" s="26" t="str">
        <f aca="false">IF($A98="","",IF($L98&lt;&gt;"",$L98,IF(IFERROR(INDEX(RES_LOTSRC,MATCH($A98,RES_LOTEFF,0)),"")=$A98,"",IFERROR(INDEX(RES_LOTSRC,MATCH($A98,RES_LOTEFF,0)),""))))</f>
        <v/>
      </c>
      <c r="O98" s="26" t="str">
        <f aca="false">IF($A98="","",IF($B98&lt;&gt;"",$B98,IF($N98="","",IFERROR(INDEX($B$5:$B$204,MATCH($N98,$A$5:$A$204,0)),""))))</f>
        <v/>
      </c>
      <c r="P98" s="26" t="str">
        <f aca="false">IF($A98="","",IF($C98&lt;&gt;"",$C98,IF($N98="","",IFERROR(INDEX($C$5:$C$204,MATCH($N98,$A$5:$A$204,0)),""))))</f>
        <v/>
      </c>
      <c r="Q98" s="26" t="str">
        <f aca="false">IF($A98="","",IF($D98&lt;&gt;"",$D98,IF($N98="","",IFERROR(INDEX($D$5:$D$204,MATCH($N98,$A$5:$A$204,0)),""))))</f>
        <v/>
      </c>
      <c r="R98" s="26" t="str">
        <f aca="false">IF($A98="","",IF($E98&lt;&gt;"",$E98,IF($N98="","",IFERROR(INDEX($E$5:$E$204,MATCH($N98,$A$5:$A$204,0)),""))))</f>
        <v/>
      </c>
      <c r="S98" s="26" t="str">
        <f aca="false">IF($A98="","",IF($H98&lt;&gt;"",$H98,IF($N98="","",IFERROR(INDEX($H$5:$H$204,MATCH($N98,$A$5:$A$204,0)),""))))</f>
        <v/>
      </c>
      <c r="T98" s="26" t="str">
        <f aca="false">IF($A98="","",IF($F98&lt;&gt;"",$F98,IF($N98="","",IFERROR(INDEX($F$5:$F$204,MATCH($N98,$A$5:$A$204,0)),""))))</f>
        <v/>
      </c>
      <c r="U98" s="27" t="str">
        <f aca="false">IF($A98="","",SUMIFS(MVT_NET,MVT_LOT,$A98))</f>
        <v/>
      </c>
      <c r="V98" s="28" t="str">
        <f aca="false">IF($A98="","",COUNTIFS(MVT_LOT,$A98,MVT_BRUT,"&lt;&gt;0"))</f>
        <v/>
      </c>
      <c r="W98" s="28" t="str">
        <f aca="false">IF($A98="","",COUNTIFS(QC_LOT,$A98))</f>
        <v/>
      </c>
      <c r="X98" s="26" t="str">
        <f aca="false">IF($A98="","",IFERROR(INDEX(QC_DEC,MATCH($A98,QC_CLEDER,0)),""))</f>
        <v/>
      </c>
      <c r="Y98" s="26" t="str">
        <f aca="false">IF($A98="","",IF(COUNTIF($A$5:$A$204,$A98)&gt;1,IF(SUMPRODUCT(($A$5:$A$204=$A98)*(($C$5:$C$204&lt;&gt;$C98)+($D$5:$D$204&lt;&gt;$D98)))&gt;0,"INCOHERENCE","LOT EN DOUBLE"),"OK"))</f>
        <v/>
      </c>
      <c r="Z98" s="28" t="n">
        <f aca="false">IF($A98="",0,IF(AND($O98&lt;&gt;"",$A98&lt;&gt;R_LOT,$O98=IFERROR(INDEX(LOT_EXTE,MATCH(R_LOT,LOT_KEY,0)),"#")),1,0))</f>
        <v>0</v>
      </c>
      <c r="AA98" s="26" t="str">
        <f aca="false">IF($Z98=0,"",COUNTIF($Z$5:$Z98,1))</f>
        <v/>
      </c>
    </row>
    <row r="99" customFormat="false" ht="15" hidden="false" customHeight="false" outlineLevel="0" collapsed="false">
      <c r="A99" s="24"/>
      <c r="B99" s="24"/>
      <c r="C99" s="24"/>
      <c r="D99" s="24"/>
      <c r="E99" s="24"/>
      <c r="F99" s="24"/>
      <c r="G99" s="24"/>
      <c r="H99" s="24"/>
      <c r="I99" s="24"/>
      <c r="J99" s="24"/>
      <c r="K99" s="25"/>
      <c r="L99" s="24"/>
      <c r="M99" s="24"/>
      <c r="N99" s="26" t="str">
        <f aca="false">IF($A99="","",IF($L99&lt;&gt;"",$L99,IF(IFERROR(INDEX(RES_LOTSRC,MATCH($A99,RES_LOTEFF,0)),"")=$A99,"",IFERROR(INDEX(RES_LOTSRC,MATCH($A99,RES_LOTEFF,0)),""))))</f>
        <v/>
      </c>
      <c r="O99" s="26" t="str">
        <f aca="false">IF($A99="","",IF($B99&lt;&gt;"",$B99,IF($N99="","",IFERROR(INDEX($B$5:$B$204,MATCH($N99,$A$5:$A$204,0)),""))))</f>
        <v/>
      </c>
      <c r="P99" s="26" t="str">
        <f aca="false">IF($A99="","",IF($C99&lt;&gt;"",$C99,IF($N99="","",IFERROR(INDEX($C$5:$C$204,MATCH($N99,$A$5:$A$204,0)),""))))</f>
        <v/>
      </c>
      <c r="Q99" s="26" t="str">
        <f aca="false">IF($A99="","",IF($D99&lt;&gt;"",$D99,IF($N99="","",IFERROR(INDEX($D$5:$D$204,MATCH($N99,$A$5:$A$204,0)),""))))</f>
        <v/>
      </c>
      <c r="R99" s="26" t="str">
        <f aca="false">IF($A99="","",IF($E99&lt;&gt;"",$E99,IF($N99="","",IFERROR(INDEX($E$5:$E$204,MATCH($N99,$A$5:$A$204,0)),""))))</f>
        <v/>
      </c>
      <c r="S99" s="26" t="str">
        <f aca="false">IF($A99="","",IF($H99&lt;&gt;"",$H99,IF($N99="","",IFERROR(INDEX($H$5:$H$204,MATCH($N99,$A$5:$A$204,0)),""))))</f>
        <v/>
      </c>
      <c r="T99" s="26" t="str">
        <f aca="false">IF($A99="","",IF($F99&lt;&gt;"",$F99,IF($N99="","",IFERROR(INDEX($F$5:$F$204,MATCH($N99,$A$5:$A$204,0)),""))))</f>
        <v/>
      </c>
      <c r="U99" s="27" t="str">
        <f aca="false">IF($A99="","",SUMIFS(MVT_NET,MVT_LOT,$A99))</f>
        <v/>
      </c>
      <c r="V99" s="28" t="str">
        <f aca="false">IF($A99="","",COUNTIFS(MVT_LOT,$A99,MVT_BRUT,"&lt;&gt;0"))</f>
        <v/>
      </c>
      <c r="W99" s="28" t="str">
        <f aca="false">IF($A99="","",COUNTIFS(QC_LOT,$A99))</f>
        <v/>
      </c>
      <c r="X99" s="26" t="str">
        <f aca="false">IF($A99="","",IFERROR(INDEX(QC_DEC,MATCH($A99,QC_CLEDER,0)),""))</f>
        <v/>
      </c>
      <c r="Y99" s="26" t="str">
        <f aca="false">IF($A99="","",IF(COUNTIF($A$5:$A$204,$A99)&gt;1,IF(SUMPRODUCT(($A$5:$A$204=$A99)*(($C$5:$C$204&lt;&gt;$C99)+($D$5:$D$204&lt;&gt;$D99)))&gt;0,"INCOHERENCE","LOT EN DOUBLE"),"OK"))</f>
        <v/>
      </c>
      <c r="Z99" s="28" t="n">
        <f aca="false">IF($A99="",0,IF(AND($O99&lt;&gt;"",$A99&lt;&gt;R_LOT,$O99=IFERROR(INDEX(LOT_EXTE,MATCH(R_LOT,LOT_KEY,0)),"#")),1,0))</f>
        <v>0</v>
      </c>
      <c r="AA99" s="26" t="str">
        <f aca="false">IF($Z99=0,"",COUNTIF($Z$5:$Z99,1))</f>
        <v/>
      </c>
    </row>
    <row r="100" customFormat="false" ht="15" hidden="false" customHeight="false" outlineLevel="0" collapsed="false">
      <c r="A100" s="24"/>
      <c r="B100" s="24"/>
      <c r="C100" s="24"/>
      <c r="D100" s="24"/>
      <c r="E100" s="24"/>
      <c r="F100" s="24"/>
      <c r="G100" s="24"/>
      <c r="H100" s="24"/>
      <c r="I100" s="24"/>
      <c r="J100" s="24"/>
      <c r="K100" s="25"/>
      <c r="L100" s="24"/>
      <c r="M100" s="24"/>
      <c r="N100" s="26" t="str">
        <f aca="false">IF($A100="","",IF($L100&lt;&gt;"",$L100,IF(IFERROR(INDEX(RES_LOTSRC,MATCH($A100,RES_LOTEFF,0)),"")=$A100,"",IFERROR(INDEX(RES_LOTSRC,MATCH($A100,RES_LOTEFF,0)),""))))</f>
        <v/>
      </c>
      <c r="O100" s="26" t="str">
        <f aca="false">IF($A100="","",IF($B100&lt;&gt;"",$B100,IF($N100="","",IFERROR(INDEX($B$5:$B$204,MATCH($N100,$A$5:$A$204,0)),""))))</f>
        <v/>
      </c>
      <c r="P100" s="26" t="str">
        <f aca="false">IF($A100="","",IF($C100&lt;&gt;"",$C100,IF($N100="","",IFERROR(INDEX($C$5:$C$204,MATCH($N100,$A$5:$A$204,0)),""))))</f>
        <v/>
      </c>
      <c r="Q100" s="26" t="str">
        <f aca="false">IF($A100="","",IF($D100&lt;&gt;"",$D100,IF($N100="","",IFERROR(INDEX($D$5:$D$204,MATCH($N100,$A$5:$A$204,0)),""))))</f>
        <v/>
      </c>
      <c r="R100" s="26" t="str">
        <f aca="false">IF($A100="","",IF($E100&lt;&gt;"",$E100,IF($N100="","",IFERROR(INDEX($E$5:$E$204,MATCH($N100,$A$5:$A$204,0)),""))))</f>
        <v/>
      </c>
      <c r="S100" s="26" t="str">
        <f aca="false">IF($A100="","",IF($H100&lt;&gt;"",$H100,IF($N100="","",IFERROR(INDEX($H$5:$H$204,MATCH($N100,$A$5:$A$204,0)),""))))</f>
        <v/>
      </c>
      <c r="T100" s="26" t="str">
        <f aca="false">IF($A100="","",IF($F100&lt;&gt;"",$F100,IF($N100="","",IFERROR(INDEX($F$5:$F$204,MATCH($N100,$A$5:$A$204,0)),""))))</f>
        <v/>
      </c>
      <c r="U100" s="27" t="str">
        <f aca="false">IF($A100="","",SUMIFS(MVT_NET,MVT_LOT,$A100))</f>
        <v/>
      </c>
      <c r="V100" s="28" t="str">
        <f aca="false">IF($A100="","",COUNTIFS(MVT_LOT,$A100,MVT_BRUT,"&lt;&gt;0"))</f>
        <v/>
      </c>
      <c r="W100" s="28" t="str">
        <f aca="false">IF($A100="","",COUNTIFS(QC_LOT,$A100))</f>
        <v/>
      </c>
      <c r="X100" s="26" t="str">
        <f aca="false">IF($A100="","",IFERROR(INDEX(QC_DEC,MATCH($A100,QC_CLEDER,0)),""))</f>
        <v/>
      </c>
      <c r="Y100" s="26" t="str">
        <f aca="false">IF($A100="","",IF(COUNTIF($A$5:$A$204,$A100)&gt;1,IF(SUMPRODUCT(($A$5:$A$204=$A100)*(($C$5:$C$204&lt;&gt;$C100)+($D$5:$D$204&lt;&gt;$D100)))&gt;0,"INCOHERENCE","LOT EN DOUBLE"),"OK"))</f>
        <v/>
      </c>
      <c r="Z100" s="28" t="n">
        <f aca="false">IF($A100="",0,IF(AND($O100&lt;&gt;"",$A100&lt;&gt;R_LOT,$O100=IFERROR(INDEX(LOT_EXTE,MATCH(R_LOT,LOT_KEY,0)),"#")),1,0))</f>
        <v>0</v>
      </c>
      <c r="AA100" s="26" t="str">
        <f aca="false">IF($Z100=0,"",COUNTIF($Z$5:$Z100,1))</f>
        <v/>
      </c>
    </row>
    <row r="101" customFormat="false" ht="15" hidden="false" customHeight="false" outlineLevel="0" collapsed="false">
      <c r="A101" s="24"/>
      <c r="B101" s="24"/>
      <c r="C101" s="24"/>
      <c r="D101" s="24"/>
      <c r="E101" s="24"/>
      <c r="F101" s="24"/>
      <c r="G101" s="24"/>
      <c r="H101" s="24"/>
      <c r="I101" s="24"/>
      <c r="J101" s="24"/>
      <c r="K101" s="25"/>
      <c r="L101" s="24"/>
      <c r="M101" s="24"/>
      <c r="N101" s="26" t="str">
        <f aca="false">IF($A101="","",IF($L101&lt;&gt;"",$L101,IF(IFERROR(INDEX(RES_LOTSRC,MATCH($A101,RES_LOTEFF,0)),"")=$A101,"",IFERROR(INDEX(RES_LOTSRC,MATCH($A101,RES_LOTEFF,0)),""))))</f>
        <v/>
      </c>
      <c r="O101" s="26" t="str">
        <f aca="false">IF($A101="","",IF($B101&lt;&gt;"",$B101,IF($N101="","",IFERROR(INDEX($B$5:$B$204,MATCH($N101,$A$5:$A$204,0)),""))))</f>
        <v/>
      </c>
      <c r="P101" s="26" t="str">
        <f aca="false">IF($A101="","",IF($C101&lt;&gt;"",$C101,IF($N101="","",IFERROR(INDEX($C$5:$C$204,MATCH($N101,$A$5:$A$204,0)),""))))</f>
        <v/>
      </c>
      <c r="Q101" s="26" t="str">
        <f aca="false">IF($A101="","",IF($D101&lt;&gt;"",$D101,IF($N101="","",IFERROR(INDEX($D$5:$D$204,MATCH($N101,$A$5:$A$204,0)),""))))</f>
        <v/>
      </c>
      <c r="R101" s="26" t="str">
        <f aca="false">IF($A101="","",IF($E101&lt;&gt;"",$E101,IF($N101="","",IFERROR(INDEX($E$5:$E$204,MATCH($N101,$A$5:$A$204,0)),""))))</f>
        <v/>
      </c>
      <c r="S101" s="26" t="str">
        <f aca="false">IF($A101="","",IF($H101&lt;&gt;"",$H101,IF($N101="","",IFERROR(INDEX($H$5:$H$204,MATCH($N101,$A$5:$A$204,0)),""))))</f>
        <v/>
      </c>
      <c r="T101" s="26" t="str">
        <f aca="false">IF($A101="","",IF($F101&lt;&gt;"",$F101,IF($N101="","",IFERROR(INDEX($F$5:$F$204,MATCH($N101,$A$5:$A$204,0)),""))))</f>
        <v/>
      </c>
      <c r="U101" s="27" t="str">
        <f aca="false">IF($A101="","",SUMIFS(MVT_NET,MVT_LOT,$A101))</f>
        <v/>
      </c>
      <c r="V101" s="28" t="str">
        <f aca="false">IF($A101="","",COUNTIFS(MVT_LOT,$A101,MVT_BRUT,"&lt;&gt;0"))</f>
        <v/>
      </c>
      <c r="W101" s="28" t="str">
        <f aca="false">IF($A101="","",COUNTIFS(QC_LOT,$A101))</f>
        <v/>
      </c>
      <c r="X101" s="26" t="str">
        <f aca="false">IF($A101="","",IFERROR(INDEX(QC_DEC,MATCH($A101,QC_CLEDER,0)),""))</f>
        <v/>
      </c>
      <c r="Y101" s="26" t="str">
        <f aca="false">IF($A101="","",IF(COUNTIF($A$5:$A$204,$A101)&gt;1,IF(SUMPRODUCT(($A$5:$A$204=$A101)*(($C$5:$C$204&lt;&gt;$C101)+($D$5:$D$204&lt;&gt;$D101)))&gt;0,"INCOHERENCE","LOT EN DOUBLE"),"OK"))</f>
        <v/>
      </c>
      <c r="Z101" s="28" t="n">
        <f aca="false">IF($A101="",0,IF(AND($O101&lt;&gt;"",$A101&lt;&gt;R_LOT,$O101=IFERROR(INDEX(LOT_EXTE,MATCH(R_LOT,LOT_KEY,0)),"#")),1,0))</f>
        <v>0</v>
      </c>
      <c r="AA101" s="26" t="str">
        <f aca="false">IF($Z101=0,"",COUNTIF($Z$5:$Z101,1))</f>
        <v/>
      </c>
    </row>
    <row r="102" customFormat="false" ht="15" hidden="false" customHeight="false" outlineLevel="0" collapsed="false">
      <c r="A102" s="24"/>
      <c r="B102" s="24"/>
      <c r="C102" s="24"/>
      <c r="D102" s="24"/>
      <c r="E102" s="24"/>
      <c r="F102" s="24"/>
      <c r="G102" s="24"/>
      <c r="H102" s="24"/>
      <c r="I102" s="24"/>
      <c r="J102" s="24"/>
      <c r="K102" s="25"/>
      <c r="L102" s="24"/>
      <c r="M102" s="24"/>
      <c r="N102" s="26" t="str">
        <f aca="false">IF($A102="","",IF($L102&lt;&gt;"",$L102,IF(IFERROR(INDEX(RES_LOTSRC,MATCH($A102,RES_LOTEFF,0)),"")=$A102,"",IFERROR(INDEX(RES_LOTSRC,MATCH($A102,RES_LOTEFF,0)),""))))</f>
        <v/>
      </c>
      <c r="O102" s="26" t="str">
        <f aca="false">IF($A102="","",IF($B102&lt;&gt;"",$B102,IF($N102="","",IFERROR(INDEX($B$5:$B$204,MATCH($N102,$A$5:$A$204,0)),""))))</f>
        <v/>
      </c>
      <c r="P102" s="26" t="str">
        <f aca="false">IF($A102="","",IF($C102&lt;&gt;"",$C102,IF($N102="","",IFERROR(INDEX($C$5:$C$204,MATCH($N102,$A$5:$A$204,0)),""))))</f>
        <v/>
      </c>
      <c r="Q102" s="26" t="str">
        <f aca="false">IF($A102="","",IF($D102&lt;&gt;"",$D102,IF($N102="","",IFERROR(INDEX($D$5:$D$204,MATCH($N102,$A$5:$A$204,0)),""))))</f>
        <v/>
      </c>
      <c r="R102" s="26" t="str">
        <f aca="false">IF($A102="","",IF($E102&lt;&gt;"",$E102,IF($N102="","",IFERROR(INDEX($E$5:$E$204,MATCH($N102,$A$5:$A$204,0)),""))))</f>
        <v/>
      </c>
      <c r="S102" s="26" t="str">
        <f aca="false">IF($A102="","",IF($H102&lt;&gt;"",$H102,IF($N102="","",IFERROR(INDEX($H$5:$H$204,MATCH($N102,$A$5:$A$204,0)),""))))</f>
        <v/>
      </c>
      <c r="T102" s="26" t="str">
        <f aca="false">IF($A102="","",IF($F102&lt;&gt;"",$F102,IF($N102="","",IFERROR(INDEX($F$5:$F$204,MATCH($N102,$A$5:$A$204,0)),""))))</f>
        <v/>
      </c>
      <c r="U102" s="27" t="str">
        <f aca="false">IF($A102="","",SUMIFS(MVT_NET,MVT_LOT,$A102))</f>
        <v/>
      </c>
      <c r="V102" s="28" t="str">
        <f aca="false">IF($A102="","",COUNTIFS(MVT_LOT,$A102,MVT_BRUT,"&lt;&gt;0"))</f>
        <v/>
      </c>
      <c r="W102" s="28" t="str">
        <f aca="false">IF($A102="","",COUNTIFS(QC_LOT,$A102))</f>
        <v/>
      </c>
      <c r="X102" s="26" t="str">
        <f aca="false">IF($A102="","",IFERROR(INDEX(QC_DEC,MATCH($A102,QC_CLEDER,0)),""))</f>
        <v/>
      </c>
      <c r="Y102" s="26" t="str">
        <f aca="false">IF($A102="","",IF(COUNTIF($A$5:$A$204,$A102)&gt;1,IF(SUMPRODUCT(($A$5:$A$204=$A102)*(($C$5:$C$204&lt;&gt;$C102)+($D$5:$D$204&lt;&gt;$D102)))&gt;0,"INCOHERENCE","LOT EN DOUBLE"),"OK"))</f>
        <v/>
      </c>
      <c r="Z102" s="28" t="n">
        <f aca="false">IF($A102="",0,IF(AND($O102&lt;&gt;"",$A102&lt;&gt;R_LOT,$O102=IFERROR(INDEX(LOT_EXTE,MATCH(R_LOT,LOT_KEY,0)),"#")),1,0))</f>
        <v>0</v>
      </c>
      <c r="AA102" s="26" t="str">
        <f aca="false">IF($Z102=0,"",COUNTIF($Z$5:$Z102,1))</f>
        <v/>
      </c>
    </row>
    <row r="103" customFormat="false" ht="15" hidden="false" customHeight="false" outlineLevel="0" collapsed="false">
      <c r="A103" s="24"/>
      <c r="B103" s="24"/>
      <c r="C103" s="24"/>
      <c r="D103" s="24"/>
      <c r="E103" s="24"/>
      <c r="F103" s="24"/>
      <c r="G103" s="24"/>
      <c r="H103" s="24"/>
      <c r="I103" s="24"/>
      <c r="J103" s="24"/>
      <c r="K103" s="25"/>
      <c r="L103" s="24"/>
      <c r="M103" s="24"/>
      <c r="N103" s="26" t="str">
        <f aca="false">IF($A103="","",IF($L103&lt;&gt;"",$L103,IF(IFERROR(INDEX(RES_LOTSRC,MATCH($A103,RES_LOTEFF,0)),"")=$A103,"",IFERROR(INDEX(RES_LOTSRC,MATCH($A103,RES_LOTEFF,0)),""))))</f>
        <v/>
      </c>
      <c r="O103" s="26" t="str">
        <f aca="false">IF($A103="","",IF($B103&lt;&gt;"",$B103,IF($N103="","",IFERROR(INDEX($B$5:$B$204,MATCH($N103,$A$5:$A$204,0)),""))))</f>
        <v/>
      </c>
      <c r="P103" s="26" t="str">
        <f aca="false">IF($A103="","",IF($C103&lt;&gt;"",$C103,IF($N103="","",IFERROR(INDEX($C$5:$C$204,MATCH($N103,$A$5:$A$204,0)),""))))</f>
        <v/>
      </c>
      <c r="Q103" s="26" t="str">
        <f aca="false">IF($A103="","",IF($D103&lt;&gt;"",$D103,IF($N103="","",IFERROR(INDEX($D$5:$D$204,MATCH($N103,$A$5:$A$204,0)),""))))</f>
        <v/>
      </c>
      <c r="R103" s="26" t="str">
        <f aca="false">IF($A103="","",IF($E103&lt;&gt;"",$E103,IF($N103="","",IFERROR(INDEX($E$5:$E$204,MATCH($N103,$A$5:$A$204,0)),""))))</f>
        <v/>
      </c>
      <c r="S103" s="26" t="str">
        <f aca="false">IF($A103="","",IF($H103&lt;&gt;"",$H103,IF($N103="","",IFERROR(INDEX($H$5:$H$204,MATCH($N103,$A$5:$A$204,0)),""))))</f>
        <v/>
      </c>
      <c r="T103" s="26" t="str">
        <f aca="false">IF($A103="","",IF($F103&lt;&gt;"",$F103,IF($N103="","",IFERROR(INDEX($F$5:$F$204,MATCH($N103,$A$5:$A$204,0)),""))))</f>
        <v/>
      </c>
      <c r="U103" s="27" t="str">
        <f aca="false">IF($A103="","",SUMIFS(MVT_NET,MVT_LOT,$A103))</f>
        <v/>
      </c>
      <c r="V103" s="28" t="str">
        <f aca="false">IF($A103="","",COUNTIFS(MVT_LOT,$A103,MVT_BRUT,"&lt;&gt;0"))</f>
        <v/>
      </c>
      <c r="W103" s="28" t="str">
        <f aca="false">IF($A103="","",COUNTIFS(QC_LOT,$A103))</f>
        <v/>
      </c>
      <c r="X103" s="26" t="str">
        <f aca="false">IF($A103="","",IFERROR(INDEX(QC_DEC,MATCH($A103,QC_CLEDER,0)),""))</f>
        <v/>
      </c>
      <c r="Y103" s="26" t="str">
        <f aca="false">IF($A103="","",IF(COUNTIF($A$5:$A$204,$A103)&gt;1,IF(SUMPRODUCT(($A$5:$A$204=$A103)*(($C$5:$C$204&lt;&gt;$C103)+($D$5:$D$204&lt;&gt;$D103)))&gt;0,"INCOHERENCE","LOT EN DOUBLE"),"OK"))</f>
        <v/>
      </c>
      <c r="Z103" s="28" t="n">
        <f aca="false">IF($A103="",0,IF(AND($O103&lt;&gt;"",$A103&lt;&gt;R_LOT,$O103=IFERROR(INDEX(LOT_EXTE,MATCH(R_LOT,LOT_KEY,0)),"#")),1,0))</f>
        <v>0</v>
      </c>
      <c r="AA103" s="26" t="str">
        <f aca="false">IF($Z103=0,"",COUNTIF($Z$5:$Z103,1))</f>
        <v/>
      </c>
    </row>
    <row r="104" customFormat="false" ht="15" hidden="false" customHeight="false" outlineLevel="0" collapsed="false">
      <c r="A104" s="24"/>
      <c r="B104" s="24"/>
      <c r="C104" s="24"/>
      <c r="D104" s="24"/>
      <c r="E104" s="24"/>
      <c r="F104" s="24"/>
      <c r="G104" s="24"/>
      <c r="H104" s="24"/>
      <c r="I104" s="24"/>
      <c r="J104" s="24"/>
      <c r="K104" s="25"/>
      <c r="L104" s="24"/>
      <c r="M104" s="24"/>
      <c r="N104" s="26" t="str">
        <f aca="false">IF($A104="","",IF($L104&lt;&gt;"",$L104,IF(IFERROR(INDEX(RES_LOTSRC,MATCH($A104,RES_LOTEFF,0)),"")=$A104,"",IFERROR(INDEX(RES_LOTSRC,MATCH($A104,RES_LOTEFF,0)),""))))</f>
        <v/>
      </c>
      <c r="O104" s="26" t="str">
        <f aca="false">IF($A104="","",IF($B104&lt;&gt;"",$B104,IF($N104="","",IFERROR(INDEX($B$5:$B$204,MATCH($N104,$A$5:$A$204,0)),""))))</f>
        <v/>
      </c>
      <c r="P104" s="26" t="str">
        <f aca="false">IF($A104="","",IF($C104&lt;&gt;"",$C104,IF($N104="","",IFERROR(INDEX($C$5:$C$204,MATCH($N104,$A$5:$A$204,0)),""))))</f>
        <v/>
      </c>
      <c r="Q104" s="26" t="str">
        <f aca="false">IF($A104="","",IF($D104&lt;&gt;"",$D104,IF($N104="","",IFERROR(INDEX($D$5:$D$204,MATCH($N104,$A$5:$A$204,0)),""))))</f>
        <v/>
      </c>
      <c r="R104" s="26" t="str">
        <f aca="false">IF($A104="","",IF($E104&lt;&gt;"",$E104,IF($N104="","",IFERROR(INDEX($E$5:$E$204,MATCH($N104,$A$5:$A$204,0)),""))))</f>
        <v/>
      </c>
      <c r="S104" s="26" t="str">
        <f aca="false">IF($A104="","",IF($H104&lt;&gt;"",$H104,IF($N104="","",IFERROR(INDEX($H$5:$H$204,MATCH($N104,$A$5:$A$204,0)),""))))</f>
        <v/>
      </c>
      <c r="T104" s="26" t="str">
        <f aca="false">IF($A104="","",IF($F104&lt;&gt;"",$F104,IF($N104="","",IFERROR(INDEX($F$5:$F$204,MATCH($N104,$A$5:$A$204,0)),""))))</f>
        <v/>
      </c>
      <c r="U104" s="27" t="str">
        <f aca="false">IF($A104="","",SUMIFS(MVT_NET,MVT_LOT,$A104))</f>
        <v/>
      </c>
      <c r="V104" s="28" t="str">
        <f aca="false">IF($A104="","",COUNTIFS(MVT_LOT,$A104,MVT_BRUT,"&lt;&gt;0"))</f>
        <v/>
      </c>
      <c r="W104" s="28" t="str">
        <f aca="false">IF($A104="","",COUNTIFS(QC_LOT,$A104))</f>
        <v/>
      </c>
      <c r="X104" s="26" t="str">
        <f aca="false">IF($A104="","",IFERROR(INDEX(QC_DEC,MATCH($A104,QC_CLEDER,0)),""))</f>
        <v/>
      </c>
      <c r="Y104" s="26" t="str">
        <f aca="false">IF($A104="","",IF(COUNTIF($A$5:$A$204,$A104)&gt;1,IF(SUMPRODUCT(($A$5:$A$204=$A104)*(($C$5:$C$204&lt;&gt;$C104)+($D$5:$D$204&lt;&gt;$D104)))&gt;0,"INCOHERENCE","LOT EN DOUBLE"),"OK"))</f>
        <v/>
      </c>
      <c r="Z104" s="28" t="n">
        <f aca="false">IF($A104="",0,IF(AND($O104&lt;&gt;"",$A104&lt;&gt;R_LOT,$O104=IFERROR(INDEX(LOT_EXTE,MATCH(R_LOT,LOT_KEY,0)),"#")),1,0))</f>
        <v>0</v>
      </c>
      <c r="AA104" s="26" t="str">
        <f aca="false">IF($Z104=0,"",COUNTIF($Z$5:$Z104,1))</f>
        <v/>
      </c>
    </row>
    <row r="105" customFormat="false" ht="15" hidden="false" customHeight="false" outlineLevel="0" collapsed="false">
      <c r="A105" s="24"/>
      <c r="B105" s="24"/>
      <c r="C105" s="24"/>
      <c r="D105" s="24"/>
      <c r="E105" s="24"/>
      <c r="F105" s="24"/>
      <c r="G105" s="24"/>
      <c r="H105" s="24"/>
      <c r="I105" s="24"/>
      <c r="J105" s="24"/>
      <c r="K105" s="25"/>
      <c r="L105" s="24"/>
      <c r="M105" s="24"/>
      <c r="N105" s="26" t="str">
        <f aca="false">IF($A105="","",IF($L105&lt;&gt;"",$L105,IF(IFERROR(INDEX(RES_LOTSRC,MATCH($A105,RES_LOTEFF,0)),"")=$A105,"",IFERROR(INDEX(RES_LOTSRC,MATCH($A105,RES_LOTEFF,0)),""))))</f>
        <v/>
      </c>
      <c r="O105" s="26" t="str">
        <f aca="false">IF($A105="","",IF($B105&lt;&gt;"",$B105,IF($N105="","",IFERROR(INDEX($B$5:$B$204,MATCH($N105,$A$5:$A$204,0)),""))))</f>
        <v/>
      </c>
      <c r="P105" s="26" t="str">
        <f aca="false">IF($A105="","",IF($C105&lt;&gt;"",$C105,IF($N105="","",IFERROR(INDEX($C$5:$C$204,MATCH($N105,$A$5:$A$204,0)),""))))</f>
        <v/>
      </c>
      <c r="Q105" s="26" t="str">
        <f aca="false">IF($A105="","",IF($D105&lt;&gt;"",$D105,IF($N105="","",IFERROR(INDEX($D$5:$D$204,MATCH($N105,$A$5:$A$204,0)),""))))</f>
        <v/>
      </c>
      <c r="R105" s="26" t="str">
        <f aca="false">IF($A105="","",IF($E105&lt;&gt;"",$E105,IF($N105="","",IFERROR(INDEX($E$5:$E$204,MATCH($N105,$A$5:$A$204,0)),""))))</f>
        <v/>
      </c>
      <c r="S105" s="26" t="str">
        <f aca="false">IF($A105="","",IF($H105&lt;&gt;"",$H105,IF($N105="","",IFERROR(INDEX($H$5:$H$204,MATCH($N105,$A$5:$A$204,0)),""))))</f>
        <v/>
      </c>
      <c r="T105" s="26" t="str">
        <f aca="false">IF($A105="","",IF($F105&lt;&gt;"",$F105,IF($N105="","",IFERROR(INDEX($F$5:$F$204,MATCH($N105,$A$5:$A$204,0)),""))))</f>
        <v/>
      </c>
      <c r="U105" s="27" t="str">
        <f aca="false">IF($A105="","",SUMIFS(MVT_NET,MVT_LOT,$A105))</f>
        <v/>
      </c>
      <c r="V105" s="28" t="str">
        <f aca="false">IF($A105="","",COUNTIFS(MVT_LOT,$A105,MVT_BRUT,"&lt;&gt;0"))</f>
        <v/>
      </c>
      <c r="W105" s="28" t="str">
        <f aca="false">IF($A105="","",COUNTIFS(QC_LOT,$A105))</f>
        <v/>
      </c>
      <c r="X105" s="26" t="str">
        <f aca="false">IF($A105="","",IFERROR(INDEX(QC_DEC,MATCH($A105,QC_CLEDER,0)),""))</f>
        <v/>
      </c>
      <c r="Y105" s="26" t="str">
        <f aca="false">IF($A105="","",IF(COUNTIF($A$5:$A$204,$A105)&gt;1,IF(SUMPRODUCT(($A$5:$A$204=$A105)*(($C$5:$C$204&lt;&gt;$C105)+($D$5:$D$204&lt;&gt;$D105)))&gt;0,"INCOHERENCE","LOT EN DOUBLE"),"OK"))</f>
        <v/>
      </c>
      <c r="Z105" s="28" t="n">
        <f aca="false">IF($A105="",0,IF(AND($O105&lt;&gt;"",$A105&lt;&gt;R_LOT,$O105=IFERROR(INDEX(LOT_EXTE,MATCH(R_LOT,LOT_KEY,0)),"#")),1,0))</f>
        <v>0</v>
      </c>
      <c r="AA105" s="26" t="str">
        <f aca="false">IF($Z105=0,"",COUNTIF($Z$5:$Z105,1))</f>
        <v/>
      </c>
    </row>
    <row r="106" customFormat="false" ht="15" hidden="false" customHeight="false" outlineLevel="0" collapsed="false">
      <c r="A106" s="24"/>
      <c r="B106" s="24"/>
      <c r="C106" s="24"/>
      <c r="D106" s="24"/>
      <c r="E106" s="24"/>
      <c r="F106" s="24"/>
      <c r="G106" s="24"/>
      <c r="H106" s="24"/>
      <c r="I106" s="24"/>
      <c r="J106" s="24"/>
      <c r="K106" s="25"/>
      <c r="L106" s="24"/>
      <c r="M106" s="24"/>
      <c r="N106" s="26" t="str">
        <f aca="false">IF($A106="","",IF($L106&lt;&gt;"",$L106,IF(IFERROR(INDEX(RES_LOTSRC,MATCH($A106,RES_LOTEFF,0)),"")=$A106,"",IFERROR(INDEX(RES_LOTSRC,MATCH($A106,RES_LOTEFF,0)),""))))</f>
        <v/>
      </c>
      <c r="O106" s="26" t="str">
        <f aca="false">IF($A106="","",IF($B106&lt;&gt;"",$B106,IF($N106="","",IFERROR(INDEX($B$5:$B$204,MATCH($N106,$A$5:$A$204,0)),""))))</f>
        <v/>
      </c>
      <c r="P106" s="26" t="str">
        <f aca="false">IF($A106="","",IF($C106&lt;&gt;"",$C106,IF($N106="","",IFERROR(INDEX($C$5:$C$204,MATCH($N106,$A$5:$A$204,0)),""))))</f>
        <v/>
      </c>
      <c r="Q106" s="26" t="str">
        <f aca="false">IF($A106="","",IF($D106&lt;&gt;"",$D106,IF($N106="","",IFERROR(INDEX($D$5:$D$204,MATCH($N106,$A$5:$A$204,0)),""))))</f>
        <v/>
      </c>
      <c r="R106" s="26" t="str">
        <f aca="false">IF($A106="","",IF($E106&lt;&gt;"",$E106,IF($N106="","",IFERROR(INDEX($E$5:$E$204,MATCH($N106,$A$5:$A$204,0)),""))))</f>
        <v/>
      </c>
      <c r="S106" s="26" t="str">
        <f aca="false">IF($A106="","",IF($H106&lt;&gt;"",$H106,IF($N106="","",IFERROR(INDEX($H$5:$H$204,MATCH($N106,$A$5:$A$204,0)),""))))</f>
        <v/>
      </c>
      <c r="T106" s="26" t="str">
        <f aca="false">IF($A106="","",IF($F106&lt;&gt;"",$F106,IF($N106="","",IFERROR(INDEX($F$5:$F$204,MATCH($N106,$A$5:$A$204,0)),""))))</f>
        <v/>
      </c>
      <c r="U106" s="27" t="str">
        <f aca="false">IF($A106="","",SUMIFS(MVT_NET,MVT_LOT,$A106))</f>
        <v/>
      </c>
      <c r="V106" s="28" t="str">
        <f aca="false">IF($A106="","",COUNTIFS(MVT_LOT,$A106,MVT_BRUT,"&lt;&gt;0"))</f>
        <v/>
      </c>
      <c r="W106" s="28" t="str">
        <f aca="false">IF($A106="","",COUNTIFS(QC_LOT,$A106))</f>
        <v/>
      </c>
      <c r="X106" s="26" t="str">
        <f aca="false">IF($A106="","",IFERROR(INDEX(QC_DEC,MATCH($A106,QC_CLEDER,0)),""))</f>
        <v/>
      </c>
      <c r="Y106" s="26" t="str">
        <f aca="false">IF($A106="","",IF(COUNTIF($A$5:$A$204,$A106)&gt;1,IF(SUMPRODUCT(($A$5:$A$204=$A106)*(($C$5:$C$204&lt;&gt;$C106)+($D$5:$D$204&lt;&gt;$D106)))&gt;0,"INCOHERENCE","LOT EN DOUBLE"),"OK"))</f>
        <v/>
      </c>
      <c r="Z106" s="28" t="n">
        <f aca="false">IF($A106="",0,IF(AND($O106&lt;&gt;"",$A106&lt;&gt;R_LOT,$O106=IFERROR(INDEX(LOT_EXTE,MATCH(R_LOT,LOT_KEY,0)),"#")),1,0))</f>
        <v>0</v>
      </c>
      <c r="AA106" s="26" t="str">
        <f aca="false">IF($Z106=0,"",COUNTIF($Z$5:$Z106,1))</f>
        <v/>
      </c>
    </row>
    <row r="107" customFormat="false" ht="15" hidden="false" customHeight="false" outlineLevel="0" collapsed="false">
      <c r="A107" s="24"/>
      <c r="B107" s="24"/>
      <c r="C107" s="24"/>
      <c r="D107" s="24"/>
      <c r="E107" s="24"/>
      <c r="F107" s="24"/>
      <c r="G107" s="24"/>
      <c r="H107" s="24"/>
      <c r="I107" s="24"/>
      <c r="J107" s="24"/>
      <c r="K107" s="25"/>
      <c r="L107" s="24"/>
      <c r="M107" s="24"/>
      <c r="N107" s="26" t="str">
        <f aca="false">IF($A107="","",IF($L107&lt;&gt;"",$L107,IF(IFERROR(INDEX(RES_LOTSRC,MATCH($A107,RES_LOTEFF,0)),"")=$A107,"",IFERROR(INDEX(RES_LOTSRC,MATCH($A107,RES_LOTEFF,0)),""))))</f>
        <v/>
      </c>
      <c r="O107" s="26" t="str">
        <f aca="false">IF($A107="","",IF($B107&lt;&gt;"",$B107,IF($N107="","",IFERROR(INDEX($B$5:$B$204,MATCH($N107,$A$5:$A$204,0)),""))))</f>
        <v/>
      </c>
      <c r="P107" s="26" t="str">
        <f aca="false">IF($A107="","",IF($C107&lt;&gt;"",$C107,IF($N107="","",IFERROR(INDEX($C$5:$C$204,MATCH($N107,$A$5:$A$204,0)),""))))</f>
        <v/>
      </c>
      <c r="Q107" s="26" t="str">
        <f aca="false">IF($A107="","",IF($D107&lt;&gt;"",$D107,IF($N107="","",IFERROR(INDEX($D$5:$D$204,MATCH($N107,$A$5:$A$204,0)),""))))</f>
        <v/>
      </c>
      <c r="R107" s="26" t="str">
        <f aca="false">IF($A107="","",IF($E107&lt;&gt;"",$E107,IF($N107="","",IFERROR(INDEX($E$5:$E$204,MATCH($N107,$A$5:$A$204,0)),""))))</f>
        <v/>
      </c>
      <c r="S107" s="26" t="str">
        <f aca="false">IF($A107="","",IF($H107&lt;&gt;"",$H107,IF($N107="","",IFERROR(INDEX($H$5:$H$204,MATCH($N107,$A$5:$A$204,0)),""))))</f>
        <v/>
      </c>
      <c r="T107" s="26" t="str">
        <f aca="false">IF($A107="","",IF($F107&lt;&gt;"",$F107,IF($N107="","",IFERROR(INDEX($F$5:$F$204,MATCH($N107,$A$5:$A$204,0)),""))))</f>
        <v/>
      </c>
      <c r="U107" s="27" t="str">
        <f aca="false">IF($A107="","",SUMIFS(MVT_NET,MVT_LOT,$A107))</f>
        <v/>
      </c>
      <c r="V107" s="28" t="str">
        <f aca="false">IF($A107="","",COUNTIFS(MVT_LOT,$A107,MVT_BRUT,"&lt;&gt;0"))</f>
        <v/>
      </c>
      <c r="W107" s="28" t="str">
        <f aca="false">IF($A107="","",COUNTIFS(QC_LOT,$A107))</f>
        <v/>
      </c>
      <c r="X107" s="26" t="str">
        <f aca="false">IF($A107="","",IFERROR(INDEX(QC_DEC,MATCH($A107,QC_CLEDER,0)),""))</f>
        <v/>
      </c>
      <c r="Y107" s="26" t="str">
        <f aca="false">IF($A107="","",IF(COUNTIF($A$5:$A$204,$A107)&gt;1,IF(SUMPRODUCT(($A$5:$A$204=$A107)*(($C$5:$C$204&lt;&gt;$C107)+($D$5:$D$204&lt;&gt;$D107)))&gt;0,"INCOHERENCE","LOT EN DOUBLE"),"OK"))</f>
        <v/>
      </c>
      <c r="Z107" s="28" t="n">
        <f aca="false">IF($A107="",0,IF(AND($O107&lt;&gt;"",$A107&lt;&gt;R_LOT,$O107=IFERROR(INDEX(LOT_EXTE,MATCH(R_LOT,LOT_KEY,0)),"#")),1,0))</f>
        <v>0</v>
      </c>
      <c r="AA107" s="26" t="str">
        <f aca="false">IF($Z107=0,"",COUNTIF($Z$5:$Z107,1))</f>
        <v/>
      </c>
    </row>
    <row r="108" customFormat="false" ht="15" hidden="false" customHeight="false" outlineLevel="0" collapsed="false">
      <c r="A108" s="24"/>
      <c r="B108" s="24"/>
      <c r="C108" s="24"/>
      <c r="D108" s="24"/>
      <c r="E108" s="24"/>
      <c r="F108" s="24"/>
      <c r="G108" s="24"/>
      <c r="H108" s="24"/>
      <c r="I108" s="24"/>
      <c r="J108" s="24"/>
      <c r="K108" s="25"/>
      <c r="L108" s="24"/>
      <c r="M108" s="24"/>
      <c r="N108" s="26" t="str">
        <f aca="false">IF($A108="","",IF($L108&lt;&gt;"",$L108,IF(IFERROR(INDEX(RES_LOTSRC,MATCH($A108,RES_LOTEFF,0)),"")=$A108,"",IFERROR(INDEX(RES_LOTSRC,MATCH($A108,RES_LOTEFF,0)),""))))</f>
        <v/>
      </c>
      <c r="O108" s="26" t="str">
        <f aca="false">IF($A108="","",IF($B108&lt;&gt;"",$B108,IF($N108="","",IFERROR(INDEX($B$5:$B$204,MATCH($N108,$A$5:$A$204,0)),""))))</f>
        <v/>
      </c>
      <c r="P108" s="26" t="str">
        <f aca="false">IF($A108="","",IF($C108&lt;&gt;"",$C108,IF($N108="","",IFERROR(INDEX($C$5:$C$204,MATCH($N108,$A$5:$A$204,0)),""))))</f>
        <v/>
      </c>
      <c r="Q108" s="26" t="str">
        <f aca="false">IF($A108="","",IF($D108&lt;&gt;"",$D108,IF($N108="","",IFERROR(INDEX($D$5:$D$204,MATCH($N108,$A$5:$A$204,0)),""))))</f>
        <v/>
      </c>
      <c r="R108" s="26" t="str">
        <f aca="false">IF($A108="","",IF($E108&lt;&gt;"",$E108,IF($N108="","",IFERROR(INDEX($E$5:$E$204,MATCH($N108,$A$5:$A$204,0)),""))))</f>
        <v/>
      </c>
      <c r="S108" s="26" t="str">
        <f aca="false">IF($A108="","",IF($H108&lt;&gt;"",$H108,IF($N108="","",IFERROR(INDEX($H$5:$H$204,MATCH($N108,$A$5:$A$204,0)),""))))</f>
        <v/>
      </c>
      <c r="T108" s="26" t="str">
        <f aca="false">IF($A108="","",IF($F108&lt;&gt;"",$F108,IF($N108="","",IFERROR(INDEX($F$5:$F$204,MATCH($N108,$A$5:$A$204,0)),""))))</f>
        <v/>
      </c>
      <c r="U108" s="27" t="str">
        <f aca="false">IF($A108="","",SUMIFS(MVT_NET,MVT_LOT,$A108))</f>
        <v/>
      </c>
      <c r="V108" s="28" t="str">
        <f aca="false">IF($A108="","",COUNTIFS(MVT_LOT,$A108,MVT_BRUT,"&lt;&gt;0"))</f>
        <v/>
      </c>
      <c r="W108" s="28" t="str">
        <f aca="false">IF($A108="","",COUNTIFS(QC_LOT,$A108))</f>
        <v/>
      </c>
      <c r="X108" s="26" t="str">
        <f aca="false">IF($A108="","",IFERROR(INDEX(QC_DEC,MATCH($A108,QC_CLEDER,0)),""))</f>
        <v/>
      </c>
      <c r="Y108" s="26" t="str">
        <f aca="false">IF($A108="","",IF(COUNTIF($A$5:$A$204,$A108)&gt;1,IF(SUMPRODUCT(($A$5:$A$204=$A108)*(($C$5:$C$204&lt;&gt;$C108)+($D$5:$D$204&lt;&gt;$D108)))&gt;0,"INCOHERENCE","LOT EN DOUBLE"),"OK"))</f>
        <v/>
      </c>
      <c r="Z108" s="28" t="n">
        <f aca="false">IF($A108="",0,IF(AND($O108&lt;&gt;"",$A108&lt;&gt;R_LOT,$O108=IFERROR(INDEX(LOT_EXTE,MATCH(R_LOT,LOT_KEY,0)),"#")),1,0))</f>
        <v>0</v>
      </c>
      <c r="AA108" s="26" t="str">
        <f aca="false">IF($Z108=0,"",COUNTIF($Z$5:$Z108,1))</f>
        <v/>
      </c>
    </row>
    <row r="109" customFormat="false" ht="15" hidden="false" customHeight="false" outlineLevel="0" collapsed="false">
      <c r="A109" s="24"/>
      <c r="B109" s="24"/>
      <c r="C109" s="24"/>
      <c r="D109" s="24"/>
      <c r="E109" s="24"/>
      <c r="F109" s="24"/>
      <c r="G109" s="24"/>
      <c r="H109" s="24"/>
      <c r="I109" s="24"/>
      <c r="J109" s="24"/>
      <c r="K109" s="25"/>
      <c r="L109" s="24"/>
      <c r="M109" s="24"/>
      <c r="N109" s="26" t="str">
        <f aca="false">IF($A109="","",IF($L109&lt;&gt;"",$L109,IF(IFERROR(INDEX(RES_LOTSRC,MATCH($A109,RES_LOTEFF,0)),"")=$A109,"",IFERROR(INDEX(RES_LOTSRC,MATCH($A109,RES_LOTEFF,0)),""))))</f>
        <v/>
      </c>
      <c r="O109" s="26" t="str">
        <f aca="false">IF($A109="","",IF($B109&lt;&gt;"",$B109,IF($N109="","",IFERROR(INDEX($B$5:$B$204,MATCH($N109,$A$5:$A$204,0)),""))))</f>
        <v/>
      </c>
      <c r="P109" s="26" t="str">
        <f aca="false">IF($A109="","",IF($C109&lt;&gt;"",$C109,IF($N109="","",IFERROR(INDEX($C$5:$C$204,MATCH($N109,$A$5:$A$204,0)),""))))</f>
        <v/>
      </c>
      <c r="Q109" s="26" t="str">
        <f aca="false">IF($A109="","",IF($D109&lt;&gt;"",$D109,IF($N109="","",IFERROR(INDEX($D$5:$D$204,MATCH($N109,$A$5:$A$204,0)),""))))</f>
        <v/>
      </c>
      <c r="R109" s="26" t="str">
        <f aca="false">IF($A109="","",IF($E109&lt;&gt;"",$E109,IF($N109="","",IFERROR(INDEX($E$5:$E$204,MATCH($N109,$A$5:$A$204,0)),""))))</f>
        <v/>
      </c>
      <c r="S109" s="26" t="str">
        <f aca="false">IF($A109="","",IF($H109&lt;&gt;"",$H109,IF($N109="","",IFERROR(INDEX($H$5:$H$204,MATCH($N109,$A$5:$A$204,0)),""))))</f>
        <v/>
      </c>
      <c r="T109" s="26" t="str">
        <f aca="false">IF($A109="","",IF($F109&lt;&gt;"",$F109,IF($N109="","",IFERROR(INDEX($F$5:$F$204,MATCH($N109,$A$5:$A$204,0)),""))))</f>
        <v/>
      </c>
      <c r="U109" s="27" t="str">
        <f aca="false">IF($A109="","",SUMIFS(MVT_NET,MVT_LOT,$A109))</f>
        <v/>
      </c>
      <c r="V109" s="28" t="str">
        <f aca="false">IF($A109="","",COUNTIFS(MVT_LOT,$A109,MVT_BRUT,"&lt;&gt;0"))</f>
        <v/>
      </c>
      <c r="W109" s="28" t="str">
        <f aca="false">IF($A109="","",COUNTIFS(QC_LOT,$A109))</f>
        <v/>
      </c>
      <c r="X109" s="26" t="str">
        <f aca="false">IF($A109="","",IFERROR(INDEX(QC_DEC,MATCH($A109,QC_CLEDER,0)),""))</f>
        <v/>
      </c>
      <c r="Y109" s="26" t="str">
        <f aca="false">IF($A109="","",IF(COUNTIF($A$5:$A$204,$A109)&gt;1,IF(SUMPRODUCT(($A$5:$A$204=$A109)*(($C$5:$C$204&lt;&gt;$C109)+($D$5:$D$204&lt;&gt;$D109)))&gt;0,"INCOHERENCE","LOT EN DOUBLE"),"OK"))</f>
        <v/>
      </c>
      <c r="Z109" s="28" t="n">
        <f aca="false">IF($A109="",0,IF(AND($O109&lt;&gt;"",$A109&lt;&gt;R_LOT,$O109=IFERROR(INDEX(LOT_EXTE,MATCH(R_LOT,LOT_KEY,0)),"#")),1,0))</f>
        <v>0</v>
      </c>
      <c r="AA109" s="26" t="str">
        <f aca="false">IF($Z109=0,"",COUNTIF($Z$5:$Z109,1))</f>
        <v/>
      </c>
    </row>
    <row r="110" customFormat="false" ht="15" hidden="false" customHeight="false" outlineLevel="0" collapsed="false">
      <c r="A110" s="24"/>
      <c r="B110" s="24"/>
      <c r="C110" s="24"/>
      <c r="D110" s="24"/>
      <c r="E110" s="24"/>
      <c r="F110" s="24"/>
      <c r="G110" s="24"/>
      <c r="H110" s="24"/>
      <c r="I110" s="24"/>
      <c r="J110" s="24"/>
      <c r="K110" s="25"/>
      <c r="L110" s="24"/>
      <c r="M110" s="24"/>
      <c r="N110" s="26" t="str">
        <f aca="false">IF($A110="","",IF($L110&lt;&gt;"",$L110,IF(IFERROR(INDEX(RES_LOTSRC,MATCH($A110,RES_LOTEFF,0)),"")=$A110,"",IFERROR(INDEX(RES_LOTSRC,MATCH($A110,RES_LOTEFF,0)),""))))</f>
        <v/>
      </c>
      <c r="O110" s="26" t="str">
        <f aca="false">IF($A110="","",IF($B110&lt;&gt;"",$B110,IF($N110="","",IFERROR(INDEX($B$5:$B$204,MATCH($N110,$A$5:$A$204,0)),""))))</f>
        <v/>
      </c>
      <c r="P110" s="26" t="str">
        <f aca="false">IF($A110="","",IF($C110&lt;&gt;"",$C110,IF($N110="","",IFERROR(INDEX($C$5:$C$204,MATCH($N110,$A$5:$A$204,0)),""))))</f>
        <v/>
      </c>
      <c r="Q110" s="26" t="str">
        <f aca="false">IF($A110="","",IF($D110&lt;&gt;"",$D110,IF($N110="","",IFERROR(INDEX($D$5:$D$204,MATCH($N110,$A$5:$A$204,0)),""))))</f>
        <v/>
      </c>
      <c r="R110" s="26" t="str">
        <f aca="false">IF($A110="","",IF($E110&lt;&gt;"",$E110,IF($N110="","",IFERROR(INDEX($E$5:$E$204,MATCH($N110,$A$5:$A$204,0)),""))))</f>
        <v/>
      </c>
      <c r="S110" s="26" t="str">
        <f aca="false">IF($A110="","",IF($H110&lt;&gt;"",$H110,IF($N110="","",IFERROR(INDEX($H$5:$H$204,MATCH($N110,$A$5:$A$204,0)),""))))</f>
        <v/>
      </c>
      <c r="T110" s="26" t="str">
        <f aca="false">IF($A110="","",IF($F110&lt;&gt;"",$F110,IF($N110="","",IFERROR(INDEX($F$5:$F$204,MATCH($N110,$A$5:$A$204,0)),""))))</f>
        <v/>
      </c>
      <c r="U110" s="27" t="str">
        <f aca="false">IF($A110="","",SUMIFS(MVT_NET,MVT_LOT,$A110))</f>
        <v/>
      </c>
      <c r="V110" s="28" t="str">
        <f aca="false">IF($A110="","",COUNTIFS(MVT_LOT,$A110,MVT_BRUT,"&lt;&gt;0"))</f>
        <v/>
      </c>
      <c r="W110" s="28" t="str">
        <f aca="false">IF($A110="","",COUNTIFS(QC_LOT,$A110))</f>
        <v/>
      </c>
      <c r="X110" s="26" t="str">
        <f aca="false">IF($A110="","",IFERROR(INDEX(QC_DEC,MATCH($A110,QC_CLEDER,0)),""))</f>
        <v/>
      </c>
      <c r="Y110" s="26" t="str">
        <f aca="false">IF($A110="","",IF(COUNTIF($A$5:$A$204,$A110)&gt;1,IF(SUMPRODUCT(($A$5:$A$204=$A110)*(($C$5:$C$204&lt;&gt;$C110)+($D$5:$D$204&lt;&gt;$D110)))&gt;0,"INCOHERENCE","LOT EN DOUBLE"),"OK"))</f>
        <v/>
      </c>
      <c r="Z110" s="28" t="n">
        <f aca="false">IF($A110="",0,IF(AND($O110&lt;&gt;"",$A110&lt;&gt;R_LOT,$O110=IFERROR(INDEX(LOT_EXTE,MATCH(R_LOT,LOT_KEY,0)),"#")),1,0))</f>
        <v>0</v>
      </c>
      <c r="AA110" s="26" t="str">
        <f aca="false">IF($Z110=0,"",COUNTIF($Z$5:$Z110,1))</f>
        <v/>
      </c>
    </row>
    <row r="111" customFormat="false" ht="15" hidden="false" customHeight="false" outlineLevel="0" collapsed="false">
      <c r="A111" s="24"/>
      <c r="B111" s="24"/>
      <c r="C111" s="24"/>
      <c r="D111" s="24"/>
      <c r="E111" s="24"/>
      <c r="F111" s="24"/>
      <c r="G111" s="24"/>
      <c r="H111" s="24"/>
      <c r="I111" s="24"/>
      <c r="J111" s="24"/>
      <c r="K111" s="25"/>
      <c r="L111" s="24"/>
      <c r="M111" s="24"/>
      <c r="N111" s="26" t="str">
        <f aca="false">IF($A111="","",IF($L111&lt;&gt;"",$L111,IF(IFERROR(INDEX(RES_LOTSRC,MATCH($A111,RES_LOTEFF,0)),"")=$A111,"",IFERROR(INDEX(RES_LOTSRC,MATCH($A111,RES_LOTEFF,0)),""))))</f>
        <v/>
      </c>
      <c r="O111" s="26" t="str">
        <f aca="false">IF($A111="","",IF($B111&lt;&gt;"",$B111,IF($N111="","",IFERROR(INDEX($B$5:$B$204,MATCH($N111,$A$5:$A$204,0)),""))))</f>
        <v/>
      </c>
      <c r="P111" s="26" t="str">
        <f aca="false">IF($A111="","",IF($C111&lt;&gt;"",$C111,IF($N111="","",IFERROR(INDEX($C$5:$C$204,MATCH($N111,$A$5:$A$204,0)),""))))</f>
        <v/>
      </c>
      <c r="Q111" s="26" t="str">
        <f aca="false">IF($A111="","",IF($D111&lt;&gt;"",$D111,IF($N111="","",IFERROR(INDEX($D$5:$D$204,MATCH($N111,$A$5:$A$204,0)),""))))</f>
        <v/>
      </c>
      <c r="R111" s="26" t="str">
        <f aca="false">IF($A111="","",IF($E111&lt;&gt;"",$E111,IF($N111="","",IFERROR(INDEX($E$5:$E$204,MATCH($N111,$A$5:$A$204,0)),""))))</f>
        <v/>
      </c>
      <c r="S111" s="26" t="str">
        <f aca="false">IF($A111="","",IF($H111&lt;&gt;"",$H111,IF($N111="","",IFERROR(INDEX($H$5:$H$204,MATCH($N111,$A$5:$A$204,0)),""))))</f>
        <v/>
      </c>
      <c r="T111" s="26" t="str">
        <f aca="false">IF($A111="","",IF($F111&lt;&gt;"",$F111,IF($N111="","",IFERROR(INDEX($F$5:$F$204,MATCH($N111,$A$5:$A$204,0)),""))))</f>
        <v/>
      </c>
      <c r="U111" s="27" t="str">
        <f aca="false">IF($A111="","",SUMIFS(MVT_NET,MVT_LOT,$A111))</f>
        <v/>
      </c>
      <c r="V111" s="28" t="str">
        <f aca="false">IF($A111="","",COUNTIFS(MVT_LOT,$A111,MVT_BRUT,"&lt;&gt;0"))</f>
        <v/>
      </c>
      <c r="W111" s="28" t="str">
        <f aca="false">IF($A111="","",COUNTIFS(QC_LOT,$A111))</f>
        <v/>
      </c>
      <c r="X111" s="26" t="str">
        <f aca="false">IF($A111="","",IFERROR(INDEX(QC_DEC,MATCH($A111,QC_CLEDER,0)),""))</f>
        <v/>
      </c>
      <c r="Y111" s="26" t="str">
        <f aca="false">IF($A111="","",IF(COUNTIF($A$5:$A$204,$A111)&gt;1,IF(SUMPRODUCT(($A$5:$A$204=$A111)*(($C$5:$C$204&lt;&gt;$C111)+($D$5:$D$204&lt;&gt;$D111)))&gt;0,"INCOHERENCE","LOT EN DOUBLE"),"OK"))</f>
        <v/>
      </c>
      <c r="Z111" s="28" t="n">
        <f aca="false">IF($A111="",0,IF(AND($O111&lt;&gt;"",$A111&lt;&gt;R_LOT,$O111=IFERROR(INDEX(LOT_EXTE,MATCH(R_LOT,LOT_KEY,0)),"#")),1,0))</f>
        <v>0</v>
      </c>
      <c r="AA111" s="26" t="str">
        <f aca="false">IF($Z111=0,"",COUNTIF($Z$5:$Z111,1))</f>
        <v/>
      </c>
    </row>
    <row r="112" customFormat="false" ht="15" hidden="false" customHeight="false" outlineLevel="0" collapsed="false">
      <c r="A112" s="24"/>
      <c r="B112" s="24"/>
      <c r="C112" s="24"/>
      <c r="D112" s="24"/>
      <c r="E112" s="24"/>
      <c r="F112" s="24"/>
      <c r="G112" s="24"/>
      <c r="H112" s="24"/>
      <c r="I112" s="24"/>
      <c r="J112" s="24"/>
      <c r="K112" s="25"/>
      <c r="L112" s="24"/>
      <c r="M112" s="24"/>
      <c r="N112" s="26" t="str">
        <f aca="false">IF($A112="","",IF($L112&lt;&gt;"",$L112,IF(IFERROR(INDEX(RES_LOTSRC,MATCH($A112,RES_LOTEFF,0)),"")=$A112,"",IFERROR(INDEX(RES_LOTSRC,MATCH($A112,RES_LOTEFF,0)),""))))</f>
        <v/>
      </c>
      <c r="O112" s="26" t="str">
        <f aca="false">IF($A112="","",IF($B112&lt;&gt;"",$B112,IF($N112="","",IFERROR(INDEX($B$5:$B$204,MATCH($N112,$A$5:$A$204,0)),""))))</f>
        <v/>
      </c>
      <c r="P112" s="26" t="str">
        <f aca="false">IF($A112="","",IF($C112&lt;&gt;"",$C112,IF($N112="","",IFERROR(INDEX($C$5:$C$204,MATCH($N112,$A$5:$A$204,0)),""))))</f>
        <v/>
      </c>
      <c r="Q112" s="26" t="str">
        <f aca="false">IF($A112="","",IF($D112&lt;&gt;"",$D112,IF($N112="","",IFERROR(INDEX($D$5:$D$204,MATCH($N112,$A$5:$A$204,0)),""))))</f>
        <v/>
      </c>
      <c r="R112" s="26" t="str">
        <f aca="false">IF($A112="","",IF($E112&lt;&gt;"",$E112,IF($N112="","",IFERROR(INDEX($E$5:$E$204,MATCH($N112,$A$5:$A$204,0)),""))))</f>
        <v/>
      </c>
      <c r="S112" s="26" t="str">
        <f aca="false">IF($A112="","",IF($H112&lt;&gt;"",$H112,IF($N112="","",IFERROR(INDEX($H$5:$H$204,MATCH($N112,$A$5:$A$204,0)),""))))</f>
        <v/>
      </c>
      <c r="T112" s="26" t="str">
        <f aca="false">IF($A112="","",IF($F112&lt;&gt;"",$F112,IF($N112="","",IFERROR(INDEX($F$5:$F$204,MATCH($N112,$A$5:$A$204,0)),""))))</f>
        <v/>
      </c>
      <c r="U112" s="27" t="str">
        <f aca="false">IF($A112="","",SUMIFS(MVT_NET,MVT_LOT,$A112))</f>
        <v/>
      </c>
      <c r="V112" s="28" t="str">
        <f aca="false">IF($A112="","",COUNTIFS(MVT_LOT,$A112,MVT_BRUT,"&lt;&gt;0"))</f>
        <v/>
      </c>
      <c r="W112" s="28" t="str">
        <f aca="false">IF($A112="","",COUNTIFS(QC_LOT,$A112))</f>
        <v/>
      </c>
      <c r="X112" s="26" t="str">
        <f aca="false">IF($A112="","",IFERROR(INDEX(QC_DEC,MATCH($A112,QC_CLEDER,0)),""))</f>
        <v/>
      </c>
      <c r="Y112" s="26" t="str">
        <f aca="false">IF($A112="","",IF(COUNTIF($A$5:$A$204,$A112)&gt;1,IF(SUMPRODUCT(($A$5:$A$204=$A112)*(($C$5:$C$204&lt;&gt;$C112)+($D$5:$D$204&lt;&gt;$D112)))&gt;0,"INCOHERENCE","LOT EN DOUBLE"),"OK"))</f>
        <v/>
      </c>
      <c r="Z112" s="28" t="n">
        <f aca="false">IF($A112="",0,IF(AND($O112&lt;&gt;"",$A112&lt;&gt;R_LOT,$O112=IFERROR(INDEX(LOT_EXTE,MATCH(R_LOT,LOT_KEY,0)),"#")),1,0))</f>
        <v>0</v>
      </c>
      <c r="AA112" s="26" t="str">
        <f aca="false">IF($Z112=0,"",COUNTIF($Z$5:$Z112,1))</f>
        <v/>
      </c>
    </row>
    <row r="113" customFormat="false" ht="15" hidden="false" customHeight="false" outlineLevel="0" collapsed="false">
      <c r="A113" s="24"/>
      <c r="B113" s="24"/>
      <c r="C113" s="24"/>
      <c r="D113" s="24"/>
      <c r="E113" s="24"/>
      <c r="F113" s="24"/>
      <c r="G113" s="24"/>
      <c r="H113" s="24"/>
      <c r="I113" s="24"/>
      <c r="J113" s="24"/>
      <c r="K113" s="25"/>
      <c r="L113" s="24"/>
      <c r="M113" s="24"/>
      <c r="N113" s="26" t="str">
        <f aca="false">IF($A113="","",IF($L113&lt;&gt;"",$L113,IF(IFERROR(INDEX(RES_LOTSRC,MATCH($A113,RES_LOTEFF,0)),"")=$A113,"",IFERROR(INDEX(RES_LOTSRC,MATCH($A113,RES_LOTEFF,0)),""))))</f>
        <v/>
      </c>
      <c r="O113" s="26" t="str">
        <f aca="false">IF($A113="","",IF($B113&lt;&gt;"",$B113,IF($N113="","",IFERROR(INDEX($B$5:$B$204,MATCH($N113,$A$5:$A$204,0)),""))))</f>
        <v/>
      </c>
      <c r="P113" s="26" t="str">
        <f aca="false">IF($A113="","",IF($C113&lt;&gt;"",$C113,IF($N113="","",IFERROR(INDEX($C$5:$C$204,MATCH($N113,$A$5:$A$204,0)),""))))</f>
        <v/>
      </c>
      <c r="Q113" s="26" t="str">
        <f aca="false">IF($A113="","",IF($D113&lt;&gt;"",$D113,IF($N113="","",IFERROR(INDEX($D$5:$D$204,MATCH($N113,$A$5:$A$204,0)),""))))</f>
        <v/>
      </c>
      <c r="R113" s="26" t="str">
        <f aca="false">IF($A113="","",IF($E113&lt;&gt;"",$E113,IF($N113="","",IFERROR(INDEX($E$5:$E$204,MATCH($N113,$A$5:$A$204,0)),""))))</f>
        <v/>
      </c>
      <c r="S113" s="26" t="str">
        <f aca="false">IF($A113="","",IF($H113&lt;&gt;"",$H113,IF($N113="","",IFERROR(INDEX($H$5:$H$204,MATCH($N113,$A$5:$A$204,0)),""))))</f>
        <v/>
      </c>
      <c r="T113" s="26" t="str">
        <f aca="false">IF($A113="","",IF($F113&lt;&gt;"",$F113,IF($N113="","",IFERROR(INDEX($F$5:$F$204,MATCH($N113,$A$5:$A$204,0)),""))))</f>
        <v/>
      </c>
      <c r="U113" s="27" t="str">
        <f aca="false">IF($A113="","",SUMIFS(MVT_NET,MVT_LOT,$A113))</f>
        <v/>
      </c>
      <c r="V113" s="28" t="str">
        <f aca="false">IF($A113="","",COUNTIFS(MVT_LOT,$A113,MVT_BRUT,"&lt;&gt;0"))</f>
        <v/>
      </c>
      <c r="W113" s="28" t="str">
        <f aca="false">IF($A113="","",COUNTIFS(QC_LOT,$A113))</f>
        <v/>
      </c>
      <c r="X113" s="26" t="str">
        <f aca="false">IF($A113="","",IFERROR(INDEX(QC_DEC,MATCH($A113,QC_CLEDER,0)),""))</f>
        <v/>
      </c>
      <c r="Y113" s="26" t="str">
        <f aca="false">IF($A113="","",IF(COUNTIF($A$5:$A$204,$A113)&gt;1,IF(SUMPRODUCT(($A$5:$A$204=$A113)*(($C$5:$C$204&lt;&gt;$C113)+($D$5:$D$204&lt;&gt;$D113)))&gt;0,"INCOHERENCE","LOT EN DOUBLE"),"OK"))</f>
        <v/>
      </c>
      <c r="Z113" s="28" t="n">
        <f aca="false">IF($A113="",0,IF(AND($O113&lt;&gt;"",$A113&lt;&gt;R_LOT,$O113=IFERROR(INDEX(LOT_EXTE,MATCH(R_LOT,LOT_KEY,0)),"#")),1,0))</f>
        <v>0</v>
      </c>
      <c r="AA113" s="26" t="str">
        <f aca="false">IF($Z113=0,"",COUNTIF($Z$5:$Z113,1))</f>
        <v/>
      </c>
    </row>
    <row r="114" customFormat="false" ht="15" hidden="false" customHeight="false" outlineLevel="0" collapsed="false">
      <c r="A114" s="24"/>
      <c r="B114" s="24"/>
      <c r="C114" s="24"/>
      <c r="D114" s="24"/>
      <c r="E114" s="24"/>
      <c r="F114" s="24"/>
      <c r="G114" s="24"/>
      <c r="H114" s="24"/>
      <c r="I114" s="24"/>
      <c r="J114" s="24"/>
      <c r="K114" s="25"/>
      <c r="L114" s="24"/>
      <c r="M114" s="24"/>
      <c r="N114" s="26" t="str">
        <f aca="false">IF($A114="","",IF($L114&lt;&gt;"",$L114,IF(IFERROR(INDEX(RES_LOTSRC,MATCH($A114,RES_LOTEFF,0)),"")=$A114,"",IFERROR(INDEX(RES_LOTSRC,MATCH($A114,RES_LOTEFF,0)),""))))</f>
        <v/>
      </c>
      <c r="O114" s="26" t="str">
        <f aca="false">IF($A114="","",IF($B114&lt;&gt;"",$B114,IF($N114="","",IFERROR(INDEX($B$5:$B$204,MATCH($N114,$A$5:$A$204,0)),""))))</f>
        <v/>
      </c>
      <c r="P114" s="26" t="str">
        <f aca="false">IF($A114="","",IF($C114&lt;&gt;"",$C114,IF($N114="","",IFERROR(INDEX($C$5:$C$204,MATCH($N114,$A$5:$A$204,0)),""))))</f>
        <v/>
      </c>
      <c r="Q114" s="26" t="str">
        <f aca="false">IF($A114="","",IF($D114&lt;&gt;"",$D114,IF($N114="","",IFERROR(INDEX($D$5:$D$204,MATCH($N114,$A$5:$A$204,0)),""))))</f>
        <v/>
      </c>
      <c r="R114" s="26" t="str">
        <f aca="false">IF($A114="","",IF($E114&lt;&gt;"",$E114,IF($N114="","",IFERROR(INDEX($E$5:$E$204,MATCH($N114,$A$5:$A$204,0)),""))))</f>
        <v/>
      </c>
      <c r="S114" s="26" t="str">
        <f aca="false">IF($A114="","",IF($H114&lt;&gt;"",$H114,IF($N114="","",IFERROR(INDEX($H$5:$H$204,MATCH($N114,$A$5:$A$204,0)),""))))</f>
        <v/>
      </c>
      <c r="T114" s="26" t="str">
        <f aca="false">IF($A114="","",IF($F114&lt;&gt;"",$F114,IF($N114="","",IFERROR(INDEX($F$5:$F$204,MATCH($N114,$A$5:$A$204,0)),""))))</f>
        <v/>
      </c>
      <c r="U114" s="27" t="str">
        <f aca="false">IF($A114="","",SUMIFS(MVT_NET,MVT_LOT,$A114))</f>
        <v/>
      </c>
      <c r="V114" s="28" t="str">
        <f aca="false">IF($A114="","",COUNTIFS(MVT_LOT,$A114,MVT_BRUT,"&lt;&gt;0"))</f>
        <v/>
      </c>
      <c r="W114" s="28" t="str">
        <f aca="false">IF($A114="","",COUNTIFS(QC_LOT,$A114))</f>
        <v/>
      </c>
      <c r="X114" s="26" t="str">
        <f aca="false">IF($A114="","",IFERROR(INDEX(QC_DEC,MATCH($A114,QC_CLEDER,0)),""))</f>
        <v/>
      </c>
      <c r="Y114" s="26" t="str">
        <f aca="false">IF($A114="","",IF(COUNTIF($A$5:$A$204,$A114)&gt;1,IF(SUMPRODUCT(($A$5:$A$204=$A114)*(($C$5:$C$204&lt;&gt;$C114)+($D$5:$D$204&lt;&gt;$D114)))&gt;0,"INCOHERENCE","LOT EN DOUBLE"),"OK"))</f>
        <v/>
      </c>
      <c r="Z114" s="28" t="n">
        <f aca="false">IF($A114="",0,IF(AND($O114&lt;&gt;"",$A114&lt;&gt;R_LOT,$O114=IFERROR(INDEX(LOT_EXTE,MATCH(R_LOT,LOT_KEY,0)),"#")),1,0))</f>
        <v>0</v>
      </c>
      <c r="AA114" s="26" t="str">
        <f aca="false">IF($Z114=0,"",COUNTIF($Z$5:$Z114,1))</f>
        <v/>
      </c>
    </row>
    <row r="115" customFormat="false" ht="15" hidden="false" customHeight="false" outlineLevel="0" collapsed="false">
      <c r="A115" s="24"/>
      <c r="B115" s="24"/>
      <c r="C115" s="24"/>
      <c r="D115" s="24"/>
      <c r="E115" s="24"/>
      <c r="F115" s="24"/>
      <c r="G115" s="24"/>
      <c r="H115" s="24"/>
      <c r="I115" s="24"/>
      <c r="J115" s="24"/>
      <c r="K115" s="25"/>
      <c r="L115" s="24"/>
      <c r="M115" s="24"/>
      <c r="N115" s="26" t="str">
        <f aca="false">IF($A115="","",IF($L115&lt;&gt;"",$L115,IF(IFERROR(INDEX(RES_LOTSRC,MATCH($A115,RES_LOTEFF,0)),"")=$A115,"",IFERROR(INDEX(RES_LOTSRC,MATCH($A115,RES_LOTEFF,0)),""))))</f>
        <v/>
      </c>
      <c r="O115" s="26" t="str">
        <f aca="false">IF($A115="","",IF($B115&lt;&gt;"",$B115,IF($N115="","",IFERROR(INDEX($B$5:$B$204,MATCH($N115,$A$5:$A$204,0)),""))))</f>
        <v/>
      </c>
      <c r="P115" s="26" t="str">
        <f aca="false">IF($A115="","",IF($C115&lt;&gt;"",$C115,IF($N115="","",IFERROR(INDEX($C$5:$C$204,MATCH($N115,$A$5:$A$204,0)),""))))</f>
        <v/>
      </c>
      <c r="Q115" s="26" t="str">
        <f aca="false">IF($A115="","",IF($D115&lt;&gt;"",$D115,IF($N115="","",IFERROR(INDEX($D$5:$D$204,MATCH($N115,$A$5:$A$204,0)),""))))</f>
        <v/>
      </c>
      <c r="R115" s="26" t="str">
        <f aca="false">IF($A115="","",IF($E115&lt;&gt;"",$E115,IF($N115="","",IFERROR(INDEX($E$5:$E$204,MATCH($N115,$A$5:$A$204,0)),""))))</f>
        <v/>
      </c>
      <c r="S115" s="26" t="str">
        <f aca="false">IF($A115="","",IF($H115&lt;&gt;"",$H115,IF($N115="","",IFERROR(INDEX($H$5:$H$204,MATCH($N115,$A$5:$A$204,0)),""))))</f>
        <v/>
      </c>
      <c r="T115" s="26" t="str">
        <f aca="false">IF($A115="","",IF($F115&lt;&gt;"",$F115,IF($N115="","",IFERROR(INDEX($F$5:$F$204,MATCH($N115,$A$5:$A$204,0)),""))))</f>
        <v/>
      </c>
      <c r="U115" s="27" t="str">
        <f aca="false">IF($A115="","",SUMIFS(MVT_NET,MVT_LOT,$A115))</f>
        <v/>
      </c>
      <c r="V115" s="28" t="str">
        <f aca="false">IF($A115="","",COUNTIFS(MVT_LOT,$A115,MVT_BRUT,"&lt;&gt;0"))</f>
        <v/>
      </c>
      <c r="W115" s="28" t="str">
        <f aca="false">IF($A115="","",COUNTIFS(QC_LOT,$A115))</f>
        <v/>
      </c>
      <c r="X115" s="26" t="str">
        <f aca="false">IF($A115="","",IFERROR(INDEX(QC_DEC,MATCH($A115,QC_CLEDER,0)),""))</f>
        <v/>
      </c>
      <c r="Y115" s="26" t="str">
        <f aca="false">IF($A115="","",IF(COUNTIF($A$5:$A$204,$A115)&gt;1,IF(SUMPRODUCT(($A$5:$A$204=$A115)*(($C$5:$C$204&lt;&gt;$C115)+($D$5:$D$204&lt;&gt;$D115)))&gt;0,"INCOHERENCE","LOT EN DOUBLE"),"OK"))</f>
        <v/>
      </c>
      <c r="Z115" s="28" t="n">
        <f aca="false">IF($A115="",0,IF(AND($O115&lt;&gt;"",$A115&lt;&gt;R_LOT,$O115=IFERROR(INDEX(LOT_EXTE,MATCH(R_LOT,LOT_KEY,0)),"#")),1,0))</f>
        <v>0</v>
      </c>
      <c r="AA115" s="26" t="str">
        <f aca="false">IF($Z115=0,"",COUNTIF($Z$5:$Z115,1))</f>
        <v/>
      </c>
    </row>
    <row r="116" customFormat="false" ht="15" hidden="false" customHeight="false" outlineLevel="0" collapsed="false">
      <c r="A116" s="24"/>
      <c r="B116" s="24"/>
      <c r="C116" s="24"/>
      <c r="D116" s="24"/>
      <c r="E116" s="24"/>
      <c r="F116" s="24"/>
      <c r="G116" s="24"/>
      <c r="H116" s="24"/>
      <c r="I116" s="24"/>
      <c r="J116" s="24"/>
      <c r="K116" s="25"/>
      <c r="L116" s="24"/>
      <c r="M116" s="24"/>
      <c r="N116" s="26" t="str">
        <f aca="false">IF($A116="","",IF($L116&lt;&gt;"",$L116,IF(IFERROR(INDEX(RES_LOTSRC,MATCH($A116,RES_LOTEFF,0)),"")=$A116,"",IFERROR(INDEX(RES_LOTSRC,MATCH($A116,RES_LOTEFF,0)),""))))</f>
        <v/>
      </c>
      <c r="O116" s="26" t="str">
        <f aca="false">IF($A116="","",IF($B116&lt;&gt;"",$B116,IF($N116="","",IFERROR(INDEX($B$5:$B$204,MATCH($N116,$A$5:$A$204,0)),""))))</f>
        <v/>
      </c>
      <c r="P116" s="26" t="str">
        <f aca="false">IF($A116="","",IF($C116&lt;&gt;"",$C116,IF($N116="","",IFERROR(INDEX($C$5:$C$204,MATCH($N116,$A$5:$A$204,0)),""))))</f>
        <v/>
      </c>
      <c r="Q116" s="26" t="str">
        <f aca="false">IF($A116="","",IF($D116&lt;&gt;"",$D116,IF($N116="","",IFERROR(INDEX($D$5:$D$204,MATCH($N116,$A$5:$A$204,0)),""))))</f>
        <v/>
      </c>
      <c r="R116" s="26" t="str">
        <f aca="false">IF($A116="","",IF($E116&lt;&gt;"",$E116,IF($N116="","",IFERROR(INDEX($E$5:$E$204,MATCH($N116,$A$5:$A$204,0)),""))))</f>
        <v/>
      </c>
      <c r="S116" s="26" t="str">
        <f aca="false">IF($A116="","",IF($H116&lt;&gt;"",$H116,IF($N116="","",IFERROR(INDEX($H$5:$H$204,MATCH($N116,$A$5:$A$204,0)),""))))</f>
        <v/>
      </c>
      <c r="T116" s="26" t="str">
        <f aca="false">IF($A116="","",IF($F116&lt;&gt;"",$F116,IF($N116="","",IFERROR(INDEX($F$5:$F$204,MATCH($N116,$A$5:$A$204,0)),""))))</f>
        <v/>
      </c>
      <c r="U116" s="27" t="str">
        <f aca="false">IF($A116="","",SUMIFS(MVT_NET,MVT_LOT,$A116))</f>
        <v/>
      </c>
      <c r="V116" s="28" t="str">
        <f aca="false">IF($A116="","",COUNTIFS(MVT_LOT,$A116,MVT_BRUT,"&lt;&gt;0"))</f>
        <v/>
      </c>
      <c r="W116" s="28" t="str">
        <f aca="false">IF($A116="","",COUNTIFS(QC_LOT,$A116))</f>
        <v/>
      </c>
      <c r="X116" s="26" t="str">
        <f aca="false">IF($A116="","",IFERROR(INDEX(QC_DEC,MATCH($A116,QC_CLEDER,0)),""))</f>
        <v/>
      </c>
      <c r="Y116" s="26" t="str">
        <f aca="false">IF($A116="","",IF(COUNTIF($A$5:$A$204,$A116)&gt;1,IF(SUMPRODUCT(($A$5:$A$204=$A116)*(($C$5:$C$204&lt;&gt;$C116)+($D$5:$D$204&lt;&gt;$D116)))&gt;0,"INCOHERENCE","LOT EN DOUBLE"),"OK"))</f>
        <v/>
      </c>
      <c r="Z116" s="28" t="n">
        <f aca="false">IF($A116="",0,IF(AND($O116&lt;&gt;"",$A116&lt;&gt;R_LOT,$O116=IFERROR(INDEX(LOT_EXTE,MATCH(R_LOT,LOT_KEY,0)),"#")),1,0))</f>
        <v>0</v>
      </c>
      <c r="AA116" s="26" t="str">
        <f aca="false">IF($Z116=0,"",COUNTIF($Z$5:$Z116,1))</f>
        <v/>
      </c>
    </row>
    <row r="117" customFormat="false" ht="15" hidden="false" customHeight="false" outlineLevel="0" collapsed="false">
      <c r="A117" s="24"/>
      <c r="B117" s="24"/>
      <c r="C117" s="24"/>
      <c r="D117" s="24"/>
      <c r="E117" s="24"/>
      <c r="F117" s="24"/>
      <c r="G117" s="24"/>
      <c r="H117" s="24"/>
      <c r="I117" s="24"/>
      <c r="J117" s="24"/>
      <c r="K117" s="25"/>
      <c r="L117" s="24"/>
      <c r="M117" s="24"/>
      <c r="N117" s="26" t="str">
        <f aca="false">IF($A117="","",IF($L117&lt;&gt;"",$L117,IF(IFERROR(INDEX(RES_LOTSRC,MATCH($A117,RES_LOTEFF,0)),"")=$A117,"",IFERROR(INDEX(RES_LOTSRC,MATCH($A117,RES_LOTEFF,0)),""))))</f>
        <v/>
      </c>
      <c r="O117" s="26" t="str">
        <f aca="false">IF($A117="","",IF($B117&lt;&gt;"",$B117,IF($N117="","",IFERROR(INDEX($B$5:$B$204,MATCH($N117,$A$5:$A$204,0)),""))))</f>
        <v/>
      </c>
      <c r="P117" s="26" t="str">
        <f aca="false">IF($A117="","",IF($C117&lt;&gt;"",$C117,IF($N117="","",IFERROR(INDEX($C$5:$C$204,MATCH($N117,$A$5:$A$204,0)),""))))</f>
        <v/>
      </c>
      <c r="Q117" s="26" t="str">
        <f aca="false">IF($A117="","",IF($D117&lt;&gt;"",$D117,IF($N117="","",IFERROR(INDEX($D$5:$D$204,MATCH($N117,$A$5:$A$204,0)),""))))</f>
        <v/>
      </c>
      <c r="R117" s="26" t="str">
        <f aca="false">IF($A117="","",IF($E117&lt;&gt;"",$E117,IF($N117="","",IFERROR(INDEX($E$5:$E$204,MATCH($N117,$A$5:$A$204,0)),""))))</f>
        <v/>
      </c>
      <c r="S117" s="26" t="str">
        <f aca="false">IF($A117="","",IF($H117&lt;&gt;"",$H117,IF($N117="","",IFERROR(INDEX($H$5:$H$204,MATCH($N117,$A$5:$A$204,0)),""))))</f>
        <v/>
      </c>
      <c r="T117" s="26" t="str">
        <f aca="false">IF($A117="","",IF($F117&lt;&gt;"",$F117,IF($N117="","",IFERROR(INDEX($F$5:$F$204,MATCH($N117,$A$5:$A$204,0)),""))))</f>
        <v/>
      </c>
      <c r="U117" s="27" t="str">
        <f aca="false">IF($A117="","",SUMIFS(MVT_NET,MVT_LOT,$A117))</f>
        <v/>
      </c>
      <c r="V117" s="28" t="str">
        <f aca="false">IF($A117="","",COUNTIFS(MVT_LOT,$A117,MVT_BRUT,"&lt;&gt;0"))</f>
        <v/>
      </c>
      <c r="W117" s="28" t="str">
        <f aca="false">IF($A117="","",COUNTIFS(QC_LOT,$A117))</f>
        <v/>
      </c>
      <c r="X117" s="26" t="str">
        <f aca="false">IF($A117="","",IFERROR(INDEX(QC_DEC,MATCH($A117,QC_CLEDER,0)),""))</f>
        <v/>
      </c>
      <c r="Y117" s="26" t="str">
        <f aca="false">IF($A117="","",IF(COUNTIF($A$5:$A$204,$A117)&gt;1,IF(SUMPRODUCT(($A$5:$A$204=$A117)*(($C$5:$C$204&lt;&gt;$C117)+($D$5:$D$204&lt;&gt;$D117)))&gt;0,"INCOHERENCE","LOT EN DOUBLE"),"OK"))</f>
        <v/>
      </c>
      <c r="Z117" s="28" t="n">
        <f aca="false">IF($A117="",0,IF(AND($O117&lt;&gt;"",$A117&lt;&gt;R_LOT,$O117=IFERROR(INDEX(LOT_EXTE,MATCH(R_LOT,LOT_KEY,0)),"#")),1,0))</f>
        <v>0</v>
      </c>
      <c r="AA117" s="26" t="str">
        <f aca="false">IF($Z117=0,"",COUNTIF($Z$5:$Z117,1))</f>
        <v/>
      </c>
    </row>
    <row r="118" customFormat="false" ht="15" hidden="false" customHeight="false" outlineLevel="0" collapsed="false">
      <c r="A118" s="24"/>
      <c r="B118" s="24"/>
      <c r="C118" s="24"/>
      <c r="D118" s="24"/>
      <c r="E118" s="24"/>
      <c r="F118" s="24"/>
      <c r="G118" s="24"/>
      <c r="H118" s="24"/>
      <c r="I118" s="24"/>
      <c r="J118" s="24"/>
      <c r="K118" s="25"/>
      <c r="L118" s="24"/>
      <c r="M118" s="24"/>
      <c r="N118" s="26" t="str">
        <f aca="false">IF($A118="","",IF($L118&lt;&gt;"",$L118,IF(IFERROR(INDEX(RES_LOTSRC,MATCH($A118,RES_LOTEFF,0)),"")=$A118,"",IFERROR(INDEX(RES_LOTSRC,MATCH($A118,RES_LOTEFF,0)),""))))</f>
        <v/>
      </c>
      <c r="O118" s="26" t="str">
        <f aca="false">IF($A118="","",IF($B118&lt;&gt;"",$B118,IF($N118="","",IFERROR(INDEX($B$5:$B$204,MATCH($N118,$A$5:$A$204,0)),""))))</f>
        <v/>
      </c>
      <c r="P118" s="26" t="str">
        <f aca="false">IF($A118="","",IF($C118&lt;&gt;"",$C118,IF($N118="","",IFERROR(INDEX($C$5:$C$204,MATCH($N118,$A$5:$A$204,0)),""))))</f>
        <v/>
      </c>
      <c r="Q118" s="26" t="str">
        <f aca="false">IF($A118="","",IF($D118&lt;&gt;"",$D118,IF($N118="","",IFERROR(INDEX($D$5:$D$204,MATCH($N118,$A$5:$A$204,0)),""))))</f>
        <v/>
      </c>
      <c r="R118" s="26" t="str">
        <f aca="false">IF($A118="","",IF($E118&lt;&gt;"",$E118,IF($N118="","",IFERROR(INDEX($E$5:$E$204,MATCH($N118,$A$5:$A$204,0)),""))))</f>
        <v/>
      </c>
      <c r="S118" s="26" t="str">
        <f aca="false">IF($A118="","",IF($H118&lt;&gt;"",$H118,IF($N118="","",IFERROR(INDEX($H$5:$H$204,MATCH($N118,$A$5:$A$204,0)),""))))</f>
        <v/>
      </c>
      <c r="T118" s="26" t="str">
        <f aca="false">IF($A118="","",IF($F118&lt;&gt;"",$F118,IF($N118="","",IFERROR(INDEX($F$5:$F$204,MATCH($N118,$A$5:$A$204,0)),""))))</f>
        <v/>
      </c>
      <c r="U118" s="27" t="str">
        <f aca="false">IF($A118="","",SUMIFS(MVT_NET,MVT_LOT,$A118))</f>
        <v/>
      </c>
      <c r="V118" s="28" t="str">
        <f aca="false">IF($A118="","",COUNTIFS(MVT_LOT,$A118,MVT_BRUT,"&lt;&gt;0"))</f>
        <v/>
      </c>
      <c r="W118" s="28" t="str">
        <f aca="false">IF($A118="","",COUNTIFS(QC_LOT,$A118))</f>
        <v/>
      </c>
      <c r="X118" s="26" t="str">
        <f aca="false">IF($A118="","",IFERROR(INDEX(QC_DEC,MATCH($A118,QC_CLEDER,0)),""))</f>
        <v/>
      </c>
      <c r="Y118" s="26" t="str">
        <f aca="false">IF($A118="","",IF(COUNTIF($A$5:$A$204,$A118)&gt;1,IF(SUMPRODUCT(($A$5:$A$204=$A118)*(($C$5:$C$204&lt;&gt;$C118)+($D$5:$D$204&lt;&gt;$D118)))&gt;0,"INCOHERENCE","LOT EN DOUBLE"),"OK"))</f>
        <v/>
      </c>
      <c r="Z118" s="28" t="n">
        <f aca="false">IF($A118="",0,IF(AND($O118&lt;&gt;"",$A118&lt;&gt;R_LOT,$O118=IFERROR(INDEX(LOT_EXTE,MATCH(R_LOT,LOT_KEY,0)),"#")),1,0))</f>
        <v>0</v>
      </c>
      <c r="AA118" s="26" t="str">
        <f aca="false">IF($Z118=0,"",COUNTIF($Z$5:$Z118,1))</f>
        <v/>
      </c>
    </row>
    <row r="119" customFormat="false" ht="15" hidden="false" customHeight="false" outlineLevel="0" collapsed="false">
      <c r="A119" s="24"/>
      <c r="B119" s="24"/>
      <c r="C119" s="24"/>
      <c r="D119" s="24"/>
      <c r="E119" s="24"/>
      <c r="F119" s="24"/>
      <c r="G119" s="24"/>
      <c r="H119" s="24"/>
      <c r="I119" s="24"/>
      <c r="J119" s="24"/>
      <c r="K119" s="25"/>
      <c r="L119" s="24"/>
      <c r="M119" s="24"/>
      <c r="N119" s="26" t="str">
        <f aca="false">IF($A119="","",IF($L119&lt;&gt;"",$L119,IF(IFERROR(INDEX(RES_LOTSRC,MATCH($A119,RES_LOTEFF,0)),"")=$A119,"",IFERROR(INDEX(RES_LOTSRC,MATCH($A119,RES_LOTEFF,0)),""))))</f>
        <v/>
      </c>
      <c r="O119" s="26" t="str">
        <f aca="false">IF($A119="","",IF($B119&lt;&gt;"",$B119,IF($N119="","",IFERROR(INDEX($B$5:$B$204,MATCH($N119,$A$5:$A$204,0)),""))))</f>
        <v/>
      </c>
      <c r="P119" s="26" t="str">
        <f aca="false">IF($A119="","",IF($C119&lt;&gt;"",$C119,IF($N119="","",IFERROR(INDEX($C$5:$C$204,MATCH($N119,$A$5:$A$204,0)),""))))</f>
        <v/>
      </c>
      <c r="Q119" s="26" t="str">
        <f aca="false">IF($A119="","",IF($D119&lt;&gt;"",$D119,IF($N119="","",IFERROR(INDEX($D$5:$D$204,MATCH($N119,$A$5:$A$204,0)),""))))</f>
        <v/>
      </c>
      <c r="R119" s="26" t="str">
        <f aca="false">IF($A119="","",IF($E119&lt;&gt;"",$E119,IF($N119="","",IFERROR(INDEX($E$5:$E$204,MATCH($N119,$A$5:$A$204,0)),""))))</f>
        <v/>
      </c>
      <c r="S119" s="26" t="str">
        <f aca="false">IF($A119="","",IF($H119&lt;&gt;"",$H119,IF($N119="","",IFERROR(INDEX($H$5:$H$204,MATCH($N119,$A$5:$A$204,0)),""))))</f>
        <v/>
      </c>
      <c r="T119" s="26" t="str">
        <f aca="false">IF($A119="","",IF($F119&lt;&gt;"",$F119,IF($N119="","",IFERROR(INDEX($F$5:$F$204,MATCH($N119,$A$5:$A$204,0)),""))))</f>
        <v/>
      </c>
      <c r="U119" s="27" t="str">
        <f aca="false">IF($A119="","",SUMIFS(MVT_NET,MVT_LOT,$A119))</f>
        <v/>
      </c>
      <c r="V119" s="28" t="str">
        <f aca="false">IF($A119="","",COUNTIFS(MVT_LOT,$A119,MVT_BRUT,"&lt;&gt;0"))</f>
        <v/>
      </c>
      <c r="W119" s="28" t="str">
        <f aca="false">IF($A119="","",COUNTIFS(QC_LOT,$A119))</f>
        <v/>
      </c>
      <c r="X119" s="26" t="str">
        <f aca="false">IF($A119="","",IFERROR(INDEX(QC_DEC,MATCH($A119,QC_CLEDER,0)),""))</f>
        <v/>
      </c>
      <c r="Y119" s="26" t="str">
        <f aca="false">IF($A119="","",IF(COUNTIF($A$5:$A$204,$A119)&gt;1,IF(SUMPRODUCT(($A$5:$A$204=$A119)*(($C$5:$C$204&lt;&gt;$C119)+($D$5:$D$204&lt;&gt;$D119)))&gt;0,"INCOHERENCE","LOT EN DOUBLE"),"OK"))</f>
        <v/>
      </c>
      <c r="Z119" s="28" t="n">
        <f aca="false">IF($A119="",0,IF(AND($O119&lt;&gt;"",$A119&lt;&gt;R_LOT,$O119=IFERROR(INDEX(LOT_EXTE,MATCH(R_LOT,LOT_KEY,0)),"#")),1,0))</f>
        <v>0</v>
      </c>
      <c r="AA119" s="26" t="str">
        <f aca="false">IF($Z119=0,"",COUNTIF($Z$5:$Z119,1))</f>
        <v/>
      </c>
    </row>
    <row r="120" customFormat="false" ht="15" hidden="false" customHeight="false" outlineLevel="0" collapsed="false">
      <c r="A120" s="24"/>
      <c r="B120" s="24"/>
      <c r="C120" s="24"/>
      <c r="D120" s="24"/>
      <c r="E120" s="24"/>
      <c r="F120" s="24"/>
      <c r="G120" s="24"/>
      <c r="H120" s="24"/>
      <c r="I120" s="24"/>
      <c r="J120" s="24"/>
      <c r="K120" s="25"/>
      <c r="L120" s="24"/>
      <c r="M120" s="24"/>
      <c r="N120" s="26" t="str">
        <f aca="false">IF($A120="","",IF($L120&lt;&gt;"",$L120,IF(IFERROR(INDEX(RES_LOTSRC,MATCH($A120,RES_LOTEFF,0)),"")=$A120,"",IFERROR(INDEX(RES_LOTSRC,MATCH($A120,RES_LOTEFF,0)),""))))</f>
        <v/>
      </c>
      <c r="O120" s="26" t="str">
        <f aca="false">IF($A120="","",IF($B120&lt;&gt;"",$B120,IF($N120="","",IFERROR(INDEX($B$5:$B$204,MATCH($N120,$A$5:$A$204,0)),""))))</f>
        <v/>
      </c>
      <c r="P120" s="26" t="str">
        <f aca="false">IF($A120="","",IF($C120&lt;&gt;"",$C120,IF($N120="","",IFERROR(INDEX($C$5:$C$204,MATCH($N120,$A$5:$A$204,0)),""))))</f>
        <v/>
      </c>
      <c r="Q120" s="26" t="str">
        <f aca="false">IF($A120="","",IF($D120&lt;&gt;"",$D120,IF($N120="","",IFERROR(INDEX($D$5:$D$204,MATCH($N120,$A$5:$A$204,0)),""))))</f>
        <v/>
      </c>
      <c r="R120" s="26" t="str">
        <f aca="false">IF($A120="","",IF($E120&lt;&gt;"",$E120,IF($N120="","",IFERROR(INDEX($E$5:$E$204,MATCH($N120,$A$5:$A$204,0)),""))))</f>
        <v/>
      </c>
      <c r="S120" s="26" t="str">
        <f aca="false">IF($A120="","",IF($H120&lt;&gt;"",$H120,IF($N120="","",IFERROR(INDEX($H$5:$H$204,MATCH($N120,$A$5:$A$204,0)),""))))</f>
        <v/>
      </c>
      <c r="T120" s="26" t="str">
        <f aca="false">IF($A120="","",IF($F120&lt;&gt;"",$F120,IF($N120="","",IFERROR(INDEX($F$5:$F$204,MATCH($N120,$A$5:$A$204,0)),""))))</f>
        <v/>
      </c>
      <c r="U120" s="27" t="str">
        <f aca="false">IF($A120="","",SUMIFS(MVT_NET,MVT_LOT,$A120))</f>
        <v/>
      </c>
      <c r="V120" s="28" t="str">
        <f aca="false">IF($A120="","",COUNTIFS(MVT_LOT,$A120,MVT_BRUT,"&lt;&gt;0"))</f>
        <v/>
      </c>
      <c r="W120" s="28" t="str">
        <f aca="false">IF($A120="","",COUNTIFS(QC_LOT,$A120))</f>
        <v/>
      </c>
      <c r="X120" s="26" t="str">
        <f aca="false">IF($A120="","",IFERROR(INDEX(QC_DEC,MATCH($A120,QC_CLEDER,0)),""))</f>
        <v/>
      </c>
      <c r="Y120" s="26" t="str">
        <f aca="false">IF($A120="","",IF(COUNTIF($A$5:$A$204,$A120)&gt;1,IF(SUMPRODUCT(($A$5:$A$204=$A120)*(($C$5:$C$204&lt;&gt;$C120)+($D$5:$D$204&lt;&gt;$D120)))&gt;0,"INCOHERENCE","LOT EN DOUBLE"),"OK"))</f>
        <v/>
      </c>
      <c r="Z120" s="28" t="n">
        <f aca="false">IF($A120="",0,IF(AND($O120&lt;&gt;"",$A120&lt;&gt;R_LOT,$O120=IFERROR(INDEX(LOT_EXTE,MATCH(R_LOT,LOT_KEY,0)),"#")),1,0))</f>
        <v>0</v>
      </c>
      <c r="AA120" s="26" t="str">
        <f aca="false">IF($Z120=0,"",COUNTIF($Z$5:$Z120,1))</f>
        <v/>
      </c>
    </row>
    <row r="121" customFormat="false" ht="15" hidden="false" customHeight="false" outlineLevel="0" collapsed="false">
      <c r="A121" s="24"/>
      <c r="B121" s="24"/>
      <c r="C121" s="24"/>
      <c r="D121" s="24"/>
      <c r="E121" s="24"/>
      <c r="F121" s="24"/>
      <c r="G121" s="24"/>
      <c r="H121" s="24"/>
      <c r="I121" s="24"/>
      <c r="J121" s="24"/>
      <c r="K121" s="25"/>
      <c r="L121" s="24"/>
      <c r="M121" s="24"/>
      <c r="N121" s="26" t="str">
        <f aca="false">IF($A121="","",IF($L121&lt;&gt;"",$L121,IF(IFERROR(INDEX(RES_LOTSRC,MATCH($A121,RES_LOTEFF,0)),"")=$A121,"",IFERROR(INDEX(RES_LOTSRC,MATCH($A121,RES_LOTEFF,0)),""))))</f>
        <v/>
      </c>
      <c r="O121" s="26" t="str">
        <f aca="false">IF($A121="","",IF($B121&lt;&gt;"",$B121,IF($N121="","",IFERROR(INDEX($B$5:$B$204,MATCH($N121,$A$5:$A$204,0)),""))))</f>
        <v/>
      </c>
      <c r="P121" s="26" t="str">
        <f aca="false">IF($A121="","",IF($C121&lt;&gt;"",$C121,IF($N121="","",IFERROR(INDEX($C$5:$C$204,MATCH($N121,$A$5:$A$204,0)),""))))</f>
        <v/>
      </c>
      <c r="Q121" s="26" t="str">
        <f aca="false">IF($A121="","",IF($D121&lt;&gt;"",$D121,IF($N121="","",IFERROR(INDEX($D$5:$D$204,MATCH($N121,$A$5:$A$204,0)),""))))</f>
        <v/>
      </c>
      <c r="R121" s="26" t="str">
        <f aca="false">IF($A121="","",IF($E121&lt;&gt;"",$E121,IF($N121="","",IFERROR(INDEX($E$5:$E$204,MATCH($N121,$A$5:$A$204,0)),""))))</f>
        <v/>
      </c>
      <c r="S121" s="26" t="str">
        <f aca="false">IF($A121="","",IF($H121&lt;&gt;"",$H121,IF($N121="","",IFERROR(INDEX($H$5:$H$204,MATCH($N121,$A$5:$A$204,0)),""))))</f>
        <v/>
      </c>
      <c r="T121" s="26" t="str">
        <f aca="false">IF($A121="","",IF($F121&lt;&gt;"",$F121,IF($N121="","",IFERROR(INDEX($F$5:$F$204,MATCH($N121,$A$5:$A$204,0)),""))))</f>
        <v/>
      </c>
      <c r="U121" s="27" t="str">
        <f aca="false">IF($A121="","",SUMIFS(MVT_NET,MVT_LOT,$A121))</f>
        <v/>
      </c>
      <c r="V121" s="28" t="str">
        <f aca="false">IF($A121="","",COUNTIFS(MVT_LOT,$A121,MVT_BRUT,"&lt;&gt;0"))</f>
        <v/>
      </c>
      <c r="W121" s="28" t="str">
        <f aca="false">IF($A121="","",COUNTIFS(QC_LOT,$A121))</f>
        <v/>
      </c>
      <c r="X121" s="26" t="str">
        <f aca="false">IF($A121="","",IFERROR(INDEX(QC_DEC,MATCH($A121,QC_CLEDER,0)),""))</f>
        <v/>
      </c>
      <c r="Y121" s="26" t="str">
        <f aca="false">IF($A121="","",IF(COUNTIF($A$5:$A$204,$A121)&gt;1,IF(SUMPRODUCT(($A$5:$A$204=$A121)*(($C$5:$C$204&lt;&gt;$C121)+($D$5:$D$204&lt;&gt;$D121)))&gt;0,"INCOHERENCE","LOT EN DOUBLE"),"OK"))</f>
        <v/>
      </c>
      <c r="Z121" s="28" t="n">
        <f aca="false">IF($A121="",0,IF(AND($O121&lt;&gt;"",$A121&lt;&gt;R_LOT,$O121=IFERROR(INDEX(LOT_EXTE,MATCH(R_LOT,LOT_KEY,0)),"#")),1,0))</f>
        <v>0</v>
      </c>
      <c r="AA121" s="26" t="str">
        <f aca="false">IF($Z121=0,"",COUNTIF($Z$5:$Z121,1))</f>
        <v/>
      </c>
    </row>
    <row r="122" customFormat="false" ht="15" hidden="false" customHeight="false" outlineLevel="0" collapsed="false">
      <c r="A122" s="24"/>
      <c r="B122" s="24"/>
      <c r="C122" s="24"/>
      <c r="D122" s="24"/>
      <c r="E122" s="24"/>
      <c r="F122" s="24"/>
      <c r="G122" s="24"/>
      <c r="H122" s="24"/>
      <c r="I122" s="24"/>
      <c r="J122" s="24"/>
      <c r="K122" s="25"/>
      <c r="L122" s="24"/>
      <c r="M122" s="24"/>
      <c r="N122" s="26" t="str">
        <f aca="false">IF($A122="","",IF($L122&lt;&gt;"",$L122,IF(IFERROR(INDEX(RES_LOTSRC,MATCH($A122,RES_LOTEFF,0)),"")=$A122,"",IFERROR(INDEX(RES_LOTSRC,MATCH($A122,RES_LOTEFF,0)),""))))</f>
        <v/>
      </c>
      <c r="O122" s="26" t="str">
        <f aca="false">IF($A122="","",IF($B122&lt;&gt;"",$B122,IF($N122="","",IFERROR(INDEX($B$5:$B$204,MATCH($N122,$A$5:$A$204,0)),""))))</f>
        <v/>
      </c>
      <c r="P122" s="26" t="str">
        <f aca="false">IF($A122="","",IF($C122&lt;&gt;"",$C122,IF($N122="","",IFERROR(INDEX($C$5:$C$204,MATCH($N122,$A$5:$A$204,0)),""))))</f>
        <v/>
      </c>
      <c r="Q122" s="26" t="str">
        <f aca="false">IF($A122="","",IF($D122&lt;&gt;"",$D122,IF($N122="","",IFERROR(INDEX($D$5:$D$204,MATCH($N122,$A$5:$A$204,0)),""))))</f>
        <v/>
      </c>
      <c r="R122" s="26" t="str">
        <f aca="false">IF($A122="","",IF($E122&lt;&gt;"",$E122,IF($N122="","",IFERROR(INDEX($E$5:$E$204,MATCH($N122,$A$5:$A$204,0)),""))))</f>
        <v/>
      </c>
      <c r="S122" s="26" t="str">
        <f aca="false">IF($A122="","",IF($H122&lt;&gt;"",$H122,IF($N122="","",IFERROR(INDEX($H$5:$H$204,MATCH($N122,$A$5:$A$204,0)),""))))</f>
        <v/>
      </c>
      <c r="T122" s="26" t="str">
        <f aca="false">IF($A122="","",IF($F122&lt;&gt;"",$F122,IF($N122="","",IFERROR(INDEX($F$5:$F$204,MATCH($N122,$A$5:$A$204,0)),""))))</f>
        <v/>
      </c>
      <c r="U122" s="27" t="str">
        <f aca="false">IF($A122="","",SUMIFS(MVT_NET,MVT_LOT,$A122))</f>
        <v/>
      </c>
      <c r="V122" s="28" t="str">
        <f aca="false">IF($A122="","",COUNTIFS(MVT_LOT,$A122,MVT_BRUT,"&lt;&gt;0"))</f>
        <v/>
      </c>
      <c r="W122" s="28" t="str">
        <f aca="false">IF($A122="","",COUNTIFS(QC_LOT,$A122))</f>
        <v/>
      </c>
      <c r="X122" s="26" t="str">
        <f aca="false">IF($A122="","",IFERROR(INDEX(QC_DEC,MATCH($A122,QC_CLEDER,0)),""))</f>
        <v/>
      </c>
      <c r="Y122" s="26" t="str">
        <f aca="false">IF($A122="","",IF(COUNTIF($A$5:$A$204,$A122)&gt;1,IF(SUMPRODUCT(($A$5:$A$204=$A122)*(($C$5:$C$204&lt;&gt;$C122)+($D$5:$D$204&lt;&gt;$D122)))&gt;0,"INCOHERENCE","LOT EN DOUBLE"),"OK"))</f>
        <v/>
      </c>
      <c r="Z122" s="28" t="n">
        <f aca="false">IF($A122="",0,IF(AND($O122&lt;&gt;"",$A122&lt;&gt;R_LOT,$O122=IFERROR(INDEX(LOT_EXTE,MATCH(R_LOT,LOT_KEY,0)),"#")),1,0))</f>
        <v>0</v>
      </c>
      <c r="AA122" s="26" t="str">
        <f aca="false">IF($Z122=0,"",COUNTIF($Z$5:$Z122,1))</f>
        <v/>
      </c>
    </row>
    <row r="123" customFormat="false" ht="15" hidden="false" customHeight="false" outlineLevel="0" collapsed="false">
      <c r="A123" s="24"/>
      <c r="B123" s="24"/>
      <c r="C123" s="24"/>
      <c r="D123" s="24"/>
      <c r="E123" s="24"/>
      <c r="F123" s="24"/>
      <c r="G123" s="24"/>
      <c r="H123" s="24"/>
      <c r="I123" s="24"/>
      <c r="J123" s="24"/>
      <c r="K123" s="25"/>
      <c r="L123" s="24"/>
      <c r="M123" s="24"/>
      <c r="N123" s="26" t="str">
        <f aca="false">IF($A123="","",IF($L123&lt;&gt;"",$L123,IF(IFERROR(INDEX(RES_LOTSRC,MATCH($A123,RES_LOTEFF,0)),"")=$A123,"",IFERROR(INDEX(RES_LOTSRC,MATCH($A123,RES_LOTEFF,0)),""))))</f>
        <v/>
      </c>
      <c r="O123" s="26" t="str">
        <f aca="false">IF($A123="","",IF($B123&lt;&gt;"",$B123,IF($N123="","",IFERROR(INDEX($B$5:$B$204,MATCH($N123,$A$5:$A$204,0)),""))))</f>
        <v/>
      </c>
      <c r="P123" s="26" t="str">
        <f aca="false">IF($A123="","",IF($C123&lt;&gt;"",$C123,IF($N123="","",IFERROR(INDEX($C$5:$C$204,MATCH($N123,$A$5:$A$204,0)),""))))</f>
        <v/>
      </c>
      <c r="Q123" s="26" t="str">
        <f aca="false">IF($A123="","",IF($D123&lt;&gt;"",$D123,IF($N123="","",IFERROR(INDEX($D$5:$D$204,MATCH($N123,$A$5:$A$204,0)),""))))</f>
        <v/>
      </c>
      <c r="R123" s="26" t="str">
        <f aca="false">IF($A123="","",IF($E123&lt;&gt;"",$E123,IF($N123="","",IFERROR(INDEX($E$5:$E$204,MATCH($N123,$A$5:$A$204,0)),""))))</f>
        <v/>
      </c>
      <c r="S123" s="26" t="str">
        <f aca="false">IF($A123="","",IF($H123&lt;&gt;"",$H123,IF($N123="","",IFERROR(INDEX($H$5:$H$204,MATCH($N123,$A$5:$A$204,0)),""))))</f>
        <v/>
      </c>
      <c r="T123" s="26" t="str">
        <f aca="false">IF($A123="","",IF($F123&lt;&gt;"",$F123,IF($N123="","",IFERROR(INDEX($F$5:$F$204,MATCH($N123,$A$5:$A$204,0)),""))))</f>
        <v/>
      </c>
      <c r="U123" s="27" t="str">
        <f aca="false">IF($A123="","",SUMIFS(MVT_NET,MVT_LOT,$A123))</f>
        <v/>
      </c>
      <c r="V123" s="28" t="str">
        <f aca="false">IF($A123="","",COUNTIFS(MVT_LOT,$A123,MVT_BRUT,"&lt;&gt;0"))</f>
        <v/>
      </c>
      <c r="W123" s="28" t="str">
        <f aca="false">IF($A123="","",COUNTIFS(QC_LOT,$A123))</f>
        <v/>
      </c>
      <c r="X123" s="26" t="str">
        <f aca="false">IF($A123="","",IFERROR(INDEX(QC_DEC,MATCH($A123,QC_CLEDER,0)),""))</f>
        <v/>
      </c>
      <c r="Y123" s="26" t="str">
        <f aca="false">IF($A123="","",IF(COUNTIF($A$5:$A$204,$A123)&gt;1,IF(SUMPRODUCT(($A$5:$A$204=$A123)*(($C$5:$C$204&lt;&gt;$C123)+($D$5:$D$204&lt;&gt;$D123)))&gt;0,"INCOHERENCE","LOT EN DOUBLE"),"OK"))</f>
        <v/>
      </c>
      <c r="Z123" s="28" t="n">
        <f aca="false">IF($A123="",0,IF(AND($O123&lt;&gt;"",$A123&lt;&gt;R_LOT,$O123=IFERROR(INDEX(LOT_EXTE,MATCH(R_LOT,LOT_KEY,0)),"#")),1,0))</f>
        <v>0</v>
      </c>
      <c r="AA123" s="26" t="str">
        <f aca="false">IF($Z123=0,"",COUNTIF($Z$5:$Z123,1))</f>
        <v/>
      </c>
    </row>
    <row r="124" customFormat="false" ht="15" hidden="false" customHeight="false" outlineLevel="0" collapsed="false">
      <c r="A124" s="24"/>
      <c r="B124" s="24"/>
      <c r="C124" s="24"/>
      <c r="D124" s="24"/>
      <c r="E124" s="24"/>
      <c r="F124" s="24"/>
      <c r="G124" s="24"/>
      <c r="H124" s="24"/>
      <c r="I124" s="24"/>
      <c r="J124" s="24"/>
      <c r="K124" s="25"/>
      <c r="L124" s="24"/>
      <c r="M124" s="24"/>
      <c r="N124" s="26" t="str">
        <f aca="false">IF($A124="","",IF($L124&lt;&gt;"",$L124,IF(IFERROR(INDEX(RES_LOTSRC,MATCH($A124,RES_LOTEFF,0)),"")=$A124,"",IFERROR(INDEX(RES_LOTSRC,MATCH($A124,RES_LOTEFF,0)),""))))</f>
        <v/>
      </c>
      <c r="O124" s="26" t="str">
        <f aca="false">IF($A124="","",IF($B124&lt;&gt;"",$B124,IF($N124="","",IFERROR(INDEX($B$5:$B$204,MATCH($N124,$A$5:$A$204,0)),""))))</f>
        <v/>
      </c>
      <c r="P124" s="26" t="str">
        <f aca="false">IF($A124="","",IF($C124&lt;&gt;"",$C124,IF($N124="","",IFERROR(INDEX($C$5:$C$204,MATCH($N124,$A$5:$A$204,0)),""))))</f>
        <v/>
      </c>
      <c r="Q124" s="26" t="str">
        <f aca="false">IF($A124="","",IF($D124&lt;&gt;"",$D124,IF($N124="","",IFERROR(INDEX($D$5:$D$204,MATCH($N124,$A$5:$A$204,0)),""))))</f>
        <v/>
      </c>
      <c r="R124" s="26" t="str">
        <f aca="false">IF($A124="","",IF($E124&lt;&gt;"",$E124,IF($N124="","",IFERROR(INDEX($E$5:$E$204,MATCH($N124,$A$5:$A$204,0)),""))))</f>
        <v/>
      </c>
      <c r="S124" s="26" t="str">
        <f aca="false">IF($A124="","",IF($H124&lt;&gt;"",$H124,IF($N124="","",IFERROR(INDEX($H$5:$H$204,MATCH($N124,$A$5:$A$204,0)),""))))</f>
        <v/>
      </c>
      <c r="T124" s="26" t="str">
        <f aca="false">IF($A124="","",IF($F124&lt;&gt;"",$F124,IF($N124="","",IFERROR(INDEX($F$5:$F$204,MATCH($N124,$A$5:$A$204,0)),""))))</f>
        <v/>
      </c>
      <c r="U124" s="27" t="str">
        <f aca="false">IF($A124="","",SUMIFS(MVT_NET,MVT_LOT,$A124))</f>
        <v/>
      </c>
      <c r="V124" s="28" t="str">
        <f aca="false">IF($A124="","",COUNTIFS(MVT_LOT,$A124,MVT_BRUT,"&lt;&gt;0"))</f>
        <v/>
      </c>
      <c r="W124" s="28" t="str">
        <f aca="false">IF($A124="","",COUNTIFS(QC_LOT,$A124))</f>
        <v/>
      </c>
      <c r="X124" s="26" t="str">
        <f aca="false">IF($A124="","",IFERROR(INDEX(QC_DEC,MATCH($A124,QC_CLEDER,0)),""))</f>
        <v/>
      </c>
      <c r="Y124" s="26" t="str">
        <f aca="false">IF($A124="","",IF(COUNTIF($A$5:$A$204,$A124)&gt;1,IF(SUMPRODUCT(($A$5:$A$204=$A124)*(($C$5:$C$204&lt;&gt;$C124)+($D$5:$D$204&lt;&gt;$D124)))&gt;0,"INCOHERENCE","LOT EN DOUBLE"),"OK"))</f>
        <v/>
      </c>
      <c r="Z124" s="28" t="n">
        <f aca="false">IF($A124="",0,IF(AND($O124&lt;&gt;"",$A124&lt;&gt;R_LOT,$O124=IFERROR(INDEX(LOT_EXTE,MATCH(R_LOT,LOT_KEY,0)),"#")),1,0))</f>
        <v>0</v>
      </c>
      <c r="AA124" s="26" t="str">
        <f aca="false">IF($Z124=0,"",COUNTIF($Z$5:$Z124,1))</f>
        <v/>
      </c>
    </row>
    <row r="125" customFormat="false" ht="15" hidden="false" customHeight="false" outlineLevel="0" collapsed="false">
      <c r="A125" s="24"/>
      <c r="B125" s="24"/>
      <c r="C125" s="24"/>
      <c r="D125" s="24"/>
      <c r="E125" s="24"/>
      <c r="F125" s="24"/>
      <c r="G125" s="24"/>
      <c r="H125" s="24"/>
      <c r="I125" s="24"/>
      <c r="J125" s="24"/>
      <c r="K125" s="25"/>
      <c r="L125" s="24"/>
      <c r="M125" s="24"/>
      <c r="N125" s="26" t="str">
        <f aca="false">IF($A125="","",IF($L125&lt;&gt;"",$L125,IF(IFERROR(INDEX(RES_LOTSRC,MATCH($A125,RES_LOTEFF,0)),"")=$A125,"",IFERROR(INDEX(RES_LOTSRC,MATCH($A125,RES_LOTEFF,0)),""))))</f>
        <v/>
      </c>
      <c r="O125" s="26" t="str">
        <f aca="false">IF($A125="","",IF($B125&lt;&gt;"",$B125,IF($N125="","",IFERROR(INDEX($B$5:$B$204,MATCH($N125,$A$5:$A$204,0)),""))))</f>
        <v/>
      </c>
      <c r="P125" s="26" t="str">
        <f aca="false">IF($A125="","",IF($C125&lt;&gt;"",$C125,IF($N125="","",IFERROR(INDEX($C$5:$C$204,MATCH($N125,$A$5:$A$204,0)),""))))</f>
        <v/>
      </c>
      <c r="Q125" s="26" t="str">
        <f aca="false">IF($A125="","",IF($D125&lt;&gt;"",$D125,IF($N125="","",IFERROR(INDEX($D$5:$D$204,MATCH($N125,$A$5:$A$204,0)),""))))</f>
        <v/>
      </c>
      <c r="R125" s="26" t="str">
        <f aca="false">IF($A125="","",IF($E125&lt;&gt;"",$E125,IF($N125="","",IFERROR(INDEX($E$5:$E$204,MATCH($N125,$A$5:$A$204,0)),""))))</f>
        <v/>
      </c>
      <c r="S125" s="26" t="str">
        <f aca="false">IF($A125="","",IF($H125&lt;&gt;"",$H125,IF($N125="","",IFERROR(INDEX($H$5:$H$204,MATCH($N125,$A$5:$A$204,0)),""))))</f>
        <v/>
      </c>
      <c r="T125" s="26" t="str">
        <f aca="false">IF($A125="","",IF($F125&lt;&gt;"",$F125,IF($N125="","",IFERROR(INDEX($F$5:$F$204,MATCH($N125,$A$5:$A$204,0)),""))))</f>
        <v/>
      </c>
      <c r="U125" s="27" t="str">
        <f aca="false">IF($A125="","",SUMIFS(MVT_NET,MVT_LOT,$A125))</f>
        <v/>
      </c>
      <c r="V125" s="28" t="str">
        <f aca="false">IF($A125="","",COUNTIFS(MVT_LOT,$A125,MVT_BRUT,"&lt;&gt;0"))</f>
        <v/>
      </c>
      <c r="W125" s="28" t="str">
        <f aca="false">IF($A125="","",COUNTIFS(QC_LOT,$A125))</f>
        <v/>
      </c>
      <c r="X125" s="26" t="str">
        <f aca="false">IF($A125="","",IFERROR(INDEX(QC_DEC,MATCH($A125,QC_CLEDER,0)),""))</f>
        <v/>
      </c>
      <c r="Y125" s="26" t="str">
        <f aca="false">IF($A125="","",IF(COUNTIF($A$5:$A$204,$A125)&gt;1,IF(SUMPRODUCT(($A$5:$A$204=$A125)*(($C$5:$C$204&lt;&gt;$C125)+($D$5:$D$204&lt;&gt;$D125)))&gt;0,"INCOHERENCE","LOT EN DOUBLE"),"OK"))</f>
        <v/>
      </c>
      <c r="Z125" s="28" t="n">
        <f aca="false">IF($A125="",0,IF(AND($O125&lt;&gt;"",$A125&lt;&gt;R_LOT,$O125=IFERROR(INDEX(LOT_EXTE,MATCH(R_LOT,LOT_KEY,0)),"#")),1,0))</f>
        <v>0</v>
      </c>
      <c r="AA125" s="26" t="str">
        <f aca="false">IF($Z125=0,"",COUNTIF($Z$5:$Z125,1))</f>
        <v/>
      </c>
    </row>
    <row r="126" customFormat="false" ht="15" hidden="false" customHeight="false" outlineLevel="0" collapsed="false">
      <c r="A126" s="24"/>
      <c r="B126" s="24"/>
      <c r="C126" s="24"/>
      <c r="D126" s="24"/>
      <c r="E126" s="24"/>
      <c r="F126" s="24"/>
      <c r="G126" s="24"/>
      <c r="H126" s="24"/>
      <c r="I126" s="24"/>
      <c r="J126" s="24"/>
      <c r="K126" s="25"/>
      <c r="L126" s="24"/>
      <c r="M126" s="24"/>
      <c r="N126" s="26" t="str">
        <f aca="false">IF($A126="","",IF($L126&lt;&gt;"",$L126,IF(IFERROR(INDEX(RES_LOTSRC,MATCH($A126,RES_LOTEFF,0)),"")=$A126,"",IFERROR(INDEX(RES_LOTSRC,MATCH($A126,RES_LOTEFF,0)),""))))</f>
        <v/>
      </c>
      <c r="O126" s="26" t="str">
        <f aca="false">IF($A126="","",IF($B126&lt;&gt;"",$B126,IF($N126="","",IFERROR(INDEX($B$5:$B$204,MATCH($N126,$A$5:$A$204,0)),""))))</f>
        <v/>
      </c>
      <c r="P126" s="26" t="str">
        <f aca="false">IF($A126="","",IF($C126&lt;&gt;"",$C126,IF($N126="","",IFERROR(INDEX($C$5:$C$204,MATCH($N126,$A$5:$A$204,0)),""))))</f>
        <v/>
      </c>
      <c r="Q126" s="26" t="str">
        <f aca="false">IF($A126="","",IF($D126&lt;&gt;"",$D126,IF($N126="","",IFERROR(INDEX($D$5:$D$204,MATCH($N126,$A$5:$A$204,0)),""))))</f>
        <v/>
      </c>
      <c r="R126" s="26" t="str">
        <f aca="false">IF($A126="","",IF($E126&lt;&gt;"",$E126,IF($N126="","",IFERROR(INDEX($E$5:$E$204,MATCH($N126,$A$5:$A$204,0)),""))))</f>
        <v/>
      </c>
      <c r="S126" s="26" t="str">
        <f aca="false">IF($A126="","",IF($H126&lt;&gt;"",$H126,IF($N126="","",IFERROR(INDEX($H$5:$H$204,MATCH($N126,$A$5:$A$204,0)),""))))</f>
        <v/>
      </c>
      <c r="T126" s="26" t="str">
        <f aca="false">IF($A126="","",IF($F126&lt;&gt;"",$F126,IF($N126="","",IFERROR(INDEX($F$5:$F$204,MATCH($N126,$A$5:$A$204,0)),""))))</f>
        <v/>
      </c>
      <c r="U126" s="27" t="str">
        <f aca="false">IF($A126="","",SUMIFS(MVT_NET,MVT_LOT,$A126))</f>
        <v/>
      </c>
      <c r="V126" s="28" t="str">
        <f aca="false">IF($A126="","",COUNTIFS(MVT_LOT,$A126,MVT_BRUT,"&lt;&gt;0"))</f>
        <v/>
      </c>
      <c r="W126" s="28" t="str">
        <f aca="false">IF($A126="","",COUNTIFS(QC_LOT,$A126))</f>
        <v/>
      </c>
      <c r="X126" s="26" t="str">
        <f aca="false">IF($A126="","",IFERROR(INDEX(QC_DEC,MATCH($A126,QC_CLEDER,0)),""))</f>
        <v/>
      </c>
      <c r="Y126" s="26" t="str">
        <f aca="false">IF($A126="","",IF(COUNTIF($A$5:$A$204,$A126)&gt;1,IF(SUMPRODUCT(($A$5:$A$204=$A126)*(($C$5:$C$204&lt;&gt;$C126)+($D$5:$D$204&lt;&gt;$D126)))&gt;0,"INCOHERENCE","LOT EN DOUBLE"),"OK"))</f>
        <v/>
      </c>
      <c r="Z126" s="28" t="n">
        <f aca="false">IF($A126="",0,IF(AND($O126&lt;&gt;"",$A126&lt;&gt;R_LOT,$O126=IFERROR(INDEX(LOT_EXTE,MATCH(R_LOT,LOT_KEY,0)),"#")),1,0))</f>
        <v>0</v>
      </c>
      <c r="AA126" s="26" t="str">
        <f aca="false">IF($Z126=0,"",COUNTIF($Z$5:$Z126,1))</f>
        <v/>
      </c>
    </row>
    <row r="127" customFormat="false" ht="15" hidden="false" customHeight="false" outlineLevel="0" collapsed="false">
      <c r="A127" s="24"/>
      <c r="B127" s="24"/>
      <c r="C127" s="24"/>
      <c r="D127" s="24"/>
      <c r="E127" s="24"/>
      <c r="F127" s="24"/>
      <c r="G127" s="24"/>
      <c r="H127" s="24"/>
      <c r="I127" s="24"/>
      <c r="J127" s="24"/>
      <c r="K127" s="25"/>
      <c r="L127" s="24"/>
      <c r="M127" s="24"/>
      <c r="N127" s="26" t="str">
        <f aca="false">IF($A127="","",IF($L127&lt;&gt;"",$L127,IF(IFERROR(INDEX(RES_LOTSRC,MATCH($A127,RES_LOTEFF,0)),"")=$A127,"",IFERROR(INDEX(RES_LOTSRC,MATCH($A127,RES_LOTEFF,0)),""))))</f>
        <v/>
      </c>
      <c r="O127" s="26" t="str">
        <f aca="false">IF($A127="","",IF($B127&lt;&gt;"",$B127,IF($N127="","",IFERROR(INDEX($B$5:$B$204,MATCH($N127,$A$5:$A$204,0)),""))))</f>
        <v/>
      </c>
      <c r="P127" s="26" t="str">
        <f aca="false">IF($A127="","",IF($C127&lt;&gt;"",$C127,IF($N127="","",IFERROR(INDEX($C$5:$C$204,MATCH($N127,$A$5:$A$204,0)),""))))</f>
        <v/>
      </c>
      <c r="Q127" s="26" t="str">
        <f aca="false">IF($A127="","",IF($D127&lt;&gt;"",$D127,IF($N127="","",IFERROR(INDEX($D$5:$D$204,MATCH($N127,$A$5:$A$204,0)),""))))</f>
        <v/>
      </c>
      <c r="R127" s="26" t="str">
        <f aca="false">IF($A127="","",IF($E127&lt;&gt;"",$E127,IF($N127="","",IFERROR(INDEX($E$5:$E$204,MATCH($N127,$A$5:$A$204,0)),""))))</f>
        <v/>
      </c>
      <c r="S127" s="26" t="str">
        <f aca="false">IF($A127="","",IF($H127&lt;&gt;"",$H127,IF($N127="","",IFERROR(INDEX($H$5:$H$204,MATCH($N127,$A$5:$A$204,0)),""))))</f>
        <v/>
      </c>
      <c r="T127" s="26" t="str">
        <f aca="false">IF($A127="","",IF($F127&lt;&gt;"",$F127,IF($N127="","",IFERROR(INDEX($F$5:$F$204,MATCH($N127,$A$5:$A$204,0)),""))))</f>
        <v/>
      </c>
      <c r="U127" s="27" t="str">
        <f aca="false">IF($A127="","",SUMIFS(MVT_NET,MVT_LOT,$A127))</f>
        <v/>
      </c>
      <c r="V127" s="28" t="str">
        <f aca="false">IF($A127="","",COUNTIFS(MVT_LOT,$A127,MVT_BRUT,"&lt;&gt;0"))</f>
        <v/>
      </c>
      <c r="W127" s="28" t="str">
        <f aca="false">IF($A127="","",COUNTIFS(QC_LOT,$A127))</f>
        <v/>
      </c>
      <c r="X127" s="26" t="str">
        <f aca="false">IF($A127="","",IFERROR(INDEX(QC_DEC,MATCH($A127,QC_CLEDER,0)),""))</f>
        <v/>
      </c>
      <c r="Y127" s="26" t="str">
        <f aca="false">IF($A127="","",IF(COUNTIF($A$5:$A$204,$A127)&gt;1,IF(SUMPRODUCT(($A$5:$A$204=$A127)*(($C$5:$C$204&lt;&gt;$C127)+($D$5:$D$204&lt;&gt;$D127)))&gt;0,"INCOHERENCE","LOT EN DOUBLE"),"OK"))</f>
        <v/>
      </c>
      <c r="Z127" s="28" t="n">
        <f aca="false">IF($A127="",0,IF(AND($O127&lt;&gt;"",$A127&lt;&gt;R_LOT,$O127=IFERROR(INDEX(LOT_EXTE,MATCH(R_LOT,LOT_KEY,0)),"#")),1,0))</f>
        <v>0</v>
      </c>
      <c r="AA127" s="26" t="str">
        <f aca="false">IF($Z127=0,"",COUNTIF($Z$5:$Z127,1))</f>
        <v/>
      </c>
    </row>
    <row r="128" customFormat="false" ht="15" hidden="false" customHeight="false" outlineLevel="0" collapsed="false">
      <c r="A128" s="24"/>
      <c r="B128" s="24"/>
      <c r="C128" s="24"/>
      <c r="D128" s="24"/>
      <c r="E128" s="24"/>
      <c r="F128" s="24"/>
      <c r="G128" s="24"/>
      <c r="H128" s="24"/>
      <c r="I128" s="24"/>
      <c r="J128" s="24"/>
      <c r="K128" s="25"/>
      <c r="L128" s="24"/>
      <c r="M128" s="24"/>
      <c r="N128" s="26" t="str">
        <f aca="false">IF($A128="","",IF($L128&lt;&gt;"",$L128,IF(IFERROR(INDEX(RES_LOTSRC,MATCH($A128,RES_LOTEFF,0)),"")=$A128,"",IFERROR(INDEX(RES_LOTSRC,MATCH($A128,RES_LOTEFF,0)),""))))</f>
        <v/>
      </c>
      <c r="O128" s="26" t="str">
        <f aca="false">IF($A128="","",IF($B128&lt;&gt;"",$B128,IF($N128="","",IFERROR(INDEX($B$5:$B$204,MATCH($N128,$A$5:$A$204,0)),""))))</f>
        <v/>
      </c>
      <c r="P128" s="26" t="str">
        <f aca="false">IF($A128="","",IF($C128&lt;&gt;"",$C128,IF($N128="","",IFERROR(INDEX($C$5:$C$204,MATCH($N128,$A$5:$A$204,0)),""))))</f>
        <v/>
      </c>
      <c r="Q128" s="26" t="str">
        <f aca="false">IF($A128="","",IF($D128&lt;&gt;"",$D128,IF($N128="","",IFERROR(INDEX($D$5:$D$204,MATCH($N128,$A$5:$A$204,0)),""))))</f>
        <v/>
      </c>
      <c r="R128" s="26" t="str">
        <f aca="false">IF($A128="","",IF($E128&lt;&gt;"",$E128,IF($N128="","",IFERROR(INDEX($E$5:$E$204,MATCH($N128,$A$5:$A$204,0)),""))))</f>
        <v/>
      </c>
      <c r="S128" s="26" t="str">
        <f aca="false">IF($A128="","",IF($H128&lt;&gt;"",$H128,IF($N128="","",IFERROR(INDEX($H$5:$H$204,MATCH($N128,$A$5:$A$204,0)),""))))</f>
        <v/>
      </c>
      <c r="T128" s="26" t="str">
        <f aca="false">IF($A128="","",IF($F128&lt;&gt;"",$F128,IF($N128="","",IFERROR(INDEX($F$5:$F$204,MATCH($N128,$A$5:$A$204,0)),""))))</f>
        <v/>
      </c>
      <c r="U128" s="27" t="str">
        <f aca="false">IF($A128="","",SUMIFS(MVT_NET,MVT_LOT,$A128))</f>
        <v/>
      </c>
      <c r="V128" s="28" t="str">
        <f aca="false">IF($A128="","",COUNTIFS(MVT_LOT,$A128,MVT_BRUT,"&lt;&gt;0"))</f>
        <v/>
      </c>
      <c r="W128" s="28" t="str">
        <f aca="false">IF($A128="","",COUNTIFS(QC_LOT,$A128))</f>
        <v/>
      </c>
      <c r="X128" s="26" t="str">
        <f aca="false">IF($A128="","",IFERROR(INDEX(QC_DEC,MATCH($A128,QC_CLEDER,0)),""))</f>
        <v/>
      </c>
      <c r="Y128" s="26" t="str">
        <f aca="false">IF($A128="","",IF(COUNTIF($A$5:$A$204,$A128)&gt;1,IF(SUMPRODUCT(($A$5:$A$204=$A128)*(($C$5:$C$204&lt;&gt;$C128)+($D$5:$D$204&lt;&gt;$D128)))&gt;0,"INCOHERENCE","LOT EN DOUBLE"),"OK"))</f>
        <v/>
      </c>
      <c r="Z128" s="28" t="n">
        <f aca="false">IF($A128="",0,IF(AND($O128&lt;&gt;"",$A128&lt;&gt;R_LOT,$O128=IFERROR(INDEX(LOT_EXTE,MATCH(R_LOT,LOT_KEY,0)),"#")),1,0))</f>
        <v>0</v>
      </c>
      <c r="AA128" s="26" t="str">
        <f aca="false">IF($Z128=0,"",COUNTIF($Z$5:$Z128,1))</f>
        <v/>
      </c>
    </row>
    <row r="129" customFormat="false" ht="15" hidden="false" customHeight="false" outlineLevel="0" collapsed="false">
      <c r="A129" s="24"/>
      <c r="B129" s="24"/>
      <c r="C129" s="24"/>
      <c r="D129" s="24"/>
      <c r="E129" s="24"/>
      <c r="F129" s="24"/>
      <c r="G129" s="24"/>
      <c r="H129" s="24"/>
      <c r="I129" s="24"/>
      <c r="J129" s="24"/>
      <c r="K129" s="25"/>
      <c r="L129" s="24"/>
      <c r="M129" s="24"/>
      <c r="N129" s="26" t="str">
        <f aca="false">IF($A129="","",IF($L129&lt;&gt;"",$L129,IF(IFERROR(INDEX(RES_LOTSRC,MATCH($A129,RES_LOTEFF,0)),"")=$A129,"",IFERROR(INDEX(RES_LOTSRC,MATCH($A129,RES_LOTEFF,0)),""))))</f>
        <v/>
      </c>
      <c r="O129" s="26" t="str">
        <f aca="false">IF($A129="","",IF($B129&lt;&gt;"",$B129,IF($N129="","",IFERROR(INDEX($B$5:$B$204,MATCH($N129,$A$5:$A$204,0)),""))))</f>
        <v/>
      </c>
      <c r="P129" s="26" t="str">
        <f aca="false">IF($A129="","",IF($C129&lt;&gt;"",$C129,IF($N129="","",IFERROR(INDEX($C$5:$C$204,MATCH($N129,$A$5:$A$204,0)),""))))</f>
        <v/>
      </c>
      <c r="Q129" s="26" t="str">
        <f aca="false">IF($A129="","",IF($D129&lt;&gt;"",$D129,IF($N129="","",IFERROR(INDEX($D$5:$D$204,MATCH($N129,$A$5:$A$204,0)),""))))</f>
        <v/>
      </c>
      <c r="R129" s="26" t="str">
        <f aca="false">IF($A129="","",IF($E129&lt;&gt;"",$E129,IF($N129="","",IFERROR(INDEX($E$5:$E$204,MATCH($N129,$A$5:$A$204,0)),""))))</f>
        <v/>
      </c>
      <c r="S129" s="26" t="str">
        <f aca="false">IF($A129="","",IF($H129&lt;&gt;"",$H129,IF($N129="","",IFERROR(INDEX($H$5:$H$204,MATCH($N129,$A$5:$A$204,0)),""))))</f>
        <v/>
      </c>
      <c r="T129" s="26" t="str">
        <f aca="false">IF($A129="","",IF($F129&lt;&gt;"",$F129,IF($N129="","",IFERROR(INDEX($F$5:$F$204,MATCH($N129,$A$5:$A$204,0)),""))))</f>
        <v/>
      </c>
      <c r="U129" s="27" t="str">
        <f aca="false">IF($A129="","",SUMIFS(MVT_NET,MVT_LOT,$A129))</f>
        <v/>
      </c>
      <c r="V129" s="28" t="str">
        <f aca="false">IF($A129="","",COUNTIFS(MVT_LOT,$A129,MVT_BRUT,"&lt;&gt;0"))</f>
        <v/>
      </c>
      <c r="W129" s="28" t="str">
        <f aca="false">IF($A129="","",COUNTIFS(QC_LOT,$A129))</f>
        <v/>
      </c>
      <c r="X129" s="26" t="str">
        <f aca="false">IF($A129="","",IFERROR(INDEX(QC_DEC,MATCH($A129,QC_CLEDER,0)),""))</f>
        <v/>
      </c>
      <c r="Y129" s="26" t="str">
        <f aca="false">IF($A129="","",IF(COUNTIF($A$5:$A$204,$A129)&gt;1,IF(SUMPRODUCT(($A$5:$A$204=$A129)*(($C$5:$C$204&lt;&gt;$C129)+($D$5:$D$204&lt;&gt;$D129)))&gt;0,"INCOHERENCE","LOT EN DOUBLE"),"OK"))</f>
        <v/>
      </c>
      <c r="Z129" s="28" t="n">
        <f aca="false">IF($A129="",0,IF(AND($O129&lt;&gt;"",$A129&lt;&gt;R_LOT,$O129=IFERROR(INDEX(LOT_EXTE,MATCH(R_LOT,LOT_KEY,0)),"#")),1,0))</f>
        <v>0</v>
      </c>
      <c r="AA129" s="26" t="str">
        <f aca="false">IF($Z129=0,"",COUNTIF($Z$5:$Z129,1))</f>
        <v/>
      </c>
    </row>
    <row r="130" customFormat="false" ht="15" hidden="false" customHeight="false" outlineLevel="0" collapsed="false">
      <c r="A130" s="24"/>
      <c r="B130" s="24"/>
      <c r="C130" s="24"/>
      <c r="D130" s="24"/>
      <c r="E130" s="24"/>
      <c r="F130" s="24"/>
      <c r="G130" s="24"/>
      <c r="H130" s="24"/>
      <c r="I130" s="24"/>
      <c r="J130" s="24"/>
      <c r="K130" s="25"/>
      <c r="L130" s="24"/>
      <c r="M130" s="24"/>
      <c r="N130" s="26" t="str">
        <f aca="false">IF($A130="","",IF($L130&lt;&gt;"",$L130,IF(IFERROR(INDEX(RES_LOTSRC,MATCH($A130,RES_LOTEFF,0)),"")=$A130,"",IFERROR(INDEX(RES_LOTSRC,MATCH($A130,RES_LOTEFF,0)),""))))</f>
        <v/>
      </c>
      <c r="O130" s="26" t="str">
        <f aca="false">IF($A130="","",IF($B130&lt;&gt;"",$B130,IF($N130="","",IFERROR(INDEX($B$5:$B$204,MATCH($N130,$A$5:$A$204,0)),""))))</f>
        <v/>
      </c>
      <c r="P130" s="26" t="str">
        <f aca="false">IF($A130="","",IF($C130&lt;&gt;"",$C130,IF($N130="","",IFERROR(INDEX($C$5:$C$204,MATCH($N130,$A$5:$A$204,0)),""))))</f>
        <v/>
      </c>
      <c r="Q130" s="26" t="str">
        <f aca="false">IF($A130="","",IF($D130&lt;&gt;"",$D130,IF($N130="","",IFERROR(INDEX($D$5:$D$204,MATCH($N130,$A$5:$A$204,0)),""))))</f>
        <v/>
      </c>
      <c r="R130" s="26" t="str">
        <f aca="false">IF($A130="","",IF($E130&lt;&gt;"",$E130,IF($N130="","",IFERROR(INDEX($E$5:$E$204,MATCH($N130,$A$5:$A$204,0)),""))))</f>
        <v/>
      </c>
      <c r="S130" s="26" t="str">
        <f aca="false">IF($A130="","",IF($H130&lt;&gt;"",$H130,IF($N130="","",IFERROR(INDEX($H$5:$H$204,MATCH($N130,$A$5:$A$204,0)),""))))</f>
        <v/>
      </c>
      <c r="T130" s="26" t="str">
        <f aca="false">IF($A130="","",IF($F130&lt;&gt;"",$F130,IF($N130="","",IFERROR(INDEX($F$5:$F$204,MATCH($N130,$A$5:$A$204,0)),""))))</f>
        <v/>
      </c>
      <c r="U130" s="27" t="str">
        <f aca="false">IF($A130="","",SUMIFS(MVT_NET,MVT_LOT,$A130))</f>
        <v/>
      </c>
      <c r="V130" s="28" t="str">
        <f aca="false">IF($A130="","",COUNTIFS(MVT_LOT,$A130,MVT_BRUT,"&lt;&gt;0"))</f>
        <v/>
      </c>
      <c r="W130" s="28" t="str">
        <f aca="false">IF($A130="","",COUNTIFS(QC_LOT,$A130))</f>
        <v/>
      </c>
      <c r="X130" s="26" t="str">
        <f aca="false">IF($A130="","",IFERROR(INDEX(QC_DEC,MATCH($A130,QC_CLEDER,0)),""))</f>
        <v/>
      </c>
      <c r="Y130" s="26" t="str">
        <f aca="false">IF($A130="","",IF(COUNTIF($A$5:$A$204,$A130)&gt;1,IF(SUMPRODUCT(($A$5:$A$204=$A130)*(($C$5:$C$204&lt;&gt;$C130)+($D$5:$D$204&lt;&gt;$D130)))&gt;0,"INCOHERENCE","LOT EN DOUBLE"),"OK"))</f>
        <v/>
      </c>
      <c r="Z130" s="28" t="n">
        <f aca="false">IF($A130="",0,IF(AND($O130&lt;&gt;"",$A130&lt;&gt;R_LOT,$O130=IFERROR(INDEX(LOT_EXTE,MATCH(R_LOT,LOT_KEY,0)),"#")),1,0))</f>
        <v>0</v>
      </c>
      <c r="AA130" s="26" t="str">
        <f aca="false">IF($Z130=0,"",COUNTIF($Z$5:$Z130,1))</f>
        <v/>
      </c>
    </row>
    <row r="131" customFormat="false" ht="15" hidden="false" customHeight="false" outlineLevel="0" collapsed="false">
      <c r="A131" s="24"/>
      <c r="B131" s="24"/>
      <c r="C131" s="24"/>
      <c r="D131" s="24"/>
      <c r="E131" s="24"/>
      <c r="F131" s="24"/>
      <c r="G131" s="24"/>
      <c r="H131" s="24"/>
      <c r="I131" s="24"/>
      <c r="J131" s="24"/>
      <c r="K131" s="25"/>
      <c r="L131" s="24"/>
      <c r="M131" s="24"/>
      <c r="N131" s="26" t="str">
        <f aca="false">IF($A131="","",IF($L131&lt;&gt;"",$L131,IF(IFERROR(INDEX(RES_LOTSRC,MATCH($A131,RES_LOTEFF,0)),"")=$A131,"",IFERROR(INDEX(RES_LOTSRC,MATCH($A131,RES_LOTEFF,0)),""))))</f>
        <v/>
      </c>
      <c r="O131" s="26" t="str">
        <f aca="false">IF($A131="","",IF($B131&lt;&gt;"",$B131,IF($N131="","",IFERROR(INDEX($B$5:$B$204,MATCH($N131,$A$5:$A$204,0)),""))))</f>
        <v/>
      </c>
      <c r="P131" s="26" t="str">
        <f aca="false">IF($A131="","",IF($C131&lt;&gt;"",$C131,IF($N131="","",IFERROR(INDEX($C$5:$C$204,MATCH($N131,$A$5:$A$204,0)),""))))</f>
        <v/>
      </c>
      <c r="Q131" s="26" t="str">
        <f aca="false">IF($A131="","",IF($D131&lt;&gt;"",$D131,IF($N131="","",IFERROR(INDEX($D$5:$D$204,MATCH($N131,$A$5:$A$204,0)),""))))</f>
        <v/>
      </c>
      <c r="R131" s="26" t="str">
        <f aca="false">IF($A131="","",IF($E131&lt;&gt;"",$E131,IF($N131="","",IFERROR(INDEX($E$5:$E$204,MATCH($N131,$A$5:$A$204,0)),""))))</f>
        <v/>
      </c>
      <c r="S131" s="26" t="str">
        <f aca="false">IF($A131="","",IF($H131&lt;&gt;"",$H131,IF($N131="","",IFERROR(INDEX($H$5:$H$204,MATCH($N131,$A$5:$A$204,0)),""))))</f>
        <v/>
      </c>
      <c r="T131" s="26" t="str">
        <f aca="false">IF($A131="","",IF($F131&lt;&gt;"",$F131,IF($N131="","",IFERROR(INDEX($F$5:$F$204,MATCH($N131,$A$5:$A$204,0)),""))))</f>
        <v/>
      </c>
      <c r="U131" s="27" t="str">
        <f aca="false">IF($A131="","",SUMIFS(MVT_NET,MVT_LOT,$A131))</f>
        <v/>
      </c>
      <c r="V131" s="28" t="str">
        <f aca="false">IF($A131="","",COUNTIFS(MVT_LOT,$A131,MVT_BRUT,"&lt;&gt;0"))</f>
        <v/>
      </c>
      <c r="W131" s="28" t="str">
        <f aca="false">IF($A131="","",COUNTIFS(QC_LOT,$A131))</f>
        <v/>
      </c>
      <c r="X131" s="26" t="str">
        <f aca="false">IF($A131="","",IFERROR(INDEX(QC_DEC,MATCH($A131,QC_CLEDER,0)),""))</f>
        <v/>
      </c>
      <c r="Y131" s="26" t="str">
        <f aca="false">IF($A131="","",IF(COUNTIF($A$5:$A$204,$A131)&gt;1,IF(SUMPRODUCT(($A$5:$A$204=$A131)*(($C$5:$C$204&lt;&gt;$C131)+($D$5:$D$204&lt;&gt;$D131)))&gt;0,"INCOHERENCE","LOT EN DOUBLE"),"OK"))</f>
        <v/>
      </c>
      <c r="Z131" s="28" t="n">
        <f aca="false">IF($A131="",0,IF(AND($O131&lt;&gt;"",$A131&lt;&gt;R_LOT,$O131=IFERROR(INDEX(LOT_EXTE,MATCH(R_LOT,LOT_KEY,0)),"#")),1,0))</f>
        <v>0</v>
      </c>
      <c r="AA131" s="26" t="str">
        <f aca="false">IF($Z131=0,"",COUNTIF($Z$5:$Z131,1))</f>
        <v/>
      </c>
    </row>
    <row r="132" customFormat="false" ht="15" hidden="false" customHeight="false" outlineLevel="0" collapsed="false">
      <c r="A132" s="24"/>
      <c r="B132" s="24"/>
      <c r="C132" s="24"/>
      <c r="D132" s="24"/>
      <c r="E132" s="24"/>
      <c r="F132" s="24"/>
      <c r="G132" s="24"/>
      <c r="H132" s="24"/>
      <c r="I132" s="24"/>
      <c r="J132" s="24"/>
      <c r="K132" s="25"/>
      <c r="L132" s="24"/>
      <c r="M132" s="24"/>
      <c r="N132" s="26" t="str">
        <f aca="false">IF($A132="","",IF($L132&lt;&gt;"",$L132,IF(IFERROR(INDEX(RES_LOTSRC,MATCH($A132,RES_LOTEFF,0)),"")=$A132,"",IFERROR(INDEX(RES_LOTSRC,MATCH($A132,RES_LOTEFF,0)),""))))</f>
        <v/>
      </c>
      <c r="O132" s="26" t="str">
        <f aca="false">IF($A132="","",IF($B132&lt;&gt;"",$B132,IF($N132="","",IFERROR(INDEX($B$5:$B$204,MATCH($N132,$A$5:$A$204,0)),""))))</f>
        <v/>
      </c>
      <c r="P132" s="26" t="str">
        <f aca="false">IF($A132="","",IF($C132&lt;&gt;"",$C132,IF($N132="","",IFERROR(INDEX($C$5:$C$204,MATCH($N132,$A$5:$A$204,0)),""))))</f>
        <v/>
      </c>
      <c r="Q132" s="26" t="str">
        <f aca="false">IF($A132="","",IF($D132&lt;&gt;"",$D132,IF($N132="","",IFERROR(INDEX($D$5:$D$204,MATCH($N132,$A$5:$A$204,0)),""))))</f>
        <v/>
      </c>
      <c r="R132" s="26" t="str">
        <f aca="false">IF($A132="","",IF($E132&lt;&gt;"",$E132,IF($N132="","",IFERROR(INDEX($E$5:$E$204,MATCH($N132,$A$5:$A$204,0)),""))))</f>
        <v/>
      </c>
      <c r="S132" s="26" t="str">
        <f aca="false">IF($A132="","",IF($H132&lt;&gt;"",$H132,IF($N132="","",IFERROR(INDEX($H$5:$H$204,MATCH($N132,$A$5:$A$204,0)),""))))</f>
        <v/>
      </c>
      <c r="T132" s="26" t="str">
        <f aca="false">IF($A132="","",IF($F132&lt;&gt;"",$F132,IF($N132="","",IFERROR(INDEX($F$5:$F$204,MATCH($N132,$A$5:$A$204,0)),""))))</f>
        <v/>
      </c>
      <c r="U132" s="27" t="str">
        <f aca="false">IF($A132="","",SUMIFS(MVT_NET,MVT_LOT,$A132))</f>
        <v/>
      </c>
      <c r="V132" s="28" t="str">
        <f aca="false">IF($A132="","",COUNTIFS(MVT_LOT,$A132,MVT_BRUT,"&lt;&gt;0"))</f>
        <v/>
      </c>
      <c r="W132" s="28" t="str">
        <f aca="false">IF($A132="","",COUNTIFS(QC_LOT,$A132))</f>
        <v/>
      </c>
      <c r="X132" s="26" t="str">
        <f aca="false">IF($A132="","",IFERROR(INDEX(QC_DEC,MATCH($A132,QC_CLEDER,0)),""))</f>
        <v/>
      </c>
      <c r="Y132" s="26" t="str">
        <f aca="false">IF($A132="","",IF(COUNTIF($A$5:$A$204,$A132)&gt;1,IF(SUMPRODUCT(($A$5:$A$204=$A132)*(($C$5:$C$204&lt;&gt;$C132)+($D$5:$D$204&lt;&gt;$D132)))&gt;0,"INCOHERENCE","LOT EN DOUBLE"),"OK"))</f>
        <v/>
      </c>
      <c r="Z132" s="28" t="n">
        <f aca="false">IF($A132="",0,IF(AND($O132&lt;&gt;"",$A132&lt;&gt;R_LOT,$O132=IFERROR(INDEX(LOT_EXTE,MATCH(R_LOT,LOT_KEY,0)),"#")),1,0))</f>
        <v>0</v>
      </c>
      <c r="AA132" s="26" t="str">
        <f aca="false">IF($Z132=0,"",COUNTIF($Z$5:$Z132,1))</f>
        <v/>
      </c>
    </row>
    <row r="133" customFormat="false" ht="15" hidden="false" customHeight="false" outlineLevel="0" collapsed="false">
      <c r="A133" s="24"/>
      <c r="B133" s="24"/>
      <c r="C133" s="24"/>
      <c r="D133" s="24"/>
      <c r="E133" s="24"/>
      <c r="F133" s="24"/>
      <c r="G133" s="24"/>
      <c r="H133" s="24"/>
      <c r="I133" s="24"/>
      <c r="J133" s="24"/>
      <c r="K133" s="25"/>
      <c r="L133" s="24"/>
      <c r="M133" s="24"/>
      <c r="N133" s="26" t="str">
        <f aca="false">IF($A133="","",IF($L133&lt;&gt;"",$L133,IF(IFERROR(INDEX(RES_LOTSRC,MATCH($A133,RES_LOTEFF,0)),"")=$A133,"",IFERROR(INDEX(RES_LOTSRC,MATCH($A133,RES_LOTEFF,0)),""))))</f>
        <v/>
      </c>
      <c r="O133" s="26" t="str">
        <f aca="false">IF($A133="","",IF($B133&lt;&gt;"",$B133,IF($N133="","",IFERROR(INDEX($B$5:$B$204,MATCH($N133,$A$5:$A$204,0)),""))))</f>
        <v/>
      </c>
      <c r="P133" s="26" t="str">
        <f aca="false">IF($A133="","",IF($C133&lt;&gt;"",$C133,IF($N133="","",IFERROR(INDEX($C$5:$C$204,MATCH($N133,$A$5:$A$204,0)),""))))</f>
        <v/>
      </c>
      <c r="Q133" s="26" t="str">
        <f aca="false">IF($A133="","",IF($D133&lt;&gt;"",$D133,IF($N133="","",IFERROR(INDEX($D$5:$D$204,MATCH($N133,$A$5:$A$204,0)),""))))</f>
        <v/>
      </c>
      <c r="R133" s="26" t="str">
        <f aca="false">IF($A133="","",IF($E133&lt;&gt;"",$E133,IF($N133="","",IFERROR(INDEX($E$5:$E$204,MATCH($N133,$A$5:$A$204,0)),""))))</f>
        <v/>
      </c>
      <c r="S133" s="26" t="str">
        <f aca="false">IF($A133="","",IF($H133&lt;&gt;"",$H133,IF($N133="","",IFERROR(INDEX($H$5:$H$204,MATCH($N133,$A$5:$A$204,0)),""))))</f>
        <v/>
      </c>
      <c r="T133" s="26" t="str">
        <f aca="false">IF($A133="","",IF($F133&lt;&gt;"",$F133,IF($N133="","",IFERROR(INDEX($F$5:$F$204,MATCH($N133,$A$5:$A$204,0)),""))))</f>
        <v/>
      </c>
      <c r="U133" s="27" t="str">
        <f aca="false">IF($A133="","",SUMIFS(MVT_NET,MVT_LOT,$A133))</f>
        <v/>
      </c>
      <c r="V133" s="28" t="str">
        <f aca="false">IF($A133="","",COUNTIFS(MVT_LOT,$A133,MVT_BRUT,"&lt;&gt;0"))</f>
        <v/>
      </c>
      <c r="W133" s="28" t="str">
        <f aca="false">IF($A133="","",COUNTIFS(QC_LOT,$A133))</f>
        <v/>
      </c>
      <c r="X133" s="26" t="str">
        <f aca="false">IF($A133="","",IFERROR(INDEX(QC_DEC,MATCH($A133,QC_CLEDER,0)),""))</f>
        <v/>
      </c>
      <c r="Y133" s="26" t="str">
        <f aca="false">IF($A133="","",IF(COUNTIF($A$5:$A$204,$A133)&gt;1,IF(SUMPRODUCT(($A$5:$A$204=$A133)*(($C$5:$C$204&lt;&gt;$C133)+($D$5:$D$204&lt;&gt;$D133)))&gt;0,"INCOHERENCE","LOT EN DOUBLE"),"OK"))</f>
        <v/>
      </c>
      <c r="Z133" s="28" t="n">
        <f aca="false">IF($A133="",0,IF(AND($O133&lt;&gt;"",$A133&lt;&gt;R_LOT,$O133=IFERROR(INDEX(LOT_EXTE,MATCH(R_LOT,LOT_KEY,0)),"#")),1,0))</f>
        <v>0</v>
      </c>
      <c r="AA133" s="26" t="str">
        <f aca="false">IF($Z133=0,"",COUNTIF($Z$5:$Z133,1))</f>
        <v/>
      </c>
    </row>
    <row r="134" customFormat="false" ht="15" hidden="false" customHeight="false" outlineLevel="0" collapsed="false">
      <c r="A134" s="24"/>
      <c r="B134" s="24"/>
      <c r="C134" s="24"/>
      <c r="D134" s="24"/>
      <c r="E134" s="24"/>
      <c r="F134" s="24"/>
      <c r="G134" s="24"/>
      <c r="H134" s="24"/>
      <c r="I134" s="24"/>
      <c r="J134" s="24"/>
      <c r="K134" s="25"/>
      <c r="L134" s="24"/>
      <c r="M134" s="24"/>
      <c r="N134" s="26" t="str">
        <f aca="false">IF($A134="","",IF($L134&lt;&gt;"",$L134,IF(IFERROR(INDEX(RES_LOTSRC,MATCH($A134,RES_LOTEFF,0)),"")=$A134,"",IFERROR(INDEX(RES_LOTSRC,MATCH($A134,RES_LOTEFF,0)),""))))</f>
        <v/>
      </c>
      <c r="O134" s="26" t="str">
        <f aca="false">IF($A134="","",IF($B134&lt;&gt;"",$B134,IF($N134="","",IFERROR(INDEX($B$5:$B$204,MATCH($N134,$A$5:$A$204,0)),""))))</f>
        <v/>
      </c>
      <c r="P134" s="26" t="str">
        <f aca="false">IF($A134="","",IF($C134&lt;&gt;"",$C134,IF($N134="","",IFERROR(INDEX($C$5:$C$204,MATCH($N134,$A$5:$A$204,0)),""))))</f>
        <v/>
      </c>
      <c r="Q134" s="26" t="str">
        <f aca="false">IF($A134="","",IF($D134&lt;&gt;"",$D134,IF($N134="","",IFERROR(INDEX($D$5:$D$204,MATCH($N134,$A$5:$A$204,0)),""))))</f>
        <v/>
      </c>
      <c r="R134" s="26" t="str">
        <f aca="false">IF($A134="","",IF($E134&lt;&gt;"",$E134,IF($N134="","",IFERROR(INDEX($E$5:$E$204,MATCH($N134,$A$5:$A$204,0)),""))))</f>
        <v/>
      </c>
      <c r="S134" s="26" t="str">
        <f aca="false">IF($A134="","",IF($H134&lt;&gt;"",$H134,IF($N134="","",IFERROR(INDEX($H$5:$H$204,MATCH($N134,$A$5:$A$204,0)),""))))</f>
        <v/>
      </c>
      <c r="T134" s="26" t="str">
        <f aca="false">IF($A134="","",IF($F134&lt;&gt;"",$F134,IF($N134="","",IFERROR(INDEX($F$5:$F$204,MATCH($N134,$A$5:$A$204,0)),""))))</f>
        <v/>
      </c>
      <c r="U134" s="27" t="str">
        <f aca="false">IF($A134="","",SUMIFS(MVT_NET,MVT_LOT,$A134))</f>
        <v/>
      </c>
      <c r="V134" s="28" t="str">
        <f aca="false">IF($A134="","",COUNTIFS(MVT_LOT,$A134,MVT_BRUT,"&lt;&gt;0"))</f>
        <v/>
      </c>
      <c r="W134" s="28" t="str">
        <f aca="false">IF($A134="","",COUNTIFS(QC_LOT,$A134))</f>
        <v/>
      </c>
      <c r="X134" s="26" t="str">
        <f aca="false">IF($A134="","",IFERROR(INDEX(QC_DEC,MATCH($A134,QC_CLEDER,0)),""))</f>
        <v/>
      </c>
      <c r="Y134" s="26" t="str">
        <f aca="false">IF($A134="","",IF(COUNTIF($A$5:$A$204,$A134)&gt;1,IF(SUMPRODUCT(($A$5:$A$204=$A134)*(($C$5:$C$204&lt;&gt;$C134)+($D$5:$D$204&lt;&gt;$D134)))&gt;0,"INCOHERENCE","LOT EN DOUBLE"),"OK"))</f>
        <v/>
      </c>
      <c r="Z134" s="28" t="n">
        <f aca="false">IF($A134="",0,IF(AND($O134&lt;&gt;"",$A134&lt;&gt;R_LOT,$O134=IFERROR(INDEX(LOT_EXTE,MATCH(R_LOT,LOT_KEY,0)),"#")),1,0))</f>
        <v>0</v>
      </c>
      <c r="AA134" s="26" t="str">
        <f aca="false">IF($Z134=0,"",COUNTIF($Z$5:$Z134,1))</f>
        <v/>
      </c>
    </row>
    <row r="135" customFormat="false" ht="15" hidden="false" customHeight="false" outlineLevel="0" collapsed="false">
      <c r="A135" s="24"/>
      <c r="B135" s="24"/>
      <c r="C135" s="24"/>
      <c r="D135" s="24"/>
      <c r="E135" s="24"/>
      <c r="F135" s="24"/>
      <c r="G135" s="24"/>
      <c r="H135" s="24"/>
      <c r="I135" s="24"/>
      <c r="J135" s="24"/>
      <c r="K135" s="25"/>
      <c r="L135" s="24"/>
      <c r="M135" s="24"/>
      <c r="N135" s="26" t="str">
        <f aca="false">IF($A135="","",IF($L135&lt;&gt;"",$L135,IF(IFERROR(INDEX(RES_LOTSRC,MATCH($A135,RES_LOTEFF,0)),"")=$A135,"",IFERROR(INDEX(RES_LOTSRC,MATCH($A135,RES_LOTEFF,0)),""))))</f>
        <v/>
      </c>
      <c r="O135" s="26" t="str">
        <f aca="false">IF($A135="","",IF($B135&lt;&gt;"",$B135,IF($N135="","",IFERROR(INDEX($B$5:$B$204,MATCH($N135,$A$5:$A$204,0)),""))))</f>
        <v/>
      </c>
      <c r="P135" s="26" t="str">
        <f aca="false">IF($A135="","",IF($C135&lt;&gt;"",$C135,IF($N135="","",IFERROR(INDEX($C$5:$C$204,MATCH($N135,$A$5:$A$204,0)),""))))</f>
        <v/>
      </c>
      <c r="Q135" s="26" t="str">
        <f aca="false">IF($A135="","",IF($D135&lt;&gt;"",$D135,IF($N135="","",IFERROR(INDEX($D$5:$D$204,MATCH($N135,$A$5:$A$204,0)),""))))</f>
        <v/>
      </c>
      <c r="R135" s="26" t="str">
        <f aca="false">IF($A135="","",IF($E135&lt;&gt;"",$E135,IF($N135="","",IFERROR(INDEX($E$5:$E$204,MATCH($N135,$A$5:$A$204,0)),""))))</f>
        <v/>
      </c>
      <c r="S135" s="26" t="str">
        <f aca="false">IF($A135="","",IF($H135&lt;&gt;"",$H135,IF($N135="","",IFERROR(INDEX($H$5:$H$204,MATCH($N135,$A$5:$A$204,0)),""))))</f>
        <v/>
      </c>
      <c r="T135" s="26" t="str">
        <f aca="false">IF($A135="","",IF($F135&lt;&gt;"",$F135,IF($N135="","",IFERROR(INDEX($F$5:$F$204,MATCH($N135,$A$5:$A$204,0)),""))))</f>
        <v/>
      </c>
      <c r="U135" s="27" t="str">
        <f aca="false">IF($A135="","",SUMIFS(MVT_NET,MVT_LOT,$A135))</f>
        <v/>
      </c>
      <c r="V135" s="28" t="str">
        <f aca="false">IF($A135="","",COUNTIFS(MVT_LOT,$A135,MVT_BRUT,"&lt;&gt;0"))</f>
        <v/>
      </c>
      <c r="W135" s="28" t="str">
        <f aca="false">IF($A135="","",COUNTIFS(QC_LOT,$A135))</f>
        <v/>
      </c>
      <c r="X135" s="26" t="str">
        <f aca="false">IF($A135="","",IFERROR(INDEX(QC_DEC,MATCH($A135,QC_CLEDER,0)),""))</f>
        <v/>
      </c>
      <c r="Y135" s="26" t="str">
        <f aca="false">IF($A135="","",IF(COUNTIF($A$5:$A$204,$A135)&gt;1,IF(SUMPRODUCT(($A$5:$A$204=$A135)*(($C$5:$C$204&lt;&gt;$C135)+($D$5:$D$204&lt;&gt;$D135)))&gt;0,"INCOHERENCE","LOT EN DOUBLE"),"OK"))</f>
        <v/>
      </c>
      <c r="Z135" s="28" t="n">
        <f aca="false">IF($A135="",0,IF(AND($O135&lt;&gt;"",$A135&lt;&gt;R_LOT,$O135=IFERROR(INDEX(LOT_EXTE,MATCH(R_LOT,LOT_KEY,0)),"#")),1,0))</f>
        <v>0</v>
      </c>
      <c r="AA135" s="26" t="str">
        <f aca="false">IF($Z135=0,"",COUNTIF($Z$5:$Z135,1))</f>
        <v/>
      </c>
    </row>
    <row r="136" customFormat="false" ht="15" hidden="false" customHeight="false" outlineLevel="0" collapsed="false">
      <c r="A136" s="24"/>
      <c r="B136" s="24"/>
      <c r="C136" s="24"/>
      <c r="D136" s="24"/>
      <c r="E136" s="24"/>
      <c r="F136" s="24"/>
      <c r="G136" s="24"/>
      <c r="H136" s="24"/>
      <c r="I136" s="24"/>
      <c r="J136" s="24"/>
      <c r="K136" s="25"/>
      <c r="L136" s="24"/>
      <c r="M136" s="24"/>
      <c r="N136" s="26" t="str">
        <f aca="false">IF($A136="","",IF($L136&lt;&gt;"",$L136,IF(IFERROR(INDEX(RES_LOTSRC,MATCH($A136,RES_LOTEFF,0)),"")=$A136,"",IFERROR(INDEX(RES_LOTSRC,MATCH($A136,RES_LOTEFF,0)),""))))</f>
        <v/>
      </c>
      <c r="O136" s="26" t="str">
        <f aca="false">IF($A136="","",IF($B136&lt;&gt;"",$B136,IF($N136="","",IFERROR(INDEX($B$5:$B$204,MATCH($N136,$A$5:$A$204,0)),""))))</f>
        <v/>
      </c>
      <c r="P136" s="26" t="str">
        <f aca="false">IF($A136="","",IF($C136&lt;&gt;"",$C136,IF($N136="","",IFERROR(INDEX($C$5:$C$204,MATCH($N136,$A$5:$A$204,0)),""))))</f>
        <v/>
      </c>
      <c r="Q136" s="26" t="str">
        <f aca="false">IF($A136="","",IF($D136&lt;&gt;"",$D136,IF($N136="","",IFERROR(INDEX($D$5:$D$204,MATCH($N136,$A$5:$A$204,0)),""))))</f>
        <v/>
      </c>
      <c r="R136" s="26" t="str">
        <f aca="false">IF($A136="","",IF($E136&lt;&gt;"",$E136,IF($N136="","",IFERROR(INDEX($E$5:$E$204,MATCH($N136,$A$5:$A$204,0)),""))))</f>
        <v/>
      </c>
      <c r="S136" s="26" t="str">
        <f aca="false">IF($A136="","",IF($H136&lt;&gt;"",$H136,IF($N136="","",IFERROR(INDEX($H$5:$H$204,MATCH($N136,$A$5:$A$204,0)),""))))</f>
        <v/>
      </c>
      <c r="T136" s="26" t="str">
        <f aca="false">IF($A136="","",IF($F136&lt;&gt;"",$F136,IF($N136="","",IFERROR(INDEX($F$5:$F$204,MATCH($N136,$A$5:$A$204,0)),""))))</f>
        <v/>
      </c>
      <c r="U136" s="27" t="str">
        <f aca="false">IF($A136="","",SUMIFS(MVT_NET,MVT_LOT,$A136))</f>
        <v/>
      </c>
      <c r="V136" s="28" t="str">
        <f aca="false">IF($A136="","",COUNTIFS(MVT_LOT,$A136,MVT_BRUT,"&lt;&gt;0"))</f>
        <v/>
      </c>
      <c r="W136" s="28" t="str">
        <f aca="false">IF($A136="","",COUNTIFS(QC_LOT,$A136))</f>
        <v/>
      </c>
      <c r="X136" s="26" t="str">
        <f aca="false">IF($A136="","",IFERROR(INDEX(QC_DEC,MATCH($A136,QC_CLEDER,0)),""))</f>
        <v/>
      </c>
      <c r="Y136" s="26" t="str">
        <f aca="false">IF($A136="","",IF(COUNTIF($A$5:$A$204,$A136)&gt;1,IF(SUMPRODUCT(($A$5:$A$204=$A136)*(($C$5:$C$204&lt;&gt;$C136)+($D$5:$D$204&lt;&gt;$D136)))&gt;0,"INCOHERENCE","LOT EN DOUBLE"),"OK"))</f>
        <v/>
      </c>
      <c r="Z136" s="28" t="n">
        <f aca="false">IF($A136="",0,IF(AND($O136&lt;&gt;"",$A136&lt;&gt;R_LOT,$O136=IFERROR(INDEX(LOT_EXTE,MATCH(R_LOT,LOT_KEY,0)),"#")),1,0))</f>
        <v>0</v>
      </c>
      <c r="AA136" s="26" t="str">
        <f aca="false">IF($Z136=0,"",COUNTIF($Z$5:$Z136,1))</f>
        <v/>
      </c>
    </row>
    <row r="137" customFormat="false" ht="15" hidden="false" customHeight="false" outlineLevel="0" collapsed="false">
      <c r="A137" s="24"/>
      <c r="B137" s="24"/>
      <c r="C137" s="24"/>
      <c r="D137" s="24"/>
      <c r="E137" s="24"/>
      <c r="F137" s="24"/>
      <c r="G137" s="24"/>
      <c r="H137" s="24"/>
      <c r="I137" s="24"/>
      <c r="J137" s="24"/>
      <c r="K137" s="25"/>
      <c r="L137" s="24"/>
      <c r="M137" s="24"/>
      <c r="N137" s="26" t="str">
        <f aca="false">IF($A137="","",IF($L137&lt;&gt;"",$L137,IF(IFERROR(INDEX(RES_LOTSRC,MATCH($A137,RES_LOTEFF,0)),"")=$A137,"",IFERROR(INDEX(RES_LOTSRC,MATCH($A137,RES_LOTEFF,0)),""))))</f>
        <v/>
      </c>
      <c r="O137" s="26" t="str">
        <f aca="false">IF($A137="","",IF($B137&lt;&gt;"",$B137,IF($N137="","",IFERROR(INDEX($B$5:$B$204,MATCH($N137,$A$5:$A$204,0)),""))))</f>
        <v/>
      </c>
      <c r="P137" s="26" t="str">
        <f aca="false">IF($A137="","",IF($C137&lt;&gt;"",$C137,IF($N137="","",IFERROR(INDEX($C$5:$C$204,MATCH($N137,$A$5:$A$204,0)),""))))</f>
        <v/>
      </c>
      <c r="Q137" s="26" t="str">
        <f aca="false">IF($A137="","",IF($D137&lt;&gt;"",$D137,IF($N137="","",IFERROR(INDEX($D$5:$D$204,MATCH($N137,$A$5:$A$204,0)),""))))</f>
        <v/>
      </c>
      <c r="R137" s="26" t="str">
        <f aca="false">IF($A137="","",IF($E137&lt;&gt;"",$E137,IF($N137="","",IFERROR(INDEX($E$5:$E$204,MATCH($N137,$A$5:$A$204,0)),""))))</f>
        <v/>
      </c>
      <c r="S137" s="26" t="str">
        <f aca="false">IF($A137="","",IF($H137&lt;&gt;"",$H137,IF($N137="","",IFERROR(INDEX($H$5:$H$204,MATCH($N137,$A$5:$A$204,0)),""))))</f>
        <v/>
      </c>
      <c r="T137" s="26" t="str">
        <f aca="false">IF($A137="","",IF($F137&lt;&gt;"",$F137,IF($N137="","",IFERROR(INDEX($F$5:$F$204,MATCH($N137,$A$5:$A$204,0)),""))))</f>
        <v/>
      </c>
      <c r="U137" s="27" t="str">
        <f aca="false">IF($A137="","",SUMIFS(MVT_NET,MVT_LOT,$A137))</f>
        <v/>
      </c>
      <c r="V137" s="28" t="str">
        <f aca="false">IF($A137="","",COUNTIFS(MVT_LOT,$A137,MVT_BRUT,"&lt;&gt;0"))</f>
        <v/>
      </c>
      <c r="W137" s="28" t="str">
        <f aca="false">IF($A137="","",COUNTIFS(QC_LOT,$A137))</f>
        <v/>
      </c>
      <c r="X137" s="26" t="str">
        <f aca="false">IF($A137="","",IFERROR(INDEX(QC_DEC,MATCH($A137,QC_CLEDER,0)),""))</f>
        <v/>
      </c>
      <c r="Y137" s="26" t="str">
        <f aca="false">IF($A137="","",IF(COUNTIF($A$5:$A$204,$A137)&gt;1,IF(SUMPRODUCT(($A$5:$A$204=$A137)*(($C$5:$C$204&lt;&gt;$C137)+($D$5:$D$204&lt;&gt;$D137)))&gt;0,"INCOHERENCE","LOT EN DOUBLE"),"OK"))</f>
        <v/>
      </c>
      <c r="Z137" s="28" t="n">
        <f aca="false">IF($A137="",0,IF(AND($O137&lt;&gt;"",$A137&lt;&gt;R_LOT,$O137=IFERROR(INDEX(LOT_EXTE,MATCH(R_LOT,LOT_KEY,0)),"#")),1,0))</f>
        <v>0</v>
      </c>
      <c r="AA137" s="26" t="str">
        <f aca="false">IF($Z137=0,"",COUNTIF($Z$5:$Z137,1))</f>
        <v/>
      </c>
    </row>
    <row r="138" customFormat="false" ht="15" hidden="false" customHeight="false" outlineLevel="0" collapsed="false">
      <c r="A138" s="24"/>
      <c r="B138" s="24"/>
      <c r="C138" s="24"/>
      <c r="D138" s="24"/>
      <c r="E138" s="24"/>
      <c r="F138" s="24"/>
      <c r="G138" s="24"/>
      <c r="H138" s="24"/>
      <c r="I138" s="24"/>
      <c r="J138" s="24"/>
      <c r="K138" s="25"/>
      <c r="L138" s="24"/>
      <c r="M138" s="24"/>
      <c r="N138" s="26" t="str">
        <f aca="false">IF($A138="","",IF($L138&lt;&gt;"",$L138,IF(IFERROR(INDEX(RES_LOTSRC,MATCH($A138,RES_LOTEFF,0)),"")=$A138,"",IFERROR(INDEX(RES_LOTSRC,MATCH($A138,RES_LOTEFF,0)),""))))</f>
        <v/>
      </c>
      <c r="O138" s="26" t="str">
        <f aca="false">IF($A138="","",IF($B138&lt;&gt;"",$B138,IF($N138="","",IFERROR(INDEX($B$5:$B$204,MATCH($N138,$A$5:$A$204,0)),""))))</f>
        <v/>
      </c>
      <c r="P138" s="26" t="str">
        <f aca="false">IF($A138="","",IF($C138&lt;&gt;"",$C138,IF($N138="","",IFERROR(INDEX($C$5:$C$204,MATCH($N138,$A$5:$A$204,0)),""))))</f>
        <v/>
      </c>
      <c r="Q138" s="26" t="str">
        <f aca="false">IF($A138="","",IF($D138&lt;&gt;"",$D138,IF($N138="","",IFERROR(INDEX($D$5:$D$204,MATCH($N138,$A$5:$A$204,0)),""))))</f>
        <v/>
      </c>
      <c r="R138" s="26" t="str">
        <f aca="false">IF($A138="","",IF($E138&lt;&gt;"",$E138,IF($N138="","",IFERROR(INDEX($E$5:$E$204,MATCH($N138,$A$5:$A$204,0)),""))))</f>
        <v/>
      </c>
      <c r="S138" s="26" t="str">
        <f aca="false">IF($A138="","",IF($H138&lt;&gt;"",$H138,IF($N138="","",IFERROR(INDEX($H$5:$H$204,MATCH($N138,$A$5:$A$204,0)),""))))</f>
        <v/>
      </c>
      <c r="T138" s="26" t="str">
        <f aca="false">IF($A138="","",IF($F138&lt;&gt;"",$F138,IF($N138="","",IFERROR(INDEX($F$5:$F$204,MATCH($N138,$A$5:$A$204,0)),""))))</f>
        <v/>
      </c>
      <c r="U138" s="27" t="str">
        <f aca="false">IF($A138="","",SUMIFS(MVT_NET,MVT_LOT,$A138))</f>
        <v/>
      </c>
      <c r="V138" s="28" t="str">
        <f aca="false">IF($A138="","",COUNTIFS(MVT_LOT,$A138,MVT_BRUT,"&lt;&gt;0"))</f>
        <v/>
      </c>
      <c r="W138" s="28" t="str">
        <f aca="false">IF($A138="","",COUNTIFS(QC_LOT,$A138))</f>
        <v/>
      </c>
      <c r="X138" s="26" t="str">
        <f aca="false">IF($A138="","",IFERROR(INDEX(QC_DEC,MATCH($A138,QC_CLEDER,0)),""))</f>
        <v/>
      </c>
      <c r="Y138" s="26" t="str">
        <f aca="false">IF($A138="","",IF(COUNTIF($A$5:$A$204,$A138)&gt;1,IF(SUMPRODUCT(($A$5:$A$204=$A138)*(($C$5:$C$204&lt;&gt;$C138)+($D$5:$D$204&lt;&gt;$D138)))&gt;0,"INCOHERENCE","LOT EN DOUBLE"),"OK"))</f>
        <v/>
      </c>
      <c r="Z138" s="28" t="n">
        <f aca="false">IF($A138="",0,IF(AND($O138&lt;&gt;"",$A138&lt;&gt;R_LOT,$O138=IFERROR(INDEX(LOT_EXTE,MATCH(R_LOT,LOT_KEY,0)),"#")),1,0))</f>
        <v>0</v>
      </c>
      <c r="AA138" s="26" t="str">
        <f aca="false">IF($Z138=0,"",COUNTIF($Z$5:$Z138,1))</f>
        <v/>
      </c>
    </row>
    <row r="139" customFormat="false" ht="15" hidden="false" customHeight="false" outlineLevel="0" collapsed="false">
      <c r="A139" s="24"/>
      <c r="B139" s="24"/>
      <c r="C139" s="24"/>
      <c r="D139" s="24"/>
      <c r="E139" s="24"/>
      <c r="F139" s="24"/>
      <c r="G139" s="24"/>
      <c r="H139" s="24"/>
      <c r="I139" s="24"/>
      <c r="J139" s="24"/>
      <c r="K139" s="25"/>
      <c r="L139" s="24"/>
      <c r="M139" s="24"/>
      <c r="N139" s="26" t="str">
        <f aca="false">IF($A139="","",IF($L139&lt;&gt;"",$L139,IF(IFERROR(INDEX(RES_LOTSRC,MATCH($A139,RES_LOTEFF,0)),"")=$A139,"",IFERROR(INDEX(RES_LOTSRC,MATCH($A139,RES_LOTEFF,0)),""))))</f>
        <v/>
      </c>
      <c r="O139" s="26" t="str">
        <f aca="false">IF($A139="","",IF($B139&lt;&gt;"",$B139,IF($N139="","",IFERROR(INDEX($B$5:$B$204,MATCH($N139,$A$5:$A$204,0)),""))))</f>
        <v/>
      </c>
      <c r="P139" s="26" t="str">
        <f aca="false">IF($A139="","",IF($C139&lt;&gt;"",$C139,IF($N139="","",IFERROR(INDEX($C$5:$C$204,MATCH($N139,$A$5:$A$204,0)),""))))</f>
        <v/>
      </c>
      <c r="Q139" s="26" t="str">
        <f aca="false">IF($A139="","",IF($D139&lt;&gt;"",$D139,IF($N139="","",IFERROR(INDEX($D$5:$D$204,MATCH($N139,$A$5:$A$204,0)),""))))</f>
        <v/>
      </c>
      <c r="R139" s="26" t="str">
        <f aca="false">IF($A139="","",IF($E139&lt;&gt;"",$E139,IF($N139="","",IFERROR(INDEX($E$5:$E$204,MATCH($N139,$A$5:$A$204,0)),""))))</f>
        <v/>
      </c>
      <c r="S139" s="26" t="str">
        <f aca="false">IF($A139="","",IF($H139&lt;&gt;"",$H139,IF($N139="","",IFERROR(INDEX($H$5:$H$204,MATCH($N139,$A$5:$A$204,0)),""))))</f>
        <v/>
      </c>
      <c r="T139" s="26" t="str">
        <f aca="false">IF($A139="","",IF($F139&lt;&gt;"",$F139,IF($N139="","",IFERROR(INDEX($F$5:$F$204,MATCH($N139,$A$5:$A$204,0)),""))))</f>
        <v/>
      </c>
      <c r="U139" s="27" t="str">
        <f aca="false">IF($A139="","",SUMIFS(MVT_NET,MVT_LOT,$A139))</f>
        <v/>
      </c>
      <c r="V139" s="28" t="str">
        <f aca="false">IF($A139="","",COUNTIFS(MVT_LOT,$A139,MVT_BRUT,"&lt;&gt;0"))</f>
        <v/>
      </c>
      <c r="W139" s="28" t="str">
        <f aca="false">IF($A139="","",COUNTIFS(QC_LOT,$A139))</f>
        <v/>
      </c>
      <c r="X139" s="26" t="str">
        <f aca="false">IF($A139="","",IFERROR(INDEX(QC_DEC,MATCH($A139,QC_CLEDER,0)),""))</f>
        <v/>
      </c>
      <c r="Y139" s="26" t="str">
        <f aca="false">IF($A139="","",IF(COUNTIF($A$5:$A$204,$A139)&gt;1,IF(SUMPRODUCT(($A$5:$A$204=$A139)*(($C$5:$C$204&lt;&gt;$C139)+($D$5:$D$204&lt;&gt;$D139)))&gt;0,"INCOHERENCE","LOT EN DOUBLE"),"OK"))</f>
        <v/>
      </c>
      <c r="Z139" s="28" t="n">
        <f aca="false">IF($A139="",0,IF(AND($O139&lt;&gt;"",$A139&lt;&gt;R_LOT,$O139=IFERROR(INDEX(LOT_EXTE,MATCH(R_LOT,LOT_KEY,0)),"#")),1,0))</f>
        <v>0</v>
      </c>
      <c r="AA139" s="26" t="str">
        <f aca="false">IF($Z139=0,"",COUNTIF($Z$5:$Z139,1))</f>
        <v/>
      </c>
    </row>
    <row r="140" customFormat="false" ht="15" hidden="false" customHeight="false" outlineLevel="0" collapsed="false">
      <c r="A140" s="24"/>
      <c r="B140" s="24"/>
      <c r="C140" s="24"/>
      <c r="D140" s="24"/>
      <c r="E140" s="24"/>
      <c r="F140" s="24"/>
      <c r="G140" s="24"/>
      <c r="H140" s="24"/>
      <c r="I140" s="24"/>
      <c r="J140" s="24"/>
      <c r="K140" s="25"/>
      <c r="L140" s="24"/>
      <c r="M140" s="24"/>
      <c r="N140" s="26" t="str">
        <f aca="false">IF($A140="","",IF($L140&lt;&gt;"",$L140,IF(IFERROR(INDEX(RES_LOTSRC,MATCH($A140,RES_LOTEFF,0)),"")=$A140,"",IFERROR(INDEX(RES_LOTSRC,MATCH($A140,RES_LOTEFF,0)),""))))</f>
        <v/>
      </c>
      <c r="O140" s="26" t="str">
        <f aca="false">IF($A140="","",IF($B140&lt;&gt;"",$B140,IF($N140="","",IFERROR(INDEX($B$5:$B$204,MATCH($N140,$A$5:$A$204,0)),""))))</f>
        <v/>
      </c>
      <c r="P140" s="26" t="str">
        <f aca="false">IF($A140="","",IF($C140&lt;&gt;"",$C140,IF($N140="","",IFERROR(INDEX($C$5:$C$204,MATCH($N140,$A$5:$A$204,0)),""))))</f>
        <v/>
      </c>
      <c r="Q140" s="26" t="str">
        <f aca="false">IF($A140="","",IF($D140&lt;&gt;"",$D140,IF($N140="","",IFERROR(INDEX($D$5:$D$204,MATCH($N140,$A$5:$A$204,0)),""))))</f>
        <v/>
      </c>
      <c r="R140" s="26" t="str">
        <f aca="false">IF($A140="","",IF($E140&lt;&gt;"",$E140,IF($N140="","",IFERROR(INDEX($E$5:$E$204,MATCH($N140,$A$5:$A$204,0)),""))))</f>
        <v/>
      </c>
      <c r="S140" s="26" t="str">
        <f aca="false">IF($A140="","",IF($H140&lt;&gt;"",$H140,IF($N140="","",IFERROR(INDEX($H$5:$H$204,MATCH($N140,$A$5:$A$204,0)),""))))</f>
        <v/>
      </c>
      <c r="T140" s="26" t="str">
        <f aca="false">IF($A140="","",IF($F140&lt;&gt;"",$F140,IF($N140="","",IFERROR(INDEX($F$5:$F$204,MATCH($N140,$A$5:$A$204,0)),""))))</f>
        <v/>
      </c>
      <c r="U140" s="27" t="str">
        <f aca="false">IF($A140="","",SUMIFS(MVT_NET,MVT_LOT,$A140))</f>
        <v/>
      </c>
      <c r="V140" s="28" t="str">
        <f aca="false">IF($A140="","",COUNTIFS(MVT_LOT,$A140,MVT_BRUT,"&lt;&gt;0"))</f>
        <v/>
      </c>
      <c r="W140" s="28" t="str">
        <f aca="false">IF($A140="","",COUNTIFS(QC_LOT,$A140))</f>
        <v/>
      </c>
      <c r="X140" s="26" t="str">
        <f aca="false">IF($A140="","",IFERROR(INDEX(QC_DEC,MATCH($A140,QC_CLEDER,0)),""))</f>
        <v/>
      </c>
      <c r="Y140" s="26" t="str">
        <f aca="false">IF($A140="","",IF(COUNTIF($A$5:$A$204,$A140)&gt;1,IF(SUMPRODUCT(($A$5:$A$204=$A140)*(($C$5:$C$204&lt;&gt;$C140)+($D$5:$D$204&lt;&gt;$D140)))&gt;0,"INCOHERENCE","LOT EN DOUBLE"),"OK"))</f>
        <v/>
      </c>
      <c r="Z140" s="28" t="n">
        <f aca="false">IF($A140="",0,IF(AND($O140&lt;&gt;"",$A140&lt;&gt;R_LOT,$O140=IFERROR(INDEX(LOT_EXTE,MATCH(R_LOT,LOT_KEY,0)),"#")),1,0))</f>
        <v>0</v>
      </c>
      <c r="AA140" s="26" t="str">
        <f aca="false">IF($Z140=0,"",COUNTIF($Z$5:$Z140,1))</f>
        <v/>
      </c>
    </row>
    <row r="141" customFormat="false" ht="15" hidden="false" customHeight="false" outlineLevel="0" collapsed="false">
      <c r="A141" s="24"/>
      <c r="B141" s="24"/>
      <c r="C141" s="24"/>
      <c r="D141" s="24"/>
      <c r="E141" s="24"/>
      <c r="F141" s="24"/>
      <c r="G141" s="24"/>
      <c r="H141" s="24"/>
      <c r="I141" s="24"/>
      <c r="J141" s="24"/>
      <c r="K141" s="25"/>
      <c r="L141" s="24"/>
      <c r="M141" s="24"/>
      <c r="N141" s="26" t="str">
        <f aca="false">IF($A141="","",IF($L141&lt;&gt;"",$L141,IF(IFERROR(INDEX(RES_LOTSRC,MATCH($A141,RES_LOTEFF,0)),"")=$A141,"",IFERROR(INDEX(RES_LOTSRC,MATCH($A141,RES_LOTEFF,0)),""))))</f>
        <v/>
      </c>
      <c r="O141" s="26" t="str">
        <f aca="false">IF($A141="","",IF($B141&lt;&gt;"",$B141,IF($N141="","",IFERROR(INDEX($B$5:$B$204,MATCH($N141,$A$5:$A$204,0)),""))))</f>
        <v/>
      </c>
      <c r="P141" s="26" t="str">
        <f aca="false">IF($A141="","",IF($C141&lt;&gt;"",$C141,IF($N141="","",IFERROR(INDEX($C$5:$C$204,MATCH($N141,$A$5:$A$204,0)),""))))</f>
        <v/>
      </c>
      <c r="Q141" s="26" t="str">
        <f aca="false">IF($A141="","",IF($D141&lt;&gt;"",$D141,IF($N141="","",IFERROR(INDEX($D$5:$D$204,MATCH($N141,$A$5:$A$204,0)),""))))</f>
        <v/>
      </c>
      <c r="R141" s="26" t="str">
        <f aca="false">IF($A141="","",IF($E141&lt;&gt;"",$E141,IF($N141="","",IFERROR(INDEX($E$5:$E$204,MATCH($N141,$A$5:$A$204,0)),""))))</f>
        <v/>
      </c>
      <c r="S141" s="26" t="str">
        <f aca="false">IF($A141="","",IF($H141&lt;&gt;"",$H141,IF($N141="","",IFERROR(INDEX($H$5:$H$204,MATCH($N141,$A$5:$A$204,0)),""))))</f>
        <v/>
      </c>
      <c r="T141" s="26" t="str">
        <f aca="false">IF($A141="","",IF($F141&lt;&gt;"",$F141,IF($N141="","",IFERROR(INDEX($F$5:$F$204,MATCH($N141,$A$5:$A$204,0)),""))))</f>
        <v/>
      </c>
      <c r="U141" s="27" t="str">
        <f aca="false">IF($A141="","",SUMIFS(MVT_NET,MVT_LOT,$A141))</f>
        <v/>
      </c>
      <c r="V141" s="28" t="str">
        <f aca="false">IF($A141="","",COUNTIFS(MVT_LOT,$A141,MVT_BRUT,"&lt;&gt;0"))</f>
        <v/>
      </c>
      <c r="W141" s="28" t="str">
        <f aca="false">IF($A141="","",COUNTIFS(QC_LOT,$A141))</f>
        <v/>
      </c>
      <c r="X141" s="26" t="str">
        <f aca="false">IF($A141="","",IFERROR(INDEX(QC_DEC,MATCH($A141,QC_CLEDER,0)),""))</f>
        <v/>
      </c>
      <c r="Y141" s="26" t="str">
        <f aca="false">IF($A141="","",IF(COUNTIF($A$5:$A$204,$A141)&gt;1,IF(SUMPRODUCT(($A$5:$A$204=$A141)*(($C$5:$C$204&lt;&gt;$C141)+($D$5:$D$204&lt;&gt;$D141)))&gt;0,"INCOHERENCE","LOT EN DOUBLE"),"OK"))</f>
        <v/>
      </c>
      <c r="Z141" s="28" t="n">
        <f aca="false">IF($A141="",0,IF(AND($O141&lt;&gt;"",$A141&lt;&gt;R_LOT,$O141=IFERROR(INDEX(LOT_EXTE,MATCH(R_LOT,LOT_KEY,0)),"#")),1,0))</f>
        <v>0</v>
      </c>
      <c r="AA141" s="26" t="str">
        <f aca="false">IF($Z141=0,"",COUNTIF($Z$5:$Z141,1))</f>
        <v/>
      </c>
    </row>
    <row r="142" customFormat="false" ht="15" hidden="false" customHeight="false" outlineLevel="0" collapsed="false">
      <c r="A142" s="24"/>
      <c r="B142" s="24"/>
      <c r="C142" s="24"/>
      <c r="D142" s="24"/>
      <c r="E142" s="24"/>
      <c r="F142" s="24"/>
      <c r="G142" s="24"/>
      <c r="H142" s="24"/>
      <c r="I142" s="24"/>
      <c r="J142" s="24"/>
      <c r="K142" s="25"/>
      <c r="L142" s="24"/>
      <c r="M142" s="24"/>
      <c r="N142" s="26" t="str">
        <f aca="false">IF($A142="","",IF($L142&lt;&gt;"",$L142,IF(IFERROR(INDEX(RES_LOTSRC,MATCH($A142,RES_LOTEFF,0)),"")=$A142,"",IFERROR(INDEX(RES_LOTSRC,MATCH($A142,RES_LOTEFF,0)),""))))</f>
        <v/>
      </c>
      <c r="O142" s="26" t="str">
        <f aca="false">IF($A142="","",IF($B142&lt;&gt;"",$B142,IF($N142="","",IFERROR(INDEX($B$5:$B$204,MATCH($N142,$A$5:$A$204,0)),""))))</f>
        <v/>
      </c>
      <c r="P142" s="26" t="str">
        <f aca="false">IF($A142="","",IF($C142&lt;&gt;"",$C142,IF($N142="","",IFERROR(INDEX($C$5:$C$204,MATCH($N142,$A$5:$A$204,0)),""))))</f>
        <v/>
      </c>
      <c r="Q142" s="26" t="str">
        <f aca="false">IF($A142="","",IF($D142&lt;&gt;"",$D142,IF($N142="","",IFERROR(INDEX($D$5:$D$204,MATCH($N142,$A$5:$A$204,0)),""))))</f>
        <v/>
      </c>
      <c r="R142" s="26" t="str">
        <f aca="false">IF($A142="","",IF($E142&lt;&gt;"",$E142,IF($N142="","",IFERROR(INDEX($E$5:$E$204,MATCH($N142,$A$5:$A$204,0)),""))))</f>
        <v/>
      </c>
      <c r="S142" s="26" t="str">
        <f aca="false">IF($A142="","",IF($H142&lt;&gt;"",$H142,IF($N142="","",IFERROR(INDEX($H$5:$H$204,MATCH($N142,$A$5:$A$204,0)),""))))</f>
        <v/>
      </c>
      <c r="T142" s="26" t="str">
        <f aca="false">IF($A142="","",IF($F142&lt;&gt;"",$F142,IF($N142="","",IFERROR(INDEX($F$5:$F$204,MATCH($N142,$A$5:$A$204,0)),""))))</f>
        <v/>
      </c>
      <c r="U142" s="27" t="str">
        <f aca="false">IF($A142="","",SUMIFS(MVT_NET,MVT_LOT,$A142))</f>
        <v/>
      </c>
      <c r="V142" s="28" t="str">
        <f aca="false">IF($A142="","",COUNTIFS(MVT_LOT,$A142,MVT_BRUT,"&lt;&gt;0"))</f>
        <v/>
      </c>
      <c r="W142" s="28" t="str">
        <f aca="false">IF($A142="","",COUNTIFS(QC_LOT,$A142))</f>
        <v/>
      </c>
      <c r="X142" s="26" t="str">
        <f aca="false">IF($A142="","",IFERROR(INDEX(QC_DEC,MATCH($A142,QC_CLEDER,0)),""))</f>
        <v/>
      </c>
      <c r="Y142" s="26" t="str">
        <f aca="false">IF($A142="","",IF(COUNTIF($A$5:$A$204,$A142)&gt;1,IF(SUMPRODUCT(($A$5:$A$204=$A142)*(($C$5:$C$204&lt;&gt;$C142)+($D$5:$D$204&lt;&gt;$D142)))&gt;0,"INCOHERENCE","LOT EN DOUBLE"),"OK"))</f>
        <v/>
      </c>
      <c r="Z142" s="28" t="n">
        <f aca="false">IF($A142="",0,IF(AND($O142&lt;&gt;"",$A142&lt;&gt;R_LOT,$O142=IFERROR(INDEX(LOT_EXTE,MATCH(R_LOT,LOT_KEY,0)),"#")),1,0))</f>
        <v>0</v>
      </c>
      <c r="AA142" s="26" t="str">
        <f aca="false">IF($Z142=0,"",COUNTIF($Z$5:$Z142,1))</f>
        <v/>
      </c>
    </row>
    <row r="143" customFormat="false" ht="15" hidden="false" customHeight="false" outlineLevel="0" collapsed="false">
      <c r="A143" s="24"/>
      <c r="B143" s="24"/>
      <c r="C143" s="24"/>
      <c r="D143" s="24"/>
      <c r="E143" s="24"/>
      <c r="F143" s="24"/>
      <c r="G143" s="24"/>
      <c r="H143" s="24"/>
      <c r="I143" s="24"/>
      <c r="J143" s="24"/>
      <c r="K143" s="25"/>
      <c r="L143" s="24"/>
      <c r="M143" s="24"/>
      <c r="N143" s="26" t="str">
        <f aca="false">IF($A143="","",IF($L143&lt;&gt;"",$L143,IF(IFERROR(INDEX(RES_LOTSRC,MATCH($A143,RES_LOTEFF,0)),"")=$A143,"",IFERROR(INDEX(RES_LOTSRC,MATCH($A143,RES_LOTEFF,0)),""))))</f>
        <v/>
      </c>
      <c r="O143" s="26" t="str">
        <f aca="false">IF($A143="","",IF($B143&lt;&gt;"",$B143,IF($N143="","",IFERROR(INDEX($B$5:$B$204,MATCH($N143,$A$5:$A$204,0)),""))))</f>
        <v/>
      </c>
      <c r="P143" s="26" t="str">
        <f aca="false">IF($A143="","",IF($C143&lt;&gt;"",$C143,IF($N143="","",IFERROR(INDEX($C$5:$C$204,MATCH($N143,$A$5:$A$204,0)),""))))</f>
        <v/>
      </c>
      <c r="Q143" s="26" t="str">
        <f aca="false">IF($A143="","",IF($D143&lt;&gt;"",$D143,IF($N143="","",IFERROR(INDEX($D$5:$D$204,MATCH($N143,$A$5:$A$204,0)),""))))</f>
        <v/>
      </c>
      <c r="R143" s="26" t="str">
        <f aca="false">IF($A143="","",IF($E143&lt;&gt;"",$E143,IF($N143="","",IFERROR(INDEX($E$5:$E$204,MATCH($N143,$A$5:$A$204,0)),""))))</f>
        <v/>
      </c>
      <c r="S143" s="26" t="str">
        <f aca="false">IF($A143="","",IF($H143&lt;&gt;"",$H143,IF($N143="","",IFERROR(INDEX($H$5:$H$204,MATCH($N143,$A$5:$A$204,0)),""))))</f>
        <v/>
      </c>
      <c r="T143" s="26" t="str">
        <f aca="false">IF($A143="","",IF($F143&lt;&gt;"",$F143,IF($N143="","",IFERROR(INDEX($F$5:$F$204,MATCH($N143,$A$5:$A$204,0)),""))))</f>
        <v/>
      </c>
      <c r="U143" s="27" t="str">
        <f aca="false">IF($A143="","",SUMIFS(MVT_NET,MVT_LOT,$A143))</f>
        <v/>
      </c>
      <c r="V143" s="28" t="str">
        <f aca="false">IF($A143="","",COUNTIFS(MVT_LOT,$A143,MVT_BRUT,"&lt;&gt;0"))</f>
        <v/>
      </c>
      <c r="W143" s="28" t="str">
        <f aca="false">IF($A143="","",COUNTIFS(QC_LOT,$A143))</f>
        <v/>
      </c>
      <c r="X143" s="26" t="str">
        <f aca="false">IF($A143="","",IFERROR(INDEX(QC_DEC,MATCH($A143,QC_CLEDER,0)),""))</f>
        <v/>
      </c>
      <c r="Y143" s="26" t="str">
        <f aca="false">IF($A143="","",IF(COUNTIF($A$5:$A$204,$A143)&gt;1,IF(SUMPRODUCT(($A$5:$A$204=$A143)*(($C$5:$C$204&lt;&gt;$C143)+($D$5:$D$204&lt;&gt;$D143)))&gt;0,"INCOHERENCE","LOT EN DOUBLE"),"OK"))</f>
        <v/>
      </c>
      <c r="Z143" s="28" t="n">
        <f aca="false">IF($A143="",0,IF(AND($O143&lt;&gt;"",$A143&lt;&gt;R_LOT,$O143=IFERROR(INDEX(LOT_EXTE,MATCH(R_LOT,LOT_KEY,0)),"#")),1,0))</f>
        <v>0</v>
      </c>
      <c r="AA143" s="26" t="str">
        <f aca="false">IF($Z143=0,"",COUNTIF($Z$5:$Z143,1))</f>
        <v/>
      </c>
    </row>
    <row r="144" customFormat="false" ht="15" hidden="false" customHeight="false" outlineLevel="0" collapsed="false">
      <c r="A144" s="24"/>
      <c r="B144" s="24"/>
      <c r="C144" s="24"/>
      <c r="D144" s="24"/>
      <c r="E144" s="24"/>
      <c r="F144" s="24"/>
      <c r="G144" s="24"/>
      <c r="H144" s="24"/>
      <c r="I144" s="24"/>
      <c r="J144" s="24"/>
      <c r="K144" s="25"/>
      <c r="L144" s="24"/>
      <c r="M144" s="24"/>
      <c r="N144" s="26" t="str">
        <f aca="false">IF($A144="","",IF($L144&lt;&gt;"",$L144,IF(IFERROR(INDEX(RES_LOTSRC,MATCH($A144,RES_LOTEFF,0)),"")=$A144,"",IFERROR(INDEX(RES_LOTSRC,MATCH($A144,RES_LOTEFF,0)),""))))</f>
        <v/>
      </c>
      <c r="O144" s="26" t="str">
        <f aca="false">IF($A144="","",IF($B144&lt;&gt;"",$B144,IF($N144="","",IFERROR(INDEX($B$5:$B$204,MATCH($N144,$A$5:$A$204,0)),""))))</f>
        <v/>
      </c>
      <c r="P144" s="26" t="str">
        <f aca="false">IF($A144="","",IF($C144&lt;&gt;"",$C144,IF($N144="","",IFERROR(INDEX($C$5:$C$204,MATCH($N144,$A$5:$A$204,0)),""))))</f>
        <v/>
      </c>
      <c r="Q144" s="26" t="str">
        <f aca="false">IF($A144="","",IF($D144&lt;&gt;"",$D144,IF($N144="","",IFERROR(INDEX($D$5:$D$204,MATCH($N144,$A$5:$A$204,0)),""))))</f>
        <v/>
      </c>
      <c r="R144" s="26" t="str">
        <f aca="false">IF($A144="","",IF($E144&lt;&gt;"",$E144,IF($N144="","",IFERROR(INDEX($E$5:$E$204,MATCH($N144,$A$5:$A$204,0)),""))))</f>
        <v/>
      </c>
      <c r="S144" s="26" t="str">
        <f aca="false">IF($A144="","",IF($H144&lt;&gt;"",$H144,IF($N144="","",IFERROR(INDEX($H$5:$H$204,MATCH($N144,$A$5:$A$204,0)),""))))</f>
        <v/>
      </c>
      <c r="T144" s="26" t="str">
        <f aca="false">IF($A144="","",IF($F144&lt;&gt;"",$F144,IF($N144="","",IFERROR(INDEX($F$5:$F$204,MATCH($N144,$A$5:$A$204,0)),""))))</f>
        <v/>
      </c>
      <c r="U144" s="27" t="str">
        <f aca="false">IF($A144="","",SUMIFS(MVT_NET,MVT_LOT,$A144))</f>
        <v/>
      </c>
      <c r="V144" s="28" t="str">
        <f aca="false">IF($A144="","",COUNTIFS(MVT_LOT,$A144,MVT_BRUT,"&lt;&gt;0"))</f>
        <v/>
      </c>
      <c r="W144" s="28" t="str">
        <f aca="false">IF($A144="","",COUNTIFS(QC_LOT,$A144))</f>
        <v/>
      </c>
      <c r="X144" s="26" t="str">
        <f aca="false">IF($A144="","",IFERROR(INDEX(QC_DEC,MATCH($A144,QC_CLEDER,0)),""))</f>
        <v/>
      </c>
      <c r="Y144" s="26" t="str">
        <f aca="false">IF($A144="","",IF(COUNTIF($A$5:$A$204,$A144)&gt;1,IF(SUMPRODUCT(($A$5:$A$204=$A144)*(($C$5:$C$204&lt;&gt;$C144)+($D$5:$D$204&lt;&gt;$D144)))&gt;0,"INCOHERENCE","LOT EN DOUBLE"),"OK"))</f>
        <v/>
      </c>
      <c r="Z144" s="28" t="n">
        <f aca="false">IF($A144="",0,IF(AND($O144&lt;&gt;"",$A144&lt;&gt;R_LOT,$O144=IFERROR(INDEX(LOT_EXTE,MATCH(R_LOT,LOT_KEY,0)),"#")),1,0))</f>
        <v>0</v>
      </c>
      <c r="AA144" s="26" t="str">
        <f aca="false">IF($Z144=0,"",COUNTIF($Z$5:$Z144,1))</f>
        <v/>
      </c>
    </row>
    <row r="145" customFormat="false" ht="15" hidden="false" customHeight="false" outlineLevel="0" collapsed="false">
      <c r="A145" s="24"/>
      <c r="B145" s="24"/>
      <c r="C145" s="24"/>
      <c r="D145" s="24"/>
      <c r="E145" s="24"/>
      <c r="F145" s="24"/>
      <c r="G145" s="24"/>
      <c r="H145" s="24"/>
      <c r="I145" s="24"/>
      <c r="J145" s="24"/>
      <c r="K145" s="25"/>
      <c r="L145" s="24"/>
      <c r="M145" s="24"/>
      <c r="N145" s="26" t="str">
        <f aca="false">IF($A145="","",IF($L145&lt;&gt;"",$L145,IF(IFERROR(INDEX(RES_LOTSRC,MATCH($A145,RES_LOTEFF,0)),"")=$A145,"",IFERROR(INDEX(RES_LOTSRC,MATCH($A145,RES_LOTEFF,0)),""))))</f>
        <v/>
      </c>
      <c r="O145" s="26" t="str">
        <f aca="false">IF($A145="","",IF($B145&lt;&gt;"",$B145,IF($N145="","",IFERROR(INDEX($B$5:$B$204,MATCH($N145,$A$5:$A$204,0)),""))))</f>
        <v/>
      </c>
      <c r="P145" s="26" t="str">
        <f aca="false">IF($A145="","",IF($C145&lt;&gt;"",$C145,IF($N145="","",IFERROR(INDEX($C$5:$C$204,MATCH($N145,$A$5:$A$204,0)),""))))</f>
        <v/>
      </c>
      <c r="Q145" s="26" t="str">
        <f aca="false">IF($A145="","",IF($D145&lt;&gt;"",$D145,IF($N145="","",IFERROR(INDEX($D$5:$D$204,MATCH($N145,$A$5:$A$204,0)),""))))</f>
        <v/>
      </c>
      <c r="R145" s="26" t="str">
        <f aca="false">IF($A145="","",IF($E145&lt;&gt;"",$E145,IF($N145="","",IFERROR(INDEX($E$5:$E$204,MATCH($N145,$A$5:$A$204,0)),""))))</f>
        <v/>
      </c>
      <c r="S145" s="26" t="str">
        <f aca="false">IF($A145="","",IF($H145&lt;&gt;"",$H145,IF($N145="","",IFERROR(INDEX($H$5:$H$204,MATCH($N145,$A$5:$A$204,0)),""))))</f>
        <v/>
      </c>
      <c r="T145" s="26" t="str">
        <f aca="false">IF($A145="","",IF($F145&lt;&gt;"",$F145,IF($N145="","",IFERROR(INDEX($F$5:$F$204,MATCH($N145,$A$5:$A$204,0)),""))))</f>
        <v/>
      </c>
      <c r="U145" s="27" t="str">
        <f aca="false">IF($A145="","",SUMIFS(MVT_NET,MVT_LOT,$A145))</f>
        <v/>
      </c>
      <c r="V145" s="28" t="str">
        <f aca="false">IF($A145="","",COUNTIFS(MVT_LOT,$A145,MVT_BRUT,"&lt;&gt;0"))</f>
        <v/>
      </c>
      <c r="W145" s="28" t="str">
        <f aca="false">IF($A145="","",COUNTIFS(QC_LOT,$A145))</f>
        <v/>
      </c>
      <c r="X145" s="26" t="str">
        <f aca="false">IF($A145="","",IFERROR(INDEX(QC_DEC,MATCH($A145,QC_CLEDER,0)),""))</f>
        <v/>
      </c>
      <c r="Y145" s="26" t="str">
        <f aca="false">IF($A145="","",IF(COUNTIF($A$5:$A$204,$A145)&gt;1,IF(SUMPRODUCT(($A$5:$A$204=$A145)*(($C$5:$C$204&lt;&gt;$C145)+($D$5:$D$204&lt;&gt;$D145)))&gt;0,"INCOHERENCE","LOT EN DOUBLE"),"OK"))</f>
        <v/>
      </c>
      <c r="Z145" s="28" t="n">
        <f aca="false">IF($A145="",0,IF(AND($O145&lt;&gt;"",$A145&lt;&gt;R_LOT,$O145=IFERROR(INDEX(LOT_EXTE,MATCH(R_LOT,LOT_KEY,0)),"#")),1,0))</f>
        <v>0</v>
      </c>
      <c r="AA145" s="26" t="str">
        <f aca="false">IF($Z145=0,"",COUNTIF($Z$5:$Z145,1))</f>
        <v/>
      </c>
    </row>
    <row r="146" customFormat="false" ht="15" hidden="false" customHeight="false" outlineLevel="0" collapsed="false">
      <c r="A146" s="24"/>
      <c r="B146" s="24"/>
      <c r="C146" s="24"/>
      <c r="D146" s="24"/>
      <c r="E146" s="24"/>
      <c r="F146" s="24"/>
      <c r="G146" s="24"/>
      <c r="H146" s="24"/>
      <c r="I146" s="24"/>
      <c r="J146" s="24"/>
      <c r="K146" s="25"/>
      <c r="L146" s="24"/>
      <c r="M146" s="24"/>
      <c r="N146" s="26" t="str">
        <f aca="false">IF($A146="","",IF($L146&lt;&gt;"",$L146,IF(IFERROR(INDEX(RES_LOTSRC,MATCH($A146,RES_LOTEFF,0)),"")=$A146,"",IFERROR(INDEX(RES_LOTSRC,MATCH($A146,RES_LOTEFF,0)),""))))</f>
        <v/>
      </c>
      <c r="O146" s="26" t="str">
        <f aca="false">IF($A146="","",IF($B146&lt;&gt;"",$B146,IF($N146="","",IFERROR(INDEX($B$5:$B$204,MATCH($N146,$A$5:$A$204,0)),""))))</f>
        <v/>
      </c>
      <c r="P146" s="26" t="str">
        <f aca="false">IF($A146="","",IF($C146&lt;&gt;"",$C146,IF($N146="","",IFERROR(INDEX($C$5:$C$204,MATCH($N146,$A$5:$A$204,0)),""))))</f>
        <v/>
      </c>
      <c r="Q146" s="26" t="str">
        <f aca="false">IF($A146="","",IF($D146&lt;&gt;"",$D146,IF($N146="","",IFERROR(INDEX($D$5:$D$204,MATCH($N146,$A$5:$A$204,0)),""))))</f>
        <v/>
      </c>
      <c r="R146" s="26" t="str">
        <f aca="false">IF($A146="","",IF($E146&lt;&gt;"",$E146,IF($N146="","",IFERROR(INDEX($E$5:$E$204,MATCH($N146,$A$5:$A$204,0)),""))))</f>
        <v/>
      </c>
      <c r="S146" s="26" t="str">
        <f aca="false">IF($A146="","",IF($H146&lt;&gt;"",$H146,IF($N146="","",IFERROR(INDEX($H$5:$H$204,MATCH($N146,$A$5:$A$204,0)),""))))</f>
        <v/>
      </c>
      <c r="T146" s="26" t="str">
        <f aca="false">IF($A146="","",IF($F146&lt;&gt;"",$F146,IF($N146="","",IFERROR(INDEX($F$5:$F$204,MATCH($N146,$A$5:$A$204,0)),""))))</f>
        <v/>
      </c>
      <c r="U146" s="27" t="str">
        <f aca="false">IF($A146="","",SUMIFS(MVT_NET,MVT_LOT,$A146))</f>
        <v/>
      </c>
      <c r="V146" s="28" t="str">
        <f aca="false">IF($A146="","",COUNTIFS(MVT_LOT,$A146,MVT_BRUT,"&lt;&gt;0"))</f>
        <v/>
      </c>
      <c r="W146" s="28" t="str">
        <f aca="false">IF($A146="","",COUNTIFS(QC_LOT,$A146))</f>
        <v/>
      </c>
      <c r="X146" s="26" t="str">
        <f aca="false">IF($A146="","",IFERROR(INDEX(QC_DEC,MATCH($A146,QC_CLEDER,0)),""))</f>
        <v/>
      </c>
      <c r="Y146" s="26" t="str">
        <f aca="false">IF($A146="","",IF(COUNTIF($A$5:$A$204,$A146)&gt;1,IF(SUMPRODUCT(($A$5:$A$204=$A146)*(($C$5:$C$204&lt;&gt;$C146)+($D$5:$D$204&lt;&gt;$D146)))&gt;0,"INCOHERENCE","LOT EN DOUBLE"),"OK"))</f>
        <v/>
      </c>
      <c r="Z146" s="28" t="n">
        <f aca="false">IF($A146="",0,IF(AND($O146&lt;&gt;"",$A146&lt;&gt;R_LOT,$O146=IFERROR(INDEX(LOT_EXTE,MATCH(R_LOT,LOT_KEY,0)),"#")),1,0))</f>
        <v>0</v>
      </c>
      <c r="AA146" s="26" t="str">
        <f aca="false">IF($Z146=0,"",COUNTIF($Z$5:$Z146,1))</f>
        <v/>
      </c>
    </row>
    <row r="147" customFormat="false" ht="15" hidden="false" customHeight="false" outlineLevel="0" collapsed="false">
      <c r="A147" s="24"/>
      <c r="B147" s="24"/>
      <c r="C147" s="24"/>
      <c r="D147" s="24"/>
      <c r="E147" s="24"/>
      <c r="F147" s="24"/>
      <c r="G147" s="24"/>
      <c r="H147" s="24"/>
      <c r="I147" s="24"/>
      <c r="J147" s="24"/>
      <c r="K147" s="25"/>
      <c r="L147" s="24"/>
      <c r="M147" s="24"/>
      <c r="N147" s="26" t="str">
        <f aca="false">IF($A147="","",IF($L147&lt;&gt;"",$L147,IF(IFERROR(INDEX(RES_LOTSRC,MATCH($A147,RES_LOTEFF,0)),"")=$A147,"",IFERROR(INDEX(RES_LOTSRC,MATCH($A147,RES_LOTEFF,0)),""))))</f>
        <v/>
      </c>
      <c r="O147" s="26" t="str">
        <f aca="false">IF($A147="","",IF($B147&lt;&gt;"",$B147,IF($N147="","",IFERROR(INDEX($B$5:$B$204,MATCH($N147,$A$5:$A$204,0)),""))))</f>
        <v/>
      </c>
      <c r="P147" s="26" t="str">
        <f aca="false">IF($A147="","",IF($C147&lt;&gt;"",$C147,IF($N147="","",IFERROR(INDEX($C$5:$C$204,MATCH($N147,$A$5:$A$204,0)),""))))</f>
        <v/>
      </c>
      <c r="Q147" s="26" t="str">
        <f aca="false">IF($A147="","",IF($D147&lt;&gt;"",$D147,IF($N147="","",IFERROR(INDEX($D$5:$D$204,MATCH($N147,$A$5:$A$204,0)),""))))</f>
        <v/>
      </c>
      <c r="R147" s="26" t="str">
        <f aca="false">IF($A147="","",IF($E147&lt;&gt;"",$E147,IF($N147="","",IFERROR(INDEX($E$5:$E$204,MATCH($N147,$A$5:$A$204,0)),""))))</f>
        <v/>
      </c>
      <c r="S147" s="26" t="str">
        <f aca="false">IF($A147="","",IF($H147&lt;&gt;"",$H147,IF($N147="","",IFERROR(INDEX($H$5:$H$204,MATCH($N147,$A$5:$A$204,0)),""))))</f>
        <v/>
      </c>
      <c r="T147" s="26" t="str">
        <f aca="false">IF($A147="","",IF($F147&lt;&gt;"",$F147,IF($N147="","",IFERROR(INDEX($F$5:$F$204,MATCH($N147,$A$5:$A$204,0)),""))))</f>
        <v/>
      </c>
      <c r="U147" s="27" t="str">
        <f aca="false">IF($A147="","",SUMIFS(MVT_NET,MVT_LOT,$A147))</f>
        <v/>
      </c>
      <c r="V147" s="28" t="str">
        <f aca="false">IF($A147="","",COUNTIFS(MVT_LOT,$A147,MVT_BRUT,"&lt;&gt;0"))</f>
        <v/>
      </c>
      <c r="W147" s="28" t="str">
        <f aca="false">IF($A147="","",COUNTIFS(QC_LOT,$A147))</f>
        <v/>
      </c>
      <c r="X147" s="26" t="str">
        <f aca="false">IF($A147="","",IFERROR(INDEX(QC_DEC,MATCH($A147,QC_CLEDER,0)),""))</f>
        <v/>
      </c>
      <c r="Y147" s="26" t="str">
        <f aca="false">IF($A147="","",IF(COUNTIF($A$5:$A$204,$A147)&gt;1,IF(SUMPRODUCT(($A$5:$A$204=$A147)*(($C$5:$C$204&lt;&gt;$C147)+($D$5:$D$204&lt;&gt;$D147)))&gt;0,"INCOHERENCE","LOT EN DOUBLE"),"OK"))</f>
        <v/>
      </c>
      <c r="Z147" s="28" t="n">
        <f aca="false">IF($A147="",0,IF(AND($O147&lt;&gt;"",$A147&lt;&gt;R_LOT,$O147=IFERROR(INDEX(LOT_EXTE,MATCH(R_LOT,LOT_KEY,0)),"#")),1,0))</f>
        <v>0</v>
      </c>
      <c r="AA147" s="26" t="str">
        <f aca="false">IF($Z147=0,"",COUNTIF($Z$5:$Z147,1))</f>
        <v/>
      </c>
    </row>
    <row r="148" customFormat="false" ht="15" hidden="false" customHeight="false" outlineLevel="0" collapsed="false">
      <c r="A148" s="24"/>
      <c r="B148" s="24"/>
      <c r="C148" s="24"/>
      <c r="D148" s="24"/>
      <c r="E148" s="24"/>
      <c r="F148" s="24"/>
      <c r="G148" s="24"/>
      <c r="H148" s="24"/>
      <c r="I148" s="24"/>
      <c r="J148" s="24"/>
      <c r="K148" s="25"/>
      <c r="L148" s="24"/>
      <c r="M148" s="24"/>
      <c r="N148" s="26" t="str">
        <f aca="false">IF($A148="","",IF($L148&lt;&gt;"",$L148,IF(IFERROR(INDEX(RES_LOTSRC,MATCH($A148,RES_LOTEFF,0)),"")=$A148,"",IFERROR(INDEX(RES_LOTSRC,MATCH($A148,RES_LOTEFF,0)),""))))</f>
        <v/>
      </c>
      <c r="O148" s="26" t="str">
        <f aca="false">IF($A148="","",IF($B148&lt;&gt;"",$B148,IF($N148="","",IFERROR(INDEX($B$5:$B$204,MATCH($N148,$A$5:$A$204,0)),""))))</f>
        <v/>
      </c>
      <c r="P148" s="26" t="str">
        <f aca="false">IF($A148="","",IF($C148&lt;&gt;"",$C148,IF($N148="","",IFERROR(INDEX($C$5:$C$204,MATCH($N148,$A$5:$A$204,0)),""))))</f>
        <v/>
      </c>
      <c r="Q148" s="26" t="str">
        <f aca="false">IF($A148="","",IF($D148&lt;&gt;"",$D148,IF($N148="","",IFERROR(INDEX($D$5:$D$204,MATCH($N148,$A$5:$A$204,0)),""))))</f>
        <v/>
      </c>
      <c r="R148" s="26" t="str">
        <f aca="false">IF($A148="","",IF($E148&lt;&gt;"",$E148,IF($N148="","",IFERROR(INDEX($E$5:$E$204,MATCH($N148,$A$5:$A$204,0)),""))))</f>
        <v/>
      </c>
      <c r="S148" s="26" t="str">
        <f aca="false">IF($A148="","",IF($H148&lt;&gt;"",$H148,IF($N148="","",IFERROR(INDEX($H$5:$H$204,MATCH($N148,$A$5:$A$204,0)),""))))</f>
        <v/>
      </c>
      <c r="T148" s="26" t="str">
        <f aca="false">IF($A148="","",IF($F148&lt;&gt;"",$F148,IF($N148="","",IFERROR(INDEX($F$5:$F$204,MATCH($N148,$A$5:$A$204,0)),""))))</f>
        <v/>
      </c>
      <c r="U148" s="27" t="str">
        <f aca="false">IF($A148="","",SUMIFS(MVT_NET,MVT_LOT,$A148))</f>
        <v/>
      </c>
      <c r="V148" s="28" t="str">
        <f aca="false">IF($A148="","",COUNTIFS(MVT_LOT,$A148,MVT_BRUT,"&lt;&gt;0"))</f>
        <v/>
      </c>
      <c r="W148" s="28" t="str">
        <f aca="false">IF($A148="","",COUNTIFS(QC_LOT,$A148))</f>
        <v/>
      </c>
      <c r="X148" s="26" t="str">
        <f aca="false">IF($A148="","",IFERROR(INDEX(QC_DEC,MATCH($A148,QC_CLEDER,0)),""))</f>
        <v/>
      </c>
      <c r="Y148" s="26" t="str">
        <f aca="false">IF($A148="","",IF(COUNTIF($A$5:$A$204,$A148)&gt;1,IF(SUMPRODUCT(($A$5:$A$204=$A148)*(($C$5:$C$204&lt;&gt;$C148)+($D$5:$D$204&lt;&gt;$D148)))&gt;0,"INCOHERENCE","LOT EN DOUBLE"),"OK"))</f>
        <v/>
      </c>
      <c r="Z148" s="28" t="n">
        <f aca="false">IF($A148="",0,IF(AND($O148&lt;&gt;"",$A148&lt;&gt;R_LOT,$O148=IFERROR(INDEX(LOT_EXTE,MATCH(R_LOT,LOT_KEY,0)),"#")),1,0))</f>
        <v>0</v>
      </c>
      <c r="AA148" s="26" t="str">
        <f aca="false">IF($Z148=0,"",COUNTIF($Z$5:$Z148,1))</f>
        <v/>
      </c>
    </row>
    <row r="149" customFormat="false" ht="15" hidden="false" customHeight="false" outlineLevel="0" collapsed="false">
      <c r="A149" s="24"/>
      <c r="B149" s="24"/>
      <c r="C149" s="24"/>
      <c r="D149" s="24"/>
      <c r="E149" s="24"/>
      <c r="F149" s="24"/>
      <c r="G149" s="24"/>
      <c r="H149" s="24"/>
      <c r="I149" s="24"/>
      <c r="J149" s="24"/>
      <c r="K149" s="25"/>
      <c r="L149" s="24"/>
      <c r="M149" s="24"/>
      <c r="N149" s="26" t="str">
        <f aca="false">IF($A149="","",IF($L149&lt;&gt;"",$L149,IF(IFERROR(INDEX(RES_LOTSRC,MATCH($A149,RES_LOTEFF,0)),"")=$A149,"",IFERROR(INDEX(RES_LOTSRC,MATCH($A149,RES_LOTEFF,0)),""))))</f>
        <v/>
      </c>
      <c r="O149" s="26" t="str">
        <f aca="false">IF($A149="","",IF($B149&lt;&gt;"",$B149,IF($N149="","",IFERROR(INDEX($B$5:$B$204,MATCH($N149,$A$5:$A$204,0)),""))))</f>
        <v/>
      </c>
      <c r="P149" s="26" t="str">
        <f aca="false">IF($A149="","",IF($C149&lt;&gt;"",$C149,IF($N149="","",IFERROR(INDEX($C$5:$C$204,MATCH($N149,$A$5:$A$204,0)),""))))</f>
        <v/>
      </c>
      <c r="Q149" s="26" t="str">
        <f aca="false">IF($A149="","",IF($D149&lt;&gt;"",$D149,IF($N149="","",IFERROR(INDEX($D$5:$D$204,MATCH($N149,$A$5:$A$204,0)),""))))</f>
        <v/>
      </c>
      <c r="R149" s="26" t="str">
        <f aca="false">IF($A149="","",IF($E149&lt;&gt;"",$E149,IF($N149="","",IFERROR(INDEX($E$5:$E$204,MATCH($N149,$A$5:$A$204,0)),""))))</f>
        <v/>
      </c>
      <c r="S149" s="26" t="str">
        <f aca="false">IF($A149="","",IF($H149&lt;&gt;"",$H149,IF($N149="","",IFERROR(INDEX($H$5:$H$204,MATCH($N149,$A$5:$A$204,0)),""))))</f>
        <v/>
      </c>
      <c r="T149" s="26" t="str">
        <f aca="false">IF($A149="","",IF($F149&lt;&gt;"",$F149,IF($N149="","",IFERROR(INDEX($F$5:$F$204,MATCH($N149,$A$5:$A$204,0)),""))))</f>
        <v/>
      </c>
      <c r="U149" s="27" t="str">
        <f aca="false">IF($A149="","",SUMIFS(MVT_NET,MVT_LOT,$A149))</f>
        <v/>
      </c>
      <c r="V149" s="28" t="str">
        <f aca="false">IF($A149="","",COUNTIFS(MVT_LOT,$A149,MVT_BRUT,"&lt;&gt;0"))</f>
        <v/>
      </c>
      <c r="W149" s="28" t="str">
        <f aca="false">IF($A149="","",COUNTIFS(QC_LOT,$A149))</f>
        <v/>
      </c>
      <c r="X149" s="26" t="str">
        <f aca="false">IF($A149="","",IFERROR(INDEX(QC_DEC,MATCH($A149,QC_CLEDER,0)),""))</f>
        <v/>
      </c>
      <c r="Y149" s="26" t="str">
        <f aca="false">IF($A149="","",IF(COUNTIF($A$5:$A$204,$A149)&gt;1,IF(SUMPRODUCT(($A$5:$A$204=$A149)*(($C$5:$C$204&lt;&gt;$C149)+($D$5:$D$204&lt;&gt;$D149)))&gt;0,"INCOHERENCE","LOT EN DOUBLE"),"OK"))</f>
        <v/>
      </c>
      <c r="Z149" s="28" t="n">
        <f aca="false">IF($A149="",0,IF(AND($O149&lt;&gt;"",$A149&lt;&gt;R_LOT,$O149=IFERROR(INDEX(LOT_EXTE,MATCH(R_LOT,LOT_KEY,0)),"#")),1,0))</f>
        <v>0</v>
      </c>
      <c r="AA149" s="26" t="str">
        <f aca="false">IF($Z149=0,"",COUNTIF($Z$5:$Z149,1))</f>
        <v/>
      </c>
    </row>
    <row r="150" customFormat="false" ht="15" hidden="false" customHeight="false" outlineLevel="0" collapsed="false">
      <c r="A150" s="24"/>
      <c r="B150" s="24"/>
      <c r="C150" s="24"/>
      <c r="D150" s="24"/>
      <c r="E150" s="24"/>
      <c r="F150" s="24"/>
      <c r="G150" s="24"/>
      <c r="H150" s="24"/>
      <c r="I150" s="24"/>
      <c r="J150" s="24"/>
      <c r="K150" s="25"/>
      <c r="L150" s="24"/>
      <c r="M150" s="24"/>
      <c r="N150" s="26" t="str">
        <f aca="false">IF($A150="","",IF($L150&lt;&gt;"",$L150,IF(IFERROR(INDEX(RES_LOTSRC,MATCH($A150,RES_LOTEFF,0)),"")=$A150,"",IFERROR(INDEX(RES_LOTSRC,MATCH($A150,RES_LOTEFF,0)),""))))</f>
        <v/>
      </c>
      <c r="O150" s="26" t="str">
        <f aca="false">IF($A150="","",IF($B150&lt;&gt;"",$B150,IF($N150="","",IFERROR(INDEX($B$5:$B$204,MATCH($N150,$A$5:$A$204,0)),""))))</f>
        <v/>
      </c>
      <c r="P150" s="26" t="str">
        <f aca="false">IF($A150="","",IF($C150&lt;&gt;"",$C150,IF($N150="","",IFERROR(INDEX($C$5:$C$204,MATCH($N150,$A$5:$A$204,0)),""))))</f>
        <v/>
      </c>
      <c r="Q150" s="26" t="str">
        <f aca="false">IF($A150="","",IF($D150&lt;&gt;"",$D150,IF($N150="","",IFERROR(INDEX($D$5:$D$204,MATCH($N150,$A$5:$A$204,0)),""))))</f>
        <v/>
      </c>
      <c r="R150" s="26" t="str">
        <f aca="false">IF($A150="","",IF($E150&lt;&gt;"",$E150,IF($N150="","",IFERROR(INDEX($E$5:$E$204,MATCH($N150,$A$5:$A$204,0)),""))))</f>
        <v/>
      </c>
      <c r="S150" s="26" t="str">
        <f aca="false">IF($A150="","",IF($H150&lt;&gt;"",$H150,IF($N150="","",IFERROR(INDEX($H$5:$H$204,MATCH($N150,$A$5:$A$204,0)),""))))</f>
        <v/>
      </c>
      <c r="T150" s="26" t="str">
        <f aca="false">IF($A150="","",IF($F150&lt;&gt;"",$F150,IF($N150="","",IFERROR(INDEX($F$5:$F$204,MATCH($N150,$A$5:$A$204,0)),""))))</f>
        <v/>
      </c>
      <c r="U150" s="27" t="str">
        <f aca="false">IF($A150="","",SUMIFS(MVT_NET,MVT_LOT,$A150))</f>
        <v/>
      </c>
      <c r="V150" s="28" t="str">
        <f aca="false">IF($A150="","",COUNTIFS(MVT_LOT,$A150,MVT_BRUT,"&lt;&gt;0"))</f>
        <v/>
      </c>
      <c r="W150" s="28" t="str">
        <f aca="false">IF($A150="","",COUNTIFS(QC_LOT,$A150))</f>
        <v/>
      </c>
      <c r="X150" s="26" t="str">
        <f aca="false">IF($A150="","",IFERROR(INDEX(QC_DEC,MATCH($A150,QC_CLEDER,0)),""))</f>
        <v/>
      </c>
      <c r="Y150" s="26" t="str">
        <f aca="false">IF($A150="","",IF(COUNTIF($A$5:$A$204,$A150)&gt;1,IF(SUMPRODUCT(($A$5:$A$204=$A150)*(($C$5:$C$204&lt;&gt;$C150)+($D$5:$D$204&lt;&gt;$D150)))&gt;0,"INCOHERENCE","LOT EN DOUBLE"),"OK"))</f>
        <v/>
      </c>
      <c r="Z150" s="28" t="n">
        <f aca="false">IF($A150="",0,IF(AND($O150&lt;&gt;"",$A150&lt;&gt;R_LOT,$O150=IFERROR(INDEX(LOT_EXTE,MATCH(R_LOT,LOT_KEY,0)),"#")),1,0))</f>
        <v>0</v>
      </c>
      <c r="AA150" s="26" t="str">
        <f aca="false">IF($Z150=0,"",COUNTIF($Z$5:$Z150,1))</f>
        <v/>
      </c>
    </row>
    <row r="151" customFormat="false" ht="15" hidden="false" customHeight="false" outlineLevel="0" collapsed="false">
      <c r="A151" s="24"/>
      <c r="B151" s="24"/>
      <c r="C151" s="24"/>
      <c r="D151" s="24"/>
      <c r="E151" s="24"/>
      <c r="F151" s="24"/>
      <c r="G151" s="24"/>
      <c r="H151" s="24"/>
      <c r="I151" s="24"/>
      <c r="J151" s="24"/>
      <c r="K151" s="25"/>
      <c r="L151" s="24"/>
      <c r="M151" s="24"/>
      <c r="N151" s="26" t="str">
        <f aca="false">IF($A151="","",IF($L151&lt;&gt;"",$L151,IF(IFERROR(INDEX(RES_LOTSRC,MATCH($A151,RES_LOTEFF,0)),"")=$A151,"",IFERROR(INDEX(RES_LOTSRC,MATCH($A151,RES_LOTEFF,0)),""))))</f>
        <v/>
      </c>
      <c r="O151" s="26" t="str">
        <f aca="false">IF($A151="","",IF($B151&lt;&gt;"",$B151,IF($N151="","",IFERROR(INDEX($B$5:$B$204,MATCH($N151,$A$5:$A$204,0)),""))))</f>
        <v/>
      </c>
      <c r="P151" s="26" t="str">
        <f aca="false">IF($A151="","",IF($C151&lt;&gt;"",$C151,IF($N151="","",IFERROR(INDEX($C$5:$C$204,MATCH($N151,$A$5:$A$204,0)),""))))</f>
        <v/>
      </c>
      <c r="Q151" s="26" t="str">
        <f aca="false">IF($A151="","",IF($D151&lt;&gt;"",$D151,IF($N151="","",IFERROR(INDEX($D$5:$D$204,MATCH($N151,$A$5:$A$204,0)),""))))</f>
        <v/>
      </c>
      <c r="R151" s="26" t="str">
        <f aca="false">IF($A151="","",IF($E151&lt;&gt;"",$E151,IF($N151="","",IFERROR(INDEX($E$5:$E$204,MATCH($N151,$A$5:$A$204,0)),""))))</f>
        <v/>
      </c>
      <c r="S151" s="26" t="str">
        <f aca="false">IF($A151="","",IF($H151&lt;&gt;"",$H151,IF($N151="","",IFERROR(INDEX($H$5:$H$204,MATCH($N151,$A$5:$A$204,0)),""))))</f>
        <v/>
      </c>
      <c r="T151" s="26" t="str">
        <f aca="false">IF($A151="","",IF($F151&lt;&gt;"",$F151,IF($N151="","",IFERROR(INDEX($F$5:$F$204,MATCH($N151,$A$5:$A$204,0)),""))))</f>
        <v/>
      </c>
      <c r="U151" s="27" t="str">
        <f aca="false">IF($A151="","",SUMIFS(MVT_NET,MVT_LOT,$A151))</f>
        <v/>
      </c>
      <c r="V151" s="28" t="str">
        <f aca="false">IF($A151="","",COUNTIFS(MVT_LOT,$A151,MVT_BRUT,"&lt;&gt;0"))</f>
        <v/>
      </c>
      <c r="W151" s="28" t="str">
        <f aca="false">IF($A151="","",COUNTIFS(QC_LOT,$A151))</f>
        <v/>
      </c>
      <c r="X151" s="26" t="str">
        <f aca="false">IF($A151="","",IFERROR(INDEX(QC_DEC,MATCH($A151,QC_CLEDER,0)),""))</f>
        <v/>
      </c>
      <c r="Y151" s="26" t="str">
        <f aca="false">IF($A151="","",IF(COUNTIF($A$5:$A$204,$A151)&gt;1,IF(SUMPRODUCT(($A$5:$A$204=$A151)*(($C$5:$C$204&lt;&gt;$C151)+($D$5:$D$204&lt;&gt;$D151)))&gt;0,"INCOHERENCE","LOT EN DOUBLE"),"OK"))</f>
        <v/>
      </c>
      <c r="Z151" s="28" t="n">
        <f aca="false">IF($A151="",0,IF(AND($O151&lt;&gt;"",$A151&lt;&gt;R_LOT,$O151=IFERROR(INDEX(LOT_EXTE,MATCH(R_LOT,LOT_KEY,0)),"#")),1,0))</f>
        <v>0</v>
      </c>
      <c r="AA151" s="26" t="str">
        <f aca="false">IF($Z151=0,"",COUNTIF($Z$5:$Z151,1))</f>
        <v/>
      </c>
    </row>
    <row r="152" customFormat="false" ht="15" hidden="false" customHeight="false" outlineLevel="0" collapsed="false">
      <c r="A152" s="24"/>
      <c r="B152" s="24"/>
      <c r="C152" s="24"/>
      <c r="D152" s="24"/>
      <c r="E152" s="24"/>
      <c r="F152" s="24"/>
      <c r="G152" s="24"/>
      <c r="H152" s="24"/>
      <c r="I152" s="24"/>
      <c r="J152" s="24"/>
      <c r="K152" s="25"/>
      <c r="L152" s="24"/>
      <c r="M152" s="24"/>
      <c r="N152" s="26" t="str">
        <f aca="false">IF($A152="","",IF($L152&lt;&gt;"",$L152,IF(IFERROR(INDEX(RES_LOTSRC,MATCH($A152,RES_LOTEFF,0)),"")=$A152,"",IFERROR(INDEX(RES_LOTSRC,MATCH($A152,RES_LOTEFF,0)),""))))</f>
        <v/>
      </c>
      <c r="O152" s="26" t="str">
        <f aca="false">IF($A152="","",IF($B152&lt;&gt;"",$B152,IF($N152="","",IFERROR(INDEX($B$5:$B$204,MATCH($N152,$A$5:$A$204,0)),""))))</f>
        <v/>
      </c>
      <c r="P152" s="26" t="str">
        <f aca="false">IF($A152="","",IF($C152&lt;&gt;"",$C152,IF($N152="","",IFERROR(INDEX($C$5:$C$204,MATCH($N152,$A$5:$A$204,0)),""))))</f>
        <v/>
      </c>
      <c r="Q152" s="26" t="str">
        <f aca="false">IF($A152="","",IF($D152&lt;&gt;"",$D152,IF($N152="","",IFERROR(INDEX($D$5:$D$204,MATCH($N152,$A$5:$A$204,0)),""))))</f>
        <v/>
      </c>
      <c r="R152" s="26" t="str">
        <f aca="false">IF($A152="","",IF($E152&lt;&gt;"",$E152,IF($N152="","",IFERROR(INDEX($E$5:$E$204,MATCH($N152,$A$5:$A$204,0)),""))))</f>
        <v/>
      </c>
      <c r="S152" s="26" t="str">
        <f aca="false">IF($A152="","",IF($H152&lt;&gt;"",$H152,IF($N152="","",IFERROR(INDEX($H$5:$H$204,MATCH($N152,$A$5:$A$204,0)),""))))</f>
        <v/>
      </c>
      <c r="T152" s="26" t="str">
        <f aca="false">IF($A152="","",IF($F152&lt;&gt;"",$F152,IF($N152="","",IFERROR(INDEX($F$5:$F$204,MATCH($N152,$A$5:$A$204,0)),""))))</f>
        <v/>
      </c>
      <c r="U152" s="27" t="str">
        <f aca="false">IF($A152="","",SUMIFS(MVT_NET,MVT_LOT,$A152))</f>
        <v/>
      </c>
      <c r="V152" s="28" t="str">
        <f aca="false">IF($A152="","",COUNTIFS(MVT_LOT,$A152,MVT_BRUT,"&lt;&gt;0"))</f>
        <v/>
      </c>
      <c r="W152" s="28" t="str">
        <f aca="false">IF($A152="","",COUNTIFS(QC_LOT,$A152))</f>
        <v/>
      </c>
      <c r="X152" s="26" t="str">
        <f aca="false">IF($A152="","",IFERROR(INDEX(QC_DEC,MATCH($A152,QC_CLEDER,0)),""))</f>
        <v/>
      </c>
      <c r="Y152" s="26" t="str">
        <f aca="false">IF($A152="","",IF(COUNTIF($A$5:$A$204,$A152)&gt;1,IF(SUMPRODUCT(($A$5:$A$204=$A152)*(($C$5:$C$204&lt;&gt;$C152)+($D$5:$D$204&lt;&gt;$D152)))&gt;0,"INCOHERENCE","LOT EN DOUBLE"),"OK"))</f>
        <v/>
      </c>
      <c r="Z152" s="28" t="n">
        <f aca="false">IF($A152="",0,IF(AND($O152&lt;&gt;"",$A152&lt;&gt;R_LOT,$O152=IFERROR(INDEX(LOT_EXTE,MATCH(R_LOT,LOT_KEY,0)),"#")),1,0))</f>
        <v>0</v>
      </c>
      <c r="AA152" s="26" t="str">
        <f aca="false">IF($Z152=0,"",COUNTIF($Z$5:$Z152,1))</f>
        <v/>
      </c>
    </row>
    <row r="153" customFormat="false" ht="15" hidden="false" customHeight="false" outlineLevel="0" collapsed="false">
      <c r="A153" s="24"/>
      <c r="B153" s="24"/>
      <c r="C153" s="24"/>
      <c r="D153" s="24"/>
      <c r="E153" s="24"/>
      <c r="F153" s="24"/>
      <c r="G153" s="24"/>
      <c r="H153" s="24"/>
      <c r="I153" s="24"/>
      <c r="J153" s="24"/>
      <c r="K153" s="25"/>
      <c r="L153" s="24"/>
      <c r="M153" s="24"/>
      <c r="N153" s="26" t="str">
        <f aca="false">IF($A153="","",IF($L153&lt;&gt;"",$L153,IF(IFERROR(INDEX(RES_LOTSRC,MATCH($A153,RES_LOTEFF,0)),"")=$A153,"",IFERROR(INDEX(RES_LOTSRC,MATCH($A153,RES_LOTEFF,0)),""))))</f>
        <v/>
      </c>
      <c r="O153" s="26" t="str">
        <f aca="false">IF($A153="","",IF($B153&lt;&gt;"",$B153,IF($N153="","",IFERROR(INDEX($B$5:$B$204,MATCH($N153,$A$5:$A$204,0)),""))))</f>
        <v/>
      </c>
      <c r="P153" s="26" t="str">
        <f aca="false">IF($A153="","",IF($C153&lt;&gt;"",$C153,IF($N153="","",IFERROR(INDEX($C$5:$C$204,MATCH($N153,$A$5:$A$204,0)),""))))</f>
        <v/>
      </c>
      <c r="Q153" s="26" t="str">
        <f aca="false">IF($A153="","",IF($D153&lt;&gt;"",$D153,IF($N153="","",IFERROR(INDEX($D$5:$D$204,MATCH($N153,$A$5:$A$204,0)),""))))</f>
        <v/>
      </c>
      <c r="R153" s="26" t="str">
        <f aca="false">IF($A153="","",IF($E153&lt;&gt;"",$E153,IF($N153="","",IFERROR(INDEX($E$5:$E$204,MATCH($N153,$A$5:$A$204,0)),""))))</f>
        <v/>
      </c>
      <c r="S153" s="26" t="str">
        <f aca="false">IF($A153="","",IF($H153&lt;&gt;"",$H153,IF($N153="","",IFERROR(INDEX($H$5:$H$204,MATCH($N153,$A$5:$A$204,0)),""))))</f>
        <v/>
      </c>
      <c r="T153" s="26" t="str">
        <f aca="false">IF($A153="","",IF($F153&lt;&gt;"",$F153,IF($N153="","",IFERROR(INDEX($F$5:$F$204,MATCH($N153,$A$5:$A$204,0)),""))))</f>
        <v/>
      </c>
      <c r="U153" s="27" t="str">
        <f aca="false">IF($A153="","",SUMIFS(MVT_NET,MVT_LOT,$A153))</f>
        <v/>
      </c>
      <c r="V153" s="28" t="str">
        <f aca="false">IF($A153="","",COUNTIFS(MVT_LOT,$A153,MVT_BRUT,"&lt;&gt;0"))</f>
        <v/>
      </c>
      <c r="W153" s="28" t="str">
        <f aca="false">IF($A153="","",COUNTIFS(QC_LOT,$A153))</f>
        <v/>
      </c>
      <c r="X153" s="26" t="str">
        <f aca="false">IF($A153="","",IFERROR(INDEX(QC_DEC,MATCH($A153,QC_CLEDER,0)),""))</f>
        <v/>
      </c>
      <c r="Y153" s="26" t="str">
        <f aca="false">IF($A153="","",IF(COUNTIF($A$5:$A$204,$A153)&gt;1,IF(SUMPRODUCT(($A$5:$A$204=$A153)*(($C$5:$C$204&lt;&gt;$C153)+($D$5:$D$204&lt;&gt;$D153)))&gt;0,"INCOHERENCE","LOT EN DOUBLE"),"OK"))</f>
        <v/>
      </c>
      <c r="Z153" s="28" t="n">
        <f aca="false">IF($A153="",0,IF(AND($O153&lt;&gt;"",$A153&lt;&gt;R_LOT,$O153=IFERROR(INDEX(LOT_EXTE,MATCH(R_LOT,LOT_KEY,0)),"#")),1,0))</f>
        <v>0</v>
      </c>
      <c r="AA153" s="26" t="str">
        <f aca="false">IF($Z153=0,"",COUNTIF($Z$5:$Z153,1))</f>
        <v/>
      </c>
    </row>
    <row r="154" customFormat="false" ht="15" hidden="false" customHeight="false" outlineLevel="0" collapsed="false">
      <c r="A154" s="24"/>
      <c r="B154" s="24"/>
      <c r="C154" s="24"/>
      <c r="D154" s="24"/>
      <c r="E154" s="24"/>
      <c r="F154" s="24"/>
      <c r="G154" s="24"/>
      <c r="H154" s="24"/>
      <c r="I154" s="24"/>
      <c r="J154" s="24"/>
      <c r="K154" s="25"/>
      <c r="L154" s="24"/>
      <c r="M154" s="24"/>
      <c r="N154" s="26" t="str">
        <f aca="false">IF($A154="","",IF($L154&lt;&gt;"",$L154,IF(IFERROR(INDEX(RES_LOTSRC,MATCH($A154,RES_LOTEFF,0)),"")=$A154,"",IFERROR(INDEX(RES_LOTSRC,MATCH($A154,RES_LOTEFF,0)),""))))</f>
        <v/>
      </c>
      <c r="O154" s="26" t="str">
        <f aca="false">IF($A154="","",IF($B154&lt;&gt;"",$B154,IF($N154="","",IFERROR(INDEX($B$5:$B$204,MATCH($N154,$A$5:$A$204,0)),""))))</f>
        <v/>
      </c>
      <c r="P154" s="26" t="str">
        <f aca="false">IF($A154="","",IF($C154&lt;&gt;"",$C154,IF($N154="","",IFERROR(INDEX($C$5:$C$204,MATCH($N154,$A$5:$A$204,0)),""))))</f>
        <v/>
      </c>
      <c r="Q154" s="26" t="str">
        <f aca="false">IF($A154="","",IF($D154&lt;&gt;"",$D154,IF($N154="","",IFERROR(INDEX($D$5:$D$204,MATCH($N154,$A$5:$A$204,0)),""))))</f>
        <v/>
      </c>
      <c r="R154" s="26" t="str">
        <f aca="false">IF($A154="","",IF($E154&lt;&gt;"",$E154,IF($N154="","",IFERROR(INDEX($E$5:$E$204,MATCH($N154,$A$5:$A$204,0)),""))))</f>
        <v/>
      </c>
      <c r="S154" s="26" t="str">
        <f aca="false">IF($A154="","",IF($H154&lt;&gt;"",$H154,IF($N154="","",IFERROR(INDEX($H$5:$H$204,MATCH($N154,$A$5:$A$204,0)),""))))</f>
        <v/>
      </c>
      <c r="T154" s="26" t="str">
        <f aca="false">IF($A154="","",IF($F154&lt;&gt;"",$F154,IF($N154="","",IFERROR(INDEX($F$5:$F$204,MATCH($N154,$A$5:$A$204,0)),""))))</f>
        <v/>
      </c>
      <c r="U154" s="27" t="str">
        <f aca="false">IF($A154="","",SUMIFS(MVT_NET,MVT_LOT,$A154))</f>
        <v/>
      </c>
      <c r="V154" s="28" t="str">
        <f aca="false">IF($A154="","",COUNTIFS(MVT_LOT,$A154,MVT_BRUT,"&lt;&gt;0"))</f>
        <v/>
      </c>
      <c r="W154" s="28" t="str">
        <f aca="false">IF($A154="","",COUNTIFS(QC_LOT,$A154))</f>
        <v/>
      </c>
      <c r="X154" s="26" t="str">
        <f aca="false">IF($A154="","",IFERROR(INDEX(QC_DEC,MATCH($A154,QC_CLEDER,0)),""))</f>
        <v/>
      </c>
      <c r="Y154" s="26" t="str">
        <f aca="false">IF($A154="","",IF(COUNTIF($A$5:$A$204,$A154)&gt;1,IF(SUMPRODUCT(($A$5:$A$204=$A154)*(($C$5:$C$204&lt;&gt;$C154)+($D$5:$D$204&lt;&gt;$D154)))&gt;0,"INCOHERENCE","LOT EN DOUBLE"),"OK"))</f>
        <v/>
      </c>
      <c r="Z154" s="28" t="n">
        <f aca="false">IF($A154="",0,IF(AND($O154&lt;&gt;"",$A154&lt;&gt;R_LOT,$O154=IFERROR(INDEX(LOT_EXTE,MATCH(R_LOT,LOT_KEY,0)),"#")),1,0))</f>
        <v>0</v>
      </c>
      <c r="AA154" s="26" t="str">
        <f aca="false">IF($Z154=0,"",COUNTIF($Z$5:$Z154,1))</f>
        <v/>
      </c>
    </row>
    <row r="155" customFormat="false" ht="15" hidden="false" customHeight="false" outlineLevel="0" collapsed="false">
      <c r="A155" s="24"/>
      <c r="B155" s="24"/>
      <c r="C155" s="24"/>
      <c r="D155" s="24"/>
      <c r="E155" s="24"/>
      <c r="F155" s="24"/>
      <c r="G155" s="24"/>
      <c r="H155" s="24"/>
      <c r="I155" s="24"/>
      <c r="J155" s="24"/>
      <c r="K155" s="25"/>
      <c r="L155" s="24"/>
      <c r="M155" s="24"/>
      <c r="N155" s="26" t="str">
        <f aca="false">IF($A155="","",IF($L155&lt;&gt;"",$L155,IF(IFERROR(INDEX(RES_LOTSRC,MATCH($A155,RES_LOTEFF,0)),"")=$A155,"",IFERROR(INDEX(RES_LOTSRC,MATCH($A155,RES_LOTEFF,0)),""))))</f>
        <v/>
      </c>
      <c r="O155" s="26" t="str">
        <f aca="false">IF($A155="","",IF($B155&lt;&gt;"",$B155,IF($N155="","",IFERROR(INDEX($B$5:$B$204,MATCH($N155,$A$5:$A$204,0)),""))))</f>
        <v/>
      </c>
      <c r="P155" s="26" t="str">
        <f aca="false">IF($A155="","",IF($C155&lt;&gt;"",$C155,IF($N155="","",IFERROR(INDEX($C$5:$C$204,MATCH($N155,$A$5:$A$204,0)),""))))</f>
        <v/>
      </c>
      <c r="Q155" s="26" t="str">
        <f aca="false">IF($A155="","",IF($D155&lt;&gt;"",$D155,IF($N155="","",IFERROR(INDEX($D$5:$D$204,MATCH($N155,$A$5:$A$204,0)),""))))</f>
        <v/>
      </c>
      <c r="R155" s="26" t="str">
        <f aca="false">IF($A155="","",IF($E155&lt;&gt;"",$E155,IF($N155="","",IFERROR(INDEX($E$5:$E$204,MATCH($N155,$A$5:$A$204,0)),""))))</f>
        <v/>
      </c>
      <c r="S155" s="26" t="str">
        <f aca="false">IF($A155="","",IF($H155&lt;&gt;"",$H155,IF($N155="","",IFERROR(INDEX($H$5:$H$204,MATCH($N155,$A$5:$A$204,0)),""))))</f>
        <v/>
      </c>
      <c r="T155" s="26" t="str">
        <f aca="false">IF($A155="","",IF($F155&lt;&gt;"",$F155,IF($N155="","",IFERROR(INDEX($F$5:$F$204,MATCH($N155,$A$5:$A$204,0)),""))))</f>
        <v/>
      </c>
      <c r="U155" s="27" t="str">
        <f aca="false">IF($A155="","",SUMIFS(MVT_NET,MVT_LOT,$A155))</f>
        <v/>
      </c>
      <c r="V155" s="28" t="str">
        <f aca="false">IF($A155="","",COUNTIFS(MVT_LOT,$A155,MVT_BRUT,"&lt;&gt;0"))</f>
        <v/>
      </c>
      <c r="W155" s="28" t="str">
        <f aca="false">IF($A155="","",COUNTIFS(QC_LOT,$A155))</f>
        <v/>
      </c>
      <c r="X155" s="26" t="str">
        <f aca="false">IF($A155="","",IFERROR(INDEX(QC_DEC,MATCH($A155,QC_CLEDER,0)),""))</f>
        <v/>
      </c>
      <c r="Y155" s="26" t="str">
        <f aca="false">IF($A155="","",IF(COUNTIF($A$5:$A$204,$A155)&gt;1,IF(SUMPRODUCT(($A$5:$A$204=$A155)*(($C$5:$C$204&lt;&gt;$C155)+($D$5:$D$204&lt;&gt;$D155)))&gt;0,"INCOHERENCE","LOT EN DOUBLE"),"OK"))</f>
        <v/>
      </c>
      <c r="Z155" s="28" t="n">
        <f aca="false">IF($A155="",0,IF(AND($O155&lt;&gt;"",$A155&lt;&gt;R_LOT,$O155=IFERROR(INDEX(LOT_EXTE,MATCH(R_LOT,LOT_KEY,0)),"#")),1,0))</f>
        <v>0</v>
      </c>
      <c r="AA155" s="26" t="str">
        <f aca="false">IF($Z155=0,"",COUNTIF($Z$5:$Z155,1))</f>
        <v/>
      </c>
    </row>
    <row r="156" customFormat="false" ht="15" hidden="false" customHeight="false" outlineLevel="0" collapsed="false">
      <c r="A156" s="24"/>
      <c r="B156" s="24"/>
      <c r="C156" s="24"/>
      <c r="D156" s="24"/>
      <c r="E156" s="24"/>
      <c r="F156" s="24"/>
      <c r="G156" s="24"/>
      <c r="H156" s="24"/>
      <c r="I156" s="24"/>
      <c r="J156" s="24"/>
      <c r="K156" s="25"/>
      <c r="L156" s="24"/>
      <c r="M156" s="24"/>
      <c r="N156" s="26" t="str">
        <f aca="false">IF($A156="","",IF($L156&lt;&gt;"",$L156,IF(IFERROR(INDEX(RES_LOTSRC,MATCH($A156,RES_LOTEFF,0)),"")=$A156,"",IFERROR(INDEX(RES_LOTSRC,MATCH($A156,RES_LOTEFF,0)),""))))</f>
        <v/>
      </c>
      <c r="O156" s="26" t="str">
        <f aca="false">IF($A156="","",IF($B156&lt;&gt;"",$B156,IF($N156="","",IFERROR(INDEX($B$5:$B$204,MATCH($N156,$A$5:$A$204,0)),""))))</f>
        <v/>
      </c>
      <c r="P156" s="26" t="str">
        <f aca="false">IF($A156="","",IF($C156&lt;&gt;"",$C156,IF($N156="","",IFERROR(INDEX($C$5:$C$204,MATCH($N156,$A$5:$A$204,0)),""))))</f>
        <v/>
      </c>
      <c r="Q156" s="26" t="str">
        <f aca="false">IF($A156="","",IF($D156&lt;&gt;"",$D156,IF($N156="","",IFERROR(INDEX($D$5:$D$204,MATCH($N156,$A$5:$A$204,0)),""))))</f>
        <v/>
      </c>
      <c r="R156" s="26" t="str">
        <f aca="false">IF($A156="","",IF($E156&lt;&gt;"",$E156,IF($N156="","",IFERROR(INDEX($E$5:$E$204,MATCH($N156,$A$5:$A$204,0)),""))))</f>
        <v/>
      </c>
      <c r="S156" s="26" t="str">
        <f aca="false">IF($A156="","",IF($H156&lt;&gt;"",$H156,IF($N156="","",IFERROR(INDEX($H$5:$H$204,MATCH($N156,$A$5:$A$204,0)),""))))</f>
        <v/>
      </c>
      <c r="T156" s="26" t="str">
        <f aca="false">IF($A156="","",IF($F156&lt;&gt;"",$F156,IF($N156="","",IFERROR(INDEX($F$5:$F$204,MATCH($N156,$A$5:$A$204,0)),""))))</f>
        <v/>
      </c>
      <c r="U156" s="27" t="str">
        <f aca="false">IF($A156="","",SUMIFS(MVT_NET,MVT_LOT,$A156))</f>
        <v/>
      </c>
      <c r="V156" s="28" t="str">
        <f aca="false">IF($A156="","",COUNTIFS(MVT_LOT,$A156,MVT_BRUT,"&lt;&gt;0"))</f>
        <v/>
      </c>
      <c r="W156" s="28" t="str">
        <f aca="false">IF($A156="","",COUNTIFS(QC_LOT,$A156))</f>
        <v/>
      </c>
      <c r="X156" s="26" t="str">
        <f aca="false">IF($A156="","",IFERROR(INDEX(QC_DEC,MATCH($A156,QC_CLEDER,0)),""))</f>
        <v/>
      </c>
      <c r="Y156" s="26" t="str">
        <f aca="false">IF($A156="","",IF(COUNTIF($A$5:$A$204,$A156)&gt;1,IF(SUMPRODUCT(($A$5:$A$204=$A156)*(($C$5:$C$204&lt;&gt;$C156)+($D$5:$D$204&lt;&gt;$D156)))&gt;0,"INCOHERENCE","LOT EN DOUBLE"),"OK"))</f>
        <v/>
      </c>
      <c r="Z156" s="28" t="n">
        <f aca="false">IF($A156="",0,IF(AND($O156&lt;&gt;"",$A156&lt;&gt;R_LOT,$O156=IFERROR(INDEX(LOT_EXTE,MATCH(R_LOT,LOT_KEY,0)),"#")),1,0))</f>
        <v>0</v>
      </c>
      <c r="AA156" s="26" t="str">
        <f aca="false">IF($Z156=0,"",COUNTIF($Z$5:$Z156,1))</f>
        <v/>
      </c>
    </row>
    <row r="157" customFormat="false" ht="15" hidden="false" customHeight="false" outlineLevel="0" collapsed="false">
      <c r="A157" s="24"/>
      <c r="B157" s="24"/>
      <c r="C157" s="24"/>
      <c r="D157" s="24"/>
      <c r="E157" s="24"/>
      <c r="F157" s="24"/>
      <c r="G157" s="24"/>
      <c r="H157" s="24"/>
      <c r="I157" s="24"/>
      <c r="J157" s="24"/>
      <c r="K157" s="25"/>
      <c r="L157" s="24"/>
      <c r="M157" s="24"/>
      <c r="N157" s="26" t="str">
        <f aca="false">IF($A157="","",IF($L157&lt;&gt;"",$L157,IF(IFERROR(INDEX(RES_LOTSRC,MATCH($A157,RES_LOTEFF,0)),"")=$A157,"",IFERROR(INDEX(RES_LOTSRC,MATCH($A157,RES_LOTEFF,0)),""))))</f>
        <v/>
      </c>
      <c r="O157" s="26" t="str">
        <f aca="false">IF($A157="","",IF($B157&lt;&gt;"",$B157,IF($N157="","",IFERROR(INDEX($B$5:$B$204,MATCH($N157,$A$5:$A$204,0)),""))))</f>
        <v/>
      </c>
      <c r="P157" s="26" t="str">
        <f aca="false">IF($A157="","",IF($C157&lt;&gt;"",$C157,IF($N157="","",IFERROR(INDEX($C$5:$C$204,MATCH($N157,$A$5:$A$204,0)),""))))</f>
        <v/>
      </c>
      <c r="Q157" s="26" t="str">
        <f aca="false">IF($A157="","",IF($D157&lt;&gt;"",$D157,IF($N157="","",IFERROR(INDEX($D$5:$D$204,MATCH($N157,$A$5:$A$204,0)),""))))</f>
        <v/>
      </c>
      <c r="R157" s="26" t="str">
        <f aca="false">IF($A157="","",IF($E157&lt;&gt;"",$E157,IF($N157="","",IFERROR(INDEX($E$5:$E$204,MATCH($N157,$A$5:$A$204,0)),""))))</f>
        <v/>
      </c>
      <c r="S157" s="26" t="str">
        <f aca="false">IF($A157="","",IF($H157&lt;&gt;"",$H157,IF($N157="","",IFERROR(INDEX($H$5:$H$204,MATCH($N157,$A$5:$A$204,0)),""))))</f>
        <v/>
      </c>
      <c r="T157" s="26" t="str">
        <f aca="false">IF($A157="","",IF($F157&lt;&gt;"",$F157,IF($N157="","",IFERROR(INDEX($F$5:$F$204,MATCH($N157,$A$5:$A$204,0)),""))))</f>
        <v/>
      </c>
      <c r="U157" s="27" t="str">
        <f aca="false">IF($A157="","",SUMIFS(MVT_NET,MVT_LOT,$A157))</f>
        <v/>
      </c>
      <c r="V157" s="28" t="str">
        <f aca="false">IF($A157="","",COUNTIFS(MVT_LOT,$A157,MVT_BRUT,"&lt;&gt;0"))</f>
        <v/>
      </c>
      <c r="W157" s="28" t="str">
        <f aca="false">IF($A157="","",COUNTIFS(QC_LOT,$A157))</f>
        <v/>
      </c>
      <c r="X157" s="26" t="str">
        <f aca="false">IF($A157="","",IFERROR(INDEX(QC_DEC,MATCH($A157,QC_CLEDER,0)),""))</f>
        <v/>
      </c>
      <c r="Y157" s="26" t="str">
        <f aca="false">IF($A157="","",IF(COUNTIF($A$5:$A$204,$A157)&gt;1,IF(SUMPRODUCT(($A$5:$A$204=$A157)*(($C$5:$C$204&lt;&gt;$C157)+($D$5:$D$204&lt;&gt;$D157)))&gt;0,"INCOHERENCE","LOT EN DOUBLE"),"OK"))</f>
        <v/>
      </c>
      <c r="Z157" s="28" t="n">
        <f aca="false">IF($A157="",0,IF(AND($O157&lt;&gt;"",$A157&lt;&gt;R_LOT,$O157=IFERROR(INDEX(LOT_EXTE,MATCH(R_LOT,LOT_KEY,0)),"#")),1,0))</f>
        <v>0</v>
      </c>
      <c r="AA157" s="26" t="str">
        <f aca="false">IF($Z157=0,"",COUNTIF($Z$5:$Z157,1))</f>
        <v/>
      </c>
    </row>
    <row r="158" customFormat="false" ht="15" hidden="false" customHeight="false" outlineLevel="0" collapsed="false">
      <c r="A158" s="24"/>
      <c r="B158" s="24"/>
      <c r="C158" s="24"/>
      <c r="D158" s="24"/>
      <c r="E158" s="24"/>
      <c r="F158" s="24"/>
      <c r="G158" s="24"/>
      <c r="H158" s="24"/>
      <c r="I158" s="24"/>
      <c r="J158" s="24"/>
      <c r="K158" s="25"/>
      <c r="L158" s="24"/>
      <c r="M158" s="24"/>
      <c r="N158" s="26" t="str">
        <f aca="false">IF($A158="","",IF($L158&lt;&gt;"",$L158,IF(IFERROR(INDEX(RES_LOTSRC,MATCH($A158,RES_LOTEFF,0)),"")=$A158,"",IFERROR(INDEX(RES_LOTSRC,MATCH($A158,RES_LOTEFF,0)),""))))</f>
        <v/>
      </c>
      <c r="O158" s="26" t="str">
        <f aca="false">IF($A158="","",IF($B158&lt;&gt;"",$B158,IF($N158="","",IFERROR(INDEX($B$5:$B$204,MATCH($N158,$A$5:$A$204,0)),""))))</f>
        <v/>
      </c>
      <c r="P158" s="26" t="str">
        <f aca="false">IF($A158="","",IF($C158&lt;&gt;"",$C158,IF($N158="","",IFERROR(INDEX($C$5:$C$204,MATCH($N158,$A$5:$A$204,0)),""))))</f>
        <v/>
      </c>
      <c r="Q158" s="26" t="str">
        <f aca="false">IF($A158="","",IF($D158&lt;&gt;"",$D158,IF($N158="","",IFERROR(INDEX($D$5:$D$204,MATCH($N158,$A$5:$A$204,0)),""))))</f>
        <v/>
      </c>
      <c r="R158" s="26" t="str">
        <f aca="false">IF($A158="","",IF($E158&lt;&gt;"",$E158,IF($N158="","",IFERROR(INDEX($E$5:$E$204,MATCH($N158,$A$5:$A$204,0)),""))))</f>
        <v/>
      </c>
      <c r="S158" s="26" t="str">
        <f aca="false">IF($A158="","",IF($H158&lt;&gt;"",$H158,IF($N158="","",IFERROR(INDEX($H$5:$H$204,MATCH($N158,$A$5:$A$204,0)),""))))</f>
        <v/>
      </c>
      <c r="T158" s="26" t="str">
        <f aca="false">IF($A158="","",IF($F158&lt;&gt;"",$F158,IF($N158="","",IFERROR(INDEX($F$5:$F$204,MATCH($N158,$A$5:$A$204,0)),""))))</f>
        <v/>
      </c>
      <c r="U158" s="27" t="str">
        <f aca="false">IF($A158="","",SUMIFS(MVT_NET,MVT_LOT,$A158))</f>
        <v/>
      </c>
      <c r="V158" s="28" t="str">
        <f aca="false">IF($A158="","",COUNTIFS(MVT_LOT,$A158,MVT_BRUT,"&lt;&gt;0"))</f>
        <v/>
      </c>
      <c r="W158" s="28" t="str">
        <f aca="false">IF($A158="","",COUNTIFS(QC_LOT,$A158))</f>
        <v/>
      </c>
      <c r="X158" s="26" t="str">
        <f aca="false">IF($A158="","",IFERROR(INDEX(QC_DEC,MATCH($A158,QC_CLEDER,0)),""))</f>
        <v/>
      </c>
      <c r="Y158" s="26" t="str">
        <f aca="false">IF($A158="","",IF(COUNTIF($A$5:$A$204,$A158)&gt;1,IF(SUMPRODUCT(($A$5:$A$204=$A158)*(($C$5:$C$204&lt;&gt;$C158)+($D$5:$D$204&lt;&gt;$D158)))&gt;0,"INCOHERENCE","LOT EN DOUBLE"),"OK"))</f>
        <v/>
      </c>
      <c r="Z158" s="28" t="n">
        <f aca="false">IF($A158="",0,IF(AND($O158&lt;&gt;"",$A158&lt;&gt;R_LOT,$O158=IFERROR(INDEX(LOT_EXTE,MATCH(R_LOT,LOT_KEY,0)),"#")),1,0))</f>
        <v>0</v>
      </c>
      <c r="AA158" s="26" t="str">
        <f aca="false">IF($Z158=0,"",COUNTIF($Z$5:$Z158,1))</f>
        <v/>
      </c>
    </row>
    <row r="159" customFormat="false" ht="15" hidden="false" customHeight="false" outlineLevel="0" collapsed="false">
      <c r="A159" s="24"/>
      <c r="B159" s="24"/>
      <c r="C159" s="24"/>
      <c r="D159" s="24"/>
      <c r="E159" s="24"/>
      <c r="F159" s="24"/>
      <c r="G159" s="24"/>
      <c r="H159" s="24"/>
      <c r="I159" s="24"/>
      <c r="J159" s="24"/>
      <c r="K159" s="25"/>
      <c r="L159" s="24"/>
      <c r="M159" s="24"/>
      <c r="N159" s="26" t="str">
        <f aca="false">IF($A159="","",IF($L159&lt;&gt;"",$L159,IF(IFERROR(INDEX(RES_LOTSRC,MATCH($A159,RES_LOTEFF,0)),"")=$A159,"",IFERROR(INDEX(RES_LOTSRC,MATCH($A159,RES_LOTEFF,0)),""))))</f>
        <v/>
      </c>
      <c r="O159" s="26" t="str">
        <f aca="false">IF($A159="","",IF($B159&lt;&gt;"",$B159,IF($N159="","",IFERROR(INDEX($B$5:$B$204,MATCH($N159,$A$5:$A$204,0)),""))))</f>
        <v/>
      </c>
      <c r="P159" s="26" t="str">
        <f aca="false">IF($A159="","",IF($C159&lt;&gt;"",$C159,IF($N159="","",IFERROR(INDEX($C$5:$C$204,MATCH($N159,$A$5:$A$204,0)),""))))</f>
        <v/>
      </c>
      <c r="Q159" s="26" t="str">
        <f aca="false">IF($A159="","",IF($D159&lt;&gt;"",$D159,IF($N159="","",IFERROR(INDEX($D$5:$D$204,MATCH($N159,$A$5:$A$204,0)),""))))</f>
        <v/>
      </c>
      <c r="R159" s="26" t="str">
        <f aca="false">IF($A159="","",IF($E159&lt;&gt;"",$E159,IF($N159="","",IFERROR(INDEX($E$5:$E$204,MATCH($N159,$A$5:$A$204,0)),""))))</f>
        <v/>
      </c>
      <c r="S159" s="26" t="str">
        <f aca="false">IF($A159="","",IF($H159&lt;&gt;"",$H159,IF($N159="","",IFERROR(INDEX($H$5:$H$204,MATCH($N159,$A$5:$A$204,0)),""))))</f>
        <v/>
      </c>
      <c r="T159" s="26" t="str">
        <f aca="false">IF($A159="","",IF($F159&lt;&gt;"",$F159,IF($N159="","",IFERROR(INDEX($F$5:$F$204,MATCH($N159,$A$5:$A$204,0)),""))))</f>
        <v/>
      </c>
      <c r="U159" s="27" t="str">
        <f aca="false">IF($A159="","",SUMIFS(MVT_NET,MVT_LOT,$A159))</f>
        <v/>
      </c>
      <c r="V159" s="28" t="str">
        <f aca="false">IF($A159="","",COUNTIFS(MVT_LOT,$A159,MVT_BRUT,"&lt;&gt;0"))</f>
        <v/>
      </c>
      <c r="W159" s="28" t="str">
        <f aca="false">IF($A159="","",COUNTIFS(QC_LOT,$A159))</f>
        <v/>
      </c>
      <c r="X159" s="26" t="str">
        <f aca="false">IF($A159="","",IFERROR(INDEX(QC_DEC,MATCH($A159,QC_CLEDER,0)),""))</f>
        <v/>
      </c>
      <c r="Y159" s="26" t="str">
        <f aca="false">IF($A159="","",IF(COUNTIF($A$5:$A$204,$A159)&gt;1,IF(SUMPRODUCT(($A$5:$A$204=$A159)*(($C$5:$C$204&lt;&gt;$C159)+($D$5:$D$204&lt;&gt;$D159)))&gt;0,"INCOHERENCE","LOT EN DOUBLE"),"OK"))</f>
        <v/>
      </c>
      <c r="Z159" s="28" t="n">
        <f aca="false">IF($A159="",0,IF(AND($O159&lt;&gt;"",$A159&lt;&gt;R_LOT,$O159=IFERROR(INDEX(LOT_EXTE,MATCH(R_LOT,LOT_KEY,0)),"#")),1,0))</f>
        <v>0</v>
      </c>
      <c r="AA159" s="26" t="str">
        <f aca="false">IF($Z159=0,"",COUNTIF($Z$5:$Z159,1))</f>
        <v/>
      </c>
    </row>
    <row r="160" customFormat="false" ht="15" hidden="false" customHeight="false" outlineLevel="0" collapsed="false">
      <c r="A160" s="24"/>
      <c r="B160" s="24"/>
      <c r="C160" s="24"/>
      <c r="D160" s="24"/>
      <c r="E160" s="24"/>
      <c r="F160" s="24"/>
      <c r="G160" s="24"/>
      <c r="H160" s="24"/>
      <c r="I160" s="24"/>
      <c r="J160" s="24"/>
      <c r="K160" s="25"/>
      <c r="L160" s="24"/>
      <c r="M160" s="24"/>
      <c r="N160" s="26" t="str">
        <f aca="false">IF($A160="","",IF($L160&lt;&gt;"",$L160,IF(IFERROR(INDEX(RES_LOTSRC,MATCH($A160,RES_LOTEFF,0)),"")=$A160,"",IFERROR(INDEX(RES_LOTSRC,MATCH($A160,RES_LOTEFF,0)),""))))</f>
        <v/>
      </c>
      <c r="O160" s="26" t="str">
        <f aca="false">IF($A160="","",IF($B160&lt;&gt;"",$B160,IF($N160="","",IFERROR(INDEX($B$5:$B$204,MATCH($N160,$A$5:$A$204,0)),""))))</f>
        <v/>
      </c>
      <c r="P160" s="26" t="str">
        <f aca="false">IF($A160="","",IF($C160&lt;&gt;"",$C160,IF($N160="","",IFERROR(INDEX($C$5:$C$204,MATCH($N160,$A$5:$A$204,0)),""))))</f>
        <v/>
      </c>
      <c r="Q160" s="26" t="str">
        <f aca="false">IF($A160="","",IF($D160&lt;&gt;"",$D160,IF($N160="","",IFERROR(INDEX($D$5:$D$204,MATCH($N160,$A$5:$A$204,0)),""))))</f>
        <v/>
      </c>
      <c r="R160" s="26" t="str">
        <f aca="false">IF($A160="","",IF($E160&lt;&gt;"",$E160,IF($N160="","",IFERROR(INDEX($E$5:$E$204,MATCH($N160,$A$5:$A$204,0)),""))))</f>
        <v/>
      </c>
      <c r="S160" s="26" t="str">
        <f aca="false">IF($A160="","",IF($H160&lt;&gt;"",$H160,IF($N160="","",IFERROR(INDEX($H$5:$H$204,MATCH($N160,$A$5:$A$204,0)),""))))</f>
        <v/>
      </c>
      <c r="T160" s="26" t="str">
        <f aca="false">IF($A160="","",IF($F160&lt;&gt;"",$F160,IF($N160="","",IFERROR(INDEX($F$5:$F$204,MATCH($N160,$A$5:$A$204,0)),""))))</f>
        <v/>
      </c>
      <c r="U160" s="27" t="str">
        <f aca="false">IF($A160="","",SUMIFS(MVT_NET,MVT_LOT,$A160))</f>
        <v/>
      </c>
      <c r="V160" s="28" t="str">
        <f aca="false">IF($A160="","",COUNTIFS(MVT_LOT,$A160,MVT_BRUT,"&lt;&gt;0"))</f>
        <v/>
      </c>
      <c r="W160" s="28" t="str">
        <f aca="false">IF($A160="","",COUNTIFS(QC_LOT,$A160))</f>
        <v/>
      </c>
      <c r="X160" s="26" t="str">
        <f aca="false">IF($A160="","",IFERROR(INDEX(QC_DEC,MATCH($A160,QC_CLEDER,0)),""))</f>
        <v/>
      </c>
      <c r="Y160" s="26" t="str">
        <f aca="false">IF($A160="","",IF(COUNTIF($A$5:$A$204,$A160)&gt;1,IF(SUMPRODUCT(($A$5:$A$204=$A160)*(($C$5:$C$204&lt;&gt;$C160)+($D$5:$D$204&lt;&gt;$D160)))&gt;0,"INCOHERENCE","LOT EN DOUBLE"),"OK"))</f>
        <v/>
      </c>
      <c r="Z160" s="28" t="n">
        <f aca="false">IF($A160="",0,IF(AND($O160&lt;&gt;"",$A160&lt;&gt;R_LOT,$O160=IFERROR(INDEX(LOT_EXTE,MATCH(R_LOT,LOT_KEY,0)),"#")),1,0))</f>
        <v>0</v>
      </c>
      <c r="AA160" s="26" t="str">
        <f aca="false">IF($Z160=0,"",COUNTIF($Z$5:$Z160,1))</f>
        <v/>
      </c>
    </row>
    <row r="161" customFormat="false" ht="15" hidden="false" customHeight="false" outlineLevel="0" collapsed="false">
      <c r="A161" s="24"/>
      <c r="B161" s="24"/>
      <c r="C161" s="24"/>
      <c r="D161" s="24"/>
      <c r="E161" s="24"/>
      <c r="F161" s="24"/>
      <c r="G161" s="24"/>
      <c r="H161" s="24"/>
      <c r="I161" s="24"/>
      <c r="J161" s="24"/>
      <c r="K161" s="25"/>
      <c r="L161" s="24"/>
      <c r="M161" s="24"/>
      <c r="N161" s="26" t="str">
        <f aca="false">IF($A161="","",IF($L161&lt;&gt;"",$L161,IF(IFERROR(INDEX(RES_LOTSRC,MATCH($A161,RES_LOTEFF,0)),"")=$A161,"",IFERROR(INDEX(RES_LOTSRC,MATCH($A161,RES_LOTEFF,0)),""))))</f>
        <v/>
      </c>
      <c r="O161" s="26" t="str">
        <f aca="false">IF($A161="","",IF($B161&lt;&gt;"",$B161,IF($N161="","",IFERROR(INDEX($B$5:$B$204,MATCH($N161,$A$5:$A$204,0)),""))))</f>
        <v/>
      </c>
      <c r="P161" s="26" t="str">
        <f aca="false">IF($A161="","",IF($C161&lt;&gt;"",$C161,IF($N161="","",IFERROR(INDEX($C$5:$C$204,MATCH($N161,$A$5:$A$204,0)),""))))</f>
        <v/>
      </c>
      <c r="Q161" s="26" t="str">
        <f aca="false">IF($A161="","",IF($D161&lt;&gt;"",$D161,IF($N161="","",IFERROR(INDEX($D$5:$D$204,MATCH($N161,$A$5:$A$204,0)),""))))</f>
        <v/>
      </c>
      <c r="R161" s="26" t="str">
        <f aca="false">IF($A161="","",IF($E161&lt;&gt;"",$E161,IF($N161="","",IFERROR(INDEX($E$5:$E$204,MATCH($N161,$A$5:$A$204,0)),""))))</f>
        <v/>
      </c>
      <c r="S161" s="26" t="str">
        <f aca="false">IF($A161="","",IF($H161&lt;&gt;"",$H161,IF($N161="","",IFERROR(INDEX($H$5:$H$204,MATCH($N161,$A$5:$A$204,0)),""))))</f>
        <v/>
      </c>
      <c r="T161" s="26" t="str">
        <f aca="false">IF($A161="","",IF($F161&lt;&gt;"",$F161,IF($N161="","",IFERROR(INDEX($F$5:$F$204,MATCH($N161,$A$5:$A$204,0)),""))))</f>
        <v/>
      </c>
      <c r="U161" s="27" t="str">
        <f aca="false">IF($A161="","",SUMIFS(MVT_NET,MVT_LOT,$A161))</f>
        <v/>
      </c>
      <c r="V161" s="28" t="str">
        <f aca="false">IF($A161="","",COUNTIFS(MVT_LOT,$A161,MVT_BRUT,"&lt;&gt;0"))</f>
        <v/>
      </c>
      <c r="W161" s="28" t="str">
        <f aca="false">IF($A161="","",COUNTIFS(QC_LOT,$A161))</f>
        <v/>
      </c>
      <c r="X161" s="26" t="str">
        <f aca="false">IF($A161="","",IFERROR(INDEX(QC_DEC,MATCH($A161,QC_CLEDER,0)),""))</f>
        <v/>
      </c>
      <c r="Y161" s="26" t="str">
        <f aca="false">IF($A161="","",IF(COUNTIF($A$5:$A$204,$A161)&gt;1,IF(SUMPRODUCT(($A$5:$A$204=$A161)*(($C$5:$C$204&lt;&gt;$C161)+($D$5:$D$204&lt;&gt;$D161)))&gt;0,"INCOHERENCE","LOT EN DOUBLE"),"OK"))</f>
        <v/>
      </c>
      <c r="Z161" s="28" t="n">
        <f aca="false">IF($A161="",0,IF(AND($O161&lt;&gt;"",$A161&lt;&gt;R_LOT,$O161=IFERROR(INDEX(LOT_EXTE,MATCH(R_LOT,LOT_KEY,0)),"#")),1,0))</f>
        <v>0</v>
      </c>
      <c r="AA161" s="26" t="str">
        <f aca="false">IF($Z161=0,"",COUNTIF($Z$5:$Z161,1))</f>
        <v/>
      </c>
    </row>
    <row r="162" customFormat="false" ht="15" hidden="false" customHeight="false" outlineLevel="0" collapsed="false">
      <c r="A162" s="24"/>
      <c r="B162" s="24"/>
      <c r="C162" s="24"/>
      <c r="D162" s="24"/>
      <c r="E162" s="24"/>
      <c r="F162" s="24"/>
      <c r="G162" s="24"/>
      <c r="H162" s="24"/>
      <c r="I162" s="24"/>
      <c r="J162" s="24"/>
      <c r="K162" s="25"/>
      <c r="L162" s="24"/>
      <c r="M162" s="24"/>
      <c r="N162" s="26" t="str">
        <f aca="false">IF($A162="","",IF($L162&lt;&gt;"",$L162,IF(IFERROR(INDEX(RES_LOTSRC,MATCH($A162,RES_LOTEFF,0)),"")=$A162,"",IFERROR(INDEX(RES_LOTSRC,MATCH($A162,RES_LOTEFF,0)),""))))</f>
        <v/>
      </c>
      <c r="O162" s="26" t="str">
        <f aca="false">IF($A162="","",IF($B162&lt;&gt;"",$B162,IF($N162="","",IFERROR(INDEX($B$5:$B$204,MATCH($N162,$A$5:$A$204,0)),""))))</f>
        <v/>
      </c>
      <c r="P162" s="26" t="str">
        <f aca="false">IF($A162="","",IF($C162&lt;&gt;"",$C162,IF($N162="","",IFERROR(INDEX($C$5:$C$204,MATCH($N162,$A$5:$A$204,0)),""))))</f>
        <v/>
      </c>
      <c r="Q162" s="26" t="str">
        <f aca="false">IF($A162="","",IF($D162&lt;&gt;"",$D162,IF($N162="","",IFERROR(INDEX($D$5:$D$204,MATCH($N162,$A$5:$A$204,0)),""))))</f>
        <v/>
      </c>
      <c r="R162" s="26" t="str">
        <f aca="false">IF($A162="","",IF($E162&lt;&gt;"",$E162,IF($N162="","",IFERROR(INDEX($E$5:$E$204,MATCH($N162,$A$5:$A$204,0)),""))))</f>
        <v/>
      </c>
      <c r="S162" s="26" t="str">
        <f aca="false">IF($A162="","",IF($H162&lt;&gt;"",$H162,IF($N162="","",IFERROR(INDEX($H$5:$H$204,MATCH($N162,$A$5:$A$204,0)),""))))</f>
        <v/>
      </c>
      <c r="T162" s="26" t="str">
        <f aca="false">IF($A162="","",IF($F162&lt;&gt;"",$F162,IF($N162="","",IFERROR(INDEX($F$5:$F$204,MATCH($N162,$A$5:$A$204,0)),""))))</f>
        <v/>
      </c>
      <c r="U162" s="27" t="str">
        <f aca="false">IF($A162="","",SUMIFS(MVT_NET,MVT_LOT,$A162))</f>
        <v/>
      </c>
      <c r="V162" s="28" t="str">
        <f aca="false">IF($A162="","",COUNTIFS(MVT_LOT,$A162,MVT_BRUT,"&lt;&gt;0"))</f>
        <v/>
      </c>
      <c r="W162" s="28" t="str">
        <f aca="false">IF($A162="","",COUNTIFS(QC_LOT,$A162))</f>
        <v/>
      </c>
      <c r="X162" s="26" t="str">
        <f aca="false">IF($A162="","",IFERROR(INDEX(QC_DEC,MATCH($A162,QC_CLEDER,0)),""))</f>
        <v/>
      </c>
      <c r="Y162" s="26" t="str">
        <f aca="false">IF($A162="","",IF(COUNTIF($A$5:$A$204,$A162)&gt;1,IF(SUMPRODUCT(($A$5:$A$204=$A162)*(($C$5:$C$204&lt;&gt;$C162)+($D$5:$D$204&lt;&gt;$D162)))&gt;0,"INCOHERENCE","LOT EN DOUBLE"),"OK"))</f>
        <v/>
      </c>
      <c r="Z162" s="28" t="n">
        <f aca="false">IF($A162="",0,IF(AND($O162&lt;&gt;"",$A162&lt;&gt;R_LOT,$O162=IFERROR(INDEX(LOT_EXTE,MATCH(R_LOT,LOT_KEY,0)),"#")),1,0))</f>
        <v>0</v>
      </c>
      <c r="AA162" s="26" t="str">
        <f aca="false">IF($Z162=0,"",COUNTIF($Z$5:$Z162,1))</f>
        <v/>
      </c>
    </row>
    <row r="163" customFormat="false" ht="15" hidden="false" customHeight="false" outlineLevel="0" collapsed="false">
      <c r="A163" s="24"/>
      <c r="B163" s="24"/>
      <c r="C163" s="24"/>
      <c r="D163" s="24"/>
      <c r="E163" s="24"/>
      <c r="F163" s="24"/>
      <c r="G163" s="24"/>
      <c r="H163" s="24"/>
      <c r="I163" s="24"/>
      <c r="J163" s="24"/>
      <c r="K163" s="25"/>
      <c r="L163" s="24"/>
      <c r="M163" s="24"/>
      <c r="N163" s="26" t="str">
        <f aca="false">IF($A163="","",IF($L163&lt;&gt;"",$L163,IF(IFERROR(INDEX(RES_LOTSRC,MATCH($A163,RES_LOTEFF,0)),"")=$A163,"",IFERROR(INDEX(RES_LOTSRC,MATCH($A163,RES_LOTEFF,0)),""))))</f>
        <v/>
      </c>
      <c r="O163" s="26" t="str">
        <f aca="false">IF($A163="","",IF($B163&lt;&gt;"",$B163,IF($N163="","",IFERROR(INDEX($B$5:$B$204,MATCH($N163,$A$5:$A$204,0)),""))))</f>
        <v/>
      </c>
      <c r="P163" s="26" t="str">
        <f aca="false">IF($A163="","",IF($C163&lt;&gt;"",$C163,IF($N163="","",IFERROR(INDEX($C$5:$C$204,MATCH($N163,$A$5:$A$204,0)),""))))</f>
        <v/>
      </c>
      <c r="Q163" s="26" t="str">
        <f aca="false">IF($A163="","",IF($D163&lt;&gt;"",$D163,IF($N163="","",IFERROR(INDEX($D$5:$D$204,MATCH($N163,$A$5:$A$204,0)),""))))</f>
        <v/>
      </c>
      <c r="R163" s="26" t="str">
        <f aca="false">IF($A163="","",IF($E163&lt;&gt;"",$E163,IF($N163="","",IFERROR(INDEX($E$5:$E$204,MATCH($N163,$A$5:$A$204,0)),""))))</f>
        <v/>
      </c>
      <c r="S163" s="26" t="str">
        <f aca="false">IF($A163="","",IF($H163&lt;&gt;"",$H163,IF($N163="","",IFERROR(INDEX($H$5:$H$204,MATCH($N163,$A$5:$A$204,0)),""))))</f>
        <v/>
      </c>
      <c r="T163" s="26" t="str">
        <f aca="false">IF($A163="","",IF($F163&lt;&gt;"",$F163,IF($N163="","",IFERROR(INDEX($F$5:$F$204,MATCH($N163,$A$5:$A$204,0)),""))))</f>
        <v/>
      </c>
      <c r="U163" s="27" t="str">
        <f aca="false">IF($A163="","",SUMIFS(MVT_NET,MVT_LOT,$A163))</f>
        <v/>
      </c>
      <c r="V163" s="28" t="str">
        <f aca="false">IF($A163="","",COUNTIFS(MVT_LOT,$A163,MVT_BRUT,"&lt;&gt;0"))</f>
        <v/>
      </c>
      <c r="W163" s="28" t="str">
        <f aca="false">IF($A163="","",COUNTIFS(QC_LOT,$A163))</f>
        <v/>
      </c>
      <c r="X163" s="26" t="str">
        <f aca="false">IF($A163="","",IFERROR(INDEX(QC_DEC,MATCH($A163,QC_CLEDER,0)),""))</f>
        <v/>
      </c>
      <c r="Y163" s="26" t="str">
        <f aca="false">IF($A163="","",IF(COUNTIF($A$5:$A$204,$A163)&gt;1,IF(SUMPRODUCT(($A$5:$A$204=$A163)*(($C$5:$C$204&lt;&gt;$C163)+($D$5:$D$204&lt;&gt;$D163)))&gt;0,"INCOHERENCE","LOT EN DOUBLE"),"OK"))</f>
        <v/>
      </c>
      <c r="Z163" s="28" t="n">
        <f aca="false">IF($A163="",0,IF(AND($O163&lt;&gt;"",$A163&lt;&gt;R_LOT,$O163=IFERROR(INDEX(LOT_EXTE,MATCH(R_LOT,LOT_KEY,0)),"#")),1,0))</f>
        <v>0</v>
      </c>
      <c r="AA163" s="26" t="str">
        <f aca="false">IF($Z163=0,"",COUNTIF($Z$5:$Z163,1))</f>
        <v/>
      </c>
    </row>
    <row r="164" customFormat="false" ht="15" hidden="false" customHeight="false" outlineLevel="0" collapsed="false">
      <c r="A164" s="24"/>
      <c r="B164" s="24"/>
      <c r="C164" s="24"/>
      <c r="D164" s="24"/>
      <c r="E164" s="24"/>
      <c r="F164" s="24"/>
      <c r="G164" s="24"/>
      <c r="H164" s="24"/>
      <c r="I164" s="24"/>
      <c r="J164" s="24"/>
      <c r="K164" s="25"/>
      <c r="L164" s="24"/>
      <c r="M164" s="24"/>
      <c r="N164" s="26" t="str">
        <f aca="false">IF($A164="","",IF($L164&lt;&gt;"",$L164,IF(IFERROR(INDEX(RES_LOTSRC,MATCH($A164,RES_LOTEFF,0)),"")=$A164,"",IFERROR(INDEX(RES_LOTSRC,MATCH($A164,RES_LOTEFF,0)),""))))</f>
        <v/>
      </c>
      <c r="O164" s="26" t="str">
        <f aca="false">IF($A164="","",IF($B164&lt;&gt;"",$B164,IF($N164="","",IFERROR(INDEX($B$5:$B$204,MATCH($N164,$A$5:$A$204,0)),""))))</f>
        <v/>
      </c>
      <c r="P164" s="26" t="str">
        <f aca="false">IF($A164="","",IF($C164&lt;&gt;"",$C164,IF($N164="","",IFERROR(INDEX($C$5:$C$204,MATCH($N164,$A$5:$A$204,0)),""))))</f>
        <v/>
      </c>
      <c r="Q164" s="26" t="str">
        <f aca="false">IF($A164="","",IF($D164&lt;&gt;"",$D164,IF($N164="","",IFERROR(INDEX($D$5:$D$204,MATCH($N164,$A$5:$A$204,0)),""))))</f>
        <v/>
      </c>
      <c r="R164" s="26" t="str">
        <f aca="false">IF($A164="","",IF($E164&lt;&gt;"",$E164,IF($N164="","",IFERROR(INDEX($E$5:$E$204,MATCH($N164,$A$5:$A$204,0)),""))))</f>
        <v/>
      </c>
      <c r="S164" s="26" t="str">
        <f aca="false">IF($A164="","",IF($H164&lt;&gt;"",$H164,IF($N164="","",IFERROR(INDEX($H$5:$H$204,MATCH($N164,$A$5:$A$204,0)),""))))</f>
        <v/>
      </c>
      <c r="T164" s="26" t="str">
        <f aca="false">IF($A164="","",IF($F164&lt;&gt;"",$F164,IF($N164="","",IFERROR(INDEX($F$5:$F$204,MATCH($N164,$A$5:$A$204,0)),""))))</f>
        <v/>
      </c>
      <c r="U164" s="27" t="str">
        <f aca="false">IF($A164="","",SUMIFS(MVT_NET,MVT_LOT,$A164))</f>
        <v/>
      </c>
      <c r="V164" s="28" t="str">
        <f aca="false">IF($A164="","",COUNTIFS(MVT_LOT,$A164,MVT_BRUT,"&lt;&gt;0"))</f>
        <v/>
      </c>
      <c r="W164" s="28" t="str">
        <f aca="false">IF($A164="","",COUNTIFS(QC_LOT,$A164))</f>
        <v/>
      </c>
      <c r="X164" s="26" t="str">
        <f aca="false">IF($A164="","",IFERROR(INDEX(QC_DEC,MATCH($A164,QC_CLEDER,0)),""))</f>
        <v/>
      </c>
      <c r="Y164" s="26" t="str">
        <f aca="false">IF($A164="","",IF(COUNTIF($A$5:$A$204,$A164)&gt;1,IF(SUMPRODUCT(($A$5:$A$204=$A164)*(($C$5:$C$204&lt;&gt;$C164)+($D$5:$D$204&lt;&gt;$D164)))&gt;0,"INCOHERENCE","LOT EN DOUBLE"),"OK"))</f>
        <v/>
      </c>
      <c r="Z164" s="28" t="n">
        <f aca="false">IF($A164="",0,IF(AND($O164&lt;&gt;"",$A164&lt;&gt;R_LOT,$O164=IFERROR(INDEX(LOT_EXTE,MATCH(R_LOT,LOT_KEY,0)),"#")),1,0))</f>
        <v>0</v>
      </c>
      <c r="AA164" s="26" t="str">
        <f aca="false">IF($Z164=0,"",COUNTIF($Z$5:$Z164,1))</f>
        <v/>
      </c>
    </row>
    <row r="165" customFormat="false" ht="15" hidden="false" customHeight="false" outlineLevel="0" collapsed="false">
      <c r="A165" s="24"/>
      <c r="B165" s="24"/>
      <c r="C165" s="24"/>
      <c r="D165" s="24"/>
      <c r="E165" s="24"/>
      <c r="F165" s="24"/>
      <c r="G165" s="24"/>
      <c r="H165" s="24"/>
      <c r="I165" s="24"/>
      <c r="J165" s="24"/>
      <c r="K165" s="25"/>
      <c r="L165" s="24"/>
      <c r="M165" s="24"/>
      <c r="N165" s="26" t="str">
        <f aca="false">IF($A165="","",IF($L165&lt;&gt;"",$L165,IF(IFERROR(INDEX(RES_LOTSRC,MATCH($A165,RES_LOTEFF,0)),"")=$A165,"",IFERROR(INDEX(RES_LOTSRC,MATCH($A165,RES_LOTEFF,0)),""))))</f>
        <v/>
      </c>
      <c r="O165" s="26" t="str">
        <f aca="false">IF($A165="","",IF($B165&lt;&gt;"",$B165,IF($N165="","",IFERROR(INDEX($B$5:$B$204,MATCH($N165,$A$5:$A$204,0)),""))))</f>
        <v/>
      </c>
      <c r="P165" s="26" t="str">
        <f aca="false">IF($A165="","",IF($C165&lt;&gt;"",$C165,IF($N165="","",IFERROR(INDEX($C$5:$C$204,MATCH($N165,$A$5:$A$204,0)),""))))</f>
        <v/>
      </c>
      <c r="Q165" s="26" t="str">
        <f aca="false">IF($A165="","",IF($D165&lt;&gt;"",$D165,IF($N165="","",IFERROR(INDEX($D$5:$D$204,MATCH($N165,$A$5:$A$204,0)),""))))</f>
        <v/>
      </c>
      <c r="R165" s="26" t="str">
        <f aca="false">IF($A165="","",IF($E165&lt;&gt;"",$E165,IF($N165="","",IFERROR(INDEX($E$5:$E$204,MATCH($N165,$A$5:$A$204,0)),""))))</f>
        <v/>
      </c>
      <c r="S165" s="26" t="str">
        <f aca="false">IF($A165="","",IF($H165&lt;&gt;"",$H165,IF($N165="","",IFERROR(INDEX($H$5:$H$204,MATCH($N165,$A$5:$A$204,0)),""))))</f>
        <v/>
      </c>
      <c r="T165" s="26" t="str">
        <f aca="false">IF($A165="","",IF($F165&lt;&gt;"",$F165,IF($N165="","",IFERROR(INDEX($F$5:$F$204,MATCH($N165,$A$5:$A$204,0)),""))))</f>
        <v/>
      </c>
      <c r="U165" s="27" t="str">
        <f aca="false">IF($A165="","",SUMIFS(MVT_NET,MVT_LOT,$A165))</f>
        <v/>
      </c>
      <c r="V165" s="28" t="str">
        <f aca="false">IF($A165="","",COUNTIFS(MVT_LOT,$A165,MVT_BRUT,"&lt;&gt;0"))</f>
        <v/>
      </c>
      <c r="W165" s="28" t="str">
        <f aca="false">IF($A165="","",COUNTIFS(QC_LOT,$A165))</f>
        <v/>
      </c>
      <c r="X165" s="26" t="str">
        <f aca="false">IF($A165="","",IFERROR(INDEX(QC_DEC,MATCH($A165,QC_CLEDER,0)),""))</f>
        <v/>
      </c>
      <c r="Y165" s="26" t="str">
        <f aca="false">IF($A165="","",IF(COUNTIF($A$5:$A$204,$A165)&gt;1,IF(SUMPRODUCT(($A$5:$A$204=$A165)*(($C$5:$C$204&lt;&gt;$C165)+($D$5:$D$204&lt;&gt;$D165)))&gt;0,"INCOHERENCE","LOT EN DOUBLE"),"OK"))</f>
        <v/>
      </c>
      <c r="Z165" s="28" t="n">
        <f aca="false">IF($A165="",0,IF(AND($O165&lt;&gt;"",$A165&lt;&gt;R_LOT,$O165=IFERROR(INDEX(LOT_EXTE,MATCH(R_LOT,LOT_KEY,0)),"#")),1,0))</f>
        <v>0</v>
      </c>
      <c r="AA165" s="26" t="str">
        <f aca="false">IF($Z165=0,"",COUNTIF($Z$5:$Z165,1))</f>
        <v/>
      </c>
    </row>
    <row r="166" customFormat="false" ht="15" hidden="false" customHeight="false" outlineLevel="0" collapsed="false">
      <c r="A166" s="24"/>
      <c r="B166" s="24"/>
      <c r="C166" s="24"/>
      <c r="D166" s="24"/>
      <c r="E166" s="24"/>
      <c r="F166" s="24"/>
      <c r="G166" s="24"/>
      <c r="H166" s="24"/>
      <c r="I166" s="24"/>
      <c r="J166" s="24"/>
      <c r="K166" s="25"/>
      <c r="L166" s="24"/>
      <c r="M166" s="24"/>
      <c r="N166" s="26" t="str">
        <f aca="false">IF($A166="","",IF($L166&lt;&gt;"",$L166,IF(IFERROR(INDEX(RES_LOTSRC,MATCH($A166,RES_LOTEFF,0)),"")=$A166,"",IFERROR(INDEX(RES_LOTSRC,MATCH($A166,RES_LOTEFF,0)),""))))</f>
        <v/>
      </c>
      <c r="O166" s="26" t="str">
        <f aca="false">IF($A166="","",IF($B166&lt;&gt;"",$B166,IF($N166="","",IFERROR(INDEX($B$5:$B$204,MATCH($N166,$A$5:$A$204,0)),""))))</f>
        <v/>
      </c>
      <c r="P166" s="26" t="str">
        <f aca="false">IF($A166="","",IF($C166&lt;&gt;"",$C166,IF($N166="","",IFERROR(INDEX($C$5:$C$204,MATCH($N166,$A$5:$A$204,0)),""))))</f>
        <v/>
      </c>
      <c r="Q166" s="26" t="str">
        <f aca="false">IF($A166="","",IF($D166&lt;&gt;"",$D166,IF($N166="","",IFERROR(INDEX($D$5:$D$204,MATCH($N166,$A$5:$A$204,0)),""))))</f>
        <v/>
      </c>
      <c r="R166" s="26" t="str">
        <f aca="false">IF($A166="","",IF($E166&lt;&gt;"",$E166,IF($N166="","",IFERROR(INDEX($E$5:$E$204,MATCH($N166,$A$5:$A$204,0)),""))))</f>
        <v/>
      </c>
      <c r="S166" s="26" t="str">
        <f aca="false">IF($A166="","",IF($H166&lt;&gt;"",$H166,IF($N166="","",IFERROR(INDEX($H$5:$H$204,MATCH($N166,$A$5:$A$204,0)),""))))</f>
        <v/>
      </c>
      <c r="T166" s="26" t="str">
        <f aca="false">IF($A166="","",IF($F166&lt;&gt;"",$F166,IF($N166="","",IFERROR(INDEX($F$5:$F$204,MATCH($N166,$A$5:$A$204,0)),""))))</f>
        <v/>
      </c>
      <c r="U166" s="27" t="str">
        <f aca="false">IF($A166="","",SUMIFS(MVT_NET,MVT_LOT,$A166))</f>
        <v/>
      </c>
      <c r="V166" s="28" t="str">
        <f aca="false">IF($A166="","",COUNTIFS(MVT_LOT,$A166,MVT_BRUT,"&lt;&gt;0"))</f>
        <v/>
      </c>
      <c r="W166" s="28" t="str">
        <f aca="false">IF($A166="","",COUNTIFS(QC_LOT,$A166))</f>
        <v/>
      </c>
      <c r="X166" s="26" t="str">
        <f aca="false">IF($A166="","",IFERROR(INDEX(QC_DEC,MATCH($A166,QC_CLEDER,0)),""))</f>
        <v/>
      </c>
      <c r="Y166" s="26" t="str">
        <f aca="false">IF($A166="","",IF(COUNTIF($A$5:$A$204,$A166)&gt;1,IF(SUMPRODUCT(($A$5:$A$204=$A166)*(($C$5:$C$204&lt;&gt;$C166)+($D$5:$D$204&lt;&gt;$D166)))&gt;0,"INCOHERENCE","LOT EN DOUBLE"),"OK"))</f>
        <v/>
      </c>
      <c r="Z166" s="28" t="n">
        <f aca="false">IF($A166="",0,IF(AND($O166&lt;&gt;"",$A166&lt;&gt;R_LOT,$O166=IFERROR(INDEX(LOT_EXTE,MATCH(R_LOT,LOT_KEY,0)),"#")),1,0))</f>
        <v>0</v>
      </c>
      <c r="AA166" s="26" t="str">
        <f aca="false">IF($Z166=0,"",COUNTIF($Z$5:$Z166,1))</f>
        <v/>
      </c>
    </row>
    <row r="167" customFormat="false" ht="15" hidden="false" customHeight="false" outlineLevel="0" collapsed="false">
      <c r="A167" s="24"/>
      <c r="B167" s="24"/>
      <c r="C167" s="24"/>
      <c r="D167" s="24"/>
      <c r="E167" s="24"/>
      <c r="F167" s="24"/>
      <c r="G167" s="24"/>
      <c r="H167" s="24"/>
      <c r="I167" s="24"/>
      <c r="J167" s="24"/>
      <c r="K167" s="25"/>
      <c r="L167" s="24"/>
      <c r="M167" s="24"/>
      <c r="N167" s="26" t="str">
        <f aca="false">IF($A167="","",IF($L167&lt;&gt;"",$L167,IF(IFERROR(INDEX(RES_LOTSRC,MATCH($A167,RES_LOTEFF,0)),"")=$A167,"",IFERROR(INDEX(RES_LOTSRC,MATCH($A167,RES_LOTEFF,0)),""))))</f>
        <v/>
      </c>
      <c r="O167" s="26" t="str">
        <f aca="false">IF($A167="","",IF($B167&lt;&gt;"",$B167,IF($N167="","",IFERROR(INDEX($B$5:$B$204,MATCH($N167,$A$5:$A$204,0)),""))))</f>
        <v/>
      </c>
      <c r="P167" s="26" t="str">
        <f aca="false">IF($A167="","",IF($C167&lt;&gt;"",$C167,IF($N167="","",IFERROR(INDEX($C$5:$C$204,MATCH($N167,$A$5:$A$204,0)),""))))</f>
        <v/>
      </c>
      <c r="Q167" s="26" t="str">
        <f aca="false">IF($A167="","",IF($D167&lt;&gt;"",$D167,IF($N167="","",IFERROR(INDEX($D$5:$D$204,MATCH($N167,$A$5:$A$204,0)),""))))</f>
        <v/>
      </c>
      <c r="R167" s="26" t="str">
        <f aca="false">IF($A167="","",IF($E167&lt;&gt;"",$E167,IF($N167="","",IFERROR(INDEX($E$5:$E$204,MATCH($N167,$A$5:$A$204,0)),""))))</f>
        <v/>
      </c>
      <c r="S167" s="26" t="str">
        <f aca="false">IF($A167="","",IF($H167&lt;&gt;"",$H167,IF($N167="","",IFERROR(INDEX($H$5:$H$204,MATCH($N167,$A$5:$A$204,0)),""))))</f>
        <v/>
      </c>
      <c r="T167" s="26" t="str">
        <f aca="false">IF($A167="","",IF($F167&lt;&gt;"",$F167,IF($N167="","",IFERROR(INDEX($F$5:$F$204,MATCH($N167,$A$5:$A$204,0)),""))))</f>
        <v/>
      </c>
      <c r="U167" s="27" t="str">
        <f aca="false">IF($A167="","",SUMIFS(MVT_NET,MVT_LOT,$A167))</f>
        <v/>
      </c>
      <c r="V167" s="28" t="str">
        <f aca="false">IF($A167="","",COUNTIFS(MVT_LOT,$A167,MVT_BRUT,"&lt;&gt;0"))</f>
        <v/>
      </c>
      <c r="W167" s="28" t="str">
        <f aca="false">IF($A167="","",COUNTIFS(QC_LOT,$A167))</f>
        <v/>
      </c>
      <c r="X167" s="26" t="str">
        <f aca="false">IF($A167="","",IFERROR(INDEX(QC_DEC,MATCH($A167,QC_CLEDER,0)),""))</f>
        <v/>
      </c>
      <c r="Y167" s="26" t="str">
        <f aca="false">IF($A167="","",IF(COUNTIF($A$5:$A$204,$A167)&gt;1,IF(SUMPRODUCT(($A$5:$A$204=$A167)*(($C$5:$C$204&lt;&gt;$C167)+($D$5:$D$204&lt;&gt;$D167)))&gt;0,"INCOHERENCE","LOT EN DOUBLE"),"OK"))</f>
        <v/>
      </c>
      <c r="Z167" s="28" t="n">
        <f aca="false">IF($A167="",0,IF(AND($O167&lt;&gt;"",$A167&lt;&gt;R_LOT,$O167=IFERROR(INDEX(LOT_EXTE,MATCH(R_LOT,LOT_KEY,0)),"#")),1,0))</f>
        <v>0</v>
      </c>
      <c r="AA167" s="26" t="str">
        <f aca="false">IF($Z167=0,"",COUNTIF($Z$5:$Z167,1))</f>
        <v/>
      </c>
    </row>
    <row r="168" customFormat="false" ht="15" hidden="false" customHeight="false" outlineLevel="0" collapsed="false">
      <c r="A168" s="24"/>
      <c r="B168" s="24"/>
      <c r="C168" s="24"/>
      <c r="D168" s="24"/>
      <c r="E168" s="24"/>
      <c r="F168" s="24"/>
      <c r="G168" s="24"/>
      <c r="H168" s="24"/>
      <c r="I168" s="24"/>
      <c r="J168" s="24"/>
      <c r="K168" s="25"/>
      <c r="L168" s="24"/>
      <c r="M168" s="24"/>
      <c r="N168" s="26" t="str">
        <f aca="false">IF($A168="","",IF($L168&lt;&gt;"",$L168,IF(IFERROR(INDEX(RES_LOTSRC,MATCH($A168,RES_LOTEFF,0)),"")=$A168,"",IFERROR(INDEX(RES_LOTSRC,MATCH($A168,RES_LOTEFF,0)),""))))</f>
        <v/>
      </c>
      <c r="O168" s="26" t="str">
        <f aca="false">IF($A168="","",IF($B168&lt;&gt;"",$B168,IF($N168="","",IFERROR(INDEX($B$5:$B$204,MATCH($N168,$A$5:$A$204,0)),""))))</f>
        <v/>
      </c>
      <c r="P168" s="26" t="str">
        <f aca="false">IF($A168="","",IF($C168&lt;&gt;"",$C168,IF($N168="","",IFERROR(INDEX($C$5:$C$204,MATCH($N168,$A$5:$A$204,0)),""))))</f>
        <v/>
      </c>
      <c r="Q168" s="26" t="str">
        <f aca="false">IF($A168="","",IF($D168&lt;&gt;"",$D168,IF($N168="","",IFERROR(INDEX($D$5:$D$204,MATCH($N168,$A$5:$A$204,0)),""))))</f>
        <v/>
      </c>
      <c r="R168" s="26" t="str">
        <f aca="false">IF($A168="","",IF($E168&lt;&gt;"",$E168,IF($N168="","",IFERROR(INDEX($E$5:$E$204,MATCH($N168,$A$5:$A$204,0)),""))))</f>
        <v/>
      </c>
      <c r="S168" s="26" t="str">
        <f aca="false">IF($A168="","",IF($H168&lt;&gt;"",$H168,IF($N168="","",IFERROR(INDEX($H$5:$H$204,MATCH($N168,$A$5:$A$204,0)),""))))</f>
        <v/>
      </c>
      <c r="T168" s="26" t="str">
        <f aca="false">IF($A168="","",IF($F168&lt;&gt;"",$F168,IF($N168="","",IFERROR(INDEX($F$5:$F$204,MATCH($N168,$A$5:$A$204,0)),""))))</f>
        <v/>
      </c>
      <c r="U168" s="27" t="str">
        <f aca="false">IF($A168="","",SUMIFS(MVT_NET,MVT_LOT,$A168))</f>
        <v/>
      </c>
      <c r="V168" s="28" t="str">
        <f aca="false">IF($A168="","",COUNTIFS(MVT_LOT,$A168,MVT_BRUT,"&lt;&gt;0"))</f>
        <v/>
      </c>
      <c r="W168" s="28" t="str">
        <f aca="false">IF($A168="","",COUNTIFS(QC_LOT,$A168))</f>
        <v/>
      </c>
      <c r="X168" s="26" t="str">
        <f aca="false">IF($A168="","",IFERROR(INDEX(QC_DEC,MATCH($A168,QC_CLEDER,0)),""))</f>
        <v/>
      </c>
      <c r="Y168" s="26" t="str">
        <f aca="false">IF($A168="","",IF(COUNTIF($A$5:$A$204,$A168)&gt;1,IF(SUMPRODUCT(($A$5:$A$204=$A168)*(($C$5:$C$204&lt;&gt;$C168)+($D$5:$D$204&lt;&gt;$D168)))&gt;0,"INCOHERENCE","LOT EN DOUBLE"),"OK"))</f>
        <v/>
      </c>
      <c r="Z168" s="28" t="n">
        <f aca="false">IF($A168="",0,IF(AND($O168&lt;&gt;"",$A168&lt;&gt;R_LOT,$O168=IFERROR(INDEX(LOT_EXTE,MATCH(R_LOT,LOT_KEY,0)),"#")),1,0))</f>
        <v>0</v>
      </c>
      <c r="AA168" s="26" t="str">
        <f aca="false">IF($Z168=0,"",COUNTIF($Z$5:$Z168,1))</f>
        <v/>
      </c>
    </row>
    <row r="169" customFormat="false" ht="15" hidden="false" customHeight="false" outlineLevel="0" collapsed="false">
      <c r="A169" s="24"/>
      <c r="B169" s="24"/>
      <c r="C169" s="24"/>
      <c r="D169" s="24"/>
      <c r="E169" s="24"/>
      <c r="F169" s="24"/>
      <c r="G169" s="24"/>
      <c r="H169" s="24"/>
      <c r="I169" s="24"/>
      <c r="J169" s="24"/>
      <c r="K169" s="25"/>
      <c r="L169" s="24"/>
      <c r="M169" s="24"/>
      <c r="N169" s="26" t="str">
        <f aca="false">IF($A169="","",IF($L169&lt;&gt;"",$L169,IF(IFERROR(INDEX(RES_LOTSRC,MATCH($A169,RES_LOTEFF,0)),"")=$A169,"",IFERROR(INDEX(RES_LOTSRC,MATCH($A169,RES_LOTEFF,0)),""))))</f>
        <v/>
      </c>
      <c r="O169" s="26" t="str">
        <f aca="false">IF($A169="","",IF($B169&lt;&gt;"",$B169,IF($N169="","",IFERROR(INDEX($B$5:$B$204,MATCH($N169,$A$5:$A$204,0)),""))))</f>
        <v/>
      </c>
      <c r="P169" s="26" t="str">
        <f aca="false">IF($A169="","",IF($C169&lt;&gt;"",$C169,IF($N169="","",IFERROR(INDEX($C$5:$C$204,MATCH($N169,$A$5:$A$204,0)),""))))</f>
        <v/>
      </c>
      <c r="Q169" s="26" t="str">
        <f aca="false">IF($A169="","",IF($D169&lt;&gt;"",$D169,IF($N169="","",IFERROR(INDEX($D$5:$D$204,MATCH($N169,$A$5:$A$204,0)),""))))</f>
        <v/>
      </c>
      <c r="R169" s="26" t="str">
        <f aca="false">IF($A169="","",IF($E169&lt;&gt;"",$E169,IF($N169="","",IFERROR(INDEX($E$5:$E$204,MATCH($N169,$A$5:$A$204,0)),""))))</f>
        <v/>
      </c>
      <c r="S169" s="26" t="str">
        <f aca="false">IF($A169="","",IF($H169&lt;&gt;"",$H169,IF($N169="","",IFERROR(INDEX($H$5:$H$204,MATCH($N169,$A$5:$A$204,0)),""))))</f>
        <v/>
      </c>
      <c r="T169" s="26" t="str">
        <f aca="false">IF($A169="","",IF($F169&lt;&gt;"",$F169,IF($N169="","",IFERROR(INDEX($F$5:$F$204,MATCH($N169,$A$5:$A$204,0)),""))))</f>
        <v/>
      </c>
      <c r="U169" s="27" t="str">
        <f aca="false">IF($A169="","",SUMIFS(MVT_NET,MVT_LOT,$A169))</f>
        <v/>
      </c>
      <c r="V169" s="28" t="str">
        <f aca="false">IF($A169="","",COUNTIFS(MVT_LOT,$A169,MVT_BRUT,"&lt;&gt;0"))</f>
        <v/>
      </c>
      <c r="W169" s="28" t="str">
        <f aca="false">IF($A169="","",COUNTIFS(QC_LOT,$A169))</f>
        <v/>
      </c>
      <c r="X169" s="26" t="str">
        <f aca="false">IF($A169="","",IFERROR(INDEX(QC_DEC,MATCH($A169,QC_CLEDER,0)),""))</f>
        <v/>
      </c>
      <c r="Y169" s="26" t="str">
        <f aca="false">IF($A169="","",IF(COUNTIF($A$5:$A$204,$A169)&gt;1,IF(SUMPRODUCT(($A$5:$A$204=$A169)*(($C$5:$C$204&lt;&gt;$C169)+($D$5:$D$204&lt;&gt;$D169)))&gt;0,"INCOHERENCE","LOT EN DOUBLE"),"OK"))</f>
        <v/>
      </c>
      <c r="Z169" s="28" t="n">
        <f aca="false">IF($A169="",0,IF(AND($O169&lt;&gt;"",$A169&lt;&gt;R_LOT,$O169=IFERROR(INDEX(LOT_EXTE,MATCH(R_LOT,LOT_KEY,0)),"#")),1,0))</f>
        <v>0</v>
      </c>
      <c r="AA169" s="26" t="str">
        <f aca="false">IF($Z169=0,"",COUNTIF($Z$5:$Z169,1))</f>
        <v/>
      </c>
    </row>
    <row r="170" customFormat="false" ht="15" hidden="false" customHeight="false" outlineLevel="0" collapsed="false">
      <c r="A170" s="24"/>
      <c r="B170" s="24"/>
      <c r="C170" s="24"/>
      <c r="D170" s="24"/>
      <c r="E170" s="24"/>
      <c r="F170" s="24"/>
      <c r="G170" s="24"/>
      <c r="H170" s="24"/>
      <c r="I170" s="24"/>
      <c r="J170" s="24"/>
      <c r="K170" s="25"/>
      <c r="L170" s="24"/>
      <c r="M170" s="24"/>
      <c r="N170" s="26" t="str">
        <f aca="false">IF($A170="","",IF($L170&lt;&gt;"",$L170,IF(IFERROR(INDEX(RES_LOTSRC,MATCH($A170,RES_LOTEFF,0)),"")=$A170,"",IFERROR(INDEX(RES_LOTSRC,MATCH($A170,RES_LOTEFF,0)),""))))</f>
        <v/>
      </c>
      <c r="O170" s="26" t="str">
        <f aca="false">IF($A170="","",IF($B170&lt;&gt;"",$B170,IF($N170="","",IFERROR(INDEX($B$5:$B$204,MATCH($N170,$A$5:$A$204,0)),""))))</f>
        <v/>
      </c>
      <c r="P170" s="26" t="str">
        <f aca="false">IF($A170="","",IF($C170&lt;&gt;"",$C170,IF($N170="","",IFERROR(INDEX($C$5:$C$204,MATCH($N170,$A$5:$A$204,0)),""))))</f>
        <v/>
      </c>
      <c r="Q170" s="26" t="str">
        <f aca="false">IF($A170="","",IF($D170&lt;&gt;"",$D170,IF($N170="","",IFERROR(INDEX($D$5:$D$204,MATCH($N170,$A$5:$A$204,0)),""))))</f>
        <v/>
      </c>
      <c r="R170" s="26" t="str">
        <f aca="false">IF($A170="","",IF($E170&lt;&gt;"",$E170,IF($N170="","",IFERROR(INDEX($E$5:$E$204,MATCH($N170,$A$5:$A$204,0)),""))))</f>
        <v/>
      </c>
      <c r="S170" s="26" t="str">
        <f aca="false">IF($A170="","",IF($H170&lt;&gt;"",$H170,IF($N170="","",IFERROR(INDEX($H$5:$H$204,MATCH($N170,$A$5:$A$204,0)),""))))</f>
        <v/>
      </c>
      <c r="T170" s="26" t="str">
        <f aca="false">IF($A170="","",IF($F170&lt;&gt;"",$F170,IF($N170="","",IFERROR(INDEX($F$5:$F$204,MATCH($N170,$A$5:$A$204,0)),""))))</f>
        <v/>
      </c>
      <c r="U170" s="27" t="str">
        <f aca="false">IF($A170="","",SUMIFS(MVT_NET,MVT_LOT,$A170))</f>
        <v/>
      </c>
      <c r="V170" s="28" t="str">
        <f aca="false">IF($A170="","",COUNTIFS(MVT_LOT,$A170,MVT_BRUT,"&lt;&gt;0"))</f>
        <v/>
      </c>
      <c r="W170" s="28" t="str">
        <f aca="false">IF($A170="","",COUNTIFS(QC_LOT,$A170))</f>
        <v/>
      </c>
      <c r="X170" s="26" t="str">
        <f aca="false">IF($A170="","",IFERROR(INDEX(QC_DEC,MATCH($A170,QC_CLEDER,0)),""))</f>
        <v/>
      </c>
      <c r="Y170" s="26" t="str">
        <f aca="false">IF($A170="","",IF(COUNTIF($A$5:$A$204,$A170)&gt;1,IF(SUMPRODUCT(($A$5:$A$204=$A170)*(($C$5:$C$204&lt;&gt;$C170)+($D$5:$D$204&lt;&gt;$D170)))&gt;0,"INCOHERENCE","LOT EN DOUBLE"),"OK"))</f>
        <v/>
      </c>
      <c r="Z170" s="28" t="n">
        <f aca="false">IF($A170="",0,IF(AND($O170&lt;&gt;"",$A170&lt;&gt;R_LOT,$O170=IFERROR(INDEX(LOT_EXTE,MATCH(R_LOT,LOT_KEY,0)),"#")),1,0))</f>
        <v>0</v>
      </c>
      <c r="AA170" s="26" t="str">
        <f aca="false">IF($Z170=0,"",COUNTIF($Z$5:$Z170,1))</f>
        <v/>
      </c>
    </row>
    <row r="171" customFormat="false" ht="15" hidden="false" customHeight="false" outlineLevel="0" collapsed="false">
      <c r="A171" s="24"/>
      <c r="B171" s="24"/>
      <c r="C171" s="24"/>
      <c r="D171" s="24"/>
      <c r="E171" s="24"/>
      <c r="F171" s="24"/>
      <c r="G171" s="24"/>
      <c r="H171" s="24"/>
      <c r="I171" s="24"/>
      <c r="J171" s="24"/>
      <c r="K171" s="25"/>
      <c r="L171" s="24"/>
      <c r="M171" s="24"/>
      <c r="N171" s="26" t="str">
        <f aca="false">IF($A171="","",IF($L171&lt;&gt;"",$L171,IF(IFERROR(INDEX(RES_LOTSRC,MATCH($A171,RES_LOTEFF,0)),"")=$A171,"",IFERROR(INDEX(RES_LOTSRC,MATCH($A171,RES_LOTEFF,0)),""))))</f>
        <v/>
      </c>
      <c r="O171" s="26" t="str">
        <f aca="false">IF($A171="","",IF($B171&lt;&gt;"",$B171,IF($N171="","",IFERROR(INDEX($B$5:$B$204,MATCH($N171,$A$5:$A$204,0)),""))))</f>
        <v/>
      </c>
      <c r="P171" s="26" t="str">
        <f aca="false">IF($A171="","",IF($C171&lt;&gt;"",$C171,IF($N171="","",IFERROR(INDEX($C$5:$C$204,MATCH($N171,$A$5:$A$204,0)),""))))</f>
        <v/>
      </c>
      <c r="Q171" s="26" t="str">
        <f aca="false">IF($A171="","",IF($D171&lt;&gt;"",$D171,IF($N171="","",IFERROR(INDEX($D$5:$D$204,MATCH($N171,$A$5:$A$204,0)),""))))</f>
        <v/>
      </c>
      <c r="R171" s="26" t="str">
        <f aca="false">IF($A171="","",IF($E171&lt;&gt;"",$E171,IF($N171="","",IFERROR(INDEX($E$5:$E$204,MATCH($N171,$A$5:$A$204,0)),""))))</f>
        <v/>
      </c>
      <c r="S171" s="26" t="str">
        <f aca="false">IF($A171="","",IF($H171&lt;&gt;"",$H171,IF($N171="","",IFERROR(INDEX($H$5:$H$204,MATCH($N171,$A$5:$A$204,0)),""))))</f>
        <v/>
      </c>
      <c r="T171" s="26" t="str">
        <f aca="false">IF($A171="","",IF($F171&lt;&gt;"",$F171,IF($N171="","",IFERROR(INDEX($F$5:$F$204,MATCH($N171,$A$5:$A$204,0)),""))))</f>
        <v/>
      </c>
      <c r="U171" s="27" t="str">
        <f aca="false">IF($A171="","",SUMIFS(MVT_NET,MVT_LOT,$A171))</f>
        <v/>
      </c>
      <c r="V171" s="28" t="str">
        <f aca="false">IF($A171="","",COUNTIFS(MVT_LOT,$A171,MVT_BRUT,"&lt;&gt;0"))</f>
        <v/>
      </c>
      <c r="W171" s="28" t="str">
        <f aca="false">IF($A171="","",COUNTIFS(QC_LOT,$A171))</f>
        <v/>
      </c>
      <c r="X171" s="26" t="str">
        <f aca="false">IF($A171="","",IFERROR(INDEX(QC_DEC,MATCH($A171,QC_CLEDER,0)),""))</f>
        <v/>
      </c>
      <c r="Y171" s="26" t="str">
        <f aca="false">IF($A171="","",IF(COUNTIF($A$5:$A$204,$A171)&gt;1,IF(SUMPRODUCT(($A$5:$A$204=$A171)*(($C$5:$C$204&lt;&gt;$C171)+($D$5:$D$204&lt;&gt;$D171)))&gt;0,"INCOHERENCE","LOT EN DOUBLE"),"OK"))</f>
        <v/>
      </c>
      <c r="Z171" s="28" t="n">
        <f aca="false">IF($A171="",0,IF(AND($O171&lt;&gt;"",$A171&lt;&gt;R_LOT,$O171=IFERROR(INDEX(LOT_EXTE,MATCH(R_LOT,LOT_KEY,0)),"#")),1,0))</f>
        <v>0</v>
      </c>
      <c r="AA171" s="26" t="str">
        <f aca="false">IF($Z171=0,"",COUNTIF($Z$5:$Z171,1))</f>
        <v/>
      </c>
    </row>
    <row r="172" customFormat="false" ht="15" hidden="false" customHeight="false" outlineLevel="0" collapsed="false">
      <c r="A172" s="24"/>
      <c r="B172" s="24"/>
      <c r="C172" s="24"/>
      <c r="D172" s="24"/>
      <c r="E172" s="24"/>
      <c r="F172" s="24"/>
      <c r="G172" s="24"/>
      <c r="H172" s="24"/>
      <c r="I172" s="24"/>
      <c r="J172" s="24"/>
      <c r="K172" s="25"/>
      <c r="L172" s="24"/>
      <c r="M172" s="24"/>
      <c r="N172" s="26" t="str">
        <f aca="false">IF($A172="","",IF($L172&lt;&gt;"",$L172,IF(IFERROR(INDEX(RES_LOTSRC,MATCH($A172,RES_LOTEFF,0)),"")=$A172,"",IFERROR(INDEX(RES_LOTSRC,MATCH($A172,RES_LOTEFF,0)),""))))</f>
        <v/>
      </c>
      <c r="O172" s="26" t="str">
        <f aca="false">IF($A172="","",IF($B172&lt;&gt;"",$B172,IF($N172="","",IFERROR(INDEX($B$5:$B$204,MATCH($N172,$A$5:$A$204,0)),""))))</f>
        <v/>
      </c>
      <c r="P172" s="26" t="str">
        <f aca="false">IF($A172="","",IF($C172&lt;&gt;"",$C172,IF($N172="","",IFERROR(INDEX($C$5:$C$204,MATCH($N172,$A$5:$A$204,0)),""))))</f>
        <v/>
      </c>
      <c r="Q172" s="26" t="str">
        <f aca="false">IF($A172="","",IF($D172&lt;&gt;"",$D172,IF($N172="","",IFERROR(INDEX($D$5:$D$204,MATCH($N172,$A$5:$A$204,0)),""))))</f>
        <v/>
      </c>
      <c r="R172" s="26" t="str">
        <f aca="false">IF($A172="","",IF($E172&lt;&gt;"",$E172,IF($N172="","",IFERROR(INDEX($E$5:$E$204,MATCH($N172,$A$5:$A$204,0)),""))))</f>
        <v/>
      </c>
      <c r="S172" s="26" t="str">
        <f aca="false">IF($A172="","",IF($H172&lt;&gt;"",$H172,IF($N172="","",IFERROR(INDEX($H$5:$H$204,MATCH($N172,$A$5:$A$204,0)),""))))</f>
        <v/>
      </c>
      <c r="T172" s="26" t="str">
        <f aca="false">IF($A172="","",IF($F172&lt;&gt;"",$F172,IF($N172="","",IFERROR(INDEX($F$5:$F$204,MATCH($N172,$A$5:$A$204,0)),""))))</f>
        <v/>
      </c>
      <c r="U172" s="27" t="str">
        <f aca="false">IF($A172="","",SUMIFS(MVT_NET,MVT_LOT,$A172))</f>
        <v/>
      </c>
      <c r="V172" s="28" t="str">
        <f aca="false">IF($A172="","",COUNTIFS(MVT_LOT,$A172,MVT_BRUT,"&lt;&gt;0"))</f>
        <v/>
      </c>
      <c r="W172" s="28" t="str">
        <f aca="false">IF($A172="","",COUNTIFS(QC_LOT,$A172))</f>
        <v/>
      </c>
      <c r="X172" s="26" t="str">
        <f aca="false">IF($A172="","",IFERROR(INDEX(QC_DEC,MATCH($A172,QC_CLEDER,0)),""))</f>
        <v/>
      </c>
      <c r="Y172" s="26" t="str">
        <f aca="false">IF($A172="","",IF(COUNTIF($A$5:$A$204,$A172)&gt;1,IF(SUMPRODUCT(($A$5:$A$204=$A172)*(($C$5:$C$204&lt;&gt;$C172)+($D$5:$D$204&lt;&gt;$D172)))&gt;0,"INCOHERENCE","LOT EN DOUBLE"),"OK"))</f>
        <v/>
      </c>
      <c r="Z172" s="28" t="n">
        <f aca="false">IF($A172="",0,IF(AND($O172&lt;&gt;"",$A172&lt;&gt;R_LOT,$O172=IFERROR(INDEX(LOT_EXTE,MATCH(R_LOT,LOT_KEY,0)),"#")),1,0))</f>
        <v>0</v>
      </c>
      <c r="AA172" s="26" t="str">
        <f aca="false">IF($Z172=0,"",COUNTIF($Z$5:$Z172,1))</f>
        <v/>
      </c>
    </row>
    <row r="173" customFormat="false" ht="15" hidden="false" customHeight="false" outlineLevel="0" collapsed="false">
      <c r="A173" s="24"/>
      <c r="B173" s="24"/>
      <c r="C173" s="24"/>
      <c r="D173" s="24"/>
      <c r="E173" s="24"/>
      <c r="F173" s="24"/>
      <c r="G173" s="24"/>
      <c r="H173" s="24"/>
      <c r="I173" s="24"/>
      <c r="J173" s="24"/>
      <c r="K173" s="25"/>
      <c r="L173" s="24"/>
      <c r="M173" s="24"/>
      <c r="N173" s="26" t="str">
        <f aca="false">IF($A173="","",IF($L173&lt;&gt;"",$L173,IF(IFERROR(INDEX(RES_LOTSRC,MATCH($A173,RES_LOTEFF,0)),"")=$A173,"",IFERROR(INDEX(RES_LOTSRC,MATCH($A173,RES_LOTEFF,0)),""))))</f>
        <v/>
      </c>
      <c r="O173" s="26" t="str">
        <f aca="false">IF($A173="","",IF($B173&lt;&gt;"",$B173,IF($N173="","",IFERROR(INDEX($B$5:$B$204,MATCH($N173,$A$5:$A$204,0)),""))))</f>
        <v/>
      </c>
      <c r="P173" s="26" t="str">
        <f aca="false">IF($A173="","",IF($C173&lt;&gt;"",$C173,IF($N173="","",IFERROR(INDEX($C$5:$C$204,MATCH($N173,$A$5:$A$204,0)),""))))</f>
        <v/>
      </c>
      <c r="Q173" s="26" t="str">
        <f aca="false">IF($A173="","",IF($D173&lt;&gt;"",$D173,IF($N173="","",IFERROR(INDEX($D$5:$D$204,MATCH($N173,$A$5:$A$204,0)),""))))</f>
        <v/>
      </c>
      <c r="R173" s="26" t="str">
        <f aca="false">IF($A173="","",IF($E173&lt;&gt;"",$E173,IF($N173="","",IFERROR(INDEX($E$5:$E$204,MATCH($N173,$A$5:$A$204,0)),""))))</f>
        <v/>
      </c>
      <c r="S173" s="26" t="str">
        <f aca="false">IF($A173="","",IF($H173&lt;&gt;"",$H173,IF($N173="","",IFERROR(INDEX($H$5:$H$204,MATCH($N173,$A$5:$A$204,0)),""))))</f>
        <v/>
      </c>
      <c r="T173" s="26" t="str">
        <f aca="false">IF($A173="","",IF($F173&lt;&gt;"",$F173,IF($N173="","",IFERROR(INDEX($F$5:$F$204,MATCH($N173,$A$5:$A$204,0)),""))))</f>
        <v/>
      </c>
      <c r="U173" s="27" t="str">
        <f aca="false">IF($A173="","",SUMIFS(MVT_NET,MVT_LOT,$A173))</f>
        <v/>
      </c>
      <c r="V173" s="28" t="str">
        <f aca="false">IF($A173="","",COUNTIFS(MVT_LOT,$A173,MVT_BRUT,"&lt;&gt;0"))</f>
        <v/>
      </c>
      <c r="W173" s="28" t="str">
        <f aca="false">IF($A173="","",COUNTIFS(QC_LOT,$A173))</f>
        <v/>
      </c>
      <c r="X173" s="26" t="str">
        <f aca="false">IF($A173="","",IFERROR(INDEX(QC_DEC,MATCH($A173,QC_CLEDER,0)),""))</f>
        <v/>
      </c>
      <c r="Y173" s="26" t="str">
        <f aca="false">IF($A173="","",IF(COUNTIF($A$5:$A$204,$A173)&gt;1,IF(SUMPRODUCT(($A$5:$A$204=$A173)*(($C$5:$C$204&lt;&gt;$C173)+($D$5:$D$204&lt;&gt;$D173)))&gt;0,"INCOHERENCE","LOT EN DOUBLE"),"OK"))</f>
        <v/>
      </c>
      <c r="Z173" s="28" t="n">
        <f aca="false">IF($A173="",0,IF(AND($O173&lt;&gt;"",$A173&lt;&gt;R_LOT,$O173=IFERROR(INDEX(LOT_EXTE,MATCH(R_LOT,LOT_KEY,0)),"#")),1,0))</f>
        <v>0</v>
      </c>
      <c r="AA173" s="26" t="str">
        <f aca="false">IF($Z173=0,"",COUNTIF($Z$5:$Z173,1))</f>
        <v/>
      </c>
    </row>
    <row r="174" customFormat="false" ht="15" hidden="false" customHeight="false" outlineLevel="0" collapsed="false">
      <c r="A174" s="24"/>
      <c r="B174" s="24"/>
      <c r="C174" s="24"/>
      <c r="D174" s="24"/>
      <c r="E174" s="24"/>
      <c r="F174" s="24"/>
      <c r="G174" s="24"/>
      <c r="H174" s="24"/>
      <c r="I174" s="24"/>
      <c r="J174" s="24"/>
      <c r="K174" s="25"/>
      <c r="L174" s="24"/>
      <c r="M174" s="24"/>
      <c r="N174" s="26" t="str">
        <f aca="false">IF($A174="","",IF($L174&lt;&gt;"",$L174,IF(IFERROR(INDEX(RES_LOTSRC,MATCH($A174,RES_LOTEFF,0)),"")=$A174,"",IFERROR(INDEX(RES_LOTSRC,MATCH($A174,RES_LOTEFF,0)),""))))</f>
        <v/>
      </c>
      <c r="O174" s="26" t="str">
        <f aca="false">IF($A174="","",IF($B174&lt;&gt;"",$B174,IF($N174="","",IFERROR(INDEX($B$5:$B$204,MATCH($N174,$A$5:$A$204,0)),""))))</f>
        <v/>
      </c>
      <c r="P174" s="26" t="str">
        <f aca="false">IF($A174="","",IF($C174&lt;&gt;"",$C174,IF($N174="","",IFERROR(INDEX($C$5:$C$204,MATCH($N174,$A$5:$A$204,0)),""))))</f>
        <v/>
      </c>
      <c r="Q174" s="26" t="str">
        <f aca="false">IF($A174="","",IF($D174&lt;&gt;"",$D174,IF($N174="","",IFERROR(INDEX($D$5:$D$204,MATCH($N174,$A$5:$A$204,0)),""))))</f>
        <v/>
      </c>
      <c r="R174" s="26" t="str">
        <f aca="false">IF($A174="","",IF($E174&lt;&gt;"",$E174,IF($N174="","",IFERROR(INDEX($E$5:$E$204,MATCH($N174,$A$5:$A$204,0)),""))))</f>
        <v/>
      </c>
      <c r="S174" s="26" t="str">
        <f aca="false">IF($A174="","",IF($H174&lt;&gt;"",$H174,IF($N174="","",IFERROR(INDEX($H$5:$H$204,MATCH($N174,$A$5:$A$204,0)),""))))</f>
        <v/>
      </c>
      <c r="T174" s="26" t="str">
        <f aca="false">IF($A174="","",IF($F174&lt;&gt;"",$F174,IF($N174="","",IFERROR(INDEX($F$5:$F$204,MATCH($N174,$A$5:$A$204,0)),""))))</f>
        <v/>
      </c>
      <c r="U174" s="27" t="str">
        <f aca="false">IF($A174="","",SUMIFS(MVT_NET,MVT_LOT,$A174))</f>
        <v/>
      </c>
      <c r="V174" s="28" t="str">
        <f aca="false">IF($A174="","",COUNTIFS(MVT_LOT,$A174,MVT_BRUT,"&lt;&gt;0"))</f>
        <v/>
      </c>
      <c r="W174" s="28" t="str">
        <f aca="false">IF($A174="","",COUNTIFS(QC_LOT,$A174))</f>
        <v/>
      </c>
      <c r="X174" s="26" t="str">
        <f aca="false">IF($A174="","",IFERROR(INDEX(QC_DEC,MATCH($A174,QC_CLEDER,0)),""))</f>
        <v/>
      </c>
      <c r="Y174" s="26" t="str">
        <f aca="false">IF($A174="","",IF(COUNTIF($A$5:$A$204,$A174)&gt;1,IF(SUMPRODUCT(($A$5:$A$204=$A174)*(($C$5:$C$204&lt;&gt;$C174)+($D$5:$D$204&lt;&gt;$D174)))&gt;0,"INCOHERENCE","LOT EN DOUBLE"),"OK"))</f>
        <v/>
      </c>
      <c r="Z174" s="28" t="n">
        <f aca="false">IF($A174="",0,IF(AND($O174&lt;&gt;"",$A174&lt;&gt;R_LOT,$O174=IFERROR(INDEX(LOT_EXTE,MATCH(R_LOT,LOT_KEY,0)),"#")),1,0))</f>
        <v>0</v>
      </c>
      <c r="AA174" s="26" t="str">
        <f aca="false">IF($Z174=0,"",COUNTIF($Z$5:$Z174,1))</f>
        <v/>
      </c>
    </row>
    <row r="175" customFormat="false" ht="15" hidden="false" customHeight="false" outlineLevel="0" collapsed="false">
      <c r="A175" s="24"/>
      <c r="B175" s="24"/>
      <c r="C175" s="24"/>
      <c r="D175" s="24"/>
      <c r="E175" s="24"/>
      <c r="F175" s="24"/>
      <c r="G175" s="24"/>
      <c r="H175" s="24"/>
      <c r="I175" s="24"/>
      <c r="J175" s="24"/>
      <c r="K175" s="25"/>
      <c r="L175" s="24"/>
      <c r="M175" s="24"/>
      <c r="N175" s="26" t="str">
        <f aca="false">IF($A175="","",IF($L175&lt;&gt;"",$L175,IF(IFERROR(INDEX(RES_LOTSRC,MATCH($A175,RES_LOTEFF,0)),"")=$A175,"",IFERROR(INDEX(RES_LOTSRC,MATCH($A175,RES_LOTEFF,0)),""))))</f>
        <v/>
      </c>
      <c r="O175" s="26" t="str">
        <f aca="false">IF($A175="","",IF($B175&lt;&gt;"",$B175,IF($N175="","",IFERROR(INDEX($B$5:$B$204,MATCH($N175,$A$5:$A$204,0)),""))))</f>
        <v/>
      </c>
      <c r="P175" s="26" t="str">
        <f aca="false">IF($A175="","",IF($C175&lt;&gt;"",$C175,IF($N175="","",IFERROR(INDEX($C$5:$C$204,MATCH($N175,$A$5:$A$204,0)),""))))</f>
        <v/>
      </c>
      <c r="Q175" s="26" t="str">
        <f aca="false">IF($A175="","",IF($D175&lt;&gt;"",$D175,IF($N175="","",IFERROR(INDEX($D$5:$D$204,MATCH($N175,$A$5:$A$204,0)),""))))</f>
        <v/>
      </c>
      <c r="R175" s="26" t="str">
        <f aca="false">IF($A175="","",IF($E175&lt;&gt;"",$E175,IF($N175="","",IFERROR(INDEX($E$5:$E$204,MATCH($N175,$A$5:$A$204,0)),""))))</f>
        <v/>
      </c>
      <c r="S175" s="26" t="str">
        <f aca="false">IF($A175="","",IF($H175&lt;&gt;"",$H175,IF($N175="","",IFERROR(INDEX($H$5:$H$204,MATCH($N175,$A$5:$A$204,0)),""))))</f>
        <v/>
      </c>
      <c r="T175" s="26" t="str">
        <f aca="false">IF($A175="","",IF($F175&lt;&gt;"",$F175,IF($N175="","",IFERROR(INDEX($F$5:$F$204,MATCH($N175,$A$5:$A$204,0)),""))))</f>
        <v/>
      </c>
      <c r="U175" s="27" t="str">
        <f aca="false">IF($A175="","",SUMIFS(MVT_NET,MVT_LOT,$A175))</f>
        <v/>
      </c>
      <c r="V175" s="28" t="str">
        <f aca="false">IF($A175="","",COUNTIFS(MVT_LOT,$A175,MVT_BRUT,"&lt;&gt;0"))</f>
        <v/>
      </c>
      <c r="W175" s="28" t="str">
        <f aca="false">IF($A175="","",COUNTIFS(QC_LOT,$A175))</f>
        <v/>
      </c>
      <c r="X175" s="26" t="str">
        <f aca="false">IF($A175="","",IFERROR(INDEX(QC_DEC,MATCH($A175,QC_CLEDER,0)),""))</f>
        <v/>
      </c>
      <c r="Y175" s="26" t="str">
        <f aca="false">IF($A175="","",IF(COUNTIF($A$5:$A$204,$A175)&gt;1,IF(SUMPRODUCT(($A$5:$A$204=$A175)*(($C$5:$C$204&lt;&gt;$C175)+($D$5:$D$204&lt;&gt;$D175)))&gt;0,"INCOHERENCE","LOT EN DOUBLE"),"OK"))</f>
        <v/>
      </c>
      <c r="Z175" s="28" t="n">
        <f aca="false">IF($A175="",0,IF(AND($O175&lt;&gt;"",$A175&lt;&gt;R_LOT,$O175=IFERROR(INDEX(LOT_EXTE,MATCH(R_LOT,LOT_KEY,0)),"#")),1,0))</f>
        <v>0</v>
      </c>
      <c r="AA175" s="26" t="str">
        <f aca="false">IF($Z175=0,"",COUNTIF($Z$5:$Z175,1))</f>
        <v/>
      </c>
    </row>
    <row r="176" customFormat="false" ht="15" hidden="false" customHeight="false" outlineLevel="0" collapsed="false">
      <c r="A176" s="24"/>
      <c r="B176" s="24"/>
      <c r="C176" s="24"/>
      <c r="D176" s="24"/>
      <c r="E176" s="24"/>
      <c r="F176" s="24"/>
      <c r="G176" s="24"/>
      <c r="H176" s="24"/>
      <c r="I176" s="24"/>
      <c r="J176" s="24"/>
      <c r="K176" s="25"/>
      <c r="L176" s="24"/>
      <c r="M176" s="24"/>
      <c r="N176" s="26" t="str">
        <f aca="false">IF($A176="","",IF($L176&lt;&gt;"",$L176,IF(IFERROR(INDEX(RES_LOTSRC,MATCH($A176,RES_LOTEFF,0)),"")=$A176,"",IFERROR(INDEX(RES_LOTSRC,MATCH($A176,RES_LOTEFF,0)),""))))</f>
        <v/>
      </c>
      <c r="O176" s="26" t="str">
        <f aca="false">IF($A176="","",IF($B176&lt;&gt;"",$B176,IF($N176="","",IFERROR(INDEX($B$5:$B$204,MATCH($N176,$A$5:$A$204,0)),""))))</f>
        <v/>
      </c>
      <c r="P176" s="26" t="str">
        <f aca="false">IF($A176="","",IF($C176&lt;&gt;"",$C176,IF($N176="","",IFERROR(INDEX($C$5:$C$204,MATCH($N176,$A$5:$A$204,0)),""))))</f>
        <v/>
      </c>
      <c r="Q176" s="26" t="str">
        <f aca="false">IF($A176="","",IF($D176&lt;&gt;"",$D176,IF($N176="","",IFERROR(INDEX($D$5:$D$204,MATCH($N176,$A$5:$A$204,0)),""))))</f>
        <v/>
      </c>
      <c r="R176" s="26" t="str">
        <f aca="false">IF($A176="","",IF($E176&lt;&gt;"",$E176,IF($N176="","",IFERROR(INDEX($E$5:$E$204,MATCH($N176,$A$5:$A$204,0)),""))))</f>
        <v/>
      </c>
      <c r="S176" s="26" t="str">
        <f aca="false">IF($A176="","",IF($H176&lt;&gt;"",$H176,IF($N176="","",IFERROR(INDEX($H$5:$H$204,MATCH($N176,$A$5:$A$204,0)),""))))</f>
        <v/>
      </c>
      <c r="T176" s="26" t="str">
        <f aca="false">IF($A176="","",IF($F176&lt;&gt;"",$F176,IF($N176="","",IFERROR(INDEX($F$5:$F$204,MATCH($N176,$A$5:$A$204,0)),""))))</f>
        <v/>
      </c>
      <c r="U176" s="27" t="str">
        <f aca="false">IF($A176="","",SUMIFS(MVT_NET,MVT_LOT,$A176))</f>
        <v/>
      </c>
      <c r="V176" s="28" t="str">
        <f aca="false">IF($A176="","",COUNTIFS(MVT_LOT,$A176,MVT_BRUT,"&lt;&gt;0"))</f>
        <v/>
      </c>
      <c r="W176" s="28" t="str">
        <f aca="false">IF($A176="","",COUNTIFS(QC_LOT,$A176))</f>
        <v/>
      </c>
      <c r="X176" s="26" t="str">
        <f aca="false">IF($A176="","",IFERROR(INDEX(QC_DEC,MATCH($A176,QC_CLEDER,0)),""))</f>
        <v/>
      </c>
      <c r="Y176" s="26" t="str">
        <f aca="false">IF($A176="","",IF(COUNTIF($A$5:$A$204,$A176)&gt;1,IF(SUMPRODUCT(($A$5:$A$204=$A176)*(($C$5:$C$204&lt;&gt;$C176)+($D$5:$D$204&lt;&gt;$D176)))&gt;0,"INCOHERENCE","LOT EN DOUBLE"),"OK"))</f>
        <v/>
      </c>
      <c r="Z176" s="28" t="n">
        <f aca="false">IF($A176="",0,IF(AND($O176&lt;&gt;"",$A176&lt;&gt;R_LOT,$O176=IFERROR(INDEX(LOT_EXTE,MATCH(R_LOT,LOT_KEY,0)),"#")),1,0))</f>
        <v>0</v>
      </c>
      <c r="AA176" s="26" t="str">
        <f aca="false">IF($Z176=0,"",COUNTIF($Z$5:$Z176,1))</f>
        <v/>
      </c>
    </row>
    <row r="177" customFormat="false" ht="15" hidden="false" customHeight="false" outlineLevel="0" collapsed="false">
      <c r="A177" s="24"/>
      <c r="B177" s="24"/>
      <c r="C177" s="24"/>
      <c r="D177" s="24"/>
      <c r="E177" s="24"/>
      <c r="F177" s="24"/>
      <c r="G177" s="24"/>
      <c r="H177" s="24"/>
      <c r="I177" s="24"/>
      <c r="J177" s="24"/>
      <c r="K177" s="25"/>
      <c r="L177" s="24"/>
      <c r="M177" s="24"/>
      <c r="N177" s="26" t="str">
        <f aca="false">IF($A177="","",IF($L177&lt;&gt;"",$L177,IF(IFERROR(INDEX(RES_LOTSRC,MATCH($A177,RES_LOTEFF,0)),"")=$A177,"",IFERROR(INDEX(RES_LOTSRC,MATCH($A177,RES_LOTEFF,0)),""))))</f>
        <v/>
      </c>
      <c r="O177" s="26" t="str">
        <f aca="false">IF($A177="","",IF($B177&lt;&gt;"",$B177,IF($N177="","",IFERROR(INDEX($B$5:$B$204,MATCH($N177,$A$5:$A$204,0)),""))))</f>
        <v/>
      </c>
      <c r="P177" s="26" t="str">
        <f aca="false">IF($A177="","",IF($C177&lt;&gt;"",$C177,IF($N177="","",IFERROR(INDEX($C$5:$C$204,MATCH($N177,$A$5:$A$204,0)),""))))</f>
        <v/>
      </c>
      <c r="Q177" s="26" t="str">
        <f aca="false">IF($A177="","",IF($D177&lt;&gt;"",$D177,IF($N177="","",IFERROR(INDEX($D$5:$D$204,MATCH($N177,$A$5:$A$204,0)),""))))</f>
        <v/>
      </c>
      <c r="R177" s="26" t="str">
        <f aca="false">IF($A177="","",IF($E177&lt;&gt;"",$E177,IF($N177="","",IFERROR(INDEX($E$5:$E$204,MATCH($N177,$A$5:$A$204,0)),""))))</f>
        <v/>
      </c>
      <c r="S177" s="26" t="str">
        <f aca="false">IF($A177="","",IF($H177&lt;&gt;"",$H177,IF($N177="","",IFERROR(INDEX($H$5:$H$204,MATCH($N177,$A$5:$A$204,0)),""))))</f>
        <v/>
      </c>
      <c r="T177" s="26" t="str">
        <f aca="false">IF($A177="","",IF($F177&lt;&gt;"",$F177,IF($N177="","",IFERROR(INDEX($F$5:$F$204,MATCH($N177,$A$5:$A$204,0)),""))))</f>
        <v/>
      </c>
      <c r="U177" s="27" t="str">
        <f aca="false">IF($A177="","",SUMIFS(MVT_NET,MVT_LOT,$A177))</f>
        <v/>
      </c>
      <c r="V177" s="28" t="str">
        <f aca="false">IF($A177="","",COUNTIFS(MVT_LOT,$A177,MVT_BRUT,"&lt;&gt;0"))</f>
        <v/>
      </c>
      <c r="W177" s="28" t="str">
        <f aca="false">IF($A177="","",COUNTIFS(QC_LOT,$A177))</f>
        <v/>
      </c>
      <c r="X177" s="26" t="str">
        <f aca="false">IF($A177="","",IFERROR(INDEX(QC_DEC,MATCH($A177,QC_CLEDER,0)),""))</f>
        <v/>
      </c>
      <c r="Y177" s="26" t="str">
        <f aca="false">IF($A177="","",IF(COUNTIF($A$5:$A$204,$A177)&gt;1,IF(SUMPRODUCT(($A$5:$A$204=$A177)*(($C$5:$C$204&lt;&gt;$C177)+($D$5:$D$204&lt;&gt;$D177)))&gt;0,"INCOHERENCE","LOT EN DOUBLE"),"OK"))</f>
        <v/>
      </c>
      <c r="Z177" s="28" t="n">
        <f aca="false">IF($A177="",0,IF(AND($O177&lt;&gt;"",$A177&lt;&gt;R_LOT,$O177=IFERROR(INDEX(LOT_EXTE,MATCH(R_LOT,LOT_KEY,0)),"#")),1,0))</f>
        <v>0</v>
      </c>
      <c r="AA177" s="26" t="str">
        <f aca="false">IF($Z177=0,"",COUNTIF($Z$5:$Z177,1))</f>
        <v/>
      </c>
    </row>
    <row r="178" customFormat="false" ht="15" hidden="false" customHeight="false" outlineLevel="0" collapsed="false">
      <c r="A178" s="24"/>
      <c r="B178" s="24"/>
      <c r="C178" s="24"/>
      <c r="D178" s="24"/>
      <c r="E178" s="24"/>
      <c r="F178" s="24"/>
      <c r="G178" s="24"/>
      <c r="H178" s="24"/>
      <c r="I178" s="24"/>
      <c r="J178" s="24"/>
      <c r="K178" s="25"/>
      <c r="L178" s="24"/>
      <c r="M178" s="24"/>
      <c r="N178" s="26" t="str">
        <f aca="false">IF($A178="","",IF($L178&lt;&gt;"",$L178,IF(IFERROR(INDEX(RES_LOTSRC,MATCH($A178,RES_LOTEFF,0)),"")=$A178,"",IFERROR(INDEX(RES_LOTSRC,MATCH($A178,RES_LOTEFF,0)),""))))</f>
        <v/>
      </c>
      <c r="O178" s="26" t="str">
        <f aca="false">IF($A178="","",IF($B178&lt;&gt;"",$B178,IF($N178="","",IFERROR(INDEX($B$5:$B$204,MATCH($N178,$A$5:$A$204,0)),""))))</f>
        <v/>
      </c>
      <c r="P178" s="26" t="str">
        <f aca="false">IF($A178="","",IF($C178&lt;&gt;"",$C178,IF($N178="","",IFERROR(INDEX($C$5:$C$204,MATCH($N178,$A$5:$A$204,0)),""))))</f>
        <v/>
      </c>
      <c r="Q178" s="26" t="str">
        <f aca="false">IF($A178="","",IF($D178&lt;&gt;"",$D178,IF($N178="","",IFERROR(INDEX($D$5:$D$204,MATCH($N178,$A$5:$A$204,0)),""))))</f>
        <v/>
      </c>
      <c r="R178" s="26" t="str">
        <f aca="false">IF($A178="","",IF($E178&lt;&gt;"",$E178,IF($N178="","",IFERROR(INDEX($E$5:$E$204,MATCH($N178,$A$5:$A$204,0)),""))))</f>
        <v/>
      </c>
      <c r="S178" s="26" t="str">
        <f aca="false">IF($A178="","",IF($H178&lt;&gt;"",$H178,IF($N178="","",IFERROR(INDEX($H$5:$H$204,MATCH($N178,$A$5:$A$204,0)),""))))</f>
        <v/>
      </c>
      <c r="T178" s="26" t="str">
        <f aca="false">IF($A178="","",IF($F178&lt;&gt;"",$F178,IF($N178="","",IFERROR(INDEX($F$5:$F$204,MATCH($N178,$A$5:$A$204,0)),""))))</f>
        <v/>
      </c>
      <c r="U178" s="27" t="str">
        <f aca="false">IF($A178="","",SUMIFS(MVT_NET,MVT_LOT,$A178))</f>
        <v/>
      </c>
      <c r="V178" s="28" t="str">
        <f aca="false">IF($A178="","",COUNTIFS(MVT_LOT,$A178,MVT_BRUT,"&lt;&gt;0"))</f>
        <v/>
      </c>
      <c r="W178" s="28" t="str">
        <f aca="false">IF($A178="","",COUNTIFS(QC_LOT,$A178))</f>
        <v/>
      </c>
      <c r="X178" s="26" t="str">
        <f aca="false">IF($A178="","",IFERROR(INDEX(QC_DEC,MATCH($A178,QC_CLEDER,0)),""))</f>
        <v/>
      </c>
      <c r="Y178" s="26" t="str">
        <f aca="false">IF($A178="","",IF(COUNTIF($A$5:$A$204,$A178)&gt;1,IF(SUMPRODUCT(($A$5:$A$204=$A178)*(($C$5:$C$204&lt;&gt;$C178)+($D$5:$D$204&lt;&gt;$D178)))&gt;0,"INCOHERENCE","LOT EN DOUBLE"),"OK"))</f>
        <v/>
      </c>
      <c r="Z178" s="28" t="n">
        <f aca="false">IF($A178="",0,IF(AND($O178&lt;&gt;"",$A178&lt;&gt;R_LOT,$O178=IFERROR(INDEX(LOT_EXTE,MATCH(R_LOT,LOT_KEY,0)),"#")),1,0))</f>
        <v>0</v>
      </c>
      <c r="AA178" s="26" t="str">
        <f aca="false">IF($Z178=0,"",COUNTIF($Z$5:$Z178,1))</f>
        <v/>
      </c>
    </row>
    <row r="179" customFormat="false" ht="15" hidden="false" customHeight="false" outlineLevel="0" collapsed="false">
      <c r="A179" s="24"/>
      <c r="B179" s="24"/>
      <c r="C179" s="24"/>
      <c r="D179" s="24"/>
      <c r="E179" s="24"/>
      <c r="F179" s="24"/>
      <c r="G179" s="24"/>
      <c r="H179" s="24"/>
      <c r="I179" s="24"/>
      <c r="J179" s="24"/>
      <c r="K179" s="25"/>
      <c r="L179" s="24"/>
      <c r="M179" s="24"/>
      <c r="N179" s="26" t="str">
        <f aca="false">IF($A179="","",IF($L179&lt;&gt;"",$L179,IF(IFERROR(INDEX(RES_LOTSRC,MATCH($A179,RES_LOTEFF,0)),"")=$A179,"",IFERROR(INDEX(RES_LOTSRC,MATCH($A179,RES_LOTEFF,0)),""))))</f>
        <v/>
      </c>
      <c r="O179" s="26" t="str">
        <f aca="false">IF($A179="","",IF($B179&lt;&gt;"",$B179,IF($N179="","",IFERROR(INDEX($B$5:$B$204,MATCH($N179,$A$5:$A$204,0)),""))))</f>
        <v/>
      </c>
      <c r="P179" s="26" t="str">
        <f aca="false">IF($A179="","",IF($C179&lt;&gt;"",$C179,IF($N179="","",IFERROR(INDEX($C$5:$C$204,MATCH($N179,$A$5:$A$204,0)),""))))</f>
        <v/>
      </c>
      <c r="Q179" s="26" t="str">
        <f aca="false">IF($A179="","",IF($D179&lt;&gt;"",$D179,IF($N179="","",IFERROR(INDEX($D$5:$D$204,MATCH($N179,$A$5:$A$204,0)),""))))</f>
        <v/>
      </c>
      <c r="R179" s="26" t="str">
        <f aca="false">IF($A179="","",IF($E179&lt;&gt;"",$E179,IF($N179="","",IFERROR(INDEX($E$5:$E$204,MATCH($N179,$A$5:$A$204,0)),""))))</f>
        <v/>
      </c>
      <c r="S179" s="26" t="str">
        <f aca="false">IF($A179="","",IF($H179&lt;&gt;"",$H179,IF($N179="","",IFERROR(INDEX($H$5:$H$204,MATCH($N179,$A$5:$A$204,0)),""))))</f>
        <v/>
      </c>
      <c r="T179" s="26" t="str">
        <f aca="false">IF($A179="","",IF($F179&lt;&gt;"",$F179,IF($N179="","",IFERROR(INDEX($F$5:$F$204,MATCH($N179,$A$5:$A$204,0)),""))))</f>
        <v/>
      </c>
      <c r="U179" s="27" t="str">
        <f aca="false">IF($A179="","",SUMIFS(MVT_NET,MVT_LOT,$A179))</f>
        <v/>
      </c>
      <c r="V179" s="28" t="str">
        <f aca="false">IF($A179="","",COUNTIFS(MVT_LOT,$A179,MVT_BRUT,"&lt;&gt;0"))</f>
        <v/>
      </c>
      <c r="W179" s="28" t="str">
        <f aca="false">IF($A179="","",COUNTIFS(QC_LOT,$A179))</f>
        <v/>
      </c>
      <c r="X179" s="26" t="str">
        <f aca="false">IF($A179="","",IFERROR(INDEX(QC_DEC,MATCH($A179,QC_CLEDER,0)),""))</f>
        <v/>
      </c>
      <c r="Y179" s="26" t="str">
        <f aca="false">IF($A179="","",IF(COUNTIF($A$5:$A$204,$A179)&gt;1,IF(SUMPRODUCT(($A$5:$A$204=$A179)*(($C$5:$C$204&lt;&gt;$C179)+($D$5:$D$204&lt;&gt;$D179)))&gt;0,"INCOHERENCE","LOT EN DOUBLE"),"OK"))</f>
        <v/>
      </c>
      <c r="Z179" s="28" t="n">
        <f aca="false">IF($A179="",0,IF(AND($O179&lt;&gt;"",$A179&lt;&gt;R_LOT,$O179=IFERROR(INDEX(LOT_EXTE,MATCH(R_LOT,LOT_KEY,0)),"#")),1,0))</f>
        <v>0</v>
      </c>
      <c r="AA179" s="26" t="str">
        <f aca="false">IF($Z179=0,"",COUNTIF($Z$5:$Z179,1))</f>
        <v/>
      </c>
    </row>
    <row r="180" customFormat="false" ht="15" hidden="false" customHeight="false" outlineLevel="0" collapsed="false">
      <c r="A180" s="24"/>
      <c r="B180" s="24"/>
      <c r="C180" s="24"/>
      <c r="D180" s="24"/>
      <c r="E180" s="24"/>
      <c r="F180" s="24"/>
      <c r="G180" s="24"/>
      <c r="H180" s="24"/>
      <c r="I180" s="24"/>
      <c r="J180" s="24"/>
      <c r="K180" s="25"/>
      <c r="L180" s="24"/>
      <c r="M180" s="24"/>
      <c r="N180" s="26" t="str">
        <f aca="false">IF($A180="","",IF($L180&lt;&gt;"",$L180,IF(IFERROR(INDEX(RES_LOTSRC,MATCH($A180,RES_LOTEFF,0)),"")=$A180,"",IFERROR(INDEX(RES_LOTSRC,MATCH($A180,RES_LOTEFF,0)),""))))</f>
        <v/>
      </c>
      <c r="O180" s="26" t="str">
        <f aca="false">IF($A180="","",IF($B180&lt;&gt;"",$B180,IF($N180="","",IFERROR(INDEX($B$5:$B$204,MATCH($N180,$A$5:$A$204,0)),""))))</f>
        <v/>
      </c>
      <c r="P180" s="26" t="str">
        <f aca="false">IF($A180="","",IF($C180&lt;&gt;"",$C180,IF($N180="","",IFERROR(INDEX($C$5:$C$204,MATCH($N180,$A$5:$A$204,0)),""))))</f>
        <v/>
      </c>
      <c r="Q180" s="26" t="str">
        <f aca="false">IF($A180="","",IF($D180&lt;&gt;"",$D180,IF($N180="","",IFERROR(INDEX($D$5:$D$204,MATCH($N180,$A$5:$A$204,0)),""))))</f>
        <v/>
      </c>
      <c r="R180" s="26" t="str">
        <f aca="false">IF($A180="","",IF($E180&lt;&gt;"",$E180,IF($N180="","",IFERROR(INDEX($E$5:$E$204,MATCH($N180,$A$5:$A$204,0)),""))))</f>
        <v/>
      </c>
      <c r="S180" s="26" t="str">
        <f aca="false">IF($A180="","",IF($H180&lt;&gt;"",$H180,IF($N180="","",IFERROR(INDEX($H$5:$H$204,MATCH($N180,$A$5:$A$204,0)),""))))</f>
        <v/>
      </c>
      <c r="T180" s="26" t="str">
        <f aca="false">IF($A180="","",IF($F180&lt;&gt;"",$F180,IF($N180="","",IFERROR(INDEX($F$5:$F$204,MATCH($N180,$A$5:$A$204,0)),""))))</f>
        <v/>
      </c>
      <c r="U180" s="27" t="str">
        <f aca="false">IF($A180="","",SUMIFS(MVT_NET,MVT_LOT,$A180))</f>
        <v/>
      </c>
      <c r="V180" s="28" t="str">
        <f aca="false">IF($A180="","",COUNTIFS(MVT_LOT,$A180,MVT_BRUT,"&lt;&gt;0"))</f>
        <v/>
      </c>
      <c r="W180" s="28" t="str">
        <f aca="false">IF($A180="","",COUNTIFS(QC_LOT,$A180))</f>
        <v/>
      </c>
      <c r="X180" s="26" t="str">
        <f aca="false">IF($A180="","",IFERROR(INDEX(QC_DEC,MATCH($A180,QC_CLEDER,0)),""))</f>
        <v/>
      </c>
      <c r="Y180" s="26" t="str">
        <f aca="false">IF($A180="","",IF(COUNTIF($A$5:$A$204,$A180)&gt;1,IF(SUMPRODUCT(($A$5:$A$204=$A180)*(($C$5:$C$204&lt;&gt;$C180)+($D$5:$D$204&lt;&gt;$D180)))&gt;0,"INCOHERENCE","LOT EN DOUBLE"),"OK"))</f>
        <v/>
      </c>
      <c r="Z180" s="28" t="n">
        <f aca="false">IF($A180="",0,IF(AND($O180&lt;&gt;"",$A180&lt;&gt;R_LOT,$O180=IFERROR(INDEX(LOT_EXTE,MATCH(R_LOT,LOT_KEY,0)),"#")),1,0))</f>
        <v>0</v>
      </c>
      <c r="AA180" s="26" t="str">
        <f aca="false">IF($Z180=0,"",COUNTIF($Z$5:$Z180,1))</f>
        <v/>
      </c>
    </row>
    <row r="181" customFormat="false" ht="15" hidden="false" customHeight="false" outlineLevel="0" collapsed="false">
      <c r="A181" s="24"/>
      <c r="B181" s="24"/>
      <c r="C181" s="24"/>
      <c r="D181" s="24"/>
      <c r="E181" s="24"/>
      <c r="F181" s="24"/>
      <c r="G181" s="24"/>
      <c r="H181" s="24"/>
      <c r="I181" s="24"/>
      <c r="J181" s="24"/>
      <c r="K181" s="25"/>
      <c r="L181" s="24"/>
      <c r="M181" s="24"/>
      <c r="N181" s="26" t="str">
        <f aca="false">IF($A181="","",IF($L181&lt;&gt;"",$L181,IF(IFERROR(INDEX(RES_LOTSRC,MATCH($A181,RES_LOTEFF,0)),"")=$A181,"",IFERROR(INDEX(RES_LOTSRC,MATCH($A181,RES_LOTEFF,0)),""))))</f>
        <v/>
      </c>
      <c r="O181" s="26" t="str">
        <f aca="false">IF($A181="","",IF($B181&lt;&gt;"",$B181,IF($N181="","",IFERROR(INDEX($B$5:$B$204,MATCH($N181,$A$5:$A$204,0)),""))))</f>
        <v/>
      </c>
      <c r="P181" s="26" t="str">
        <f aca="false">IF($A181="","",IF($C181&lt;&gt;"",$C181,IF($N181="","",IFERROR(INDEX($C$5:$C$204,MATCH($N181,$A$5:$A$204,0)),""))))</f>
        <v/>
      </c>
      <c r="Q181" s="26" t="str">
        <f aca="false">IF($A181="","",IF($D181&lt;&gt;"",$D181,IF($N181="","",IFERROR(INDEX($D$5:$D$204,MATCH($N181,$A$5:$A$204,0)),""))))</f>
        <v/>
      </c>
      <c r="R181" s="26" t="str">
        <f aca="false">IF($A181="","",IF($E181&lt;&gt;"",$E181,IF($N181="","",IFERROR(INDEX($E$5:$E$204,MATCH($N181,$A$5:$A$204,0)),""))))</f>
        <v/>
      </c>
      <c r="S181" s="26" t="str">
        <f aca="false">IF($A181="","",IF($H181&lt;&gt;"",$H181,IF($N181="","",IFERROR(INDEX($H$5:$H$204,MATCH($N181,$A$5:$A$204,0)),""))))</f>
        <v/>
      </c>
      <c r="T181" s="26" t="str">
        <f aca="false">IF($A181="","",IF($F181&lt;&gt;"",$F181,IF($N181="","",IFERROR(INDEX($F$5:$F$204,MATCH($N181,$A$5:$A$204,0)),""))))</f>
        <v/>
      </c>
      <c r="U181" s="27" t="str">
        <f aca="false">IF($A181="","",SUMIFS(MVT_NET,MVT_LOT,$A181))</f>
        <v/>
      </c>
      <c r="V181" s="28" t="str">
        <f aca="false">IF($A181="","",COUNTIFS(MVT_LOT,$A181,MVT_BRUT,"&lt;&gt;0"))</f>
        <v/>
      </c>
      <c r="W181" s="28" t="str">
        <f aca="false">IF($A181="","",COUNTIFS(QC_LOT,$A181))</f>
        <v/>
      </c>
      <c r="X181" s="26" t="str">
        <f aca="false">IF($A181="","",IFERROR(INDEX(QC_DEC,MATCH($A181,QC_CLEDER,0)),""))</f>
        <v/>
      </c>
      <c r="Y181" s="26" t="str">
        <f aca="false">IF($A181="","",IF(COUNTIF($A$5:$A$204,$A181)&gt;1,IF(SUMPRODUCT(($A$5:$A$204=$A181)*(($C$5:$C$204&lt;&gt;$C181)+($D$5:$D$204&lt;&gt;$D181)))&gt;0,"INCOHERENCE","LOT EN DOUBLE"),"OK"))</f>
        <v/>
      </c>
      <c r="Z181" s="28" t="n">
        <f aca="false">IF($A181="",0,IF(AND($O181&lt;&gt;"",$A181&lt;&gt;R_LOT,$O181=IFERROR(INDEX(LOT_EXTE,MATCH(R_LOT,LOT_KEY,0)),"#")),1,0))</f>
        <v>0</v>
      </c>
      <c r="AA181" s="26" t="str">
        <f aca="false">IF($Z181=0,"",COUNTIF($Z$5:$Z181,1))</f>
        <v/>
      </c>
    </row>
    <row r="182" customFormat="false" ht="15" hidden="false" customHeight="false" outlineLevel="0" collapsed="false">
      <c r="A182" s="24"/>
      <c r="B182" s="24"/>
      <c r="C182" s="24"/>
      <c r="D182" s="24"/>
      <c r="E182" s="24"/>
      <c r="F182" s="24"/>
      <c r="G182" s="24"/>
      <c r="H182" s="24"/>
      <c r="I182" s="24"/>
      <c r="J182" s="24"/>
      <c r="K182" s="25"/>
      <c r="L182" s="24"/>
      <c r="M182" s="24"/>
      <c r="N182" s="26" t="str">
        <f aca="false">IF($A182="","",IF($L182&lt;&gt;"",$L182,IF(IFERROR(INDEX(RES_LOTSRC,MATCH($A182,RES_LOTEFF,0)),"")=$A182,"",IFERROR(INDEX(RES_LOTSRC,MATCH($A182,RES_LOTEFF,0)),""))))</f>
        <v/>
      </c>
      <c r="O182" s="26" t="str">
        <f aca="false">IF($A182="","",IF($B182&lt;&gt;"",$B182,IF($N182="","",IFERROR(INDEX($B$5:$B$204,MATCH($N182,$A$5:$A$204,0)),""))))</f>
        <v/>
      </c>
      <c r="P182" s="26" t="str">
        <f aca="false">IF($A182="","",IF($C182&lt;&gt;"",$C182,IF($N182="","",IFERROR(INDEX($C$5:$C$204,MATCH($N182,$A$5:$A$204,0)),""))))</f>
        <v/>
      </c>
      <c r="Q182" s="26" t="str">
        <f aca="false">IF($A182="","",IF($D182&lt;&gt;"",$D182,IF($N182="","",IFERROR(INDEX($D$5:$D$204,MATCH($N182,$A$5:$A$204,0)),""))))</f>
        <v/>
      </c>
      <c r="R182" s="26" t="str">
        <f aca="false">IF($A182="","",IF($E182&lt;&gt;"",$E182,IF($N182="","",IFERROR(INDEX($E$5:$E$204,MATCH($N182,$A$5:$A$204,0)),""))))</f>
        <v/>
      </c>
      <c r="S182" s="26" t="str">
        <f aca="false">IF($A182="","",IF($H182&lt;&gt;"",$H182,IF($N182="","",IFERROR(INDEX($H$5:$H$204,MATCH($N182,$A$5:$A$204,0)),""))))</f>
        <v/>
      </c>
      <c r="T182" s="26" t="str">
        <f aca="false">IF($A182="","",IF($F182&lt;&gt;"",$F182,IF($N182="","",IFERROR(INDEX($F$5:$F$204,MATCH($N182,$A$5:$A$204,0)),""))))</f>
        <v/>
      </c>
      <c r="U182" s="27" t="str">
        <f aca="false">IF($A182="","",SUMIFS(MVT_NET,MVT_LOT,$A182))</f>
        <v/>
      </c>
      <c r="V182" s="28" t="str">
        <f aca="false">IF($A182="","",COUNTIFS(MVT_LOT,$A182,MVT_BRUT,"&lt;&gt;0"))</f>
        <v/>
      </c>
      <c r="W182" s="28" t="str">
        <f aca="false">IF($A182="","",COUNTIFS(QC_LOT,$A182))</f>
        <v/>
      </c>
      <c r="X182" s="26" t="str">
        <f aca="false">IF($A182="","",IFERROR(INDEX(QC_DEC,MATCH($A182,QC_CLEDER,0)),""))</f>
        <v/>
      </c>
      <c r="Y182" s="26" t="str">
        <f aca="false">IF($A182="","",IF(COUNTIF($A$5:$A$204,$A182)&gt;1,IF(SUMPRODUCT(($A$5:$A$204=$A182)*(($C$5:$C$204&lt;&gt;$C182)+($D$5:$D$204&lt;&gt;$D182)))&gt;0,"INCOHERENCE","LOT EN DOUBLE"),"OK"))</f>
        <v/>
      </c>
      <c r="Z182" s="28" t="n">
        <f aca="false">IF($A182="",0,IF(AND($O182&lt;&gt;"",$A182&lt;&gt;R_LOT,$O182=IFERROR(INDEX(LOT_EXTE,MATCH(R_LOT,LOT_KEY,0)),"#")),1,0))</f>
        <v>0</v>
      </c>
      <c r="AA182" s="26" t="str">
        <f aca="false">IF($Z182=0,"",COUNTIF($Z$5:$Z182,1))</f>
        <v/>
      </c>
    </row>
    <row r="183" customFormat="false" ht="15" hidden="false" customHeight="false" outlineLevel="0" collapsed="false">
      <c r="A183" s="24"/>
      <c r="B183" s="24"/>
      <c r="C183" s="24"/>
      <c r="D183" s="24"/>
      <c r="E183" s="24"/>
      <c r="F183" s="24"/>
      <c r="G183" s="24"/>
      <c r="H183" s="24"/>
      <c r="I183" s="24"/>
      <c r="J183" s="24"/>
      <c r="K183" s="25"/>
      <c r="L183" s="24"/>
      <c r="M183" s="24"/>
      <c r="N183" s="26" t="str">
        <f aca="false">IF($A183="","",IF($L183&lt;&gt;"",$L183,IF(IFERROR(INDEX(RES_LOTSRC,MATCH($A183,RES_LOTEFF,0)),"")=$A183,"",IFERROR(INDEX(RES_LOTSRC,MATCH($A183,RES_LOTEFF,0)),""))))</f>
        <v/>
      </c>
      <c r="O183" s="26" t="str">
        <f aca="false">IF($A183="","",IF($B183&lt;&gt;"",$B183,IF($N183="","",IFERROR(INDEX($B$5:$B$204,MATCH($N183,$A$5:$A$204,0)),""))))</f>
        <v/>
      </c>
      <c r="P183" s="26" t="str">
        <f aca="false">IF($A183="","",IF($C183&lt;&gt;"",$C183,IF($N183="","",IFERROR(INDEX($C$5:$C$204,MATCH($N183,$A$5:$A$204,0)),""))))</f>
        <v/>
      </c>
      <c r="Q183" s="26" t="str">
        <f aca="false">IF($A183="","",IF($D183&lt;&gt;"",$D183,IF($N183="","",IFERROR(INDEX($D$5:$D$204,MATCH($N183,$A$5:$A$204,0)),""))))</f>
        <v/>
      </c>
      <c r="R183" s="26" t="str">
        <f aca="false">IF($A183="","",IF($E183&lt;&gt;"",$E183,IF($N183="","",IFERROR(INDEX($E$5:$E$204,MATCH($N183,$A$5:$A$204,0)),""))))</f>
        <v/>
      </c>
      <c r="S183" s="26" t="str">
        <f aca="false">IF($A183="","",IF($H183&lt;&gt;"",$H183,IF($N183="","",IFERROR(INDEX($H$5:$H$204,MATCH($N183,$A$5:$A$204,0)),""))))</f>
        <v/>
      </c>
      <c r="T183" s="26" t="str">
        <f aca="false">IF($A183="","",IF($F183&lt;&gt;"",$F183,IF($N183="","",IFERROR(INDEX($F$5:$F$204,MATCH($N183,$A$5:$A$204,0)),""))))</f>
        <v/>
      </c>
      <c r="U183" s="27" t="str">
        <f aca="false">IF($A183="","",SUMIFS(MVT_NET,MVT_LOT,$A183))</f>
        <v/>
      </c>
      <c r="V183" s="28" t="str">
        <f aca="false">IF($A183="","",COUNTIFS(MVT_LOT,$A183,MVT_BRUT,"&lt;&gt;0"))</f>
        <v/>
      </c>
      <c r="W183" s="28" t="str">
        <f aca="false">IF($A183="","",COUNTIFS(QC_LOT,$A183))</f>
        <v/>
      </c>
      <c r="X183" s="26" t="str">
        <f aca="false">IF($A183="","",IFERROR(INDEX(QC_DEC,MATCH($A183,QC_CLEDER,0)),""))</f>
        <v/>
      </c>
      <c r="Y183" s="26" t="str">
        <f aca="false">IF($A183="","",IF(COUNTIF($A$5:$A$204,$A183)&gt;1,IF(SUMPRODUCT(($A$5:$A$204=$A183)*(($C$5:$C$204&lt;&gt;$C183)+($D$5:$D$204&lt;&gt;$D183)))&gt;0,"INCOHERENCE","LOT EN DOUBLE"),"OK"))</f>
        <v/>
      </c>
      <c r="Z183" s="28" t="n">
        <f aca="false">IF($A183="",0,IF(AND($O183&lt;&gt;"",$A183&lt;&gt;R_LOT,$O183=IFERROR(INDEX(LOT_EXTE,MATCH(R_LOT,LOT_KEY,0)),"#")),1,0))</f>
        <v>0</v>
      </c>
      <c r="AA183" s="26" t="str">
        <f aca="false">IF($Z183=0,"",COUNTIF($Z$5:$Z183,1))</f>
        <v/>
      </c>
    </row>
    <row r="184" customFormat="false" ht="15" hidden="false" customHeight="false" outlineLevel="0" collapsed="false">
      <c r="A184" s="24"/>
      <c r="B184" s="24"/>
      <c r="C184" s="24"/>
      <c r="D184" s="24"/>
      <c r="E184" s="24"/>
      <c r="F184" s="24"/>
      <c r="G184" s="24"/>
      <c r="H184" s="24"/>
      <c r="I184" s="24"/>
      <c r="J184" s="24"/>
      <c r="K184" s="25"/>
      <c r="L184" s="24"/>
      <c r="M184" s="24"/>
      <c r="N184" s="26" t="str">
        <f aca="false">IF($A184="","",IF($L184&lt;&gt;"",$L184,IF(IFERROR(INDEX(RES_LOTSRC,MATCH($A184,RES_LOTEFF,0)),"")=$A184,"",IFERROR(INDEX(RES_LOTSRC,MATCH($A184,RES_LOTEFF,0)),""))))</f>
        <v/>
      </c>
      <c r="O184" s="26" t="str">
        <f aca="false">IF($A184="","",IF($B184&lt;&gt;"",$B184,IF($N184="","",IFERROR(INDEX($B$5:$B$204,MATCH($N184,$A$5:$A$204,0)),""))))</f>
        <v/>
      </c>
      <c r="P184" s="26" t="str">
        <f aca="false">IF($A184="","",IF($C184&lt;&gt;"",$C184,IF($N184="","",IFERROR(INDEX($C$5:$C$204,MATCH($N184,$A$5:$A$204,0)),""))))</f>
        <v/>
      </c>
      <c r="Q184" s="26" t="str">
        <f aca="false">IF($A184="","",IF($D184&lt;&gt;"",$D184,IF($N184="","",IFERROR(INDEX($D$5:$D$204,MATCH($N184,$A$5:$A$204,0)),""))))</f>
        <v/>
      </c>
      <c r="R184" s="26" t="str">
        <f aca="false">IF($A184="","",IF($E184&lt;&gt;"",$E184,IF($N184="","",IFERROR(INDEX($E$5:$E$204,MATCH($N184,$A$5:$A$204,0)),""))))</f>
        <v/>
      </c>
      <c r="S184" s="26" t="str">
        <f aca="false">IF($A184="","",IF($H184&lt;&gt;"",$H184,IF($N184="","",IFERROR(INDEX($H$5:$H$204,MATCH($N184,$A$5:$A$204,0)),""))))</f>
        <v/>
      </c>
      <c r="T184" s="26" t="str">
        <f aca="false">IF($A184="","",IF($F184&lt;&gt;"",$F184,IF($N184="","",IFERROR(INDEX($F$5:$F$204,MATCH($N184,$A$5:$A$204,0)),""))))</f>
        <v/>
      </c>
      <c r="U184" s="27" t="str">
        <f aca="false">IF($A184="","",SUMIFS(MVT_NET,MVT_LOT,$A184))</f>
        <v/>
      </c>
      <c r="V184" s="28" t="str">
        <f aca="false">IF($A184="","",COUNTIFS(MVT_LOT,$A184,MVT_BRUT,"&lt;&gt;0"))</f>
        <v/>
      </c>
      <c r="W184" s="28" t="str">
        <f aca="false">IF($A184="","",COUNTIFS(QC_LOT,$A184))</f>
        <v/>
      </c>
      <c r="X184" s="26" t="str">
        <f aca="false">IF($A184="","",IFERROR(INDEX(QC_DEC,MATCH($A184,QC_CLEDER,0)),""))</f>
        <v/>
      </c>
      <c r="Y184" s="26" t="str">
        <f aca="false">IF($A184="","",IF(COUNTIF($A$5:$A$204,$A184)&gt;1,IF(SUMPRODUCT(($A$5:$A$204=$A184)*(($C$5:$C$204&lt;&gt;$C184)+($D$5:$D$204&lt;&gt;$D184)))&gt;0,"INCOHERENCE","LOT EN DOUBLE"),"OK"))</f>
        <v/>
      </c>
      <c r="Z184" s="28" t="n">
        <f aca="false">IF($A184="",0,IF(AND($O184&lt;&gt;"",$A184&lt;&gt;R_LOT,$O184=IFERROR(INDEX(LOT_EXTE,MATCH(R_LOT,LOT_KEY,0)),"#")),1,0))</f>
        <v>0</v>
      </c>
      <c r="AA184" s="26" t="str">
        <f aca="false">IF($Z184=0,"",COUNTIF($Z$5:$Z184,1))</f>
        <v/>
      </c>
    </row>
    <row r="185" customFormat="false" ht="15" hidden="false" customHeight="false" outlineLevel="0" collapsed="false">
      <c r="A185" s="24"/>
      <c r="B185" s="24"/>
      <c r="C185" s="24"/>
      <c r="D185" s="24"/>
      <c r="E185" s="24"/>
      <c r="F185" s="24"/>
      <c r="G185" s="24"/>
      <c r="H185" s="24"/>
      <c r="I185" s="24"/>
      <c r="J185" s="24"/>
      <c r="K185" s="25"/>
      <c r="L185" s="24"/>
      <c r="M185" s="24"/>
      <c r="N185" s="26" t="str">
        <f aca="false">IF($A185="","",IF($L185&lt;&gt;"",$L185,IF(IFERROR(INDEX(RES_LOTSRC,MATCH($A185,RES_LOTEFF,0)),"")=$A185,"",IFERROR(INDEX(RES_LOTSRC,MATCH($A185,RES_LOTEFF,0)),""))))</f>
        <v/>
      </c>
      <c r="O185" s="26" t="str">
        <f aca="false">IF($A185="","",IF($B185&lt;&gt;"",$B185,IF($N185="","",IFERROR(INDEX($B$5:$B$204,MATCH($N185,$A$5:$A$204,0)),""))))</f>
        <v/>
      </c>
      <c r="P185" s="26" t="str">
        <f aca="false">IF($A185="","",IF($C185&lt;&gt;"",$C185,IF($N185="","",IFERROR(INDEX($C$5:$C$204,MATCH($N185,$A$5:$A$204,0)),""))))</f>
        <v/>
      </c>
      <c r="Q185" s="26" t="str">
        <f aca="false">IF($A185="","",IF($D185&lt;&gt;"",$D185,IF($N185="","",IFERROR(INDEX($D$5:$D$204,MATCH($N185,$A$5:$A$204,0)),""))))</f>
        <v/>
      </c>
      <c r="R185" s="26" t="str">
        <f aca="false">IF($A185="","",IF($E185&lt;&gt;"",$E185,IF($N185="","",IFERROR(INDEX($E$5:$E$204,MATCH($N185,$A$5:$A$204,0)),""))))</f>
        <v/>
      </c>
      <c r="S185" s="26" t="str">
        <f aca="false">IF($A185="","",IF($H185&lt;&gt;"",$H185,IF($N185="","",IFERROR(INDEX($H$5:$H$204,MATCH($N185,$A$5:$A$204,0)),""))))</f>
        <v/>
      </c>
      <c r="T185" s="26" t="str">
        <f aca="false">IF($A185="","",IF($F185&lt;&gt;"",$F185,IF($N185="","",IFERROR(INDEX($F$5:$F$204,MATCH($N185,$A$5:$A$204,0)),""))))</f>
        <v/>
      </c>
      <c r="U185" s="27" t="str">
        <f aca="false">IF($A185="","",SUMIFS(MVT_NET,MVT_LOT,$A185))</f>
        <v/>
      </c>
      <c r="V185" s="28" t="str">
        <f aca="false">IF($A185="","",COUNTIFS(MVT_LOT,$A185,MVT_BRUT,"&lt;&gt;0"))</f>
        <v/>
      </c>
      <c r="W185" s="28" t="str">
        <f aca="false">IF($A185="","",COUNTIFS(QC_LOT,$A185))</f>
        <v/>
      </c>
      <c r="X185" s="26" t="str">
        <f aca="false">IF($A185="","",IFERROR(INDEX(QC_DEC,MATCH($A185,QC_CLEDER,0)),""))</f>
        <v/>
      </c>
      <c r="Y185" s="26" t="str">
        <f aca="false">IF($A185="","",IF(COUNTIF($A$5:$A$204,$A185)&gt;1,IF(SUMPRODUCT(($A$5:$A$204=$A185)*(($C$5:$C$204&lt;&gt;$C185)+($D$5:$D$204&lt;&gt;$D185)))&gt;0,"INCOHERENCE","LOT EN DOUBLE"),"OK"))</f>
        <v/>
      </c>
      <c r="Z185" s="28" t="n">
        <f aca="false">IF($A185="",0,IF(AND($O185&lt;&gt;"",$A185&lt;&gt;R_LOT,$O185=IFERROR(INDEX(LOT_EXTE,MATCH(R_LOT,LOT_KEY,0)),"#")),1,0))</f>
        <v>0</v>
      </c>
      <c r="AA185" s="26" t="str">
        <f aca="false">IF($Z185=0,"",COUNTIF($Z$5:$Z185,1))</f>
        <v/>
      </c>
    </row>
    <row r="186" customFormat="false" ht="15" hidden="false" customHeight="false" outlineLevel="0" collapsed="false">
      <c r="A186" s="24"/>
      <c r="B186" s="24"/>
      <c r="C186" s="24"/>
      <c r="D186" s="24"/>
      <c r="E186" s="24"/>
      <c r="F186" s="24"/>
      <c r="G186" s="24"/>
      <c r="H186" s="24"/>
      <c r="I186" s="24"/>
      <c r="J186" s="24"/>
      <c r="K186" s="25"/>
      <c r="L186" s="24"/>
      <c r="M186" s="24"/>
      <c r="N186" s="26" t="str">
        <f aca="false">IF($A186="","",IF($L186&lt;&gt;"",$L186,IF(IFERROR(INDEX(RES_LOTSRC,MATCH($A186,RES_LOTEFF,0)),"")=$A186,"",IFERROR(INDEX(RES_LOTSRC,MATCH($A186,RES_LOTEFF,0)),""))))</f>
        <v/>
      </c>
      <c r="O186" s="26" t="str">
        <f aca="false">IF($A186="","",IF($B186&lt;&gt;"",$B186,IF($N186="","",IFERROR(INDEX($B$5:$B$204,MATCH($N186,$A$5:$A$204,0)),""))))</f>
        <v/>
      </c>
      <c r="P186" s="26" t="str">
        <f aca="false">IF($A186="","",IF($C186&lt;&gt;"",$C186,IF($N186="","",IFERROR(INDEX($C$5:$C$204,MATCH($N186,$A$5:$A$204,0)),""))))</f>
        <v/>
      </c>
      <c r="Q186" s="26" t="str">
        <f aca="false">IF($A186="","",IF($D186&lt;&gt;"",$D186,IF($N186="","",IFERROR(INDEX($D$5:$D$204,MATCH($N186,$A$5:$A$204,0)),""))))</f>
        <v/>
      </c>
      <c r="R186" s="26" t="str">
        <f aca="false">IF($A186="","",IF($E186&lt;&gt;"",$E186,IF($N186="","",IFERROR(INDEX($E$5:$E$204,MATCH($N186,$A$5:$A$204,0)),""))))</f>
        <v/>
      </c>
      <c r="S186" s="26" t="str">
        <f aca="false">IF($A186="","",IF($H186&lt;&gt;"",$H186,IF($N186="","",IFERROR(INDEX($H$5:$H$204,MATCH($N186,$A$5:$A$204,0)),""))))</f>
        <v/>
      </c>
      <c r="T186" s="26" t="str">
        <f aca="false">IF($A186="","",IF($F186&lt;&gt;"",$F186,IF($N186="","",IFERROR(INDEX($F$5:$F$204,MATCH($N186,$A$5:$A$204,0)),""))))</f>
        <v/>
      </c>
      <c r="U186" s="27" t="str">
        <f aca="false">IF($A186="","",SUMIFS(MVT_NET,MVT_LOT,$A186))</f>
        <v/>
      </c>
      <c r="V186" s="28" t="str">
        <f aca="false">IF($A186="","",COUNTIFS(MVT_LOT,$A186,MVT_BRUT,"&lt;&gt;0"))</f>
        <v/>
      </c>
      <c r="W186" s="28" t="str">
        <f aca="false">IF($A186="","",COUNTIFS(QC_LOT,$A186))</f>
        <v/>
      </c>
      <c r="X186" s="26" t="str">
        <f aca="false">IF($A186="","",IFERROR(INDEX(QC_DEC,MATCH($A186,QC_CLEDER,0)),""))</f>
        <v/>
      </c>
      <c r="Y186" s="26" t="str">
        <f aca="false">IF($A186="","",IF(COUNTIF($A$5:$A$204,$A186)&gt;1,IF(SUMPRODUCT(($A$5:$A$204=$A186)*(($C$5:$C$204&lt;&gt;$C186)+($D$5:$D$204&lt;&gt;$D186)))&gt;0,"INCOHERENCE","LOT EN DOUBLE"),"OK"))</f>
        <v/>
      </c>
      <c r="Z186" s="28" t="n">
        <f aca="false">IF($A186="",0,IF(AND($O186&lt;&gt;"",$A186&lt;&gt;R_LOT,$O186=IFERROR(INDEX(LOT_EXTE,MATCH(R_LOT,LOT_KEY,0)),"#")),1,0))</f>
        <v>0</v>
      </c>
      <c r="AA186" s="26" t="str">
        <f aca="false">IF($Z186=0,"",COUNTIF($Z$5:$Z186,1))</f>
        <v/>
      </c>
    </row>
    <row r="187" customFormat="false" ht="15" hidden="false" customHeight="false" outlineLevel="0" collapsed="false">
      <c r="A187" s="24"/>
      <c r="B187" s="24"/>
      <c r="C187" s="24"/>
      <c r="D187" s="24"/>
      <c r="E187" s="24"/>
      <c r="F187" s="24"/>
      <c r="G187" s="24"/>
      <c r="H187" s="24"/>
      <c r="I187" s="24"/>
      <c r="J187" s="24"/>
      <c r="K187" s="25"/>
      <c r="L187" s="24"/>
      <c r="M187" s="24"/>
      <c r="N187" s="26" t="str">
        <f aca="false">IF($A187="","",IF($L187&lt;&gt;"",$L187,IF(IFERROR(INDEX(RES_LOTSRC,MATCH($A187,RES_LOTEFF,0)),"")=$A187,"",IFERROR(INDEX(RES_LOTSRC,MATCH($A187,RES_LOTEFF,0)),""))))</f>
        <v/>
      </c>
      <c r="O187" s="26" t="str">
        <f aca="false">IF($A187="","",IF($B187&lt;&gt;"",$B187,IF($N187="","",IFERROR(INDEX($B$5:$B$204,MATCH($N187,$A$5:$A$204,0)),""))))</f>
        <v/>
      </c>
      <c r="P187" s="26" t="str">
        <f aca="false">IF($A187="","",IF($C187&lt;&gt;"",$C187,IF($N187="","",IFERROR(INDEX($C$5:$C$204,MATCH($N187,$A$5:$A$204,0)),""))))</f>
        <v/>
      </c>
      <c r="Q187" s="26" t="str">
        <f aca="false">IF($A187="","",IF($D187&lt;&gt;"",$D187,IF($N187="","",IFERROR(INDEX($D$5:$D$204,MATCH($N187,$A$5:$A$204,0)),""))))</f>
        <v/>
      </c>
      <c r="R187" s="26" t="str">
        <f aca="false">IF($A187="","",IF($E187&lt;&gt;"",$E187,IF($N187="","",IFERROR(INDEX($E$5:$E$204,MATCH($N187,$A$5:$A$204,0)),""))))</f>
        <v/>
      </c>
      <c r="S187" s="26" t="str">
        <f aca="false">IF($A187="","",IF($H187&lt;&gt;"",$H187,IF($N187="","",IFERROR(INDEX($H$5:$H$204,MATCH($N187,$A$5:$A$204,0)),""))))</f>
        <v/>
      </c>
      <c r="T187" s="26" t="str">
        <f aca="false">IF($A187="","",IF($F187&lt;&gt;"",$F187,IF($N187="","",IFERROR(INDEX($F$5:$F$204,MATCH($N187,$A$5:$A$204,0)),""))))</f>
        <v/>
      </c>
      <c r="U187" s="27" t="str">
        <f aca="false">IF($A187="","",SUMIFS(MVT_NET,MVT_LOT,$A187))</f>
        <v/>
      </c>
      <c r="V187" s="28" t="str">
        <f aca="false">IF($A187="","",COUNTIFS(MVT_LOT,$A187,MVT_BRUT,"&lt;&gt;0"))</f>
        <v/>
      </c>
      <c r="W187" s="28" t="str">
        <f aca="false">IF($A187="","",COUNTIFS(QC_LOT,$A187))</f>
        <v/>
      </c>
      <c r="X187" s="26" t="str">
        <f aca="false">IF($A187="","",IFERROR(INDEX(QC_DEC,MATCH($A187,QC_CLEDER,0)),""))</f>
        <v/>
      </c>
      <c r="Y187" s="26" t="str">
        <f aca="false">IF($A187="","",IF(COUNTIF($A$5:$A$204,$A187)&gt;1,IF(SUMPRODUCT(($A$5:$A$204=$A187)*(($C$5:$C$204&lt;&gt;$C187)+($D$5:$D$204&lt;&gt;$D187)))&gt;0,"INCOHERENCE","LOT EN DOUBLE"),"OK"))</f>
        <v/>
      </c>
      <c r="Z187" s="28" t="n">
        <f aca="false">IF($A187="",0,IF(AND($O187&lt;&gt;"",$A187&lt;&gt;R_LOT,$O187=IFERROR(INDEX(LOT_EXTE,MATCH(R_LOT,LOT_KEY,0)),"#")),1,0))</f>
        <v>0</v>
      </c>
      <c r="AA187" s="26" t="str">
        <f aca="false">IF($Z187=0,"",COUNTIF($Z$5:$Z187,1))</f>
        <v/>
      </c>
    </row>
    <row r="188" customFormat="false" ht="15" hidden="false" customHeight="false" outlineLevel="0" collapsed="false">
      <c r="A188" s="24"/>
      <c r="B188" s="24"/>
      <c r="C188" s="24"/>
      <c r="D188" s="24"/>
      <c r="E188" s="24"/>
      <c r="F188" s="24"/>
      <c r="G188" s="24"/>
      <c r="H188" s="24"/>
      <c r="I188" s="24"/>
      <c r="J188" s="24"/>
      <c r="K188" s="25"/>
      <c r="L188" s="24"/>
      <c r="M188" s="24"/>
      <c r="N188" s="26" t="str">
        <f aca="false">IF($A188="","",IF($L188&lt;&gt;"",$L188,IF(IFERROR(INDEX(RES_LOTSRC,MATCH($A188,RES_LOTEFF,0)),"")=$A188,"",IFERROR(INDEX(RES_LOTSRC,MATCH($A188,RES_LOTEFF,0)),""))))</f>
        <v/>
      </c>
      <c r="O188" s="26" t="str">
        <f aca="false">IF($A188="","",IF($B188&lt;&gt;"",$B188,IF($N188="","",IFERROR(INDEX($B$5:$B$204,MATCH($N188,$A$5:$A$204,0)),""))))</f>
        <v/>
      </c>
      <c r="P188" s="26" t="str">
        <f aca="false">IF($A188="","",IF($C188&lt;&gt;"",$C188,IF($N188="","",IFERROR(INDEX($C$5:$C$204,MATCH($N188,$A$5:$A$204,0)),""))))</f>
        <v/>
      </c>
      <c r="Q188" s="26" t="str">
        <f aca="false">IF($A188="","",IF($D188&lt;&gt;"",$D188,IF($N188="","",IFERROR(INDEX($D$5:$D$204,MATCH($N188,$A$5:$A$204,0)),""))))</f>
        <v/>
      </c>
      <c r="R188" s="26" t="str">
        <f aca="false">IF($A188="","",IF($E188&lt;&gt;"",$E188,IF($N188="","",IFERROR(INDEX($E$5:$E$204,MATCH($N188,$A$5:$A$204,0)),""))))</f>
        <v/>
      </c>
      <c r="S188" s="26" t="str">
        <f aca="false">IF($A188="","",IF($H188&lt;&gt;"",$H188,IF($N188="","",IFERROR(INDEX($H$5:$H$204,MATCH($N188,$A$5:$A$204,0)),""))))</f>
        <v/>
      </c>
      <c r="T188" s="26" t="str">
        <f aca="false">IF($A188="","",IF($F188&lt;&gt;"",$F188,IF($N188="","",IFERROR(INDEX($F$5:$F$204,MATCH($N188,$A$5:$A$204,0)),""))))</f>
        <v/>
      </c>
      <c r="U188" s="27" t="str">
        <f aca="false">IF($A188="","",SUMIFS(MVT_NET,MVT_LOT,$A188))</f>
        <v/>
      </c>
      <c r="V188" s="28" t="str">
        <f aca="false">IF($A188="","",COUNTIFS(MVT_LOT,$A188,MVT_BRUT,"&lt;&gt;0"))</f>
        <v/>
      </c>
      <c r="W188" s="28" t="str">
        <f aca="false">IF($A188="","",COUNTIFS(QC_LOT,$A188))</f>
        <v/>
      </c>
      <c r="X188" s="26" t="str">
        <f aca="false">IF($A188="","",IFERROR(INDEX(QC_DEC,MATCH($A188,QC_CLEDER,0)),""))</f>
        <v/>
      </c>
      <c r="Y188" s="26" t="str">
        <f aca="false">IF($A188="","",IF(COUNTIF($A$5:$A$204,$A188)&gt;1,IF(SUMPRODUCT(($A$5:$A$204=$A188)*(($C$5:$C$204&lt;&gt;$C188)+($D$5:$D$204&lt;&gt;$D188)))&gt;0,"INCOHERENCE","LOT EN DOUBLE"),"OK"))</f>
        <v/>
      </c>
      <c r="Z188" s="28" t="n">
        <f aca="false">IF($A188="",0,IF(AND($O188&lt;&gt;"",$A188&lt;&gt;R_LOT,$O188=IFERROR(INDEX(LOT_EXTE,MATCH(R_LOT,LOT_KEY,0)),"#")),1,0))</f>
        <v>0</v>
      </c>
      <c r="AA188" s="26" t="str">
        <f aca="false">IF($Z188=0,"",COUNTIF($Z$5:$Z188,1))</f>
        <v/>
      </c>
    </row>
    <row r="189" customFormat="false" ht="15" hidden="false" customHeight="false" outlineLevel="0" collapsed="false">
      <c r="A189" s="24"/>
      <c r="B189" s="24"/>
      <c r="C189" s="24"/>
      <c r="D189" s="24"/>
      <c r="E189" s="24"/>
      <c r="F189" s="24"/>
      <c r="G189" s="24"/>
      <c r="H189" s="24"/>
      <c r="I189" s="24"/>
      <c r="J189" s="24"/>
      <c r="K189" s="25"/>
      <c r="L189" s="24"/>
      <c r="M189" s="24"/>
      <c r="N189" s="26" t="str">
        <f aca="false">IF($A189="","",IF($L189&lt;&gt;"",$L189,IF(IFERROR(INDEX(RES_LOTSRC,MATCH($A189,RES_LOTEFF,0)),"")=$A189,"",IFERROR(INDEX(RES_LOTSRC,MATCH($A189,RES_LOTEFF,0)),""))))</f>
        <v/>
      </c>
      <c r="O189" s="26" t="str">
        <f aca="false">IF($A189="","",IF($B189&lt;&gt;"",$B189,IF($N189="","",IFERROR(INDEX($B$5:$B$204,MATCH($N189,$A$5:$A$204,0)),""))))</f>
        <v/>
      </c>
      <c r="P189" s="26" t="str">
        <f aca="false">IF($A189="","",IF($C189&lt;&gt;"",$C189,IF($N189="","",IFERROR(INDEX($C$5:$C$204,MATCH($N189,$A$5:$A$204,0)),""))))</f>
        <v/>
      </c>
      <c r="Q189" s="26" t="str">
        <f aca="false">IF($A189="","",IF($D189&lt;&gt;"",$D189,IF($N189="","",IFERROR(INDEX($D$5:$D$204,MATCH($N189,$A$5:$A$204,0)),""))))</f>
        <v/>
      </c>
      <c r="R189" s="26" t="str">
        <f aca="false">IF($A189="","",IF($E189&lt;&gt;"",$E189,IF($N189="","",IFERROR(INDEX($E$5:$E$204,MATCH($N189,$A$5:$A$204,0)),""))))</f>
        <v/>
      </c>
      <c r="S189" s="26" t="str">
        <f aca="false">IF($A189="","",IF($H189&lt;&gt;"",$H189,IF($N189="","",IFERROR(INDEX($H$5:$H$204,MATCH($N189,$A$5:$A$204,0)),""))))</f>
        <v/>
      </c>
      <c r="T189" s="26" t="str">
        <f aca="false">IF($A189="","",IF($F189&lt;&gt;"",$F189,IF($N189="","",IFERROR(INDEX($F$5:$F$204,MATCH($N189,$A$5:$A$204,0)),""))))</f>
        <v/>
      </c>
      <c r="U189" s="27" t="str">
        <f aca="false">IF($A189="","",SUMIFS(MVT_NET,MVT_LOT,$A189))</f>
        <v/>
      </c>
      <c r="V189" s="28" t="str">
        <f aca="false">IF($A189="","",COUNTIFS(MVT_LOT,$A189,MVT_BRUT,"&lt;&gt;0"))</f>
        <v/>
      </c>
      <c r="W189" s="28" t="str">
        <f aca="false">IF($A189="","",COUNTIFS(QC_LOT,$A189))</f>
        <v/>
      </c>
      <c r="X189" s="26" t="str">
        <f aca="false">IF($A189="","",IFERROR(INDEX(QC_DEC,MATCH($A189,QC_CLEDER,0)),""))</f>
        <v/>
      </c>
      <c r="Y189" s="26" t="str">
        <f aca="false">IF($A189="","",IF(COUNTIF($A$5:$A$204,$A189)&gt;1,IF(SUMPRODUCT(($A$5:$A$204=$A189)*(($C$5:$C$204&lt;&gt;$C189)+($D$5:$D$204&lt;&gt;$D189)))&gt;0,"INCOHERENCE","LOT EN DOUBLE"),"OK"))</f>
        <v/>
      </c>
      <c r="Z189" s="28" t="n">
        <f aca="false">IF($A189="",0,IF(AND($O189&lt;&gt;"",$A189&lt;&gt;R_LOT,$O189=IFERROR(INDEX(LOT_EXTE,MATCH(R_LOT,LOT_KEY,0)),"#")),1,0))</f>
        <v>0</v>
      </c>
      <c r="AA189" s="26" t="str">
        <f aca="false">IF($Z189=0,"",COUNTIF($Z$5:$Z189,1))</f>
        <v/>
      </c>
    </row>
    <row r="190" customFormat="false" ht="15" hidden="false" customHeight="false" outlineLevel="0" collapsed="false">
      <c r="A190" s="24"/>
      <c r="B190" s="24"/>
      <c r="C190" s="24"/>
      <c r="D190" s="24"/>
      <c r="E190" s="24"/>
      <c r="F190" s="24"/>
      <c r="G190" s="24"/>
      <c r="H190" s="24"/>
      <c r="I190" s="24"/>
      <c r="J190" s="24"/>
      <c r="K190" s="25"/>
      <c r="L190" s="24"/>
      <c r="M190" s="24"/>
      <c r="N190" s="26" t="str">
        <f aca="false">IF($A190="","",IF($L190&lt;&gt;"",$L190,IF(IFERROR(INDEX(RES_LOTSRC,MATCH($A190,RES_LOTEFF,0)),"")=$A190,"",IFERROR(INDEX(RES_LOTSRC,MATCH($A190,RES_LOTEFF,0)),""))))</f>
        <v/>
      </c>
      <c r="O190" s="26" t="str">
        <f aca="false">IF($A190="","",IF($B190&lt;&gt;"",$B190,IF($N190="","",IFERROR(INDEX($B$5:$B$204,MATCH($N190,$A$5:$A$204,0)),""))))</f>
        <v/>
      </c>
      <c r="P190" s="26" t="str">
        <f aca="false">IF($A190="","",IF($C190&lt;&gt;"",$C190,IF($N190="","",IFERROR(INDEX($C$5:$C$204,MATCH($N190,$A$5:$A$204,0)),""))))</f>
        <v/>
      </c>
      <c r="Q190" s="26" t="str">
        <f aca="false">IF($A190="","",IF($D190&lt;&gt;"",$D190,IF($N190="","",IFERROR(INDEX($D$5:$D$204,MATCH($N190,$A$5:$A$204,0)),""))))</f>
        <v/>
      </c>
      <c r="R190" s="26" t="str">
        <f aca="false">IF($A190="","",IF($E190&lt;&gt;"",$E190,IF($N190="","",IFERROR(INDEX($E$5:$E$204,MATCH($N190,$A$5:$A$204,0)),""))))</f>
        <v/>
      </c>
      <c r="S190" s="26" t="str">
        <f aca="false">IF($A190="","",IF($H190&lt;&gt;"",$H190,IF($N190="","",IFERROR(INDEX($H$5:$H$204,MATCH($N190,$A$5:$A$204,0)),""))))</f>
        <v/>
      </c>
      <c r="T190" s="26" t="str">
        <f aca="false">IF($A190="","",IF($F190&lt;&gt;"",$F190,IF($N190="","",IFERROR(INDEX($F$5:$F$204,MATCH($N190,$A$5:$A$204,0)),""))))</f>
        <v/>
      </c>
      <c r="U190" s="27" t="str">
        <f aca="false">IF($A190="","",SUMIFS(MVT_NET,MVT_LOT,$A190))</f>
        <v/>
      </c>
      <c r="V190" s="28" t="str">
        <f aca="false">IF($A190="","",COUNTIFS(MVT_LOT,$A190,MVT_BRUT,"&lt;&gt;0"))</f>
        <v/>
      </c>
      <c r="W190" s="28" t="str">
        <f aca="false">IF($A190="","",COUNTIFS(QC_LOT,$A190))</f>
        <v/>
      </c>
      <c r="X190" s="26" t="str">
        <f aca="false">IF($A190="","",IFERROR(INDEX(QC_DEC,MATCH($A190,QC_CLEDER,0)),""))</f>
        <v/>
      </c>
      <c r="Y190" s="26" t="str">
        <f aca="false">IF($A190="","",IF(COUNTIF($A$5:$A$204,$A190)&gt;1,IF(SUMPRODUCT(($A$5:$A$204=$A190)*(($C$5:$C$204&lt;&gt;$C190)+($D$5:$D$204&lt;&gt;$D190)))&gt;0,"INCOHERENCE","LOT EN DOUBLE"),"OK"))</f>
        <v/>
      </c>
      <c r="Z190" s="28" t="n">
        <f aca="false">IF($A190="",0,IF(AND($O190&lt;&gt;"",$A190&lt;&gt;R_LOT,$O190=IFERROR(INDEX(LOT_EXTE,MATCH(R_LOT,LOT_KEY,0)),"#")),1,0))</f>
        <v>0</v>
      </c>
      <c r="AA190" s="26" t="str">
        <f aca="false">IF($Z190=0,"",COUNTIF($Z$5:$Z190,1))</f>
        <v/>
      </c>
    </row>
    <row r="191" customFormat="false" ht="15" hidden="false" customHeight="false" outlineLevel="0" collapsed="false">
      <c r="A191" s="24"/>
      <c r="B191" s="24"/>
      <c r="C191" s="24"/>
      <c r="D191" s="24"/>
      <c r="E191" s="24"/>
      <c r="F191" s="24"/>
      <c r="G191" s="24"/>
      <c r="H191" s="24"/>
      <c r="I191" s="24"/>
      <c r="J191" s="24"/>
      <c r="K191" s="25"/>
      <c r="L191" s="24"/>
      <c r="M191" s="24"/>
      <c r="N191" s="26" t="str">
        <f aca="false">IF($A191="","",IF($L191&lt;&gt;"",$L191,IF(IFERROR(INDEX(RES_LOTSRC,MATCH($A191,RES_LOTEFF,0)),"")=$A191,"",IFERROR(INDEX(RES_LOTSRC,MATCH($A191,RES_LOTEFF,0)),""))))</f>
        <v/>
      </c>
      <c r="O191" s="26" t="str">
        <f aca="false">IF($A191="","",IF($B191&lt;&gt;"",$B191,IF($N191="","",IFERROR(INDEX($B$5:$B$204,MATCH($N191,$A$5:$A$204,0)),""))))</f>
        <v/>
      </c>
      <c r="P191" s="26" t="str">
        <f aca="false">IF($A191="","",IF($C191&lt;&gt;"",$C191,IF($N191="","",IFERROR(INDEX($C$5:$C$204,MATCH($N191,$A$5:$A$204,0)),""))))</f>
        <v/>
      </c>
      <c r="Q191" s="26" t="str">
        <f aca="false">IF($A191="","",IF($D191&lt;&gt;"",$D191,IF($N191="","",IFERROR(INDEX($D$5:$D$204,MATCH($N191,$A$5:$A$204,0)),""))))</f>
        <v/>
      </c>
      <c r="R191" s="26" t="str">
        <f aca="false">IF($A191="","",IF($E191&lt;&gt;"",$E191,IF($N191="","",IFERROR(INDEX($E$5:$E$204,MATCH($N191,$A$5:$A$204,0)),""))))</f>
        <v/>
      </c>
      <c r="S191" s="26" t="str">
        <f aca="false">IF($A191="","",IF($H191&lt;&gt;"",$H191,IF($N191="","",IFERROR(INDEX($H$5:$H$204,MATCH($N191,$A$5:$A$204,0)),""))))</f>
        <v/>
      </c>
      <c r="T191" s="26" t="str">
        <f aca="false">IF($A191="","",IF($F191&lt;&gt;"",$F191,IF($N191="","",IFERROR(INDEX($F$5:$F$204,MATCH($N191,$A$5:$A$204,0)),""))))</f>
        <v/>
      </c>
      <c r="U191" s="27" t="str">
        <f aca="false">IF($A191="","",SUMIFS(MVT_NET,MVT_LOT,$A191))</f>
        <v/>
      </c>
      <c r="V191" s="28" t="str">
        <f aca="false">IF($A191="","",COUNTIFS(MVT_LOT,$A191,MVT_BRUT,"&lt;&gt;0"))</f>
        <v/>
      </c>
      <c r="W191" s="28" t="str">
        <f aca="false">IF($A191="","",COUNTIFS(QC_LOT,$A191))</f>
        <v/>
      </c>
      <c r="X191" s="26" t="str">
        <f aca="false">IF($A191="","",IFERROR(INDEX(QC_DEC,MATCH($A191,QC_CLEDER,0)),""))</f>
        <v/>
      </c>
      <c r="Y191" s="26" t="str">
        <f aca="false">IF($A191="","",IF(COUNTIF($A$5:$A$204,$A191)&gt;1,IF(SUMPRODUCT(($A$5:$A$204=$A191)*(($C$5:$C$204&lt;&gt;$C191)+($D$5:$D$204&lt;&gt;$D191)))&gt;0,"INCOHERENCE","LOT EN DOUBLE"),"OK"))</f>
        <v/>
      </c>
      <c r="Z191" s="28" t="n">
        <f aca="false">IF($A191="",0,IF(AND($O191&lt;&gt;"",$A191&lt;&gt;R_LOT,$O191=IFERROR(INDEX(LOT_EXTE,MATCH(R_LOT,LOT_KEY,0)),"#")),1,0))</f>
        <v>0</v>
      </c>
      <c r="AA191" s="26" t="str">
        <f aca="false">IF($Z191=0,"",COUNTIF($Z$5:$Z191,1))</f>
        <v/>
      </c>
    </row>
    <row r="192" customFormat="false" ht="15" hidden="false" customHeight="false" outlineLevel="0" collapsed="false">
      <c r="A192" s="24"/>
      <c r="B192" s="24"/>
      <c r="C192" s="24"/>
      <c r="D192" s="24"/>
      <c r="E192" s="24"/>
      <c r="F192" s="24"/>
      <c r="G192" s="24"/>
      <c r="H192" s="24"/>
      <c r="I192" s="24"/>
      <c r="J192" s="24"/>
      <c r="K192" s="25"/>
      <c r="L192" s="24"/>
      <c r="M192" s="24"/>
      <c r="N192" s="26" t="str">
        <f aca="false">IF($A192="","",IF($L192&lt;&gt;"",$L192,IF(IFERROR(INDEX(RES_LOTSRC,MATCH($A192,RES_LOTEFF,0)),"")=$A192,"",IFERROR(INDEX(RES_LOTSRC,MATCH($A192,RES_LOTEFF,0)),""))))</f>
        <v/>
      </c>
      <c r="O192" s="26" t="str">
        <f aca="false">IF($A192="","",IF($B192&lt;&gt;"",$B192,IF($N192="","",IFERROR(INDEX($B$5:$B$204,MATCH($N192,$A$5:$A$204,0)),""))))</f>
        <v/>
      </c>
      <c r="P192" s="26" t="str">
        <f aca="false">IF($A192="","",IF($C192&lt;&gt;"",$C192,IF($N192="","",IFERROR(INDEX($C$5:$C$204,MATCH($N192,$A$5:$A$204,0)),""))))</f>
        <v/>
      </c>
      <c r="Q192" s="26" t="str">
        <f aca="false">IF($A192="","",IF($D192&lt;&gt;"",$D192,IF($N192="","",IFERROR(INDEX($D$5:$D$204,MATCH($N192,$A$5:$A$204,0)),""))))</f>
        <v/>
      </c>
      <c r="R192" s="26" t="str">
        <f aca="false">IF($A192="","",IF($E192&lt;&gt;"",$E192,IF($N192="","",IFERROR(INDEX($E$5:$E$204,MATCH($N192,$A$5:$A$204,0)),""))))</f>
        <v/>
      </c>
      <c r="S192" s="26" t="str">
        <f aca="false">IF($A192="","",IF($H192&lt;&gt;"",$H192,IF($N192="","",IFERROR(INDEX($H$5:$H$204,MATCH($N192,$A$5:$A$204,0)),""))))</f>
        <v/>
      </c>
      <c r="T192" s="26" t="str">
        <f aca="false">IF($A192="","",IF($F192&lt;&gt;"",$F192,IF($N192="","",IFERROR(INDEX($F$5:$F$204,MATCH($N192,$A$5:$A$204,0)),""))))</f>
        <v/>
      </c>
      <c r="U192" s="27" t="str">
        <f aca="false">IF($A192="","",SUMIFS(MVT_NET,MVT_LOT,$A192))</f>
        <v/>
      </c>
      <c r="V192" s="28" t="str">
        <f aca="false">IF($A192="","",COUNTIFS(MVT_LOT,$A192,MVT_BRUT,"&lt;&gt;0"))</f>
        <v/>
      </c>
      <c r="W192" s="28" t="str">
        <f aca="false">IF($A192="","",COUNTIFS(QC_LOT,$A192))</f>
        <v/>
      </c>
      <c r="X192" s="26" t="str">
        <f aca="false">IF($A192="","",IFERROR(INDEX(QC_DEC,MATCH($A192,QC_CLEDER,0)),""))</f>
        <v/>
      </c>
      <c r="Y192" s="26" t="str">
        <f aca="false">IF($A192="","",IF(COUNTIF($A$5:$A$204,$A192)&gt;1,IF(SUMPRODUCT(($A$5:$A$204=$A192)*(($C$5:$C$204&lt;&gt;$C192)+($D$5:$D$204&lt;&gt;$D192)))&gt;0,"INCOHERENCE","LOT EN DOUBLE"),"OK"))</f>
        <v/>
      </c>
      <c r="Z192" s="28" t="n">
        <f aca="false">IF($A192="",0,IF(AND($O192&lt;&gt;"",$A192&lt;&gt;R_LOT,$O192=IFERROR(INDEX(LOT_EXTE,MATCH(R_LOT,LOT_KEY,0)),"#")),1,0))</f>
        <v>0</v>
      </c>
      <c r="AA192" s="26" t="str">
        <f aca="false">IF($Z192=0,"",COUNTIF($Z$5:$Z192,1))</f>
        <v/>
      </c>
    </row>
    <row r="193" customFormat="false" ht="15" hidden="false" customHeight="false" outlineLevel="0" collapsed="false">
      <c r="A193" s="24"/>
      <c r="B193" s="24"/>
      <c r="C193" s="24"/>
      <c r="D193" s="24"/>
      <c r="E193" s="24"/>
      <c r="F193" s="24"/>
      <c r="G193" s="24"/>
      <c r="H193" s="24"/>
      <c r="I193" s="24"/>
      <c r="J193" s="24"/>
      <c r="K193" s="25"/>
      <c r="L193" s="24"/>
      <c r="M193" s="24"/>
      <c r="N193" s="26" t="str">
        <f aca="false">IF($A193="","",IF($L193&lt;&gt;"",$L193,IF(IFERROR(INDEX(RES_LOTSRC,MATCH($A193,RES_LOTEFF,0)),"")=$A193,"",IFERROR(INDEX(RES_LOTSRC,MATCH($A193,RES_LOTEFF,0)),""))))</f>
        <v/>
      </c>
      <c r="O193" s="26" t="str">
        <f aca="false">IF($A193="","",IF($B193&lt;&gt;"",$B193,IF($N193="","",IFERROR(INDEX($B$5:$B$204,MATCH($N193,$A$5:$A$204,0)),""))))</f>
        <v/>
      </c>
      <c r="P193" s="26" t="str">
        <f aca="false">IF($A193="","",IF($C193&lt;&gt;"",$C193,IF($N193="","",IFERROR(INDEX($C$5:$C$204,MATCH($N193,$A$5:$A$204,0)),""))))</f>
        <v/>
      </c>
      <c r="Q193" s="26" t="str">
        <f aca="false">IF($A193="","",IF($D193&lt;&gt;"",$D193,IF($N193="","",IFERROR(INDEX($D$5:$D$204,MATCH($N193,$A$5:$A$204,0)),""))))</f>
        <v/>
      </c>
      <c r="R193" s="26" t="str">
        <f aca="false">IF($A193="","",IF($E193&lt;&gt;"",$E193,IF($N193="","",IFERROR(INDEX($E$5:$E$204,MATCH($N193,$A$5:$A$204,0)),""))))</f>
        <v/>
      </c>
      <c r="S193" s="26" t="str">
        <f aca="false">IF($A193="","",IF($H193&lt;&gt;"",$H193,IF($N193="","",IFERROR(INDEX($H$5:$H$204,MATCH($N193,$A$5:$A$204,0)),""))))</f>
        <v/>
      </c>
      <c r="T193" s="26" t="str">
        <f aca="false">IF($A193="","",IF($F193&lt;&gt;"",$F193,IF($N193="","",IFERROR(INDEX($F$5:$F$204,MATCH($N193,$A$5:$A$204,0)),""))))</f>
        <v/>
      </c>
      <c r="U193" s="27" t="str">
        <f aca="false">IF($A193="","",SUMIFS(MVT_NET,MVT_LOT,$A193))</f>
        <v/>
      </c>
      <c r="V193" s="28" t="str">
        <f aca="false">IF($A193="","",COUNTIFS(MVT_LOT,$A193,MVT_BRUT,"&lt;&gt;0"))</f>
        <v/>
      </c>
      <c r="W193" s="28" t="str">
        <f aca="false">IF($A193="","",COUNTIFS(QC_LOT,$A193))</f>
        <v/>
      </c>
      <c r="X193" s="26" t="str">
        <f aca="false">IF($A193="","",IFERROR(INDEX(QC_DEC,MATCH($A193,QC_CLEDER,0)),""))</f>
        <v/>
      </c>
      <c r="Y193" s="26" t="str">
        <f aca="false">IF($A193="","",IF(COUNTIF($A$5:$A$204,$A193)&gt;1,IF(SUMPRODUCT(($A$5:$A$204=$A193)*(($C$5:$C$204&lt;&gt;$C193)+($D$5:$D$204&lt;&gt;$D193)))&gt;0,"INCOHERENCE","LOT EN DOUBLE"),"OK"))</f>
        <v/>
      </c>
      <c r="Z193" s="28" t="n">
        <f aca="false">IF($A193="",0,IF(AND($O193&lt;&gt;"",$A193&lt;&gt;R_LOT,$O193=IFERROR(INDEX(LOT_EXTE,MATCH(R_LOT,LOT_KEY,0)),"#")),1,0))</f>
        <v>0</v>
      </c>
      <c r="AA193" s="26" t="str">
        <f aca="false">IF($Z193=0,"",COUNTIF($Z$5:$Z193,1))</f>
        <v/>
      </c>
    </row>
    <row r="194" customFormat="false" ht="15" hidden="false" customHeight="false" outlineLevel="0" collapsed="false">
      <c r="A194" s="24"/>
      <c r="B194" s="24"/>
      <c r="C194" s="24"/>
      <c r="D194" s="24"/>
      <c r="E194" s="24"/>
      <c r="F194" s="24"/>
      <c r="G194" s="24"/>
      <c r="H194" s="24"/>
      <c r="I194" s="24"/>
      <c r="J194" s="24"/>
      <c r="K194" s="25"/>
      <c r="L194" s="24"/>
      <c r="M194" s="24"/>
      <c r="N194" s="26" t="str">
        <f aca="false">IF($A194="","",IF($L194&lt;&gt;"",$L194,IF(IFERROR(INDEX(RES_LOTSRC,MATCH($A194,RES_LOTEFF,0)),"")=$A194,"",IFERROR(INDEX(RES_LOTSRC,MATCH($A194,RES_LOTEFF,0)),""))))</f>
        <v/>
      </c>
      <c r="O194" s="26" t="str">
        <f aca="false">IF($A194="","",IF($B194&lt;&gt;"",$B194,IF($N194="","",IFERROR(INDEX($B$5:$B$204,MATCH($N194,$A$5:$A$204,0)),""))))</f>
        <v/>
      </c>
      <c r="P194" s="26" t="str">
        <f aca="false">IF($A194="","",IF($C194&lt;&gt;"",$C194,IF($N194="","",IFERROR(INDEX($C$5:$C$204,MATCH($N194,$A$5:$A$204,0)),""))))</f>
        <v/>
      </c>
      <c r="Q194" s="26" t="str">
        <f aca="false">IF($A194="","",IF($D194&lt;&gt;"",$D194,IF($N194="","",IFERROR(INDEX($D$5:$D$204,MATCH($N194,$A$5:$A$204,0)),""))))</f>
        <v/>
      </c>
      <c r="R194" s="26" t="str">
        <f aca="false">IF($A194="","",IF($E194&lt;&gt;"",$E194,IF($N194="","",IFERROR(INDEX($E$5:$E$204,MATCH($N194,$A$5:$A$204,0)),""))))</f>
        <v/>
      </c>
      <c r="S194" s="26" t="str">
        <f aca="false">IF($A194="","",IF($H194&lt;&gt;"",$H194,IF($N194="","",IFERROR(INDEX($H$5:$H$204,MATCH($N194,$A$5:$A$204,0)),""))))</f>
        <v/>
      </c>
      <c r="T194" s="26" t="str">
        <f aca="false">IF($A194="","",IF($F194&lt;&gt;"",$F194,IF($N194="","",IFERROR(INDEX($F$5:$F$204,MATCH($N194,$A$5:$A$204,0)),""))))</f>
        <v/>
      </c>
      <c r="U194" s="27" t="str">
        <f aca="false">IF($A194="","",SUMIFS(MVT_NET,MVT_LOT,$A194))</f>
        <v/>
      </c>
      <c r="V194" s="28" t="str">
        <f aca="false">IF($A194="","",COUNTIFS(MVT_LOT,$A194,MVT_BRUT,"&lt;&gt;0"))</f>
        <v/>
      </c>
      <c r="W194" s="28" t="str">
        <f aca="false">IF($A194="","",COUNTIFS(QC_LOT,$A194))</f>
        <v/>
      </c>
      <c r="X194" s="26" t="str">
        <f aca="false">IF($A194="","",IFERROR(INDEX(QC_DEC,MATCH($A194,QC_CLEDER,0)),""))</f>
        <v/>
      </c>
      <c r="Y194" s="26" t="str">
        <f aca="false">IF($A194="","",IF(COUNTIF($A$5:$A$204,$A194)&gt;1,IF(SUMPRODUCT(($A$5:$A$204=$A194)*(($C$5:$C$204&lt;&gt;$C194)+($D$5:$D$204&lt;&gt;$D194)))&gt;0,"INCOHERENCE","LOT EN DOUBLE"),"OK"))</f>
        <v/>
      </c>
      <c r="Z194" s="28" t="n">
        <f aca="false">IF($A194="",0,IF(AND($O194&lt;&gt;"",$A194&lt;&gt;R_LOT,$O194=IFERROR(INDEX(LOT_EXTE,MATCH(R_LOT,LOT_KEY,0)),"#")),1,0))</f>
        <v>0</v>
      </c>
      <c r="AA194" s="26" t="str">
        <f aca="false">IF($Z194=0,"",COUNTIF($Z$5:$Z194,1))</f>
        <v/>
      </c>
    </row>
    <row r="195" customFormat="false" ht="15" hidden="false" customHeight="false" outlineLevel="0" collapsed="false">
      <c r="A195" s="24"/>
      <c r="B195" s="24"/>
      <c r="C195" s="24"/>
      <c r="D195" s="24"/>
      <c r="E195" s="24"/>
      <c r="F195" s="24"/>
      <c r="G195" s="24"/>
      <c r="H195" s="24"/>
      <c r="I195" s="24"/>
      <c r="J195" s="24"/>
      <c r="K195" s="25"/>
      <c r="L195" s="24"/>
      <c r="M195" s="24"/>
      <c r="N195" s="26" t="str">
        <f aca="false">IF($A195="","",IF($L195&lt;&gt;"",$L195,IF(IFERROR(INDEX(RES_LOTSRC,MATCH($A195,RES_LOTEFF,0)),"")=$A195,"",IFERROR(INDEX(RES_LOTSRC,MATCH($A195,RES_LOTEFF,0)),""))))</f>
        <v/>
      </c>
      <c r="O195" s="26" t="str">
        <f aca="false">IF($A195="","",IF($B195&lt;&gt;"",$B195,IF($N195="","",IFERROR(INDEX($B$5:$B$204,MATCH($N195,$A$5:$A$204,0)),""))))</f>
        <v/>
      </c>
      <c r="P195" s="26" t="str">
        <f aca="false">IF($A195="","",IF($C195&lt;&gt;"",$C195,IF($N195="","",IFERROR(INDEX($C$5:$C$204,MATCH($N195,$A$5:$A$204,0)),""))))</f>
        <v/>
      </c>
      <c r="Q195" s="26" t="str">
        <f aca="false">IF($A195="","",IF($D195&lt;&gt;"",$D195,IF($N195="","",IFERROR(INDEX($D$5:$D$204,MATCH($N195,$A$5:$A$204,0)),""))))</f>
        <v/>
      </c>
      <c r="R195" s="26" t="str">
        <f aca="false">IF($A195="","",IF($E195&lt;&gt;"",$E195,IF($N195="","",IFERROR(INDEX($E$5:$E$204,MATCH($N195,$A$5:$A$204,0)),""))))</f>
        <v/>
      </c>
      <c r="S195" s="26" t="str">
        <f aca="false">IF($A195="","",IF($H195&lt;&gt;"",$H195,IF($N195="","",IFERROR(INDEX($H$5:$H$204,MATCH($N195,$A$5:$A$204,0)),""))))</f>
        <v/>
      </c>
      <c r="T195" s="26" t="str">
        <f aca="false">IF($A195="","",IF($F195&lt;&gt;"",$F195,IF($N195="","",IFERROR(INDEX($F$5:$F$204,MATCH($N195,$A$5:$A$204,0)),""))))</f>
        <v/>
      </c>
      <c r="U195" s="27" t="str">
        <f aca="false">IF($A195="","",SUMIFS(MVT_NET,MVT_LOT,$A195))</f>
        <v/>
      </c>
      <c r="V195" s="28" t="str">
        <f aca="false">IF($A195="","",COUNTIFS(MVT_LOT,$A195,MVT_BRUT,"&lt;&gt;0"))</f>
        <v/>
      </c>
      <c r="W195" s="28" t="str">
        <f aca="false">IF($A195="","",COUNTIFS(QC_LOT,$A195))</f>
        <v/>
      </c>
      <c r="X195" s="26" t="str">
        <f aca="false">IF($A195="","",IFERROR(INDEX(QC_DEC,MATCH($A195,QC_CLEDER,0)),""))</f>
        <v/>
      </c>
      <c r="Y195" s="26" t="str">
        <f aca="false">IF($A195="","",IF(COUNTIF($A$5:$A$204,$A195)&gt;1,IF(SUMPRODUCT(($A$5:$A$204=$A195)*(($C$5:$C$204&lt;&gt;$C195)+($D$5:$D$204&lt;&gt;$D195)))&gt;0,"INCOHERENCE","LOT EN DOUBLE"),"OK"))</f>
        <v/>
      </c>
      <c r="Z195" s="28" t="n">
        <f aca="false">IF($A195="",0,IF(AND($O195&lt;&gt;"",$A195&lt;&gt;R_LOT,$O195=IFERROR(INDEX(LOT_EXTE,MATCH(R_LOT,LOT_KEY,0)),"#")),1,0))</f>
        <v>0</v>
      </c>
      <c r="AA195" s="26" t="str">
        <f aca="false">IF($Z195=0,"",COUNTIF($Z$5:$Z195,1))</f>
        <v/>
      </c>
    </row>
    <row r="196" customFormat="false" ht="15" hidden="false" customHeight="false" outlineLevel="0" collapsed="false">
      <c r="A196" s="24"/>
      <c r="B196" s="24"/>
      <c r="C196" s="24"/>
      <c r="D196" s="24"/>
      <c r="E196" s="24"/>
      <c r="F196" s="24"/>
      <c r="G196" s="24"/>
      <c r="H196" s="24"/>
      <c r="I196" s="24"/>
      <c r="J196" s="24"/>
      <c r="K196" s="25"/>
      <c r="L196" s="24"/>
      <c r="M196" s="24"/>
      <c r="N196" s="26" t="str">
        <f aca="false">IF($A196="","",IF($L196&lt;&gt;"",$L196,IF(IFERROR(INDEX(RES_LOTSRC,MATCH($A196,RES_LOTEFF,0)),"")=$A196,"",IFERROR(INDEX(RES_LOTSRC,MATCH($A196,RES_LOTEFF,0)),""))))</f>
        <v/>
      </c>
      <c r="O196" s="26" t="str">
        <f aca="false">IF($A196="","",IF($B196&lt;&gt;"",$B196,IF($N196="","",IFERROR(INDEX($B$5:$B$204,MATCH($N196,$A$5:$A$204,0)),""))))</f>
        <v/>
      </c>
      <c r="P196" s="26" t="str">
        <f aca="false">IF($A196="","",IF($C196&lt;&gt;"",$C196,IF($N196="","",IFERROR(INDEX($C$5:$C$204,MATCH($N196,$A$5:$A$204,0)),""))))</f>
        <v/>
      </c>
      <c r="Q196" s="26" t="str">
        <f aca="false">IF($A196="","",IF($D196&lt;&gt;"",$D196,IF($N196="","",IFERROR(INDEX($D$5:$D$204,MATCH($N196,$A$5:$A$204,0)),""))))</f>
        <v/>
      </c>
      <c r="R196" s="26" t="str">
        <f aca="false">IF($A196="","",IF($E196&lt;&gt;"",$E196,IF($N196="","",IFERROR(INDEX($E$5:$E$204,MATCH($N196,$A$5:$A$204,0)),""))))</f>
        <v/>
      </c>
      <c r="S196" s="26" t="str">
        <f aca="false">IF($A196="","",IF($H196&lt;&gt;"",$H196,IF($N196="","",IFERROR(INDEX($H$5:$H$204,MATCH($N196,$A$5:$A$204,0)),""))))</f>
        <v/>
      </c>
      <c r="T196" s="26" t="str">
        <f aca="false">IF($A196="","",IF($F196&lt;&gt;"",$F196,IF($N196="","",IFERROR(INDEX($F$5:$F$204,MATCH($N196,$A$5:$A$204,0)),""))))</f>
        <v/>
      </c>
      <c r="U196" s="27" t="str">
        <f aca="false">IF($A196="","",SUMIFS(MVT_NET,MVT_LOT,$A196))</f>
        <v/>
      </c>
      <c r="V196" s="28" t="str">
        <f aca="false">IF($A196="","",COUNTIFS(MVT_LOT,$A196,MVT_BRUT,"&lt;&gt;0"))</f>
        <v/>
      </c>
      <c r="W196" s="28" t="str">
        <f aca="false">IF($A196="","",COUNTIFS(QC_LOT,$A196))</f>
        <v/>
      </c>
      <c r="X196" s="26" t="str">
        <f aca="false">IF($A196="","",IFERROR(INDEX(QC_DEC,MATCH($A196,QC_CLEDER,0)),""))</f>
        <v/>
      </c>
      <c r="Y196" s="26" t="str">
        <f aca="false">IF($A196="","",IF(COUNTIF($A$5:$A$204,$A196)&gt;1,IF(SUMPRODUCT(($A$5:$A$204=$A196)*(($C$5:$C$204&lt;&gt;$C196)+($D$5:$D$204&lt;&gt;$D196)))&gt;0,"INCOHERENCE","LOT EN DOUBLE"),"OK"))</f>
        <v/>
      </c>
      <c r="Z196" s="28" t="n">
        <f aca="false">IF($A196="",0,IF(AND($O196&lt;&gt;"",$A196&lt;&gt;R_LOT,$O196=IFERROR(INDEX(LOT_EXTE,MATCH(R_LOT,LOT_KEY,0)),"#")),1,0))</f>
        <v>0</v>
      </c>
      <c r="AA196" s="26" t="str">
        <f aca="false">IF($Z196=0,"",COUNTIF($Z$5:$Z196,1))</f>
        <v/>
      </c>
    </row>
    <row r="197" customFormat="false" ht="15" hidden="false" customHeight="false" outlineLevel="0" collapsed="false">
      <c r="A197" s="24"/>
      <c r="B197" s="24"/>
      <c r="C197" s="24"/>
      <c r="D197" s="24"/>
      <c r="E197" s="24"/>
      <c r="F197" s="24"/>
      <c r="G197" s="24"/>
      <c r="H197" s="24"/>
      <c r="I197" s="24"/>
      <c r="J197" s="24"/>
      <c r="K197" s="25"/>
      <c r="L197" s="24"/>
      <c r="M197" s="24"/>
      <c r="N197" s="26" t="str">
        <f aca="false">IF($A197="","",IF($L197&lt;&gt;"",$L197,IF(IFERROR(INDEX(RES_LOTSRC,MATCH($A197,RES_LOTEFF,0)),"")=$A197,"",IFERROR(INDEX(RES_LOTSRC,MATCH($A197,RES_LOTEFF,0)),""))))</f>
        <v/>
      </c>
      <c r="O197" s="26" t="str">
        <f aca="false">IF($A197="","",IF($B197&lt;&gt;"",$B197,IF($N197="","",IFERROR(INDEX($B$5:$B$204,MATCH($N197,$A$5:$A$204,0)),""))))</f>
        <v/>
      </c>
      <c r="P197" s="26" t="str">
        <f aca="false">IF($A197="","",IF($C197&lt;&gt;"",$C197,IF($N197="","",IFERROR(INDEX($C$5:$C$204,MATCH($N197,$A$5:$A$204,0)),""))))</f>
        <v/>
      </c>
      <c r="Q197" s="26" t="str">
        <f aca="false">IF($A197="","",IF($D197&lt;&gt;"",$D197,IF($N197="","",IFERROR(INDEX($D$5:$D$204,MATCH($N197,$A$5:$A$204,0)),""))))</f>
        <v/>
      </c>
      <c r="R197" s="26" t="str">
        <f aca="false">IF($A197="","",IF($E197&lt;&gt;"",$E197,IF($N197="","",IFERROR(INDEX($E$5:$E$204,MATCH($N197,$A$5:$A$204,0)),""))))</f>
        <v/>
      </c>
      <c r="S197" s="26" t="str">
        <f aca="false">IF($A197="","",IF($H197&lt;&gt;"",$H197,IF($N197="","",IFERROR(INDEX($H$5:$H$204,MATCH($N197,$A$5:$A$204,0)),""))))</f>
        <v/>
      </c>
      <c r="T197" s="26" t="str">
        <f aca="false">IF($A197="","",IF($F197&lt;&gt;"",$F197,IF($N197="","",IFERROR(INDEX($F$5:$F$204,MATCH($N197,$A$5:$A$204,0)),""))))</f>
        <v/>
      </c>
      <c r="U197" s="27" t="str">
        <f aca="false">IF($A197="","",SUMIFS(MVT_NET,MVT_LOT,$A197))</f>
        <v/>
      </c>
      <c r="V197" s="28" t="str">
        <f aca="false">IF($A197="","",COUNTIFS(MVT_LOT,$A197,MVT_BRUT,"&lt;&gt;0"))</f>
        <v/>
      </c>
      <c r="W197" s="28" t="str">
        <f aca="false">IF($A197="","",COUNTIFS(QC_LOT,$A197))</f>
        <v/>
      </c>
      <c r="X197" s="26" t="str">
        <f aca="false">IF($A197="","",IFERROR(INDEX(QC_DEC,MATCH($A197,QC_CLEDER,0)),""))</f>
        <v/>
      </c>
      <c r="Y197" s="26" t="str">
        <f aca="false">IF($A197="","",IF(COUNTIF($A$5:$A$204,$A197)&gt;1,IF(SUMPRODUCT(($A$5:$A$204=$A197)*(($C$5:$C$204&lt;&gt;$C197)+($D$5:$D$204&lt;&gt;$D197)))&gt;0,"INCOHERENCE","LOT EN DOUBLE"),"OK"))</f>
        <v/>
      </c>
      <c r="Z197" s="28" t="n">
        <f aca="false">IF($A197="",0,IF(AND($O197&lt;&gt;"",$A197&lt;&gt;R_LOT,$O197=IFERROR(INDEX(LOT_EXTE,MATCH(R_LOT,LOT_KEY,0)),"#")),1,0))</f>
        <v>0</v>
      </c>
      <c r="AA197" s="26" t="str">
        <f aca="false">IF($Z197=0,"",COUNTIF($Z$5:$Z197,1))</f>
        <v/>
      </c>
    </row>
    <row r="198" customFormat="false" ht="15" hidden="false" customHeight="false" outlineLevel="0" collapsed="false">
      <c r="A198" s="24"/>
      <c r="B198" s="24"/>
      <c r="C198" s="24"/>
      <c r="D198" s="24"/>
      <c r="E198" s="24"/>
      <c r="F198" s="24"/>
      <c r="G198" s="24"/>
      <c r="H198" s="24"/>
      <c r="I198" s="24"/>
      <c r="J198" s="24"/>
      <c r="K198" s="25"/>
      <c r="L198" s="24"/>
      <c r="M198" s="24"/>
      <c r="N198" s="26" t="str">
        <f aca="false">IF($A198="","",IF($L198&lt;&gt;"",$L198,IF(IFERROR(INDEX(RES_LOTSRC,MATCH($A198,RES_LOTEFF,0)),"")=$A198,"",IFERROR(INDEX(RES_LOTSRC,MATCH($A198,RES_LOTEFF,0)),""))))</f>
        <v/>
      </c>
      <c r="O198" s="26" t="str">
        <f aca="false">IF($A198="","",IF($B198&lt;&gt;"",$B198,IF($N198="","",IFERROR(INDEX($B$5:$B$204,MATCH($N198,$A$5:$A$204,0)),""))))</f>
        <v/>
      </c>
      <c r="P198" s="26" t="str">
        <f aca="false">IF($A198="","",IF($C198&lt;&gt;"",$C198,IF($N198="","",IFERROR(INDEX($C$5:$C$204,MATCH($N198,$A$5:$A$204,0)),""))))</f>
        <v/>
      </c>
      <c r="Q198" s="26" t="str">
        <f aca="false">IF($A198="","",IF($D198&lt;&gt;"",$D198,IF($N198="","",IFERROR(INDEX($D$5:$D$204,MATCH($N198,$A$5:$A$204,0)),""))))</f>
        <v/>
      </c>
      <c r="R198" s="26" t="str">
        <f aca="false">IF($A198="","",IF($E198&lt;&gt;"",$E198,IF($N198="","",IFERROR(INDEX($E$5:$E$204,MATCH($N198,$A$5:$A$204,0)),""))))</f>
        <v/>
      </c>
      <c r="S198" s="26" t="str">
        <f aca="false">IF($A198="","",IF($H198&lt;&gt;"",$H198,IF($N198="","",IFERROR(INDEX($H$5:$H$204,MATCH($N198,$A$5:$A$204,0)),""))))</f>
        <v/>
      </c>
      <c r="T198" s="26" t="str">
        <f aca="false">IF($A198="","",IF($F198&lt;&gt;"",$F198,IF($N198="","",IFERROR(INDEX($F$5:$F$204,MATCH($N198,$A$5:$A$204,0)),""))))</f>
        <v/>
      </c>
      <c r="U198" s="27" t="str">
        <f aca="false">IF($A198="","",SUMIFS(MVT_NET,MVT_LOT,$A198))</f>
        <v/>
      </c>
      <c r="V198" s="28" t="str">
        <f aca="false">IF($A198="","",COUNTIFS(MVT_LOT,$A198,MVT_BRUT,"&lt;&gt;0"))</f>
        <v/>
      </c>
      <c r="W198" s="28" t="str">
        <f aca="false">IF($A198="","",COUNTIFS(QC_LOT,$A198))</f>
        <v/>
      </c>
      <c r="X198" s="26" t="str">
        <f aca="false">IF($A198="","",IFERROR(INDEX(QC_DEC,MATCH($A198,QC_CLEDER,0)),""))</f>
        <v/>
      </c>
      <c r="Y198" s="26" t="str">
        <f aca="false">IF($A198="","",IF(COUNTIF($A$5:$A$204,$A198)&gt;1,IF(SUMPRODUCT(($A$5:$A$204=$A198)*(($C$5:$C$204&lt;&gt;$C198)+($D$5:$D$204&lt;&gt;$D198)))&gt;0,"INCOHERENCE","LOT EN DOUBLE"),"OK"))</f>
        <v/>
      </c>
      <c r="Z198" s="28" t="n">
        <f aca="false">IF($A198="",0,IF(AND($O198&lt;&gt;"",$A198&lt;&gt;R_LOT,$O198=IFERROR(INDEX(LOT_EXTE,MATCH(R_LOT,LOT_KEY,0)),"#")),1,0))</f>
        <v>0</v>
      </c>
      <c r="AA198" s="26" t="str">
        <f aca="false">IF($Z198=0,"",COUNTIF($Z$5:$Z198,1))</f>
        <v/>
      </c>
    </row>
    <row r="199" customFormat="false" ht="15" hidden="false" customHeight="false" outlineLevel="0" collapsed="false">
      <c r="A199" s="24"/>
      <c r="B199" s="24"/>
      <c r="C199" s="24"/>
      <c r="D199" s="24"/>
      <c r="E199" s="24"/>
      <c r="F199" s="24"/>
      <c r="G199" s="24"/>
      <c r="H199" s="24"/>
      <c r="I199" s="24"/>
      <c r="J199" s="24"/>
      <c r="K199" s="25"/>
      <c r="L199" s="24"/>
      <c r="M199" s="24"/>
      <c r="N199" s="26" t="str">
        <f aca="false">IF($A199="","",IF($L199&lt;&gt;"",$L199,IF(IFERROR(INDEX(RES_LOTSRC,MATCH($A199,RES_LOTEFF,0)),"")=$A199,"",IFERROR(INDEX(RES_LOTSRC,MATCH($A199,RES_LOTEFF,0)),""))))</f>
        <v/>
      </c>
      <c r="O199" s="26" t="str">
        <f aca="false">IF($A199="","",IF($B199&lt;&gt;"",$B199,IF($N199="","",IFERROR(INDEX($B$5:$B$204,MATCH($N199,$A$5:$A$204,0)),""))))</f>
        <v/>
      </c>
      <c r="P199" s="26" t="str">
        <f aca="false">IF($A199="","",IF($C199&lt;&gt;"",$C199,IF($N199="","",IFERROR(INDEX($C$5:$C$204,MATCH($N199,$A$5:$A$204,0)),""))))</f>
        <v/>
      </c>
      <c r="Q199" s="26" t="str">
        <f aca="false">IF($A199="","",IF($D199&lt;&gt;"",$D199,IF($N199="","",IFERROR(INDEX($D$5:$D$204,MATCH($N199,$A$5:$A$204,0)),""))))</f>
        <v/>
      </c>
      <c r="R199" s="26" t="str">
        <f aca="false">IF($A199="","",IF($E199&lt;&gt;"",$E199,IF($N199="","",IFERROR(INDEX($E$5:$E$204,MATCH($N199,$A$5:$A$204,0)),""))))</f>
        <v/>
      </c>
      <c r="S199" s="26" t="str">
        <f aca="false">IF($A199="","",IF($H199&lt;&gt;"",$H199,IF($N199="","",IFERROR(INDEX($H$5:$H$204,MATCH($N199,$A$5:$A$204,0)),""))))</f>
        <v/>
      </c>
      <c r="T199" s="26" t="str">
        <f aca="false">IF($A199="","",IF($F199&lt;&gt;"",$F199,IF($N199="","",IFERROR(INDEX($F$5:$F$204,MATCH($N199,$A$5:$A$204,0)),""))))</f>
        <v/>
      </c>
      <c r="U199" s="27" t="str">
        <f aca="false">IF($A199="","",SUMIFS(MVT_NET,MVT_LOT,$A199))</f>
        <v/>
      </c>
      <c r="V199" s="28" t="str">
        <f aca="false">IF($A199="","",COUNTIFS(MVT_LOT,$A199,MVT_BRUT,"&lt;&gt;0"))</f>
        <v/>
      </c>
      <c r="W199" s="28" t="str">
        <f aca="false">IF($A199="","",COUNTIFS(QC_LOT,$A199))</f>
        <v/>
      </c>
      <c r="X199" s="26" t="str">
        <f aca="false">IF($A199="","",IFERROR(INDEX(QC_DEC,MATCH($A199,QC_CLEDER,0)),""))</f>
        <v/>
      </c>
      <c r="Y199" s="26" t="str">
        <f aca="false">IF($A199="","",IF(COUNTIF($A$5:$A$204,$A199)&gt;1,IF(SUMPRODUCT(($A$5:$A$204=$A199)*(($C$5:$C$204&lt;&gt;$C199)+($D$5:$D$204&lt;&gt;$D199)))&gt;0,"INCOHERENCE","LOT EN DOUBLE"),"OK"))</f>
        <v/>
      </c>
      <c r="Z199" s="28" t="n">
        <f aca="false">IF($A199="",0,IF(AND($O199&lt;&gt;"",$A199&lt;&gt;R_LOT,$O199=IFERROR(INDEX(LOT_EXTE,MATCH(R_LOT,LOT_KEY,0)),"#")),1,0))</f>
        <v>0</v>
      </c>
      <c r="AA199" s="26" t="str">
        <f aca="false">IF($Z199=0,"",COUNTIF($Z$5:$Z199,1))</f>
        <v/>
      </c>
    </row>
    <row r="200" customFormat="false" ht="15" hidden="false" customHeight="false" outlineLevel="0" collapsed="false">
      <c r="A200" s="24"/>
      <c r="B200" s="24"/>
      <c r="C200" s="24"/>
      <c r="D200" s="24"/>
      <c r="E200" s="24"/>
      <c r="F200" s="24"/>
      <c r="G200" s="24"/>
      <c r="H200" s="24"/>
      <c r="I200" s="24"/>
      <c r="J200" s="24"/>
      <c r="K200" s="25"/>
      <c r="L200" s="24"/>
      <c r="M200" s="24"/>
      <c r="N200" s="26" t="str">
        <f aca="false">IF($A200="","",IF($L200&lt;&gt;"",$L200,IF(IFERROR(INDEX(RES_LOTSRC,MATCH($A200,RES_LOTEFF,0)),"")=$A200,"",IFERROR(INDEX(RES_LOTSRC,MATCH($A200,RES_LOTEFF,0)),""))))</f>
        <v/>
      </c>
      <c r="O200" s="26" t="str">
        <f aca="false">IF($A200="","",IF($B200&lt;&gt;"",$B200,IF($N200="","",IFERROR(INDEX($B$5:$B$204,MATCH($N200,$A$5:$A$204,0)),""))))</f>
        <v/>
      </c>
      <c r="P200" s="26" t="str">
        <f aca="false">IF($A200="","",IF($C200&lt;&gt;"",$C200,IF($N200="","",IFERROR(INDEX($C$5:$C$204,MATCH($N200,$A$5:$A$204,0)),""))))</f>
        <v/>
      </c>
      <c r="Q200" s="26" t="str">
        <f aca="false">IF($A200="","",IF($D200&lt;&gt;"",$D200,IF($N200="","",IFERROR(INDEX($D$5:$D$204,MATCH($N200,$A$5:$A$204,0)),""))))</f>
        <v/>
      </c>
      <c r="R200" s="26" t="str">
        <f aca="false">IF($A200="","",IF($E200&lt;&gt;"",$E200,IF($N200="","",IFERROR(INDEX($E$5:$E$204,MATCH($N200,$A$5:$A$204,0)),""))))</f>
        <v/>
      </c>
      <c r="S200" s="26" t="str">
        <f aca="false">IF($A200="","",IF($H200&lt;&gt;"",$H200,IF($N200="","",IFERROR(INDEX($H$5:$H$204,MATCH($N200,$A$5:$A$204,0)),""))))</f>
        <v/>
      </c>
      <c r="T200" s="26" t="str">
        <f aca="false">IF($A200="","",IF($F200&lt;&gt;"",$F200,IF($N200="","",IFERROR(INDEX($F$5:$F$204,MATCH($N200,$A$5:$A$204,0)),""))))</f>
        <v/>
      </c>
      <c r="U200" s="27" t="str">
        <f aca="false">IF($A200="","",SUMIFS(MVT_NET,MVT_LOT,$A200))</f>
        <v/>
      </c>
      <c r="V200" s="28" t="str">
        <f aca="false">IF($A200="","",COUNTIFS(MVT_LOT,$A200,MVT_BRUT,"&lt;&gt;0"))</f>
        <v/>
      </c>
      <c r="W200" s="28" t="str">
        <f aca="false">IF($A200="","",COUNTIFS(QC_LOT,$A200))</f>
        <v/>
      </c>
      <c r="X200" s="26" t="str">
        <f aca="false">IF($A200="","",IFERROR(INDEX(QC_DEC,MATCH($A200,QC_CLEDER,0)),""))</f>
        <v/>
      </c>
      <c r="Y200" s="26" t="str">
        <f aca="false">IF($A200="","",IF(COUNTIF($A$5:$A$204,$A200)&gt;1,IF(SUMPRODUCT(($A$5:$A$204=$A200)*(($C$5:$C$204&lt;&gt;$C200)+($D$5:$D$204&lt;&gt;$D200)))&gt;0,"INCOHERENCE","LOT EN DOUBLE"),"OK"))</f>
        <v/>
      </c>
      <c r="Z200" s="28" t="n">
        <f aca="false">IF($A200="",0,IF(AND($O200&lt;&gt;"",$A200&lt;&gt;R_LOT,$O200=IFERROR(INDEX(LOT_EXTE,MATCH(R_LOT,LOT_KEY,0)),"#")),1,0))</f>
        <v>0</v>
      </c>
      <c r="AA200" s="26" t="str">
        <f aca="false">IF($Z200=0,"",COUNTIF($Z$5:$Z200,1))</f>
        <v/>
      </c>
    </row>
    <row r="201" customFormat="false" ht="15" hidden="false" customHeight="false" outlineLevel="0" collapsed="false">
      <c r="A201" s="24"/>
      <c r="B201" s="24"/>
      <c r="C201" s="24"/>
      <c r="D201" s="24"/>
      <c r="E201" s="24"/>
      <c r="F201" s="24"/>
      <c r="G201" s="24"/>
      <c r="H201" s="24"/>
      <c r="I201" s="24"/>
      <c r="J201" s="24"/>
      <c r="K201" s="25"/>
      <c r="L201" s="24"/>
      <c r="M201" s="24"/>
      <c r="N201" s="26" t="str">
        <f aca="false">IF($A201="","",IF($L201&lt;&gt;"",$L201,IF(IFERROR(INDEX(RES_LOTSRC,MATCH($A201,RES_LOTEFF,0)),"")=$A201,"",IFERROR(INDEX(RES_LOTSRC,MATCH($A201,RES_LOTEFF,0)),""))))</f>
        <v/>
      </c>
      <c r="O201" s="26" t="str">
        <f aca="false">IF($A201="","",IF($B201&lt;&gt;"",$B201,IF($N201="","",IFERROR(INDEX($B$5:$B$204,MATCH($N201,$A$5:$A$204,0)),""))))</f>
        <v/>
      </c>
      <c r="P201" s="26" t="str">
        <f aca="false">IF($A201="","",IF($C201&lt;&gt;"",$C201,IF($N201="","",IFERROR(INDEX($C$5:$C$204,MATCH($N201,$A$5:$A$204,0)),""))))</f>
        <v/>
      </c>
      <c r="Q201" s="26" t="str">
        <f aca="false">IF($A201="","",IF($D201&lt;&gt;"",$D201,IF($N201="","",IFERROR(INDEX($D$5:$D$204,MATCH($N201,$A$5:$A$204,0)),""))))</f>
        <v/>
      </c>
      <c r="R201" s="26" t="str">
        <f aca="false">IF($A201="","",IF($E201&lt;&gt;"",$E201,IF($N201="","",IFERROR(INDEX($E$5:$E$204,MATCH($N201,$A$5:$A$204,0)),""))))</f>
        <v/>
      </c>
      <c r="S201" s="26" t="str">
        <f aca="false">IF($A201="","",IF($H201&lt;&gt;"",$H201,IF($N201="","",IFERROR(INDEX($H$5:$H$204,MATCH($N201,$A$5:$A$204,0)),""))))</f>
        <v/>
      </c>
      <c r="T201" s="26" t="str">
        <f aca="false">IF($A201="","",IF($F201&lt;&gt;"",$F201,IF($N201="","",IFERROR(INDEX($F$5:$F$204,MATCH($N201,$A$5:$A$204,0)),""))))</f>
        <v/>
      </c>
      <c r="U201" s="27" t="str">
        <f aca="false">IF($A201="","",SUMIFS(MVT_NET,MVT_LOT,$A201))</f>
        <v/>
      </c>
      <c r="V201" s="28" t="str">
        <f aca="false">IF($A201="","",COUNTIFS(MVT_LOT,$A201,MVT_BRUT,"&lt;&gt;0"))</f>
        <v/>
      </c>
      <c r="W201" s="28" t="str">
        <f aca="false">IF($A201="","",COUNTIFS(QC_LOT,$A201))</f>
        <v/>
      </c>
      <c r="X201" s="26" t="str">
        <f aca="false">IF($A201="","",IFERROR(INDEX(QC_DEC,MATCH($A201,QC_CLEDER,0)),""))</f>
        <v/>
      </c>
      <c r="Y201" s="26" t="str">
        <f aca="false">IF($A201="","",IF(COUNTIF($A$5:$A$204,$A201)&gt;1,IF(SUMPRODUCT(($A$5:$A$204=$A201)*(($C$5:$C$204&lt;&gt;$C201)+($D$5:$D$204&lt;&gt;$D201)))&gt;0,"INCOHERENCE","LOT EN DOUBLE"),"OK"))</f>
        <v/>
      </c>
      <c r="Z201" s="28" t="n">
        <f aca="false">IF($A201="",0,IF(AND($O201&lt;&gt;"",$A201&lt;&gt;R_LOT,$O201=IFERROR(INDEX(LOT_EXTE,MATCH(R_LOT,LOT_KEY,0)),"#")),1,0))</f>
        <v>0</v>
      </c>
      <c r="AA201" s="26" t="str">
        <f aca="false">IF($Z201=0,"",COUNTIF($Z$5:$Z201,1))</f>
        <v/>
      </c>
    </row>
    <row r="202" customFormat="false" ht="15" hidden="false" customHeight="false" outlineLevel="0" collapsed="false">
      <c r="A202" s="24"/>
      <c r="B202" s="24"/>
      <c r="C202" s="24"/>
      <c r="D202" s="24"/>
      <c r="E202" s="24"/>
      <c r="F202" s="24"/>
      <c r="G202" s="24"/>
      <c r="H202" s="24"/>
      <c r="I202" s="24"/>
      <c r="J202" s="24"/>
      <c r="K202" s="25"/>
      <c r="L202" s="24"/>
      <c r="M202" s="24"/>
      <c r="N202" s="26" t="str">
        <f aca="false">IF($A202="","",IF($L202&lt;&gt;"",$L202,IF(IFERROR(INDEX(RES_LOTSRC,MATCH($A202,RES_LOTEFF,0)),"")=$A202,"",IFERROR(INDEX(RES_LOTSRC,MATCH($A202,RES_LOTEFF,0)),""))))</f>
        <v/>
      </c>
      <c r="O202" s="26" t="str">
        <f aca="false">IF($A202="","",IF($B202&lt;&gt;"",$B202,IF($N202="","",IFERROR(INDEX($B$5:$B$204,MATCH($N202,$A$5:$A$204,0)),""))))</f>
        <v/>
      </c>
      <c r="P202" s="26" t="str">
        <f aca="false">IF($A202="","",IF($C202&lt;&gt;"",$C202,IF($N202="","",IFERROR(INDEX($C$5:$C$204,MATCH($N202,$A$5:$A$204,0)),""))))</f>
        <v/>
      </c>
      <c r="Q202" s="26" t="str">
        <f aca="false">IF($A202="","",IF($D202&lt;&gt;"",$D202,IF($N202="","",IFERROR(INDEX($D$5:$D$204,MATCH($N202,$A$5:$A$204,0)),""))))</f>
        <v/>
      </c>
      <c r="R202" s="26" t="str">
        <f aca="false">IF($A202="","",IF($E202&lt;&gt;"",$E202,IF($N202="","",IFERROR(INDEX($E$5:$E$204,MATCH($N202,$A$5:$A$204,0)),""))))</f>
        <v/>
      </c>
      <c r="S202" s="26" t="str">
        <f aca="false">IF($A202="","",IF($H202&lt;&gt;"",$H202,IF($N202="","",IFERROR(INDEX($H$5:$H$204,MATCH($N202,$A$5:$A$204,0)),""))))</f>
        <v/>
      </c>
      <c r="T202" s="26" t="str">
        <f aca="false">IF($A202="","",IF($F202&lt;&gt;"",$F202,IF($N202="","",IFERROR(INDEX($F$5:$F$204,MATCH($N202,$A$5:$A$204,0)),""))))</f>
        <v/>
      </c>
      <c r="U202" s="27" t="str">
        <f aca="false">IF($A202="","",SUMIFS(MVT_NET,MVT_LOT,$A202))</f>
        <v/>
      </c>
      <c r="V202" s="28" t="str">
        <f aca="false">IF($A202="","",COUNTIFS(MVT_LOT,$A202,MVT_BRUT,"&lt;&gt;0"))</f>
        <v/>
      </c>
      <c r="W202" s="28" t="str">
        <f aca="false">IF($A202="","",COUNTIFS(QC_LOT,$A202))</f>
        <v/>
      </c>
      <c r="X202" s="26" t="str">
        <f aca="false">IF($A202="","",IFERROR(INDEX(QC_DEC,MATCH($A202,QC_CLEDER,0)),""))</f>
        <v/>
      </c>
      <c r="Y202" s="26" t="str">
        <f aca="false">IF($A202="","",IF(COUNTIF($A$5:$A$204,$A202)&gt;1,IF(SUMPRODUCT(($A$5:$A$204=$A202)*(($C$5:$C$204&lt;&gt;$C202)+($D$5:$D$204&lt;&gt;$D202)))&gt;0,"INCOHERENCE","LOT EN DOUBLE"),"OK"))</f>
        <v/>
      </c>
      <c r="Z202" s="28" t="n">
        <f aca="false">IF($A202="",0,IF(AND($O202&lt;&gt;"",$A202&lt;&gt;R_LOT,$O202=IFERROR(INDEX(LOT_EXTE,MATCH(R_LOT,LOT_KEY,0)),"#")),1,0))</f>
        <v>0</v>
      </c>
      <c r="AA202" s="26" t="str">
        <f aca="false">IF($Z202=0,"",COUNTIF($Z$5:$Z202,1))</f>
        <v/>
      </c>
    </row>
    <row r="203" customFormat="false" ht="15" hidden="false" customHeight="false" outlineLevel="0" collapsed="false">
      <c r="A203" s="24"/>
      <c r="B203" s="24"/>
      <c r="C203" s="24"/>
      <c r="D203" s="24"/>
      <c r="E203" s="24"/>
      <c r="F203" s="24"/>
      <c r="G203" s="24"/>
      <c r="H203" s="24"/>
      <c r="I203" s="24"/>
      <c r="J203" s="24"/>
      <c r="K203" s="25"/>
      <c r="L203" s="24"/>
      <c r="M203" s="24"/>
      <c r="N203" s="26" t="str">
        <f aca="false">IF($A203="","",IF($L203&lt;&gt;"",$L203,IF(IFERROR(INDEX(RES_LOTSRC,MATCH($A203,RES_LOTEFF,0)),"")=$A203,"",IFERROR(INDEX(RES_LOTSRC,MATCH($A203,RES_LOTEFF,0)),""))))</f>
        <v/>
      </c>
      <c r="O203" s="26" t="str">
        <f aca="false">IF($A203="","",IF($B203&lt;&gt;"",$B203,IF($N203="","",IFERROR(INDEX($B$5:$B$204,MATCH($N203,$A$5:$A$204,0)),""))))</f>
        <v/>
      </c>
      <c r="P203" s="26" t="str">
        <f aca="false">IF($A203="","",IF($C203&lt;&gt;"",$C203,IF($N203="","",IFERROR(INDEX($C$5:$C$204,MATCH($N203,$A$5:$A$204,0)),""))))</f>
        <v/>
      </c>
      <c r="Q203" s="26" t="str">
        <f aca="false">IF($A203="","",IF($D203&lt;&gt;"",$D203,IF($N203="","",IFERROR(INDEX($D$5:$D$204,MATCH($N203,$A$5:$A$204,0)),""))))</f>
        <v/>
      </c>
      <c r="R203" s="26" t="str">
        <f aca="false">IF($A203="","",IF($E203&lt;&gt;"",$E203,IF($N203="","",IFERROR(INDEX($E$5:$E$204,MATCH($N203,$A$5:$A$204,0)),""))))</f>
        <v/>
      </c>
      <c r="S203" s="26" t="str">
        <f aca="false">IF($A203="","",IF($H203&lt;&gt;"",$H203,IF($N203="","",IFERROR(INDEX($H$5:$H$204,MATCH($N203,$A$5:$A$204,0)),""))))</f>
        <v/>
      </c>
      <c r="T203" s="26" t="str">
        <f aca="false">IF($A203="","",IF($F203&lt;&gt;"",$F203,IF($N203="","",IFERROR(INDEX($F$5:$F$204,MATCH($N203,$A$5:$A$204,0)),""))))</f>
        <v/>
      </c>
      <c r="U203" s="27" t="str">
        <f aca="false">IF($A203="","",SUMIFS(MVT_NET,MVT_LOT,$A203))</f>
        <v/>
      </c>
      <c r="V203" s="28" t="str">
        <f aca="false">IF($A203="","",COUNTIFS(MVT_LOT,$A203,MVT_BRUT,"&lt;&gt;0"))</f>
        <v/>
      </c>
      <c r="W203" s="28" t="str">
        <f aca="false">IF($A203="","",COUNTIFS(QC_LOT,$A203))</f>
        <v/>
      </c>
      <c r="X203" s="26" t="str">
        <f aca="false">IF($A203="","",IFERROR(INDEX(QC_DEC,MATCH($A203,QC_CLEDER,0)),""))</f>
        <v/>
      </c>
      <c r="Y203" s="26" t="str">
        <f aca="false">IF($A203="","",IF(COUNTIF($A$5:$A$204,$A203)&gt;1,IF(SUMPRODUCT(($A$5:$A$204=$A203)*(($C$5:$C$204&lt;&gt;$C203)+($D$5:$D$204&lt;&gt;$D203)))&gt;0,"INCOHERENCE","LOT EN DOUBLE"),"OK"))</f>
        <v/>
      </c>
      <c r="Z203" s="28" t="n">
        <f aca="false">IF($A203="",0,IF(AND($O203&lt;&gt;"",$A203&lt;&gt;R_LOT,$O203=IFERROR(INDEX(LOT_EXTE,MATCH(R_LOT,LOT_KEY,0)),"#")),1,0))</f>
        <v>0</v>
      </c>
      <c r="AA203" s="26" t="str">
        <f aca="false">IF($Z203=0,"",COUNTIF($Z$5:$Z203,1))</f>
        <v/>
      </c>
    </row>
    <row r="204" customFormat="false" ht="15" hidden="false" customHeight="false" outlineLevel="0" collapsed="false">
      <c r="A204" s="24"/>
      <c r="B204" s="24"/>
      <c r="C204" s="24"/>
      <c r="D204" s="24"/>
      <c r="E204" s="24"/>
      <c r="F204" s="24"/>
      <c r="G204" s="24"/>
      <c r="H204" s="24"/>
      <c r="I204" s="24"/>
      <c r="J204" s="24"/>
      <c r="K204" s="25"/>
      <c r="L204" s="24"/>
      <c r="M204" s="24"/>
      <c r="N204" s="26" t="str">
        <f aca="false">IF($A204="","",IF($L204&lt;&gt;"",$L204,IF(IFERROR(INDEX(RES_LOTSRC,MATCH($A204,RES_LOTEFF,0)),"")=$A204,"",IFERROR(INDEX(RES_LOTSRC,MATCH($A204,RES_LOTEFF,0)),""))))</f>
        <v/>
      </c>
      <c r="O204" s="26" t="str">
        <f aca="false">IF($A204="","",IF($B204&lt;&gt;"",$B204,IF($N204="","",IFERROR(INDEX($B$5:$B$204,MATCH($N204,$A$5:$A$204,0)),""))))</f>
        <v/>
      </c>
      <c r="P204" s="26" t="str">
        <f aca="false">IF($A204="","",IF($C204&lt;&gt;"",$C204,IF($N204="","",IFERROR(INDEX($C$5:$C$204,MATCH($N204,$A$5:$A$204,0)),""))))</f>
        <v/>
      </c>
      <c r="Q204" s="26" t="str">
        <f aca="false">IF($A204="","",IF($D204&lt;&gt;"",$D204,IF($N204="","",IFERROR(INDEX($D$5:$D$204,MATCH($N204,$A$5:$A$204,0)),""))))</f>
        <v/>
      </c>
      <c r="R204" s="26" t="str">
        <f aca="false">IF($A204="","",IF($E204&lt;&gt;"",$E204,IF($N204="","",IFERROR(INDEX($E$5:$E$204,MATCH($N204,$A$5:$A$204,0)),""))))</f>
        <v/>
      </c>
      <c r="S204" s="26" t="str">
        <f aca="false">IF($A204="","",IF($H204&lt;&gt;"",$H204,IF($N204="","",IFERROR(INDEX($H$5:$H$204,MATCH($N204,$A$5:$A$204,0)),""))))</f>
        <v/>
      </c>
      <c r="T204" s="26" t="str">
        <f aca="false">IF($A204="","",IF($F204&lt;&gt;"",$F204,IF($N204="","",IFERROR(INDEX($F$5:$F$204,MATCH($N204,$A$5:$A$204,0)),""))))</f>
        <v/>
      </c>
      <c r="U204" s="27" t="str">
        <f aca="false">IF($A204="","",SUMIFS(MVT_NET,MVT_LOT,$A204))</f>
        <v/>
      </c>
      <c r="V204" s="28" t="str">
        <f aca="false">IF($A204="","",COUNTIFS(MVT_LOT,$A204,MVT_BRUT,"&lt;&gt;0"))</f>
        <v/>
      </c>
      <c r="W204" s="28" t="str">
        <f aca="false">IF($A204="","",COUNTIFS(QC_LOT,$A204))</f>
        <v/>
      </c>
      <c r="X204" s="26" t="str">
        <f aca="false">IF($A204="","",IFERROR(INDEX(QC_DEC,MATCH($A204,QC_CLEDER,0)),""))</f>
        <v/>
      </c>
      <c r="Y204" s="26" t="str">
        <f aca="false">IF($A204="","",IF(COUNTIF($A$5:$A$204,$A204)&gt;1,IF(SUMPRODUCT(($A$5:$A$204=$A204)*(($C$5:$C$204&lt;&gt;$C204)+($D$5:$D$204&lt;&gt;$D204)))&gt;0,"INCOHERENCE","LOT EN DOUBLE"),"OK"))</f>
        <v/>
      </c>
      <c r="Z204" s="28" t="n">
        <f aca="false">IF($A204="",0,IF(AND($O204&lt;&gt;"",$A204&lt;&gt;R_LOT,$O204=IFERROR(INDEX(LOT_EXTE,MATCH(R_LOT,LOT_KEY,0)),"#")),1,0))</f>
        <v>0</v>
      </c>
      <c r="AA204" s="26" t="str">
        <f aca="false">IF($Z204=0,"",COUNTIF($Z$5:$Z204,1))</f>
        <v/>
      </c>
    </row>
  </sheetData>
  <autoFilter ref="A4:U204"/>
  <mergeCells count="3">
    <mergeCell ref="A1:AA1"/>
    <mergeCell ref="A2:AA2"/>
    <mergeCell ref="A3:AA3"/>
  </mergeCells>
  <conditionalFormatting sqref="Y5:Y20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conditionalFormatting sqref="X5:X204">
    <cfRule type="cellIs" priority="11" operator="equal" aboveAverage="0" equalAverage="0" bottom="0" percent="0" rank="0" text="" dxfId="9">
      <formula>"OK"</formula>
    </cfRule>
    <cfRule type="cellIs" priority="12" operator="equal" aboveAverage="0" equalAverage="0" bottom="0" percent="0" rank="0" text="" dxfId="10">
      <formula>"EN COURS"</formula>
    </cfRule>
    <cfRule type="cellIs" priority="13" operator="equal" aboveAverage="0" equalAverage="0" bottom="0" percent="0" rank="0" text="" dxfId="11">
      <formula>"A JUSTIFIER"</formula>
    </cfRule>
    <cfRule type="cellIs" priority="14" operator="equal" aboveAverage="0" equalAverage="0" bottom="0" percent="0" rank="0" text="" dxfId="12">
      <formula>"DONNEES MANQUANTES"</formula>
    </cfRule>
    <cfRule type="cellIs" priority="15" operator="equal" aboveAverage="0" equalAverage="0" bottom="0" percent="0" rank="0" text="" dxfId="13">
      <formula>"STOCK INSUFFISANT"</formula>
    </cfRule>
    <cfRule type="cellIs" priority="16" operator="equal" aboveAverage="0" equalAverage="0" bottom="0" percent="0" rank="0" text="" dxfId="13">
      <formula>"EMPLACEMENT INCOHERENT"</formula>
    </cfRule>
    <cfRule type="cellIs" priority="17" operator="equal" aboveAverage="0" equalAverage="0" bottom="0" percent="0" rank="0" text="" dxfId="13">
      <formula>"BLOQUE"</formula>
    </cfRule>
    <cfRule type="cellIs" priority="18" operator="equal" aboveAverage="0" equalAverage="0" bottom="0" percent="0" rank="0" text="" dxfId="13">
      <formula>"INCOHERENCE"</formula>
    </cfRule>
    <cfRule type="cellIs" priority="19" operator="equal" aboveAverage="0" equalAverage="0" bottom="0" percent="0" rank="0" text="" dxfId="11">
      <formula>"LOT EN DOUBLE"</formula>
    </cfRule>
  </conditionalFormatting>
  <conditionalFormatting sqref="A5:B204">
    <cfRule type="expression" priority="20" aboveAverage="0" equalAverage="0" bottom="0" percent="0" rank="0" text="" dxfId="14">
      <formula>AND($A5&lt;&gt;"",$Y5&lt;&gt;"OK")</formula>
    </cfRule>
  </conditionalFormatting>
  <dataValidations count="8">
    <dataValidation allowBlank="true" errorStyle="stop" operator="between" showDropDown="false" showErrorMessage="false" showInputMessage="false" sqref="C5:C204" type="list">
      <formula1>L_PRODUIT</formula1>
      <formula2>0</formula2>
    </dataValidation>
    <dataValidation allowBlank="true" errorStyle="stop" operator="between" showDropDown="false" showErrorMessage="false" showInputMessage="false" sqref="D5:D204" type="list">
      <formula1>L_FOURN</formula1>
      <formula2>0</formula2>
    </dataValidation>
    <dataValidation allowBlank="true" errorStyle="stop" operator="between" showDropDown="false" showErrorMessage="false" showInputMessage="false" sqref="E5:E204" type="list">
      <formula1>L_ORIGINE</formula1>
      <formula2>0</formula2>
    </dataValidation>
    <dataValidation allowBlank="true" errorStyle="stop" operator="between" showDropDown="false" showErrorMessage="false" showInputMessage="false" sqref="G5:G204" type="list">
      <formula1>L_ETAT</formula1>
      <formula2>0</formula2>
    </dataValidation>
    <dataValidation allowBlank="true" errorStyle="stop" operator="between" showDropDown="false" showErrorMessage="false" showInputMessage="false" sqref="H5:H204" type="list">
      <formula1>L_CONSERV</formula1>
      <formula2>0</formula2>
    </dataValidation>
    <dataValidation allowBlank="true" errorStyle="stop" operator="between" showDropDown="false" showErrorMessage="false" showInputMessage="false" sqref="I5:I204" type="list">
      <formula1>L_QUALITE</formula1>
      <formula2>0</formula2>
    </dataValidation>
    <dataValidation allowBlank="true" errorStyle="stop" operator="between" showDropDown="false" showErrorMessage="false" showInputMessage="false" sqref="J5:J204" type="list">
      <formula1>L_MOULE</formula1>
      <formula2>0</formula2>
    </dataValidation>
    <dataValidation allowBlank="true" errorStyle="stop" operator="between" showDropDown="false" showErrorMessage="false" showInputMessage="false" sqref="L5:L204" type="list">
      <formula1>L_LOTS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S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5"/>
    <col collapsed="false" customWidth="true" hidden="false" outlineLevel="0" max="4" min="4" style="0" width="14"/>
    <col collapsed="false" customWidth="true" hidden="false" outlineLevel="0" max="5" min="5" style="0" width="16"/>
    <col collapsed="false" customWidth="true" hidden="false" outlineLevel="0" max="6" min="6" style="0" width="17"/>
    <col collapsed="false" customWidth="true" hidden="false" outlineLevel="0" max="7" min="7" style="0" width="13"/>
    <col collapsed="false" customWidth="true" hidden="false" outlineLevel="0" max="9" min="8" style="0" width="24"/>
    <col collapsed="false" customWidth="true" hidden="false" outlineLevel="0" max="10" min="10" style="0" width="13"/>
    <col collapsed="false" customWidth="true" hidden="false" outlineLevel="0" max="11" min="11" style="0" width="14"/>
    <col collapsed="false" customWidth="true" hidden="false" outlineLevel="0" max="12" min="12" style="0" width="22"/>
    <col collapsed="false" customWidth="true" hidden="false" outlineLevel="0" max="14" min="13" style="0" width="12"/>
    <col collapsed="false" customWidth="true" hidden="false" outlineLevel="0" max="15" min="15" style="0" width="8"/>
    <col collapsed="false" customWidth="true" hidden="false" outlineLevel="0" max="16" min="16" style="0" width="15"/>
    <col collapsed="false" customWidth="true" hidden="false" outlineLevel="0" max="17" min="17" style="0" width="21"/>
    <col collapsed="false" customWidth="true" hidden="false" outlineLevel="0" max="18" min="18" style="0" width="10"/>
    <col collapsed="false" customWidth="true" hidden="false" outlineLevel="0" max="19" min="19" style="0" width="46"/>
  </cols>
  <sheetData>
    <row r="1" customFormat="false" ht="30" hidden="false" customHeight="true" outlineLevel="0" collapsed="false">
      <c r="A1" s="1" t="s">
        <v>132</v>
      </c>
      <c r="B1" s="1"/>
      <c r="C1" s="1"/>
      <c r="D1" s="1"/>
      <c r="E1" s="1"/>
      <c r="F1" s="1"/>
      <c r="G1" s="1"/>
      <c r="H1" s="1"/>
      <c r="I1" s="1"/>
      <c r="J1" s="1"/>
      <c r="K1" s="1"/>
      <c r="L1" s="1"/>
      <c r="M1" s="1"/>
      <c r="N1" s="1"/>
      <c r="O1" s="1"/>
      <c r="P1" s="1"/>
      <c r="Q1" s="1"/>
      <c r="R1" s="1"/>
      <c r="S1" s="1"/>
    </row>
    <row r="2" customFormat="false" ht="18" hidden="false" customHeight="true" outlineLevel="0" collapsed="false">
      <c r="A2" s="2" t="s">
        <v>133</v>
      </c>
      <c r="B2" s="2"/>
      <c r="C2" s="2"/>
      <c r="D2" s="2"/>
      <c r="E2" s="2"/>
      <c r="F2" s="2"/>
      <c r="G2" s="2"/>
      <c r="H2" s="2"/>
      <c r="I2" s="2"/>
      <c r="J2" s="2"/>
      <c r="K2" s="2"/>
      <c r="L2" s="2"/>
      <c r="M2" s="2"/>
      <c r="N2" s="2"/>
      <c r="O2" s="2"/>
      <c r="P2" s="2"/>
      <c r="Q2" s="2"/>
      <c r="R2" s="2"/>
      <c r="S2" s="2"/>
    </row>
    <row r="3" customFormat="false" ht="19.5" hidden="false" customHeight="true" outlineLevel="0" collapsed="false">
      <c r="A3" s="3" t="s">
        <v>134</v>
      </c>
      <c r="B3" s="3"/>
      <c r="C3" s="3"/>
      <c r="D3" s="3"/>
      <c r="E3" s="3"/>
      <c r="F3" s="3"/>
      <c r="G3" s="3"/>
      <c r="H3" s="3"/>
      <c r="I3" s="3"/>
      <c r="J3" s="3"/>
      <c r="K3" s="3"/>
      <c r="L3" s="3"/>
      <c r="M3" s="3"/>
      <c r="N3" s="3"/>
      <c r="O3" s="3"/>
      <c r="P3" s="3"/>
      <c r="Q3" s="3"/>
      <c r="R3" s="3"/>
      <c r="S3" s="3"/>
    </row>
    <row r="4" customFormat="false" ht="30" hidden="false" customHeight="true" outlineLevel="0" collapsed="false">
      <c r="A4" s="23" t="s">
        <v>135</v>
      </c>
      <c r="B4" s="22" t="s">
        <v>136</v>
      </c>
      <c r="C4" s="22" t="s">
        <v>137</v>
      </c>
      <c r="D4" s="22" t="s">
        <v>51</v>
      </c>
      <c r="E4" s="22" t="s">
        <v>138</v>
      </c>
      <c r="F4" s="22" t="s">
        <v>139</v>
      </c>
      <c r="G4" s="22" t="s">
        <v>140</v>
      </c>
      <c r="H4" s="22" t="s">
        <v>141</v>
      </c>
      <c r="I4" s="22" t="s">
        <v>63</v>
      </c>
      <c r="J4" s="23" t="s">
        <v>52</v>
      </c>
      <c r="K4" s="23" t="s">
        <v>53</v>
      </c>
      <c r="L4" s="23" t="s">
        <v>142</v>
      </c>
      <c r="M4" s="23" t="s">
        <v>143</v>
      </c>
      <c r="N4" s="23" t="s">
        <v>144</v>
      </c>
      <c r="O4" s="23" t="s">
        <v>145</v>
      </c>
      <c r="P4" s="23" t="s">
        <v>146</v>
      </c>
      <c r="Q4" s="23" t="s">
        <v>147</v>
      </c>
      <c r="R4" s="23" t="s">
        <v>148</v>
      </c>
      <c r="S4" s="23" t="s">
        <v>149</v>
      </c>
    </row>
    <row r="5" customFormat="false" ht="15" hidden="false" customHeight="false" outlineLevel="0" collapsed="false">
      <c r="A5" s="26" t="str">
        <f aca="false">IF($C5="","","OP-"&amp;TEXT(ROW()-4,"000"))</f>
        <v>OP-001</v>
      </c>
      <c r="B5" s="25" t="n">
        <v>46237</v>
      </c>
      <c r="C5" s="24" t="s">
        <v>150</v>
      </c>
      <c r="D5" s="24" t="s">
        <v>78</v>
      </c>
      <c r="E5" s="24"/>
      <c r="F5" s="24" t="s">
        <v>151</v>
      </c>
      <c r="G5" s="29" t="n">
        <v>1000</v>
      </c>
      <c r="H5" s="24" t="s">
        <v>152</v>
      </c>
      <c r="I5" s="24" t="s">
        <v>153</v>
      </c>
      <c r="J5" s="26" t="str">
        <f aca="false">IF($D5="","",IFERROR(INDEX(LOT_EXTE,MATCH($D5,LOT_KEY,0)),""))</f>
        <v>L-EXT-255</v>
      </c>
      <c r="K5" s="26" t="str">
        <f aca="false">IF($D5="","",IFERROR(INDEX(LOT_PRODE,MATCH($D5,LOT_KEY,0)),"LOT NON REFERENCE"))</f>
        <v>Sardine</v>
      </c>
      <c r="L5" s="26" t="str">
        <f aca="false">IF($D5="","",IFERROR(INDEX(LOT_FOURNE,MATCH($D5,LOT_KEY,0)),""))</f>
        <v>Fournisseur local</v>
      </c>
      <c r="M5" s="26" t="str">
        <f aca="false">IF($E5="","",IFERROR(INDEX(EMPL_CLASSE,MATCH($E5,EMPL_KEY,0)),"?"))</f>
        <v/>
      </c>
      <c r="N5" s="26" t="str">
        <f aca="false">IF($F5="","",IFERROR(INDEX(EMPL_CLASSE,MATCH($F5,EMPL_KEY,0)),"?"))</f>
        <v>INTERNE</v>
      </c>
      <c r="O5" s="28" t="n">
        <f aca="false">IF($C5="",0,IF(OR($B5="",$D5=""),0,IF($C5="AJUSTEMENT",IF(OR(NOT(ISNUMBER($G5)),$G5=0,$F5="",$H5=""),0,1),IF(OR(NOT(ISNUMBER($G5)),$G5&lt;=0),0,IF($C5="RECEPTION",IF($F5="",0,1),IF($C5="CONSOMMATION",IF($E5="",0,1),IF(OR($E5="",$F5="",$E5=$F5),0,1)))))))</f>
        <v>1</v>
      </c>
      <c r="P5" s="27" t="str">
        <f aca="false">IF(OR($O5=0,$C5="RECEPTION"),"",IF($C5="AJUSTEMENT",IF($G5&gt;0,"",SUMIFS(MVT_BRUT,MVT_LOT,$D5,MVT_EMPL,$F5)-$G5),SUMIFS(MVT_BRUT,MVT_LOT,$D5,MVT_EMPL,$E5)+$G5))</f>
        <v/>
      </c>
      <c r="Q5" s="26" t="str">
        <f aca="false">IF($C5="","",IF($O5=0,"DONNEES MANQUANTES",IF($C5="RECEPTION","OK",IF(AND($C5="AJUSTEMENT",$G5&gt;0),"OK",IF($P5&lt;=0,"EMPLACEMENT INCOHERENT",IF(ABS($G5)&gt;$P5+0.001,"STOCK INSUFFISANT","OK"))))))</f>
        <v>OK</v>
      </c>
      <c r="R5" s="28" t="n">
        <f aca="false">IF($Q5="OK",1,0)</f>
        <v>1</v>
      </c>
      <c r="S5" s="26" t="str">
        <f aca="false">IF($C5="","",IF($O5=0,"A COMPLETER : "&amp;IF($B5="","DATE; ","")&amp;IF($D5="","LOT INTERNE; ","")&amp;IF(NOT(ISNUMBER($G5)),"QUANTITE; ",IF(AND($C5="AJUSTEMENT",$G5=0),"QUANTITE &lt;&gt; 0; ",IF(AND($C5&lt;&gt;"AJUSTEMENT",$G5&lt;=0),"QUANTITE &gt; 0; ","")))&amp;IF(AND($C5="AJUSTEMENT",$H5=""),"MOTIF; ","")&amp;IF(AND(OR($C5="TRANSFERT",$C5="CONSOMMATION"),$E5=""),"EMPL. SOURCE; ","")&amp;IF(AND($C5&lt;&gt;"CONSOMMATION",$F5=""),"EMPL. DESTINATION; ","")&amp;IF(AND($C5="TRANSFERT",$E5&lt;&gt;"",$E5=$F5),"SOURCE = DESTINATION; ",""),IF($Q5="EMPLACEMENT INCOHERENT","Le lot "&amp;$D5&amp;" n'existe pas sur cet emplacement (stock 0). Verifier l'emplacement.",IF($Q5="STOCK INSUFFISANT","Disponible avant operation : "&amp;TEXT($P5,"#,##0.00")&amp;" kg. Ligne NON comptee en stock.",IF(COUNTIFS($B$5:$B$304,$B5,$C$5:$C$304,$C5,$D$5:$D$304,$D5,$G$5:$G$304,$G5)&gt;1,"Doublon possible (meme date, type, lot et quantite).",IF($K5="LOT NON REFERENCE","Creer d'abord la fiche du lot dans l'onglet LOTS.",""))))))</f>
        <v/>
      </c>
    </row>
    <row r="6" customFormat="false" ht="15" hidden="false" customHeight="false" outlineLevel="0" collapsed="false">
      <c r="A6" s="26" t="str">
        <f aca="false">IF($C6="","","OP-"&amp;TEXT(ROW()-4,"000"))</f>
        <v>OP-002</v>
      </c>
      <c r="B6" s="25" t="n">
        <v>46238</v>
      </c>
      <c r="C6" s="24" t="s">
        <v>150</v>
      </c>
      <c r="D6" s="24" t="s">
        <v>89</v>
      </c>
      <c r="E6" s="24"/>
      <c r="F6" s="24" t="s">
        <v>154</v>
      </c>
      <c r="G6" s="29" t="n">
        <v>2000</v>
      </c>
      <c r="H6" s="24" t="s">
        <v>155</v>
      </c>
      <c r="I6" s="24" t="s">
        <v>156</v>
      </c>
      <c r="J6" s="26" t="str">
        <f aca="false">IF($D6="","",IFERROR(INDEX(LOT_EXTE,MATCH($D6,LOT_KEY,0)),""))</f>
        <v>L-EXT-256</v>
      </c>
      <c r="K6" s="26" t="str">
        <f aca="false">IF($D6="","",IFERROR(INDEX(LOT_PRODE,MATCH($D6,LOT_KEY,0)),"LOT NON REFERENCE"))</f>
        <v>Maquereau</v>
      </c>
      <c r="L6" s="26" t="str">
        <f aca="false">IF($D6="","",IFERROR(INDEX(LOT_FOURNE,MATCH($D6,LOT_KEY,0)),""))</f>
        <v>Producteur Boujdour</v>
      </c>
      <c r="M6" s="26" t="str">
        <f aca="false">IF($E6="","",IFERROR(INDEX(EMPL_CLASSE,MATCH($E6,EMPL_KEY,0)),"?"))</f>
        <v/>
      </c>
      <c r="N6" s="26" t="str">
        <f aca="false">IF($F6="","",IFERROR(INDEX(EMPL_CLASSE,MATCH($F6,EMPL_KEY,0)),"?"))</f>
        <v>EXTERNE</v>
      </c>
      <c r="O6" s="28" t="n">
        <f aca="false">IF($C6="",0,IF(OR($B6="",$D6=""),0,IF($C6="AJUSTEMENT",IF(OR(NOT(ISNUMBER($G6)),$G6=0,$F6="",$H6=""),0,1),IF(OR(NOT(ISNUMBER($G6)),$G6&lt;=0),0,IF($C6="RECEPTION",IF($F6="",0,1),IF($C6="CONSOMMATION",IF($E6="",0,1),IF(OR($E6="",$F6="",$E6=$F6),0,1)))))))</f>
        <v>1</v>
      </c>
      <c r="P6" s="27" t="str">
        <f aca="false">IF(OR($O6=0,$C6="RECEPTION"),"",IF($C6="AJUSTEMENT",IF($G6&gt;0,"",SUMIFS(MVT_BRUT,MVT_LOT,$D6,MVT_EMPL,$F6)-$G6),SUMIFS(MVT_BRUT,MVT_LOT,$D6,MVT_EMPL,$E6)+$G6))</f>
        <v/>
      </c>
      <c r="Q6" s="26" t="str">
        <f aca="false">IF($C6="","",IF($O6=0,"DONNEES MANQUANTES",IF($C6="RECEPTION","OK",IF(AND($C6="AJUSTEMENT",$G6&gt;0),"OK",IF($P6&lt;=0,"EMPLACEMENT INCOHERENT",IF(ABS($G6)&gt;$P6+0.001,"STOCK INSUFFISANT","OK"))))))</f>
        <v>OK</v>
      </c>
      <c r="R6" s="28" t="n">
        <f aca="false">IF($Q6="OK",1,0)</f>
        <v>1</v>
      </c>
      <c r="S6" s="26" t="str">
        <f aca="false">IF($C6="","",IF($O6=0,"A COMPLETER : "&amp;IF($B6="","DATE; ","")&amp;IF($D6="","LOT INTERNE; ","")&amp;IF(NOT(ISNUMBER($G6)),"QUANTITE; ",IF(AND($C6="AJUSTEMENT",$G6=0),"QUANTITE &lt;&gt; 0; ",IF(AND($C6&lt;&gt;"AJUSTEMENT",$G6&lt;=0),"QUANTITE &gt; 0; ","")))&amp;IF(AND($C6="AJUSTEMENT",$H6=""),"MOTIF; ","")&amp;IF(AND(OR($C6="TRANSFERT",$C6="CONSOMMATION"),$E6=""),"EMPL. SOURCE; ","")&amp;IF(AND($C6&lt;&gt;"CONSOMMATION",$F6=""),"EMPL. DESTINATION; ","")&amp;IF(AND($C6="TRANSFERT",$E6&lt;&gt;"",$E6=$F6),"SOURCE = DESTINATION; ",""),IF($Q6="EMPLACEMENT INCOHERENT","Le lot "&amp;$D6&amp;" n'existe pas sur cet emplacement (stock 0). Verifier l'emplacement.",IF($Q6="STOCK INSUFFISANT","Disponible avant operation : "&amp;TEXT($P6,"#,##0.00")&amp;" kg. Ligne NON comptee en stock.",IF(COUNTIFS($B$5:$B$304,$B6,$C$5:$C$304,$C6,$D$5:$D$304,$D6,$G$5:$G$304,$G6)&gt;1,"Doublon possible (meme date, type, lot et quantite).",IF($K6="LOT NON REFERENCE","Creer d'abord la fiche du lot dans l'onglet LOTS.",""))))))</f>
        <v/>
      </c>
    </row>
    <row r="7" customFormat="false" ht="15" hidden="false" customHeight="false" outlineLevel="0" collapsed="false">
      <c r="A7" s="26" t="str">
        <f aca="false">IF($C7="","","OP-"&amp;TEXT(ROW()-4,"000"))</f>
        <v>OP-003</v>
      </c>
      <c r="B7" s="25" t="n">
        <v>46239</v>
      </c>
      <c r="C7" s="24" t="s">
        <v>150</v>
      </c>
      <c r="D7" s="24" t="s">
        <v>98</v>
      </c>
      <c r="E7" s="24"/>
      <c r="F7" s="24" t="s">
        <v>151</v>
      </c>
      <c r="G7" s="29" t="n">
        <v>800</v>
      </c>
      <c r="H7" s="24" t="s">
        <v>152</v>
      </c>
      <c r="I7" s="24"/>
      <c r="J7" s="26" t="str">
        <f aca="false">IF($D7="","",IFERROR(INDEX(LOT_EXTE,MATCH($D7,LOT_KEY,0)),""))</f>
        <v>L-EXT-255</v>
      </c>
      <c r="K7" s="26" t="str">
        <f aca="false">IF($D7="","",IFERROR(INDEX(LOT_PRODE,MATCH($D7,LOT_KEY,0)),"LOT NON REFERENCE"))</f>
        <v>Sardine</v>
      </c>
      <c r="L7" s="26" t="str">
        <f aca="false">IF($D7="","",IFERROR(INDEX(LOT_FOURNE,MATCH($D7,LOT_KEY,0)),""))</f>
        <v>Fournisseur local</v>
      </c>
      <c r="M7" s="26" t="str">
        <f aca="false">IF($E7="","",IFERROR(INDEX(EMPL_CLASSE,MATCH($E7,EMPL_KEY,0)),"?"))</f>
        <v/>
      </c>
      <c r="N7" s="26" t="str">
        <f aca="false">IF($F7="","",IFERROR(INDEX(EMPL_CLASSE,MATCH($F7,EMPL_KEY,0)),"?"))</f>
        <v>INTERNE</v>
      </c>
      <c r="O7" s="28" t="n">
        <f aca="false">IF($C7="",0,IF(OR($B7="",$D7=""),0,IF($C7="AJUSTEMENT",IF(OR(NOT(ISNUMBER($G7)),$G7=0,$F7="",$H7=""),0,1),IF(OR(NOT(ISNUMBER($G7)),$G7&lt;=0),0,IF($C7="RECEPTION",IF($F7="",0,1),IF($C7="CONSOMMATION",IF($E7="",0,1),IF(OR($E7="",$F7="",$E7=$F7),0,1)))))))</f>
        <v>1</v>
      </c>
      <c r="P7" s="27" t="str">
        <f aca="false">IF(OR($O7=0,$C7="RECEPTION"),"",IF($C7="AJUSTEMENT",IF($G7&gt;0,"",SUMIFS(MVT_BRUT,MVT_LOT,$D7,MVT_EMPL,$F7)-$G7),SUMIFS(MVT_BRUT,MVT_LOT,$D7,MVT_EMPL,$E7)+$G7))</f>
        <v/>
      </c>
      <c r="Q7" s="26" t="str">
        <f aca="false">IF($C7="","",IF($O7=0,"DONNEES MANQUANTES",IF($C7="RECEPTION","OK",IF(AND($C7="AJUSTEMENT",$G7&gt;0),"OK",IF($P7&lt;=0,"EMPLACEMENT INCOHERENT",IF(ABS($G7)&gt;$P7+0.001,"STOCK INSUFFISANT","OK"))))))</f>
        <v>OK</v>
      </c>
      <c r="R7" s="28" t="n">
        <f aca="false">IF($Q7="OK",1,0)</f>
        <v>1</v>
      </c>
      <c r="S7" s="26" t="str">
        <f aca="false">IF($C7="","",IF($O7=0,"A COMPLETER : "&amp;IF($B7="","DATE; ","")&amp;IF($D7="","LOT INTERNE; ","")&amp;IF(NOT(ISNUMBER($G7)),"QUANTITE; ",IF(AND($C7="AJUSTEMENT",$G7=0),"QUANTITE &lt;&gt; 0; ",IF(AND($C7&lt;&gt;"AJUSTEMENT",$G7&lt;=0),"QUANTITE &gt; 0; ","")))&amp;IF(AND($C7="AJUSTEMENT",$H7=""),"MOTIF; ","")&amp;IF(AND(OR($C7="TRANSFERT",$C7="CONSOMMATION"),$E7=""),"EMPL. SOURCE; ","")&amp;IF(AND($C7&lt;&gt;"CONSOMMATION",$F7=""),"EMPL. DESTINATION; ","")&amp;IF(AND($C7="TRANSFERT",$E7&lt;&gt;"",$E7=$F7),"SOURCE = DESTINATION; ",""),IF($Q7="EMPLACEMENT INCOHERENT","Le lot "&amp;$D7&amp;" n'existe pas sur cet emplacement (stock 0). Verifier l'emplacement.",IF($Q7="STOCK INSUFFISANT","Disponible avant operation : "&amp;TEXT($P7,"#,##0.00")&amp;" kg. Ligne NON comptee en stock.",IF(COUNTIFS($B$5:$B$304,$B7,$C$5:$C$304,$C7,$D$5:$D$304,$D7,$G$5:$G$304,$G7)&gt;1,"Doublon possible (meme date, type, lot et quantite).",IF($K7="LOT NON REFERENCE","Creer d'abord la fiche du lot dans l'onglet LOTS.",""))))))</f>
        <v/>
      </c>
    </row>
    <row r="8" customFormat="false" ht="15" hidden="false" customHeight="false" outlineLevel="0" collapsed="false">
      <c r="A8" s="26" t="str">
        <f aca="false">IF($C8="","","OP-"&amp;TEXT(ROW()-4,"000"))</f>
        <v>OP-004</v>
      </c>
      <c r="B8" s="25" t="n">
        <v>46240</v>
      </c>
      <c r="C8" s="24" t="s">
        <v>150</v>
      </c>
      <c r="D8" s="24" t="s">
        <v>102</v>
      </c>
      <c r="E8" s="24"/>
      <c r="F8" s="24" t="s">
        <v>151</v>
      </c>
      <c r="G8" s="29" t="n">
        <v>200</v>
      </c>
      <c r="H8" s="24" t="s">
        <v>152</v>
      </c>
      <c r="I8" s="24"/>
      <c r="J8" s="26" t="str">
        <f aca="false">IF($D8="","",IFERROR(INDEX(LOT_EXTE,MATCH($D8,LOT_KEY,0)),""))</f>
        <v>L-EXT-258</v>
      </c>
      <c r="K8" s="26" t="str">
        <f aca="false">IF($D8="","",IFERROR(INDEX(LOT_PRODE,MATCH($D8,LOT_KEY,0)),"LOT NON REFERENCE"))</f>
        <v>Sardine</v>
      </c>
      <c r="L8" s="26" t="str">
        <f aca="false">IF($D8="","",IFERROR(INDEX(LOT_FOURNE,MATCH($D8,LOT_KEY,0)),""))</f>
        <v>Fournisseur local</v>
      </c>
      <c r="M8" s="26" t="str">
        <f aca="false">IF($E8="","",IFERROR(INDEX(EMPL_CLASSE,MATCH($E8,EMPL_KEY,0)),"?"))</f>
        <v/>
      </c>
      <c r="N8" s="26" t="str">
        <f aca="false">IF($F8="","",IFERROR(INDEX(EMPL_CLASSE,MATCH($F8,EMPL_KEY,0)),"?"))</f>
        <v>INTERNE</v>
      </c>
      <c r="O8" s="28" t="n">
        <f aca="false">IF($C8="",0,IF(OR($B8="",$D8=""),0,IF($C8="AJUSTEMENT",IF(OR(NOT(ISNUMBER($G8)),$G8=0,$F8="",$H8=""),0,1),IF(OR(NOT(ISNUMBER($G8)),$G8&lt;=0),0,IF($C8="RECEPTION",IF($F8="",0,1),IF($C8="CONSOMMATION",IF($E8="",0,1),IF(OR($E8="",$F8="",$E8=$F8),0,1)))))))</f>
        <v>1</v>
      </c>
      <c r="P8" s="27" t="str">
        <f aca="false">IF(OR($O8=0,$C8="RECEPTION"),"",IF($C8="AJUSTEMENT",IF($G8&gt;0,"",SUMIFS(MVT_BRUT,MVT_LOT,$D8,MVT_EMPL,$F8)-$G8),SUMIFS(MVT_BRUT,MVT_LOT,$D8,MVT_EMPL,$E8)+$G8))</f>
        <v/>
      </c>
      <c r="Q8" s="26" t="str">
        <f aca="false">IF($C8="","",IF($O8=0,"DONNEES MANQUANTES",IF($C8="RECEPTION","OK",IF(AND($C8="AJUSTEMENT",$G8&gt;0),"OK",IF($P8&lt;=0,"EMPLACEMENT INCOHERENT",IF(ABS($G8)&gt;$P8+0.001,"STOCK INSUFFISANT","OK"))))))</f>
        <v>OK</v>
      </c>
      <c r="R8" s="28" t="n">
        <f aca="false">IF($Q8="OK",1,0)</f>
        <v>1</v>
      </c>
      <c r="S8" s="26" t="str">
        <f aca="false">IF($C8="","",IF($O8=0,"A COMPLETER : "&amp;IF($B8="","DATE; ","")&amp;IF($D8="","LOT INTERNE; ","")&amp;IF(NOT(ISNUMBER($G8)),"QUANTITE; ",IF(AND($C8="AJUSTEMENT",$G8=0),"QUANTITE &lt;&gt; 0; ",IF(AND($C8&lt;&gt;"AJUSTEMENT",$G8&lt;=0),"QUANTITE &gt; 0; ","")))&amp;IF(AND($C8="AJUSTEMENT",$H8=""),"MOTIF; ","")&amp;IF(AND(OR($C8="TRANSFERT",$C8="CONSOMMATION"),$E8=""),"EMPL. SOURCE; ","")&amp;IF(AND($C8&lt;&gt;"CONSOMMATION",$F8=""),"EMPL. DESTINATION; ","")&amp;IF(AND($C8="TRANSFERT",$E8&lt;&gt;"",$E8=$F8),"SOURCE = DESTINATION; ",""),IF($Q8="EMPLACEMENT INCOHERENT","Le lot "&amp;$D8&amp;" n'existe pas sur cet emplacement (stock 0). Verifier l'emplacement.",IF($Q8="STOCK INSUFFISANT","Disponible avant operation : "&amp;TEXT($P8,"#,##0.00")&amp;" kg. Ligne NON comptee en stock.",IF(COUNTIFS($B$5:$B$304,$B8,$C$5:$C$304,$C8,$D$5:$D$304,$D8,$G$5:$G$304,$G8)&gt;1,"Doublon possible (meme date, type, lot et quantite).",IF($K8="LOT NON REFERENCE","Creer d'abord la fiche du lot dans l'onglet LOTS.",""))))))</f>
        <v/>
      </c>
    </row>
    <row r="9" customFormat="false" ht="15" hidden="false" customHeight="false" outlineLevel="0" collapsed="false">
      <c r="A9" s="26" t="str">
        <f aca="false">IF($C9="","","OP-"&amp;TEXT(ROW()-4,"000"))</f>
        <v>OP-005</v>
      </c>
      <c r="B9" s="25" t="n">
        <v>46242</v>
      </c>
      <c r="C9" s="24" t="s">
        <v>157</v>
      </c>
      <c r="D9" s="24" t="s">
        <v>98</v>
      </c>
      <c r="E9" s="24" t="s">
        <v>151</v>
      </c>
      <c r="F9" s="24"/>
      <c r="G9" s="29" t="n">
        <v>300</v>
      </c>
      <c r="H9" s="24" t="s">
        <v>158</v>
      </c>
      <c r="I9" s="24" t="s">
        <v>159</v>
      </c>
      <c r="J9" s="26" t="str">
        <f aca="false">IF($D9="","",IFERROR(INDEX(LOT_EXTE,MATCH($D9,LOT_KEY,0)),""))</f>
        <v>L-EXT-255</v>
      </c>
      <c r="K9" s="26" t="str">
        <f aca="false">IF($D9="","",IFERROR(INDEX(LOT_PRODE,MATCH($D9,LOT_KEY,0)),"LOT NON REFERENCE"))</f>
        <v>Sardine</v>
      </c>
      <c r="L9" s="26" t="str">
        <f aca="false">IF($D9="","",IFERROR(INDEX(LOT_FOURNE,MATCH($D9,LOT_KEY,0)),""))</f>
        <v>Fournisseur local</v>
      </c>
      <c r="M9" s="26" t="str">
        <f aca="false">IF($E9="","",IFERROR(INDEX(EMPL_CLASSE,MATCH($E9,EMPL_KEY,0)),"?"))</f>
        <v>INTERNE</v>
      </c>
      <c r="N9" s="26" t="str">
        <f aca="false">IF($F9="","",IFERROR(INDEX(EMPL_CLASSE,MATCH($F9,EMPL_KEY,0)),"?"))</f>
        <v/>
      </c>
      <c r="O9" s="28" t="n">
        <f aca="false">IF($C9="",0,IF(OR($B9="",$D9=""),0,IF($C9="AJUSTEMENT",IF(OR(NOT(ISNUMBER($G9)),$G9=0,$F9="",$H9=""),0,1),IF(OR(NOT(ISNUMBER($G9)),$G9&lt;=0),0,IF($C9="RECEPTION",IF($F9="",0,1),IF($C9="CONSOMMATION",IF($E9="",0,1),IF(OR($E9="",$F9="",$E9=$F9),0,1)))))))</f>
        <v>1</v>
      </c>
      <c r="P9" s="27" t="n">
        <f aca="false">IF(OR($O9=0,$C9="RECEPTION"),"",IF($C9="AJUSTEMENT",IF($G9&gt;0,"",SUMIFS(MVT_BRUT,MVT_LOT,$D9,MVT_EMPL,$F9)-$G9),SUMIFS(MVT_BRUT,MVT_LOT,$D9,MVT_EMPL,$E9)+$G9))</f>
        <v>800</v>
      </c>
      <c r="Q9" s="26" t="str">
        <f aca="false">IF($C9="","",IF($O9=0,"DONNEES MANQUANTES",IF($C9="RECEPTION","OK",IF(AND($C9="AJUSTEMENT",$G9&gt;0),"OK",IF($P9&lt;=0,"EMPLACEMENT INCOHERENT",IF(ABS($G9)&gt;$P9+0.001,"STOCK INSUFFISANT","OK"))))))</f>
        <v>OK</v>
      </c>
      <c r="R9" s="28" t="n">
        <f aca="false">IF($Q9="OK",1,0)</f>
        <v>1</v>
      </c>
      <c r="S9" s="26" t="str">
        <f aca="false">IF($C9="","",IF($O9=0,"A COMPLETER : "&amp;IF($B9="","DATE; ","")&amp;IF($D9="","LOT INTERNE; ","")&amp;IF(NOT(ISNUMBER($G9)),"QUANTITE; ",IF(AND($C9="AJUSTEMENT",$G9=0),"QUANTITE &lt;&gt; 0; ",IF(AND($C9&lt;&gt;"AJUSTEMENT",$G9&lt;=0),"QUANTITE &gt; 0; ","")))&amp;IF(AND($C9="AJUSTEMENT",$H9=""),"MOTIF; ","")&amp;IF(AND(OR($C9="TRANSFERT",$C9="CONSOMMATION"),$E9=""),"EMPL. SOURCE; ","")&amp;IF(AND($C9&lt;&gt;"CONSOMMATION",$F9=""),"EMPL. DESTINATION; ","")&amp;IF(AND($C9="TRANSFERT",$E9&lt;&gt;"",$E9=$F9),"SOURCE = DESTINATION; ",""),IF($Q9="EMPLACEMENT INCOHERENT","Le lot "&amp;$D9&amp;" n'existe pas sur cet emplacement (stock 0). Verifier l'emplacement.",IF($Q9="STOCK INSUFFISANT","Disponible avant operation : "&amp;TEXT($P9,"#,##0.00")&amp;" kg. Ligne NON comptee en stock.",IF(COUNTIFS($B$5:$B$304,$B9,$C$5:$C$304,$C9,$D$5:$D$304,$D9,$G$5:$G$304,$G9)&gt;1,"Doublon possible (meme date, type, lot et quantite).",IF($K9="LOT NON REFERENCE","Creer d'abord la fiche du lot dans l'onglet LOTS.",""))))))</f>
        <v/>
      </c>
    </row>
    <row r="10" customFormat="false" ht="15" hidden="false" customHeight="false" outlineLevel="0" collapsed="false">
      <c r="A10" s="26" t="str">
        <f aca="false">IF($C10="","","OP-"&amp;TEXT(ROW()-4,"000"))</f>
        <v>OP-006</v>
      </c>
      <c r="B10" s="25" t="n">
        <v>46243</v>
      </c>
      <c r="C10" s="24" t="s">
        <v>160</v>
      </c>
      <c r="D10" s="24" t="s">
        <v>89</v>
      </c>
      <c r="E10" s="24" t="s">
        <v>154</v>
      </c>
      <c r="F10" s="24" t="s">
        <v>151</v>
      </c>
      <c r="G10" s="29" t="n">
        <v>800</v>
      </c>
      <c r="H10" s="24" t="s">
        <v>161</v>
      </c>
      <c r="I10" s="24" t="s">
        <v>162</v>
      </c>
      <c r="J10" s="26" t="str">
        <f aca="false">IF($D10="","",IFERROR(INDEX(LOT_EXTE,MATCH($D10,LOT_KEY,0)),""))</f>
        <v>L-EXT-256</v>
      </c>
      <c r="K10" s="26" t="str">
        <f aca="false">IF($D10="","",IFERROR(INDEX(LOT_PRODE,MATCH($D10,LOT_KEY,0)),"LOT NON REFERENCE"))</f>
        <v>Maquereau</v>
      </c>
      <c r="L10" s="26" t="str">
        <f aca="false">IF($D10="","",IFERROR(INDEX(LOT_FOURNE,MATCH($D10,LOT_KEY,0)),""))</f>
        <v>Producteur Boujdour</v>
      </c>
      <c r="M10" s="26" t="str">
        <f aca="false">IF($E10="","",IFERROR(INDEX(EMPL_CLASSE,MATCH($E10,EMPL_KEY,0)),"?"))</f>
        <v>EXTERNE</v>
      </c>
      <c r="N10" s="26" t="str">
        <f aca="false">IF($F10="","",IFERROR(INDEX(EMPL_CLASSE,MATCH($F10,EMPL_KEY,0)),"?"))</f>
        <v>INTERNE</v>
      </c>
      <c r="O10" s="28" t="n">
        <f aca="false">IF($C10="",0,IF(OR($B10="",$D10=""),0,IF($C10="AJUSTEMENT",IF(OR(NOT(ISNUMBER($G10)),$G10=0,$F10="",$H10=""),0,1),IF(OR(NOT(ISNUMBER($G10)),$G10&lt;=0),0,IF($C10="RECEPTION",IF($F10="",0,1),IF($C10="CONSOMMATION",IF($E10="",0,1),IF(OR($E10="",$F10="",$E10=$F10),0,1)))))))</f>
        <v>1</v>
      </c>
      <c r="P10" s="27" t="n">
        <f aca="false">IF(OR($O10=0,$C10="RECEPTION"),"",IF($C10="AJUSTEMENT",IF($G10&gt;0,"",SUMIFS(MVT_BRUT,MVT_LOT,$D10,MVT_EMPL,$F10)-$G10),SUMIFS(MVT_BRUT,MVT_LOT,$D10,MVT_EMPL,$E10)+$G10))</f>
        <v>2000</v>
      </c>
      <c r="Q10" s="26" t="str">
        <f aca="false">IF($C10="","",IF($O10=0,"DONNEES MANQUANTES",IF($C10="RECEPTION","OK",IF(AND($C10="AJUSTEMENT",$G10&gt;0),"OK",IF($P10&lt;=0,"EMPLACEMENT INCOHERENT",IF(ABS($G10)&gt;$P10+0.001,"STOCK INSUFFISANT","OK"))))))</f>
        <v>OK</v>
      </c>
      <c r="R10" s="28" t="n">
        <f aca="false">IF($Q10="OK",1,0)</f>
        <v>1</v>
      </c>
      <c r="S10" s="26" t="str">
        <f aca="false">IF($C10="","",IF($O10=0,"A COMPLETER : "&amp;IF($B10="","DATE; ","")&amp;IF($D10="","LOT INTERNE; ","")&amp;IF(NOT(ISNUMBER($G10)),"QUANTITE; ",IF(AND($C10="AJUSTEMENT",$G10=0),"QUANTITE &lt;&gt; 0; ",IF(AND($C10&lt;&gt;"AJUSTEMENT",$G10&lt;=0),"QUANTITE &gt; 0; ","")))&amp;IF(AND($C10="AJUSTEMENT",$H10=""),"MOTIF; ","")&amp;IF(AND(OR($C10="TRANSFERT",$C10="CONSOMMATION"),$E10=""),"EMPL. SOURCE; ","")&amp;IF(AND($C10&lt;&gt;"CONSOMMATION",$F10=""),"EMPL. DESTINATION; ","")&amp;IF(AND($C10="TRANSFERT",$E10&lt;&gt;"",$E10=$F10),"SOURCE = DESTINATION; ",""),IF($Q10="EMPLACEMENT INCOHERENT","Le lot "&amp;$D10&amp;" n'existe pas sur cet emplacement (stock 0). Verifier l'emplacement.",IF($Q10="STOCK INSUFFISANT","Disponible avant operation : "&amp;TEXT($P10,"#,##0.00")&amp;" kg. Ligne NON comptee en stock.",IF(COUNTIFS($B$5:$B$304,$B10,$C$5:$C$304,$C10,$D$5:$D$304,$D10,$G$5:$G$304,$G10)&gt;1,"Doublon possible (meme date, type, lot et quantite).",IF($K10="LOT NON REFERENCE","Creer d'abord la fiche du lot dans l'onglet LOTS.",""))))))</f>
        <v/>
      </c>
    </row>
    <row r="11" customFormat="false" ht="15" hidden="false" customHeight="false" outlineLevel="0" collapsed="false">
      <c r="A11" s="26" t="str">
        <f aca="false">IF($C11="","","OP-"&amp;TEXT(ROW()-4,"000"))</f>
        <v>OP-007</v>
      </c>
      <c r="B11" s="25" t="n">
        <v>46244</v>
      </c>
      <c r="C11" s="24" t="s">
        <v>150</v>
      </c>
      <c r="D11" s="24" t="s">
        <v>114</v>
      </c>
      <c r="E11" s="24"/>
      <c r="F11" s="24" t="s">
        <v>151</v>
      </c>
      <c r="G11" s="29" t="n">
        <v>400</v>
      </c>
      <c r="H11" s="24" t="s">
        <v>152</v>
      </c>
      <c r="I11" s="24"/>
      <c r="J11" s="26" t="str">
        <f aca="false">IF($D11="","",IFERROR(INDEX(LOT_EXTE,MATCH($D11,LOT_KEY,0)),""))</f>
        <v>L-EXT-301</v>
      </c>
      <c r="K11" s="26" t="str">
        <f aca="false">IF($D11="","",IFERROR(INDEX(LOT_PRODE,MATCH($D11,LOT_KEY,0)),"LOT NON REFERENCE"))</f>
        <v>Maquereau</v>
      </c>
      <c r="L11" s="26" t="str">
        <f aca="false">IF($D11="","",IFERROR(INDEX(LOT_FOURNE,MATCH($D11,LOT_KEY,0)),""))</f>
        <v>Producteur Boujdour</v>
      </c>
      <c r="M11" s="26" t="str">
        <f aca="false">IF($E11="","",IFERROR(INDEX(EMPL_CLASSE,MATCH($E11,EMPL_KEY,0)),"?"))</f>
        <v/>
      </c>
      <c r="N11" s="26" t="str">
        <f aca="false">IF($F11="","",IFERROR(INDEX(EMPL_CLASSE,MATCH($F11,EMPL_KEY,0)),"?"))</f>
        <v>INTERNE</v>
      </c>
      <c r="O11" s="28" t="n">
        <f aca="false">IF($C11="",0,IF(OR($B11="",$D11=""),0,IF($C11="AJUSTEMENT",IF(OR(NOT(ISNUMBER($G11)),$G11=0,$F11="",$H11=""),0,1),IF(OR(NOT(ISNUMBER($G11)),$G11&lt;=0),0,IF($C11="RECEPTION",IF($F11="",0,1),IF($C11="CONSOMMATION",IF($E11="",0,1),IF(OR($E11="",$F11="",$E11=$F11),0,1)))))))</f>
        <v>1</v>
      </c>
      <c r="P11" s="27" t="str">
        <f aca="false">IF(OR($O11=0,$C11="RECEPTION"),"",IF($C11="AJUSTEMENT",IF($G11&gt;0,"",SUMIFS(MVT_BRUT,MVT_LOT,$D11,MVT_EMPL,$F11)-$G11),SUMIFS(MVT_BRUT,MVT_LOT,$D11,MVT_EMPL,$E11)+$G11))</f>
        <v/>
      </c>
      <c r="Q11" s="26" t="str">
        <f aca="false">IF($C11="","",IF($O11=0,"DONNEES MANQUANTES",IF($C11="RECEPTION","OK",IF(AND($C11="AJUSTEMENT",$G11&gt;0),"OK",IF($P11&lt;=0,"EMPLACEMENT INCOHERENT",IF(ABS($G11)&gt;$P11+0.001,"STOCK INSUFFISANT","OK"))))))</f>
        <v>OK</v>
      </c>
      <c r="R11" s="28" t="n">
        <f aca="false">IF($Q11="OK",1,0)</f>
        <v>1</v>
      </c>
      <c r="S11" s="26" t="str">
        <f aca="false">IF($C11="","",IF($O11=0,"A COMPLETER : "&amp;IF($B11="","DATE; ","")&amp;IF($D11="","LOT INTERNE; ","")&amp;IF(NOT(ISNUMBER($G11)),"QUANTITE; ",IF(AND($C11="AJUSTEMENT",$G11=0),"QUANTITE &lt;&gt; 0; ",IF(AND($C11&lt;&gt;"AJUSTEMENT",$G11&lt;=0),"QUANTITE &gt; 0; ","")))&amp;IF(AND($C11="AJUSTEMENT",$H11=""),"MOTIF; ","")&amp;IF(AND(OR($C11="TRANSFERT",$C11="CONSOMMATION"),$E11=""),"EMPL. SOURCE; ","")&amp;IF(AND($C11&lt;&gt;"CONSOMMATION",$F11=""),"EMPL. DESTINATION; ","")&amp;IF(AND($C11="TRANSFERT",$E11&lt;&gt;"",$E11=$F11),"SOURCE = DESTINATION; ",""),IF($Q11="EMPLACEMENT INCOHERENT","Le lot "&amp;$D11&amp;" n'existe pas sur cet emplacement (stock 0). Verifier l'emplacement.",IF($Q11="STOCK INSUFFISANT","Disponible avant operation : "&amp;TEXT($P11,"#,##0.00")&amp;" kg. Ligne NON comptee en stock.",IF(COUNTIFS($B$5:$B$304,$B11,$C$5:$C$304,$C11,$D$5:$D$304,$D11,$G$5:$G$304,$G11)&gt;1,"Doublon possible (meme date, type, lot et quantite).",IF($K11="LOT NON REFERENCE","Creer d'abord la fiche du lot dans l'onglet LOTS.",""))))))</f>
        <v/>
      </c>
    </row>
    <row r="12" customFormat="false" ht="15" hidden="false" customHeight="false" outlineLevel="0" collapsed="false">
      <c r="A12" s="26" t="str">
        <f aca="false">IF($C12="","","OP-"&amp;TEXT(ROW()-4,"000"))</f>
        <v>OP-008</v>
      </c>
      <c r="B12" s="25" t="n">
        <v>46245</v>
      </c>
      <c r="C12" s="24" t="s">
        <v>157</v>
      </c>
      <c r="D12" s="24" t="s">
        <v>102</v>
      </c>
      <c r="E12" s="24" t="s">
        <v>151</v>
      </c>
      <c r="F12" s="24"/>
      <c r="G12" s="29" t="n">
        <v>500</v>
      </c>
      <c r="H12" s="24" t="s">
        <v>158</v>
      </c>
      <c r="I12" s="24" t="s">
        <v>163</v>
      </c>
      <c r="J12" s="26" t="str">
        <f aca="false">IF($D12="","",IFERROR(INDEX(LOT_EXTE,MATCH($D12,LOT_KEY,0)),""))</f>
        <v>L-EXT-258</v>
      </c>
      <c r="K12" s="26" t="str">
        <f aca="false">IF($D12="","",IFERROR(INDEX(LOT_PRODE,MATCH($D12,LOT_KEY,0)),"LOT NON REFERENCE"))</f>
        <v>Sardine</v>
      </c>
      <c r="L12" s="26" t="str">
        <f aca="false">IF($D12="","",IFERROR(INDEX(LOT_FOURNE,MATCH($D12,LOT_KEY,0)),""))</f>
        <v>Fournisseur local</v>
      </c>
      <c r="M12" s="26" t="str">
        <f aca="false">IF($E12="","",IFERROR(INDEX(EMPL_CLASSE,MATCH($E12,EMPL_KEY,0)),"?"))</f>
        <v>INTERNE</v>
      </c>
      <c r="N12" s="26" t="str">
        <f aca="false">IF($F12="","",IFERROR(INDEX(EMPL_CLASSE,MATCH($F12,EMPL_KEY,0)),"?"))</f>
        <v/>
      </c>
      <c r="O12" s="28" t="n">
        <f aca="false">IF($C12="",0,IF(OR($B12="",$D12=""),0,IF($C12="AJUSTEMENT",IF(OR(NOT(ISNUMBER($G12)),$G12=0,$F12="",$H12=""),0,1),IF(OR(NOT(ISNUMBER($G12)),$G12&lt;=0),0,IF($C12="RECEPTION",IF($F12="",0,1),IF($C12="CONSOMMATION",IF($E12="",0,1),IF(OR($E12="",$F12="",$E12=$F12),0,1)))))))</f>
        <v>1</v>
      </c>
      <c r="P12" s="27" t="n">
        <f aca="false">IF(OR($O12=0,$C12="RECEPTION"),"",IF($C12="AJUSTEMENT",IF($G12&gt;0,"",SUMIFS(MVT_BRUT,MVT_LOT,$D12,MVT_EMPL,$F12)-$G12),SUMIFS(MVT_BRUT,MVT_LOT,$D12,MVT_EMPL,$E12)+$G12))</f>
        <v>200</v>
      </c>
      <c r="Q12" s="26" t="str">
        <f aca="false">IF($C12="","",IF($O12=0,"DONNEES MANQUANTES",IF($C12="RECEPTION","OK",IF(AND($C12="AJUSTEMENT",$G12&gt;0),"OK",IF($P12&lt;=0,"EMPLACEMENT INCOHERENT",IF(ABS($G12)&gt;$P12+0.001,"STOCK INSUFFISANT","OK"))))))</f>
        <v>STOCK INSUFFISANT</v>
      </c>
      <c r="R12" s="28" t="n">
        <f aca="false">IF($Q12="OK",1,0)</f>
        <v>0</v>
      </c>
      <c r="S12" s="26" t="str">
        <f aca="false">IF($C12="","",IF($O12=0,"A COMPLETER : "&amp;IF($B12="","DATE; ","")&amp;IF($D12="","LOT INTERNE; ","")&amp;IF(NOT(ISNUMBER($G12)),"QUANTITE; ",IF(AND($C12="AJUSTEMENT",$G12=0),"QUANTITE &lt;&gt; 0; ",IF(AND($C12&lt;&gt;"AJUSTEMENT",$G12&lt;=0),"QUANTITE &gt; 0; ","")))&amp;IF(AND($C12="AJUSTEMENT",$H12=""),"MOTIF; ","")&amp;IF(AND(OR($C12="TRANSFERT",$C12="CONSOMMATION"),$E12=""),"EMPL. SOURCE; ","")&amp;IF(AND($C12&lt;&gt;"CONSOMMATION",$F12=""),"EMPL. DESTINATION; ","")&amp;IF(AND($C12="TRANSFERT",$E12&lt;&gt;"",$E12=$F12),"SOURCE = DESTINATION; ",""),IF($Q12="EMPLACEMENT INCOHERENT","Le lot "&amp;$D12&amp;" n'existe pas sur cet emplacement (stock 0). Verifier l'emplacement.",IF($Q12="STOCK INSUFFISANT","Disponible avant operation : "&amp;TEXT($P12,"#,##0.00")&amp;" kg. Ligne NON comptee en stock.",IF(COUNTIFS($B$5:$B$304,$B12,$C$5:$C$304,$C12,$D$5:$D$304,$D12,$G$5:$G$304,$G12)&gt;1,"Doublon possible (meme date, type, lot et quantite).",IF($K12="LOT NON REFERENCE","Creer d'abord la fiche du lot dans l'onglet LOTS.",""))))))</f>
        <v>Disponible avant operation : 200.00 kg. Ligne NON comptee en stock.</v>
      </c>
    </row>
    <row r="13" customFormat="false" ht="15" hidden="false" customHeight="false" outlineLevel="0" collapsed="false">
      <c r="A13" s="26" t="str">
        <f aca="false">IF($C13="","","OP-"&amp;TEXT(ROW()-4,"000"))</f>
        <v>OP-009</v>
      </c>
      <c r="B13" s="25" t="n">
        <v>46251</v>
      </c>
      <c r="C13" s="24" t="s">
        <v>150</v>
      </c>
      <c r="D13" s="24" t="s">
        <v>118</v>
      </c>
      <c r="E13" s="24"/>
      <c r="F13" s="24" t="s">
        <v>151</v>
      </c>
      <c r="G13" s="29" t="n">
        <v>1000</v>
      </c>
      <c r="H13" s="24" t="s">
        <v>152</v>
      </c>
      <c r="I13" s="24"/>
      <c r="J13" s="26" t="str">
        <f aca="false">IF($D13="","",IFERROR(INDEX(LOT_EXTE,MATCH($D13,LOT_KEY,0)),""))</f>
        <v>L-EXT-302</v>
      </c>
      <c r="K13" s="26" t="str">
        <f aca="false">IF($D13="","",IFERROR(INDEX(LOT_PRODE,MATCH($D13,LOT_KEY,0)),"LOT NON REFERENCE"))</f>
        <v>Chinchard</v>
      </c>
      <c r="L13" s="26" t="str">
        <f aca="false">IF($D13="","",IFERROR(INDEX(LOT_FOURNE,MATCH($D13,LOT_KEY,0)),""))</f>
        <v>Producteur Dakhla</v>
      </c>
      <c r="M13" s="26" t="str">
        <f aca="false">IF($E13="","",IFERROR(INDEX(EMPL_CLASSE,MATCH($E13,EMPL_KEY,0)),"?"))</f>
        <v/>
      </c>
      <c r="N13" s="26" t="str">
        <f aca="false">IF($F13="","",IFERROR(INDEX(EMPL_CLASSE,MATCH($F13,EMPL_KEY,0)),"?"))</f>
        <v>INTERNE</v>
      </c>
      <c r="O13" s="28" t="n">
        <f aca="false">IF($C13="",0,IF(OR($B13="",$D13=""),0,IF($C13="AJUSTEMENT",IF(OR(NOT(ISNUMBER($G13)),$G13=0,$F13="",$H13=""),0,1),IF(OR(NOT(ISNUMBER($G13)),$G13&lt;=0),0,IF($C13="RECEPTION",IF($F13="",0,1),IF($C13="CONSOMMATION",IF($E13="",0,1),IF(OR($E13="",$F13="",$E13=$F13),0,1)))))))</f>
        <v>1</v>
      </c>
      <c r="P13" s="27" t="str">
        <f aca="false">IF(OR($O13=0,$C13="RECEPTION"),"",IF($C13="AJUSTEMENT",IF($G13&gt;0,"",SUMIFS(MVT_BRUT,MVT_LOT,$D13,MVT_EMPL,$F13)-$G13),SUMIFS(MVT_BRUT,MVT_LOT,$D13,MVT_EMPL,$E13)+$G13))</f>
        <v/>
      </c>
      <c r="Q13" s="26" t="str">
        <f aca="false">IF($C13="","",IF($O13=0,"DONNEES MANQUANTES",IF($C13="RECEPTION","OK",IF(AND($C13="AJUSTEMENT",$G13&gt;0),"OK",IF($P13&lt;=0,"EMPLACEMENT INCOHERENT",IF(ABS($G13)&gt;$P13+0.001,"STOCK INSUFFISANT","OK"))))))</f>
        <v>OK</v>
      </c>
      <c r="R13" s="28" t="n">
        <f aca="false">IF($Q13="OK",1,0)</f>
        <v>1</v>
      </c>
      <c r="S13" s="26" t="str">
        <f aca="false">IF($C13="","",IF($O13=0,"A COMPLETER : "&amp;IF($B13="","DATE; ","")&amp;IF($D13="","LOT INTERNE; ","")&amp;IF(NOT(ISNUMBER($G13)),"QUANTITE; ",IF(AND($C13="AJUSTEMENT",$G13=0),"QUANTITE &lt;&gt; 0; ",IF(AND($C13&lt;&gt;"AJUSTEMENT",$G13&lt;=0),"QUANTITE &gt; 0; ","")))&amp;IF(AND($C13="AJUSTEMENT",$H13=""),"MOTIF; ","")&amp;IF(AND(OR($C13="TRANSFERT",$C13="CONSOMMATION"),$E13=""),"EMPL. SOURCE; ","")&amp;IF(AND($C13&lt;&gt;"CONSOMMATION",$F13=""),"EMPL. DESTINATION; ","")&amp;IF(AND($C13="TRANSFERT",$E13&lt;&gt;"",$E13=$F13),"SOURCE = DESTINATION; ",""),IF($Q13="EMPLACEMENT INCOHERENT","Le lot "&amp;$D13&amp;" n'existe pas sur cet emplacement (stock 0). Verifier l'emplacement.",IF($Q13="STOCK INSUFFISANT","Disponible avant operation : "&amp;TEXT($P13,"#,##0.00")&amp;" kg. Ligne NON comptee en stock.",IF(COUNTIFS($B$5:$B$304,$B13,$C$5:$C$304,$C13,$D$5:$D$304,$D13,$G$5:$G$304,$G13)&gt;1,"Doublon possible (meme date, type, lot et quantite).",IF($K13="LOT NON REFERENCE","Creer d'abord la fiche du lot dans l'onglet LOTS.",""))))))</f>
        <v/>
      </c>
    </row>
    <row r="14" customFormat="false" ht="15" hidden="false" customHeight="false" outlineLevel="0" collapsed="false">
      <c r="A14" s="26" t="str">
        <f aca="false">IF($C14="","","OP-"&amp;TEXT(ROW()-4,"000"))</f>
        <v>OP-010</v>
      </c>
      <c r="B14" s="25" t="n">
        <v>46252</v>
      </c>
      <c r="C14" s="24" t="s">
        <v>164</v>
      </c>
      <c r="D14" s="24" t="s">
        <v>118</v>
      </c>
      <c r="E14" s="24"/>
      <c r="F14" s="24" t="s">
        <v>151</v>
      </c>
      <c r="G14" s="29" t="n">
        <v>-25</v>
      </c>
      <c r="H14" s="24" t="s">
        <v>165</v>
      </c>
      <c r="I14" s="24" t="s">
        <v>166</v>
      </c>
      <c r="J14" s="26" t="str">
        <f aca="false">IF($D14="","",IFERROR(INDEX(LOT_EXTE,MATCH($D14,LOT_KEY,0)),""))</f>
        <v>L-EXT-302</v>
      </c>
      <c r="K14" s="26" t="str">
        <f aca="false">IF($D14="","",IFERROR(INDEX(LOT_PRODE,MATCH($D14,LOT_KEY,0)),"LOT NON REFERENCE"))</f>
        <v>Chinchard</v>
      </c>
      <c r="L14" s="26" t="str">
        <f aca="false">IF($D14="","",IFERROR(INDEX(LOT_FOURNE,MATCH($D14,LOT_KEY,0)),""))</f>
        <v>Producteur Dakhla</v>
      </c>
      <c r="M14" s="26" t="str">
        <f aca="false">IF($E14="","",IFERROR(INDEX(EMPL_CLASSE,MATCH($E14,EMPL_KEY,0)),"?"))</f>
        <v/>
      </c>
      <c r="N14" s="26" t="str">
        <f aca="false">IF($F14="","",IFERROR(INDEX(EMPL_CLASSE,MATCH($F14,EMPL_KEY,0)),"?"))</f>
        <v>INTERNE</v>
      </c>
      <c r="O14" s="28" t="n">
        <f aca="false">IF($C14="",0,IF(OR($B14="",$D14=""),0,IF($C14="AJUSTEMENT",IF(OR(NOT(ISNUMBER($G14)),$G14=0,$F14="",$H14=""),0,1),IF(OR(NOT(ISNUMBER($G14)),$G14&lt;=0),0,IF($C14="RECEPTION",IF($F14="",0,1),IF($C14="CONSOMMATION",IF($E14="",0,1),IF(OR($E14="",$F14="",$E14=$F14),0,1)))))))</f>
        <v>1</v>
      </c>
      <c r="P14" s="27" t="n">
        <f aca="false">IF(OR($O14=0,$C14="RECEPTION"),"",IF($C14="AJUSTEMENT",IF($G14&gt;0,"",SUMIFS(MVT_BRUT,MVT_LOT,$D14,MVT_EMPL,$F14)-$G14),SUMIFS(MVT_BRUT,MVT_LOT,$D14,MVT_EMPL,$E14)+$G14))</f>
        <v>1000</v>
      </c>
      <c r="Q14" s="26" t="str">
        <f aca="false">IF($C14="","",IF($O14=0,"DONNEES MANQUANTES",IF($C14="RECEPTION","OK",IF(AND($C14="AJUSTEMENT",$G14&gt;0),"OK",IF($P14&lt;=0,"EMPLACEMENT INCOHERENT",IF(ABS($G14)&gt;$P14+0.001,"STOCK INSUFFISANT","OK"))))))</f>
        <v>OK</v>
      </c>
      <c r="R14" s="28" t="n">
        <f aca="false">IF($Q14="OK",1,0)</f>
        <v>1</v>
      </c>
      <c r="S14" s="26" t="str">
        <f aca="false">IF($C14="","",IF($O14=0,"A COMPLETER : "&amp;IF($B14="","DATE; ","")&amp;IF($D14="","LOT INTERNE; ","")&amp;IF(NOT(ISNUMBER($G14)),"QUANTITE; ",IF(AND($C14="AJUSTEMENT",$G14=0),"QUANTITE &lt;&gt; 0; ",IF(AND($C14&lt;&gt;"AJUSTEMENT",$G14&lt;=0),"QUANTITE &gt; 0; ","")))&amp;IF(AND($C14="AJUSTEMENT",$H14=""),"MOTIF; ","")&amp;IF(AND(OR($C14="TRANSFERT",$C14="CONSOMMATION"),$E14=""),"EMPL. SOURCE; ","")&amp;IF(AND($C14&lt;&gt;"CONSOMMATION",$F14=""),"EMPL. DESTINATION; ","")&amp;IF(AND($C14="TRANSFERT",$E14&lt;&gt;"",$E14=$F14),"SOURCE = DESTINATION; ",""),IF($Q14="EMPLACEMENT INCOHERENT","Le lot "&amp;$D14&amp;" n'existe pas sur cet emplacement (stock 0). Verifier l'emplacement.",IF($Q14="STOCK INSUFFISANT","Disponible avant operation : "&amp;TEXT($P14,"#,##0.00")&amp;" kg. Ligne NON comptee en stock.",IF(COUNTIFS($B$5:$B$304,$B14,$C$5:$C$304,$C14,$D$5:$D$304,$D14,$G$5:$G$304,$G14)&gt;1,"Doublon possible (meme date, type, lot et quantite).",IF($K14="LOT NON REFERENCE","Creer d'abord la fiche du lot dans l'onglet LOTS.",""))))))</f>
        <v/>
      </c>
    </row>
    <row r="15" customFormat="false" ht="15" hidden="false" customHeight="false" outlineLevel="0" collapsed="false">
      <c r="A15" s="26" t="str">
        <f aca="false">IF($C15="","","OP-"&amp;TEXT(ROW()-4,"000"))</f>
        <v/>
      </c>
      <c r="B15" s="25"/>
      <c r="C15" s="24"/>
      <c r="D15" s="24"/>
      <c r="E15" s="24"/>
      <c r="F15" s="24"/>
      <c r="G15" s="29"/>
      <c r="H15" s="24"/>
      <c r="I15" s="24"/>
      <c r="J15" s="26" t="str">
        <f aca="false">IF($D15="","",IFERROR(INDEX(LOT_EXTE,MATCH($D15,LOT_KEY,0)),""))</f>
        <v/>
      </c>
      <c r="K15" s="26" t="str">
        <f aca="false">IF($D15="","",IFERROR(INDEX(LOT_PRODE,MATCH($D15,LOT_KEY,0)),"LOT NON REFERENCE"))</f>
        <v/>
      </c>
      <c r="L15" s="26" t="str">
        <f aca="false">IF($D15="","",IFERROR(INDEX(LOT_FOURNE,MATCH($D15,LOT_KEY,0)),""))</f>
        <v/>
      </c>
      <c r="M15" s="26" t="str">
        <f aca="false">IF($E15="","",IFERROR(INDEX(EMPL_CLASSE,MATCH($E15,EMPL_KEY,0)),"?"))</f>
        <v/>
      </c>
      <c r="N15" s="26" t="str">
        <f aca="false">IF($F15="","",IFERROR(INDEX(EMPL_CLASSE,MATCH($F15,EMPL_KEY,0)),"?"))</f>
        <v/>
      </c>
      <c r="O15" s="28" t="n">
        <f aca="false">IF($C15="",0,IF(OR($B15="",$D15=""),0,IF($C15="AJUSTEMENT",IF(OR(NOT(ISNUMBER($G15)),$G15=0,$F15="",$H15=""),0,1),IF(OR(NOT(ISNUMBER($G15)),$G15&lt;=0),0,IF($C15="RECEPTION",IF($F15="",0,1),IF($C15="CONSOMMATION",IF($E15="",0,1),IF(OR($E15="",$F15="",$E15=$F15),0,1)))))))</f>
        <v>0</v>
      </c>
      <c r="P15" s="27" t="str">
        <f aca="false">IF(OR($O15=0,$C15="RECEPTION"),"",IF($C15="AJUSTEMENT",IF($G15&gt;0,"",SUMIFS(MVT_BRUT,MVT_LOT,$D15,MVT_EMPL,$F15)-$G15),SUMIFS(MVT_BRUT,MVT_LOT,$D15,MVT_EMPL,$E15)+$G15))</f>
        <v/>
      </c>
      <c r="Q15" s="26" t="str">
        <f aca="false">IF($C15="","",IF($O15=0,"DONNEES MANQUANTES",IF($C15="RECEPTION","OK",IF(AND($C15="AJUSTEMENT",$G15&gt;0),"OK",IF($P15&lt;=0,"EMPLACEMENT INCOHERENT",IF(ABS($G15)&gt;$P15+0.001,"STOCK INSUFFISANT","OK"))))))</f>
        <v/>
      </c>
      <c r="R15" s="28" t="n">
        <f aca="false">IF($Q15="OK",1,0)</f>
        <v>0</v>
      </c>
      <c r="S15" s="26" t="str">
        <f aca="false">IF($C15="","",IF($O15=0,"A COMPLETER : "&amp;IF($B15="","DATE; ","")&amp;IF($D15="","LOT INTERNE; ","")&amp;IF(NOT(ISNUMBER($G15)),"QUANTITE; ",IF(AND($C15="AJUSTEMENT",$G15=0),"QUANTITE &lt;&gt; 0; ",IF(AND($C15&lt;&gt;"AJUSTEMENT",$G15&lt;=0),"QUANTITE &gt; 0; ","")))&amp;IF(AND($C15="AJUSTEMENT",$H15=""),"MOTIF; ","")&amp;IF(AND(OR($C15="TRANSFERT",$C15="CONSOMMATION"),$E15=""),"EMPL. SOURCE; ","")&amp;IF(AND($C15&lt;&gt;"CONSOMMATION",$F15=""),"EMPL. DESTINATION; ","")&amp;IF(AND($C15="TRANSFERT",$E15&lt;&gt;"",$E15=$F15),"SOURCE = DESTINATION; ",""),IF($Q15="EMPLACEMENT INCOHERENT","Le lot "&amp;$D15&amp;" n'existe pas sur cet emplacement (stock 0). Verifier l'emplacement.",IF($Q15="STOCK INSUFFISANT","Disponible avant operation : "&amp;TEXT($P15,"#,##0.00")&amp;" kg. Ligne NON comptee en stock.",IF(COUNTIFS($B$5:$B$304,$B15,$C$5:$C$304,$C15,$D$5:$D$304,$D15,$G$5:$G$304,$G15)&gt;1,"Doublon possible (meme date, type, lot et quantite).",IF($K15="LOT NON REFERENCE","Creer d'abord la fiche du lot dans l'onglet LOTS.",""))))))</f>
        <v/>
      </c>
    </row>
    <row r="16" customFormat="false" ht="15" hidden="false" customHeight="false" outlineLevel="0" collapsed="false">
      <c r="A16" s="26" t="str">
        <f aca="false">IF($C16="","","OP-"&amp;TEXT(ROW()-4,"000"))</f>
        <v/>
      </c>
      <c r="B16" s="25"/>
      <c r="C16" s="24"/>
      <c r="D16" s="24"/>
      <c r="E16" s="24"/>
      <c r="F16" s="24"/>
      <c r="G16" s="29"/>
      <c r="H16" s="24"/>
      <c r="I16" s="24"/>
      <c r="J16" s="26" t="str">
        <f aca="false">IF($D16="","",IFERROR(INDEX(LOT_EXTE,MATCH($D16,LOT_KEY,0)),""))</f>
        <v/>
      </c>
      <c r="K16" s="26" t="str">
        <f aca="false">IF($D16="","",IFERROR(INDEX(LOT_PRODE,MATCH($D16,LOT_KEY,0)),"LOT NON REFERENCE"))</f>
        <v/>
      </c>
      <c r="L16" s="26" t="str">
        <f aca="false">IF($D16="","",IFERROR(INDEX(LOT_FOURNE,MATCH($D16,LOT_KEY,0)),""))</f>
        <v/>
      </c>
      <c r="M16" s="26" t="str">
        <f aca="false">IF($E16="","",IFERROR(INDEX(EMPL_CLASSE,MATCH($E16,EMPL_KEY,0)),"?"))</f>
        <v/>
      </c>
      <c r="N16" s="26" t="str">
        <f aca="false">IF($F16="","",IFERROR(INDEX(EMPL_CLASSE,MATCH($F16,EMPL_KEY,0)),"?"))</f>
        <v/>
      </c>
      <c r="O16" s="28" t="n">
        <f aca="false">IF($C16="",0,IF(OR($B16="",$D16=""),0,IF($C16="AJUSTEMENT",IF(OR(NOT(ISNUMBER($G16)),$G16=0,$F16="",$H16=""),0,1),IF(OR(NOT(ISNUMBER($G16)),$G16&lt;=0),0,IF($C16="RECEPTION",IF($F16="",0,1),IF($C16="CONSOMMATION",IF($E16="",0,1),IF(OR($E16="",$F16="",$E16=$F16),0,1)))))))</f>
        <v>0</v>
      </c>
      <c r="P16" s="27" t="str">
        <f aca="false">IF(OR($O16=0,$C16="RECEPTION"),"",IF($C16="AJUSTEMENT",IF($G16&gt;0,"",SUMIFS(MVT_BRUT,MVT_LOT,$D16,MVT_EMPL,$F16)-$G16),SUMIFS(MVT_BRUT,MVT_LOT,$D16,MVT_EMPL,$E16)+$G16))</f>
        <v/>
      </c>
      <c r="Q16" s="26" t="str">
        <f aca="false">IF($C16="","",IF($O16=0,"DONNEES MANQUANTES",IF($C16="RECEPTION","OK",IF(AND($C16="AJUSTEMENT",$G16&gt;0),"OK",IF($P16&lt;=0,"EMPLACEMENT INCOHERENT",IF(ABS($G16)&gt;$P16+0.001,"STOCK INSUFFISANT","OK"))))))</f>
        <v/>
      </c>
      <c r="R16" s="28" t="n">
        <f aca="false">IF($Q16="OK",1,0)</f>
        <v>0</v>
      </c>
      <c r="S16" s="26" t="str">
        <f aca="false">IF($C16="","",IF($O16=0,"A COMPLETER : "&amp;IF($B16="","DATE; ","")&amp;IF($D16="","LOT INTERNE; ","")&amp;IF(NOT(ISNUMBER($G16)),"QUANTITE; ",IF(AND($C16="AJUSTEMENT",$G16=0),"QUANTITE &lt;&gt; 0; ",IF(AND($C16&lt;&gt;"AJUSTEMENT",$G16&lt;=0),"QUANTITE &gt; 0; ","")))&amp;IF(AND($C16="AJUSTEMENT",$H16=""),"MOTIF; ","")&amp;IF(AND(OR($C16="TRANSFERT",$C16="CONSOMMATION"),$E16=""),"EMPL. SOURCE; ","")&amp;IF(AND($C16&lt;&gt;"CONSOMMATION",$F16=""),"EMPL. DESTINATION; ","")&amp;IF(AND($C16="TRANSFERT",$E16&lt;&gt;"",$E16=$F16),"SOURCE = DESTINATION; ",""),IF($Q16="EMPLACEMENT INCOHERENT","Le lot "&amp;$D16&amp;" n'existe pas sur cet emplacement (stock 0). Verifier l'emplacement.",IF($Q16="STOCK INSUFFISANT","Disponible avant operation : "&amp;TEXT($P16,"#,##0.00")&amp;" kg. Ligne NON comptee en stock.",IF(COUNTIFS($B$5:$B$304,$B16,$C$5:$C$304,$C16,$D$5:$D$304,$D16,$G$5:$G$304,$G16)&gt;1,"Doublon possible (meme date, type, lot et quantite).",IF($K16="LOT NON REFERENCE","Creer d'abord la fiche du lot dans l'onglet LOTS.",""))))))</f>
        <v/>
      </c>
    </row>
    <row r="17" customFormat="false" ht="15" hidden="false" customHeight="false" outlineLevel="0" collapsed="false">
      <c r="A17" s="26" t="str">
        <f aca="false">IF($C17="","","OP-"&amp;TEXT(ROW()-4,"000"))</f>
        <v/>
      </c>
      <c r="B17" s="25"/>
      <c r="C17" s="24"/>
      <c r="D17" s="24"/>
      <c r="E17" s="24"/>
      <c r="F17" s="24"/>
      <c r="G17" s="29"/>
      <c r="H17" s="24"/>
      <c r="I17" s="24"/>
      <c r="J17" s="26" t="str">
        <f aca="false">IF($D17="","",IFERROR(INDEX(LOT_EXTE,MATCH($D17,LOT_KEY,0)),""))</f>
        <v/>
      </c>
      <c r="K17" s="26" t="str">
        <f aca="false">IF($D17="","",IFERROR(INDEX(LOT_PRODE,MATCH($D17,LOT_KEY,0)),"LOT NON REFERENCE"))</f>
        <v/>
      </c>
      <c r="L17" s="26" t="str">
        <f aca="false">IF($D17="","",IFERROR(INDEX(LOT_FOURNE,MATCH($D17,LOT_KEY,0)),""))</f>
        <v/>
      </c>
      <c r="M17" s="26" t="str">
        <f aca="false">IF($E17="","",IFERROR(INDEX(EMPL_CLASSE,MATCH($E17,EMPL_KEY,0)),"?"))</f>
        <v/>
      </c>
      <c r="N17" s="26" t="str">
        <f aca="false">IF($F17="","",IFERROR(INDEX(EMPL_CLASSE,MATCH($F17,EMPL_KEY,0)),"?"))</f>
        <v/>
      </c>
      <c r="O17" s="28" t="n">
        <f aca="false">IF($C17="",0,IF(OR($B17="",$D17=""),0,IF($C17="AJUSTEMENT",IF(OR(NOT(ISNUMBER($G17)),$G17=0,$F17="",$H17=""),0,1),IF(OR(NOT(ISNUMBER($G17)),$G17&lt;=0),0,IF($C17="RECEPTION",IF($F17="",0,1),IF($C17="CONSOMMATION",IF($E17="",0,1),IF(OR($E17="",$F17="",$E17=$F17),0,1)))))))</f>
        <v>0</v>
      </c>
      <c r="P17" s="27" t="str">
        <f aca="false">IF(OR($O17=0,$C17="RECEPTION"),"",IF($C17="AJUSTEMENT",IF($G17&gt;0,"",SUMIFS(MVT_BRUT,MVT_LOT,$D17,MVT_EMPL,$F17)-$G17),SUMIFS(MVT_BRUT,MVT_LOT,$D17,MVT_EMPL,$E17)+$G17))</f>
        <v/>
      </c>
      <c r="Q17" s="26" t="str">
        <f aca="false">IF($C17="","",IF($O17=0,"DONNEES MANQUANTES",IF($C17="RECEPTION","OK",IF(AND($C17="AJUSTEMENT",$G17&gt;0),"OK",IF($P17&lt;=0,"EMPLACEMENT INCOHERENT",IF(ABS($G17)&gt;$P17+0.001,"STOCK INSUFFISANT","OK"))))))</f>
        <v/>
      </c>
      <c r="R17" s="28" t="n">
        <f aca="false">IF($Q17="OK",1,0)</f>
        <v>0</v>
      </c>
      <c r="S17" s="26" t="str">
        <f aca="false">IF($C17="","",IF($O17=0,"A COMPLETER : "&amp;IF($B17="","DATE; ","")&amp;IF($D17="","LOT INTERNE; ","")&amp;IF(NOT(ISNUMBER($G17)),"QUANTITE; ",IF(AND($C17="AJUSTEMENT",$G17=0),"QUANTITE &lt;&gt; 0; ",IF(AND($C17&lt;&gt;"AJUSTEMENT",$G17&lt;=0),"QUANTITE &gt; 0; ","")))&amp;IF(AND($C17="AJUSTEMENT",$H17=""),"MOTIF; ","")&amp;IF(AND(OR($C17="TRANSFERT",$C17="CONSOMMATION"),$E17=""),"EMPL. SOURCE; ","")&amp;IF(AND($C17&lt;&gt;"CONSOMMATION",$F17=""),"EMPL. DESTINATION; ","")&amp;IF(AND($C17="TRANSFERT",$E17&lt;&gt;"",$E17=$F17),"SOURCE = DESTINATION; ",""),IF($Q17="EMPLACEMENT INCOHERENT","Le lot "&amp;$D17&amp;" n'existe pas sur cet emplacement (stock 0). Verifier l'emplacement.",IF($Q17="STOCK INSUFFISANT","Disponible avant operation : "&amp;TEXT($P17,"#,##0.00")&amp;" kg. Ligne NON comptee en stock.",IF(COUNTIFS($B$5:$B$304,$B17,$C$5:$C$304,$C17,$D$5:$D$304,$D17,$G$5:$G$304,$G17)&gt;1,"Doublon possible (meme date, type, lot et quantite).",IF($K17="LOT NON REFERENCE","Creer d'abord la fiche du lot dans l'onglet LOTS.",""))))))</f>
        <v/>
      </c>
    </row>
    <row r="18" customFormat="false" ht="15" hidden="false" customHeight="false" outlineLevel="0" collapsed="false">
      <c r="A18" s="26" t="str">
        <f aca="false">IF($C18="","","OP-"&amp;TEXT(ROW()-4,"000"))</f>
        <v/>
      </c>
      <c r="B18" s="25"/>
      <c r="C18" s="24"/>
      <c r="D18" s="24"/>
      <c r="E18" s="24"/>
      <c r="F18" s="24"/>
      <c r="G18" s="29"/>
      <c r="H18" s="24"/>
      <c r="I18" s="24"/>
      <c r="J18" s="26" t="str">
        <f aca="false">IF($D18="","",IFERROR(INDEX(LOT_EXTE,MATCH($D18,LOT_KEY,0)),""))</f>
        <v/>
      </c>
      <c r="K18" s="26" t="str">
        <f aca="false">IF($D18="","",IFERROR(INDEX(LOT_PRODE,MATCH($D18,LOT_KEY,0)),"LOT NON REFERENCE"))</f>
        <v/>
      </c>
      <c r="L18" s="26" t="str">
        <f aca="false">IF($D18="","",IFERROR(INDEX(LOT_FOURNE,MATCH($D18,LOT_KEY,0)),""))</f>
        <v/>
      </c>
      <c r="M18" s="26" t="str">
        <f aca="false">IF($E18="","",IFERROR(INDEX(EMPL_CLASSE,MATCH($E18,EMPL_KEY,0)),"?"))</f>
        <v/>
      </c>
      <c r="N18" s="26" t="str">
        <f aca="false">IF($F18="","",IFERROR(INDEX(EMPL_CLASSE,MATCH($F18,EMPL_KEY,0)),"?"))</f>
        <v/>
      </c>
      <c r="O18" s="28" t="n">
        <f aca="false">IF($C18="",0,IF(OR($B18="",$D18=""),0,IF($C18="AJUSTEMENT",IF(OR(NOT(ISNUMBER($G18)),$G18=0,$F18="",$H18=""),0,1),IF(OR(NOT(ISNUMBER($G18)),$G18&lt;=0),0,IF($C18="RECEPTION",IF($F18="",0,1),IF($C18="CONSOMMATION",IF($E18="",0,1),IF(OR($E18="",$F18="",$E18=$F18),0,1)))))))</f>
        <v>0</v>
      </c>
      <c r="P18" s="27" t="str">
        <f aca="false">IF(OR($O18=0,$C18="RECEPTION"),"",IF($C18="AJUSTEMENT",IF($G18&gt;0,"",SUMIFS(MVT_BRUT,MVT_LOT,$D18,MVT_EMPL,$F18)-$G18),SUMIFS(MVT_BRUT,MVT_LOT,$D18,MVT_EMPL,$E18)+$G18))</f>
        <v/>
      </c>
      <c r="Q18" s="26" t="str">
        <f aca="false">IF($C18="","",IF($O18=0,"DONNEES MANQUANTES",IF($C18="RECEPTION","OK",IF(AND($C18="AJUSTEMENT",$G18&gt;0),"OK",IF($P18&lt;=0,"EMPLACEMENT INCOHERENT",IF(ABS($G18)&gt;$P18+0.001,"STOCK INSUFFISANT","OK"))))))</f>
        <v/>
      </c>
      <c r="R18" s="28" t="n">
        <f aca="false">IF($Q18="OK",1,0)</f>
        <v>0</v>
      </c>
      <c r="S18" s="26" t="str">
        <f aca="false">IF($C18="","",IF($O18=0,"A COMPLETER : "&amp;IF($B18="","DATE; ","")&amp;IF($D18="","LOT INTERNE; ","")&amp;IF(NOT(ISNUMBER($G18)),"QUANTITE; ",IF(AND($C18="AJUSTEMENT",$G18=0),"QUANTITE &lt;&gt; 0; ",IF(AND($C18&lt;&gt;"AJUSTEMENT",$G18&lt;=0),"QUANTITE &gt; 0; ","")))&amp;IF(AND($C18="AJUSTEMENT",$H18=""),"MOTIF; ","")&amp;IF(AND(OR($C18="TRANSFERT",$C18="CONSOMMATION"),$E18=""),"EMPL. SOURCE; ","")&amp;IF(AND($C18&lt;&gt;"CONSOMMATION",$F18=""),"EMPL. DESTINATION; ","")&amp;IF(AND($C18="TRANSFERT",$E18&lt;&gt;"",$E18=$F18),"SOURCE = DESTINATION; ",""),IF($Q18="EMPLACEMENT INCOHERENT","Le lot "&amp;$D18&amp;" n'existe pas sur cet emplacement (stock 0). Verifier l'emplacement.",IF($Q18="STOCK INSUFFISANT","Disponible avant operation : "&amp;TEXT($P18,"#,##0.00")&amp;" kg. Ligne NON comptee en stock.",IF(COUNTIFS($B$5:$B$304,$B18,$C$5:$C$304,$C18,$D$5:$D$304,$D18,$G$5:$G$304,$G18)&gt;1,"Doublon possible (meme date, type, lot et quantite).",IF($K18="LOT NON REFERENCE","Creer d'abord la fiche du lot dans l'onglet LOTS.",""))))))</f>
        <v/>
      </c>
    </row>
    <row r="19" customFormat="false" ht="15" hidden="false" customHeight="false" outlineLevel="0" collapsed="false">
      <c r="A19" s="26" t="str">
        <f aca="false">IF($C19="","","OP-"&amp;TEXT(ROW()-4,"000"))</f>
        <v/>
      </c>
      <c r="B19" s="25"/>
      <c r="C19" s="24"/>
      <c r="D19" s="24"/>
      <c r="E19" s="24"/>
      <c r="F19" s="24"/>
      <c r="G19" s="29"/>
      <c r="H19" s="24"/>
      <c r="I19" s="24"/>
      <c r="J19" s="26" t="str">
        <f aca="false">IF($D19="","",IFERROR(INDEX(LOT_EXTE,MATCH($D19,LOT_KEY,0)),""))</f>
        <v/>
      </c>
      <c r="K19" s="26" t="str">
        <f aca="false">IF($D19="","",IFERROR(INDEX(LOT_PRODE,MATCH($D19,LOT_KEY,0)),"LOT NON REFERENCE"))</f>
        <v/>
      </c>
      <c r="L19" s="26" t="str">
        <f aca="false">IF($D19="","",IFERROR(INDEX(LOT_FOURNE,MATCH($D19,LOT_KEY,0)),""))</f>
        <v/>
      </c>
      <c r="M19" s="26" t="str">
        <f aca="false">IF($E19="","",IFERROR(INDEX(EMPL_CLASSE,MATCH($E19,EMPL_KEY,0)),"?"))</f>
        <v/>
      </c>
      <c r="N19" s="26" t="str">
        <f aca="false">IF($F19="","",IFERROR(INDEX(EMPL_CLASSE,MATCH($F19,EMPL_KEY,0)),"?"))</f>
        <v/>
      </c>
      <c r="O19" s="28" t="n">
        <f aca="false">IF($C19="",0,IF(OR($B19="",$D19=""),0,IF($C19="AJUSTEMENT",IF(OR(NOT(ISNUMBER($G19)),$G19=0,$F19="",$H19=""),0,1),IF(OR(NOT(ISNUMBER($G19)),$G19&lt;=0),0,IF($C19="RECEPTION",IF($F19="",0,1),IF($C19="CONSOMMATION",IF($E19="",0,1),IF(OR($E19="",$F19="",$E19=$F19),0,1)))))))</f>
        <v>0</v>
      </c>
      <c r="P19" s="27" t="str">
        <f aca="false">IF(OR($O19=0,$C19="RECEPTION"),"",IF($C19="AJUSTEMENT",IF($G19&gt;0,"",SUMIFS(MVT_BRUT,MVT_LOT,$D19,MVT_EMPL,$F19)-$G19),SUMIFS(MVT_BRUT,MVT_LOT,$D19,MVT_EMPL,$E19)+$G19))</f>
        <v/>
      </c>
      <c r="Q19" s="26" t="str">
        <f aca="false">IF($C19="","",IF($O19=0,"DONNEES MANQUANTES",IF($C19="RECEPTION","OK",IF(AND($C19="AJUSTEMENT",$G19&gt;0),"OK",IF($P19&lt;=0,"EMPLACEMENT INCOHERENT",IF(ABS($G19)&gt;$P19+0.001,"STOCK INSUFFISANT","OK"))))))</f>
        <v/>
      </c>
      <c r="R19" s="28" t="n">
        <f aca="false">IF($Q19="OK",1,0)</f>
        <v>0</v>
      </c>
      <c r="S19" s="26" t="str">
        <f aca="false">IF($C19="","",IF($O19=0,"A COMPLETER : "&amp;IF($B19="","DATE; ","")&amp;IF($D19="","LOT INTERNE; ","")&amp;IF(NOT(ISNUMBER($G19)),"QUANTITE; ",IF(AND($C19="AJUSTEMENT",$G19=0),"QUANTITE &lt;&gt; 0; ",IF(AND($C19&lt;&gt;"AJUSTEMENT",$G19&lt;=0),"QUANTITE &gt; 0; ","")))&amp;IF(AND($C19="AJUSTEMENT",$H19=""),"MOTIF; ","")&amp;IF(AND(OR($C19="TRANSFERT",$C19="CONSOMMATION"),$E19=""),"EMPL. SOURCE; ","")&amp;IF(AND($C19&lt;&gt;"CONSOMMATION",$F19=""),"EMPL. DESTINATION; ","")&amp;IF(AND($C19="TRANSFERT",$E19&lt;&gt;"",$E19=$F19),"SOURCE = DESTINATION; ",""),IF($Q19="EMPLACEMENT INCOHERENT","Le lot "&amp;$D19&amp;" n'existe pas sur cet emplacement (stock 0). Verifier l'emplacement.",IF($Q19="STOCK INSUFFISANT","Disponible avant operation : "&amp;TEXT($P19,"#,##0.00")&amp;" kg. Ligne NON comptee en stock.",IF(COUNTIFS($B$5:$B$304,$B19,$C$5:$C$304,$C19,$D$5:$D$304,$D19,$G$5:$G$304,$G19)&gt;1,"Doublon possible (meme date, type, lot et quantite).",IF($K19="LOT NON REFERENCE","Creer d'abord la fiche du lot dans l'onglet LOTS.",""))))))</f>
        <v/>
      </c>
    </row>
    <row r="20" customFormat="false" ht="15" hidden="false" customHeight="false" outlineLevel="0" collapsed="false">
      <c r="A20" s="26" t="str">
        <f aca="false">IF($C20="","","OP-"&amp;TEXT(ROW()-4,"000"))</f>
        <v/>
      </c>
      <c r="B20" s="25"/>
      <c r="C20" s="24"/>
      <c r="D20" s="24"/>
      <c r="E20" s="24"/>
      <c r="F20" s="24"/>
      <c r="G20" s="29"/>
      <c r="H20" s="24"/>
      <c r="I20" s="24"/>
      <c r="J20" s="26" t="str">
        <f aca="false">IF($D20="","",IFERROR(INDEX(LOT_EXTE,MATCH($D20,LOT_KEY,0)),""))</f>
        <v/>
      </c>
      <c r="K20" s="26" t="str">
        <f aca="false">IF($D20="","",IFERROR(INDEX(LOT_PRODE,MATCH($D20,LOT_KEY,0)),"LOT NON REFERENCE"))</f>
        <v/>
      </c>
      <c r="L20" s="26" t="str">
        <f aca="false">IF($D20="","",IFERROR(INDEX(LOT_FOURNE,MATCH($D20,LOT_KEY,0)),""))</f>
        <v/>
      </c>
      <c r="M20" s="26" t="str">
        <f aca="false">IF($E20="","",IFERROR(INDEX(EMPL_CLASSE,MATCH($E20,EMPL_KEY,0)),"?"))</f>
        <v/>
      </c>
      <c r="N20" s="26" t="str">
        <f aca="false">IF($F20="","",IFERROR(INDEX(EMPL_CLASSE,MATCH($F20,EMPL_KEY,0)),"?"))</f>
        <v/>
      </c>
      <c r="O20" s="28" t="n">
        <f aca="false">IF($C20="",0,IF(OR($B20="",$D20=""),0,IF($C20="AJUSTEMENT",IF(OR(NOT(ISNUMBER($G20)),$G20=0,$F20="",$H20=""),0,1),IF(OR(NOT(ISNUMBER($G20)),$G20&lt;=0),0,IF($C20="RECEPTION",IF($F20="",0,1),IF($C20="CONSOMMATION",IF($E20="",0,1),IF(OR($E20="",$F20="",$E20=$F20),0,1)))))))</f>
        <v>0</v>
      </c>
      <c r="P20" s="27" t="str">
        <f aca="false">IF(OR($O20=0,$C20="RECEPTION"),"",IF($C20="AJUSTEMENT",IF($G20&gt;0,"",SUMIFS(MVT_BRUT,MVT_LOT,$D20,MVT_EMPL,$F20)-$G20),SUMIFS(MVT_BRUT,MVT_LOT,$D20,MVT_EMPL,$E20)+$G20))</f>
        <v/>
      </c>
      <c r="Q20" s="26" t="str">
        <f aca="false">IF($C20="","",IF($O20=0,"DONNEES MANQUANTES",IF($C20="RECEPTION","OK",IF(AND($C20="AJUSTEMENT",$G20&gt;0),"OK",IF($P20&lt;=0,"EMPLACEMENT INCOHERENT",IF(ABS($G20)&gt;$P20+0.001,"STOCK INSUFFISANT","OK"))))))</f>
        <v/>
      </c>
      <c r="R20" s="28" t="n">
        <f aca="false">IF($Q20="OK",1,0)</f>
        <v>0</v>
      </c>
      <c r="S20" s="26" t="str">
        <f aca="false">IF($C20="","",IF($O20=0,"A COMPLETER : "&amp;IF($B20="","DATE; ","")&amp;IF($D20="","LOT INTERNE; ","")&amp;IF(NOT(ISNUMBER($G20)),"QUANTITE; ",IF(AND($C20="AJUSTEMENT",$G20=0),"QUANTITE &lt;&gt; 0; ",IF(AND($C20&lt;&gt;"AJUSTEMENT",$G20&lt;=0),"QUANTITE &gt; 0; ","")))&amp;IF(AND($C20="AJUSTEMENT",$H20=""),"MOTIF; ","")&amp;IF(AND(OR($C20="TRANSFERT",$C20="CONSOMMATION"),$E20=""),"EMPL. SOURCE; ","")&amp;IF(AND($C20&lt;&gt;"CONSOMMATION",$F20=""),"EMPL. DESTINATION; ","")&amp;IF(AND($C20="TRANSFERT",$E20&lt;&gt;"",$E20=$F20),"SOURCE = DESTINATION; ",""),IF($Q20="EMPLACEMENT INCOHERENT","Le lot "&amp;$D20&amp;" n'existe pas sur cet emplacement (stock 0). Verifier l'emplacement.",IF($Q20="STOCK INSUFFISANT","Disponible avant operation : "&amp;TEXT($P20,"#,##0.00")&amp;" kg. Ligne NON comptee en stock.",IF(COUNTIFS($B$5:$B$304,$B20,$C$5:$C$304,$C20,$D$5:$D$304,$D20,$G$5:$G$304,$G20)&gt;1,"Doublon possible (meme date, type, lot et quantite).",IF($K20="LOT NON REFERENCE","Creer d'abord la fiche du lot dans l'onglet LOTS.",""))))))</f>
        <v/>
      </c>
    </row>
    <row r="21" customFormat="false" ht="15" hidden="false" customHeight="false" outlineLevel="0" collapsed="false">
      <c r="A21" s="26" t="str">
        <f aca="false">IF($C21="","","OP-"&amp;TEXT(ROW()-4,"000"))</f>
        <v/>
      </c>
      <c r="B21" s="25"/>
      <c r="C21" s="24"/>
      <c r="D21" s="24"/>
      <c r="E21" s="24"/>
      <c r="F21" s="24"/>
      <c r="G21" s="29"/>
      <c r="H21" s="24"/>
      <c r="I21" s="24"/>
      <c r="J21" s="26" t="str">
        <f aca="false">IF($D21="","",IFERROR(INDEX(LOT_EXTE,MATCH($D21,LOT_KEY,0)),""))</f>
        <v/>
      </c>
      <c r="K21" s="26" t="str">
        <f aca="false">IF($D21="","",IFERROR(INDEX(LOT_PRODE,MATCH($D21,LOT_KEY,0)),"LOT NON REFERENCE"))</f>
        <v/>
      </c>
      <c r="L21" s="26" t="str">
        <f aca="false">IF($D21="","",IFERROR(INDEX(LOT_FOURNE,MATCH($D21,LOT_KEY,0)),""))</f>
        <v/>
      </c>
      <c r="M21" s="26" t="str">
        <f aca="false">IF($E21="","",IFERROR(INDEX(EMPL_CLASSE,MATCH($E21,EMPL_KEY,0)),"?"))</f>
        <v/>
      </c>
      <c r="N21" s="26" t="str">
        <f aca="false">IF($F21="","",IFERROR(INDEX(EMPL_CLASSE,MATCH($F21,EMPL_KEY,0)),"?"))</f>
        <v/>
      </c>
      <c r="O21" s="28" t="n">
        <f aca="false">IF($C21="",0,IF(OR($B21="",$D21=""),0,IF($C21="AJUSTEMENT",IF(OR(NOT(ISNUMBER($G21)),$G21=0,$F21="",$H21=""),0,1),IF(OR(NOT(ISNUMBER($G21)),$G21&lt;=0),0,IF($C21="RECEPTION",IF($F21="",0,1),IF($C21="CONSOMMATION",IF($E21="",0,1),IF(OR($E21="",$F21="",$E21=$F21),0,1)))))))</f>
        <v>0</v>
      </c>
      <c r="P21" s="27" t="str">
        <f aca="false">IF(OR($O21=0,$C21="RECEPTION"),"",IF($C21="AJUSTEMENT",IF($G21&gt;0,"",SUMIFS(MVT_BRUT,MVT_LOT,$D21,MVT_EMPL,$F21)-$G21),SUMIFS(MVT_BRUT,MVT_LOT,$D21,MVT_EMPL,$E21)+$G21))</f>
        <v/>
      </c>
      <c r="Q21" s="26" t="str">
        <f aca="false">IF($C21="","",IF($O21=0,"DONNEES MANQUANTES",IF($C21="RECEPTION","OK",IF(AND($C21="AJUSTEMENT",$G21&gt;0),"OK",IF($P21&lt;=0,"EMPLACEMENT INCOHERENT",IF(ABS($G21)&gt;$P21+0.001,"STOCK INSUFFISANT","OK"))))))</f>
        <v/>
      </c>
      <c r="R21" s="28" t="n">
        <f aca="false">IF($Q21="OK",1,0)</f>
        <v>0</v>
      </c>
      <c r="S21" s="26" t="str">
        <f aca="false">IF($C21="","",IF($O21=0,"A COMPLETER : "&amp;IF($B21="","DATE; ","")&amp;IF($D21="","LOT INTERNE; ","")&amp;IF(NOT(ISNUMBER($G21)),"QUANTITE; ",IF(AND($C21="AJUSTEMENT",$G21=0),"QUANTITE &lt;&gt; 0; ",IF(AND($C21&lt;&gt;"AJUSTEMENT",$G21&lt;=0),"QUANTITE &gt; 0; ","")))&amp;IF(AND($C21="AJUSTEMENT",$H21=""),"MOTIF; ","")&amp;IF(AND(OR($C21="TRANSFERT",$C21="CONSOMMATION"),$E21=""),"EMPL. SOURCE; ","")&amp;IF(AND($C21&lt;&gt;"CONSOMMATION",$F21=""),"EMPL. DESTINATION; ","")&amp;IF(AND($C21="TRANSFERT",$E21&lt;&gt;"",$E21=$F21),"SOURCE = DESTINATION; ",""),IF($Q21="EMPLACEMENT INCOHERENT","Le lot "&amp;$D21&amp;" n'existe pas sur cet emplacement (stock 0). Verifier l'emplacement.",IF($Q21="STOCK INSUFFISANT","Disponible avant operation : "&amp;TEXT($P21,"#,##0.00")&amp;" kg. Ligne NON comptee en stock.",IF(COUNTIFS($B$5:$B$304,$B21,$C$5:$C$304,$C21,$D$5:$D$304,$D21,$G$5:$G$304,$G21)&gt;1,"Doublon possible (meme date, type, lot et quantite).",IF($K21="LOT NON REFERENCE","Creer d'abord la fiche du lot dans l'onglet LOTS.",""))))))</f>
        <v/>
      </c>
    </row>
    <row r="22" customFormat="false" ht="15" hidden="false" customHeight="false" outlineLevel="0" collapsed="false">
      <c r="A22" s="26" t="str">
        <f aca="false">IF($C22="","","OP-"&amp;TEXT(ROW()-4,"000"))</f>
        <v/>
      </c>
      <c r="B22" s="25"/>
      <c r="C22" s="24"/>
      <c r="D22" s="24"/>
      <c r="E22" s="24"/>
      <c r="F22" s="24"/>
      <c r="G22" s="29"/>
      <c r="H22" s="24"/>
      <c r="I22" s="24"/>
      <c r="J22" s="26" t="str">
        <f aca="false">IF($D22="","",IFERROR(INDEX(LOT_EXTE,MATCH($D22,LOT_KEY,0)),""))</f>
        <v/>
      </c>
      <c r="K22" s="26" t="str">
        <f aca="false">IF($D22="","",IFERROR(INDEX(LOT_PRODE,MATCH($D22,LOT_KEY,0)),"LOT NON REFERENCE"))</f>
        <v/>
      </c>
      <c r="L22" s="26" t="str">
        <f aca="false">IF($D22="","",IFERROR(INDEX(LOT_FOURNE,MATCH($D22,LOT_KEY,0)),""))</f>
        <v/>
      </c>
      <c r="M22" s="26" t="str">
        <f aca="false">IF($E22="","",IFERROR(INDEX(EMPL_CLASSE,MATCH($E22,EMPL_KEY,0)),"?"))</f>
        <v/>
      </c>
      <c r="N22" s="26" t="str">
        <f aca="false">IF($F22="","",IFERROR(INDEX(EMPL_CLASSE,MATCH($F22,EMPL_KEY,0)),"?"))</f>
        <v/>
      </c>
      <c r="O22" s="28" t="n">
        <f aca="false">IF($C22="",0,IF(OR($B22="",$D22=""),0,IF($C22="AJUSTEMENT",IF(OR(NOT(ISNUMBER($G22)),$G22=0,$F22="",$H22=""),0,1),IF(OR(NOT(ISNUMBER($G22)),$G22&lt;=0),0,IF($C22="RECEPTION",IF($F22="",0,1),IF($C22="CONSOMMATION",IF($E22="",0,1),IF(OR($E22="",$F22="",$E22=$F22),0,1)))))))</f>
        <v>0</v>
      </c>
      <c r="P22" s="27" t="str">
        <f aca="false">IF(OR($O22=0,$C22="RECEPTION"),"",IF($C22="AJUSTEMENT",IF($G22&gt;0,"",SUMIFS(MVT_BRUT,MVT_LOT,$D22,MVT_EMPL,$F22)-$G22),SUMIFS(MVT_BRUT,MVT_LOT,$D22,MVT_EMPL,$E22)+$G22))</f>
        <v/>
      </c>
      <c r="Q22" s="26" t="str">
        <f aca="false">IF($C22="","",IF($O22=0,"DONNEES MANQUANTES",IF($C22="RECEPTION","OK",IF(AND($C22="AJUSTEMENT",$G22&gt;0),"OK",IF($P22&lt;=0,"EMPLACEMENT INCOHERENT",IF(ABS($G22)&gt;$P22+0.001,"STOCK INSUFFISANT","OK"))))))</f>
        <v/>
      </c>
      <c r="R22" s="28" t="n">
        <f aca="false">IF($Q22="OK",1,0)</f>
        <v>0</v>
      </c>
      <c r="S22" s="26" t="str">
        <f aca="false">IF($C22="","",IF($O22=0,"A COMPLETER : "&amp;IF($B22="","DATE; ","")&amp;IF($D22="","LOT INTERNE; ","")&amp;IF(NOT(ISNUMBER($G22)),"QUANTITE; ",IF(AND($C22="AJUSTEMENT",$G22=0),"QUANTITE &lt;&gt; 0; ",IF(AND($C22&lt;&gt;"AJUSTEMENT",$G22&lt;=0),"QUANTITE &gt; 0; ","")))&amp;IF(AND($C22="AJUSTEMENT",$H22=""),"MOTIF; ","")&amp;IF(AND(OR($C22="TRANSFERT",$C22="CONSOMMATION"),$E22=""),"EMPL. SOURCE; ","")&amp;IF(AND($C22&lt;&gt;"CONSOMMATION",$F22=""),"EMPL. DESTINATION; ","")&amp;IF(AND($C22="TRANSFERT",$E22&lt;&gt;"",$E22=$F22),"SOURCE = DESTINATION; ",""),IF($Q22="EMPLACEMENT INCOHERENT","Le lot "&amp;$D22&amp;" n'existe pas sur cet emplacement (stock 0). Verifier l'emplacement.",IF($Q22="STOCK INSUFFISANT","Disponible avant operation : "&amp;TEXT($P22,"#,##0.00")&amp;" kg. Ligne NON comptee en stock.",IF(COUNTIFS($B$5:$B$304,$B22,$C$5:$C$304,$C22,$D$5:$D$304,$D22,$G$5:$G$304,$G22)&gt;1,"Doublon possible (meme date, type, lot et quantite).",IF($K22="LOT NON REFERENCE","Creer d'abord la fiche du lot dans l'onglet LOTS.",""))))))</f>
        <v/>
      </c>
    </row>
    <row r="23" customFormat="false" ht="15" hidden="false" customHeight="false" outlineLevel="0" collapsed="false">
      <c r="A23" s="26" t="str">
        <f aca="false">IF($C23="","","OP-"&amp;TEXT(ROW()-4,"000"))</f>
        <v/>
      </c>
      <c r="B23" s="25"/>
      <c r="C23" s="24"/>
      <c r="D23" s="24"/>
      <c r="E23" s="24"/>
      <c r="F23" s="24"/>
      <c r="G23" s="29"/>
      <c r="H23" s="24"/>
      <c r="I23" s="24"/>
      <c r="J23" s="26" t="str">
        <f aca="false">IF($D23="","",IFERROR(INDEX(LOT_EXTE,MATCH($D23,LOT_KEY,0)),""))</f>
        <v/>
      </c>
      <c r="K23" s="26" t="str">
        <f aca="false">IF($D23="","",IFERROR(INDEX(LOT_PRODE,MATCH($D23,LOT_KEY,0)),"LOT NON REFERENCE"))</f>
        <v/>
      </c>
      <c r="L23" s="26" t="str">
        <f aca="false">IF($D23="","",IFERROR(INDEX(LOT_FOURNE,MATCH($D23,LOT_KEY,0)),""))</f>
        <v/>
      </c>
      <c r="M23" s="26" t="str">
        <f aca="false">IF($E23="","",IFERROR(INDEX(EMPL_CLASSE,MATCH($E23,EMPL_KEY,0)),"?"))</f>
        <v/>
      </c>
      <c r="N23" s="26" t="str">
        <f aca="false">IF($F23="","",IFERROR(INDEX(EMPL_CLASSE,MATCH($F23,EMPL_KEY,0)),"?"))</f>
        <v/>
      </c>
      <c r="O23" s="28" t="n">
        <f aca="false">IF($C23="",0,IF(OR($B23="",$D23=""),0,IF($C23="AJUSTEMENT",IF(OR(NOT(ISNUMBER($G23)),$G23=0,$F23="",$H23=""),0,1),IF(OR(NOT(ISNUMBER($G23)),$G23&lt;=0),0,IF($C23="RECEPTION",IF($F23="",0,1),IF($C23="CONSOMMATION",IF($E23="",0,1),IF(OR($E23="",$F23="",$E23=$F23),0,1)))))))</f>
        <v>0</v>
      </c>
      <c r="P23" s="27" t="str">
        <f aca="false">IF(OR($O23=0,$C23="RECEPTION"),"",IF($C23="AJUSTEMENT",IF($G23&gt;0,"",SUMIFS(MVT_BRUT,MVT_LOT,$D23,MVT_EMPL,$F23)-$G23),SUMIFS(MVT_BRUT,MVT_LOT,$D23,MVT_EMPL,$E23)+$G23))</f>
        <v/>
      </c>
      <c r="Q23" s="26" t="str">
        <f aca="false">IF($C23="","",IF($O23=0,"DONNEES MANQUANTES",IF($C23="RECEPTION","OK",IF(AND($C23="AJUSTEMENT",$G23&gt;0),"OK",IF($P23&lt;=0,"EMPLACEMENT INCOHERENT",IF(ABS($G23)&gt;$P23+0.001,"STOCK INSUFFISANT","OK"))))))</f>
        <v/>
      </c>
      <c r="R23" s="28" t="n">
        <f aca="false">IF($Q23="OK",1,0)</f>
        <v>0</v>
      </c>
      <c r="S23" s="26" t="str">
        <f aca="false">IF($C23="","",IF($O23=0,"A COMPLETER : "&amp;IF($B23="","DATE; ","")&amp;IF($D23="","LOT INTERNE; ","")&amp;IF(NOT(ISNUMBER($G23)),"QUANTITE; ",IF(AND($C23="AJUSTEMENT",$G23=0),"QUANTITE &lt;&gt; 0; ",IF(AND($C23&lt;&gt;"AJUSTEMENT",$G23&lt;=0),"QUANTITE &gt; 0; ","")))&amp;IF(AND($C23="AJUSTEMENT",$H23=""),"MOTIF; ","")&amp;IF(AND(OR($C23="TRANSFERT",$C23="CONSOMMATION"),$E23=""),"EMPL. SOURCE; ","")&amp;IF(AND($C23&lt;&gt;"CONSOMMATION",$F23=""),"EMPL. DESTINATION; ","")&amp;IF(AND($C23="TRANSFERT",$E23&lt;&gt;"",$E23=$F23),"SOURCE = DESTINATION; ",""),IF($Q23="EMPLACEMENT INCOHERENT","Le lot "&amp;$D23&amp;" n'existe pas sur cet emplacement (stock 0). Verifier l'emplacement.",IF($Q23="STOCK INSUFFISANT","Disponible avant operation : "&amp;TEXT($P23,"#,##0.00")&amp;" kg. Ligne NON comptee en stock.",IF(COUNTIFS($B$5:$B$304,$B23,$C$5:$C$304,$C23,$D$5:$D$304,$D23,$G$5:$G$304,$G23)&gt;1,"Doublon possible (meme date, type, lot et quantite).",IF($K23="LOT NON REFERENCE","Creer d'abord la fiche du lot dans l'onglet LOTS.",""))))))</f>
        <v/>
      </c>
    </row>
    <row r="24" customFormat="false" ht="15" hidden="false" customHeight="false" outlineLevel="0" collapsed="false">
      <c r="A24" s="26" t="str">
        <f aca="false">IF($C24="","","OP-"&amp;TEXT(ROW()-4,"000"))</f>
        <v/>
      </c>
      <c r="B24" s="25"/>
      <c r="C24" s="24"/>
      <c r="D24" s="24"/>
      <c r="E24" s="24"/>
      <c r="F24" s="24"/>
      <c r="G24" s="29"/>
      <c r="H24" s="24"/>
      <c r="I24" s="24"/>
      <c r="J24" s="26" t="str">
        <f aca="false">IF($D24="","",IFERROR(INDEX(LOT_EXTE,MATCH($D24,LOT_KEY,0)),""))</f>
        <v/>
      </c>
      <c r="K24" s="26" t="str">
        <f aca="false">IF($D24="","",IFERROR(INDEX(LOT_PRODE,MATCH($D24,LOT_KEY,0)),"LOT NON REFERENCE"))</f>
        <v/>
      </c>
      <c r="L24" s="26" t="str">
        <f aca="false">IF($D24="","",IFERROR(INDEX(LOT_FOURNE,MATCH($D24,LOT_KEY,0)),""))</f>
        <v/>
      </c>
      <c r="M24" s="26" t="str">
        <f aca="false">IF($E24="","",IFERROR(INDEX(EMPL_CLASSE,MATCH($E24,EMPL_KEY,0)),"?"))</f>
        <v/>
      </c>
      <c r="N24" s="26" t="str">
        <f aca="false">IF($F24="","",IFERROR(INDEX(EMPL_CLASSE,MATCH($F24,EMPL_KEY,0)),"?"))</f>
        <v/>
      </c>
      <c r="O24" s="28" t="n">
        <f aca="false">IF($C24="",0,IF(OR($B24="",$D24=""),0,IF($C24="AJUSTEMENT",IF(OR(NOT(ISNUMBER($G24)),$G24=0,$F24="",$H24=""),0,1),IF(OR(NOT(ISNUMBER($G24)),$G24&lt;=0),0,IF($C24="RECEPTION",IF($F24="",0,1),IF($C24="CONSOMMATION",IF($E24="",0,1),IF(OR($E24="",$F24="",$E24=$F24),0,1)))))))</f>
        <v>0</v>
      </c>
      <c r="P24" s="27" t="str">
        <f aca="false">IF(OR($O24=0,$C24="RECEPTION"),"",IF($C24="AJUSTEMENT",IF($G24&gt;0,"",SUMIFS(MVT_BRUT,MVT_LOT,$D24,MVT_EMPL,$F24)-$G24),SUMIFS(MVT_BRUT,MVT_LOT,$D24,MVT_EMPL,$E24)+$G24))</f>
        <v/>
      </c>
      <c r="Q24" s="26" t="str">
        <f aca="false">IF($C24="","",IF($O24=0,"DONNEES MANQUANTES",IF($C24="RECEPTION","OK",IF(AND($C24="AJUSTEMENT",$G24&gt;0),"OK",IF($P24&lt;=0,"EMPLACEMENT INCOHERENT",IF(ABS($G24)&gt;$P24+0.001,"STOCK INSUFFISANT","OK"))))))</f>
        <v/>
      </c>
      <c r="R24" s="28" t="n">
        <f aca="false">IF($Q24="OK",1,0)</f>
        <v>0</v>
      </c>
      <c r="S24" s="26" t="str">
        <f aca="false">IF($C24="","",IF($O24=0,"A COMPLETER : "&amp;IF($B24="","DATE; ","")&amp;IF($D24="","LOT INTERNE; ","")&amp;IF(NOT(ISNUMBER($G24)),"QUANTITE; ",IF(AND($C24="AJUSTEMENT",$G24=0),"QUANTITE &lt;&gt; 0; ",IF(AND($C24&lt;&gt;"AJUSTEMENT",$G24&lt;=0),"QUANTITE &gt; 0; ","")))&amp;IF(AND($C24="AJUSTEMENT",$H24=""),"MOTIF; ","")&amp;IF(AND(OR($C24="TRANSFERT",$C24="CONSOMMATION"),$E24=""),"EMPL. SOURCE; ","")&amp;IF(AND($C24&lt;&gt;"CONSOMMATION",$F24=""),"EMPL. DESTINATION; ","")&amp;IF(AND($C24="TRANSFERT",$E24&lt;&gt;"",$E24=$F24),"SOURCE = DESTINATION; ",""),IF($Q24="EMPLACEMENT INCOHERENT","Le lot "&amp;$D24&amp;" n'existe pas sur cet emplacement (stock 0). Verifier l'emplacement.",IF($Q24="STOCK INSUFFISANT","Disponible avant operation : "&amp;TEXT($P24,"#,##0.00")&amp;" kg. Ligne NON comptee en stock.",IF(COUNTIFS($B$5:$B$304,$B24,$C$5:$C$304,$C24,$D$5:$D$304,$D24,$G$5:$G$304,$G24)&gt;1,"Doublon possible (meme date, type, lot et quantite).",IF($K24="LOT NON REFERENCE","Creer d'abord la fiche du lot dans l'onglet LOTS.",""))))))</f>
        <v/>
      </c>
    </row>
    <row r="25" customFormat="false" ht="15" hidden="false" customHeight="false" outlineLevel="0" collapsed="false">
      <c r="A25" s="26" t="str">
        <f aca="false">IF($C25="","","OP-"&amp;TEXT(ROW()-4,"000"))</f>
        <v/>
      </c>
      <c r="B25" s="25"/>
      <c r="C25" s="24"/>
      <c r="D25" s="24"/>
      <c r="E25" s="24"/>
      <c r="F25" s="24"/>
      <c r="G25" s="29"/>
      <c r="H25" s="24"/>
      <c r="I25" s="24"/>
      <c r="J25" s="26" t="str">
        <f aca="false">IF($D25="","",IFERROR(INDEX(LOT_EXTE,MATCH($D25,LOT_KEY,0)),""))</f>
        <v/>
      </c>
      <c r="K25" s="26" t="str">
        <f aca="false">IF($D25="","",IFERROR(INDEX(LOT_PRODE,MATCH($D25,LOT_KEY,0)),"LOT NON REFERENCE"))</f>
        <v/>
      </c>
      <c r="L25" s="26" t="str">
        <f aca="false">IF($D25="","",IFERROR(INDEX(LOT_FOURNE,MATCH($D25,LOT_KEY,0)),""))</f>
        <v/>
      </c>
      <c r="M25" s="26" t="str">
        <f aca="false">IF($E25="","",IFERROR(INDEX(EMPL_CLASSE,MATCH($E25,EMPL_KEY,0)),"?"))</f>
        <v/>
      </c>
      <c r="N25" s="26" t="str">
        <f aca="false">IF($F25="","",IFERROR(INDEX(EMPL_CLASSE,MATCH($F25,EMPL_KEY,0)),"?"))</f>
        <v/>
      </c>
      <c r="O25" s="28" t="n">
        <f aca="false">IF($C25="",0,IF(OR($B25="",$D25=""),0,IF($C25="AJUSTEMENT",IF(OR(NOT(ISNUMBER($G25)),$G25=0,$F25="",$H25=""),0,1),IF(OR(NOT(ISNUMBER($G25)),$G25&lt;=0),0,IF($C25="RECEPTION",IF($F25="",0,1),IF($C25="CONSOMMATION",IF($E25="",0,1),IF(OR($E25="",$F25="",$E25=$F25),0,1)))))))</f>
        <v>0</v>
      </c>
      <c r="P25" s="27" t="str">
        <f aca="false">IF(OR($O25=0,$C25="RECEPTION"),"",IF($C25="AJUSTEMENT",IF($G25&gt;0,"",SUMIFS(MVT_BRUT,MVT_LOT,$D25,MVT_EMPL,$F25)-$G25),SUMIFS(MVT_BRUT,MVT_LOT,$D25,MVT_EMPL,$E25)+$G25))</f>
        <v/>
      </c>
      <c r="Q25" s="26" t="str">
        <f aca="false">IF($C25="","",IF($O25=0,"DONNEES MANQUANTES",IF($C25="RECEPTION","OK",IF(AND($C25="AJUSTEMENT",$G25&gt;0),"OK",IF($P25&lt;=0,"EMPLACEMENT INCOHERENT",IF(ABS($G25)&gt;$P25+0.001,"STOCK INSUFFISANT","OK"))))))</f>
        <v/>
      </c>
      <c r="R25" s="28" t="n">
        <f aca="false">IF($Q25="OK",1,0)</f>
        <v>0</v>
      </c>
      <c r="S25" s="26" t="str">
        <f aca="false">IF($C25="","",IF($O25=0,"A COMPLETER : "&amp;IF($B25="","DATE; ","")&amp;IF($D25="","LOT INTERNE; ","")&amp;IF(NOT(ISNUMBER($G25)),"QUANTITE; ",IF(AND($C25="AJUSTEMENT",$G25=0),"QUANTITE &lt;&gt; 0; ",IF(AND($C25&lt;&gt;"AJUSTEMENT",$G25&lt;=0),"QUANTITE &gt; 0; ","")))&amp;IF(AND($C25="AJUSTEMENT",$H25=""),"MOTIF; ","")&amp;IF(AND(OR($C25="TRANSFERT",$C25="CONSOMMATION"),$E25=""),"EMPL. SOURCE; ","")&amp;IF(AND($C25&lt;&gt;"CONSOMMATION",$F25=""),"EMPL. DESTINATION; ","")&amp;IF(AND($C25="TRANSFERT",$E25&lt;&gt;"",$E25=$F25),"SOURCE = DESTINATION; ",""),IF($Q25="EMPLACEMENT INCOHERENT","Le lot "&amp;$D25&amp;" n'existe pas sur cet emplacement (stock 0). Verifier l'emplacement.",IF($Q25="STOCK INSUFFISANT","Disponible avant operation : "&amp;TEXT($P25,"#,##0.00")&amp;" kg. Ligne NON comptee en stock.",IF(COUNTIFS($B$5:$B$304,$B25,$C$5:$C$304,$C25,$D$5:$D$304,$D25,$G$5:$G$304,$G25)&gt;1,"Doublon possible (meme date, type, lot et quantite).",IF($K25="LOT NON REFERENCE","Creer d'abord la fiche du lot dans l'onglet LOTS.",""))))))</f>
        <v/>
      </c>
    </row>
    <row r="26" customFormat="false" ht="15" hidden="false" customHeight="false" outlineLevel="0" collapsed="false">
      <c r="A26" s="26" t="str">
        <f aca="false">IF($C26="","","OP-"&amp;TEXT(ROW()-4,"000"))</f>
        <v/>
      </c>
      <c r="B26" s="25"/>
      <c r="C26" s="24"/>
      <c r="D26" s="24"/>
      <c r="E26" s="24"/>
      <c r="F26" s="24"/>
      <c r="G26" s="29"/>
      <c r="H26" s="24"/>
      <c r="I26" s="24"/>
      <c r="J26" s="26" t="str">
        <f aca="false">IF($D26="","",IFERROR(INDEX(LOT_EXTE,MATCH($D26,LOT_KEY,0)),""))</f>
        <v/>
      </c>
      <c r="K26" s="26" t="str">
        <f aca="false">IF($D26="","",IFERROR(INDEX(LOT_PRODE,MATCH($D26,LOT_KEY,0)),"LOT NON REFERENCE"))</f>
        <v/>
      </c>
      <c r="L26" s="26" t="str">
        <f aca="false">IF($D26="","",IFERROR(INDEX(LOT_FOURNE,MATCH($D26,LOT_KEY,0)),""))</f>
        <v/>
      </c>
      <c r="M26" s="26" t="str">
        <f aca="false">IF($E26="","",IFERROR(INDEX(EMPL_CLASSE,MATCH($E26,EMPL_KEY,0)),"?"))</f>
        <v/>
      </c>
      <c r="N26" s="26" t="str">
        <f aca="false">IF($F26="","",IFERROR(INDEX(EMPL_CLASSE,MATCH($F26,EMPL_KEY,0)),"?"))</f>
        <v/>
      </c>
      <c r="O26" s="28" t="n">
        <f aca="false">IF($C26="",0,IF(OR($B26="",$D26=""),0,IF($C26="AJUSTEMENT",IF(OR(NOT(ISNUMBER($G26)),$G26=0,$F26="",$H26=""),0,1),IF(OR(NOT(ISNUMBER($G26)),$G26&lt;=0),0,IF($C26="RECEPTION",IF($F26="",0,1),IF($C26="CONSOMMATION",IF($E26="",0,1),IF(OR($E26="",$F26="",$E26=$F26),0,1)))))))</f>
        <v>0</v>
      </c>
      <c r="P26" s="27" t="str">
        <f aca="false">IF(OR($O26=0,$C26="RECEPTION"),"",IF($C26="AJUSTEMENT",IF($G26&gt;0,"",SUMIFS(MVT_BRUT,MVT_LOT,$D26,MVT_EMPL,$F26)-$G26),SUMIFS(MVT_BRUT,MVT_LOT,$D26,MVT_EMPL,$E26)+$G26))</f>
        <v/>
      </c>
      <c r="Q26" s="26" t="str">
        <f aca="false">IF($C26="","",IF($O26=0,"DONNEES MANQUANTES",IF($C26="RECEPTION","OK",IF(AND($C26="AJUSTEMENT",$G26&gt;0),"OK",IF($P26&lt;=0,"EMPLACEMENT INCOHERENT",IF(ABS($G26)&gt;$P26+0.001,"STOCK INSUFFISANT","OK"))))))</f>
        <v/>
      </c>
      <c r="R26" s="28" t="n">
        <f aca="false">IF($Q26="OK",1,0)</f>
        <v>0</v>
      </c>
      <c r="S26" s="26" t="str">
        <f aca="false">IF($C26="","",IF($O26=0,"A COMPLETER : "&amp;IF($B26="","DATE; ","")&amp;IF($D26="","LOT INTERNE; ","")&amp;IF(NOT(ISNUMBER($G26)),"QUANTITE; ",IF(AND($C26="AJUSTEMENT",$G26=0),"QUANTITE &lt;&gt; 0; ",IF(AND($C26&lt;&gt;"AJUSTEMENT",$G26&lt;=0),"QUANTITE &gt; 0; ","")))&amp;IF(AND($C26="AJUSTEMENT",$H26=""),"MOTIF; ","")&amp;IF(AND(OR($C26="TRANSFERT",$C26="CONSOMMATION"),$E26=""),"EMPL. SOURCE; ","")&amp;IF(AND($C26&lt;&gt;"CONSOMMATION",$F26=""),"EMPL. DESTINATION; ","")&amp;IF(AND($C26="TRANSFERT",$E26&lt;&gt;"",$E26=$F26),"SOURCE = DESTINATION; ",""),IF($Q26="EMPLACEMENT INCOHERENT","Le lot "&amp;$D26&amp;" n'existe pas sur cet emplacement (stock 0). Verifier l'emplacement.",IF($Q26="STOCK INSUFFISANT","Disponible avant operation : "&amp;TEXT($P26,"#,##0.00")&amp;" kg. Ligne NON comptee en stock.",IF(COUNTIFS($B$5:$B$304,$B26,$C$5:$C$304,$C26,$D$5:$D$304,$D26,$G$5:$G$304,$G26)&gt;1,"Doublon possible (meme date, type, lot et quantite).",IF($K26="LOT NON REFERENCE","Creer d'abord la fiche du lot dans l'onglet LOTS.",""))))))</f>
        <v/>
      </c>
    </row>
    <row r="27" customFormat="false" ht="15" hidden="false" customHeight="false" outlineLevel="0" collapsed="false">
      <c r="A27" s="26" t="str">
        <f aca="false">IF($C27="","","OP-"&amp;TEXT(ROW()-4,"000"))</f>
        <v/>
      </c>
      <c r="B27" s="25"/>
      <c r="C27" s="24"/>
      <c r="D27" s="24"/>
      <c r="E27" s="24"/>
      <c r="F27" s="24"/>
      <c r="G27" s="29"/>
      <c r="H27" s="24"/>
      <c r="I27" s="24"/>
      <c r="J27" s="26" t="str">
        <f aca="false">IF($D27="","",IFERROR(INDEX(LOT_EXTE,MATCH($D27,LOT_KEY,0)),""))</f>
        <v/>
      </c>
      <c r="K27" s="26" t="str">
        <f aca="false">IF($D27="","",IFERROR(INDEX(LOT_PRODE,MATCH($D27,LOT_KEY,0)),"LOT NON REFERENCE"))</f>
        <v/>
      </c>
      <c r="L27" s="26" t="str">
        <f aca="false">IF($D27="","",IFERROR(INDEX(LOT_FOURNE,MATCH($D27,LOT_KEY,0)),""))</f>
        <v/>
      </c>
      <c r="M27" s="26" t="str">
        <f aca="false">IF($E27="","",IFERROR(INDEX(EMPL_CLASSE,MATCH($E27,EMPL_KEY,0)),"?"))</f>
        <v/>
      </c>
      <c r="N27" s="26" t="str">
        <f aca="false">IF($F27="","",IFERROR(INDEX(EMPL_CLASSE,MATCH($F27,EMPL_KEY,0)),"?"))</f>
        <v/>
      </c>
      <c r="O27" s="28" t="n">
        <f aca="false">IF($C27="",0,IF(OR($B27="",$D27=""),0,IF($C27="AJUSTEMENT",IF(OR(NOT(ISNUMBER($G27)),$G27=0,$F27="",$H27=""),0,1),IF(OR(NOT(ISNUMBER($G27)),$G27&lt;=0),0,IF($C27="RECEPTION",IF($F27="",0,1),IF($C27="CONSOMMATION",IF($E27="",0,1),IF(OR($E27="",$F27="",$E27=$F27),0,1)))))))</f>
        <v>0</v>
      </c>
      <c r="P27" s="27" t="str">
        <f aca="false">IF(OR($O27=0,$C27="RECEPTION"),"",IF($C27="AJUSTEMENT",IF($G27&gt;0,"",SUMIFS(MVT_BRUT,MVT_LOT,$D27,MVT_EMPL,$F27)-$G27),SUMIFS(MVT_BRUT,MVT_LOT,$D27,MVT_EMPL,$E27)+$G27))</f>
        <v/>
      </c>
      <c r="Q27" s="26" t="str">
        <f aca="false">IF($C27="","",IF($O27=0,"DONNEES MANQUANTES",IF($C27="RECEPTION","OK",IF(AND($C27="AJUSTEMENT",$G27&gt;0),"OK",IF($P27&lt;=0,"EMPLACEMENT INCOHERENT",IF(ABS($G27)&gt;$P27+0.001,"STOCK INSUFFISANT","OK"))))))</f>
        <v/>
      </c>
      <c r="R27" s="28" t="n">
        <f aca="false">IF($Q27="OK",1,0)</f>
        <v>0</v>
      </c>
      <c r="S27" s="26" t="str">
        <f aca="false">IF($C27="","",IF($O27=0,"A COMPLETER : "&amp;IF($B27="","DATE; ","")&amp;IF($D27="","LOT INTERNE; ","")&amp;IF(NOT(ISNUMBER($G27)),"QUANTITE; ",IF(AND($C27="AJUSTEMENT",$G27=0),"QUANTITE &lt;&gt; 0; ",IF(AND($C27&lt;&gt;"AJUSTEMENT",$G27&lt;=0),"QUANTITE &gt; 0; ","")))&amp;IF(AND($C27="AJUSTEMENT",$H27=""),"MOTIF; ","")&amp;IF(AND(OR($C27="TRANSFERT",$C27="CONSOMMATION"),$E27=""),"EMPL. SOURCE; ","")&amp;IF(AND($C27&lt;&gt;"CONSOMMATION",$F27=""),"EMPL. DESTINATION; ","")&amp;IF(AND($C27="TRANSFERT",$E27&lt;&gt;"",$E27=$F27),"SOURCE = DESTINATION; ",""),IF($Q27="EMPLACEMENT INCOHERENT","Le lot "&amp;$D27&amp;" n'existe pas sur cet emplacement (stock 0). Verifier l'emplacement.",IF($Q27="STOCK INSUFFISANT","Disponible avant operation : "&amp;TEXT($P27,"#,##0.00")&amp;" kg. Ligne NON comptee en stock.",IF(COUNTIFS($B$5:$B$304,$B27,$C$5:$C$304,$C27,$D$5:$D$304,$D27,$G$5:$G$304,$G27)&gt;1,"Doublon possible (meme date, type, lot et quantite).",IF($K27="LOT NON REFERENCE","Creer d'abord la fiche du lot dans l'onglet LOTS.",""))))))</f>
        <v/>
      </c>
    </row>
    <row r="28" customFormat="false" ht="15" hidden="false" customHeight="false" outlineLevel="0" collapsed="false">
      <c r="A28" s="26" t="str">
        <f aca="false">IF($C28="","","OP-"&amp;TEXT(ROW()-4,"000"))</f>
        <v/>
      </c>
      <c r="B28" s="25"/>
      <c r="C28" s="24"/>
      <c r="D28" s="24"/>
      <c r="E28" s="24"/>
      <c r="F28" s="24"/>
      <c r="G28" s="29"/>
      <c r="H28" s="24"/>
      <c r="I28" s="24"/>
      <c r="J28" s="26" t="str">
        <f aca="false">IF($D28="","",IFERROR(INDEX(LOT_EXTE,MATCH($D28,LOT_KEY,0)),""))</f>
        <v/>
      </c>
      <c r="K28" s="26" t="str">
        <f aca="false">IF($D28="","",IFERROR(INDEX(LOT_PRODE,MATCH($D28,LOT_KEY,0)),"LOT NON REFERENCE"))</f>
        <v/>
      </c>
      <c r="L28" s="26" t="str">
        <f aca="false">IF($D28="","",IFERROR(INDEX(LOT_FOURNE,MATCH($D28,LOT_KEY,0)),""))</f>
        <v/>
      </c>
      <c r="M28" s="26" t="str">
        <f aca="false">IF($E28="","",IFERROR(INDEX(EMPL_CLASSE,MATCH($E28,EMPL_KEY,0)),"?"))</f>
        <v/>
      </c>
      <c r="N28" s="26" t="str">
        <f aca="false">IF($F28="","",IFERROR(INDEX(EMPL_CLASSE,MATCH($F28,EMPL_KEY,0)),"?"))</f>
        <v/>
      </c>
      <c r="O28" s="28" t="n">
        <f aca="false">IF($C28="",0,IF(OR($B28="",$D28=""),0,IF($C28="AJUSTEMENT",IF(OR(NOT(ISNUMBER($G28)),$G28=0,$F28="",$H28=""),0,1),IF(OR(NOT(ISNUMBER($G28)),$G28&lt;=0),0,IF($C28="RECEPTION",IF($F28="",0,1),IF($C28="CONSOMMATION",IF($E28="",0,1),IF(OR($E28="",$F28="",$E28=$F28),0,1)))))))</f>
        <v>0</v>
      </c>
      <c r="P28" s="27" t="str">
        <f aca="false">IF(OR($O28=0,$C28="RECEPTION"),"",IF($C28="AJUSTEMENT",IF($G28&gt;0,"",SUMIFS(MVT_BRUT,MVT_LOT,$D28,MVT_EMPL,$F28)-$G28),SUMIFS(MVT_BRUT,MVT_LOT,$D28,MVT_EMPL,$E28)+$G28))</f>
        <v/>
      </c>
      <c r="Q28" s="26" t="str">
        <f aca="false">IF($C28="","",IF($O28=0,"DONNEES MANQUANTES",IF($C28="RECEPTION","OK",IF(AND($C28="AJUSTEMENT",$G28&gt;0),"OK",IF($P28&lt;=0,"EMPLACEMENT INCOHERENT",IF(ABS($G28)&gt;$P28+0.001,"STOCK INSUFFISANT","OK"))))))</f>
        <v/>
      </c>
      <c r="R28" s="28" t="n">
        <f aca="false">IF($Q28="OK",1,0)</f>
        <v>0</v>
      </c>
      <c r="S28" s="26" t="str">
        <f aca="false">IF($C28="","",IF($O28=0,"A COMPLETER : "&amp;IF($B28="","DATE; ","")&amp;IF($D28="","LOT INTERNE; ","")&amp;IF(NOT(ISNUMBER($G28)),"QUANTITE; ",IF(AND($C28="AJUSTEMENT",$G28=0),"QUANTITE &lt;&gt; 0; ",IF(AND($C28&lt;&gt;"AJUSTEMENT",$G28&lt;=0),"QUANTITE &gt; 0; ","")))&amp;IF(AND($C28="AJUSTEMENT",$H28=""),"MOTIF; ","")&amp;IF(AND(OR($C28="TRANSFERT",$C28="CONSOMMATION"),$E28=""),"EMPL. SOURCE; ","")&amp;IF(AND($C28&lt;&gt;"CONSOMMATION",$F28=""),"EMPL. DESTINATION; ","")&amp;IF(AND($C28="TRANSFERT",$E28&lt;&gt;"",$E28=$F28),"SOURCE = DESTINATION; ",""),IF($Q28="EMPLACEMENT INCOHERENT","Le lot "&amp;$D28&amp;" n'existe pas sur cet emplacement (stock 0). Verifier l'emplacement.",IF($Q28="STOCK INSUFFISANT","Disponible avant operation : "&amp;TEXT($P28,"#,##0.00")&amp;" kg. Ligne NON comptee en stock.",IF(COUNTIFS($B$5:$B$304,$B28,$C$5:$C$304,$C28,$D$5:$D$304,$D28,$G$5:$G$304,$G28)&gt;1,"Doublon possible (meme date, type, lot et quantite).",IF($K28="LOT NON REFERENCE","Creer d'abord la fiche du lot dans l'onglet LOTS.",""))))))</f>
        <v/>
      </c>
    </row>
    <row r="29" customFormat="false" ht="15" hidden="false" customHeight="false" outlineLevel="0" collapsed="false">
      <c r="A29" s="26" t="str">
        <f aca="false">IF($C29="","","OP-"&amp;TEXT(ROW()-4,"000"))</f>
        <v/>
      </c>
      <c r="B29" s="25"/>
      <c r="C29" s="24"/>
      <c r="D29" s="24"/>
      <c r="E29" s="24"/>
      <c r="F29" s="24"/>
      <c r="G29" s="29"/>
      <c r="H29" s="24"/>
      <c r="I29" s="24"/>
      <c r="J29" s="26" t="str">
        <f aca="false">IF($D29="","",IFERROR(INDEX(LOT_EXTE,MATCH($D29,LOT_KEY,0)),""))</f>
        <v/>
      </c>
      <c r="K29" s="26" t="str">
        <f aca="false">IF($D29="","",IFERROR(INDEX(LOT_PRODE,MATCH($D29,LOT_KEY,0)),"LOT NON REFERENCE"))</f>
        <v/>
      </c>
      <c r="L29" s="26" t="str">
        <f aca="false">IF($D29="","",IFERROR(INDEX(LOT_FOURNE,MATCH($D29,LOT_KEY,0)),""))</f>
        <v/>
      </c>
      <c r="M29" s="26" t="str">
        <f aca="false">IF($E29="","",IFERROR(INDEX(EMPL_CLASSE,MATCH($E29,EMPL_KEY,0)),"?"))</f>
        <v/>
      </c>
      <c r="N29" s="26" t="str">
        <f aca="false">IF($F29="","",IFERROR(INDEX(EMPL_CLASSE,MATCH($F29,EMPL_KEY,0)),"?"))</f>
        <v/>
      </c>
      <c r="O29" s="28" t="n">
        <f aca="false">IF($C29="",0,IF(OR($B29="",$D29=""),0,IF($C29="AJUSTEMENT",IF(OR(NOT(ISNUMBER($G29)),$G29=0,$F29="",$H29=""),0,1),IF(OR(NOT(ISNUMBER($G29)),$G29&lt;=0),0,IF($C29="RECEPTION",IF($F29="",0,1),IF($C29="CONSOMMATION",IF($E29="",0,1),IF(OR($E29="",$F29="",$E29=$F29),0,1)))))))</f>
        <v>0</v>
      </c>
      <c r="P29" s="27" t="str">
        <f aca="false">IF(OR($O29=0,$C29="RECEPTION"),"",IF($C29="AJUSTEMENT",IF($G29&gt;0,"",SUMIFS(MVT_BRUT,MVT_LOT,$D29,MVT_EMPL,$F29)-$G29),SUMIFS(MVT_BRUT,MVT_LOT,$D29,MVT_EMPL,$E29)+$G29))</f>
        <v/>
      </c>
      <c r="Q29" s="26" t="str">
        <f aca="false">IF($C29="","",IF($O29=0,"DONNEES MANQUANTES",IF($C29="RECEPTION","OK",IF(AND($C29="AJUSTEMENT",$G29&gt;0),"OK",IF($P29&lt;=0,"EMPLACEMENT INCOHERENT",IF(ABS($G29)&gt;$P29+0.001,"STOCK INSUFFISANT","OK"))))))</f>
        <v/>
      </c>
      <c r="R29" s="28" t="n">
        <f aca="false">IF($Q29="OK",1,0)</f>
        <v>0</v>
      </c>
      <c r="S29" s="26" t="str">
        <f aca="false">IF($C29="","",IF($O29=0,"A COMPLETER : "&amp;IF($B29="","DATE; ","")&amp;IF($D29="","LOT INTERNE; ","")&amp;IF(NOT(ISNUMBER($G29)),"QUANTITE; ",IF(AND($C29="AJUSTEMENT",$G29=0),"QUANTITE &lt;&gt; 0; ",IF(AND($C29&lt;&gt;"AJUSTEMENT",$G29&lt;=0),"QUANTITE &gt; 0; ","")))&amp;IF(AND($C29="AJUSTEMENT",$H29=""),"MOTIF; ","")&amp;IF(AND(OR($C29="TRANSFERT",$C29="CONSOMMATION"),$E29=""),"EMPL. SOURCE; ","")&amp;IF(AND($C29&lt;&gt;"CONSOMMATION",$F29=""),"EMPL. DESTINATION; ","")&amp;IF(AND($C29="TRANSFERT",$E29&lt;&gt;"",$E29=$F29),"SOURCE = DESTINATION; ",""),IF($Q29="EMPLACEMENT INCOHERENT","Le lot "&amp;$D29&amp;" n'existe pas sur cet emplacement (stock 0). Verifier l'emplacement.",IF($Q29="STOCK INSUFFISANT","Disponible avant operation : "&amp;TEXT($P29,"#,##0.00")&amp;" kg. Ligne NON comptee en stock.",IF(COUNTIFS($B$5:$B$304,$B29,$C$5:$C$304,$C29,$D$5:$D$304,$D29,$G$5:$G$304,$G29)&gt;1,"Doublon possible (meme date, type, lot et quantite).",IF($K29="LOT NON REFERENCE","Creer d'abord la fiche du lot dans l'onglet LOTS.",""))))))</f>
        <v/>
      </c>
    </row>
    <row r="30" customFormat="false" ht="15" hidden="false" customHeight="false" outlineLevel="0" collapsed="false">
      <c r="A30" s="26" t="str">
        <f aca="false">IF($C30="","","OP-"&amp;TEXT(ROW()-4,"000"))</f>
        <v/>
      </c>
      <c r="B30" s="25"/>
      <c r="C30" s="24"/>
      <c r="D30" s="24"/>
      <c r="E30" s="24"/>
      <c r="F30" s="24"/>
      <c r="G30" s="29"/>
      <c r="H30" s="24"/>
      <c r="I30" s="24"/>
      <c r="J30" s="26" t="str">
        <f aca="false">IF($D30="","",IFERROR(INDEX(LOT_EXTE,MATCH($D30,LOT_KEY,0)),""))</f>
        <v/>
      </c>
      <c r="K30" s="26" t="str">
        <f aca="false">IF($D30="","",IFERROR(INDEX(LOT_PRODE,MATCH($D30,LOT_KEY,0)),"LOT NON REFERENCE"))</f>
        <v/>
      </c>
      <c r="L30" s="26" t="str">
        <f aca="false">IF($D30="","",IFERROR(INDEX(LOT_FOURNE,MATCH($D30,LOT_KEY,0)),""))</f>
        <v/>
      </c>
      <c r="M30" s="26" t="str">
        <f aca="false">IF($E30="","",IFERROR(INDEX(EMPL_CLASSE,MATCH($E30,EMPL_KEY,0)),"?"))</f>
        <v/>
      </c>
      <c r="N30" s="26" t="str">
        <f aca="false">IF($F30="","",IFERROR(INDEX(EMPL_CLASSE,MATCH($F30,EMPL_KEY,0)),"?"))</f>
        <v/>
      </c>
      <c r="O30" s="28" t="n">
        <f aca="false">IF($C30="",0,IF(OR($B30="",$D30=""),0,IF($C30="AJUSTEMENT",IF(OR(NOT(ISNUMBER($G30)),$G30=0,$F30="",$H30=""),0,1),IF(OR(NOT(ISNUMBER($G30)),$G30&lt;=0),0,IF($C30="RECEPTION",IF($F30="",0,1),IF($C30="CONSOMMATION",IF($E30="",0,1),IF(OR($E30="",$F30="",$E30=$F30),0,1)))))))</f>
        <v>0</v>
      </c>
      <c r="P30" s="27" t="str">
        <f aca="false">IF(OR($O30=0,$C30="RECEPTION"),"",IF($C30="AJUSTEMENT",IF($G30&gt;0,"",SUMIFS(MVT_BRUT,MVT_LOT,$D30,MVT_EMPL,$F30)-$G30),SUMIFS(MVT_BRUT,MVT_LOT,$D30,MVT_EMPL,$E30)+$G30))</f>
        <v/>
      </c>
      <c r="Q30" s="26" t="str">
        <f aca="false">IF($C30="","",IF($O30=0,"DONNEES MANQUANTES",IF($C30="RECEPTION","OK",IF(AND($C30="AJUSTEMENT",$G30&gt;0),"OK",IF($P30&lt;=0,"EMPLACEMENT INCOHERENT",IF(ABS($G30)&gt;$P30+0.001,"STOCK INSUFFISANT","OK"))))))</f>
        <v/>
      </c>
      <c r="R30" s="28" t="n">
        <f aca="false">IF($Q30="OK",1,0)</f>
        <v>0</v>
      </c>
      <c r="S30" s="26" t="str">
        <f aca="false">IF($C30="","",IF($O30=0,"A COMPLETER : "&amp;IF($B30="","DATE; ","")&amp;IF($D30="","LOT INTERNE; ","")&amp;IF(NOT(ISNUMBER($G30)),"QUANTITE; ",IF(AND($C30="AJUSTEMENT",$G30=0),"QUANTITE &lt;&gt; 0; ",IF(AND($C30&lt;&gt;"AJUSTEMENT",$G30&lt;=0),"QUANTITE &gt; 0; ","")))&amp;IF(AND($C30="AJUSTEMENT",$H30=""),"MOTIF; ","")&amp;IF(AND(OR($C30="TRANSFERT",$C30="CONSOMMATION"),$E30=""),"EMPL. SOURCE; ","")&amp;IF(AND($C30&lt;&gt;"CONSOMMATION",$F30=""),"EMPL. DESTINATION; ","")&amp;IF(AND($C30="TRANSFERT",$E30&lt;&gt;"",$E30=$F30),"SOURCE = DESTINATION; ",""),IF($Q30="EMPLACEMENT INCOHERENT","Le lot "&amp;$D30&amp;" n'existe pas sur cet emplacement (stock 0). Verifier l'emplacement.",IF($Q30="STOCK INSUFFISANT","Disponible avant operation : "&amp;TEXT($P30,"#,##0.00")&amp;" kg. Ligne NON comptee en stock.",IF(COUNTIFS($B$5:$B$304,$B30,$C$5:$C$304,$C30,$D$5:$D$304,$D30,$G$5:$G$304,$G30)&gt;1,"Doublon possible (meme date, type, lot et quantite).",IF($K30="LOT NON REFERENCE","Creer d'abord la fiche du lot dans l'onglet LOTS.",""))))))</f>
        <v/>
      </c>
    </row>
    <row r="31" customFormat="false" ht="15" hidden="false" customHeight="false" outlineLevel="0" collapsed="false">
      <c r="A31" s="26" t="str">
        <f aca="false">IF($C31="","","OP-"&amp;TEXT(ROW()-4,"000"))</f>
        <v/>
      </c>
      <c r="B31" s="25"/>
      <c r="C31" s="24"/>
      <c r="D31" s="24"/>
      <c r="E31" s="24"/>
      <c r="F31" s="24"/>
      <c r="G31" s="29"/>
      <c r="H31" s="24"/>
      <c r="I31" s="24"/>
      <c r="J31" s="26" t="str">
        <f aca="false">IF($D31="","",IFERROR(INDEX(LOT_EXTE,MATCH($D31,LOT_KEY,0)),""))</f>
        <v/>
      </c>
      <c r="K31" s="26" t="str">
        <f aca="false">IF($D31="","",IFERROR(INDEX(LOT_PRODE,MATCH($D31,LOT_KEY,0)),"LOT NON REFERENCE"))</f>
        <v/>
      </c>
      <c r="L31" s="26" t="str">
        <f aca="false">IF($D31="","",IFERROR(INDEX(LOT_FOURNE,MATCH($D31,LOT_KEY,0)),""))</f>
        <v/>
      </c>
      <c r="M31" s="26" t="str">
        <f aca="false">IF($E31="","",IFERROR(INDEX(EMPL_CLASSE,MATCH($E31,EMPL_KEY,0)),"?"))</f>
        <v/>
      </c>
      <c r="N31" s="26" t="str">
        <f aca="false">IF($F31="","",IFERROR(INDEX(EMPL_CLASSE,MATCH($F31,EMPL_KEY,0)),"?"))</f>
        <v/>
      </c>
      <c r="O31" s="28" t="n">
        <f aca="false">IF($C31="",0,IF(OR($B31="",$D31=""),0,IF($C31="AJUSTEMENT",IF(OR(NOT(ISNUMBER($G31)),$G31=0,$F31="",$H31=""),0,1),IF(OR(NOT(ISNUMBER($G31)),$G31&lt;=0),0,IF($C31="RECEPTION",IF($F31="",0,1),IF($C31="CONSOMMATION",IF($E31="",0,1),IF(OR($E31="",$F31="",$E31=$F31),0,1)))))))</f>
        <v>0</v>
      </c>
      <c r="P31" s="27" t="str">
        <f aca="false">IF(OR($O31=0,$C31="RECEPTION"),"",IF($C31="AJUSTEMENT",IF($G31&gt;0,"",SUMIFS(MVT_BRUT,MVT_LOT,$D31,MVT_EMPL,$F31)-$G31),SUMIFS(MVT_BRUT,MVT_LOT,$D31,MVT_EMPL,$E31)+$G31))</f>
        <v/>
      </c>
      <c r="Q31" s="26" t="str">
        <f aca="false">IF($C31="","",IF($O31=0,"DONNEES MANQUANTES",IF($C31="RECEPTION","OK",IF(AND($C31="AJUSTEMENT",$G31&gt;0),"OK",IF($P31&lt;=0,"EMPLACEMENT INCOHERENT",IF(ABS($G31)&gt;$P31+0.001,"STOCK INSUFFISANT","OK"))))))</f>
        <v/>
      </c>
      <c r="R31" s="28" t="n">
        <f aca="false">IF($Q31="OK",1,0)</f>
        <v>0</v>
      </c>
      <c r="S31" s="26" t="str">
        <f aca="false">IF($C31="","",IF($O31=0,"A COMPLETER : "&amp;IF($B31="","DATE; ","")&amp;IF($D31="","LOT INTERNE; ","")&amp;IF(NOT(ISNUMBER($G31)),"QUANTITE; ",IF(AND($C31="AJUSTEMENT",$G31=0),"QUANTITE &lt;&gt; 0; ",IF(AND($C31&lt;&gt;"AJUSTEMENT",$G31&lt;=0),"QUANTITE &gt; 0; ","")))&amp;IF(AND($C31="AJUSTEMENT",$H31=""),"MOTIF; ","")&amp;IF(AND(OR($C31="TRANSFERT",$C31="CONSOMMATION"),$E31=""),"EMPL. SOURCE; ","")&amp;IF(AND($C31&lt;&gt;"CONSOMMATION",$F31=""),"EMPL. DESTINATION; ","")&amp;IF(AND($C31="TRANSFERT",$E31&lt;&gt;"",$E31=$F31),"SOURCE = DESTINATION; ",""),IF($Q31="EMPLACEMENT INCOHERENT","Le lot "&amp;$D31&amp;" n'existe pas sur cet emplacement (stock 0). Verifier l'emplacement.",IF($Q31="STOCK INSUFFISANT","Disponible avant operation : "&amp;TEXT($P31,"#,##0.00")&amp;" kg. Ligne NON comptee en stock.",IF(COUNTIFS($B$5:$B$304,$B31,$C$5:$C$304,$C31,$D$5:$D$304,$D31,$G$5:$G$304,$G31)&gt;1,"Doublon possible (meme date, type, lot et quantite).",IF($K31="LOT NON REFERENCE","Creer d'abord la fiche du lot dans l'onglet LOTS.",""))))))</f>
        <v/>
      </c>
    </row>
    <row r="32" customFormat="false" ht="15" hidden="false" customHeight="false" outlineLevel="0" collapsed="false">
      <c r="A32" s="26" t="str">
        <f aca="false">IF($C32="","","OP-"&amp;TEXT(ROW()-4,"000"))</f>
        <v/>
      </c>
      <c r="B32" s="25"/>
      <c r="C32" s="24"/>
      <c r="D32" s="24"/>
      <c r="E32" s="24"/>
      <c r="F32" s="24"/>
      <c r="G32" s="29"/>
      <c r="H32" s="24"/>
      <c r="I32" s="24"/>
      <c r="J32" s="26" t="str">
        <f aca="false">IF($D32="","",IFERROR(INDEX(LOT_EXTE,MATCH($D32,LOT_KEY,0)),""))</f>
        <v/>
      </c>
      <c r="K32" s="26" t="str">
        <f aca="false">IF($D32="","",IFERROR(INDEX(LOT_PRODE,MATCH($D32,LOT_KEY,0)),"LOT NON REFERENCE"))</f>
        <v/>
      </c>
      <c r="L32" s="26" t="str">
        <f aca="false">IF($D32="","",IFERROR(INDEX(LOT_FOURNE,MATCH($D32,LOT_KEY,0)),""))</f>
        <v/>
      </c>
      <c r="M32" s="26" t="str">
        <f aca="false">IF($E32="","",IFERROR(INDEX(EMPL_CLASSE,MATCH($E32,EMPL_KEY,0)),"?"))</f>
        <v/>
      </c>
      <c r="N32" s="26" t="str">
        <f aca="false">IF($F32="","",IFERROR(INDEX(EMPL_CLASSE,MATCH($F32,EMPL_KEY,0)),"?"))</f>
        <v/>
      </c>
      <c r="O32" s="28" t="n">
        <f aca="false">IF($C32="",0,IF(OR($B32="",$D32=""),0,IF($C32="AJUSTEMENT",IF(OR(NOT(ISNUMBER($G32)),$G32=0,$F32="",$H32=""),0,1),IF(OR(NOT(ISNUMBER($G32)),$G32&lt;=0),0,IF($C32="RECEPTION",IF($F32="",0,1),IF($C32="CONSOMMATION",IF($E32="",0,1),IF(OR($E32="",$F32="",$E32=$F32),0,1)))))))</f>
        <v>0</v>
      </c>
      <c r="P32" s="27" t="str">
        <f aca="false">IF(OR($O32=0,$C32="RECEPTION"),"",IF($C32="AJUSTEMENT",IF($G32&gt;0,"",SUMIFS(MVT_BRUT,MVT_LOT,$D32,MVT_EMPL,$F32)-$G32),SUMIFS(MVT_BRUT,MVT_LOT,$D32,MVT_EMPL,$E32)+$G32))</f>
        <v/>
      </c>
      <c r="Q32" s="26" t="str">
        <f aca="false">IF($C32="","",IF($O32=0,"DONNEES MANQUANTES",IF($C32="RECEPTION","OK",IF(AND($C32="AJUSTEMENT",$G32&gt;0),"OK",IF($P32&lt;=0,"EMPLACEMENT INCOHERENT",IF(ABS($G32)&gt;$P32+0.001,"STOCK INSUFFISANT","OK"))))))</f>
        <v/>
      </c>
      <c r="R32" s="28" t="n">
        <f aca="false">IF($Q32="OK",1,0)</f>
        <v>0</v>
      </c>
      <c r="S32" s="26" t="str">
        <f aca="false">IF($C32="","",IF($O32=0,"A COMPLETER : "&amp;IF($B32="","DATE; ","")&amp;IF($D32="","LOT INTERNE; ","")&amp;IF(NOT(ISNUMBER($G32)),"QUANTITE; ",IF(AND($C32="AJUSTEMENT",$G32=0),"QUANTITE &lt;&gt; 0; ",IF(AND($C32&lt;&gt;"AJUSTEMENT",$G32&lt;=0),"QUANTITE &gt; 0; ","")))&amp;IF(AND($C32="AJUSTEMENT",$H32=""),"MOTIF; ","")&amp;IF(AND(OR($C32="TRANSFERT",$C32="CONSOMMATION"),$E32=""),"EMPL. SOURCE; ","")&amp;IF(AND($C32&lt;&gt;"CONSOMMATION",$F32=""),"EMPL. DESTINATION; ","")&amp;IF(AND($C32="TRANSFERT",$E32&lt;&gt;"",$E32=$F32),"SOURCE = DESTINATION; ",""),IF($Q32="EMPLACEMENT INCOHERENT","Le lot "&amp;$D32&amp;" n'existe pas sur cet emplacement (stock 0). Verifier l'emplacement.",IF($Q32="STOCK INSUFFISANT","Disponible avant operation : "&amp;TEXT($P32,"#,##0.00")&amp;" kg. Ligne NON comptee en stock.",IF(COUNTIFS($B$5:$B$304,$B32,$C$5:$C$304,$C32,$D$5:$D$304,$D32,$G$5:$G$304,$G32)&gt;1,"Doublon possible (meme date, type, lot et quantite).",IF($K32="LOT NON REFERENCE","Creer d'abord la fiche du lot dans l'onglet LOTS.",""))))))</f>
        <v/>
      </c>
    </row>
    <row r="33" customFormat="false" ht="15" hidden="false" customHeight="false" outlineLevel="0" collapsed="false">
      <c r="A33" s="26" t="str">
        <f aca="false">IF($C33="","","OP-"&amp;TEXT(ROW()-4,"000"))</f>
        <v/>
      </c>
      <c r="B33" s="25"/>
      <c r="C33" s="24"/>
      <c r="D33" s="24"/>
      <c r="E33" s="24"/>
      <c r="F33" s="24"/>
      <c r="G33" s="29"/>
      <c r="H33" s="24"/>
      <c r="I33" s="24"/>
      <c r="J33" s="26" t="str">
        <f aca="false">IF($D33="","",IFERROR(INDEX(LOT_EXTE,MATCH($D33,LOT_KEY,0)),""))</f>
        <v/>
      </c>
      <c r="K33" s="26" t="str">
        <f aca="false">IF($D33="","",IFERROR(INDEX(LOT_PRODE,MATCH($D33,LOT_KEY,0)),"LOT NON REFERENCE"))</f>
        <v/>
      </c>
      <c r="L33" s="26" t="str">
        <f aca="false">IF($D33="","",IFERROR(INDEX(LOT_FOURNE,MATCH($D33,LOT_KEY,0)),""))</f>
        <v/>
      </c>
      <c r="M33" s="26" t="str">
        <f aca="false">IF($E33="","",IFERROR(INDEX(EMPL_CLASSE,MATCH($E33,EMPL_KEY,0)),"?"))</f>
        <v/>
      </c>
      <c r="N33" s="26" t="str">
        <f aca="false">IF($F33="","",IFERROR(INDEX(EMPL_CLASSE,MATCH($F33,EMPL_KEY,0)),"?"))</f>
        <v/>
      </c>
      <c r="O33" s="28" t="n">
        <f aca="false">IF($C33="",0,IF(OR($B33="",$D33=""),0,IF($C33="AJUSTEMENT",IF(OR(NOT(ISNUMBER($G33)),$G33=0,$F33="",$H33=""),0,1),IF(OR(NOT(ISNUMBER($G33)),$G33&lt;=0),0,IF($C33="RECEPTION",IF($F33="",0,1),IF($C33="CONSOMMATION",IF($E33="",0,1),IF(OR($E33="",$F33="",$E33=$F33),0,1)))))))</f>
        <v>0</v>
      </c>
      <c r="P33" s="27" t="str">
        <f aca="false">IF(OR($O33=0,$C33="RECEPTION"),"",IF($C33="AJUSTEMENT",IF($G33&gt;0,"",SUMIFS(MVT_BRUT,MVT_LOT,$D33,MVT_EMPL,$F33)-$G33),SUMIFS(MVT_BRUT,MVT_LOT,$D33,MVT_EMPL,$E33)+$G33))</f>
        <v/>
      </c>
      <c r="Q33" s="26" t="str">
        <f aca="false">IF($C33="","",IF($O33=0,"DONNEES MANQUANTES",IF($C33="RECEPTION","OK",IF(AND($C33="AJUSTEMENT",$G33&gt;0),"OK",IF($P33&lt;=0,"EMPLACEMENT INCOHERENT",IF(ABS($G33)&gt;$P33+0.001,"STOCK INSUFFISANT","OK"))))))</f>
        <v/>
      </c>
      <c r="R33" s="28" t="n">
        <f aca="false">IF($Q33="OK",1,0)</f>
        <v>0</v>
      </c>
      <c r="S33" s="26" t="str">
        <f aca="false">IF($C33="","",IF($O33=0,"A COMPLETER : "&amp;IF($B33="","DATE; ","")&amp;IF($D33="","LOT INTERNE; ","")&amp;IF(NOT(ISNUMBER($G33)),"QUANTITE; ",IF(AND($C33="AJUSTEMENT",$G33=0),"QUANTITE &lt;&gt; 0; ",IF(AND($C33&lt;&gt;"AJUSTEMENT",$G33&lt;=0),"QUANTITE &gt; 0; ","")))&amp;IF(AND($C33="AJUSTEMENT",$H33=""),"MOTIF; ","")&amp;IF(AND(OR($C33="TRANSFERT",$C33="CONSOMMATION"),$E33=""),"EMPL. SOURCE; ","")&amp;IF(AND($C33&lt;&gt;"CONSOMMATION",$F33=""),"EMPL. DESTINATION; ","")&amp;IF(AND($C33="TRANSFERT",$E33&lt;&gt;"",$E33=$F33),"SOURCE = DESTINATION; ",""),IF($Q33="EMPLACEMENT INCOHERENT","Le lot "&amp;$D33&amp;" n'existe pas sur cet emplacement (stock 0). Verifier l'emplacement.",IF($Q33="STOCK INSUFFISANT","Disponible avant operation : "&amp;TEXT($P33,"#,##0.00")&amp;" kg. Ligne NON comptee en stock.",IF(COUNTIFS($B$5:$B$304,$B33,$C$5:$C$304,$C33,$D$5:$D$304,$D33,$G$5:$G$304,$G33)&gt;1,"Doublon possible (meme date, type, lot et quantite).",IF($K33="LOT NON REFERENCE","Creer d'abord la fiche du lot dans l'onglet LOTS.",""))))))</f>
        <v/>
      </c>
    </row>
    <row r="34" customFormat="false" ht="15" hidden="false" customHeight="false" outlineLevel="0" collapsed="false">
      <c r="A34" s="26" t="str">
        <f aca="false">IF($C34="","","OP-"&amp;TEXT(ROW()-4,"000"))</f>
        <v/>
      </c>
      <c r="B34" s="25"/>
      <c r="C34" s="24"/>
      <c r="D34" s="24"/>
      <c r="E34" s="24"/>
      <c r="F34" s="24"/>
      <c r="G34" s="29"/>
      <c r="H34" s="24"/>
      <c r="I34" s="24"/>
      <c r="J34" s="26" t="str">
        <f aca="false">IF($D34="","",IFERROR(INDEX(LOT_EXTE,MATCH($D34,LOT_KEY,0)),""))</f>
        <v/>
      </c>
      <c r="K34" s="26" t="str">
        <f aca="false">IF($D34="","",IFERROR(INDEX(LOT_PRODE,MATCH($D34,LOT_KEY,0)),"LOT NON REFERENCE"))</f>
        <v/>
      </c>
      <c r="L34" s="26" t="str">
        <f aca="false">IF($D34="","",IFERROR(INDEX(LOT_FOURNE,MATCH($D34,LOT_KEY,0)),""))</f>
        <v/>
      </c>
      <c r="M34" s="26" t="str">
        <f aca="false">IF($E34="","",IFERROR(INDEX(EMPL_CLASSE,MATCH($E34,EMPL_KEY,0)),"?"))</f>
        <v/>
      </c>
      <c r="N34" s="26" t="str">
        <f aca="false">IF($F34="","",IFERROR(INDEX(EMPL_CLASSE,MATCH($F34,EMPL_KEY,0)),"?"))</f>
        <v/>
      </c>
      <c r="O34" s="28" t="n">
        <f aca="false">IF($C34="",0,IF(OR($B34="",$D34=""),0,IF($C34="AJUSTEMENT",IF(OR(NOT(ISNUMBER($G34)),$G34=0,$F34="",$H34=""),0,1),IF(OR(NOT(ISNUMBER($G34)),$G34&lt;=0),0,IF($C34="RECEPTION",IF($F34="",0,1),IF($C34="CONSOMMATION",IF($E34="",0,1),IF(OR($E34="",$F34="",$E34=$F34),0,1)))))))</f>
        <v>0</v>
      </c>
      <c r="P34" s="27" t="str">
        <f aca="false">IF(OR($O34=0,$C34="RECEPTION"),"",IF($C34="AJUSTEMENT",IF($G34&gt;0,"",SUMIFS(MVT_BRUT,MVT_LOT,$D34,MVT_EMPL,$F34)-$G34),SUMIFS(MVT_BRUT,MVT_LOT,$D34,MVT_EMPL,$E34)+$G34))</f>
        <v/>
      </c>
      <c r="Q34" s="26" t="str">
        <f aca="false">IF($C34="","",IF($O34=0,"DONNEES MANQUANTES",IF($C34="RECEPTION","OK",IF(AND($C34="AJUSTEMENT",$G34&gt;0),"OK",IF($P34&lt;=0,"EMPLACEMENT INCOHERENT",IF(ABS($G34)&gt;$P34+0.001,"STOCK INSUFFISANT","OK"))))))</f>
        <v/>
      </c>
      <c r="R34" s="28" t="n">
        <f aca="false">IF($Q34="OK",1,0)</f>
        <v>0</v>
      </c>
      <c r="S34" s="26" t="str">
        <f aca="false">IF($C34="","",IF($O34=0,"A COMPLETER : "&amp;IF($B34="","DATE; ","")&amp;IF($D34="","LOT INTERNE; ","")&amp;IF(NOT(ISNUMBER($G34)),"QUANTITE; ",IF(AND($C34="AJUSTEMENT",$G34=0),"QUANTITE &lt;&gt; 0; ",IF(AND($C34&lt;&gt;"AJUSTEMENT",$G34&lt;=0),"QUANTITE &gt; 0; ","")))&amp;IF(AND($C34="AJUSTEMENT",$H34=""),"MOTIF; ","")&amp;IF(AND(OR($C34="TRANSFERT",$C34="CONSOMMATION"),$E34=""),"EMPL. SOURCE; ","")&amp;IF(AND($C34&lt;&gt;"CONSOMMATION",$F34=""),"EMPL. DESTINATION; ","")&amp;IF(AND($C34="TRANSFERT",$E34&lt;&gt;"",$E34=$F34),"SOURCE = DESTINATION; ",""),IF($Q34="EMPLACEMENT INCOHERENT","Le lot "&amp;$D34&amp;" n'existe pas sur cet emplacement (stock 0). Verifier l'emplacement.",IF($Q34="STOCK INSUFFISANT","Disponible avant operation : "&amp;TEXT($P34,"#,##0.00")&amp;" kg. Ligne NON comptee en stock.",IF(COUNTIFS($B$5:$B$304,$B34,$C$5:$C$304,$C34,$D$5:$D$304,$D34,$G$5:$G$304,$G34)&gt;1,"Doublon possible (meme date, type, lot et quantite).",IF($K34="LOT NON REFERENCE","Creer d'abord la fiche du lot dans l'onglet LOTS.",""))))))</f>
        <v/>
      </c>
    </row>
    <row r="35" customFormat="false" ht="15" hidden="false" customHeight="false" outlineLevel="0" collapsed="false">
      <c r="A35" s="26" t="str">
        <f aca="false">IF($C35="","","OP-"&amp;TEXT(ROW()-4,"000"))</f>
        <v/>
      </c>
      <c r="B35" s="25"/>
      <c r="C35" s="24"/>
      <c r="D35" s="24"/>
      <c r="E35" s="24"/>
      <c r="F35" s="24"/>
      <c r="G35" s="29"/>
      <c r="H35" s="24"/>
      <c r="I35" s="24"/>
      <c r="J35" s="26" t="str">
        <f aca="false">IF($D35="","",IFERROR(INDEX(LOT_EXTE,MATCH($D35,LOT_KEY,0)),""))</f>
        <v/>
      </c>
      <c r="K35" s="26" t="str">
        <f aca="false">IF($D35="","",IFERROR(INDEX(LOT_PRODE,MATCH($D35,LOT_KEY,0)),"LOT NON REFERENCE"))</f>
        <v/>
      </c>
      <c r="L35" s="26" t="str">
        <f aca="false">IF($D35="","",IFERROR(INDEX(LOT_FOURNE,MATCH($D35,LOT_KEY,0)),""))</f>
        <v/>
      </c>
      <c r="M35" s="26" t="str">
        <f aca="false">IF($E35="","",IFERROR(INDEX(EMPL_CLASSE,MATCH($E35,EMPL_KEY,0)),"?"))</f>
        <v/>
      </c>
      <c r="N35" s="26" t="str">
        <f aca="false">IF($F35="","",IFERROR(INDEX(EMPL_CLASSE,MATCH($F35,EMPL_KEY,0)),"?"))</f>
        <v/>
      </c>
      <c r="O35" s="28" t="n">
        <f aca="false">IF($C35="",0,IF(OR($B35="",$D35=""),0,IF($C35="AJUSTEMENT",IF(OR(NOT(ISNUMBER($G35)),$G35=0,$F35="",$H35=""),0,1),IF(OR(NOT(ISNUMBER($G35)),$G35&lt;=0),0,IF($C35="RECEPTION",IF($F35="",0,1),IF($C35="CONSOMMATION",IF($E35="",0,1),IF(OR($E35="",$F35="",$E35=$F35),0,1)))))))</f>
        <v>0</v>
      </c>
      <c r="P35" s="27" t="str">
        <f aca="false">IF(OR($O35=0,$C35="RECEPTION"),"",IF($C35="AJUSTEMENT",IF($G35&gt;0,"",SUMIFS(MVT_BRUT,MVT_LOT,$D35,MVT_EMPL,$F35)-$G35),SUMIFS(MVT_BRUT,MVT_LOT,$D35,MVT_EMPL,$E35)+$G35))</f>
        <v/>
      </c>
      <c r="Q35" s="26" t="str">
        <f aca="false">IF($C35="","",IF($O35=0,"DONNEES MANQUANTES",IF($C35="RECEPTION","OK",IF(AND($C35="AJUSTEMENT",$G35&gt;0),"OK",IF($P35&lt;=0,"EMPLACEMENT INCOHERENT",IF(ABS($G35)&gt;$P35+0.001,"STOCK INSUFFISANT","OK"))))))</f>
        <v/>
      </c>
      <c r="R35" s="28" t="n">
        <f aca="false">IF($Q35="OK",1,0)</f>
        <v>0</v>
      </c>
      <c r="S35" s="26" t="str">
        <f aca="false">IF($C35="","",IF($O35=0,"A COMPLETER : "&amp;IF($B35="","DATE; ","")&amp;IF($D35="","LOT INTERNE; ","")&amp;IF(NOT(ISNUMBER($G35)),"QUANTITE; ",IF(AND($C35="AJUSTEMENT",$G35=0),"QUANTITE &lt;&gt; 0; ",IF(AND($C35&lt;&gt;"AJUSTEMENT",$G35&lt;=0),"QUANTITE &gt; 0; ","")))&amp;IF(AND($C35="AJUSTEMENT",$H35=""),"MOTIF; ","")&amp;IF(AND(OR($C35="TRANSFERT",$C35="CONSOMMATION"),$E35=""),"EMPL. SOURCE; ","")&amp;IF(AND($C35&lt;&gt;"CONSOMMATION",$F35=""),"EMPL. DESTINATION; ","")&amp;IF(AND($C35="TRANSFERT",$E35&lt;&gt;"",$E35=$F35),"SOURCE = DESTINATION; ",""),IF($Q35="EMPLACEMENT INCOHERENT","Le lot "&amp;$D35&amp;" n'existe pas sur cet emplacement (stock 0). Verifier l'emplacement.",IF($Q35="STOCK INSUFFISANT","Disponible avant operation : "&amp;TEXT($P35,"#,##0.00")&amp;" kg. Ligne NON comptee en stock.",IF(COUNTIFS($B$5:$B$304,$B35,$C$5:$C$304,$C35,$D$5:$D$304,$D35,$G$5:$G$304,$G35)&gt;1,"Doublon possible (meme date, type, lot et quantite).",IF($K35="LOT NON REFERENCE","Creer d'abord la fiche du lot dans l'onglet LOTS.",""))))))</f>
        <v/>
      </c>
    </row>
    <row r="36" customFormat="false" ht="15" hidden="false" customHeight="false" outlineLevel="0" collapsed="false">
      <c r="A36" s="26" t="str">
        <f aca="false">IF($C36="","","OP-"&amp;TEXT(ROW()-4,"000"))</f>
        <v/>
      </c>
      <c r="B36" s="25"/>
      <c r="C36" s="24"/>
      <c r="D36" s="24"/>
      <c r="E36" s="24"/>
      <c r="F36" s="24"/>
      <c r="G36" s="29"/>
      <c r="H36" s="24"/>
      <c r="I36" s="24"/>
      <c r="J36" s="26" t="str">
        <f aca="false">IF($D36="","",IFERROR(INDEX(LOT_EXTE,MATCH($D36,LOT_KEY,0)),""))</f>
        <v/>
      </c>
      <c r="K36" s="26" t="str">
        <f aca="false">IF($D36="","",IFERROR(INDEX(LOT_PRODE,MATCH($D36,LOT_KEY,0)),"LOT NON REFERENCE"))</f>
        <v/>
      </c>
      <c r="L36" s="26" t="str">
        <f aca="false">IF($D36="","",IFERROR(INDEX(LOT_FOURNE,MATCH($D36,LOT_KEY,0)),""))</f>
        <v/>
      </c>
      <c r="M36" s="26" t="str">
        <f aca="false">IF($E36="","",IFERROR(INDEX(EMPL_CLASSE,MATCH($E36,EMPL_KEY,0)),"?"))</f>
        <v/>
      </c>
      <c r="N36" s="26" t="str">
        <f aca="false">IF($F36="","",IFERROR(INDEX(EMPL_CLASSE,MATCH($F36,EMPL_KEY,0)),"?"))</f>
        <v/>
      </c>
      <c r="O36" s="28" t="n">
        <f aca="false">IF($C36="",0,IF(OR($B36="",$D36=""),0,IF($C36="AJUSTEMENT",IF(OR(NOT(ISNUMBER($G36)),$G36=0,$F36="",$H36=""),0,1),IF(OR(NOT(ISNUMBER($G36)),$G36&lt;=0),0,IF($C36="RECEPTION",IF($F36="",0,1),IF($C36="CONSOMMATION",IF($E36="",0,1),IF(OR($E36="",$F36="",$E36=$F36),0,1)))))))</f>
        <v>0</v>
      </c>
      <c r="P36" s="27" t="str">
        <f aca="false">IF(OR($O36=0,$C36="RECEPTION"),"",IF($C36="AJUSTEMENT",IF($G36&gt;0,"",SUMIFS(MVT_BRUT,MVT_LOT,$D36,MVT_EMPL,$F36)-$G36),SUMIFS(MVT_BRUT,MVT_LOT,$D36,MVT_EMPL,$E36)+$G36))</f>
        <v/>
      </c>
      <c r="Q36" s="26" t="str">
        <f aca="false">IF($C36="","",IF($O36=0,"DONNEES MANQUANTES",IF($C36="RECEPTION","OK",IF(AND($C36="AJUSTEMENT",$G36&gt;0),"OK",IF($P36&lt;=0,"EMPLACEMENT INCOHERENT",IF(ABS($G36)&gt;$P36+0.001,"STOCK INSUFFISANT","OK"))))))</f>
        <v/>
      </c>
      <c r="R36" s="28" t="n">
        <f aca="false">IF($Q36="OK",1,0)</f>
        <v>0</v>
      </c>
      <c r="S36" s="26" t="str">
        <f aca="false">IF($C36="","",IF($O36=0,"A COMPLETER : "&amp;IF($B36="","DATE; ","")&amp;IF($D36="","LOT INTERNE; ","")&amp;IF(NOT(ISNUMBER($G36)),"QUANTITE; ",IF(AND($C36="AJUSTEMENT",$G36=0),"QUANTITE &lt;&gt; 0; ",IF(AND($C36&lt;&gt;"AJUSTEMENT",$G36&lt;=0),"QUANTITE &gt; 0; ","")))&amp;IF(AND($C36="AJUSTEMENT",$H36=""),"MOTIF; ","")&amp;IF(AND(OR($C36="TRANSFERT",$C36="CONSOMMATION"),$E36=""),"EMPL. SOURCE; ","")&amp;IF(AND($C36&lt;&gt;"CONSOMMATION",$F36=""),"EMPL. DESTINATION; ","")&amp;IF(AND($C36="TRANSFERT",$E36&lt;&gt;"",$E36=$F36),"SOURCE = DESTINATION; ",""),IF($Q36="EMPLACEMENT INCOHERENT","Le lot "&amp;$D36&amp;" n'existe pas sur cet emplacement (stock 0). Verifier l'emplacement.",IF($Q36="STOCK INSUFFISANT","Disponible avant operation : "&amp;TEXT($P36,"#,##0.00")&amp;" kg. Ligne NON comptee en stock.",IF(COUNTIFS($B$5:$B$304,$B36,$C$5:$C$304,$C36,$D$5:$D$304,$D36,$G$5:$G$304,$G36)&gt;1,"Doublon possible (meme date, type, lot et quantite).",IF($K36="LOT NON REFERENCE","Creer d'abord la fiche du lot dans l'onglet LOTS.",""))))))</f>
        <v/>
      </c>
    </row>
    <row r="37" customFormat="false" ht="15" hidden="false" customHeight="false" outlineLevel="0" collapsed="false">
      <c r="A37" s="26" t="str">
        <f aca="false">IF($C37="","","OP-"&amp;TEXT(ROW()-4,"000"))</f>
        <v/>
      </c>
      <c r="B37" s="25"/>
      <c r="C37" s="24"/>
      <c r="D37" s="24"/>
      <c r="E37" s="24"/>
      <c r="F37" s="24"/>
      <c r="G37" s="29"/>
      <c r="H37" s="24"/>
      <c r="I37" s="24"/>
      <c r="J37" s="26" t="str">
        <f aca="false">IF($D37="","",IFERROR(INDEX(LOT_EXTE,MATCH($D37,LOT_KEY,0)),""))</f>
        <v/>
      </c>
      <c r="K37" s="26" t="str">
        <f aca="false">IF($D37="","",IFERROR(INDEX(LOT_PRODE,MATCH($D37,LOT_KEY,0)),"LOT NON REFERENCE"))</f>
        <v/>
      </c>
      <c r="L37" s="26" t="str">
        <f aca="false">IF($D37="","",IFERROR(INDEX(LOT_FOURNE,MATCH($D37,LOT_KEY,0)),""))</f>
        <v/>
      </c>
      <c r="M37" s="26" t="str">
        <f aca="false">IF($E37="","",IFERROR(INDEX(EMPL_CLASSE,MATCH($E37,EMPL_KEY,0)),"?"))</f>
        <v/>
      </c>
      <c r="N37" s="26" t="str">
        <f aca="false">IF($F37="","",IFERROR(INDEX(EMPL_CLASSE,MATCH($F37,EMPL_KEY,0)),"?"))</f>
        <v/>
      </c>
      <c r="O37" s="28" t="n">
        <f aca="false">IF($C37="",0,IF(OR($B37="",$D37=""),0,IF($C37="AJUSTEMENT",IF(OR(NOT(ISNUMBER($G37)),$G37=0,$F37="",$H37=""),0,1),IF(OR(NOT(ISNUMBER($G37)),$G37&lt;=0),0,IF($C37="RECEPTION",IF($F37="",0,1),IF($C37="CONSOMMATION",IF($E37="",0,1),IF(OR($E37="",$F37="",$E37=$F37),0,1)))))))</f>
        <v>0</v>
      </c>
      <c r="P37" s="27" t="str">
        <f aca="false">IF(OR($O37=0,$C37="RECEPTION"),"",IF($C37="AJUSTEMENT",IF($G37&gt;0,"",SUMIFS(MVT_BRUT,MVT_LOT,$D37,MVT_EMPL,$F37)-$G37),SUMIFS(MVT_BRUT,MVT_LOT,$D37,MVT_EMPL,$E37)+$G37))</f>
        <v/>
      </c>
      <c r="Q37" s="26" t="str">
        <f aca="false">IF($C37="","",IF($O37=0,"DONNEES MANQUANTES",IF($C37="RECEPTION","OK",IF(AND($C37="AJUSTEMENT",$G37&gt;0),"OK",IF($P37&lt;=0,"EMPLACEMENT INCOHERENT",IF(ABS($G37)&gt;$P37+0.001,"STOCK INSUFFISANT","OK"))))))</f>
        <v/>
      </c>
      <c r="R37" s="28" t="n">
        <f aca="false">IF($Q37="OK",1,0)</f>
        <v>0</v>
      </c>
      <c r="S37" s="26" t="str">
        <f aca="false">IF($C37="","",IF($O37=0,"A COMPLETER : "&amp;IF($B37="","DATE; ","")&amp;IF($D37="","LOT INTERNE; ","")&amp;IF(NOT(ISNUMBER($G37)),"QUANTITE; ",IF(AND($C37="AJUSTEMENT",$G37=0),"QUANTITE &lt;&gt; 0; ",IF(AND($C37&lt;&gt;"AJUSTEMENT",$G37&lt;=0),"QUANTITE &gt; 0; ","")))&amp;IF(AND($C37="AJUSTEMENT",$H37=""),"MOTIF; ","")&amp;IF(AND(OR($C37="TRANSFERT",$C37="CONSOMMATION"),$E37=""),"EMPL. SOURCE; ","")&amp;IF(AND($C37&lt;&gt;"CONSOMMATION",$F37=""),"EMPL. DESTINATION; ","")&amp;IF(AND($C37="TRANSFERT",$E37&lt;&gt;"",$E37=$F37),"SOURCE = DESTINATION; ",""),IF($Q37="EMPLACEMENT INCOHERENT","Le lot "&amp;$D37&amp;" n'existe pas sur cet emplacement (stock 0). Verifier l'emplacement.",IF($Q37="STOCK INSUFFISANT","Disponible avant operation : "&amp;TEXT($P37,"#,##0.00")&amp;" kg. Ligne NON comptee en stock.",IF(COUNTIFS($B$5:$B$304,$B37,$C$5:$C$304,$C37,$D$5:$D$304,$D37,$G$5:$G$304,$G37)&gt;1,"Doublon possible (meme date, type, lot et quantite).",IF($K37="LOT NON REFERENCE","Creer d'abord la fiche du lot dans l'onglet LOTS.",""))))))</f>
        <v/>
      </c>
    </row>
    <row r="38" customFormat="false" ht="15" hidden="false" customHeight="false" outlineLevel="0" collapsed="false">
      <c r="A38" s="26" t="str">
        <f aca="false">IF($C38="","","OP-"&amp;TEXT(ROW()-4,"000"))</f>
        <v/>
      </c>
      <c r="B38" s="25"/>
      <c r="C38" s="24"/>
      <c r="D38" s="24"/>
      <c r="E38" s="24"/>
      <c r="F38" s="24"/>
      <c r="G38" s="29"/>
      <c r="H38" s="24"/>
      <c r="I38" s="24"/>
      <c r="J38" s="26" t="str">
        <f aca="false">IF($D38="","",IFERROR(INDEX(LOT_EXTE,MATCH($D38,LOT_KEY,0)),""))</f>
        <v/>
      </c>
      <c r="K38" s="26" t="str">
        <f aca="false">IF($D38="","",IFERROR(INDEX(LOT_PRODE,MATCH($D38,LOT_KEY,0)),"LOT NON REFERENCE"))</f>
        <v/>
      </c>
      <c r="L38" s="26" t="str">
        <f aca="false">IF($D38="","",IFERROR(INDEX(LOT_FOURNE,MATCH($D38,LOT_KEY,0)),""))</f>
        <v/>
      </c>
      <c r="M38" s="26" t="str">
        <f aca="false">IF($E38="","",IFERROR(INDEX(EMPL_CLASSE,MATCH($E38,EMPL_KEY,0)),"?"))</f>
        <v/>
      </c>
      <c r="N38" s="26" t="str">
        <f aca="false">IF($F38="","",IFERROR(INDEX(EMPL_CLASSE,MATCH($F38,EMPL_KEY,0)),"?"))</f>
        <v/>
      </c>
      <c r="O38" s="28" t="n">
        <f aca="false">IF($C38="",0,IF(OR($B38="",$D38=""),0,IF($C38="AJUSTEMENT",IF(OR(NOT(ISNUMBER($G38)),$G38=0,$F38="",$H38=""),0,1),IF(OR(NOT(ISNUMBER($G38)),$G38&lt;=0),0,IF($C38="RECEPTION",IF($F38="",0,1),IF($C38="CONSOMMATION",IF($E38="",0,1),IF(OR($E38="",$F38="",$E38=$F38),0,1)))))))</f>
        <v>0</v>
      </c>
      <c r="P38" s="27" t="str">
        <f aca="false">IF(OR($O38=0,$C38="RECEPTION"),"",IF($C38="AJUSTEMENT",IF($G38&gt;0,"",SUMIFS(MVT_BRUT,MVT_LOT,$D38,MVT_EMPL,$F38)-$G38),SUMIFS(MVT_BRUT,MVT_LOT,$D38,MVT_EMPL,$E38)+$G38))</f>
        <v/>
      </c>
      <c r="Q38" s="26" t="str">
        <f aca="false">IF($C38="","",IF($O38=0,"DONNEES MANQUANTES",IF($C38="RECEPTION","OK",IF(AND($C38="AJUSTEMENT",$G38&gt;0),"OK",IF($P38&lt;=0,"EMPLACEMENT INCOHERENT",IF(ABS($G38)&gt;$P38+0.001,"STOCK INSUFFISANT","OK"))))))</f>
        <v/>
      </c>
      <c r="R38" s="28" t="n">
        <f aca="false">IF($Q38="OK",1,0)</f>
        <v>0</v>
      </c>
      <c r="S38" s="26" t="str">
        <f aca="false">IF($C38="","",IF($O38=0,"A COMPLETER : "&amp;IF($B38="","DATE; ","")&amp;IF($D38="","LOT INTERNE; ","")&amp;IF(NOT(ISNUMBER($G38)),"QUANTITE; ",IF(AND($C38="AJUSTEMENT",$G38=0),"QUANTITE &lt;&gt; 0; ",IF(AND($C38&lt;&gt;"AJUSTEMENT",$G38&lt;=0),"QUANTITE &gt; 0; ","")))&amp;IF(AND($C38="AJUSTEMENT",$H38=""),"MOTIF; ","")&amp;IF(AND(OR($C38="TRANSFERT",$C38="CONSOMMATION"),$E38=""),"EMPL. SOURCE; ","")&amp;IF(AND($C38&lt;&gt;"CONSOMMATION",$F38=""),"EMPL. DESTINATION; ","")&amp;IF(AND($C38="TRANSFERT",$E38&lt;&gt;"",$E38=$F38),"SOURCE = DESTINATION; ",""),IF($Q38="EMPLACEMENT INCOHERENT","Le lot "&amp;$D38&amp;" n'existe pas sur cet emplacement (stock 0). Verifier l'emplacement.",IF($Q38="STOCK INSUFFISANT","Disponible avant operation : "&amp;TEXT($P38,"#,##0.00")&amp;" kg. Ligne NON comptee en stock.",IF(COUNTIFS($B$5:$B$304,$B38,$C$5:$C$304,$C38,$D$5:$D$304,$D38,$G$5:$G$304,$G38)&gt;1,"Doublon possible (meme date, type, lot et quantite).",IF($K38="LOT NON REFERENCE","Creer d'abord la fiche du lot dans l'onglet LOTS.",""))))))</f>
        <v/>
      </c>
    </row>
    <row r="39" customFormat="false" ht="15" hidden="false" customHeight="false" outlineLevel="0" collapsed="false">
      <c r="A39" s="26" t="str">
        <f aca="false">IF($C39="","","OP-"&amp;TEXT(ROW()-4,"000"))</f>
        <v/>
      </c>
      <c r="B39" s="25"/>
      <c r="C39" s="24"/>
      <c r="D39" s="24"/>
      <c r="E39" s="24"/>
      <c r="F39" s="24"/>
      <c r="G39" s="29"/>
      <c r="H39" s="24"/>
      <c r="I39" s="24"/>
      <c r="J39" s="26" t="str">
        <f aca="false">IF($D39="","",IFERROR(INDEX(LOT_EXTE,MATCH($D39,LOT_KEY,0)),""))</f>
        <v/>
      </c>
      <c r="K39" s="26" t="str">
        <f aca="false">IF($D39="","",IFERROR(INDEX(LOT_PRODE,MATCH($D39,LOT_KEY,0)),"LOT NON REFERENCE"))</f>
        <v/>
      </c>
      <c r="L39" s="26" t="str">
        <f aca="false">IF($D39="","",IFERROR(INDEX(LOT_FOURNE,MATCH($D39,LOT_KEY,0)),""))</f>
        <v/>
      </c>
      <c r="M39" s="26" t="str">
        <f aca="false">IF($E39="","",IFERROR(INDEX(EMPL_CLASSE,MATCH($E39,EMPL_KEY,0)),"?"))</f>
        <v/>
      </c>
      <c r="N39" s="26" t="str">
        <f aca="false">IF($F39="","",IFERROR(INDEX(EMPL_CLASSE,MATCH($F39,EMPL_KEY,0)),"?"))</f>
        <v/>
      </c>
      <c r="O39" s="28" t="n">
        <f aca="false">IF($C39="",0,IF(OR($B39="",$D39=""),0,IF($C39="AJUSTEMENT",IF(OR(NOT(ISNUMBER($G39)),$G39=0,$F39="",$H39=""),0,1),IF(OR(NOT(ISNUMBER($G39)),$G39&lt;=0),0,IF($C39="RECEPTION",IF($F39="",0,1),IF($C39="CONSOMMATION",IF($E39="",0,1),IF(OR($E39="",$F39="",$E39=$F39),0,1)))))))</f>
        <v>0</v>
      </c>
      <c r="P39" s="27" t="str">
        <f aca="false">IF(OR($O39=0,$C39="RECEPTION"),"",IF($C39="AJUSTEMENT",IF($G39&gt;0,"",SUMIFS(MVT_BRUT,MVT_LOT,$D39,MVT_EMPL,$F39)-$G39),SUMIFS(MVT_BRUT,MVT_LOT,$D39,MVT_EMPL,$E39)+$G39))</f>
        <v/>
      </c>
      <c r="Q39" s="26" t="str">
        <f aca="false">IF($C39="","",IF($O39=0,"DONNEES MANQUANTES",IF($C39="RECEPTION","OK",IF(AND($C39="AJUSTEMENT",$G39&gt;0),"OK",IF($P39&lt;=0,"EMPLACEMENT INCOHERENT",IF(ABS($G39)&gt;$P39+0.001,"STOCK INSUFFISANT","OK"))))))</f>
        <v/>
      </c>
      <c r="R39" s="28" t="n">
        <f aca="false">IF($Q39="OK",1,0)</f>
        <v>0</v>
      </c>
      <c r="S39" s="26" t="str">
        <f aca="false">IF($C39="","",IF($O39=0,"A COMPLETER : "&amp;IF($B39="","DATE; ","")&amp;IF($D39="","LOT INTERNE; ","")&amp;IF(NOT(ISNUMBER($G39)),"QUANTITE; ",IF(AND($C39="AJUSTEMENT",$G39=0),"QUANTITE &lt;&gt; 0; ",IF(AND($C39&lt;&gt;"AJUSTEMENT",$G39&lt;=0),"QUANTITE &gt; 0; ","")))&amp;IF(AND($C39="AJUSTEMENT",$H39=""),"MOTIF; ","")&amp;IF(AND(OR($C39="TRANSFERT",$C39="CONSOMMATION"),$E39=""),"EMPL. SOURCE; ","")&amp;IF(AND($C39&lt;&gt;"CONSOMMATION",$F39=""),"EMPL. DESTINATION; ","")&amp;IF(AND($C39="TRANSFERT",$E39&lt;&gt;"",$E39=$F39),"SOURCE = DESTINATION; ",""),IF($Q39="EMPLACEMENT INCOHERENT","Le lot "&amp;$D39&amp;" n'existe pas sur cet emplacement (stock 0). Verifier l'emplacement.",IF($Q39="STOCK INSUFFISANT","Disponible avant operation : "&amp;TEXT($P39,"#,##0.00")&amp;" kg. Ligne NON comptee en stock.",IF(COUNTIFS($B$5:$B$304,$B39,$C$5:$C$304,$C39,$D$5:$D$304,$D39,$G$5:$G$304,$G39)&gt;1,"Doublon possible (meme date, type, lot et quantite).",IF($K39="LOT NON REFERENCE","Creer d'abord la fiche du lot dans l'onglet LOTS.",""))))))</f>
        <v/>
      </c>
    </row>
    <row r="40" customFormat="false" ht="15" hidden="false" customHeight="false" outlineLevel="0" collapsed="false">
      <c r="A40" s="26" t="str">
        <f aca="false">IF($C40="","","OP-"&amp;TEXT(ROW()-4,"000"))</f>
        <v/>
      </c>
      <c r="B40" s="25"/>
      <c r="C40" s="24"/>
      <c r="D40" s="24"/>
      <c r="E40" s="24"/>
      <c r="F40" s="24"/>
      <c r="G40" s="29"/>
      <c r="H40" s="24"/>
      <c r="I40" s="24"/>
      <c r="J40" s="26" t="str">
        <f aca="false">IF($D40="","",IFERROR(INDEX(LOT_EXTE,MATCH($D40,LOT_KEY,0)),""))</f>
        <v/>
      </c>
      <c r="K40" s="26" t="str">
        <f aca="false">IF($D40="","",IFERROR(INDEX(LOT_PRODE,MATCH($D40,LOT_KEY,0)),"LOT NON REFERENCE"))</f>
        <v/>
      </c>
      <c r="L40" s="26" t="str">
        <f aca="false">IF($D40="","",IFERROR(INDEX(LOT_FOURNE,MATCH($D40,LOT_KEY,0)),""))</f>
        <v/>
      </c>
      <c r="M40" s="26" t="str">
        <f aca="false">IF($E40="","",IFERROR(INDEX(EMPL_CLASSE,MATCH($E40,EMPL_KEY,0)),"?"))</f>
        <v/>
      </c>
      <c r="N40" s="26" t="str">
        <f aca="false">IF($F40="","",IFERROR(INDEX(EMPL_CLASSE,MATCH($F40,EMPL_KEY,0)),"?"))</f>
        <v/>
      </c>
      <c r="O40" s="28" t="n">
        <f aca="false">IF($C40="",0,IF(OR($B40="",$D40=""),0,IF($C40="AJUSTEMENT",IF(OR(NOT(ISNUMBER($G40)),$G40=0,$F40="",$H40=""),0,1),IF(OR(NOT(ISNUMBER($G40)),$G40&lt;=0),0,IF($C40="RECEPTION",IF($F40="",0,1),IF($C40="CONSOMMATION",IF($E40="",0,1),IF(OR($E40="",$F40="",$E40=$F40),0,1)))))))</f>
        <v>0</v>
      </c>
      <c r="P40" s="27" t="str">
        <f aca="false">IF(OR($O40=0,$C40="RECEPTION"),"",IF($C40="AJUSTEMENT",IF($G40&gt;0,"",SUMIFS(MVT_BRUT,MVT_LOT,$D40,MVT_EMPL,$F40)-$G40),SUMIFS(MVT_BRUT,MVT_LOT,$D40,MVT_EMPL,$E40)+$G40))</f>
        <v/>
      </c>
      <c r="Q40" s="26" t="str">
        <f aca="false">IF($C40="","",IF($O40=0,"DONNEES MANQUANTES",IF($C40="RECEPTION","OK",IF(AND($C40="AJUSTEMENT",$G40&gt;0),"OK",IF($P40&lt;=0,"EMPLACEMENT INCOHERENT",IF(ABS($G40)&gt;$P40+0.001,"STOCK INSUFFISANT","OK"))))))</f>
        <v/>
      </c>
      <c r="R40" s="28" t="n">
        <f aca="false">IF($Q40="OK",1,0)</f>
        <v>0</v>
      </c>
      <c r="S40" s="26" t="str">
        <f aca="false">IF($C40="","",IF($O40=0,"A COMPLETER : "&amp;IF($B40="","DATE; ","")&amp;IF($D40="","LOT INTERNE; ","")&amp;IF(NOT(ISNUMBER($G40)),"QUANTITE; ",IF(AND($C40="AJUSTEMENT",$G40=0),"QUANTITE &lt;&gt; 0; ",IF(AND($C40&lt;&gt;"AJUSTEMENT",$G40&lt;=0),"QUANTITE &gt; 0; ","")))&amp;IF(AND($C40="AJUSTEMENT",$H40=""),"MOTIF; ","")&amp;IF(AND(OR($C40="TRANSFERT",$C40="CONSOMMATION"),$E40=""),"EMPL. SOURCE; ","")&amp;IF(AND($C40&lt;&gt;"CONSOMMATION",$F40=""),"EMPL. DESTINATION; ","")&amp;IF(AND($C40="TRANSFERT",$E40&lt;&gt;"",$E40=$F40),"SOURCE = DESTINATION; ",""),IF($Q40="EMPLACEMENT INCOHERENT","Le lot "&amp;$D40&amp;" n'existe pas sur cet emplacement (stock 0). Verifier l'emplacement.",IF($Q40="STOCK INSUFFISANT","Disponible avant operation : "&amp;TEXT($P40,"#,##0.00")&amp;" kg. Ligne NON comptee en stock.",IF(COUNTIFS($B$5:$B$304,$B40,$C$5:$C$304,$C40,$D$5:$D$304,$D40,$G$5:$G$304,$G40)&gt;1,"Doublon possible (meme date, type, lot et quantite).",IF($K40="LOT NON REFERENCE","Creer d'abord la fiche du lot dans l'onglet LOTS.",""))))))</f>
        <v/>
      </c>
    </row>
    <row r="41" customFormat="false" ht="15" hidden="false" customHeight="false" outlineLevel="0" collapsed="false">
      <c r="A41" s="26" t="str">
        <f aca="false">IF($C41="","","OP-"&amp;TEXT(ROW()-4,"000"))</f>
        <v/>
      </c>
      <c r="B41" s="25"/>
      <c r="C41" s="24"/>
      <c r="D41" s="24"/>
      <c r="E41" s="24"/>
      <c r="F41" s="24"/>
      <c r="G41" s="29"/>
      <c r="H41" s="24"/>
      <c r="I41" s="24"/>
      <c r="J41" s="26" t="str">
        <f aca="false">IF($D41="","",IFERROR(INDEX(LOT_EXTE,MATCH($D41,LOT_KEY,0)),""))</f>
        <v/>
      </c>
      <c r="K41" s="26" t="str">
        <f aca="false">IF($D41="","",IFERROR(INDEX(LOT_PRODE,MATCH($D41,LOT_KEY,0)),"LOT NON REFERENCE"))</f>
        <v/>
      </c>
      <c r="L41" s="26" t="str">
        <f aca="false">IF($D41="","",IFERROR(INDEX(LOT_FOURNE,MATCH($D41,LOT_KEY,0)),""))</f>
        <v/>
      </c>
      <c r="M41" s="26" t="str">
        <f aca="false">IF($E41="","",IFERROR(INDEX(EMPL_CLASSE,MATCH($E41,EMPL_KEY,0)),"?"))</f>
        <v/>
      </c>
      <c r="N41" s="26" t="str">
        <f aca="false">IF($F41="","",IFERROR(INDEX(EMPL_CLASSE,MATCH($F41,EMPL_KEY,0)),"?"))</f>
        <v/>
      </c>
      <c r="O41" s="28" t="n">
        <f aca="false">IF($C41="",0,IF(OR($B41="",$D41=""),0,IF($C41="AJUSTEMENT",IF(OR(NOT(ISNUMBER($G41)),$G41=0,$F41="",$H41=""),0,1),IF(OR(NOT(ISNUMBER($G41)),$G41&lt;=0),0,IF($C41="RECEPTION",IF($F41="",0,1),IF($C41="CONSOMMATION",IF($E41="",0,1),IF(OR($E41="",$F41="",$E41=$F41),0,1)))))))</f>
        <v>0</v>
      </c>
      <c r="P41" s="27" t="str">
        <f aca="false">IF(OR($O41=0,$C41="RECEPTION"),"",IF($C41="AJUSTEMENT",IF($G41&gt;0,"",SUMIFS(MVT_BRUT,MVT_LOT,$D41,MVT_EMPL,$F41)-$G41),SUMIFS(MVT_BRUT,MVT_LOT,$D41,MVT_EMPL,$E41)+$G41))</f>
        <v/>
      </c>
      <c r="Q41" s="26" t="str">
        <f aca="false">IF($C41="","",IF($O41=0,"DONNEES MANQUANTES",IF($C41="RECEPTION","OK",IF(AND($C41="AJUSTEMENT",$G41&gt;0),"OK",IF($P41&lt;=0,"EMPLACEMENT INCOHERENT",IF(ABS($G41)&gt;$P41+0.001,"STOCK INSUFFISANT","OK"))))))</f>
        <v/>
      </c>
      <c r="R41" s="28" t="n">
        <f aca="false">IF($Q41="OK",1,0)</f>
        <v>0</v>
      </c>
      <c r="S41" s="26" t="str">
        <f aca="false">IF($C41="","",IF($O41=0,"A COMPLETER : "&amp;IF($B41="","DATE; ","")&amp;IF($D41="","LOT INTERNE; ","")&amp;IF(NOT(ISNUMBER($G41)),"QUANTITE; ",IF(AND($C41="AJUSTEMENT",$G41=0),"QUANTITE &lt;&gt; 0; ",IF(AND($C41&lt;&gt;"AJUSTEMENT",$G41&lt;=0),"QUANTITE &gt; 0; ","")))&amp;IF(AND($C41="AJUSTEMENT",$H41=""),"MOTIF; ","")&amp;IF(AND(OR($C41="TRANSFERT",$C41="CONSOMMATION"),$E41=""),"EMPL. SOURCE; ","")&amp;IF(AND($C41&lt;&gt;"CONSOMMATION",$F41=""),"EMPL. DESTINATION; ","")&amp;IF(AND($C41="TRANSFERT",$E41&lt;&gt;"",$E41=$F41),"SOURCE = DESTINATION; ",""),IF($Q41="EMPLACEMENT INCOHERENT","Le lot "&amp;$D41&amp;" n'existe pas sur cet emplacement (stock 0). Verifier l'emplacement.",IF($Q41="STOCK INSUFFISANT","Disponible avant operation : "&amp;TEXT($P41,"#,##0.00")&amp;" kg. Ligne NON comptee en stock.",IF(COUNTIFS($B$5:$B$304,$B41,$C$5:$C$304,$C41,$D$5:$D$304,$D41,$G$5:$G$304,$G41)&gt;1,"Doublon possible (meme date, type, lot et quantite).",IF($K41="LOT NON REFERENCE","Creer d'abord la fiche du lot dans l'onglet LOTS.",""))))))</f>
        <v/>
      </c>
    </row>
    <row r="42" customFormat="false" ht="15" hidden="false" customHeight="false" outlineLevel="0" collapsed="false">
      <c r="A42" s="26" t="str">
        <f aca="false">IF($C42="","","OP-"&amp;TEXT(ROW()-4,"000"))</f>
        <v/>
      </c>
      <c r="B42" s="25"/>
      <c r="C42" s="24"/>
      <c r="D42" s="24"/>
      <c r="E42" s="24"/>
      <c r="F42" s="24"/>
      <c r="G42" s="29"/>
      <c r="H42" s="24"/>
      <c r="I42" s="24"/>
      <c r="J42" s="26" t="str">
        <f aca="false">IF($D42="","",IFERROR(INDEX(LOT_EXTE,MATCH($D42,LOT_KEY,0)),""))</f>
        <v/>
      </c>
      <c r="K42" s="26" t="str">
        <f aca="false">IF($D42="","",IFERROR(INDEX(LOT_PRODE,MATCH($D42,LOT_KEY,0)),"LOT NON REFERENCE"))</f>
        <v/>
      </c>
      <c r="L42" s="26" t="str">
        <f aca="false">IF($D42="","",IFERROR(INDEX(LOT_FOURNE,MATCH($D42,LOT_KEY,0)),""))</f>
        <v/>
      </c>
      <c r="M42" s="26" t="str">
        <f aca="false">IF($E42="","",IFERROR(INDEX(EMPL_CLASSE,MATCH($E42,EMPL_KEY,0)),"?"))</f>
        <v/>
      </c>
      <c r="N42" s="26" t="str">
        <f aca="false">IF($F42="","",IFERROR(INDEX(EMPL_CLASSE,MATCH($F42,EMPL_KEY,0)),"?"))</f>
        <v/>
      </c>
      <c r="O42" s="28" t="n">
        <f aca="false">IF($C42="",0,IF(OR($B42="",$D42=""),0,IF($C42="AJUSTEMENT",IF(OR(NOT(ISNUMBER($G42)),$G42=0,$F42="",$H42=""),0,1),IF(OR(NOT(ISNUMBER($G42)),$G42&lt;=0),0,IF($C42="RECEPTION",IF($F42="",0,1),IF($C42="CONSOMMATION",IF($E42="",0,1),IF(OR($E42="",$F42="",$E42=$F42),0,1)))))))</f>
        <v>0</v>
      </c>
      <c r="P42" s="27" t="str">
        <f aca="false">IF(OR($O42=0,$C42="RECEPTION"),"",IF($C42="AJUSTEMENT",IF($G42&gt;0,"",SUMIFS(MVT_BRUT,MVT_LOT,$D42,MVT_EMPL,$F42)-$G42),SUMIFS(MVT_BRUT,MVT_LOT,$D42,MVT_EMPL,$E42)+$G42))</f>
        <v/>
      </c>
      <c r="Q42" s="26" t="str">
        <f aca="false">IF($C42="","",IF($O42=0,"DONNEES MANQUANTES",IF($C42="RECEPTION","OK",IF(AND($C42="AJUSTEMENT",$G42&gt;0),"OK",IF($P42&lt;=0,"EMPLACEMENT INCOHERENT",IF(ABS($G42)&gt;$P42+0.001,"STOCK INSUFFISANT","OK"))))))</f>
        <v/>
      </c>
      <c r="R42" s="28" t="n">
        <f aca="false">IF($Q42="OK",1,0)</f>
        <v>0</v>
      </c>
      <c r="S42" s="26" t="str">
        <f aca="false">IF($C42="","",IF($O42=0,"A COMPLETER : "&amp;IF($B42="","DATE; ","")&amp;IF($D42="","LOT INTERNE; ","")&amp;IF(NOT(ISNUMBER($G42)),"QUANTITE; ",IF(AND($C42="AJUSTEMENT",$G42=0),"QUANTITE &lt;&gt; 0; ",IF(AND($C42&lt;&gt;"AJUSTEMENT",$G42&lt;=0),"QUANTITE &gt; 0; ","")))&amp;IF(AND($C42="AJUSTEMENT",$H42=""),"MOTIF; ","")&amp;IF(AND(OR($C42="TRANSFERT",$C42="CONSOMMATION"),$E42=""),"EMPL. SOURCE; ","")&amp;IF(AND($C42&lt;&gt;"CONSOMMATION",$F42=""),"EMPL. DESTINATION; ","")&amp;IF(AND($C42="TRANSFERT",$E42&lt;&gt;"",$E42=$F42),"SOURCE = DESTINATION; ",""),IF($Q42="EMPLACEMENT INCOHERENT","Le lot "&amp;$D42&amp;" n'existe pas sur cet emplacement (stock 0). Verifier l'emplacement.",IF($Q42="STOCK INSUFFISANT","Disponible avant operation : "&amp;TEXT($P42,"#,##0.00")&amp;" kg. Ligne NON comptee en stock.",IF(COUNTIFS($B$5:$B$304,$B42,$C$5:$C$304,$C42,$D$5:$D$304,$D42,$G$5:$G$304,$G42)&gt;1,"Doublon possible (meme date, type, lot et quantite).",IF($K42="LOT NON REFERENCE","Creer d'abord la fiche du lot dans l'onglet LOTS.",""))))))</f>
        <v/>
      </c>
    </row>
    <row r="43" customFormat="false" ht="15" hidden="false" customHeight="false" outlineLevel="0" collapsed="false">
      <c r="A43" s="26" t="str">
        <f aca="false">IF($C43="","","OP-"&amp;TEXT(ROW()-4,"000"))</f>
        <v/>
      </c>
      <c r="B43" s="25"/>
      <c r="C43" s="24"/>
      <c r="D43" s="24"/>
      <c r="E43" s="24"/>
      <c r="F43" s="24"/>
      <c r="G43" s="29"/>
      <c r="H43" s="24"/>
      <c r="I43" s="24"/>
      <c r="J43" s="26" t="str">
        <f aca="false">IF($D43="","",IFERROR(INDEX(LOT_EXTE,MATCH($D43,LOT_KEY,0)),""))</f>
        <v/>
      </c>
      <c r="K43" s="26" t="str">
        <f aca="false">IF($D43="","",IFERROR(INDEX(LOT_PRODE,MATCH($D43,LOT_KEY,0)),"LOT NON REFERENCE"))</f>
        <v/>
      </c>
      <c r="L43" s="26" t="str">
        <f aca="false">IF($D43="","",IFERROR(INDEX(LOT_FOURNE,MATCH($D43,LOT_KEY,0)),""))</f>
        <v/>
      </c>
      <c r="M43" s="26" t="str">
        <f aca="false">IF($E43="","",IFERROR(INDEX(EMPL_CLASSE,MATCH($E43,EMPL_KEY,0)),"?"))</f>
        <v/>
      </c>
      <c r="N43" s="26" t="str">
        <f aca="false">IF($F43="","",IFERROR(INDEX(EMPL_CLASSE,MATCH($F43,EMPL_KEY,0)),"?"))</f>
        <v/>
      </c>
      <c r="O43" s="28" t="n">
        <f aca="false">IF($C43="",0,IF(OR($B43="",$D43=""),0,IF($C43="AJUSTEMENT",IF(OR(NOT(ISNUMBER($G43)),$G43=0,$F43="",$H43=""),0,1),IF(OR(NOT(ISNUMBER($G43)),$G43&lt;=0),0,IF($C43="RECEPTION",IF($F43="",0,1),IF($C43="CONSOMMATION",IF($E43="",0,1),IF(OR($E43="",$F43="",$E43=$F43),0,1)))))))</f>
        <v>0</v>
      </c>
      <c r="P43" s="27" t="str">
        <f aca="false">IF(OR($O43=0,$C43="RECEPTION"),"",IF($C43="AJUSTEMENT",IF($G43&gt;0,"",SUMIFS(MVT_BRUT,MVT_LOT,$D43,MVT_EMPL,$F43)-$G43),SUMIFS(MVT_BRUT,MVT_LOT,$D43,MVT_EMPL,$E43)+$G43))</f>
        <v/>
      </c>
      <c r="Q43" s="26" t="str">
        <f aca="false">IF($C43="","",IF($O43=0,"DONNEES MANQUANTES",IF($C43="RECEPTION","OK",IF(AND($C43="AJUSTEMENT",$G43&gt;0),"OK",IF($P43&lt;=0,"EMPLACEMENT INCOHERENT",IF(ABS($G43)&gt;$P43+0.001,"STOCK INSUFFISANT","OK"))))))</f>
        <v/>
      </c>
      <c r="R43" s="28" t="n">
        <f aca="false">IF($Q43="OK",1,0)</f>
        <v>0</v>
      </c>
      <c r="S43" s="26" t="str">
        <f aca="false">IF($C43="","",IF($O43=0,"A COMPLETER : "&amp;IF($B43="","DATE; ","")&amp;IF($D43="","LOT INTERNE; ","")&amp;IF(NOT(ISNUMBER($G43)),"QUANTITE; ",IF(AND($C43="AJUSTEMENT",$G43=0),"QUANTITE &lt;&gt; 0; ",IF(AND($C43&lt;&gt;"AJUSTEMENT",$G43&lt;=0),"QUANTITE &gt; 0; ","")))&amp;IF(AND($C43="AJUSTEMENT",$H43=""),"MOTIF; ","")&amp;IF(AND(OR($C43="TRANSFERT",$C43="CONSOMMATION"),$E43=""),"EMPL. SOURCE; ","")&amp;IF(AND($C43&lt;&gt;"CONSOMMATION",$F43=""),"EMPL. DESTINATION; ","")&amp;IF(AND($C43="TRANSFERT",$E43&lt;&gt;"",$E43=$F43),"SOURCE = DESTINATION; ",""),IF($Q43="EMPLACEMENT INCOHERENT","Le lot "&amp;$D43&amp;" n'existe pas sur cet emplacement (stock 0). Verifier l'emplacement.",IF($Q43="STOCK INSUFFISANT","Disponible avant operation : "&amp;TEXT($P43,"#,##0.00")&amp;" kg. Ligne NON comptee en stock.",IF(COUNTIFS($B$5:$B$304,$B43,$C$5:$C$304,$C43,$D$5:$D$304,$D43,$G$5:$G$304,$G43)&gt;1,"Doublon possible (meme date, type, lot et quantite).",IF($K43="LOT NON REFERENCE","Creer d'abord la fiche du lot dans l'onglet LOTS.",""))))))</f>
        <v/>
      </c>
    </row>
    <row r="44" customFormat="false" ht="15" hidden="false" customHeight="false" outlineLevel="0" collapsed="false">
      <c r="A44" s="26" t="str">
        <f aca="false">IF($C44="","","OP-"&amp;TEXT(ROW()-4,"000"))</f>
        <v/>
      </c>
      <c r="B44" s="25"/>
      <c r="C44" s="24"/>
      <c r="D44" s="24"/>
      <c r="E44" s="24"/>
      <c r="F44" s="24"/>
      <c r="G44" s="29"/>
      <c r="H44" s="24"/>
      <c r="I44" s="24"/>
      <c r="J44" s="26" t="str">
        <f aca="false">IF($D44="","",IFERROR(INDEX(LOT_EXTE,MATCH($D44,LOT_KEY,0)),""))</f>
        <v/>
      </c>
      <c r="K44" s="26" t="str">
        <f aca="false">IF($D44="","",IFERROR(INDEX(LOT_PRODE,MATCH($D44,LOT_KEY,0)),"LOT NON REFERENCE"))</f>
        <v/>
      </c>
      <c r="L44" s="26" t="str">
        <f aca="false">IF($D44="","",IFERROR(INDEX(LOT_FOURNE,MATCH($D44,LOT_KEY,0)),""))</f>
        <v/>
      </c>
      <c r="M44" s="26" t="str">
        <f aca="false">IF($E44="","",IFERROR(INDEX(EMPL_CLASSE,MATCH($E44,EMPL_KEY,0)),"?"))</f>
        <v/>
      </c>
      <c r="N44" s="26" t="str">
        <f aca="false">IF($F44="","",IFERROR(INDEX(EMPL_CLASSE,MATCH($F44,EMPL_KEY,0)),"?"))</f>
        <v/>
      </c>
      <c r="O44" s="28" t="n">
        <f aca="false">IF($C44="",0,IF(OR($B44="",$D44=""),0,IF($C44="AJUSTEMENT",IF(OR(NOT(ISNUMBER($G44)),$G44=0,$F44="",$H44=""),0,1),IF(OR(NOT(ISNUMBER($G44)),$G44&lt;=0),0,IF($C44="RECEPTION",IF($F44="",0,1),IF($C44="CONSOMMATION",IF($E44="",0,1),IF(OR($E44="",$F44="",$E44=$F44),0,1)))))))</f>
        <v>0</v>
      </c>
      <c r="P44" s="27" t="str">
        <f aca="false">IF(OR($O44=0,$C44="RECEPTION"),"",IF($C44="AJUSTEMENT",IF($G44&gt;0,"",SUMIFS(MVT_BRUT,MVT_LOT,$D44,MVT_EMPL,$F44)-$G44),SUMIFS(MVT_BRUT,MVT_LOT,$D44,MVT_EMPL,$E44)+$G44))</f>
        <v/>
      </c>
      <c r="Q44" s="26" t="str">
        <f aca="false">IF($C44="","",IF($O44=0,"DONNEES MANQUANTES",IF($C44="RECEPTION","OK",IF(AND($C44="AJUSTEMENT",$G44&gt;0),"OK",IF($P44&lt;=0,"EMPLACEMENT INCOHERENT",IF(ABS($G44)&gt;$P44+0.001,"STOCK INSUFFISANT","OK"))))))</f>
        <v/>
      </c>
      <c r="R44" s="28" t="n">
        <f aca="false">IF($Q44="OK",1,0)</f>
        <v>0</v>
      </c>
      <c r="S44" s="26" t="str">
        <f aca="false">IF($C44="","",IF($O44=0,"A COMPLETER : "&amp;IF($B44="","DATE; ","")&amp;IF($D44="","LOT INTERNE; ","")&amp;IF(NOT(ISNUMBER($G44)),"QUANTITE; ",IF(AND($C44="AJUSTEMENT",$G44=0),"QUANTITE &lt;&gt; 0; ",IF(AND($C44&lt;&gt;"AJUSTEMENT",$G44&lt;=0),"QUANTITE &gt; 0; ","")))&amp;IF(AND($C44="AJUSTEMENT",$H44=""),"MOTIF; ","")&amp;IF(AND(OR($C44="TRANSFERT",$C44="CONSOMMATION"),$E44=""),"EMPL. SOURCE; ","")&amp;IF(AND($C44&lt;&gt;"CONSOMMATION",$F44=""),"EMPL. DESTINATION; ","")&amp;IF(AND($C44="TRANSFERT",$E44&lt;&gt;"",$E44=$F44),"SOURCE = DESTINATION; ",""),IF($Q44="EMPLACEMENT INCOHERENT","Le lot "&amp;$D44&amp;" n'existe pas sur cet emplacement (stock 0). Verifier l'emplacement.",IF($Q44="STOCK INSUFFISANT","Disponible avant operation : "&amp;TEXT($P44,"#,##0.00")&amp;" kg. Ligne NON comptee en stock.",IF(COUNTIFS($B$5:$B$304,$B44,$C$5:$C$304,$C44,$D$5:$D$304,$D44,$G$5:$G$304,$G44)&gt;1,"Doublon possible (meme date, type, lot et quantite).",IF($K44="LOT NON REFERENCE","Creer d'abord la fiche du lot dans l'onglet LOTS.",""))))))</f>
        <v/>
      </c>
    </row>
    <row r="45" customFormat="false" ht="15" hidden="false" customHeight="false" outlineLevel="0" collapsed="false">
      <c r="A45" s="26" t="str">
        <f aca="false">IF($C45="","","OP-"&amp;TEXT(ROW()-4,"000"))</f>
        <v/>
      </c>
      <c r="B45" s="25"/>
      <c r="C45" s="24"/>
      <c r="D45" s="24"/>
      <c r="E45" s="24"/>
      <c r="F45" s="24"/>
      <c r="G45" s="29"/>
      <c r="H45" s="24"/>
      <c r="I45" s="24"/>
      <c r="J45" s="26" t="str">
        <f aca="false">IF($D45="","",IFERROR(INDEX(LOT_EXTE,MATCH($D45,LOT_KEY,0)),""))</f>
        <v/>
      </c>
      <c r="K45" s="26" t="str">
        <f aca="false">IF($D45="","",IFERROR(INDEX(LOT_PRODE,MATCH($D45,LOT_KEY,0)),"LOT NON REFERENCE"))</f>
        <v/>
      </c>
      <c r="L45" s="26" t="str">
        <f aca="false">IF($D45="","",IFERROR(INDEX(LOT_FOURNE,MATCH($D45,LOT_KEY,0)),""))</f>
        <v/>
      </c>
      <c r="M45" s="26" t="str">
        <f aca="false">IF($E45="","",IFERROR(INDEX(EMPL_CLASSE,MATCH($E45,EMPL_KEY,0)),"?"))</f>
        <v/>
      </c>
      <c r="N45" s="26" t="str">
        <f aca="false">IF($F45="","",IFERROR(INDEX(EMPL_CLASSE,MATCH($F45,EMPL_KEY,0)),"?"))</f>
        <v/>
      </c>
      <c r="O45" s="28" t="n">
        <f aca="false">IF($C45="",0,IF(OR($B45="",$D45=""),0,IF($C45="AJUSTEMENT",IF(OR(NOT(ISNUMBER($G45)),$G45=0,$F45="",$H45=""),0,1),IF(OR(NOT(ISNUMBER($G45)),$G45&lt;=0),0,IF($C45="RECEPTION",IF($F45="",0,1),IF($C45="CONSOMMATION",IF($E45="",0,1),IF(OR($E45="",$F45="",$E45=$F45),0,1)))))))</f>
        <v>0</v>
      </c>
      <c r="P45" s="27" t="str">
        <f aca="false">IF(OR($O45=0,$C45="RECEPTION"),"",IF($C45="AJUSTEMENT",IF($G45&gt;0,"",SUMIFS(MVT_BRUT,MVT_LOT,$D45,MVT_EMPL,$F45)-$G45),SUMIFS(MVT_BRUT,MVT_LOT,$D45,MVT_EMPL,$E45)+$G45))</f>
        <v/>
      </c>
      <c r="Q45" s="26" t="str">
        <f aca="false">IF($C45="","",IF($O45=0,"DONNEES MANQUANTES",IF($C45="RECEPTION","OK",IF(AND($C45="AJUSTEMENT",$G45&gt;0),"OK",IF($P45&lt;=0,"EMPLACEMENT INCOHERENT",IF(ABS($G45)&gt;$P45+0.001,"STOCK INSUFFISANT","OK"))))))</f>
        <v/>
      </c>
      <c r="R45" s="28" t="n">
        <f aca="false">IF($Q45="OK",1,0)</f>
        <v>0</v>
      </c>
      <c r="S45" s="26" t="str">
        <f aca="false">IF($C45="","",IF($O45=0,"A COMPLETER : "&amp;IF($B45="","DATE; ","")&amp;IF($D45="","LOT INTERNE; ","")&amp;IF(NOT(ISNUMBER($G45)),"QUANTITE; ",IF(AND($C45="AJUSTEMENT",$G45=0),"QUANTITE &lt;&gt; 0; ",IF(AND($C45&lt;&gt;"AJUSTEMENT",$G45&lt;=0),"QUANTITE &gt; 0; ","")))&amp;IF(AND($C45="AJUSTEMENT",$H45=""),"MOTIF; ","")&amp;IF(AND(OR($C45="TRANSFERT",$C45="CONSOMMATION"),$E45=""),"EMPL. SOURCE; ","")&amp;IF(AND($C45&lt;&gt;"CONSOMMATION",$F45=""),"EMPL. DESTINATION; ","")&amp;IF(AND($C45="TRANSFERT",$E45&lt;&gt;"",$E45=$F45),"SOURCE = DESTINATION; ",""),IF($Q45="EMPLACEMENT INCOHERENT","Le lot "&amp;$D45&amp;" n'existe pas sur cet emplacement (stock 0). Verifier l'emplacement.",IF($Q45="STOCK INSUFFISANT","Disponible avant operation : "&amp;TEXT($P45,"#,##0.00")&amp;" kg. Ligne NON comptee en stock.",IF(COUNTIFS($B$5:$B$304,$B45,$C$5:$C$304,$C45,$D$5:$D$304,$D45,$G$5:$G$304,$G45)&gt;1,"Doublon possible (meme date, type, lot et quantite).",IF($K45="LOT NON REFERENCE","Creer d'abord la fiche du lot dans l'onglet LOTS.",""))))))</f>
        <v/>
      </c>
    </row>
    <row r="46" customFormat="false" ht="15" hidden="false" customHeight="false" outlineLevel="0" collapsed="false">
      <c r="A46" s="26" t="str">
        <f aca="false">IF($C46="","","OP-"&amp;TEXT(ROW()-4,"000"))</f>
        <v/>
      </c>
      <c r="B46" s="25"/>
      <c r="C46" s="24"/>
      <c r="D46" s="24"/>
      <c r="E46" s="24"/>
      <c r="F46" s="24"/>
      <c r="G46" s="29"/>
      <c r="H46" s="24"/>
      <c r="I46" s="24"/>
      <c r="J46" s="26" t="str">
        <f aca="false">IF($D46="","",IFERROR(INDEX(LOT_EXTE,MATCH($D46,LOT_KEY,0)),""))</f>
        <v/>
      </c>
      <c r="K46" s="26" t="str">
        <f aca="false">IF($D46="","",IFERROR(INDEX(LOT_PRODE,MATCH($D46,LOT_KEY,0)),"LOT NON REFERENCE"))</f>
        <v/>
      </c>
      <c r="L46" s="26" t="str">
        <f aca="false">IF($D46="","",IFERROR(INDEX(LOT_FOURNE,MATCH($D46,LOT_KEY,0)),""))</f>
        <v/>
      </c>
      <c r="M46" s="26" t="str">
        <f aca="false">IF($E46="","",IFERROR(INDEX(EMPL_CLASSE,MATCH($E46,EMPL_KEY,0)),"?"))</f>
        <v/>
      </c>
      <c r="N46" s="26" t="str">
        <f aca="false">IF($F46="","",IFERROR(INDEX(EMPL_CLASSE,MATCH($F46,EMPL_KEY,0)),"?"))</f>
        <v/>
      </c>
      <c r="O46" s="28" t="n">
        <f aca="false">IF($C46="",0,IF(OR($B46="",$D46=""),0,IF($C46="AJUSTEMENT",IF(OR(NOT(ISNUMBER($G46)),$G46=0,$F46="",$H46=""),0,1),IF(OR(NOT(ISNUMBER($G46)),$G46&lt;=0),0,IF($C46="RECEPTION",IF($F46="",0,1),IF($C46="CONSOMMATION",IF($E46="",0,1),IF(OR($E46="",$F46="",$E46=$F46),0,1)))))))</f>
        <v>0</v>
      </c>
      <c r="P46" s="27" t="str">
        <f aca="false">IF(OR($O46=0,$C46="RECEPTION"),"",IF($C46="AJUSTEMENT",IF($G46&gt;0,"",SUMIFS(MVT_BRUT,MVT_LOT,$D46,MVT_EMPL,$F46)-$G46),SUMIFS(MVT_BRUT,MVT_LOT,$D46,MVT_EMPL,$E46)+$G46))</f>
        <v/>
      </c>
      <c r="Q46" s="26" t="str">
        <f aca="false">IF($C46="","",IF($O46=0,"DONNEES MANQUANTES",IF($C46="RECEPTION","OK",IF(AND($C46="AJUSTEMENT",$G46&gt;0),"OK",IF($P46&lt;=0,"EMPLACEMENT INCOHERENT",IF(ABS($G46)&gt;$P46+0.001,"STOCK INSUFFISANT","OK"))))))</f>
        <v/>
      </c>
      <c r="R46" s="28" t="n">
        <f aca="false">IF($Q46="OK",1,0)</f>
        <v>0</v>
      </c>
      <c r="S46" s="26" t="str">
        <f aca="false">IF($C46="","",IF($O46=0,"A COMPLETER : "&amp;IF($B46="","DATE; ","")&amp;IF($D46="","LOT INTERNE; ","")&amp;IF(NOT(ISNUMBER($G46)),"QUANTITE; ",IF(AND($C46="AJUSTEMENT",$G46=0),"QUANTITE &lt;&gt; 0; ",IF(AND($C46&lt;&gt;"AJUSTEMENT",$G46&lt;=0),"QUANTITE &gt; 0; ","")))&amp;IF(AND($C46="AJUSTEMENT",$H46=""),"MOTIF; ","")&amp;IF(AND(OR($C46="TRANSFERT",$C46="CONSOMMATION"),$E46=""),"EMPL. SOURCE; ","")&amp;IF(AND($C46&lt;&gt;"CONSOMMATION",$F46=""),"EMPL. DESTINATION; ","")&amp;IF(AND($C46="TRANSFERT",$E46&lt;&gt;"",$E46=$F46),"SOURCE = DESTINATION; ",""),IF($Q46="EMPLACEMENT INCOHERENT","Le lot "&amp;$D46&amp;" n'existe pas sur cet emplacement (stock 0). Verifier l'emplacement.",IF($Q46="STOCK INSUFFISANT","Disponible avant operation : "&amp;TEXT($P46,"#,##0.00")&amp;" kg. Ligne NON comptee en stock.",IF(COUNTIFS($B$5:$B$304,$B46,$C$5:$C$304,$C46,$D$5:$D$304,$D46,$G$5:$G$304,$G46)&gt;1,"Doublon possible (meme date, type, lot et quantite).",IF($K46="LOT NON REFERENCE","Creer d'abord la fiche du lot dans l'onglet LOTS.",""))))))</f>
        <v/>
      </c>
    </row>
    <row r="47" customFormat="false" ht="15" hidden="false" customHeight="false" outlineLevel="0" collapsed="false">
      <c r="A47" s="26" t="str">
        <f aca="false">IF($C47="","","OP-"&amp;TEXT(ROW()-4,"000"))</f>
        <v/>
      </c>
      <c r="B47" s="25"/>
      <c r="C47" s="24"/>
      <c r="D47" s="24"/>
      <c r="E47" s="24"/>
      <c r="F47" s="24"/>
      <c r="G47" s="29"/>
      <c r="H47" s="24"/>
      <c r="I47" s="24"/>
      <c r="J47" s="26" t="str">
        <f aca="false">IF($D47="","",IFERROR(INDEX(LOT_EXTE,MATCH($D47,LOT_KEY,0)),""))</f>
        <v/>
      </c>
      <c r="K47" s="26" t="str">
        <f aca="false">IF($D47="","",IFERROR(INDEX(LOT_PRODE,MATCH($D47,LOT_KEY,0)),"LOT NON REFERENCE"))</f>
        <v/>
      </c>
      <c r="L47" s="26" t="str">
        <f aca="false">IF($D47="","",IFERROR(INDEX(LOT_FOURNE,MATCH($D47,LOT_KEY,0)),""))</f>
        <v/>
      </c>
      <c r="M47" s="26" t="str">
        <f aca="false">IF($E47="","",IFERROR(INDEX(EMPL_CLASSE,MATCH($E47,EMPL_KEY,0)),"?"))</f>
        <v/>
      </c>
      <c r="N47" s="26" t="str">
        <f aca="false">IF($F47="","",IFERROR(INDEX(EMPL_CLASSE,MATCH($F47,EMPL_KEY,0)),"?"))</f>
        <v/>
      </c>
      <c r="O47" s="28" t="n">
        <f aca="false">IF($C47="",0,IF(OR($B47="",$D47=""),0,IF($C47="AJUSTEMENT",IF(OR(NOT(ISNUMBER($G47)),$G47=0,$F47="",$H47=""),0,1),IF(OR(NOT(ISNUMBER($G47)),$G47&lt;=0),0,IF($C47="RECEPTION",IF($F47="",0,1),IF($C47="CONSOMMATION",IF($E47="",0,1),IF(OR($E47="",$F47="",$E47=$F47),0,1)))))))</f>
        <v>0</v>
      </c>
      <c r="P47" s="27" t="str">
        <f aca="false">IF(OR($O47=0,$C47="RECEPTION"),"",IF($C47="AJUSTEMENT",IF($G47&gt;0,"",SUMIFS(MVT_BRUT,MVT_LOT,$D47,MVT_EMPL,$F47)-$G47),SUMIFS(MVT_BRUT,MVT_LOT,$D47,MVT_EMPL,$E47)+$G47))</f>
        <v/>
      </c>
      <c r="Q47" s="26" t="str">
        <f aca="false">IF($C47="","",IF($O47=0,"DONNEES MANQUANTES",IF($C47="RECEPTION","OK",IF(AND($C47="AJUSTEMENT",$G47&gt;0),"OK",IF($P47&lt;=0,"EMPLACEMENT INCOHERENT",IF(ABS($G47)&gt;$P47+0.001,"STOCK INSUFFISANT","OK"))))))</f>
        <v/>
      </c>
      <c r="R47" s="28" t="n">
        <f aca="false">IF($Q47="OK",1,0)</f>
        <v>0</v>
      </c>
      <c r="S47" s="26" t="str">
        <f aca="false">IF($C47="","",IF($O47=0,"A COMPLETER : "&amp;IF($B47="","DATE; ","")&amp;IF($D47="","LOT INTERNE; ","")&amp;IF(NOT(ISNUMBER($G47)),"QUANTITE; ",IF(AND($C47="AJUSTEMENT",$G47=0),"QUANTITE &lt;&gt; 0; ",IF(AND($C47&lt;&gt;"AJUSTEMENT",$G47&lt;=0),"QUANTITE &gt; 0; ","")))&amp;IF(AND($C47="AJUSTEMENT",$H47=""),"MOTIF; ","")&amp;IF(AND(OR($C47="TRANSFERT",$C47="CONSOMMATION"),$E47=""),"EMPL. SOURCE; ","")&amp;IF(AND($C47&lt;&gt;"CONSOMMATION",$F47=""),"EMPL. DESTINATION; ","")&amp;IF(AND($C47="TRANSFERT",$E47&lt;&gt;"",$E47=$F47),"SOURCE = DESTINATION; ",""),IF($Q47="EMPLACEMENT INCOHERENT","Le lot "&amp;$D47&amp;" n'existe pas sur cet emplacement (stock 0). Verifier l'emplacement.",IF($Q47="STOCK INSUFFISANT","Disponible avant operation : "&amp;TEXT($P47,"#,##0.00")&amp;" kg. Ligne NON comptee en stock.",IF(COUNTIFS($B$5:$B$304,$B47,$C$5:$C$304,$C47,$D$5:$D$304,$D47,$G$5:$G$304,$G47)&gt;1,"Doublon possible (meme date, type, lot et quantite).",IF($K47="LOT NON REFERENCE","Creer d'abord la fiche du lot dans l'onglet LOTS.",""))))))</f>
        <v/>
      </c>
    </row>
    <row r="48" customFormat="false" ht="15" hidden="false" customHeight="false" outlineLevel="0" collapsed="false">
      <c r="A48" s="26" t="str">
        <f aca="false">IF($C48="","","OP-"&amp;TEXT(ROW()-4,"000"))</f>
        <v/>
      </c>
      <c r="B48" s="25"/>
      <c r="C48" s="24"/>
      <c r="D48" s="24"/>
      <c r="E48" s="24"/>
      <c r="F48" s="24"/>
      <c r="G48" s="29"/>
      <c r="H48" s="24"/>
      <c r="I48" s="24"/>
      <c r="J48" s="26" t="str">
        <f aca="false">IF($D48="","",IFERROR(INDEX(LOT_EXTE,MATCH($D48,LOT_KEY,0)),""))</f>
        <v/>
      </c>
      <c r="K48" s="26" t="str">
        <f aca="false">IF($D48="","",IFERROR(INDEX(LOT_PRODE,MATCH($D48,LOT_KEY,0)),"LOT NON REFERENCE"))</f>
        <v/>
      </c>
      <c r="L48" s="26" t="str">
        <f aca="false">IF($D48="","",IFERROR(INDEX(LOT_FOURNE,MATCH($D48,LOT_KEY,0)),""))</f>
        <v/>
      </c>
      <c r="M48" s="26" t="str">
        <f aca="false">IF($E48="","",IFERROR(INDEX(EMPL_CLASSE,MATCH($E48,EMPL_KEY,0)),"?"))</f>
        <v/>
      </c>
      <c r="N48" s="26" t="str">
        <f aca="false">IF($F48="","",IFERROR(INDEX(EMPL_CLASSE,MATCH($F48,EMPL_KEY,0)),"?"))</f>
        <v/>
      </c>
      <c r="O48" s="28" t="n">
        <f aca="false">IF($C48="",0,IF(OR($B48="",$D48=""),0,IF($C48="AJUSTEMENT",IF(OR(NOT(ISNUMBER($G48)),$G48=0,$F48="",$H48=""),0,1),IF(OR(NOT(ISNUMBER($G48)),$G48&lt;=0),0,IF($C48="RECEPTION",IF($F48="",0,1),IF($C48="CONSOMMATION",IF($E48="",0,1),IF(OR($E48="",$F48="",$E48=$F48),0,1)))))))</f>
        <v>0</v>
      </c>
      <c r="P48" s="27" t="str">
        <f aca="false">IF(OR($O48=0,$C48="RECEPTION"),"",IF($C48="AJUSTEMENT",IF($G48&gt;0,"",SUMIFS(MVT_BRUT,MVT_LOT,$D48,MVT_EMPL,$F48)-$G48),SUMIFS(MVT_BRUT,MVT_LOT,$D48,MVT_EMPL,$E48)+$G48))</f>
        <v/>
      </c>
      <c r="Q48" s="26" t="str">
        <f aca="false">IF($C48="","",IF($O48=0,"DONNEES MANQUANTES",IF($C48="RECEPTION","OK",IF(AND($C48="AJUSTEMENT",$G48&gt;0),"OK",IF($P48&lt;=0,"EMPLACEMENT INCOHERENT",IF(ABS($G48)&gt;$P48+0.001,"STOCK INSUFFISANT","OK"))))))</f>
        <v/>
      </c>
      <c r="R48" s="28" t="n">
        <f aca="false">IF($Q48="OK",1,0)</f>
        <v>0</v>
      </c>
      <c r="S48" s="26" t="str">
        <f aca="false">IF($C48="","",IF($O48=0,"A COMPLETER : "&amp;IF($B48="","DATE; ","")&amp;IF($D48="","LOT INTERNE; ","")&amp;IF(NOT(ISNUMBER($G48)),"QUANTITE; ",IF(AND($C48="AJUSTEMENT",$G48=0),"QUANTITE &lt;&gt; 0; ",IF(AND($C48&lt;&gt;"AJUSTEMENT",$G48&lt;=0),"QUANTITE &gt; 0; ","")))&amp;IF(AND($C48="AJUSTEMENT",$H48=""),"MOTIF; ","")&amp;IF(AND(OR($C48="TRANSFERT",$C48="CONSOMMATION"),$E48=""),"EMPL. SOURCE; ","")&amp;IF(AND($C48&lt;&gt;"CONSOMMATION",$F48=""),"EMPL. DESTINATION; ","")&amp;IF(AND($C48="TRANSFERT",$E48&lt;&gt;"",$E48=$F48),"SOURCE = DESTINATION; ",""),IF($Q48="EMPLACEMENT INCOHERENT","Le lot "&amp;$D48&amp;" n'existe pas sur cet emplacement (stock 0). Verifier l'emplacement.",IF($Q48="STOCK INSUFFISANT","Disponible avant operation : "&amp;TEXT($P48,"#,##0.00")&amp;" kg. Ligne NON comptee en stock.",IF(COUNTIFS($B$5:$B$304,$B48,$C$5:$C$304,$C48,$D$5:$D$304,$D48,$G$5:$G$304,$G48)&gt;1,"Doublon possible (meme date, type, lot et quantite).",IF($K48="LOT NON REFERENCE","Creer d'abord la fiche du lot dans l'onglet LOTS.",""))))))</f>
        <v/>
      </c>
    </row>
    <row r="49" customFormat="false" ht="15" hidden="false" customHeight="false" outlineLevel="0" collapsed="false">
      <c r="A49" s="26" t="str">
        <f aca="false">IF($C49="","","OP-"&amp;TEXT(ROW()-4,"000"))</f>
        <v/>
      </c>
      <c r="B49" s="25"/>
      <c r="C49" s="24"/>
      <c r="D49" s="24"/>
      <c r="E49" s="24"/>
      <c r="F49" s="24"/>
      <c r="G49" s="29"/>
      <c r="H49" s="24"/>
      <c r="I49" s="24"/>
      <c r="J49" s="26" t="str">
        <f aca="false">IF($D49="","",IFERROR(INDEX(LOT_EXTE,MATCH($D49,LOT_KEY,0)),""))</f>
        <v/>
      </c>
      <c r="K49" s="26" t="str">
        <f aca="false">IF($D49="","",IFERROR(INDEX(LOT_PRODE,MATCH($D49,LOT_KEY,0)),"LOT NON REFERENCE"))</f>
        <v/>
      </c>
      <c r="L49" s="26" t="str">
        <f aca="false">IF($D49="","",IFERROR(INDEX(LOT_FOURNE,MATCH($D49,LOT_KEY,0)),""))</f>
        <v/>
      </c>
      <c r="M49" s="26" t="str">
        <f aca="false">IF($E49="","",IFERROR(INDEX(EMPL_CLASSE,MATCH($E49,EMPL_KEY,0)),"?"))</f>
        <v/>
      </c>
      <c r="N49" s="26" t="str">
        <f aca="false">IF($F49="","",IFERROR(INDEX(EMPL_CLASSE,MATCH($F49,EMPL_KEY,0)),"?"))</f>
        <v/>
      </c>
      <c r="O49" s="28" t="n">
        <f aca="false">IF($C49="",0,IF(OR($B49="",$D49=""),0,IF($C49="AJUSTEMENT",IF(OR(NOT(ISNUMBER($G49)),$G49=0,$F49="",$H49=""),0,1),IF(OR(NOT(ISNUMBER($G49)),$G49&lt;=0),0,IF($C49="RECEPTION",IF($F49="",0,1),IF($C49="CONSOMMATION",IF($E49="",0,1),IF(OR($E49="",$F49="",$E49=$F49),0,1)))))))</f>
        <v>0</v>
      </c>
      <c r="P49" s="27" t="str">
        <f aca="false">IF(OR($O49=0,$C49="RECEPTION"),"",IF($C49="AJUSTEMENT",IF($G49&gt;0,"",SUMIFS(MVT_BRUT,MVT_LOT,$D49,MVT_EMPL,$F49)-$G49),SUMIFS(MVT_BRUT,MVT_LOT,$D49,MVT_EMPL,$E49)+$G49))</f>
        <v/>
      </c>
      <c r="Q49" s="26" t="str">
        <f aca="false">IF($C49="","",IF($O49=0,"DONNEES MANQUANTES",IF($C49="RECEPTION","OK",IF(AND($C49="AJUSTEMENT",$G49&gt;0),"OK",IF($P49&lt;=0,"EMPLACEMENT INCOHERENT",IF(ABS($G49)&gt;$P49+0.001,"STOCK INSUFFISANT","OK"))))))</f>
        <v/>
      </c>
      <c r="R49" s="28" t="n">
        <f aca="false">IF($Q49="OK",1,0)</f>
        <v>0</v>
      </c>
      <c r="S49" s="26" t="str">
        <f aca="false">IF($C49="","",IF($O49=0,"A COMPLETER : "&amp;IF($B49="","DATE; ","")&amp;IF($D49="","LOT INTERNE; ","")&amp;IF(NOT(ISNUMBER($G49)),"QUANTITE; ",IF(AND($C49="AJUSTEMENT",$G49=0),"QUANTITE &lt;&gt; 0; ",IF(AND($C49&lt;&gt;"AJUSTEMENT",$G49&lt;=0),"QUANTITE &gt; 0; ","")))&amp;IF(AND($C49="AJUSTEMENT",$H49=""),"MOTIF; ","")&amp;IF(AND(OR($C49="TRANSFERT",$C49="CONSOMMATION"),$E49=""),"EMPL. SOURCE; ","")&amp;IF(AND($C49&lt;&gt;"CONSOMMATION",$F49=""),"EMPL. DESTINATION; ","")&amp;IF(AND($C49="TRANSFERT",$E49&lt;&gt;"",$E49=$F49),"SOURCE = DESTINATION; ",""),IF($Q49="EMPLACEMENT INCOHERENT","Le lot "&amp;$D49&amp;" n'existe pas sur cet emplacement (stock 0). Verifier l'emplacement.",IF($Q49="STOCK INSUFFISANT","Disponible avant operation : "&amp;TEXT($P49,"#,##0.00")&amp;" kg. Ligne NON comptee en stock.",IF(COUNTIFS($B$5:$B$304,$B49,$C$5:$C$304,$C49,$D$5:$D$304,$D49,$G$5:$G$304,$G49)&gt;1,"Doublon possible (meme date, type, lot et quantite).",IF($K49="LOT NON REFERENCE","Creer d'abord la fiche du lot dans l'onglet LOTS.",""))))))</f>
        <v/>
      </c>
    </row>
    <row r="50" customFormat="false" ht="15" hidden="false" customHeight="false" outlineLevel="0" collapsed="false">
      <c r="A50" s="26" t="str">
        <f aca="false">IF($C50="","","OP-"&amp;TEXT(ROW()-4,"000"))</f>
        <v/>
      </c>
      <c r="B50" s="25"/>
      <c r="C50" s="24"/>
      <c r="D50" s="24"/>
      <c r="E50" s="24"/>
      <c r="F50" s="24"/>
      <c r="G50" s="29"/>
      <c r="H50" s="24"/>
      <c r="I50" s="24"/>
      <c r="J50" s="26" t="str">
        <f aca="false">IF($D50="","",IFERROR(INDEX(LOT_EXTE,MATCH($D50,LOT_KEY,0)),""))</f>
        <v/>
      </c>
      <c r="K50" s="26" t="str">
        <f aca="false">IF($D50="","",IFERROR(INDEX(LOT_PRODE,MATCH($D50,LOT_KEY,0)),"LOT NON REFERENCE"))</f>
        <v/>
      </c>
      <c r="L50" s="26" t="str">
        <f aca="false">IF($D50="","",IFERROR(INDEX(LOT_FOURNE,MATCH($D50,LOT_KEY,0)),""))</f>
        <v/>
      </c>
      <c r="M50" s="26" t="str">
        <f aca="false">IF($E50="","",IFERROR(INDEX(EMPL_CLASSE,MATCH($E50,EMPL_KEY,0)),"?"))</f>
        <v/>
      </c>
      <c r="N50" s="26" t="str">
        <f aca="false">IF($F50="","",IFERROR(INDEX(EMPL_CLASSE,MATCH($F50,EMPL_KEY,0)),"?"))</f>
        <v/>
      </c>
      <c r="O50" s="28" t="n">
        <f aca="false">IF($C50="",0,IF(OR($B50="",$D50=""),0,IF($C50="AJUSTEMENT",IF(OR(NOT(ISNUMBER($G50)),$G50=0,$F50="",$H50=""),0,1),IF(OR(NOT(ISNUMBER($G50)),$G50&lt;=0),0,IF($C50="RECEPTION",IF($F50="",0,1),IF($C50="CONSOMMATION",IF($E50="",0,1),IF(OR($E50="",$F50="",$E50=$F50),0,1)))))))</f>
        <v>0</v>
      </c>
      <c r="P50" s="27" t="str">
        <f aca="false">IF(OR($O50=0,$C50="RECEPTION"),"",IF($C50="AJUSTEMENT",IF($G50&gt;0,"",SUMIFS(MVT_BRUT,MVT_LOT,$D50,MVT_EMPL,$F50)-$G50),SUMIFS(MVT_BRUT,MVT_LOT,$D50,MVT_EMPL,$E50)+$G50))</f>
        <v/>
      </c>
      <c r="Q50" s="26" t="str">
        <f aca="false">IF($C50="","",IF($O50=0,"DONNEES MANQUANTES",IF($C50="RECEPTION","OK",IF(AND($C50="AJUSTEMENT",$G50&gt;0),"OK",IF($P50&lt;=0,"EMPLACEMENT INCOHERENT",IF(ABS($G50)&gt;$P50+0.001,"STOCK INSUFFISANT","OK"))))))</f>
        <v/>
      </c>
      <c r="R50" s="28" t="n">
        <f aca="false">IF($Q50="OK",1,0)</f>
        <v>0</v>
      </c>
      <c r="S50" s="26" t="str">
        <f aca="false">IF($C50="","",IF($O50=0,"A COMPLETER : "&amp;IF($B50="","DATE; ","")&amp;IF($D50="","LOT INTERNE; ","")&amp;IF(NOT(ISNUMBER($G50)),"QUANTITE; ",IF(AND($C50="AJUSTEMENT",$G50=0),"QUANTITE &lt;&gt; 0; ",IF(AND($C50&lt;&gt;"AJUSTEMENT",$G50&lt;=0),"QUANTITE &gt; 0; ","")))&amp;IF(AND($C50="AJUSTEMENT",$H50=""),"MOTIF; ","")&amp;IF(AND(OR($C50="TRANSFERT",$C50="CONSOMMATION"),$E50=""),"EMPL. SOURCE; ","")&amp;IF(AND($C50&lt;&gt;"CONSOMMATION",$F50=""),"EMPL. DESTINATION; ","")&amp;IF(AND($C50="TRANSFERT",$E50&lt;&gt;"",$E50=$F50),"SOURCE = DESTINATION; ",""),IF($Q50="EMPLACEMENT INCOHERENT","Le lot "&amp;$D50&amp;" n'existe pas sur cet emplacement (stock 0). Verifier l'emplacement.",IF($Q50="STOCK INSUFFISANT","Disponible avant operation : "&amp;TEXT($P50,"#,##0.00")&amp;" kg. Ligne NON comptee en stock.",IF(COUNTIFS($B$5:$B$304,$B50,$C$5:$C$304,$C50,$D$5:$D$304,$D50,$G$5:$G$304,$G50)&gt;1,"Doublon possible (meme date, type, lot et quantite).",IF($K50="LOT NON REFERENCE","Creer d'abord la fiche du lot dans l'onglet LOTS.",""))))))</f>
        <v/>
      </c>
    </row>
    <row r="51" customFormat="false" ht="15" hidden="false" customHeight="false" outlineLevel="0" collapsed="false">
      <c r="A51" s="26" t="str">
        <f aca="false">IF($C51="","","OP-"&amp;TEXT(ROW()-4,"000"))</f>
        <v/>
      </c>
      <c r="B51" s="25"/>
      <c r="C51" s="24"/>
      <c r="D51" s="24"/>
      <c r="E51" s="24"/>
      <c r="F51" s="24"/>
      <c r="G51" s="29"/>
      <c r="H51" s="24"/>
      <c r="I51" s="24"/>
      <c r="J51" s="26" t="str">
        <f aca="false">IF($D51="","",IFERROR(INDEX(LOT_EXTE,MATCH($D51,LOT_KEY,0)),""))</f>
        <v/>
      </c>
      <c r="K51" s="26" t="str">
        <f aca="false">IF($D51="","",IFERROR(INDEX(LOT_PRODE,MATCH($D51,LOT_KEY,0)),"LOT NON REFERENCE"))</f>
        <v/>
      </c>
      <c r="L51" s="26" t="str">
        <f aca="false">IF($D51="","",IFERROR(INDEX(LOT_FOURNE,MATCH($D51,LOT_KEY,0)),""))</f>
        <v/>
      </c>
      <c r="M51" s="26" t="str">
        <f aca="false">IF($E51="","",IFERROR(INDEX(EMPL_CLASSE,MATCH($E51,EMPL_KEY,0)),"?"))</f>
        <v/>
      </c>
      <c r="N51" s="26" t="str">
        <f aca="false">IF($F51="","",IFERROR(INDEX(EMPL_CLASSE,MATCH($F51,EMPL_KEY,0)),"?"))</f>
        <v/>
      </c>
      <c r="O51" s="28" t="n">
        <f aca="false">IF($C51="",0,IF(OR($B51="",$D51=""),0,IF($C51="AJUSTEMENT",IF(OR(NOT(ISNUMBER($G51)),$G51=0,$F51="",$H51=""),0,1),IF(OR(NOT(ISNUMBER($G51)),$G51&lt;=0),0,IF($C51="RECEPTION",IF($F51="",0,1),IF($C51="CONSOMMATION",IF($E51="",0,1),IF(OR($E51="",$F51="",$E51=$F51),0,1)))))))</f>
        <v>0</v>
      </c>
      <c r="P51" s="27" t="str">
        <f aca="false">IF(OR($O51=0,$C51="RECEPTION"),"",IF($C51="AJUSTEMENT",IF($G51&gt;0,"",SUMIFS(MVT_BRUT,MVT_LOT,$D51,MVT_EMPL,$F51)-$G51),SUMIFS(MVT_BRUT,MVT_LOT,$D51,MVT_EMPL,$E51)+$G51))</f>
        <v/>
      </c>
      <c r="Q51" s="26" t="str">
        <f aca="false">IF($C51="","",IF($O51=0,"DONNEES MANQUANTES",IF($C51="RECEPTION","OK",IF(AND($C51="AJUSTEMENT",$G51&gt;0),"OK",IF($P51&lt;=0,"EMPLACEMENT INCOHERENT",IF(ABS($G51)&gt;$P51+0.001,"STOCK INSUFFISANT","OK"))))))</f>
        <v/>
      </c>
      <c r="R51" s="28" t="n">
        <f aca="false">IF($Q51="OK",1,0)</f>
        <v>0</v>
      </c>
      <c r="S51" s="26" t="str">
        <f aca="false">IF($C51="","",IF($O51=0,"A COMPLETER : "&amp;IF($B51="","DATE; ","")&amp;IF($D51="","LOT INTERNE; ","")&amp;IF(NOT(ISNUMBER($G51)),"QUANTITE; ",IF(AND($C51="AJUSTEMENT",$G51=0),"QUANTITE &lt;&gt; 0; ",IF(AND($C51&lt;&gt;"AJUSTEMENT",$G51&lt;=0),"QUANTITE &gt; 0; ","")))&amp;IF(AND($C51="AJUSTEMENT",$H51=""),"MOTIF; ","")&amp;IF(AND(OR($C51="TRANSFERT",$C51="CONSOMMATION"),$E51=""),"EMPL. SOURCE; ","")&amp;IF(AND($C51&lt;&gt;"CONSOMMATION",$F51=""),"EMPL. DESTINATION; ","")&amp;IF(AND($C51="TRANSFERT",$E51&lt;&gt;"",$E51=$F51),"SOURCE = DESTINATION; ",""),IF($Q51="EMPLACEMENT INCOHERENT","Le lot "&amp;$D51&amp;" n'existe pas sur cet emplacement (stock 0). Verifier l'emplacement.",IF($Q51="STOCK INSUFFISANT","Disponible avant operation : "&amp;TEXT($P51,"#,##0.00")&amp;" kg. Ligne NON comptee en stock.",IF(COUNTIFS($B$5:$B$304,$B51,$C$5:$C$304,$C51,$D$5:$D$304,$D51,$G$5:$G$304,$G51)&gt;1,"Doublon possible (meme date, type, lot et quantite).",IF($K51="LOT NON REFERENCE","Creer d'abord la fiche du lot dans l'onglet LOTS.",""))))))</f>
        <v/>
      </c>
    </row>
    <row r="52" customFormat="false" ht="15" hidden="false" customHeight="false" outlineLevel="0" collapsed="false">
      <c r="A52" s="26" t="str">
        <f aca="false">IF($C52="","","OP-"&amp;TEXT(ROW()-4,"000"))</f>
        <v/>
      </c>
      <c r="B52" s="25"/>
      <c r="C52" s="24"/>
      <c r="D52" s="24"/>
      <c r="E52" s="24"/>
      <c r="F52" s="24"/>
      <c r="G52" s="29"/>
      <c r="H52" s="24"/>
      <c r="I52" s="24"/>
      <c r="J52" s="26" t="str">
        <f aca="false">IF($D52="","",IFERROR(INDEX(LOT_EXTE,MATCH($D52,LOT_KEY,0)),""))</f>
        <v/>
      </c>
      <c r="K52" s="26" t="str">
        <f aca="false">IF($D52="","",IFERROR(INDEX(LOT_PRODE,MATCH($D52,LOT_KEY,0)),"LOT NON REFERENCE"))</f>
        <v/>
      </c>
      <c r="L52" s="26" t="str">
        <f aca="false">IF($D52="","",IFERROR(INDEX(LOT_FOURNE,MATCH($D52,LOT_KEY,0)),""))</f>
        <v/>
      </c>
      <c r="M52" s="26" t="str">
        <f aca="false">IF($E52="","",IFERROR(INDEX(EMPL_CLASSE,MATCH($E52,EMPL_KEY,0)),"?"))</f>
        <v/>
      </c>
      <c r="N52" s="26" t="str">
        <f aca="false">IF($F52="","",IFERROR(INDEX(EMPL_CLASSE,MATCH($F52,EMPL_KEY,0)),"?"))</f>
        <v/>
      </c>
      <c r="O52" s="28" t="n">
        <f aca="false">IF($C52="",0,IF(OR($B52="",$D52=""),0,IF($C52="AJUSTEMENT",IF(OR(NOT(ISNUMBER($G52)),$G52=0,$F52="",$H52=""),0,1),IF(OR(NOT(ISNUMBER($G52)),$G52&lt;=0),0,IF($C52="RECEPTION",IF($F52="",0,1),IF($C52="CONSOMMATION",IF($E52="",0,1),IF(OR($E52="",$F52="",$E52=$F52),0,1)))))))</f>
        <v>0</v>
      </c>
      <c r="P52" s="27" t="str">
        <f aca="false">IF(OR($O52=0,$C52="RECEPTION"),"",IF($C52="AJUSTEMENT",IF($G52&gt;0,"",SUMIFS(MVT_BRUT,MVT_LOT,$D52,MVT_EMPL,$F52)-$G52),SUMIFS(MVT_BRUT,MVT_LOT,$D52,MVT_EMPL,$E52)+$G52))</f>
        <v/>
      </c>
      <c r="Q52" s="26" t="str">
        <f aca="false">IF($C52="","",IF($O52=0,"DONNEES MANQUANTES",IF($C52="RECEPTION","OK",IF(AND($C52="AJUSTEMENT",$G52&gt;0),"OK",IF($P52&lt;=0,"EMPLACEMENT INCOHERENT",IF(ABS($G52)&gt;$P52+0.001,"STOCK INSUFFISANT","OK"))))))</f>
        <v/>
      </c>
      <c r="R52" s="28" t="n">
        <f aca="false">IF($Q52="OK",1,0)</f>
        <v>0</v>
      </c>
      <c r="S52" s="26" t="str">
        <f aca="false">IF($C52="","",IF($O52=0,"A COMPLETER : "&amp;IF($B52="","DATE; ","")&amp;IF($D52="","LOT INTERNE; ","")&amp;IF(NOT(ISNUMBER($G52)),"QUANTITE; ",IF(AND($C52="AJUSTEMENT",$G52=0),"QUANTITE &lt;&gt; 0; ",IF(AND($C52&lt;&gt;"AJUSTEMENT",$G52&lt;=0),"QUANTITE &gt; 0; ","")))&amp;IF(AND($C52="AJUSTEMENT",$H52=""),"MOTIF; ","")&amp;IF(AND(OR($C52="TRANSFERT",$C52="CONSOMMATION"),$E52=""),"EMPL. SOURCE; ","")&amp;IF(AND($C52&lt;&gt;"CONSOMMATION",$F52=""),"EMPL. DESTINATION; ","")&amp;IF(AND($C52="TRANSFERT",$E52&lt;&gt;"",$E52=$F52),"SOURCE = DESTINATION; ",""),IF($Q52="EMPLACEMENT INCOHERENT","Le lot "&amp;$D52&amp;" n'existe pas sur cet emplacement (stock 0). Verifier l'emplacement.",IF($Q52="STOCK INSUFFISANT","Disponible avant operation : "&amp;TEXT($P52,"#,##0.00")&amp;" kg. Ligne NON comptee en stock.",IF(COUNTIFS($B$5:$B$304,$B52,$C$5:$C$304,$C52,$D$5:$D$304,$D52,$G$5:$G$304,$G52)&gt;1,"Doublon possible (meme date, type, lot et quantite).",IF($K52="LOT NON REFERENCE","Creer d'abord la fiche du lot dans l'onglet LOTS.",""))))))</f>
        <v/>
      </c>
    </row>
    <row r="53" customFormat="false" ht="15" hidden="false" customHeight="false" outlineLevel="0" collapsed="false">
      <c r="A53" s="26" t="str">
        <f aca="false">IF($C53="","","OP-"&amp;TEXT(ROW()-4,"000"))</f>
        <v/>
      </c>
      <c r="B53" s="25"/>
      <c r="C53" s="24"/>
      <c r="D53" s="24"/>
      <c r="E53" s="24"/>
      <c r="F53" s="24"/>
      <c r="G53" s="29"/>
      <c r="H53" s="24"/>
      <c r="I53" s="24"/>
      <c r="J53" s="26" t="str">
        <f aca="false">IF($D53="","",IFERROR(INDEX(LOT_EXTE,MATCH($D53,LOT_KEY,0)),""))</f>
        <v/>
      </c>
      <c r="K53" s="26" t="str">
        <f aca="false">IF($D53="","",IFERROR(INDEX(LOT_PRODE,MATCH($D53,LOT_KEY,0)),"LOT NON REFERENCE"))</f>
        <v/>
      </c>
      <c r="L53" s="26" t="str">
        <f aca="false">IF($D53="","",IFERROR(INDEX(LOT_FOURNE,MATCH($D53,LOT_KEY,0)),""))</f>
        <v/>
      </c>
      <c r="M53" s="26" t="str">
        <f aca="false">IF($E53="","",IFERROR(INDEX(EMPL_CLASSE,MATCH($E53,EMPL_KEY,0)),"?"))</f>
        <v/>
      </c>
      <c r="N53" s="26" t="str">
        <f aca="false">IF($F53="","",IFERROR(INDEX(EMPL_CLASSE,MATCH($F53,EMPL_KEY,0)),"?"))</f>
        <v/>
      </c>
      <c r="O53" s="28" t="n">
        <f aca="false">IF($C53="",0,IF(OR($B53="",$D53=""),0,IF($C53="AJUSTEMENT",IF(OR(NOT(ISNUMBER($G53)),$G53=0,$F53="",$H53=""),0,1),IF(OR(NOT(ISNUMBER($G53)),$G53&lt;=0),0,IF($C53="RECEPTION",IF($F53="",0,1),IF($C53="CONSOMMATION",IF($E53="",0,1),IF(OR($E53="",$F53="",$E53=$F53),0,1)))))))</f>
        <v>0</v>
      </c>
      <c r="P53" s="27" t="str">
        <f aca="false">IF(OR($O53=0,$C53="RECEPTION"),"",IF($C53="AJUSTEMENT",IF($G53&gt;0,"",SUMIFS(MVT_BRUT,MVT_LOT,$D53,MVT_EMPL,$F53)-$G53),SUMIFS(MVT_BRUT,MVT_LOT,$D53,MVT_EMPL,$E53)+$G53))</f>
        <v/>
      </c>
      <c r="Q53" s="26" t="str">
        <f aca="false">IF($C53="","",IF($O53=0,"DONNEES MANQUANTES",IF($C53="RECEPTION","OK",IF(AND($C53="AJUSTEMENT",$G53&gt;0),"OK",IF($P53&lt;=0,"EMPLACEMENT INCOHERENT",IF(ABS($G53)&gt;$P53+0.001,"STOCK INSUFFISANT","OK"))))))</f>
        <v/>
      </c>
      <c r="R53" s="28" t="n">
        <f aca="false">IF($Q53="OK",1,0)</f>
        <v>0</v>
      </c>
      <c r="S53" s="26" t="str">
        <f aca="false">IF($C53="","",IF($O53=0,"A COMPLETER : "&amp;IF($B53="","DATE; ","")&amp;IF($D53="","LOT INTERNE; ","")&amp;IF(NOT(ISNUMBER($G53)),"QUANTITE; ",IF(AND($C53="AJUSTEMENT",$G53=0),"QUANTITE &lt;&gt; 0; ",IF(AND($C53&lt;&gt;"AJUSTEMENT",$G53&lt;=0),"QUANTITE &gt; 0; ","")))&amp;IF(AND($C53="AJUSTEMENT",$H53=""),"MOTIF; ","")&amp;IF(AND(OR($C53="TRANSFERT",$C53="CONSOMMATION"),$E53=""),"EMPL. SOURCE; ","")&amp;IF(AND($C53&lt;&gt;"CONSOMMATION",$F53=""),"EMPL. DESTINATION; ","")&amp;IF(AND($C53="TRANSFERT",$E53&lt;&gt;"",$E53=$F53),"SOURCE = DESTINATION; ",""),IF($Q53="EMPLACEMENT INCOHERENT","Le lot "&amp;$D53&amp;" n'existe pas sur cet emplacement (stock 0). Verifier l'emplacement.",IF($Q53="STOCK INSUFFISANT","Disponible avant operation : "&amp;TEXT($P53,"#,##0.00")&amp;" kg. Ligne NON comptee en stock.",IF(COUNTIFS($B$5:$B$304,$B53,$C$5:$C$304,$C53,$D$5:$D$304,$D53,$G$5:$G$304,$G53)&gt;1,"Doublon possible (meme date, type, lot et quantite).",IF($K53="LOT NON REFERENCE","Creer d'abord la fiche du lot dans l'onglet LOTS.",""))))))</f>
        <v/>
      </c>
    </row>
    <row r="54" customFormat="false" ht="15" hidden="false" customHeight="false" outlineLevel="0" collapsed="false">
      <c r="A54" s="26" t="str">
        <f aca="false">IF($C54="","","OP-"&amp;TEXT(ROW()-4,"000"))</f>
        <v/>
      </c>
      <c r="B54" s="25"/>
      <c r="C54" s="24"/>
      <c r="D54" s="24"/>
      <c r="E54" s="24"/>
      <c r="F54" s="24"/>
      <c r="G54" s="29"/>
      <c r="H54" s="24"/>
      <c r="I54" s="24"/>
      <c r="J54" s="26" t="str">
        <f aca="false">IF($D54="","",IFERROR(INDEX(LOT_EXTE,MATCH($D54,LOT_KEY,0)),""))</f>
        <v/>
      </c>
      <c r="K54" s="26" t="str">
        <f aca="false">IF($D54="","",IFERROR(INDEX(LOT_PRODE,MATCH($D54,LOT_KEY,0)),"LOT NON REFERENCE"))</f>
        <v/>
      </c>
      <c r="L54" s="26" t="str">
        <f aca="false">IF($D54="","",IFERROR(INDEX(LOT_FOURNE,MATCH($D54,LOT_KEY,0)),""))</f>
        <v/>
      </c>
      <c r="M54" s="26" t="str">
        <f aca="false">IF($E54="","",IFERROR(INDEX(EMPL_CLASSE,MATCH($E54,EMPL_KEY,0)),"?"))</f>
        <v/>
      </c>
      <c r="N54" s="26" t="str">
        <f aca="false">IF($F54="","",IFERROR(INDEX(EMPL_CLASSE,MATCH($F54,EMPL_KEY,0)),"?"))</f>
        <v/>
      </c>
      <c r="O54" s="28" t="n">
        <f aca="false">IF($C54="",0,IF(OR($B54="",$D54=""),0,IF($C54="AJUSTEMENT",IF(OR(NOT(ISNUMBER($G54)),$G54=0,$F54="",$H54=""),0,1),IF(OR(NOT(ISNUMBER($G54)),$G54&lt;=0),0,IF($C54="RECEPTION",IF($F54="",0,1),IF($C54="CONSOMMATION",IF($E54="",0,1),IF(OR($E54="",$F54="",$E54=$F54),0,1)))))))</f>
        <v>0</v>
      </c>
      <c r="P54" s="27" t="str">
        <f aca="false">IF(OR($O54=0,$C54="RECEPTION"),"",IF($C54="AJUSTEMENT",IF($G54&gt;0,"",SUMIFS(MVT_BRUT,MVT_LOT,$D54,MVT_EMPL,$F54)-$G54),SUMIFS(MVT_BRUT,MVT_LOT,$D54,MVT_EMPL,$E54)+$G54))</f>
        <v/>
      </c>
      <c r="Q54" s="26" t="str">
        <f aca="false">IF($C54="","",IF($O54=0,"DONNEES MANQUANTES",IF($C54="RECEPTION","OK",IF(AND($C54="AJUSTEMENT",$G54&gt;0),"OK",IF($P54&lt;=0,"EMPLACEMENT INCOHERENT",IF(ABS($G54)&gt;$P54+0.001,"STOCK INSUFFISANT","OK"))))))</f>
        <v/>
      </c>
      <c r="R54" s="28" t="n">
        <f aca="false">IF($Q54="OK",1,0)</f>
        <v>0</v>
      </c>
      <c r="S54" s="26" t="str">
        <f aca="false">IF($C54="","",IF($O54=0,"A COMPLETER : "&amp;IF($B54="","DATE; ","")&amp;IF($D54="","LOT INTERNE; ","")&amp;IF(NOT(ISNUMBER($G54)),"QUANTITE; ",IF(AND($C54="AJUSTEMENT",$G54=0),"QUANTITE &lt;&gt; 0; ",IF(AND($C54&lt;&gt;"AJUSTEMENT",$G54&lt;=0),"QUANTITE &gt; 0; ","")))&amp;IF(AND($C54="AJUSTEMENT",$H54=""),"MOTIF; ","")&amp;IF(AND(OR($C54="TRANSFERT",$C54="CONSOMMATION"),$E54=""),"EMPL. SOURCE; ","")&amp;IF(AND($C54&lt;&gt;"CONSOMMATION",$F54=""),"EMPL. DESTINATION; ","")&amp;IF(AND($C54="TRANSFERT",$E54&lt;&gt;"",$E54=$F54),"SOURCE = DESTINATION; ",""),IF($Q54="EMPLACEMENT INCOHERENT","Le lot "&amp;$D54&amp;" n'existe pas sur cet emplacement (stock 0). Verifier l'emplacement.",IF($Q54="STOCK INSUFFISANT","Disponible avant operation : "&amp;TEXT($P54,"#,##0.00")&amp;" kg. Ligne NON comptee en stock.",IF(COUNTIFS($B$5:$B$304,$B54,$C$5:$C$304,$C54,$D$5:$D$304,$D54,$G$5:$G$304,$G54)&gt;1,"Doublon possible (meme date, type, lot et quantite).",IF($K54="LOT NON REFERENCE","Creer d'abord la fiche du lot dans l'onglet LOTS.",""))))))</f>
        <v/>
      </c>
    </row>
    <row r="55" customFormat="false" ht="15" hidden="false" customHeight="false" outlineLevel="0" collapsed="false">
      <c r="A55" s="26" t="str">
        <f aca="false">IF($C55="","","OP-"&amp;TEXT(ROW()-4,"000"))</f>
        <v/>
      </c>
      <c r="B55" s="25"/>
      <c r="C55" s="24"/>
      <c r="D55" s="24"/>
      <c r="E55" s="24"/>
      <c r="F55" s="24"/>
      <c r="G55" s="29"/>
      <c r="H55" s="24"/>
      <c r="I55" s="24"/>
      <c r="J55" s="26" t="str">
        <f aca="false">IF($D55="","",IFERROR(INDEX(LOT_EXTE,MATCH($D55,LOT_KEY,0)),""))</f>
        <v/>
      </c>
      <c r="K55" s="26" t="str">
        <f aca="false">IF($D55="","",IFERROR(INDEX(LOT_PRODE,MATCH($D55,LOT_KEY,0)),"LOT NON REFERENCE"))</f>
        <v/>
      </c>
      <c r="L55" s="26" t="str">
        <f aca="false">IF($D55="","",IFERROR(INDEX(LOT_FOURNE,MATCH($D55,LOT_KEY,0)),""))</f>
        <v/>
      </c>
      <c r="M55" s="26" t="str">
        <f aca="false">IF($E55="","",IFERROR(INDEX(EMPL_CLASSE,MATCH($E55,EMPL_KEY,0)),"?"))</f>
        <v/>
      </c>
      <c r="N55" s="26" t="str">
        <f aca="false">IF($F55="","",IFERROR(INDEX(EMPL_CLASSE,MATCH($F55,EMPL_KEY,0)),"?"))</f>
        <v/>
      </c>
      <c r="O55" s="28" t="n">
        <f aca="false">IF($C55="",0,IF(OR($B55="",$D55=""),0,IF($C55="AJUSTEMENT",IF(OR(NOT(ISNUMBER($G55)),$G55=0,$F55="",$H55=""),0,1),IF(OR(NOT(ISNUMBER($G55)),$G55&lt;=0),0,IF($C55="RECEPTION",IF($F55="",0,1),IF($C55="CONSOMMATION",IF($E55="",0,1),IF(OR($E55="",$F55="",$E55=$F55),0,1)))))))</f>
        <v>0</v>
      </c>
      <c r="P55" s="27" t="str">
        <f aca="false">IF(OR($O55=0,$C55="RECEPTION"),"",IF($C55="AJUSTEMENT",IF($G55&gt;0,"",SUMIFS(MVT_BRUT,MVT_LOT,$D55,MVT_EMPL,$F55)-$G55),SUMIFS(MVT_BRUT,MVT_LOT,$D55,MVT_EMPL,$E55)+$G55))</f>
        <v/>
      </c>
      <c r="Q55" s="26" t="str">
        <f aca="false">IF($C55="","",IF($O55=0,"DONNEES MANQUANTES",IF($C55="RECEPTION","OK",IF(AND($C55="AJUSTEMENT",$G55&gt;0),"OK",IF($P55&lt;=0,"EMPLACEMENT INCOHERENT",IF(ABS($G55)&gt;$P55+0.001,"STOCK INSUFFISANT","OK"))))))</f>
        <v/>
      </c>
      <c r="R55" s="28" t="n">
        <f aca="false">IF($Q55="OK",1,0)</f>
        <v>0</v>
      </c>
      <c r="S55" s="26" t="str">
        <f aca="false">IF($C55="","",IF($O55=0,"A COMPLETER : "&amp;IF($B55="","DATE; ","")&amp;IF($D55="","LOT INTERNE; ","")&amp;IF(NOT(ISNUMBER($G55)),"QUANTITE; ",IF(AND($C55="AJUSTEMENT",$G55=0),"QUANTITE &lt;&gt; 0; ",IF(AND($C55&lt;&gt;"AJUSTEMENT",$G55&lt;=0),"QUANTITE &gt; 0; ","")))&amp;IF(AND($C55="AJUSTEMENT",$H55=""),"MOTIF; ","")&amp;IF(AND(OR($C55="TRANSFERT",$C55="CONSOMMATION"),$E55=""),"EMPL. SOURCE; ","")&amp;IF(AND($C55&lt;&gt;"CONSOMMATION",$F55=""),"EMPL. DESTINATION; ","")&amp;IF(AND($C55="TRANSFERT",$E55&lt;&gt;"",$E55=$F55),"SOURCE = DESTINATION; ",""),IF($Q55="EMPLACEMENT INCOHERENT","Le lot "&amp;$D55&amp;" n'existe pas sur cet emplacement (stock 0). Verifier l'emplacement.",IF($Q55="STOCK INSUFFISANT","Disponible avant operation : "&amp;TEXT($P55,"#,##0.00")&amp;" kg. Ligne NON comptee en stock.",IF(COUNTIFS($B$5:$B$304,$B55,$C$5:$C$304,$C55,$D$5:$D$304,$D55,$G$5:$G$304,$G55)&gt;1,"Doublon possible (meme date, type, lot et quantite).",IF($K55="LOT NON REFERENCE","Creer d'abord la fiche du lot dans l'onglet LOTS.",""))))))</f>
        <v/>
      </c>
    </row>
    <row r="56" customFormat="false" ht="15" hidden="false" customHeight="false" outlineLevel="0" collapsed="false">
      <c r="A56" s="26" t="str">
        <f aca="false">IF($C56="","","OP-"&amp;TEXT(ROW()-4,"000"))</f>
        <v/>
      </c>
      <c r="B56" s="25"/>
      <c r="C56" s="24"/>
      <c r="D56" s="24"/>
      <c r="E56" s="24"/>
      <c r="F56" s="24"/>
      <c r="G56" s="29"/>
      <c r="H56" s="24"/>
      <c r="I56" s="24"/>
      <c r="J56" s="26" t="str">
        <f aca="false">IF($D56="","",IFERROR(INDEX(LOT_EXTE,MATCH($D56,LOT_KEY,0)),""))</f>
        <v/>
      </c>
      <c r="K56" s="26" t="str">
        <f aca="false">IF($D56="","",IFERROR(INDEX(LOT_PRODE,MATCH($D56,LOT_KEY,0)),"LOT NON REFERENCE"))</f>
        <v/>
      </c>
      <c r="L56" s="26" t="str">
        <f aca="false">IF($D56="","",IFERROR(INDEX(LOT_FOURNE,MATCH($D56,LOT_KEY,0)),""))</f>
        <v/>
      </c>
      <c r="M56" s="26" t="str">
        <f aca="false">IF($E56="","",IFERROR(INDEX(EMPL_CLASSE,MATCH($E56,EMPL_KEY,0)),"?"))</f>
        <v/>
      </c>
      <c r="N56" s="26" t="str">
        <f aca="false">IF($F56="","",IFERROR(INDEX(EMPL_CLASSE,MATCH($F56,EMPL_KEY,0)),"?"))</f>
        <v/>
      </c>
      <c r="O56" s="28" t="n">
        <f aca="false">IF($C56="",0,IF(OR($B56="",$D56=""),0,IF($C56="AJUSTEMENT",IF(OR(NOT(ISNUMBER($G56)),$G56=0,$F56="",$H56=""),0,1),IF(OR(NOT(ISNUMBER($G56)),$G56&lt;=0),0,IF($C56="RECEPTION",IF($F56="",0,1),IF($C56="CONSOMMATION",IF($E56="",0,1),IF(OR($E56="",$F56="",$E56=$F56),0,1)))))))</f>
        <v>0</v>
      </c>
      <c r="P56" s="27" t="str">
        <f aca="false">IF(OR($O56=0,$C56="RECEPTION"),"",IF($C56="AJUSTEMENT",IF($G56&gt;0,"",SUMIFS(MVT_BRUT,MVT_LOT,$D56,MVT_EMPL,$F56)-$G56),SUMIFS(MVT_BRUT,MVT_LOT,$D56,MVT_EMPL,$E56)+$G56))</f>
        <v/>
      </c>
      <c r="Q56" s="26" t="str">
        <f aca="false">IF($C56="","",IF($O56=0,"DONNEES MANQUANTES",IF($C56="RECEPTION","OK",IF(AND($C56="AJUSTEMENT",$G56&gt;0),"OK",IF($P56&lt;=0,"EMPLACEMENT INCOHERENT",IF(ABS($G56)&gt;$P56+0.001,"STOCK INSUFFISANT","OK"))))))</f>
        <v/>
      </c>
      <c r="R56" s="28" t="n">
        <f aca="false">IF($Q56="OK",1,0)</f>
        <v>0</v>
      </c>
      <c r="S56" s="26" t="str">
        <f aca="false">IF($C56="","",IF($O56=0,"A COMPLETER : "&amp;IF($B56="","DATE; ","")&amp;IF($D56="","LOT INTERNE; ","")&amp;IF(NOT(ISNUMBER($G56)),"QUANTITE; ",IF(AND($C56="AJUSTEMENT",$G56=0),"QUANTITE &lt;&gt; 0; ",IF(AND($C56&lt;&gt;"AJUSTEMENT",$G56&lt;=0),"QUANTITE &gt; 0; ","")))&amp;IF(AND($C56="AJUSTEMENT",$H56=""),"MOTIF; ","")&amp;IF(AND(OR($C56="TRANSFERT",$C56="CONSOMMATION"),$E56=""),"EMPL. SOURCE; ","")&amp;IF(AND($C56&lt;&gt;"CONSOMMATION",$F56=""),"EMPL. DESTINATION; ","")&amp;IF(AND($C56="TRANSFERT",$E56&lt;&gt;"",$E56=$F56),"SOURCE = DESTINATION; ",""),IF($Q56="EMPLACEMENT INCOHERENT","Le lot "&amp;$D56&amp;" n'existe pas sur cet emplacement (stock 0). Verifier l'emplacement.",IF($Q56="STOCK INSUFFISANT","Disponible avant operation : "&amp;TEXT($P56,"#,##0.00")&amp;" kg. Ligne NON comptee en stock.",IF(COUNTIFS($B$5:$B$304,$B56,$C$5:$C$304,$C56,$D$5:$D$304,$D56,$G$5:$G$304,$G56)&gt;1,"Doublon possible (meme date, type, lot et quantite).",IF($K56="LOT NON REFERENCE","Creer d'abord la fiche du lot dans l'onglet LOTS.",""))))))</f>
        <v/>
      </c>
    </row>
    <row r="57" customFormat="false" ht="15" hidden="false" customHeight="false" outlineLevel="0" collapsed="false">
      <c r="A57" s="26" t="str">
        <f aca="false">IF($C57="","","OP-"&amp;TEXT(ROW()-4,"000"))</f>
        <v/>
      </c>
      <c r="B57" s="25"/>
      <c r="C57" s="24"/>
      <c r="D57" s="24"/>
      <c r="E57" s="24"/>
      <c r="F57" s="24"/>
      <c r="G57" s="29"/>
      <c r="H57" s="24"/>
      <c r="I57" s="24"/>
      <c r="J57" s="26" t="str">
        <f aca="false">IF($D57="","",IFERROR(INDEX(LOT_EXTE,MATCH($D57,LOT_KEY,0)),""))</f>
        <v/>
      </c>
      <c r="K57" s="26" t="str">
        <f aca="false">IF($D57="","",IFERROR(INDEX(LOT_PRODE,MATCH($D57,LOT_KEY,0)),"LOT NON REFERENCE"))</f>
        <v/>
      </c>
      <c r="L57" s="26" t="str">
        <f aca="false">IF($D57="","",IFERROR(INDEX(LOT_FOURNE,MATCH($D57,LOT_KEY,0)),""))</f>
        <v/>
      </c>
      <c r="M57" s="26" t="str">
        <f aca="false">IF($E57="","",IFERROR(INDEX(EMPL_CLASSE,MATCH($E57,EMPL_KEY,0)),"?"))</f>
        <v/>
      </c>
      <c r="N57" s="26" t="str">
        <f aca="false">IF($F57="","",IFERROR(INDEX(EMPL_CLASSE,MATCH($F57,EMPL_KEY,0)),"?"))</f>
        <v/>
      </c>
      <c r="O57" s="28" t="n">
        <f aca="false">IF($C57="",0,IF(OR($B57="",$D57=""),0,IF($C57="AJUSTEMENT",IF(OR(NOT(ISNUMBER($G57)),$G57=0,$F57="",$H57=""),0,1),IF(OR(NOT(ISNUMBER($G57)),$G57&lt;=0),0,IF($C57="RECEPTION",IF($F57="",0,1),IF($C57="CONSOMMATION",IF($E57="",0,1),IF(OR($E57="",$F57="",$E57=$F57),0,1)))))))</f>
        <v>0</v>
      </c>
      <c r="P57" s="27" t="str">
        <f aca="false">IF(OR($O57=0,$C57="RECEPTION"),"",IF($C57="AJUSTEMENT",IF($G57&gt;0,"",SUMIFS(MVT_BRUT,MVT_LOT,$D57,MVT_EMPL,$F57)-$G57),SUMIFS(MVT_BRUT,MVT_LOT,$D57,MVT_EMPL,$E57)+$G57))</f>
        <v/>
      </c>
      <c r="Q57" s="26" t="str">
        <f aca="false">IF($C57="","",IF($O57=0,"DONNEES MANQUANTES",IF($C57="RECEPTION","OK",IF(AND($C57="AJUSTEMENT",$G57&gt;0),"OK",IF($P57&lt;=0,"EMPLACEMENT INCOHERENT",IF(ABS($G57)&gt;$P57+0.001,"STOCK INSUFFISANT","OK"))))))</f>
        <v/>
      </c>
      <c r="R57" s="28" t="n">
        <f aca="false">IF($Q57="OK",1,0)</f>
        <v>0</v>
      </c>
      <c r="S57" s="26" t="str">
        <f aca="false">IF($C57="","",IF($O57=0,"A COMPLETER : "&amp;IF($B57="","DATE; ","")&amp;IF($D57="","LOT INTERNE; ","")&amp;IF(NOT(ISNUMBER($G57)),"QUANTITE; ",IF(AND($C57="AJUSTEMENT",$G57=0),"QUANTITE &lt;&gt; 0; ",IF(AND($C57&lt;&gt;"AJUSTEMENT",$G57&lt;=0),"QUANTITE &gt; 0; ","")))&amp;IF(AND($C57="AJUSTEMENT",$H57=""),"MOTIF; ","")&amp;IF(AND(OR($C57="TRANSFERT",$C57="CONSOMMATION"),$E57=""),"EMPL. SOURCE; ","")&amp;IF(AND($C57&lt;&gt;"CONSOMMATION",$F57=""),"EMPL. DESTINATION; ","")&amp;IF(AND($C57="TRANSFERT",$E57&lt;&gt;"",$E57=$F57),"SOURCE = DESTINATION; ",""),IF($Q57="EMPLACEMENT INCOHERENT","Le lot "&amp;$D57&amp;" n'existe pas sur cet emplacement (stock 0). Verifier l'emplacement.",IF($Q57="STOCK INSUFFISANT","Disponible avant operation : "&amp;TEXT($P57,"#,##0.00")&amp;" kg. Ligne NON comptee en stock.",IF(COUNTIFS($B$5:$B$304,$B57,$C$5:$C$304,$C57,$D$5:$D$304,$D57,$G$5:$G$304,$G57)&gt;1,"Doublon possible (meme date, type, lot et quantite).",IF($K57="LOT NON REFERENCE","Creer d'abord la fiche du lot dans l'onglet LOTS.",""))))))</f>
        <v/>
      </c>
    </row>
    <row r="58" customFormat="false" ht="15" hidden="false" customHeight="false" outlineLevel="0" collapsed="false">
      <c r="A58" s="26" t="str">
        <f aca="false">IF($C58="","","OP-"&amp;TEXT(ROW()-4,"000"))</f>
        <v/>
      </c>
      <c r="B58" s="25"/>
      <c r="C58" s="24"/>
      <c r="D58" s="24"/>
      <c r="E58" s="24"/>
      <c r="F58" s="24"/>
      <c r="G58" s="29"/>
      <c r="H58" s="24"/>
      <c r="I58" s="24"/>
      <c r="J58" s="26" t="str">
        <f aca="false">IF($D58="","",IFERROR(INDEX(LOT_EXTE,MATCH($D58,LOT_KEY,0)),""))</f>
        <v/>
      </c>
      <c r="K58" s="26" t="str">
        <f aca="false">IF($D58="","",IFERROR(INDEX(LOT_PRODE,MATCH($D58,LOT_KEY,0)),"LOT NON REFERENCE"))</f>
        <v/>
      </c>
      <c r="L58" s="26" t="str">
        <f aca="false">IF($D58="","",IFERROR(INDEX(LOT_FOURNE,MATCH($D58,LOT_KEY,0)),""))</f>
        <v/>
      </c>
      <c r="M58" s="26" t="str">
        <f aca="false">IF($E58="","",IFERROR(INDEX(EMPL_CLASSE,MATCH($E58,EMPL_KEY,0)),"?"))</f>
        <v/>
      </c>
      <c r="N58" s="26" t="str">
        <f aca="false">IF($F58="","",IFERROR(INDEX(EMPL_CLASSE,MATCH($F58,EMPL_KEY,0)),"?"))</f>
        <v/>
      </c>
      <c r="O58" s="28" t="n">
        <f aca="false">IF($C58="",0,IF(OR($B58="",$D58=""),0,IF($C58="AJUSTEMENT",IF(OR(NOT(ISNUMBER($G58)),$G58=0,$F58="",$H58=""),0,1),IF(OR(NOT(ISNUMBER($G58)),$G58&lt;=0),0,IF($C58="RECEPTION",IF($F58="",0,1),IF($C58="CONSOMMATION",IF($E58="",0,1),IF(OR($E58="",$F58="",$E58=$F58),0,1)))))))</f>
        <v>0</v>
      </c>
      <c r="P58" s="27" t="str">
        <f aca="false">IF(OR($O58=0,$C58="RECEPTION"),"",IF($C58="AJUSTEMENT",IF($G58&gt;0,"",SUMIFS(MVT_BRUT,MVT_LOT,$D58,MVT_EMPL,$F58)-$G58),SUMIFS(MVT_BRUT,MVT_LOT,$D58,MVT_EMPL,$E58)+$G58))</f>
        <v/>
      </c>
      <c r="Q58" s="26" t="str">
        <f aca="false">IF($C58="","",IF($O58=0,"DONNEES MANQUANTES",IF($C58="RECEPTION","OK",IF(AND($C58="AJUSTEMENT",$G58&gt;0),"OK",IF($P58&lt;=0,"EMPLACEMENT INCOHERENT",IF(ABS($G58)&gt;$P58+0.001,"STOCK INSUFFISANT","OK"))))))</f>
        <v/>
      </c>
      <c r="R58" s="28" t="n">
        <f aca="false">IF($Q58="OK",1,0)</f>
        <v>0</v>
      </c>
      <c r="S58" s="26" t="str">
        <f aca="false">IF($C58="","",IF($O58=0,"A COMPLETER : "&amp;IF($B58="","DATE; ","")&amp;IF($D58="","LOT INTERNE; ","")&amp;IF(NOT(ISNUMBER($G58)),"QUANTITE; ",IF(AND($C58="AJUSTEMENT",$G58=0),"QUANTITE &lt;&gt; 0; ",IF(AND($C58&lt;&gt;"AJUSTEMENT",$G58&lt;=0),"QUANTITE &gt; 0; ","")))&amp;IF(AND($C58="AJUSTEMENT",$H58=""),"MOTIF; ","")&amp;IF(AND(OR($C58="TRANSFERT",$C58="CONSOMMATION"),$E58=""),"EMPL. SOURCE; ","")&amp;IF(AND($C58&lt;&gt;"CONSOMMATION",$F58=""),"EMPL. DESTINATION; ","")&amp;IF(AND($C58="TRANSFERT",$E58&lt;&gt;"",$E58=$F58),"SOURCE = DESTINATION; ",""),IF($Q58="EMPLACEMENT INCOHERENT","Le lot "&amp;$D58&amp;" n'existe pas sur cet emplacement (stock 0). Verifier l'emplacement.",IF($Q58="STOCK INSUFFISANT","Disponible avant operation : "&amp;TEXT($P58,"#,##0.00")&amp;" kg. Ligne NON comptee en stock.",IF(COUNTIFS($B$5:$B$304,$B58,$C$5:$C$304,$C58,$D$5:$D$304,$D58,$G$5:$G$304,$G58)&gt;1,"Doublon possible (meme date, type, lot et quantite).",IF($K58="LOT NON REFERENCE","Creer d'abord la fiche du lot dans l'onglet LOTS.",""))))))</f>
        <v/>
      </c>
    </row>
    <row r="59" customFormat="false" ht="15" hidden="false" customHeight="false" outlineLevel="0" collapsed="false">
      <c r="A59" s="26" t="str">
        <f aca="false">IF($C59="","","OP-"&amp;TEXT(ROW()-4,"000"))</f>
        <v/>
      </c>
      <c r="B59" s="25"/>
      <c r="C59" s="24"/>
      <c r="D59" s="24"/>
      <c r="E59" s="24"/>
      <c r="F59" s="24"/>
      <c r="G59" s="29"/>
      <c r="H59" s="24"/>
      <c r="I59" s="24"/>
      <c r="J59" s="26" t="str">
        <f aca="false">IF($D59="","",IFERROR(INDEX(LOT_EXTE,MATCH($D59,LOT_KEY,0)),""))</f>
        <v/>
      </c>
      <c r="K59" s="26" t="str">
        <f aca="false">IF($D59="","",IFERROR(INDEX(LOT_PRODE,MATCH($D59,LOT_KEY,0)),"LOT NON REFERENCE"))</f>
        <v/>
      </c>
      <c r="L59" s="26" t="str">
        <f aca="false">IF($D59="","",IFERROR(INDEX(LOT_FOURNE,MATCH($D59,LOT_KEY,0)),""))</f>
        <v/>
      </c>
      <c r="M59" s="26" t="str">
        <f aca="false">IF($E59="","",IFERROR(INDEX(EMPL_CLASSE,MATCH($E59,EMPL_KEY,0)),"?"))</f>
        <v/>
      </c>
      <c r="N59" s="26" t="str">
        <f aca="false">IF($F59="","",IFERROR(INDEX(EMPL_CLASSE,MATCH($F59,EMPL_KEY,0)),"?"))</f>
        <v/>
      </c>
      <c r="O59" s="28" t="n">
        <f aca="false">IF($C59="",0,IF(OR($B59="",$D59=""),0,IF($C59="AJUSTEMENT",IF(OR(NOT(ISNUMBER($G59)),$G59=0,$F59="",$H59=""),0,1),IF(OR(NOT(ISNUMBER($G59)),$G59&lt;=0),0,IF($C59="RECEPTION",IF($F59="",0,1),IF($C59="CONSOMMATION",IF($E59="",0,1),IF(OR($E59="",$F59="",$E59=$F59),0,1)))))))</f>
        <v>0</v>
      </c>
      <c r="P59" s="27" t="str">
        <f aca="false">IF(OR($O59=0,$C59="RECEPTION"),"",IF($C59="AJUSTEMENT",IF($G59&gt;0,"",SUMIFS(MVT_BRUT,MVT_LOT,$D59,MVT_EMPL,$F59)-$G59),SUMIFS(MVT_BRUT,MVT_LOT,$D59,MVT_EMPL,$E59)+$G59))</f>
        <v/>
      </c>
      <c r="Q59" s="26" t="str">
        <f aca="false">IF($C59="","",IF($O59=0,"DONNEES MANQUANTES",IF($C59="RECEPTION","OK",IF(AND($C59="AJUSTEMENT",$G59&gt;0),"OK",IF($P59&lt;=0,"EMPLACEMENT INCOHERENT",IF(ABS($G59)&gt;$P59+0.001,"STOCK INSUFFISANT","OK"))))))</f>
        <v/>
      </c>
      <c r="R59" s="28" t="n">
        <f aca="false">IF($Q59="OK",1,0)</f>
        <v>0</v>
      </c>
      <c r="S59" s="26" t="str">
        <f aca="false">IF($C59="","",IF($O59=0,"A COMPLETER : "&amp;IF($B59="","DATE; ","")&amp;IF($D59="","LOT INTERNE; ","")&amp;IF(NOT(ISNUMBER($G59)),"QUANTITE; ",IF(AND($C59="AJUSTEMENT",$G59=0),"QUANTITE &lt;&gt; 0; ",IF(AND($C59&lt;&gt;"AJUSTEMENT",$G59&lt;=0),"QUANTITE &gt; 0; ","")))&amp;IF(AND($C59="AJUSTEMENT",$H59=""),"MOTIF; ","")&amp;IF(AND(OR($C59="TRANSFERT",$C59="CONSOMMATION"),$E59=""),"EMPL. SOURCE; ","")&amp;IF(AND($C59&lt;&gt;"CONSOMMATION",$F59=""),"EMPL. DESTINATION; ","")&amp;IF(AND($C59="TRANSFERT",$E59&lt;&gt;"",$E59=$F59),"SOURCE = DESTINATION; ",""),IF($Q59="EMPLACEMENT INCOHERENT","Le lot "&amp;$D59&amp;" n'existe pas sur cet emplacement (stock 0). Verifier l'emplacement.",IF($Q59="STOCK INSUFFISANT","Disponible avant operation : "&amp;TEXT($P59,"#,##0.00")&amp;" kg. Ligne NON comptee en stock.",IF(COUNTIFS($B$5:$B$304,$B59,$C$5:$C$304,$C59,$D$5:$D$304,$D59,$G$5:$G$304,$G59)&gt;1,"Doublon possible (meme date, type, lot et quantite).",IF($K59="LOT NON REFERENCE","Creer d'abord la fiche du lot dans l'onglet LOTS.",""))))))</f>
        <v/>
      </c>
    </row>
    <row r="60" customFormat="false" ht="15" hidden="false" customHeight="false" outlineLevel="0" collapsed="false">
      <c r="A60" s="26" t="str">
        <f aca="false">IF($C60="","","OP-"&amp;TEXT(ROW()-4,"000"))</f>
        <v/>
      </c>
      <c r="B60" s="25"/>
      <c r="C60" s="24"/>
      <c r="D60" s="24"/>
      <c r="E60" s="24"/>
      <c r="F60" s="24"/>
      <c r="G60" s="29"/>
      <c r="H60" s="24"/>
      <c r="I60" s="24"/>
      <c r="J60" s="26" t="str">
        <f aca="false">IF($D60="","",IFERROR(INDEX(LOT_EXTE,MATCH($D60,LOT_KEY,0)),""))</f>
        <v/>
      </c>
      <c r="K60" s="26" t="str">
        <f aca="false">IF($D60="","",IFERROR(INDEX(LOT_PRODE,MATCH($D60,LOT_KEY,0)),"LOT NON REFERENCE"))</f>
        <v/>
      </c>
      <c r="L60" s="26" t="str">
        <f aca="false">IF($D60="","",IFERROR(INDEX(LOT_FOURNE,MATCH($D60,LOT_KEY,0)),""))</f>
        <v/>
      </c>
      <c r="M60" s="26" t="str">
        <f aca="false">IF($E60="","",IFERROR(INDEX(EMPL_CLASSE,MATCH($E60,EMPL_KEY,0)),"?"))</f>
        <v/>
      </c>
      <c r="N60" s="26" t="str">
        <f aca="false">IF($F60="","",IFERROR(INDEX(EMPL_CLASSE,MATCH($F60,EMPL_KEY,0)),"?"))</f>
        <v/>
      </c>
      <c r="O60" s="28" t="n">
        <f aca="false">IF($C60="",0,IF(OR($B60="",$D60=""),0,IF($C60="AJUSTEMENT",IF(OR(NOT(ISNUMBER($G60)),$G60=0,$F60="",$H60=""),0,1),IF(OR(NOT(ISNUMBER($G60)),$G60&lt;=0),0,IF($C60="RECEPTION",IF($F60="",0,1),IF($C60="CONSOMMATION",IF($E60="",0,1),IF(OR($E60="",$F60="",$E60=$F60),0,1)))))))</f>
        <v>0</v>
      </c>
      <c r="P60" s="27" t="str">
        <f aca="false">IF(OR($O60=0,$C60="RECEPTION"),"",IF($C60="AJUSTEMENT",IF($G60&gt;0,"",SUMIFS(MVT_BRUT,MVT_LOT,$D60,MVT_EMPL,$F60)-$G60),SUMIFS(MVT_BRUT,MVT_LOT,$D60,MVT_EMPL,$E60)+$G60))</f>
        <v/>
      </c>
      <c r="Q60" s="26" t="str">
        <f aca="false">IF($C60="","",IF($O60=0,"DONNEES MANQUANTES",IF($C60="RECEPTION","OK",IF(AND($C60="AJUSTEMENT",$G60&gt;0),"OK",IF($P60&lt;=0,"EMPLACEMENT INCOHERENT",IF(ABS($G60)&gt;$P60+0.001,"STOCK INSUFFISANT","OK"))))))</f>
        <v/>
      </c>
      <c r="R60" s="28" t="n">
        <f aca="false">IF($Q60="OK",1,0)</f>
        <v>0</v>
      </c>
      <c r="S60" s="26" t="str">
        <f aca="false">IF($C60="","",IF($O60=0,"A COMPLETER : "&amp;IF($B60="","DATE; ","")&amp;IF($D60="","LOT INTERNE; ","")&amp;IF(NOT(ISNUMBER($G60)),"QUANTITE; ",IF(AND($C60="AJUSTEMENT",$G60=0),"QUANTITE &lt;&gt; 0; ",IF(AND($C60&lt;&gt;"AJUSTEMENT",$G60&lt;=0),"QUANTITE &gt; 0; ","")))&amp;IF(AND($C60="AJUSTEMENT",$H60=""),"MOTIF; ","")&amp;IF(AND(OR($C60="TRANSFERT",$C60="CONSOMMATION"),$E60=""),"EMPL. SOURCE; ","")&amp;IF(AND($C60&lt;&gt;"CONSOMMATION",$F60=""),"EMPL. DESTINATION; ","")&amp;IF(AND($C60="TRANSFERT",$E60&lt;&gt;"",$E60=$F60),"SOURCE = DESTINATION; ",""),IF($Q60="EMPLACEMENT INCOHERENT","Le lot "&amp;$D60&amp;" n'existe pas sur cet emplacement (stock 0). Verifier l'emplacement.",IF($Q60="STOCK INSUFFISANT","Disponible avant operation : "&amp;TEXT($P60,"#,##0.00")&amp;" kg. Ligne NON comptee en stock.",IF(COUNTIFS($B$5:$B$304,$B60,$C$5:$C$304,$C60,$D$5:$D$304,$D60,$G$5:$G$304,$G60)&gt;1,"Doublon possible (meme date, type, lot et quantite).",IF($K60="LOT NON REFERENCE","Creer d'abord la fiche du lot dans l'onglet LOTS.",""))))))</f>
        <v/>
      </c>
    </row>
    <row r="61" customFormat="false" ht="15" hidden="false" customHeight="false" outlineLevel="0" collapsed="false">
      <c r="A61" s="26" t="str">
        <f aca="false">IF($C61="","","OP-"&amp;TEXT(ROW()-4,"000"))</f>
        <v/>
      </c>
      <c r="B61" s="25"/>
      <c r="C61" s="24"/>
      <c r="D61" s="24"/>
      <c r="E61" s="24"/>
      <c r="F61" s="24"/>
      <c r="G61" s="29"/>
      <c r="H61" s="24"/>
      <c r="I61" s="24"/>
      <c r="J61" s="26" t="str">
        <f aca="false">IF($D61="","",IFERROR(INDEX(LOT_EXTE,MATCH($D61,LOT_KEY,0)),""))</f>
        <v/>
      </c>
      <c r="K61" s="26" t="str">
        <f aca="false">IF($D61="","",IFERROR(INDEX(LOT_PRODE,MATCH($D61,LOT_KEY,0)),"LOT NON REFERENCE"))</f>
        <v/>
      </c>
      <c r="L61" s="26" t="str">
        <f aca="false">IF($D61="","",IFERROR(INDEX(LOT_FOURNE,MATCH($D61,LOT_KEY,0)),""))</f>
        <v/>
      </c>
      <c r="M61" s="26" t="str">
        <f aca="false">IF($E61="","",IFERROR(INDEX(EMPL_CLASSE,MATCH($E61,EMPL_KEY,0)),"?"))</f>
        <v/>
      </c>
      <c r="N61" s="26" t="str">
        <f aca="false">IF($F61="","",IFERROR(INDEX(EMPL_CLASSE,MATCH($F61,EMPL_KEY,0)),"?"))</f>
        <v/>
      </c>
      <c r="O61" s="28" t="n">
        <f aca="false">IF($C61="",0,IF(OR($B61="",$D61=""),0,IF($C61="AJUSTEMENT",IF(OR(NOT(ISNUMBER($G61)),$G61=0,$F61="",$H61=""),0,1),IF(OR(NOT(ISNUMBER($G61)),$G61&lt;=0),0,IF($C61="RECEPTION",IF($F61="",0,1),IF($C61="CONSOMMATION",IF($E61="",0,1),IF(OR($E61="",$F61="",$E61=$F61),0,1)))))))</f>
        <v>0</v>
      </c>
      <c r="P61" s="27" t="str">
        <f aca="false">IF(OR($O61=0,$C61="RECEPTION"),"",IF($C61="AJUSTEMENT",IF($G61&gt;0,"",SUMIFS(MVT_BRUT,MVT_LOT,$D61,MVT_EMPL,$F61)-$G61),SUMIFS(MVT_BRUT,MVT_LOT,$D61,MVT_EMPL,$E61)+$G61))</f>
        <v/>
      </c>
      <c r="Q61" s="26" t="str">
        <f aca="false">IF($C61="","",IF($O61=0,"DONNEES MANQUANTES",IF($C61="RECEPTION","OK",IF(AND($C61="AJUSTEMENT",$G61&gt;0),"OK",IF($P61&lt;=0,"EMPLACEMENT INCOHERENT",IF(ABS($G61)&gt;$P61+0.001,"STOCK INSUFFISANT","OK"))))))</f>
        <v/>
      </c>
      <c r="R61" s="28" t="n">
        <f aca="false">IF($Q61="OK",1,0)</f>
        <v>0</v>
      </c>
      <c r="S61" s="26" t="str">
        <f aca="false">IF($C61="","",IF($O61=0,"A COMPLETER : "&amp;IF($B61="","DATE; ","")&amp;IF($D61="","LOT INTERNE; ","")&amp;IF(NOT(ISNUMBER($G61)),"QUANTITE; ",IF(AND($C61="AJUSTEMENT",$G61=0),"QUANTITE &lt;&gt; 0; ",IF(AND($C61&lt;&gt;"AJUSTEMENT",$G61&lt;=0),"QUANTITE &gt; 0; ","")))&amp;IF(AND($C61="AJUSTEMENT",$H61=""),"MOTIF; ","")&amp;IF(AND(OR($C61="TRANSFERT",$C61="CONSOMMATION"),$E61=""),"EMPL. SOURCE; ","")&amp;IF(AND($C61&lt;&gt;"CONSOMMATION",$F61=""),"EMPL. DESTINATION; ","")&amp;IF(AND($C61="TRANSFERT",$E61&lt;&gt;"",$E61=$F61),"SOURCE = DESTINATION; ",""),IF($Q61="EMPLACEMENT INCOHERENT","Le lot "&amp;$D61&amp;" n'existe pas sur cet emplacement (stock 0). Verifier l'emplacement.",IF($Q61="STOCK INSUFFISANT","Disponible avant operation : "&amp;TEXT($P61,"#,##0.00")&amp;" kg. Ligne NON comptee en stock.",IF(COUNTIFS($B$5:$B$304,$B61,$C$5:$C$304,$C61,$D$5:$D$304,$D61,$G$5:$G$304,$G61)&gt;1,"Doublon possible (meme date, type, lot et quantite).",IF($K61="LOT NON REFERENCE","Creer d'abord la fiche du lot dans l'onglet LOTS.",""))))))</f>
        <v/>
      </c>
    </row>
    <row r="62" customFormat="false" ht="15" hidden="false" customHeight="false" outlineLevel="0" collapsed="false">
      <c r="A62" s="26" t="str">
        <f aca="false">IF($C62="","","OP-"&amp;TEXT(ROW()-4,"000"))</f>
        <v/>
      </c>
      <c r="B62" s="25"/>
      <c r="C62" s="24"/>
      <c r="D62" s="24"/>
      <c r="E62" s="24"/>
      <c r="F62" s="24"/>
      <c r="G62" s="29"/>
      <c r="H62" s="24"/>
      <c r="I62" s="24"/>
      <c r="J62" s="26" t="str">
        <f aca="false">IF($D62="","",IFERROR(INDEX(LOT_EXTE,MATCH($D62,LOT_KEY,0)),""))</f>
        <v/>
      </c>
      <c r="K62" s="26" t="str">
        <f aca="false">IF($D62="","",IFERROR(INDEX(LOT_PRODE,MATCH($D62,LOT_KEY,0)),"LOT NON REFERENCE"))</f>
        <v/>
      </c>
      <c r="L62" s="26" t="str">
        <f aca="false">IF($D62="","",IFERROR(INDEX(LOT_FOURNE,MATCH($D62,LOT_KEY,0)),""))</f>
        <v/>
      </c>
      <c r="M62" s="26" t="str">
        <f aca="false">IF($E62="","",IFERROR(INDEX(EMPL_CLASSE,MATCH($E62,EMPL_KEY,0)),"?"))</f>
        <v/>
      </c>
      <c r="N62" s="26" t="str">
        <f aca="false">IF($F62="","",IFERROR(INDEX(EMPL_CLASSE,MATCH($F62,EMPL_KEY,0)),"?"))</f>
        <v/>
      </c>
      <c r="O62" s="28" t="n">
        <f aca="false">IF($C62="",0,IF(OR($B62="",$D62=""),0,IF($C62="AJUSTEMENT",IF(OR(NOT(ISNUMBER($G62)),$G62=0,$F62="",$H62=""),0,1),IF(OR(NOT(ISNUMBER($G62)),$G62&lt;=0),0,IF($C62="RECEPTION",IF($F62="",0,1),IF($C62="CONSOMMATION",IF($E62="",0,1),IF(OR($E62="",$F62="",$E62=$F62),0,1)))))))</f>
        <v>0</v>
      </c>
      <c r="P62" s="27" t="str">
        <f aca="false">IF(OR($O62=0,$C62="RECEPTION"),"",IF($C62="AJUSTEMENT",IF($G62&gt;0,"",SUMIFS(MVT_BRUT,MVT_LOT,$D62,MVT_EMPL,$F62)-$G62),SUMIFS(MVT_BRUT,MVT_LOT,$D62,MVT_EMPL,$E62)+$G62))</f>
        <v/>
      </c>
      <c r="Q62" s="26" t="str">
        <f aca="false">IF($C62="","",IF($O62=0,"DONNEES MANQUANTES",IF($C62="RECEPTION","OK",IF(AND($C62="AJUSTEMENT",$G62&gt;0),"OK",IF($P62&lt;=0,"EMPLACEMENT INCOHERENT",IF(ABS($G62)&gt;$P62+0.001,"STOCK INSUFFISANT","OK"))))))</f>
        <v/>
      </c>
      <c r="R62" s="28" t="n">
        <f aca="false">IF($Q62="OK",1,0)</f>
        <v>0</v>
      </c>
      <c r="S62" s="26" t="str">
        <f aca="false">IF($C62="","",IF($O62=0,"A COMPLETER : "&amp;IF($B62="","DATE; ","")&amp;IF($D62="","LOT INTERNE; ","")&amp;IF(NOT(ISNUMBER($G62)),"QUANTITE; ",IF(AND($C62="AJUSTEMENT",$G62=0),"QUANTITE &lt;&gt; 0; ",IF(AND($C62&lt;&gt;"AJUSTEMENT",$G62&lt;=0),"QUANTITE &gt; 0; ","")))&amp;IF(AND($C62="AJUSTEMENT",$H62=""),"MOTIF; ","")&amp;IF(AND(OR($C62="TRANSFERT",$C62="CONSOMMATION"),$E62=""),"EMPL. SOURCE; ","")&amp;IF(AND($C62&lt;&gt;"CONSOMMATION",$F62=""),"EMPL. DESTINATION; ","")&amp;IF(AND($C62="TRANSFERT",$E62&lt;&gt;"",$E62=$F62),"SOURCE = DESTINATION; ",""),IF($Q62="EMPLACEMENT INCOHERENT","Le lot "&amp;$D62&amp;" n'existe pas sur cet emplacement (stock 0). Verifier l'emplacement.",IF($Q62="STOCK INSUFFISANT","Disponible avant operation : "&amp;TEXT($P62,"#,##0.00")&amp;" kg. Ligne NON comptee en stock.",IF(COUNTIFS($B$5:$B$304,$B62,$C$5:$C$304,$C62,$D$5:$D$304,$D62,$G$5:$G$304,$G62)&gt;1,"Doublon possible (meme date, type, lot et quantite).",IF($K62="LOT NON REFERENCE","Creer d'abord la fiche du lot dans l'onglet LOTS.",""))))))</f>
        <v/>
      </c>
    </row>
    <row r="63" customFormat="false" ht="15" hidden="false" customHeight="false" outlineLevel="0" collapsed="false">
      <c r="A63" s="26" t="str">
        <f aca="false">IF($C63="","","OP-"&amp;TEXT(ROW()-4,"000"))</f>
        <v/>
      </c>
      <c r="B63" s="25"/>
      <c r="C63" s="24"/>
      <c r="D63" s="24"/>
      <c r="E63" s="24"/>
      <c r="F63" s="24"/>
      <c r="G63" s="29"/>
      <c r="H63" s="24"/>
      <c r="I63" s="24"/>
      <c r="J63" s="26" t="str">
        <f aca="false">IF($D63="","",IFERROR(INDEX(LOT_EXTE,MATCH($D63,LOT_KEY,0)),""))</f>
        <v/>
      </c>
      <c r="K63" s="26" t="str">
        <f aca="false">IF($D63="","",IFERROR(INDEX(LOT_PRODE,MATCH($D63,LOT_KEY,0)),"LOT NON REFERENCE"))</f>
        <v/>
      </c>
      <c r="L63" s="26" t="str">
        <f aca="false">IF($D63="","",IFERROR(INDEX(LOT_FOURNE,MATCH($D63,LOT_KEY,0)),""))</f>
        <v/>
      </c>
      <c r="M63" s="26" t="str">
        <f aca="false">IF($E63="","",IFERROR(INDEX(EMPL_CLASSE,MATCH($E63,EMPL_KEY,0)),"?"))</f>
        <v/>
      </c>
      <c r="N63" s="26" t="str">
        <f aca="false">IF($F63="","",IFERROR(INDEX(EMPL_CLASSE,MATCH($F63,EMPL_KEY,0)),"?"))</f>
        <v/>
      </c>
      <c r="O63" s="28" t="n">
        <f aca="false">IF($C63="",0,IF(OR($B63="",$D63=""),0,IF($C63="AJUSTEMENT",IF(OR(NOT(ISNUMBER($G63)),$G63=0,$F63="",$H63=""),0,1),IF(OR(NOT(ISNUMBER($G63)),$G63&lt;=0),0,IF($C63="RECEPTION",IF($F63="",0,1),IF($C63="CONSOMMATION",IF($E63="",0,1),IF(OR($E63="",$F63="",$E63=$F63),0,1)))))))</f>
        <v>0</v>
      </c>
      <c r="P63" s="27" t="str">
        <f aca="false">IF(OR($O63=0,$C63="RECEPTION"),"",IF($C63="AJUSTEMENT",IF($G63&gt;0,"",SUMIFS(MVT_BRUT,MVT_LOT,$D63,MVT_EMPL,$F63)-$G63),SUMIFS(MVT_BRUT,MVT_LOT,$D63,MVT_EMPL,$E63)+$G63))</f>
        <v/>
      </c>
      <c r="Q63" s="26" t="str">
        <f aca="false">IF($C63="","",IF($O63=0,"DONNEES MANQUANTES",IF($C63="RECEPTION","OK",IF(AND($C63="AJUSTEMENT",$G63&gt;0),"OK",IF($P63&lt;=0,"EMPLACEMENT INCOHERENT",IF(ABS($G63)&gt;$P63+0.001,"STOCK INSUFFISANT","OK"))))))</f>
        <v/>
      </c>
      <c r="R63" s="28" t="n">
        <f aca="false">IF($Q63="OK",1,0)</f>
        <v>0</v>
      </c>
      <c r="S63" s="26" t="str">
        <f aca="false">IF($C63="","",IF($O63=0,"A COMPLETER : "&amp;IF($B63="","DATE; ","")&amp;IF($D63="","LOT INTERNE; ","")&amp;IF(NOT(ISNUMBER($G63)),"QUANTITE; ",IF(AND($C63="AJUSTEMENT",$G63=0),"QUANTITE &lt;&gt; 0; ",IF(AND($C63&lt;&gt;"AJUSTEMENT",$G63&lt;=0),"QUANTITE &gt; 0; ","")))&amp;IF(AND($C63="AJUSTEMENT",$H63=""),"MOTIF; ","")&amp;IF(AND(OR($C63="TRANSFERT",$C63="CONSOMMATION"),$E63=""),"EMPL. SOURCE; ","")&amp;IF(AND($C63&lt;&gt;"CONSOMMATION",$F63=""),"EMPL. DESTINATION; ","")&amp;IF(AND($C63="TRANSFERT",$E63&lt;&gt;"",$E63=$F63),"SOURCE = DESTINATION; ",""),IF($Q63="EMPLACEMENT INCOHERENT","Le lot "&amp;$D63&amp;" n'existe pas sur cet emplacement (stock 0). Verifier l'emplacement.",IF($Q63="STOCK INSUFFISANT","Disponible avant operation : "&amp;TEXT($P63,"#,##0.00")&amp;" kg. Ligne NON comptee en stock.",IF(COUNTIFS($B$5:$B$304,$B63,$C$5:$C$304,$C63,$D$5:$D$304,$D63,$G$5:$G$304,$G63)&gt;1,"Doublon possible (meme date, type, lot et quantite).",IF($K63="LOT NON REFERENCE","Creer d'abord la fiche du lot dans l'onglet LOTS.",""))))))</f>
        <v/>
      </c>
    </row>
    <row r="64" customFormat="false" ht="15" hidden="false" customHeight="false" outlineLevel="0" collapsed="false">
      <c r="A64" s="26" t="str">
        <f aca="false">IF($C64="","","OP-"&amp;TEXT(ROW()-4,"000"))</f>
        <v/>
      </c>
      <c r="B64" s="25"/>
      <c r="C64" s="24"/>
      <c r="D64" s="24"/>
      <c r="E64" s="24"/>
      <c r="F64" s="24"/>
      <c r="G64" s="29"/>
      <c r="H64" s="24"/>
      <c r="I64" s="24"/>
      <c r="J64" s="26" t="str">
        <f aca="false">IF($D64="","",IFERROR(INDEX(LOT_EXTE,MATCH($D64,LOT_KEY,0)),""))</f>
        <v/>
      </c>
      <c r="K64" s="26" t="str">
        <f aca="false">IF($D64="","",IFERROR(INDEX(LOT_PRODE,MATCH($D64,LOT_KEY,0)),"LOT NON REFERENCE"))</f>
        <v/>
      </c>
      <c r="L64" s="26" t="str">
        <f aca="false">IF($D64="","",IFERROR(INDEX(LOT_FOURNE,MATCH($D64,LOT_KEY,0)),""))</f>
        <v/>
      </c>
      <c r="M64" s="26" t="str">
        <f aca="false">IF($E64="","",IFERROR(INDEX(EMPL_CLASSE,MATCH($E64,EMPL_KEY,0)),"?"))</f>
        <v/>
      </c>
      <c r="N64" s="26" t="str">
        <f aca="false">IF($F64="","",IFERROR(INDEX(EMPL_CLASSE,MATCH($F64,EMPL_KEY,0)),"?"))</f>
        <v/>
      </c>
      <c r="O64" s="28" t="n">
        <f aca="false">IF($C64="",0,IF(OR($B64="",$D64=""),0,IF($C64="AJUSTEMENT",IF(OR(NOT(ISNUMBER($G64)),$G64=0,$F64="",$H64=""),0,1),IF(OR(NOT(ISNUMBER($G64)),$G64&lt;=0),0,IF($C64="RECEPTION",IF($F64="",0,1),IF($C64="CONSOMMATION",IF($E64="",0,1),IF(OR($E64="",$F64="",$E64=$F64),0,1)))))))</f>
        <v>0</v>
      </c>
      <c r="P64" s="27" t="str">
        <f aca="false">IF(OR($O64=0,$C64="RECEPTION"),"",IF($C64="AJUSTEMENT",IF($G64&gt;0,"",SUMIFS(MVT_BRUT,MVT_LOT,$D64,MVT_EMPL,$F64)-$G64),SUMIFS(MVT_BRUT,MVT_LOT,$D64,MVT_EMPL,$E64)+$G64))</f>
        <v/>
      </c>
      <c r="Q64" s="26" t="str">
        <f aca="false">IF($C64="","",IF($O64=0,"DONNEES MANQUANTES",IF($C64="RECEPTION","OK",IF(AND($C64="AJUSTEMENT",$G64&gt;0),"OK",IF($P64&lt;=0,"EMPLACEMENT INCOHERENT",IF(ABS($G64)&gt;$P64+0.001,"STOCK INSUFFISANT","OK"))))))</f>
        <v/>
      </c>
      <c r="R64" s="28" t="n">
        <f aca="false">IF($Q64="OK",1,0)</f>
        <v>0</v>
      </c>
      <c r="S64" s="26" t="str">
        <f aca="false">IF($C64="","",IF($O64=0,"A COMPLETER : "&amp;IF($B64="","DATE; ","")&amp;IF($D64="","LOT INTERNE; ","")&amp;IF(NOT(ISNUMBER($G64)),"QUANTITE; ",IF(AND($C64="AJUSTEMENT",$G64=0),"QUANTITE &lt;&gt; 0; ",IF(AND($C64&lt;&gt;"AJUSTEMENT",$G64&lt;=0),"QUANTITE &gt; 0; ","")))&amp;IF(AND($C64="AJUSTEMENT",$H64=""),"MOTIF; ","")&amp;IF(AND(OR($C64="TRANSFERT",$C64="CONSOMMATION"),$E64=""),"EMPL. SOURCE; ","")&amp;IF(AND($C64&lt;&gt;"CONSOMMATION",$F64=""),"EMPL. DESTINATION; ","")&amp;IF(AND($C64="TRANSFERT",$E64&lt;&gt;"",$E64=$F64),"SOURCE = DESTINATION; ",""),IF($Q64="EMPLACEMENT INCOHERENT","Le lot "&amp;$D64&amp;" n'existe pas sur cet emplacement (stock 0). Verifier l'emplacement.",IF($Q64="STOCK INSUFFISANT","Disponible avant operation : "&amp;TEXT($P64,"#,##0.00")&amp;" kg. Ligne NON comptee en stock.",IF(COUNTIFS($B$5:$B$304,$B64,$C$5:$C$304,$C64,$D$5:$D$304,$D64,$G$5:$G$304,$G64)&gt;1,"Doublon possible (meme date, type, lot et quantite).",IF($K64="LOT NON REFERENCE","Creer d'abord la fiche du lot dans l'onglet LOTS.",""))))))</f>
        <v/>
      </c>
    </row>
    <row r="65" customFormat="false" ht="15" hidden="false" customHeight="false" outlineLevel="0" collapsed="false">
      <c r="A65" s="26" t="str">
        <f aca="false">IF($C65="","","OP-"&amp;TEXT(ROW()-4,"000"))</f>
        <v/>
      </c>
      <c r="B65" s="25"/>
      <c r="C65" s="24"/>
      <c r="D65" s="24"/>
      <c r="E65" s="24"/>
      <c r="F65" s="24"/>
      <c r="G65" s="29"/>
      <c r="H65" s="24"/>
      <c r="I65" s="24"/>
      <c r="J65" s="26" t="str">
        <f aca="false">IF($D65="","",IFERROR(INDEX(LOT_EXTE,MATCH($D65,LOT_KEY,0)),""))</f>
        <v/>
      </c>
      <c r="K65" s="26" t="str">
        <f aca="false">IF($D65="","",IFERROR(INDEX(LOT_PRODE,MATCH($D65,LOT_KEY,0)),"LOT NON REFERENCE"))</f>
        <v/>
      </c>
      <c r="L65" s="26" t="str">
        <f aca="false">IF($D65="","",IFERROR(INDEX(LOT_FOURNE,MATCH($D65,LOT_KEY,0)),""))</f>
        <v/>
      </c>
      <c r="M65" s="26" t="str">
        <f aca="false">IF($E65="","",IFERROR(INDEX(EMPL_CLASSE,MATCH($E65,EMPL_KEY,0)),"?"))</f>
        <v/>
      </c>
      <c r="N65" s="26" t="str">
        <f aca="false">IF($F65="","",IFERROR(INDEX(EMPL_CLASSE,MATCH($F65,EMPL_KEY,0)),"?"))</f>
        <v/>
      </c>
      <c r="O65" s="28" t="n">
        <f aca="false">IF($C65="",0,IF(OR($B65="",$D65=""),0,IF($C65="AJUSTEMENT",IF(OR(NOT(ISNUMBER($G65)),$G65=0,$F65="",$H65=""),0,1),IF(OR(NOT(ISNUMBER($G65)),$G65&lt;=0),0,IF($C65="RECEPTION",IF($F65="",0,1),IF($C65="CONSOMMATION",IF($E65="",0,1),IF(OR($E65="",$F65="",$E65=$F65),0,1)))))))</f>
        <v>0</v>
      </c>
      <c r="P65" s="27" t="str">
        <f aca="false">IF(OR($O65=0,$C65="RECEPTION"),"",IF($C65="AJUSTEMENT",IF($G65&gt;0,"",SUMIFS(MVT_BRUT,MVT_LOT,$D65,MVT_EMPL,$F65)-$G65),SUMIFS(MVT_BRUT,MVT_LOT,$D65,MVT_EMPL,$E65)+$G65))</f>
        <v/>
      </c>
      <c r="Q65" s="26" t="str">
        <f aca="false">IF($C65="","",IF($O65=0,"DONNEES MANQUANTES",IF($C65="RECEPTION","OK",IF(AND($C65="AJUSTEMENT",$G65&gt;0),"OK",IF($P65&lt;=0,"EMPLACEMENT INCOHERENT",IF(ABS($G65)&gt;$P65+0.001,"STOCK INSUFFISANT","OK"))))))</f>
        <v/>
      </c>
      <c r="R65" s="28" t="n">
        <f aca="false">IF($Q65="OK",1,0)</f>
        <v>0</v>
      </c>
      <c r="S65" s="26" t="str">
        <f aca="false">IF($C65="","",IF($O65=0,"A COMPLETER : "&amp;IF($B65="","DATE; ","")&amp;IF($D65="","LOT INTERNE; ","")&amp;IF(NOT(ISNUMBER($G65)),"QUANTITE; ",IF(AND($C65="AJUSTEMENT",$G65=0),"QUANTITE &lt;&gt; 0; ",IF(AND($C65&lt;&gt;"AJUSTEMENT",$G65&lt;=0),"QUANTITE &gt; 0; ","")))&amp;IF(AND($C65="AJUSTEMENT",$H65=""),"MOTIF; ","")&amp;IF(AND(OR($C65="TRANSFERT",$C65="CONSOMMATION"),$E65=""),"EMPL. SOURCE; ","")&amp;IF(AND($C65&lt;&gt;"CONSOMMATION",$F65=""),"EMPL. DESTINATION; ","")&amp;IF(AND($C65="TRANSFERT",$E65&lt;&gt;"",$E65=$F65),"SOURCE = DESTINATION; ",""),IF($Q65="EMPLACEMENT INCOHERENT","Le lot "&amp;$D65&amp;" n'existe pas sur cet emplacement (stock 0). Verifier l'emplacement.",IF($Q65="STOCK INSUFFISANT","Disponible avant operation : "&amp;TEXT($P65,"#,##0.00")&amp;" kg. Ligne NON comptee en stock.",IF(COUNTIFS($B$5:$B$304,$B65,$C$5:$C$304,$C65,$D$5:$D$304,$D65,$G$5:$G$304,$G65)&gt;1,"Doublon possible (meme date, type, lot et quantite).",IF($K65="LOT NON REFERENCE","Creer d'abord la fiche du lot dans l'onglet LOTS.",""))))))</f>
        <v/>
      </c>
    </row>
    <row r="66" customFormat="false" ht="15" hidden="false" customHeight="false" outlineLevel="0" collapsed="false">
      <c r="A66" s="26" t="str">
        <f aca="false">IF($C66="","","OP-"&amp;TEXT(ROW()-4,"000"))</f>
        <v/>
      </c>
      <c r="B66" s="25"/>
      <c r="C66" s="24"/>
      <c r="D66" s="24"/>
      <c r="E66" s="24"/>
      <c r="F66" s="24"/>
      <c r="G66" s="29"/>
      <c r="H66" s="24"/>
      <c r="I66" s="24"/>
      <c r="J66" s="26" t="str">
        <f aca="false">IF($D66="","",IFERROR(INDEX(LOT_EXTE,MATCH($D66,LOT_KEY,0)),""))</f>
        <v/>
      </c>
      <c r="K66" s="26" t="str">
        <f aca="false">IF($D66="","",IFERROR(INDEX(LOT_PRODE,MATCH($D66,LOT_KEY,0)),"LOT NON REFERENCE"))</f>
        <v/>
      </c>
      <c r="L66" s="26" t="str">
        <f aca="false">IF($D66="","",IFERROR(INDEX(LOT_FOURNE,MATCH($D66,LOT_KEY,0)),""))</f>
        <v/>
      </c>
      <c r="M66" s="26" t="str">
        <f aca="false">IF($E66="","",IFERROR(INDEX(EMPL_CLASSE,MATCH($E66,EMPL_KEY,0)),"?"))</f>
        <v/>
      </c>
      <c r="N66" s="26" t="str">
        <f aca="false">IF($F66="","",IFERROR(INDEX(EMPL_CLASSE,MATCH($F66,EMPL_KEY,0)),"?"))</f>
        <v/>
      </c>
      <c r="O66" s="28" t="n">
        <f aca="false">IF($C66="",0,IF(OR($B66="",$D66=""),0,IF($C66="AJUSTEMENT",IF(OR(NOT(ISNUMBER($G66)),$G66=0,$F66="",$H66=""),0,1),IF(OR(NOT(ISNUMBER($G66)),$G66&lt;=0),0,IF($C66="RECEPTION",IF($F66="",0,1),IF($C66="CONSOMMATION",IF($E66="",0,1),IF(OR($E66="",$F66="",$E66=$F66),0,1)))))))</f>
        <v>0</v>
      </c>
      <c r="P66" s="27" t="str">
        <f aca="false">IF(OR($O66=0,$C66="RECEPTION"),"",IF($C66="AJUSTEMENT",IF($G66&gt;0,"",SUMIFS(MVT_BRUT,MVT_LOT,$D66,MVT_EMPL,$F66)-$G66),SUMIFS(MVT_BRUT,MVT_LOT,$D66,MVT_EMPL,$E66)+$G66))</f>
        <v/>
      </c>
      <c r="Q66" s="26" t="str">
        <f aca="false">IF($C66="","",IF($O66=0,"DONNEES MANQUANTES",IF($C66="RECEPTION","OK",IF(AND($C66="AJUSTEMENT",$G66&gt;0),"OK",IF($P66&lt;=0,"EMPLACEMENT INCOHERENT",IF(ABS($G66)&gt;$P66+0.001,"STOCK INSUFFISANT","OK"))))))</f>
        <v/>
      </c>
      <c r="R66" s="28" t="n">
        <f aca="false">IF($Q66="OK",1,0)</f>
        <v>0</v>
      </c>
      <c r="S66" s="26" t="str">
        <f aca="false">IF($C66="","",IF($O66=0,"A COMPLETER : "&amp;IF($B66="","DATE; ","")&amp;IF($D66="","LOT INTERNE; ","")&amp;IF(NOT(ISNUMBER($G66)),"QUANTITE; ",IF(AND($C66="AJUSTEMENT",$G66=0),"QUANTITE &lt;&gt; 0; ",IF(AND($C66&lt;&gt;"AJUSTEMENT",$G66&lt;=0),"QUANTITE &gt; 0; ","")))&amp;IF(AND($C66="AJUSTEMENT",$H66=""),"MOTIF; ","")&amp;IF(AND(OR($C66="TRANSFERT",$C66="CONSOMMATION"),$E66=""),"EMPL. SOURCE; ","")&amp;IF(AND($C66&lt;&gt;"CONSOMMATION",$F66=""),"EMPL. DESTINATION; ","")&amp;IF(AND($C66="TRANSFERT",$E66&lt;&gt;"",$E66=$F66),"SOURCE = DESTINATION; ",""),IF($Q66="EMPLACEMENT INCOHERENT","Le lot "&amp;$D66&amp;" n'existe pas sur cet emplacement (stock 0). Verifier l'emplacement.",IF($Q66="STOCK INSUFFISANT","Disponible avant operation : "&amp;TEXT($P66,"#,##0.00")&amp;" kg. Ligne NON comptee en stock.",IF(COUNTIFS($B$5:$B$304,$B66,$C$5:$C$304,$C66,$D$5:$D$304,$D66,$G$5:$G$304,$G66)&gt;1,"Doublon possible (meme date, type, lot et quantite).",IF($K66="LOT NON REFERENCE","Creer d'abord la fiche du lot dans l'onglet LOTS.",""))))))</f>
        <v/>
      </c>
    </row>
    <row r="67" customFormat="false" ht="15" hidden="false" customHeight="false" outlineLevel="0" collapsed="false">
      <c r="A67" s="26" t="str">
        <f aca="false">IF($C67="","","OP-"&amp;TEXT(ROW()-4,"000"))</f>
        <v/>
      </c>
      <c r="B67" s="25"/>
      <c r="C67" s="24"/>
      <c r="D67" s="24"/>
      <c r="E67" s="24"/>
      <c r="F67" s="24"/>
      <c r="G67" s="29"/>
      <c r="H67" s="24"/>
      <c r="I67" s="24"/>
      <c r="J67" s="26" t="str">
        <f aca="false">IF($D67="","",IFERROR(INDEX(LOT_EXTE,MATCH($D67,LOT_KEY,0)),""))</f>
        <v/>
      </c>
      <c r="K67" s="26" t="str">
        <f aca="false">IF($D67="","",IFERROR(INDEX(LOT_PRODE,MATCH($D67,LOT_KEY,0)),"LOT NON REFERENCE"))</f>
        <v/>
      </c>
      <c r="L67" s="26" t="str">
        <f aca="false">IF($D67="","",IFERROR(INDEX(LOT_FOURNE,MATCH($D67,LOT_KEY,0)),""))</f>
        <v/>
      </c>
      <c r="M67" s="26" t="str">
        <f aca="false">IF($E67="","",IFERROR(INDEX(EMPL_CLASSE,MATCH($E67,EMPL_KEY,0)),"?"))</f>
        <v/>
      </c>
      <c r="N67" s="26" t="str">
        <f aca="false">IF($F67="","",IFERROR(INDEX(EMPL_CLASSE,MATCH($F67,EMPL_KEY,0)),"?"))</f>
        <v/>
      </c>
      <c r="O67" s="28" t="n">
        <f aca="false">IF($C67="",0,IF(OR($B67="",$D67=""),0,IF($C67="AJUSTEMENT",IF(OR(NOT(ISNUMBER($G67)),$G67=0,$F67="",$H67=""),0,1),IF(OR(NOT(ISNUMBER($G67)),$G67&lt;=0),0,IF($C67="RECEPTION",IF($F67="",0,1),IF($C67="CONSOMMATION",IF($E67="",0,1),IF(OR($E67="",$F67="",$E67=$F67),0,1)))))))</f>
        <v>0</v>
      </c>
      <c r="P67" s="27" t="str">
        <f aca="false">IF(OR($O67=0,$C67="RECEPTION"),"",IF($C67="AJUSTEMENT",IF($G67&gt;0,"",SUMIFS(MVT_BRUT,MVT_LOT,$D67,MVT_EMPL,$F67)-$G67),SUMIFS(MVT_BRUT,MVT_LOT,$D67,MVT_EMPL,$E67)+$G67))</f>
        <v/>
      </c>
      <c r="Q67" s="26" t="str">
        <f aca="false">IF($C67="","",IF($O67=0,"DONNEES MANQUANTES",IF($C67="RECEPTION","OK",IF(AND($C67="AJUSTEMENT",$G67&gt;0),"OK",IF($P67&lt;=0,"EMPLACEMENT INCOHERENT",IF(ABS($G67)&gt;$P67+0.001,"STOCK INSUFFISANT","OK"))))))</f>
        <v/>
      </c>
      <c r="R67" s="28" t="n">
        <f aca="false">IF($Q67="OK",1,0)</f>
        <v>0</v>
      </c>
      <c r="S67" s="26" t="str">
        <f aca="false">IF($C67="","",IF($O67=0,"A COMPLETER : "&amp;IF($B67="","DATE; ","")&amp;IF($D67="","LOT INTERNE; ","")&amp;IF(NOT(ISNUMBER($G67)),"QUANTITE; ",IF(AND($C67="AJUSTEMENT",$G67=0),"QUANTITE &lt;&gt; 0; ",IF(AND($C67&lt;&gt;"AJUSTEMENT",$G67&lt;=0),"QUANTITE &gt; 0; ","")))&amp;IF(AND($C67="AJUSTEMENT",$H67=""),"MOTIF; ","")&amp;IF(AND(OR($C67="TRANSFERT",$C67="CONSOMMATION"),$E67=""),"EMPL. SOURCE; ","")&amp;IF(AND($C67&lt;&gt;"CONSOMMATION",$F67=""),"EMPL. DESTINATION; ","")&amp;IF(AND($C67="TRANSFERT",$E67&lt;&gt;"",$E67=$F67),"SOURCE = DESTINATION; ",""),IF($Q67="EMPLACEMENT INCOHERENT","Le lot "&amp;$D67&amp;" n'existe pas sur cet emplacement (stock 0). Verifier l'emplacement.",IF($Q67="STOCK INSUFFISANT","Disponible avant operation : "&amp;TEXT($P67,"#,##0.00")&amp;" kg. Ligne NON comptee en stock.",IF(COUNTIFS($B$5:$B$304,$B67,$C$5:$C$304,$C67,$D$5:$D$304,$D67,$G$5:$G$304,$G67)&gt;1,"Doublon possible (meme date, type, lot et quantite).",IF($K67="LOT NON REFERENCE","Creer d'abord la fiche du lot dans l'onglet LOTS.",""))))))</f>
        <v/>
      </c>
    </row>
    <row r="68" customFormat="false" ht="15" hidden="false" customHeight="false" outlineLevel="0" collapsed="false">
      <c r="A68" s="26" t="str">
        <f aca="false">IF($C68="","","OP-"&amp;TEXT(ROW()-4,"000"))</f>
        <v/>
      </c>
      <c r="B68" s="25"/>
      <c r="C68" s="24"/>
      <c r="D68" s="24"/>
      <c r="E68" s="24"/>
      <c r="F68" s="24"/>
      <c r="G68" s="29"/>
      <c r="H68" s="24"/>
      <c r="I68" s="24"/>
      <c r="J68" s="26" t="str">
        <f aca="false">IF($D68="","",IFERROR(INDEX(LOT_EXTE,MATCH($D68,LOT_KEY,0)),""))</f>
        <v/>
      </c>
      <c r="K68" s="26" t="str">
        <f aca="false">IF($D68="","",IFERROR(INDEX(LOT_PRODE,MATCH($D68,LOT_KEY,0)),"LOT NON REFERENCE"))</f>
        <v/>
      </c>
      <c r="L68" s="26" t="str">
        <f aca="false">IF($D68="","",IFERROR(INDEX(LOT_FOURNE,MATCH($D68,LOT_KEY,0)),""))</f>
        <v/>
      </c>
      <c r="M68" s="26" t="str">
        <f aca="false">IF($E68="","",IFERROR(INDEX(EMPL_CLASSE,MATCH($E68,EMPL_KEY,0)),"?"))</f>
        <v/>
      </c>
      <c r="N68" s="26" t="str">
        <f aca="false">IF($F68="","",IFERROR(INDEX(EMPL_CLASSE,MATCH($F68,EMPL_KEY,0)),"?"))</f>
        <v/>
      </c>
      <c r="O68" s="28" t="n">
        <f aca="false">IF($C68="",0,IF(OR($B68="",$D68=""),0,IF($C68="AJUSTEMENT",IF(OR(NOT(ISNUMBER($G68)),$G68=0,$F68="",$H68=""),0,1),IF(OR(NOT(ISNUMBER($G68)),$G68&lt;=0),0,IF($C68="RECEPTION",IF($F68="",0,1),IF($C68="CONSOMMATION",IF($E68="",0,1),IF(OR($E68="",$F68="",$E68=$F68),0,1)))))))</f>
        <v>0</v>
      </c>
      <c r="P68" s="27" t="str">
        <f aca="false">IF(OR($O68=0,$C68="RECEPTION"),"",IF($C68="AJUSTEMENT",IF($G68&gt;0,"",SUMIFS(MVT_BRUT,MVT_LOT,$D68,MVT_EMPL,$F68)-$G68),SUMIFS(MVT_BRUT,MVT_LOT,$D68,MVT_EMPL,$E68)+$G68))</f>
        <v/>
      </c>
      <c r="Q68" s="26" t="str">
        <f aca="false">IF($C68="","",IF($O68=0,"DONNEES MANQUANTES",IF($C68="RECEPTION","OK",IF(AND($C68="AJUSTEMENT",$G68&gt;0),"OK",IF($P68&lt;=0,"EMPLACEMENT INCOHERENT",IF(ABS($G68)&gt;$P68+0.001,"STOCK INSUFFISANT","OK"))))))</f>
        <v/>
      </c>
      <c r="R68" s="28" t="n">
        <f aca="false">IF($Q68="OK",1,0)</f>
        <v>0</v>
      </c>
      <c r="S68" s="26" t="str">
        <f aca="false">IF($C68="","",IF($O68=0,"A COMPLETER : "&amp;IF($B68="","DATE; ","")&amp;IF($D68="","LOT INTERNE; ","")&amp;IF(NOT(ISNUMBER($G68)),"QUANTITE; ",IF(AND($C68="AJUSTEMENT",$G68=0),"QUANTITE &lt;&gt; 0; ",IF(AND($C68&lt;&gt;"AJUSTEMENT",$G68&lt;=0),"QUANTITE &gt; 0; ","")))&amp;IF(AND($C68="AJUSTEMENT",$H68=""),"MOTIF; ","")&amp;IF(AND(OR($C68="TRANSFERT",$C68="CONSOMMATION"),$E68=""),"EMPL. SOURCE; ","")&amp;IF(AND($C68&lt;&gt;"CONSOMMATION",$F68=""),"EMPL. DESTINATION; ","")&amp;IF(AND($C68="TRANSFERT",$E68&lt;&gt;"",$E68=$F68),"SOURCE = DESTINATION; ",""),IF($Q68="EMPLACEMENT INCOHERENT","Le lot "&amp;$D68&amp;" n'existe pas sur cet emplacement (stock 0). Verifier l'emplacement.",IF($Q68="STOCK INSUFFISANT","Disponible avant operation : "&amp;TEXT($P68,"#,##0.00")&amp;" kg. Ligne NON comptee en stock.",IF(COUNTIFS($B$5:$B$304,$B68,$C$5:$C$304,$C68,$D$5:$D$304,$D68,$G$5:$G$304,$G68)&gt;1,"Doublon possible (meme date, type, lot et quantite).",IF($K68="LOT NON REFERENCE","Creer d'abord la fiche du lot dans l'onglet LOTS.",""))))))</f>
        <v/>
      </c>
    </row>
    <row r="69" customFormat="false" ht="15" hidden="false" customHeight="false" outlineLevel="0" collapsed="false">
      <c r="A69" s="26" t="str">
        <f aca="false">IF($C69="","","OP-"&amp;TEXT(ROW()-4,"000"))</f>
        <v/>
      </c>
      <c r="B69" s="25"/>
      <c r="C69" s="24"/>
      <c r="D69" s="24"/>
      <c r="E69" s="24"/>
      <c r="F69" s="24"/>
      <c r="G69" s="29"/>
      <c r="H69" s="24"/>
      <c r="I69" s="24"/>
      <c r="J69" s="26" t="str">
        <f aca="false">IF($D69="","",IFERROR(INDEX(LOT_EXTE,MATCH($D69,LOT_KEY,0)),""))</f>
        <v/>
      </c>
      <c r="K69" s="26" t="str">
        <f aca="false">IF($D69="","",IFERROR(INDEX(LOT_PRODE,MATCH($D69,LOT_KEY,0)),"LOT NON REFERENCE"))</f>
        <v/>
      </c>
      <c r="L69" s="26" t="str">
        <f aca="false">IF($D69="","",IFERROR(INDEX(LOT_FOURNE,MATCH($D69,LOT_KEY,0)),""))</f>
        <v/>
      </c>
      <c r="M69" s="26" t="str">
        <f aca="false">IF($E69="","",IFERROR(INDEX(EMPL_CLASSE,MATCH($E69,EMPL_KEY,0)),"?"))</f>
        <v/>
      </c>
      <c r="N69" s="26" t="str">
        <f aca="false">IF($F69="","",IFERROR(INDEX(EMPL_CLASSE,MATCH($F69,EMPL_KEY,0)),"?"))</f>
        <v/>
      </c>
      <c r="O69" s="28" t="n">
        <f aca="false">IF($C69="",0,IF(OR($B69="",$D69=""),0,IF($C69="AJUSTEMENT",IF(OR(NOT(ISNUMBER($G69)),$G69=0,$F69="",$H69=""),0,1),IF(OR(NOT(ISNUMBER($G69)),$G69&lt;=0),0,IF($C69="RECEPTION",IF($F69="",0,1),IF($C69="CONSOMMATION",IF($E69="",0,1),IF(OR($E69="",$F69="",$E69=$F69),0,1)))))))</f>
        <v>0</v>
      </c>
      <c r="P69" s="27" t="str">
        <f aca="false">IF(OR($O69=0,$C69="RECEPTION"),"",IF($C69="AJUSTEMENT",IF($G69&gt;0,"",SUMIFS(MVT_BRUT,MVT_LOT,$D69,MVT_EMPL,$F69)-$G69),SUMIFS(MVT_BRUT,MVT_LOT,$D69,MVT_EMPL,$E69)+$G69))</f>
        <v/>
      </c>
      <c r="Q69" s="26" t="str">
        <f aca="false">IF($C69="","",IF($O69=0,"DONNEES MANQUANTES",IF($C69="RECEPTION","OK",IF(AND($C69="AJUSTEMENT",$G69&gt;0),"OK",IF($P69&lt;=0,"EMPLACEMENT INCOHERENT",IF(ABS($G69)&gt;$P69+0.001,"STOCK INSUFFISANT","OK"))))))</f>
        <v/>
      </c>
      <c r="R69" s="28" t="n">
        <f aca="false">IF($Q69="OK",1,0)</f>
        <v>0</v>
      </c>
      <c r="S69" s="26" t="str">
        <f aca="false">IF($C69="","",IF($O69=0,"A COMPLETER : "&amp;IF($B69="","DATE; ","")&amp;IF($D69="","LOT INTERNE; ","")&amp;IF(NOT(ISNUMBER($G69)),"QUANTITE; ",IF(AND($C69="AJUSTEMENT",$G69=0),"QUANTITE &lt;&gt; 0; ",IF(AND($C69&lt;&gt;"AJUSTEMENT",$G69&lt;=0),"QUANTITE &gt; 0; ","")))&amp;IF(AND($C69="AJUSTEMENT",$H69=""),"MOTIF; ","")&amp;IF(AND(OR($C69="TRANSFERT",$C69="CONSOMMATION"),$E69=""),"EMPL. SOURCE; ","")&amp;IF(AND($C69&lt;&gt;"CONSOMMATION",$F69=""),"EMPL. DESTINATION; ","")&amp;IF(AND($C69="TRANSFERT",$E69&lt;&gt;"",$E69=$F69),"SOURCE = DESTINATION; ",""),IF($Q69="EMPLACEMENT INCOHERENT","Le lot "&amp;$D69&amp;" n'existe pas sur cet emplacement (stock 0). Verifier l'emplacement.",IF($Q69="STOCK INSUFFISANT","Disponible avant operation : "&amp;TEXT($P69,"#,##0.00")&amp;" kg. Ligne NON comptee en stock.",IF(COUNTIFS($B$5:$B$304,$B69,$C$5:$C$304,$C69,$D$5:$D$304,$D69,$G$5:$G$304,$G69)&gt;1,"Doublon possible (meme date, type, lot et quantite).",IF($K69="LOT NON REFERENCE","Creer d'abord la fiche du lot dans l'onglet LOTS.",""))))))</f>
        <v/>
      </c>
    </row>
    <row r="70" customFormat="false" ht="15" hidden="false" customHeight="false" outlineLevel="0" collapsed="false">
      <c r="A70" s="26" t="str">
        <f aca="false">IF($C70="","","OP-"&amp;TEXT(ROW()-4,"000"))</f>
        <v/>
      </c>
      <c r="B70" s="25"/>
      <c r="C70" s="24"/>
      <c r="D70" s="24"/>
      <c r="E70" s="24"/>
      <c r="F70" s="24"/>
      <c r="G70" s="29"/>
      <c r="H70" s="24"/>
      <c r="I70" s="24"/>
      <c r="J70" s="26" t="str">
        <f aca="false">IF($D70="","",IFERROR(INDEX(LOT_EXTE,MATCH($D70,LOT_KEY,0)),""))</f>
        <v/>
      </c>
      <c r="K70" s="26" t="str">
        <f aca="false">IF($D70="","",IFERROR(INDEX(LOT_PRODE,MATCH($D70,LOT_KEY,0)),"LOT NON REFERENCE"))</f>
        <v/>
      </c>
      <c r="L70" s="26" t="str">
        <f aca="false">IF($D70="","",IFERROR(INDEX(LOT_FOURNE,MATCH($D70,LOT_KEY,0)),""))</f>
        <v/>
      </c>
      <c r="M70" s="26" t="str">
        <f aca="false">IF($E70="","",IFERROR(INDEX(EMPL_CLASSE,MATCH($E70,EMPL_KEY,0)),"?"))</f>
        <v/>
      </c>
      <c r="N70" s="26" t="str">
        <f aca="false">IF($F70="","",IFERROR(INDEX(EMPL_CLASSE,MATCH($F70,EMPL_KEY,0)),"?"))</f>
        <v/>
      </c>
      <c r="O70" s="28" t="n">
        <f aca="false">IF($C70="",0,IF(OR($B70="",$D70=""),0,IF($C70="AJUSTEMENT",IF(OR(NOT(ISNUMBER($G70)),$G70=0,$F70="",$H70=""),0,1),IF(OR(NOT(ISNUMBER($G70)),$G70&lt;=0),0,IF($C70="RECEPTION",IF($F70="",0,1),IF($C70="CONSOMMATION",IF($E70="",0,1),IF(OR($E70="",$F70="",$E70=$F70),0,1)))))))</f>
        <v>0</v>
      </c>
      <c r="P70" s="27" t="str">
        <f aca="false">IF(OR($O70=0,$C70="RECEPTION"),"",IF($C70="AJUSTEMENT",IF($G70&gt;0,"",SUMIFS(MVT_BRUT,MVT_LOT,$D70,MVT_EMPL,$F70)-$G70),SUMIFS(MVT_BRUT,MVT_LOT,$D70,MVT_EMPL,$E70)+$G70))</f>
        <v/>
      </c>
      <c r="Q70" s="26" t="str">
        <f aca="false">IF($C70="","",IF($O70=0,"DONNEES MANQUANTES",IF($C70="RECEPTION","OK",IF(AND($C70="AJUSTEMENT",$G70&gt;0),"OK",IF($P70&lt;=0,"EMPLACEMENT INCOHERENT",IF(ABS($G70)&gt;$P70+0.001,"STOCK INSUFFISANT","OK"))))))</f>
        <v/>
      </c>
      <c r="R70" s="28" t="n">
        <f aca="false">IF($Q70="OK",1,0)</f>
        <v>0</v>
      </c>
      <c r="S70" s="26" t="str">
        <f aca="false">IF($C70="","",IF($O70=0,"A COMPLETER : "&amp;IF($B70="","DATE; ","")&amp;IF($D70="","LOT INTERNE; ","")&amp;IF(NOT(ISNUMBER($G70)),"QUANTITE; ",IF(AND($C70="AJUSTEMENT",$G70=0),"QUANTITE &lt;&gt; 0; ",IF(AND($C70&lt;&gt;"AJUSTEMENT",$G70&lt;=0),"QUANTITE &gt; 0; ","")))&amp;IF(AND($C70="AJUSTEMENT",$H70=""),"MOTIF; ","")&amp;IF(AND(OR($C70="TRANSFERT",$C70="CONSOMMATION"),$E70=""),"EMPL. SOURCE; ","")&amp;IF(AND($C70&lt;&gt;"CONSOMMATION",$F70=""),"EMPL. DESTINATION; ","")&amp;IF(AND($C70="TRANSFERT",$E70&lt;&gt;"",$E70=$F70),"SOURCE = DESTINATION; ",""),IF($Q70="EMPLACEMENT INCOHERENT","Le lot "&amp;$D70&amp;" n'existe pas sur cet emplacement (stock 0). Verifier l'emplacement.",IF($Q70="STOCK INSUFFISANT","Disponible avant operation : "&amp;TEXT($P70,"#,##0.00")&amp;" kg. Ligne NON comptee en stock.",IF(COUNTIFS($B$5:$B$304,$B70,$C$5:$C$304,$C70,$D$5:$D$304,$D70,$G$5:$G$304,$G70)&gt;1,"Doublon possible (meme date, type, lot et quantite).",IF($K70="LOT NON REFERENCE","Creer d'abord la fiche du lot dans l'onglet LOTS.",""))))))</f>
        <v/>
      </c>
    </row>
    <row r="71" customFormat="false" ht="15" hidden="false" customHeight="false" outlineLevel="0" collapsed="false">
      <c r="A71" s="26" t="str">
        <f aca="false">IF($C71="","","OP-"&amp;TEXT(ROW()-4,"000"))</f>
        <v/>
      </c>
      <c r="B71" s="25"/>
      <c r="C71" s="24"/>
      <c r="D71" s="24"/>
      <c r="E71" s="24"/>
      <c r="F71" s="24"/>
      <c r="G71" s="29"/>
      <c r="H71" s="24"/>
      <c r="I71" s="24"/>
      <c r="J71" s="26" t="str">
        <f aca="false">IF($D71="","",IFERROR(INDEX(LOT_EXTE,MATCH($D71,LOT_KEY,0)),""))</f>
        <v/>
      </c>
      <c r="K71" s="26" t="str">
        <f aca="false">IF($D71="","",IFERROR(INDEX(LOT_PRODE,MATCH($D71,LOT_KEY,0)),"LOT NON REFERENCE"))</f>
        <v/>
      </c>
      <c r="L71" s="26" t="str">
        <f aca="false">IF($D71="","",IFERROR(INDEX(LOT_FOURNE,MATCH($D71,LOT_KEY,0)),""))</f>
        <v/>
      </c>
      <c r="M71" s="26" t="str">
        <f aca="false">IF($E71="","",IFERROR(INDEX(EMPL_CLASSE,MATCH($E71,EMPL_KEY,0)),"?"))</f>
        <v/>
      </c>
      <c r="N71" s="26" t="str">
        <f aca="false">IF($F71="","",IFERROR(INDEX(EMPL_CLASSE,MATCH($F71,EMPL_KEY,0)),"?"))</f>
        <v/>
      </c>
      <c r="O71" s="28" t="n">
        <f aca="false">IF($C71="",0,IF(OR($B71="",$D71=""),0,IF($C71="AJUSTEMENT",IF(OR(NOT(ISNUMBER($G71)),$G71=0,$F71="",$H71=""),0,1),IF(OR(NOT(ISNUMBER($G71)),$G71&lt;=0),0,IF($C71="RECEPTION",IF($F71="",0,1),IF($C71="CONSOMMATION",IF($E71="",0,1),IF(OR($E71="",$F71="",$E71=$F71),0,1)))))))</f>
        <v>0</v>
      </c>
      <c r="P71" s="27" t="str">
        <f aca="false">IF(OR($O71=0,$C71="RECEPTION"),"",IF($C71="AJUSTEMENT",IF($G71&gt;0,"",SUMIFS(MVT_BRUT,MVT_LOT,$D71,MVT_EMPL,$F71)-$G71),SUMIFS(MVT_BRUT,MVT_LOT,$D71,MVT_EMPL,$E71)+$G71))</f>
        <v/>
      </c>
      <c r="Q71" s="26" t="str">
        <f aca="false">IF($C71="","",IF($O71=0,"DONNEES MANQUANTES",IF($C71="RECEPTION","OK",IF(AND($C71="AJUSTEMENT",$G71&gt;0),"OK",IF($P71&lt;=0,"EMPLACEMENT INCOHERENT",IF(ABS($G71)&gt;$P71+0.001,"STOCK INSUFFISANT","OK"))))))</f>
        <v/>
      </c>
      <c r="R71" s="28" t="n">
        <f aca="false">IF($Q71="OK",1,0)</f>
        <v>0</v>
      </c>
      <c r="S71" s="26" t="str">
        <f aca="false">IF($C71="","",IF($O71=0,"A COMPLETER : "&amp;IF($B71="","DATE; ","")&amp;IF($D71="","LOT INTERNE; ","")&amp;IF(NOT(ISNUMBER($G71)),"QUANTITE; ",IF(AND($C71="AJUSTEMENT",$G71=0),"QUANTITE &lt;&gt; 0; ",IF(AND($C71&lt;&gt;"AJUSTEMENT",$G71&lt;=0),"QUANTITE &gt; 0; ","")))&amp;IF(AND($C71="AJUSTEMENT",$H71=""),"MOTIF; ","")&amp;IF(AND(OR($C71="TRANSFERT",$C71="CONSOMMATION"),$E71=""),"EMPL. SOURCE; ","")&amp;IF(AND($C71&lt;&gt;"CONSOMMATION",$F71=""),"EMPL. DESTINATION; ","")&amp;IF(AND($C71="TRANSFERT",$E71&lt;&gt;"",$E71=$F71),"SOURCE = DESTINATION; ",""),IF($Q71="EMPLACEMENT INCOHERENT","Le lot "&amp;$D71&amp;" n'existe pas sur cet emplacement (stock 0). Verifier l'emplacement.",IF($Q71="STOCK INSUFFISANT","Disponible avant operation : "&amp;TEXT($P71,"#,##0.00")&amp;" kg. Ligne NON comptee en stock.",IF(COUNTIFS($B$5:$B$304,$B71,$C$5:$C$304,$C71,$D$5:$D$304,$D71,$G$5:$G$304,$G71)&gt;1,"Doublon possible (meme date, type, lot et quantite).",IF($K71="LOT NON REFERENCE","Creer d'abord la fiche du lot dans l'onglet LOTS.",""))))))</f>
        <v/>
      </c>
    </row>
    <row r="72" customFormat="false" ht="15" hidden="false" customHeight="false" outlineLevel="0" collapsed="false">
      <c r="A72" s="26" t="str">
        <f aca="false">IF($C72="","","OP-"&amp;TEXT(ROW()-4,"000"))</f>
        <v/>
      </c>
      <c r="B72" s="25"/>
      <c r="C72" s="24"/>
      <c r="D72" s="24"/>
      <c r="E72" s="24"/>
      <c r="F72" s="24"/>
      <c r="G72" s="29"/>
      <c r="H72" s="24"/>
      <c r="I72" s="24"/>
      <c r="J72" s="26" t="str">
        <f aca="false">IF($D72="","",IFERROR(INDEX(LOT_EXTE,MATCH($D72,LOT_KEY,0)),""))</f>
        <v/>
      </c>
      <c r="K72" s="26" t="str">
        <f aca="false">IF($D72="","",IFERROR(INDEX(LOT_PRODE,MATCH($D72,LOT_KEY,0)),"LOT NON REFERENCE"))</f>
        <v/>
      </c>
      <c r="L72" s="26" t="str">
        <f aca="false">IF($D72="","",IFERROR(INDEX(LOT_FOURNE,MATCH($D72,LOT_KEY,0)),""))</f>
        <v/>
      </c>
      <c r="M72" s="26" t="str">
        <f aca="false">IF($E72="","",IFERROR(INDEX(EMPL_CLASSE,MATCH($E72,EMPL_KEY,0)),"?"))</f>
        <v/>
      </c>
      <c r="N72" s="26" t="str">
        <f aca="false">IF($F72="","",IFERROR(INDEX(EMPL_CLASSE,MATCH($F72,EMPL_KEY,0)),"?"))</f>
        <v/>
      </c>
      <c r="O72" s="28" t="n">
        <f aca="false">IF($C72="",0,IF(OR($B72="",$D72=""),0,IF($C72="AJUSTEMENT",IF(OR(NOT(ISNUMBER($G72)),$G72=0,$F72="",$H72=""),0,1),IF(OR(NOT(ISNUMBER($G72)),$G72&lt;=0),0,IF($C72="RECEPTION",IF($F72="",0,1),IF($C72="CONSOMMATION",IF($E72="",0,1),IF(OR($E72="",$F72="",$E72=$F72),0,1)))))))</f>
        <v>0</v>
      </c>
      <c r="P72" s="27" t="str">
        <f aca="false">IF(OR($O72=0,$C72="RECEPTION"),"",IF($C72="AJUSTEMENT",IF($G72&gt;0,"",SUMIFS(MVT_BRUT,MVT_LOT,$D72,MVT_EMPL,$F72)-$G72),SUMIFS(MVT_BRUT,MVT_LOT,$D72,MVT_EMPL,$E72)+$G72))</f>
        <v/>
      </c>
      <c r="Q72" s="26" t="str">
        <f aca="false">IF($C72="","",IF($O72=0,"DONNEES MANQUANTES",IF($C72="RECEPTION","OK",IF(AND($C72="AJUSTEMENT",$G72&gt;0),"OK",IF($P72&lt;=0,"EMPLACEMENT INCOHERENT",IF(ABS($G72)&gt;$P72+0.001,"STOCK INSUFFISANT","OK"))))))</f>
        <v/>
      </c>
      <c r="R72" s="28" t="n">
        <f aca="false">IF($Q72="OK",1,0)</f>
        <v>0</v>
      </c>
      <c r="S72" s="26" t="str">
        <f aca="false">IF($C72="","",IF($O72=0,"A COMPLETER : "&amp;IF($B72="","DATE; ","")&amp;IF($D72="","LOT INTERNE; ","")&amp;IF(NOT(ISNUMBER($G72)),"QUANTITE; ",IF(AND($C72="AJUSTEMENT",$G72=0),"QUANTITE &lt;&gt; 0; ",IF(AND($C72&lt;&gt;"AJUSTEMENT",$G72&lt;=0),"QUANTITE &gt; 0; ","")))&amp;IF(AND($C72="AJUSTEMENT",$H72=""),"MOTIF; ","")&amp;IF(AND(OR($C72="TRANSFERT",$C72="CONSOMMATION"),$E72=""),"EMPL. SOURCE; ","")&amp;IF(AND($C72&lt;&gt;"CONSOMMATION",$F72=""),"EMPL. DESTINATION; ","")&amp;IF(AND($C72="TRANSFERT",$E72&lt;&gt;"",$E72=$F72),"SOURCE = DESTINATION; ",""),IF($Q72="EMPLACEMENT INCOHERENT","Le lot "&amp;$D72&amp;" n'existe pas sur cet emplacement (stock 0). Verifier l'emplacement.",IF($Q72="STOCK INSUFFISANT","Disponible avant operation : "&amp;TEXT($P72,"#,##0.00")&amp;" kg. Ligne NON comptee en stock.",IF(COUNTIFS($B$5:$B$304,$B72,$C$5:$C$304,$C72,$D$5:$D$304,$D72,$G$5:$G$304,$G72)&gt;1,"Doublon possible (meme date, type, lot et quantite).",IF($K72="LOT NON REFERENCE","Creer d'abord la fiche du lot dans l'onglet LOTS.",""))))))</f>
        <v/>
      </c>
    </row>
    <row r="73" customFormat="false" ht="15" hidden="false" customHeight="false" outlineLevel="0" collapsed="false">
      <c r="A73" s="26" t="str">
        <f aca="false">IF($C73="","","OP-"&amp;TEXT(ROW()-4,"000"))</f>
        <v/>
      </c>
      <c r="B73" s="25"/>
      <c r="C73" s="24"/>
      <c r="D73" s="24"/>
      <c r="E73" s="24"/>
      <c r="F73" s="24"/>
      <c r="G73" s="29"/>
      <c r="H73" s="24"/>
      <c r="I73" s="24"/>
      <c r="J73" s="26" t="str">
        <f aca="false">IF($D73="","",IFERROR(INDEX(LOT_EXTE,MATCH($D73,LOT_KEY,0)),""))</f>
        <v/>
      </c>
      <c r="K73" s="26" t="str">
        <f aca="false">IF($D73="","",IFERROR(INDEX(LOT_PRODE,MATCH($D73,LOT_KEY,0)),"LOT NON REFERENCE"))</f>
        <v/>
      </c>
      <c r="L73" s="26" t="str">
        <f aca="false">IF($D73="","",IFERROR(INDEX(LOT_FOURNE,MATCH($D73,LOT_KEY,0)),""))</f>
        <v/>
      </c>
      <c r="M73" s="26" t="str">
        <f aca="false">IF($E73="","",IFERROR(INDEX(EMPL_CLASSE,MATCH($E73,EMPL_KEY,0)),"?"))</f>
        <v/>
      </c>
      <c r="N73" s="26" t="str">
        <f aca="false">IF($F73="","",IFERROR(INDEX(EMPL_CLASSE,MATCH($F73,EMPL_KEY,0)),"?"))</f>
        <v/>
      </c>
      <c r="O73" s="28" t="n">
        <f aca="false">IF($C73="",0,IF(OR($B73="",$D73=""),0,IF($C73="AJUSTEMENT",IF(OR(NOT(ISNUMBER($G73)),$G73=0,$F73="",$H73=""),0,1),IF(OR(NOT(ISNUMBER($G73)),$G73&lt;=0),0,IF($C73="RECEPTION",IF($F73="",0,1),IF($C73="CONSOMMATION",IF($E73="",0,1),IF(OR($E73="",$F73="",$E73=$F73),0,1)))))))</f>
        <v>0</v>
      </c>
      <c r="P73" s="27" t="str">
        <f aca="false">IF(OR($O73=0,$C73="RECEPTION"),"",IF($C73="AJUSTEMENT",IF($G73&gt;0,"",SUMIFS(MVT_BRUT,MVT_LOT,$D73,MVT_EMPL,$F73)-$G73),SUMIFS(MVT_BRUT,MVT_LOT,$D73,MVT_EMPL,$E73)+$G73))</f>
        <v/>
      </c>
      <c r="Q73" s="26" t="str">
        <f aca="false">IF($C73="","",IF($O73=0,"DONNEES MANQUANTES",IF($C73="RECEPTION","OK",IF(AND($C73="AJUSTEMENT",$G73&gt;0),"OK",IF($P73&lt;=0,"EMPLACEMENT INCOHERENT",IF(ABS($G73)&gt;$P73+0.001,"STOCK INSUFFISANT","OK"))))))</f>
        <v/>
      </c>
      <c r="R73" s="28" t="n">
        <f aca="false">IF($Q73="OK",1,0)</f>
        <v>0</v>
      </c>
      <c r="S73" s="26" t="str">
        <f aca="false">IF($C73="","",IF($O73=0,"A COMPLETER : "&amp;IF($B73="","DATE; ","")&amp;IF($D73="","LOT INTERNE; ","")&amp;IF(NOT(ISNUMBER($G73)),"QUANTITE; ",IF(AND($C73="AJUSTEMENT",$G73=0),"QUANTITE &lt;&gt; 0; ",IF(AND($C73&lt;&gt;"AJUSTEMENT",$G73&lt;=0),"QUANTITE &gt; 0; ","")))&amp;IF(AND($C73="AJUSTEMENT",$H73=""),"MOTIF; ","")&amp;IF(AND(OR($C73="TRANSFERT",$C73="CONSOMMATION"),$E73=""),"EMPL. SOURCE; ","")&amp;IF(AND($C73&lt;&gt;"CONSOMMATION",$F73=""),"EMPL. DESTINATION; ","")&amp;IF(AND($C73="TRANSFERT",$E73&lt;&gt;"",$E73=$F73),"SOURCE = DESTINATION; ",""),IF($Q73="EMPLACEMENT INCOHERENT","Le lot "&amp;$D73&amp;" n'existe pas sur cet emplacement (stock 0). Verifier l'emplacement.",IF($Q73="STOCK INSUFFISANT","Disponible avant operation : "&amp;TEXT($P73,"#,##0.00")&amp;" kg. Ligne NON comptee en stock.",IF(COUNTIFS($B$5:$B$304,$B73,$C$5:$C$304,$C73,$D$5:$D$304,$D73,$G$5:$G$304,$G73)&gt;1,"Doublon possible (meme date, type, lot et quantite).",IF($K73="LOT NON REFERENCE","Creer d'abord la fiche du lot dans l'onglet LOTS.",""))))))</f>
        <v/>
      </c>
    </row>
    <row r="74" customFormat="false" ht="15" hidden="false" customHeight="false" outlineLevel="0" collapsed="false">
      <c r="A74" s="26" t="str">
        <f aca="false">IF($C74="","","OP-"&amp;TEXT(ROW()-4,"000"))</f>
        <v/>
      </c>
      <c r="B74" s="25"/>
      <c r="C74" s="24"/>
      <c r="D74" s="24"/>
      <c r="E74" s="24"/>
      <c r="F74" s="24"/>
      <c r="G74" s="29"/>
      <c r="H74" s="24"/>
      <c r="I74" s="24"/>
      <c r="J74" s="26" t="str">
        <f aca="false">IF($D74="","",IFERROR(INDEX(LOT_EXTE,MATCH($D74,LOT_KEY,0)),""))</f>
        <v/>
      </c>
      <c r="K74" s="26" t="str">
        <f aca="false">IF($D74="","",IFERROR(INDEX(LOT_PRODE,MATCH($D74,LOT_KEY,0)),"LOT NON REFERENCE"))</f>
        <v/>
      </c>
      <c r="L74" s="26" t="str">
        <f aca="false">IF($D74="","",IFERROR(INDEX(LOT_FOURNE,MATCH($D74,LOT_KEY,0)),""))</f>
        <v/>
      </c>
      <c r="M74" s="26" t="str">
        <f aca="false">IF($E74="","",IFERROR(INDEX(EMPL_CLASSE,MATCH($E74,EMPL_KEY,0)),"?"))</f>
        <v/>
      </c>
      <c r="N74" s="26" t="str">
        <f aca="false">IF($F74="","",IFERROR(INDEX(EMPL_CLASSE,MATCH($F74,EMPL_KEY,0)),"?"))</f>
        <v/>
      </c>
      <c r="O74" s="28" t="n">
        <f aca="false">IF($C74="",0,IF(OR($B74="",$D74=""),0,IF($C74="AJUSTEMENT",IF(OR(NOT(ISNUMBER($G74)),$G74=0,$F74="",$H74=""),0,1),IF(OR(NOT(ISNUMBER($G74)),$G74&lt;=0),0,IF($C74="RECEPTION",IF($F74="",0,1),IF($C74="CONSOMMATION",IF($E74="",0,1),IF(OR($E74="",$F74="",$E74=$F74),0,1)))))))</f>
        <v>0</v>
      </c>
      <c r="P74" s="27" t="str">
        <f aca="false">IF(OR($O74=0,$C74="RECEPTION"),"",IF($C74="AJUSTEMENT",IF($G74&gt;0,"",SUMIFS(MVT_BRUT,MVT_LOT,$D74,MVT_EMPL,$F74)-$G74),SUMIFS(MVT_BRUT,MVT_LOT,$D74,MVT_EMPL,$E74)+$G74))</f>
        <v/>
      </c>
      <c r="Q74" s="26" t="str">
        <f aca="false">IF($C74="","",IF($O74=0,"DONNEES MANQUANTES",IF($C74="RECEPTION","OK",IF(AND($C74="AJUSTEMENT",$G74&gt;0),"OK",IF($P74&lt;=0,"EMPLACEMENT INCOHERENT",IF(ABS($G74)&gt;$P74+0.001,"STOCK INSUFFISANT","OK"))))))</f>
        <v/>
      </c>
      <c r="R74" s="28" t="n">
        <f aca="false">IF($Q74="OK",1,0)</f>
        <v>0</v>
      </c>
      <c r="S74" s="26" t="str">
        <f aca="false">IF($C74="","",IF($O74=0,"A COMPLETER : "&amp;IF($B74="","DATE; ","")&amp;IF($D74="","LOT INTERNE; ","")&amp;IF(NOT(ISNUMBER($G74)),"QUANTITE; ",IF(AND($C74="AJUSTEMENT",$G74=0),"QUANTITE &lt;&gt; 0; ",IF(AND($C74&lt;&gt;"AJUSTEMENT",$G74&lt;=0),"QUANTITE &gt; 0; ","")))&amp;IF(AND($C74="AJUSTEMENT",$H74=""),"MOTIF; ","")&amp;IF(AND(OR($C74="TRANSFERT",$C74="CONSOMMATION"),$E74=""),"EMPL. SOURCE; ","")&amp;IF(AND($C74&lt;&gt;"CONSOMMATION",$F74=""),"EMPL. DESTINATION; ","")&amp;IF(AND($C74="TRANSFERT",$E74&lt;&gt;"",$E74=$F74),"SOURCE = DESTINATION; ",""),IF($Q74="EMPLACEMENT INCOHERENT","Le lot "&amp;$D74&amp;" n'existe pas sur cet emplacement (stock 0). Verifier l'emplacement.",IF($Q74="STOCK INSUFFISANT","Disponible avant operation : "&amp;TEXT($P74,"#,##0.00")&amp;" kg. Ligne NON comptee en stock.",IF(COUNTIFS($B$5:$B$304,$B74,$C$5:$C$304,$C74,$D$5:$D$304,$D74,$G$5:$G$304,$G74)&gt;1,"Doublon possible (meme date, type, lot et quantite).",IF($K74="LOT NON REFERENCE","Creer d'abord la fiche du lot dans l'onglet LOTS.",""))))))</f>
        <v/>
      </c>
    </row>
    <row r="75" customFormat="false" ht="15" hidden="false" customHeight="false" outlineLevel="0" collapsed="false">
      <c r="A75" s="26" t="str">
        <f aca="false">IF($C75="","","OP-"&amp;TEXT(ROW()-4,"000"))</f>
        <v/>
      </c>
      <c r="B75" s="25"/>
      <c r="C75" s="24"/>
      <c r="D75" s="24"/>
      <c r="E75" s="24"/>
      <c r="F75" s="24"/>
      <c r="G75" s="29"/>
      <c r="H75" s="24"/>
      <c r="I75" s="24"/>
      <c r="J75" s="26" t="str">
        <f aca="false">IF($D75="","",IFERROR(INDEX(LOT_EXTE,MATCH($D75,LOT_KEY,0)),""))</f>
        <v/>
      </c>
      <c r="K75" s="26" t="str">
        <f aca="false">IF($D75="","",IFERROR(INDEX(LOT_PRODE,MATCH($D75,LOT_KEY,0)),"LOT NON REFERENCE"))</f>
        <v/>
      </c>
      <c r="L75" s="26" t="str">
        <f aca="false">IF($D75="","",IFERROR(INDEX(LOT_FOURNE,MATCH($D75,LOT_KEY,0)),""))</f>
        <v/>
      </c>
      <c r="M75" s="26" t="str">
        <f aca="false">IF($E75="","",IFERROR(INDEX(EMPL_CLASSE,MATCH($E75,EMPL_KEY,0)),"?"))</f>
        <v/>
      </c>
      <c r="N75" s="26" t="str">
        <f aca="false">IF($F75="","",IFERROR(INDEX(EMPL_CLASSE,MATCH($F75,EMPL_KEY,0)),"?"))</f>
        <v/>
      </c>
      <c r="O75" s="28" t="n">
        <f aca="false">IF($C75="",0,IF(OR($B75="",$D75=""),0,IF($C75="AJUSTEMENT",IF(OR(NOT(ISNUMBER($G75)),$G75=0,$F75="",$H75=""),0,1),IF(OR(NOT(ISNUMBER($G75)),$G75&lt;=0),0,IF($C75="RECEPTION",IF($F75="",0,1),IF($C75="CONSOMMATION",IF($E75="",0,1),IF(OR($E75="",$F75="",$E75=$F75),0,1)))))))</f>
        <v>0</v>
      </c>
      <c r="P75" s="27" t="str">
        <f aca="false">IF(OR($O75=0,$C75="RECEPTION"),"",IF($C75="AJUSTEMENT",IF($G75&gt;0,"",SUMIFS(MVT_BRUT,MVT_LOT,$D75,MVT_EMPL,$F75)-$G75),SUMIFS(MVT_BRUT,MVT_LOT,$D75,MVT_EMPL,$E75)+$G75))</f>
        <v/>
      </c>
      <c r="Q75" s="26" t="str">
        <f aca="false">IF($C75="","",IF($O75=0,"DONNEES MANQUANTES",IF($C75="RECEPTION","OK",IF(AND($C75="AJUSTEMENT",$G75&gt;0),"OK",IF($P75&lt;=0,"EMPLACEMENT INCOHERENT",IF(ABS($G75)&gt;$P75+0.001,"STOCK INSUFFISANT","OK"))))))</f>
        <v/>
      </c>
      <c r="R75" s="28" t="n">
        <f aca="false">IF($Q75="OK",1,0)</f>
        <v>0</v>
      </c>
      <c r="S75" s="26" t="str">
        <f aca="false">IF($C75="","",IF($O75=0,"A COMPLETER : "&amp;IF($B75="","DATE; ","")&amp;IF($D75="","LOT INTERNE; ","")&amp;IF(NOT(ISNUMBER($G75)),"QUANTITE; ",IF(AND($C75="AJUSTEMENT",$G75=0),"QUANTITE &lt;&gt; 0; ",IF(AND($C75&lt;&gt;"AJUSTEMENT",$G75&lt;=0),"QUANTITE &gt; 0; ","")))&amp;IF(AND($C75="AJUSTEMENT",$H75=""),"MOTIF; ","")&amp;IF(AND(OR($C75="TRANSFERT",$C75="CONSOMMATION"),$E75=""),"EMPL. SOURCE; ","")&amp;IF(AND($C75&lt;&gt;"CONSOMMATION",$F75=""),"EMPL. DESTINATION; ","")&amp;IF(AND($C75="TRANSFERT",$E75&lt;&gt;"",$E75=$F75),"SOURCE = DESTINATION; ",""),IF($Q75="EMPLACEMENT INCOHERENT","Le lot "&amp;$D75&amp;" n'existe pas sur cet emplacement (stock 0). Verifier l'emplacement.",IF($Q75="STOCK INSUFFISANT","Disponible avant operation : "&amp;TEXT($P75,"#,##0.00")&amp;" kg. Ligne NON comptee en stock.",IF(COUNTIFS($B$5:$B$304,$B75,$C$5:$C$304,$C75,$D$5:$D$304,$D75,$G$5:$G$304,$G75)&gt;1,"Doublon possible (meme date, type, lot et quantite).",IF($K75="LOT NON REFERENCE","Creer d'abord la fiche du lot dans l'onglet LOTS.",""))))))</f>
        <v/>
      </c>
    </row>
    <row r="76" customFormat="false" ht="15" hidden="false" customHeight="false" outlineLevel="0" collapsed="false">
      <c r="A76" s="26" t="str">
        <f aca="false">IF($C76="","","OP-"&amp;TEXT(ROW()-4,"000"))</f>
        <v/>
      </c>
      <c r="B76" s="25"/>
      <c r="C76" s="24"/>
      <c r="D76" s="24"/>
      <c r="E76" s="24"/>
      <c r="F76" s="24"/>
      <c r="G76" s="29"/>
      <c r="H76" s="24"/>
      <c r="I76" s="24"/>
      <c r="J76" s="26" t="str">
        <f aca="false">IF($D76="","",IFERROR(INDEX(LOT_EXTE,MATCH($D76,LOT_KEY,0)),""))</f>
        <v/>
      </c>
      <c r="K76" s="26" t="str">
        <f aca="false">IF($D76="","",IFERROR(INDEX(LOT_PRODE,MATCH($D76,LOT_KEY,0)),"LOT NON REFERENCE"))</f>
        <v/>
      </c>
      <c r="L76" s="26" t="str">
        <f aca="false">IF($D76="","",IFERROR(INDEX(LOT_FOURNE,MATCH($D76,LOT_KEY,0)),""))</f>
        <v/>
      </c>
      <c r="M76" s="26" t="str">
        <f aca="false">IF($E76="","",IFERROR(INDEX(EMPL_CLASSE,MATCH($E76,EMPL_KEY,0)),"?"))</f>
        <v/>
      </c>
      <c r="N76" s="26" t="str">
        <f aca="false">IF($F76="","",IFERROR(INDEX(EMPL_CLASSE,MATCH($F76,EMPL_KEY,0)),"?"))</f>
        <v/>
      </c>
      <c r="O76" s="28" t="n">
        <f aca="false">IF($C76="",0,IF(OR($B76="",$D76=""),0,IF($C76="AJUSTEMENT",IF(OR(NOT(ISNUMBER($G76)),$G76=0,$F76="",$H76=""),0,1),IF(OR(NOT(ISNUMBER($G76)),$G76&lt;=0),0,IF($C76="RECEPTION",IF($F76="",0,1),IF($C76="CONSOMMATION",IF($E76="",0,1),IF(OR($E76="",$F76="",$E76=$F76),0,1)))))))</f>
        <v>0</v>
      </c>
      <c r="P76" s="27" t="str">
        <f aca="false">IF(OR($O76=0,$C76="RECEPTION"),"",IF($C76="AJUSTEMENT",IF($G76&gt;0,"",SUMIFS(MVT_BRUT,MVT_LOT,$D76,MVT_EMPL,$F76)-$G76),SUMIFS(MVT_BRUT,MVT_LOT,$D76,MVT_EMPL,$E76)+$G76))</f>
        <v/>
      </c>
      <c r="Q76" s="26" t="str">
        <f aca="false">IF($C76="","",IF($O76=0,"DONNEES MANQUANTES",IF($C76="RECEPTION","OK",IF(AND($C76="AJUSTEMENT",$G76&gt;0),"OK",IF($P76&lt;=0,"EMPLACEMENT INCOHERENT",IF(ABS($G76)&gt;$P76+0.001,"STOCK INSUFFISANT","OK"))))))</f>
        <v/>
      </c>
      <c r="R76" s="28" t="n">
        <f aca="false">IF($Q76="OK",1,0)</f>
        <v>0</v>
      </c>
      <c r="S76" s="26" t="str">
        <f aca="false">IF($C76="","",IF($O76=0,"A COMPLETER : "&amp;IF($B76="","DATE; ","")&amp;IF($D76="","LOT INTERNE; ","")&amp;IF(NOT(ISNUMBER($G76)),"QUANTITE; ",IF(AND($C76="AJUSTEMENT",$G76=0),"QUANTITE &lt;&gt; 0; ",IF(AND($C76&lt;&gt;"AJUSTEMENT",$G76&lt;=0),"QUANTITE &gt; 0; ","")))&amp;IF(AND($C76="AJUSTEMENT",$H76=""),"MOTIF; ","")&amp;IF(AND(OR($C76="TRANSFERT",$C76="CONSOMMATION"),$E76=""),"EMPL. SOURCE; ","")&amp;IF(AND($C76&lt;&gt;"CONSOMMATION",$F76=""),"EMPL. DESTINATION; ","")&amp;IF(AND($C76="TRANSFERT",$E76&lt;&gt;"",$E76=$F76),"SOURCE = DESTINATION; ",""),IF($Q76="EMPLACEMENT INCOHERENT","Le lot "&amp;$D76&amp;" n'existe pas sur cet emplacement (stock 0). Verifier l'emplacement.",IF($Q76="STOCK INSUFFISANT","Disponible avant operation : "&amp;TEXT($P76,"#,##0.00")&amp;" kg. Ligne NON comptee en stock.",IF(COUNTIFS($B$5:$B$304,$B76,$C$5:$C$304,$C76,$D$5:$D$304,$D76,$G$5:$G$304,$G76)&gt;1,"Doublon possible (meme date, type, lot et quantite).",IF($K76="LOT NON REFERENCE","Creer d'abord la fiche du lot dans l'onglet LOTS.",""))))))</f>
        <v/>
      </c>
    </row>
    <row r="77" customFormat="false" ht="15" hidden="false" customHeight="false" outlineLevel="0" collapsed="false">
      <c r="A77" s="26" t="str">
        <f aca="false">IF($C77="","","OP-"&amp;TEXT(ROW()-4,"000"))</f>
        <v/>
      </c>
      <c r="B77" s="25"/>
      <c r="C77" s="24"/>
      <c r="D77" s="24"/>
      <c r="E77" s="24"/>
      <c r="F77" s="24"/>
      <c r="G77" s="29"/>
      <c r="H77" s="24"/>
      <c r="I77" s="24"/>
      <c r="J77" s="26" t="str">
        <f aca="false">IF($D77="","",IFERROR(INDEX(LOT_EXTE,MATCH($D77,LOT_KEY,0)),""))</f>
        <v/>
      </c>
      <c r="K77" s="26" t="str">
        <f aca="false">IF($D77="","",IFERROR(INDEX(LOT_PRODE,MATCH($D77,LOT_KEY,0)),"LOT NON REFERENCE"))</f>
        <v/>
      </c>
      <c r="L77" s="26" t="str">
        <f aca="false">IF($D77="","",IFERROR(INDEX(LOT_FOURNE,MATCH($D77,LOT_KEY,0)),""))</f>
        <v/>
      </c>
      <c r="M77" s="26" t="str">
        <f aca="false">IF($E77="","",IFERROR(INDEX(EMPL_CLASSE,MATCH($E77,EMPL_KEY,0)),"?"))</f>
        <v/>
      </c>
      <c r="N77" s="26" t="str">
        <f aca="false">IF($F77="","",IFERROR(INDEX(EMPL_CLASSE,MATCH($F77,EMPL_KEY,0)),"?"))</f>
        <v/>
      </c>
      <c r="O77" s="28" t="n">
        <f aca="false">IF($C77="",0,IF(OR($B77="",$D77=""),0,IF($C77="AJUSTEMENT",IF(OR(NOT(ISNUMBER($G77)),$G77=0,$F77="",$H77=""),0,1),IF(OR(NOT(ISNUMBER($G77)),$G77&lt;=0),0,IF($C77="RECEPTION",IF($F77="",0,1),IF($C77="CONSOMMATION",IF($E77="",0,1),IF(OR($E77="",$F77="",$E77=$F77),0,1)))))))</f>
        <v>0</v>
      </c>
      <c r="P77" s="27" t="str">
        <f aca="false">IF(OR($O77=0,$C77="RECEPTION"),"",IF($C77="AJUSTEMENT",IF($G77&gt;0,"",SUMIFS(MVT_BRUT,MVT_LOT,$D77,MVT_EMPL,$F77)-$G77),SUMIFS(MVT_BRUT,MVT_LOT,$D77,MVT_EMPL,$E77)+$G77))</f>
        <v/>
      </c>
      <c r="Q77" s="26" t="str">
        <f aca="false">IF($C77="","",IF($O77=0,"DONNEES MANQUANTES",IF($C77="RECEPTION","OK",IF(AND($C77="AJUSTEMENT",$G77&gt;0),"OK",IF($P77&lt;=0,"EMPLACEMENT INCOHERENT",IF(ABS($G77)&gt;$P77+0.001,"STOCK INSUFFISANT","OK"))))))</f>
        <v/>
      </c>
      <c r="R77" s="28" t="n">
        <f aca="false">IF($Q77="OK",1,0)</f>
        <v>0</v>
      </c>
      <c r="S77" s="26" t="str">
        <f aca="false">IF($C77="","",IF($O77=0,"A COMPLETER : "&amp;IF($B77="","DATE; ","")&amp;IF($D77="","LOT INTERNE; ","")&amp;IF(NOT(ISNUMBER($G77)),"QUANTITE; ",IF(AND($C77="AJUSTEMENT",$G77=0),"QUANTITE &lt;&gt; 0; ",IF(AND($C77&lt;&gt;"AJUSTEMENT",$G77&lt;=0),"QUANTITE &gt; 0; ","")))&amp;IF(AND($C77="AJUSTEMENT",$H77=""),"MOTIF; ","")&amp;IF(AND(OR($C77="TRANSFERT",$C77="CONSOMMATION"),$E77=""),"EMPL. SOURCE; ","")&amp;IF(AND($C77&lt;&gt;"CONSOMMATION",$F77=""),"EMPL. DESTINATION; ","")&amp;IF(AND($C77="TRANSFERT",$E77&lt;&gt;"",$E77=$F77),"SOURCE = DESTINATION; ",""),IF($Q77="EMPLACEMENT INCOHERENT","Le lot "&amp;$D77&amp;" n'existe pas sur cet emplacement (stock 0). Verifier l'emplacement.",IF($Q77="STOCK INSUFFISANT","Disponible avant operation : "&amp;TEXT($P77,"#,##0.00")&amp;" kg. Ligne NON comptee en stock.",IF(COUNTIFS($B$5:$B$304,$B77,$C$5:$C$304,$C77,$D$5:$D$304,$D77,$G$5:$G$304,$G77)&gt;1,"Doublon possible (meme date, type, lot et quantite).",IF($K77="LOT NON REFERENCE","Creer d'abord la fiche du lot dans l'onglet LOTS.",""))))))</f>
        <v/>
      </c>
    </row>
    <row r="78" customFormat="false" ht="15" hidden="false" customHeight="false" outlineLevel="0" collapsed="false">
      <c r="A78" s="26" t="str">
        <f aca="false">IF($C78="","","OP-"&amp;TEXT(ROW()-4,"000"))</f>
        <v/>
      </c>
      <c r="B78" s="25"/>
      <c r="C78" s="24"/>
      <c r="D78" s="24"/>
      <c r="E78" s="24"/>
      <c r="F78" s="24"/>
      <c r="G78" s="29"/>
      <c r="H78" s="24"/>
      <c r="I78" s="24"/>
      <c r="J78" s="26" t="str">
        <f aca="false">IF($D78="","",IFERROR(INDEX(LOT_EXTE,MATCH($D78,LOT_KEY,0)),""))</f>
        <v/>
      </c>
      <c r="K78" s="26" t="str">
        <f aca="false">IF($D78="","",IFERROR(INDEX(LOT_PRODE,MATCH($D78,LOT_KEY,0)),"LOT NON REFERENCE"))</f>
        <v/>
      </c>
      <c r="L78" s="26" t="str">
        <f aca="false">IF($D78="","",IFERROR(INDEX(LOT_FOURNE,MATCH($D78,LOT_KEY,0)),""))</f>
        <v/>
      </c>
      <c r="M78" s="26" t="str">
        <f aca="false">IF($E78="","",IFERROR(INDEX(EMPL_CLASSE,MATCH($E78,EMPL_KEY,0)),"?"))</f>
        <v/>
      </c>
      <c r="N78" s="26" t="str">
        <f aca="false">IF($F78="","",IFERROR(INDEX(EMPL_CLASSE,MATCH($F78,EMPL_KEY,0)),"?"))</f>
        <v/>
      </c>
      <c r="O78" s="28" t="n">
        <f aca="false">IF($C78="",0,IF(OR($B78="",$D78=""),0,IF($C78="AJUSTEMENT",IF(OR(NOT(ISNUMBER($G78)),$G78=0,$F78="",$H78=""),0,1),IF(OR(NOT(ISNUMBER($G78)),$G78&lt;=0),0,IF($C78="RECEPTION",IF($F78="",0,1),IF($C78="CONSOMMATION",IF($E78="",0,1),IF(OR($E78="",$F78="",$E78=$F78),0,1)))))))</f>
        <v>0</v>
      </c>
      <c r="P78" s="27" t="str">
        <f aca="false">IF(OR($O78=0,$C78="RECEPTION"),"",IF($C78="AJUSTEMENT",IF($G78&gt;0,"",SUMIFS(MVT_BRUT,MVT_LOT,$D78,MVT_EMPL,$F78)-$G78),SUMIFS(MVT_BRUT,MVT_LOT,$D78,MVT_EMPL,$E78)+$G78))</f>
        <v/>
      </c>
      <c r="Q78" s="26" t="str">
        <f aca="false">IF($C78="","",IF($O78=0,"DONNEES MANQUANTES",IF($C78="RECEPTION","OK",IF(AND($C78="AJUSTEMENT",$G78&gt;0),"OK",IF($P78&lt;=0,"EMPLACEMENT INCOHERENT",IF(ABS($G78)&gt;$P78+0.001,"STOCK INSUFFISANT","OK"))))))</f>
        <v/>
      </c>
      <c r="R78" s="28" t="n">
        <f aca="false">IF($Q78="OK",1,0)</f>
        <v>0</v>
      </c>
      <c r="S78" s="26" t="str">
        <f aca="false">IF($C78="","",IF($O78=0,"A COMPLETER : "&amp;IF($B78="","DATE; ","")&amp;IF($D78="","LOT INTERNE; ","")&amp;IF(NOT(ISNUMBER($G78)),"QUANTITE; ",IF(AND($C78="AJUSTEMENT",$G78=0),"QUANTITE &lt;&gt; 0; ",IF(AND($C78&lt;&gt;"AJUSTEMENT",$G78&lt;=0),"QUANTITE &gt; 0; ","")))&amp;IF(AND($C78="AJUSTEMENT",$H78=""),"MOTIF; ","")&amp;IF(AND(OR($C78="TRANSFERT",$C78="CONSOMMATION"),$E78=""),"EMPL. SOURCE; ","")&amp;IF(AND($C78&lt;&gt;"CONSOMMATION",$F78=""),"EMPL. DESTINATION; ","")&amp;IF(AND($C78="TRANSFERT",$E78&lt;&gt;"",$E78=$F78),"SOURCE = DESTINATION; ",""),IF($Q78="EMPLACEMENT INCOHERENT","Le lot "&amp;$D78&amp;" n'existe pas sur cet emplacement (stock 0). Verifier l'emplacement.",IF($Q78="STOCK INSUFFISANT","Disponible avant operation : "&amp;TEXT($P78,"#,##0.00")&amp;" kg. Ligne NON comptee en stock.",IF(COUNTIFS($B$5:$B$304,$B78,$C$5:$C$304,$C78,$D$5:$D$304,$D78,$G$5:$G$304,$G78)&gt;1,"Doublon possible (meme date, type, lot et quantite).",IF($K78="LOT NON REFERENCE","Creer d'abord la fiche du lot dans l'onglet LOTS.",""))))))</f>
        <v/>
      </c>
    </row>
    <row r="79" customFormat="false" ht="15" hidden="false" customHeight="false" outlineLevel="0" collapsed="false">
      <c r="A79" s="26" t="str">
        <f aca="false">IF($C79="","","OP-"&amp;TEXT(ROW()-4,"000"))</f>
        <v/>
      </c>
      <c r="B79" s="25"/>
      <c r="C79" s="24"/>
      <c r="D79" s="24"/>
      <c r="E79" s="24"/>
      <c r="F79" s="24"/>
      <c r="G79" s="29"/>
      <c r="H79" s="24"/>
      <c r="I79" s="24"/>
      <c r="J79" s="26" t="str">
        <f aca="false">IF($D79="","",IFERROR(INDEX(LOT_EXTE,MATCH($D79,LOT_KEY,0)),""))</f>
        <v/>
      </c>
      <c r="K79" s="26" t="str">
        <f aca="false">IF($D79="","",IFERROR(INDEX(LOT_PRODE,MATCH($D79,LOT_KEY,0)),"LOT NON REFERENCE"))</f>
        <v/>
      </c>
      <c r="L79" s="26" t="str">
        <f aca="false">IF($D79="","",IFERROR(INDEX(LOT_FOURNE,MATCH($D79,LOT_KEY,0)),""))</f>
        <v/>
      </c>
      <c r="M79" s="26" t="str">
        <f aca="false">IF($E79="","",IFERROR(INDEX(EMPL_CLASSE,MATCH($E79,EMPL_KEY,0)),"?"))</f>
        <v/>
      </c>
      <c r="N79" s="26" t="str">
        <f aca="false">IF($F79="","",IFERROR(INDEX(EMPL_CLASSE,MATCH($F79,EMPL_KEY,0)),"?"))</f>
        <v/>
      </c>
      <c r="O79" s="28" t="n">
        <f aca="false">IF($C79="",0,IF(OR($B79="",$D79=""),0,IF($C79="AJUSTEMENT",IF(OR(NOT(ISNUMBER($G79)),$G79=0,$F79="",$H79=""),0,1),IF(OR(NOT(ISNUMBER($G79)),$G79&lt;=0),0,IF($C79="RECEPTION",IF($F79="",0,1),IF($C79="CONSOMMATION",IF($E79="",0,1),IF(OR($E79="",$F79="",$E79=$F79),0,1)))))))</f>
        <v>0</v>
      </c>
      <c r="P79" s="27" t="str">
        <f aca="false">IF(OR($O79=0,$C79="RECEPTION"),"",IF($C79="AJUSTEMENT",IF($G79&gt;0,"",SUMIFS(MVT_BRUT,MVT_LOT,$D79,MVT_EMPL,$F79)-$G79),SUMIFS(MVT_BRUT,MVT_LOT,$D79,MVT_EMPL,$E79)+$G79))</f>
        <v/>
      </c>
      <c r="Q79" s="26" t="str">
        <f aca="false">IF($C79="","",IF($O79=0,"DONNEES MANQUANTES",IF($C79="RECEPTION","OK",IF(AND($C79="AJUSTEMENT",$G79&gt;0),"OK",IF($P79&lt;=0,"EMPLACEMENT INCOHERENT",IF(ABS($G79)&gt;$P79+0.001,"STOCK INSUFFISANT","OK"))))))</f>
        <v/>
      </c>
      <c r="R79" s="28" t="n">
        <f aca="false">IF($Q79="OK",1,0)</f>
        <v>0</v>
      </c>
      <c r="S79" s="26" t="str">
        <f aca="false">IF($C79="","",IF($O79=0,"A COMPLETER : "&amp;IF($B79="","DATE; ","")&amp;IF($D79="","LOT INTERNE; ","")&amp;IF(NOT(ISNUMBER($G79)),"QUANTITE; ",IF(AND($C79="AJUSTEMENT",$G79=0),"QUANTITE &lt;&gt; 0; ",IF(AND($C79&lt;&gt;"AJUSTEMENT",$G79&lt;=0),"QUANTITE &gt; 0; ","")))&amp;IF(AND($C79="AJUSTEMENT",$H79=""),"MOTIF; ","")&amp;IF(AND(OR($C79="TRANSFERT",$C79="CONSOMMATION"),$E79=""),"EMPL. SOURCE; ","")&amp;IF(AND($C79&lt;&gt;"CONSOMMATION",$F79=""),"EMPL. DESTINATION; ","")&amp;IF(AND($C79="TRANSFERT",$E79&lt;&gt;"",$E79=$F79),"SOURCE = DESTINATION; ",""),IF($Q79="EMPLACEMENT INCOHERENT","Le lot "&amp;$D79&amp;" n'existe pas sur cet emplacement (stock 0). Verifier l'emplacement.",IF($Q79="STOCK INSUFFISANT","Disponible avant operation : "&amp;TEXT($P79,"#,##0.00")&amp;" kg. Ligne NON comptee en stock.",IF(COUNTIFS($B$5:$B$304,$B79,$C$5:$C$304,$C79,$D$5:$D$304,$D79,$G$5:$G$304,$G79)&gt;1,"Doublon possible (meme date, type, lot et quantite).",IF($K79="LOT NON REFERENCE","Creer d'abord la fiche du lot dans l'onglet LOTS.",""))))))</f>
        <v/>
      </c>
    </row>
    <row r="80" customFormat="false" ht="15" hidden="false" customHeight="false" outlineLevel="0" collapsed="false">
      <c r="A80" s="26" t="str">
        <f aca="false">IF($C80="","","OP-"&amp;TEXT(ROW()-4,"000"))</f>
        <v/>
      </c>
      <c r="B80" s="25"/>
      <c r="C80" s="24"/>
      <c r="D80" s="24"/>
      <c r="E80" s="24"/>
      <c r="F80" s="24"/>
      <c r="G80" s="29"/>
      <c r="H80" s="24"/>
      <c r="I80" s="24"/>
      <c r="J80" s="26" t="str">
        <f aca="false">IF($D80="","",IFERROR(INDEX(LOT_EXTE,MATCH($D80,LOT_KEY,0)),""))</f>
        <v/>
      </c>
      <c r="K80" s="26" t="str">
        <f aca="false">IF($D80="","",IFERROR(INDEX(LOT_PRODE,MATCH($D80,LOT_KEY,0)),"LOT NON REFERENCE"))</f>
        <v/>
      </c>
      <c r="L80" s="26" t="str">
        <f aca="false">IF($D80="","",IFERROR(INDEX(LOT_FOURNE,MATCH($D80,LOT_KEY,0)),""))</f>
        <v/>
      </c>
      <c r="M80" s="26" t="str">
        <f aca="false">IF($E80="","",IFERROR(INDEX(EMPL_CLASSE,MATCH($E80,EMPL_KEY,0)),"?"))</f>
        <v/>
      </c>
      <c r="N80" s="26" t="str">
        <f aca="false">IF($F80="","",IFERROR(INDEX(EMPL_CLASSE,MATCH($F80,EMPL_KEY,0)),"?"))</f>
        <v/>
      </c>
      <c r="O80" s="28" t="n">
        <f aca="false">IF($C80="",0,IF(OR($B80="",$D80=""),0,IF($C80="AJUSTEMENT",IF(OR(NOT(ISNUMBER($G80)),$G80=0,$F80="",$H80=""),0,1),IF(OR(NOT(ISNUMBER($G80)),$G80&lt;=0),0,IF($C80="RECEPTION",IF($F80="",0,1),IF($C80="CONSOMMATION",IF($E80="",0,1),IF(OR($E80="",$F80="",$E80=$F80),0,1)))))))</f>
        <v>0</v>
      </c>
      <c r="P80" s="27" t="str">
        <f aca="false">IF(OR($O80=0,$C80="RECEPTION"),"",IF($C80="AJUSTEMENT",IF($G80&gt;0,"",SUMIFS(MVT_BRUT,MVT_LOT,$D80,MVT_EMPL,$F80)-$G80),SUMIFS(MVT_BRUT,MVT_LOT,$D80,MVT_EMPL,$E80)+$G80))</f>
        <v/>
      </c>
      <c r="Q80" s="26" t="str">
        <f aca="false">IF($C80="","",IF($O80=0,"DONNEES MANQUANTES",IF($C80="RECEPTION","OK",IF(AND($C80="AJUSTEMENT",$G80&gt;0),"OK",IF($P80&lt;=0,"EMPLACEMENT INCOHERENT",IF(ABS($G80)&gt;$P80+0.001,"STOCK INSUFFISANT","OK"))))))</f>
        <v/>
      </c>
      <c r="R80" s="28" t="n">
        <f aca="false">IF($Q80="OK",1,0)</f>
        <v>0</v>
      </c>
      <c r="S80" s="26" t="str">
        <f aca="false">IF($C80="","",IF($O80=0,"A COMPLETER : "&amp;IF($B80="","DATE; ","")&amp;IF($D80="","LOT INTERNE; ","")&amp;IF(NOT(ISNUMBER($G80)),"QUANTITE; ",IF(AND($C80="AJUSTEMENT",$G80=0),"QUANTITE &lt;&gt; 0; ",IF(AND($C80&lt;&gt;"AJUSTEMENT",$G80&lt;=0),"QUANTITE &gt; 0; ","")))&amp;IF(AND($C80="AJUSTEMENT",$H80=""),"MOTIF; ","")&amp;IF(AND(OR($C80="TRANSFERT",$C80="CONSOMMATION"),$E80=""),"EMPL. SOURCE; ","")&amp;IF(AND($C80&lt;&gt;"CONSOMMATION",$F80=""),"EMPL. DESTINATION; ","")&amp;IF(AND($C80="TRANSFERT",$E80&lt;&gt;"",$E80=$F80),"SOURCE = DESTINATION; ",""),IF($Q80="EMPLACEMENT INCOHERENT","Le lot "&amp;$D80&amp;" n'existe pas sur cet emplacement (stock 0). Verifier l'emplacement.",IF($Q80="STOCK INSUFFISANT","Disponible avant operation : "&amp;TEXT($P80,"#,##0.00")&amp;" kg. Ligne NON comptee en stock.",IF(COUNTIFS($B$5:$B$304,$B80,$C$5:$C$304,$C80,$D$5:$D$304,$D80,$G$5:$G$304,$G80)&gt;1,"Doublon possible (meme date, type, lot et quantite).",IF($K80="LOT NON REFERENCE","Creer d'abord la fiche du lot dans l'onglet LOTS.",""))))))</f>
        <v/>
      </c>
    </row>
    <row r="81" customFormat="false" ht="15" hidden="false" customHeight="false" outlineLevel="0" collapsed="false">
      <c r="A81" s="26" t="str">
        <f aca="false">IF($C81="","","OP-"&amp;TEXT(ROW()-4,"000"))</f>
        <v/>
      </c>
      <c r="B81" s="25"/>
      <c r="C81" s="24"/>
      <c r="D81" s="24"/>
      <c r="E81" s="24"/>
      <c r="F81" s="24"/>
      <c r="G81" s="29"/>
      <c r="H81" s="24"/>
      <c r="I81" s="24"/>
      <c r="J81" s="26" t="str">
        <f aca="false">IF($D81="","",IFERROR(INDEX(LOT_EXTE,MATCH($D81,LOT_KEY,0)),""))</f>
        <v/>
      </c>
      <c r="K81" s="26" t="str">
        <f aca="false">IF($D81="","",IFERROR(INDEX(LOT_PRODE,MATCH($D81,LOT_KEY,0)),"LOT NON REFERENCE"))</f>
        <v/>
      </c>
      <c r="L81" s="26" t="str">
        <f aca="false">IF($D81="","",IFERROR(INDEX(LOT_FOURNE,MATCH($D81,LOT_KEY,0)),""))</f>
        <v/>
      </c>
      <c r="M81" s="26" t="str">
        <f aca="false">IF($E81="","",IFERROR(INDEX(EMPL_CLASSE,MATCH($E81,EMPL_KEY,0)),"?"))</f>
        <v/>
      </c>
      <c r="N81" s="26" t="str">
        <f aca="false">IF($F81="","",IFERROR(INDEX(EMPL_CLASSE,MATCH($F81,EMPL_KEY,0)),"?"))</f>
        <v/>
      </c>
      <c r="O81" s="28" t="n">
        <f aca="false">IF($C81="",0,IF(OR($B81="",$D81=""),0,IF($C81="AJUSTEMENT",IF(OR(NOT(ISNUMBER($G81)),$G81=0,$F81="",$H81=""),0,1),IF(OR(NOT(ISNUMBER($G81)),$G81&lt;=0),0,IF($C81="RECEPTION",IF($F81="",0,1),IF($C81="CONSOMMATION",IF($E81="",0,1),IF(OR($E81="",$F81="",$E81=$F81),0,1)))))))</f>
        <v>0</v>
      </c>
      <c r="P81" s="27" t="str">
        <f aca="false">IF(OR($O81=0,$C81="RECEPTION"),"",IF($C81="AJUSTEMENT",IF($G81&gt;0,"",SUMIFS(MVT_BRUT,MVT_LOT,$D81,MVT_EMPL,$F81)-$G81),SUMIFS(MVT_BRUT,MVT_LOT,$D81,MVT_EMPL,$E81)+$G81))</f>
        <v/>
      </c>
      <c r="Q81" s="26" t="str">
        <f aca="false">IF($C81="","",IF($O81=0,"DONNEES MANQUANTES",IF($C81="RECEPTION","OK",IF(AND($C81="AJUSTEMENT",$G81&gt;0),"OK",IF($P81&lt;=0,"EMPLACEMENT INCOHERENT",IF(ABS($G81)&gt;$P81+0.001,"STOCK INSUFFISANT","OK"))))))</f>
        <v/>
      </c>
      <c r="R81" s="28" t="n">
        <f aca="false">IF($Q81="OK",1,0)</f>
        <v>0</v>
      </c>
      <c r="S81" s="26" t="str">
        <f aca="false">IF($C81="","",IF($O81=0,"A COMPLETER : "&amp;IF($B81="","DATE; ","")&amp;IF($D81="","LOT INTERNE; ","")&amp;IF(NOT(ISNUMBER($G81)),"QUANTITE; ",IF(AND($C81="AJUSTEMENT",$G81=0),"QUANTITE &lt;&gt; 0; ",IF(AND($C81&lt;&gt;"AJUSTEMENT",$G81&lt;=0),"QUANTITE &gt; 0; ","")))&amp;IF(AND($C81="AJUSTEMENT",$H81=""),"MOTIF; ","")&amp;IF(AND(OR($C81="TRANSFERT",$C81="CONSOMMATION"),$E81=""),"EMPL. SOURCE; ","")&amp;IF(AND($C81&lt;&gt;"CONSOMMATION",$F81=""),"EMPL. DESTINATION; ","")&amp;IF(AND($C81="TRANSFERT",$E81&lt;&gt;"",$E81=$F81),"SOURCE = DESTINATION; ",""),IF($Q81="EMPLACEMENT INCOHERENT","Le lot "&amp;$D81&amp;" n'existe pas sur cet emplacement (stock 0). Verifier l'emplacement.",IF($Q81="STOCK INSUFFISANT","Disponible avant operation : "&amp;TEXT($P81,"#,##0.00")&amp;" kg. Ligne NON comptee en stock.",IF(COUNTIFS($B$5:$B$304,$B81,$C$5:$C$304,$C81,$D$5:$D$304,$D81,$G$5:$G$304,$G81)&gt;1,"Doublon possible (meme date, type, lot et quantite).",IF($K81="LOT NON REFERENCE","Creer d'abord la fiche du lot dans l'onglet LOTS.",""))))))</f>
        <v/>
      </c>
    </row>
    <row r="82" customFormat="false" ht="15" hidden="false" customHeight="false" outlineLevel="0" collapsed="false">
      <c r="A82" s="26" t="str">
        <f aca="false">IF($C82="","","OP-"&amp;TEXT(ROW()-4,"000"))</f>
        <v/>
      </c>
      <c r="B82" s="25"/>
      <c r="C82" s="24"/>
      <c r="D82" s="24"/>
      <c r="E82" s="24"/>
      <c r="F82" s="24"/>
      <c r="G82" s="29"/>
      <c r="H82" s="24"/>
      <c r="I82" s="24"/>
      <c r="J82" s="26" t="str">
        <f aca="false">IF($D82="","",IFERROR(INDEX(LOT_EXTE,MATCH($D82,LOT_KEY,0)),""))</f>
        <v/>
      </c>
      <c r="K82" s="26" t="str">
        <f aca="false">IF($D82="","",IFERROR(INDEX(LOT_PRODE,MATCH($D82,LOT_KEY,0)),"LOT NON REFERENCE"))</f>
        <v/>
      </c>
      <c r="L82" s="26" t="str">
        <f aca="false">IF($D82="","",IFERROR(INDEX(LOT_FOURNE,MATCH($D82,LOT_KEY,0)),""))</f>
        <v/>
      </c>
      <c r="M82" s="26" t="str">
        <f aca="false">IF($E82="","",IFERROR(INDEX(EMPL_CLASSE,MATCH($E82,EMPL_KEY,0)),"?"))</f>
        <v/>
      </c>
      <c r="N82" s="26" t="str">
        <f aca="false">IF($F82="","",IFERROR(INDEX(EMPL_CLASSE,MATCH($F82,EMPL_KEY,0)),"?"))</f>
        <v/>
      </c>
      <c r="O82" s="28" t="n">
        <f aca="false">IF($C82="",0,IF(OR($B82="",$D82=""),0,IF($C82="AJUSTEMENT",IF(OR(NOT(ISNUMBER($G82)),$G82=0,$F82="",$H82=""),0,1),IF(OR(NOT(ISNUMBER($G82)),$G82&lt;=0),0,IF($C82="RECEPTION",IF($F82="",0,1),IF($C82="CONSOMMATION",IF($E82="",0,1),IF(OR($E82="",$F82="",$E82=$F82),0,1)))))))</f>
        <v>0</v>
      </c>
      <c r="P82" s="27" t="str">
        <f aca="false">IF(OR($O82=0,$C82="RECEPTION"),"",IF($C82="AJUSTEMENT",IF($G82&gt;0,"",SUMIFS(MVT_BRUT,MVT_LOT,$D82,MVT_EMPL,$F82)-$G82),SUMIFS(MVT_BRUT,MVT_LOT,$D82,MVT_EMPL,$E82)+$G82))</f>
        <v/>
      </c>
      <c r="Q82" s="26" t="str">
        <f aca="false">IF($C82="","",IF($O82=0,"DONNEES MANQUANTES",IF($C82="RECEPTION","OK",IF(AND($C82="AJUSTEMENT",$G82&gt;0),"OK",IF($P82&lt;=0,"EMPLACEMENT INCOHERENT",IF(ABS($G82)&gt;$P82+0.001,"STOCK INSUFFISANT","OK"))))))</f>
        <v/>
      </c>
      <c r="R82" s="28" t="n">
        <f aca="false">IF($Q82="OK",1,0)</f>
        <v>0</v>
      </c>
      <c r="S82" s="26" t="str">
        <f aca="false">IF($C82="","",IF($O82=0,"A COMPLETER : "&amp;IF($B82="","DATE; ","")&amp;IF($D82="","LOT INTERNE; ","")&amp;IF(NOT(ISNUMBER($G82)),"QUANTITE; ",IF(AND($C82="AJUSTEMENT",$G82=0),"QUANTITE &lt;&gt; 0; ",IF(AND($C82&lt;&gt;"AJUSTEMENT",$G82&lt;=0),"QUANTITE &gt; 0; ","")))&amp;IF(AND($C82="AJUSTEMENT",$H82=""),"MOTIF; ","")&amp;IF(AND(OR($C82="TRANSFERT",$C82="CONSOMMATION"),$E82=""),"EMPL. SOURCE; ","")&amp;IF(AND($C82&lt;&gt;"CONSOMMATION",$F82=""),"EMPL. DESTINATION; ","")&amp;IF(AND($C82="TRANSFERT",$E82&lt;&gt;"",$E82=$F82),"SOURCE = DESTINATION; ",""),IF($Q82="EMPLACEMENT INCOHERENT","Le lot "&amp;$D82&amp;" n'existe pas sur cet emplacement (stock 0). Verifier l'emplacement.",IF($Q82="STOCK INSUFFISANT","Disponible avant operation : "&amp;TEXT($P82,"#,##0.00")&amp;" kg. Ligne NON comptee en stock.",IF(COUNTIFS($B$5:$B$304,$B82,$C$5:$C$304,$C82,$D$5:$D$304,$D82,$G$5:$G$304,$G82)&gt;1,"Doublon possible (meme date, type, lot et quantite).",IF($K82="LOT NON REFERENCE","Creer d'abord la fiche du lot dans l'onglet LOTS.",""))))))</f>
        <v/>
      </c>
    </row>
    <row r="83" customFormat="false" ht="15" hidden="false" customHeight="false" outlineLevel="0" collapsed="false">
      <c r="A83" s="26" t="str">
        <f aca="false">IF($C83="","","OP-"&amp;TEXT(ROW()-4,"000"))</f>
        <v/>
      </c>
      <c r="B83" s="25"/>
      <c r="C83" s="24"/>
      <c r="D83" s="24"/>
      <c r="E83" s="24"/>
      <c r="F83" s="24"/>
      <c r="G83" s="29"/>
      <c r="H83" s="24"/>
      <c r="I83" s="24"/>
      <c r="J83" s="26" t="str">
        <f aca="false">IF($D83="","",IFERROR(INDEX(LOT_EXTE,MATCH($D83,LOT_KEY,0)),""))</f>
        <v/>
      </c>
      <c r="K83" s="26" t="str">
        <f aca="false">IF($D83="","",IFERROR(INDEX(LOT_PRODE,MATCH($D83,LOT_KEY,0)),"LOT NON REFERENCE"))</f>
        <v/>
      </c>
      <c r="L83" s="26" t="str">
        <f aca="false">IF($D83="","",IFERROR(INDEX(LOT_FOURNE,MATCH($D83,LOT_KEY,0)),""))</f>
        <v/>
      </c>
      <c r="M83" s="26" t="str">
        <f aca="false">IF($E83="","",IFERROR(INDEX(EMPL_CLASSE,MATCH($E83,EMPL_KEY,0)),"?"))</f>
        <v/>
      </c>
      <c r="N83" s="26" t="str">
        <f aca="false">IF($F83="","",IFERROR(INDEX(EMPL_CLASSE,MATCH($F83,EMPL_KEY,0)),"?"))</f>
        <v/>
      </c>
      <c r="O83" s="28" t="n">
        <f aca="false">IF($C83="",0,IF(OR($B83="",$D83=""),0,IF($C83="AJUSTEMENT",IF(OR(NOT(ISNUMBER($G83)),$G83=0,$F83="",$H83=""),0,1),IF(OR(NOT(ISNUMBER($G83)),$G83&lt;=0),0,IF($C83="RECEPTION",IF($F83="",0,1),IF($C83="CONSOMMATION",IF($E83="",0,1),IF(OR($E83="",$F83="",$E83=$F83),0,1)))))))</f>
        <v>0</v>
      </c>
      <c r="P83" s="27" t="str">
        <f aca="false">IF(OR($O83=0,$C83="RECEPTION"),"",IF($C83="AJUSTEMENT",IF($G83&gt;0,"",SUMIFS(MVT_BRUT,MVT_LOT,$D83,MVT_EMPL,$F83)-$G83),SUMIFS(MVT_BRUT,MVT_LOT,$D83,MVT_EMPL,$E83)+$G83))</f>
        <v/>
      </c>
      <c r="Q83" s="26" t="str">
        <f aca="false">IF($C83="","",IF($O83=0,"DONNEES MANQUANTES",IF($C83="RECEPTION","OK",IF(AND($C83="AJUSTEMENT",$G83&gt;0),"OK",IF($P83&lt;=0,"EMPLACEMENT INCOHERENT",IF(ABS($G83)&gt;$P83+0.001,"STOCK INSUFFISANT","OK"))))))</f>
        <v/>
      </c>
      <c r="R83" s="28" t="n">
        <f aca="false">IF($Q83="OK",1,0)</f>
        <v>0</v>
      </c>
      <c r="S83" s="26" t="str">
        <f aca="false">IF($C83="","",IF($O83=0,"A COMPLETER : "&amp;IF($B83="","DATE; ","")&amp;IF($D83="","LOT INTERNE; ","")&amp;IF(NOT(ISNUMBER($G83)),"QUANTITE; ",IF(AND($C83="AJUSTEMENT",$G83=0),"QUANTITE &lt;&gt; 0; ",IF(AND($C83&lt;&gt;"AJUSTEMENT",$G83&lt;=0),"QUANTITE &gt; 0; ","")))&amp;IF(AND($C83="AJUSTEMENT",$H83=""),"MOTIF; ","")&amp;IF(AND(OR($C83="TRANSFERT",$C83="CONSOMMATION"),$E83=""),"EMPL. SOURCE; ","")&amp;IF(AND($C83&lt;&gt;"CONSOMMATION",$F83=""),"EMPL. DESTINATION; ","")&amp;IF(AND($C83="TRANSFERT",$E83&lt;&gt;"",$E83=$F83),"SOURCE = DESTINATION; ",""),IF($Q83="EMPLACEMENT INCOHERENT","Le lot "&amp;$D83&amp;" n'existe pas sur cet emplacement (stock 0). Verifier l'emplacement.",IF($Q83="STOCK INSUFFISANT","Disponible avant operation : "&amp;TEXT($P83,"#,##0.00")&amp;" kg. Ligne NON comptee en stock.",IF(COUNTIFS($B$5:$B$304,$B83,$C$5:$C$304,$C83,$D$5:$D$304,$D83,$G$5:$G$304,$G83)&gt;1,"Doublon possible (meme date, type, lot et quantite).",IF($K83="LOT NON REFERENCE","Creer d'abord la fiche du lot dans l'onglet LOTS.",""))))))</f>
        <v/>
      </c>
    </row>
    <row r="84" customFormat="false" ht="15" hidden="false" customHeight="false" outlineLevel="0" collapsed="false">
      <c r="A84" s="26" t="str">
        <f aca="false">IF($C84="","","OP-"&amp;TEXT(ROW()-4,"000"))</f>
        <v/>
      </c>
      <c r="B84" s="25"/>
      <c r="C84" s="24"/>
      <c r="D84" s="24"/>
      <c r="E84" s="24"/>
      <c r="F84" s="24"/>
      <c r="G84" s="29"/>
      <c r="H84" s="24"/>
      <c r="I84" s="24"/>
      <c r="J84" s="26" t="str">
        <f aca="false">IF($D84="","",IFERROR(INDEX(LOT_EXTE,MATCH($D84,LOT_KEY,0)),""))</f>
        <v/>
      </c>
      <c r="K84" s="26" t="str">
        <f aca="false">IF($D84="","",IFERROR(INDEX(LOT_PRODE,MATCH($D84,LOT_KEY,0)),"LOT NON REFERENCE"))</f>
        <v/>
      </c>
      <c r="L84" s="26" t="str">
        <f aca="false">IF($D84="","",IFERROR(INDEX(LOT_FOURNE,MATCH($D84,LOT_KEY,0)),""))</f>
        <v/>
      </c>
      <c r="M84" s="26" t="str">
        <f aca="false">IF($E84="","",IFERROR(INDEX(EMPL_CLASSE,MATCH($E84,EMPL_KEY,0)),"?"))</f>
        <v/>
      </c>
      <c r="N84" s="26" t="str">
        <f aca="false">IF($F84="","",IFERROR(INDEX(EMPL_CLASSE,MATCH($F84,EMPL_KEY,0)),"?"))</f>
        <v/>
      </c>
      <c r="O84" s="28" t="n">
        <f aca="false">IF($C84="",0,IF(OR($B84="",$D84=""),0,IF($C84="AJUSTEMENT",IF(OR(NOT(ISNUMBER($G84)),$G84=0,$F84="",$H84=""),0,1),IF(OR(NOT(ISNUMBER($G84)),$G84&lt;=0),0,IF($C84="RECEPTION",IF($F84="",0,1),IF($C84="CONSOMMATION",IF($E84="",0,1),IF(OR($E84="",$F84="",$E84=$F84),0,1)))))))</f>
        <v>0</v>
      </c>
      <c r="P84" s="27" t="str">
        <f aca="false">IF(OR($O84=0,$C84="RECEPTION"),"",IF($C84="AJUSTEMENT",IF($G84&gt;0,"",SUMIFS(MVT_BRUT,MVT_LOT,$D84,MVT_EMPL,$F84)-$G84),SUMIFS(MVT_BRUT,MVT_LOT,$D84,MVT_EMPL,$E84)+$G84))</f>
        <v/>
      </c>
      <c r="Q84" s="26" t="str">
        <f aca="false">IF($C84="","",IF($O84=0,"DONNEES MANQUANTES",IF($C84="RECEPTION","OK",IF(AND($C84="AJUSTEMENT",$G84&gt;0),"OK",IF($P84&lt;=0,"EMPLACEMENT INCOHERENT",IF(ABS($G84)&gt;$P84+0.001,"STOCK INSUFFISANT","OK"))))))</f>
        <v/>
      </c>
      <c r="R84" s="28" t="n">
        <f aca="false">IF($Q84="OK",1,0)</f>
        <v>0</v>
      </c>
      <c r="S84" s="26" t="str">
        <f aca="false">IF($C84="","",IF($O84=0,"A COMPLETER : "&amp;IF($B84="","DATE; ","")&amp;IF($D84="","LOT INTERNE; ","")&amp;IF(NOT(ISNUMBER($G84)),"QUANTITE; ",IF(AND($C84="AJUSTEMENT",$G84=0),"QUANTITE &lt;&gt; 0; ",IF(AND($C84&lt;&gt;"AJUSTEMENT",$G84&lt;=0),"QUANTITE &gt; 0; ","")))&amp;IF(AND($C84="AJUSTEMENT",$H84=""),"MOTIF; ","")&amp;IF(AND(OR($C84="TRANSFERT",$C84="CONSOMMATION"),$E84=""),"EMPL. SOURCE; ","")&amp;IF(AND($C84&lt;&gt;"CONSOMMATION",$F84=""),"EMPL. DESTINATION; ","")&amp;IF(AND($C84="TRANSFERT",$E84&lt;&gt;"",$E84=$F84),"SOURCE = DESTINATION; ",""),IF($Q84="EMPLACEMENT INCOHERENT","Le lot "&amp;$D84&amp;" n'existe pas sur cet emplacement (stock 0). Verifier l'emplacement.",IF($Q84="STOCK INSUFFISANT","Disponible avant operation : "&amp;TEXT($P84,"#,##0.00")&amp;" kg. Ligne NON comptee en stock.",IF(COUNTIFS($B$5:$B$304,$B84,$C$5:$C$304,$C84,$D$5:$D$304,$D84,$G$5:$G$304,$G84)&gt;1,"Doublon possible (meme date, type, lot et quantite).",IF($K84="LOT NON REFERENCE","Creer d'abord la fiche du lot dans l'onglet LOTS.",""))))))</f>
        <v/>
      </c>
    </row>
    <row r="85" customFormat="false" ht="15" hidden="false" customHeight="false" outlineLevel="0" collapsed="false">
      <c r="A85" s="26" t="str">
        <f aca="false">IF($C85="","","OP-"&amp;TEXT(ROW()-4,"000"))</f>
        <v/>
      </c>
      <c r="B85" s="25"/>
      <c r="C85" s="24"/>
      <c r="D85" s="24"/>
      <c r="E85" s="24"/>
      <c r="F85" s="24"/>
      <c r="G85" s="29"/>
      <c r="H85" s="24"/>
      <c r="I85" s="24"/>
      <c r="J85" s="26" t="str">
        <f aca="false">IF($D85="","",IFERROR(INDEX(LOT_EXTE,MATCH($D85,LOT_KEY,0)),""))</f>
        <v/>
      </c>
      <c r="K85" s="26" t="str">
        <f aca="false">IF($D85="","",IFERROR(INDEX(LOT_PRODE,MATCH($D85,LOT_KEY,0)),"LOT NON REFERENCE"))</f>
        <v/>
      </c>
      <c r="L85" s="26" t="str">
        <f aca="false">IF($D85="","",IFERROR(INDEX(LOT_FOURNE,MATCH($D85,LOT_KEY,0)),""))</f>
        <v/>
      </c>
      <c r="M85" s="26" t="str">
        <f aca="false">IF($E85="","",IFERROR(INDEX(EMPL_CLASSE,MATCH($E85,EMPL_KEY,0)),"?"))</f>
        <v/>
      </c>
      <c r="N85" s="26" t="str">
        <f aca="false">IF($F85="","",IFERROR(INDEX(EMPL_CLASSE,MATCH($F85,EMPL_KEY,0)),"?"))</f>
        <v/>
      </c>
      <c r="O85" s="28" t="n">
        <f aca="false">IF($C85="",0,IF(OR($B85="",$D85=""),0,IF($C85="AJUSTEMENT",IF(OR(NOT(ISNUMBER($G85)),$G85=0,$F85="",$H85=""),0,1),IF(OR(NOT(ISNUMBER($G85)),$G85&lt;=0),0,IF($C85="RECEPTION",IF($F85="",0,1),IF($C85="CONSOMMATION",IF($E85="",0,1),IF(OR($E85="",$F85="",$E85=$F85),0,1)))))))</f>
        <v>0</v>
      </c>
      <c r="P85" s="27" t="str">
        <f aca="false">IF(OR($O85=0,$C85="RECEPTION"),"",IF($C85="AJUSTEMENT",IF($G85&gt;0,"",SUMIFS(MVT_BRUT,MVT_LOT,$D85,MVT_EMPL,$F85)-$G85),SUMIFS(MVT_BRUT,MVT_LOT,$D85,MVT_EMPL,$E85)+$G85))</f>
        <v/>
      </c>
      <c r="Q85" s="26" t="str">
        <f aca="false">IF($C85="","",IF($O85=0,"DONNEES MANQUANTES",IF($C85="RECEPTION","OK",IF(AND($C85="AJUSTEMENT",$G85&gt;0),"OK",IF($P85&lt;=0,"EMPLACEMENT INCOHERENT",IF(ABS($G85)&gt;$P85+0.001,"STOCK INSUFFISANT","OK"))))))</f>
        <v/>
      </c>
      <c r="R85" s="28" t="n">
        <f aca="false">IF($Q85="OK",1,0)</f>
        <v>0</v>
      </c>
      <c r="S85" s="26" t="str">
        <f aca="false">IF($C85="","",IF($O85=0,"A COMPLETER : "&amp;IF($B85="","DATE; ","")&amp;IF($D85="","LOT INTERNE; ","")&amp;IF(NOT(ISNUMBER($G85)),"QUANTITE; ",IF(AND($C85="AJUSTEMENT",$G85=0),"QUANTITE &lt;&gt; 0; ",IF(AND($C85&lt;&gt;"AJUSTEMENT",$G85&lt;=0),"QUANTITE &gt; 0; ","")))&amp;IF(AND($C85="AJUSTEMENT",$H85=""),"MOTIF; ","")&amp;IF(AND(OR($C85="TRANSFERT",$C85="CONSOMMATION"),$E85=""),"EMPL. SOURCE; ","")&amp;IF(AND($C85&lt;&gt;"CONSOMMATION",$F85=""),"EMPL. DESTINATION; ","")&amp;IF(AND($C85="TRANSFERT",$E85&lt;&gt;"",$E85=$F85),"SOURCE = DESTINATION; ",""),IF($Q85="EMPLACEMENT INCOHERENT","Le lot "&amp;$D85&amp;" n'existe pas sur cet emplacement (stock 0). Verifier l'emplacement.",IF($Q85="STOCK INSUFFISANT","Disponible avant operation : "&amp;TEXT($P85,"#,##0.00")&amp;" kg. Ligne NON comptee en stock.",IF(COUNTIFS($B$5:$B$304,$B85,$C$5:$C$304,$C85,$D$5:$D$304,$D85,$G$5:$G$304,$G85)&gt;1,"Doublon possible (meme date, type, lot et quantite).",IF($K85="LOT NON REFERENCE","Creer d'abord la fiche du lot dans l'onglet LOTS.",""))))))</f>
        <v/>
      </c>
    </row>
    <row r="86" customFormat="false" ht="15" hidden="false" customHeight="false" outlineLevel="0" collapsed="false">
      <c r="A86" s="26" t="str">
        <f aca="false">IF($C86="","","OP-"&amp;TEXT(ROW()-4,"000"))</f>
        <v/>
      </c>
      <c r="B86" s="25"/>
      <c r="C86" s="24"/>
      <c r="D86" s="24"/>
      <c r="E86" s="24"/>
      <c r="F86" s="24"/>
      <c r="G86" s="29"/>
      <c r="H86" s="24"/>
      <c r="I86" s="24"/>
      <c r="J86" s="26" t="str">
        <f aca="false">IF($D86="","",IFERROR(INDEX(LOT_EXTE,MATCH($D86,LOT_KEY,0)),""))</f>
        <v/>
      </c>
      <c r="K86" s="26" t="str">
        <f aca="false">IF($D86="","",IFERROR(INDEX(LOT_PRODE,MATCH($D86,LOT_KEY,0)),"LOT NON REFERENCE"))</f>
        <v/>
      </c>
      <c r="L86" s="26" t="str">
        <f aca="false">IF($D86="","",IFERROR(INDEX(LOT_FOURNE,MATCH($D86,LOT_KEY,0)),""))</f>
        <v/>
      </c>
      <c r="M86" s="26" t="str">
        <f aca="false">IF($E86="","",IFERROR(INDEX(EMPL_CLASSE,MATCH($E86,EMPL_KEY,0)),"?"))</f>
        <v/>
      </c>
      <c r="N86" s="26" t="str">
        <f aca="false">IF($F86="","",IFERROR(INDEX(EMPL_CLASSE,MATCH($F86,EMPL_KEY,0)),"?"))</f>
        <v/>
      </c>
      <c r="O86" s="28" t="n">
        <f aca="false">IF($C86="",0,IF(OR($B86="",$D86=""),0,IF($C86="AJUSTEMENT",IF(OR(NOT(ISNUMBER($G86)),$G86=0,$F86="",$H86=""),0,1),IF(OR(NOT(ISNUMBER($G86)),$G86&lt;=0),0,IF($C86="RECEPTION",IF($F86="",0,1),IF($C86="CONSOMMATION",IF($E86="",0,1),IF(OR($E86="",$F86="",$E86=$F86),0,1)))))))</f>
        <v>0</v>
      </c>
      <c r="P86" s="27" t="str">
        <f aca="false">IF(OR($O86=0,$C86="RECEPTION"),"",IF($C86="AJUSTEMENT",IF($G86&gt;0,"",SUMIFS(MVT_BRUT,MVT_LOT,$D86,MVT_EMPL,$F86)-$G86),SUMIFS(MVT_BRUT,MVT_LOT,$D86,MVT_EMPL,$E86)+$G86))</f>
        <v/>
      </c>
      <c r="Q86" s="26" t="str">
        <f aca="false">IF($C86="","",IF($O86=0,"DONNEES MANQUANTES",IF($C86="RECEPTION","OK",IF(AND($C86="AJUSTEMENT",$G86&gt;0),"OK",IF($P86&lt;=0,"EMPLACEMENT INCOHERENT",IF(ABS($G86)&gt;$P86+0.001,"STOCK INSUFFISANT","OK"))))))</f>
        <v/>
      </c>
      <c r="R86" s="28" t="n">
        <f aca="false">IF($Q86="OK",1,0)</f>
        <v>0</v>
      </c>
      <c r="S86" s="26" t="str">
        <f aca="false">IF($C86="","",IF($O86=0,"A COMPLETER : "&amp;IF($B86="","DATE; ","")&amp;IF($D86="","LOT INTERNE; ","")&amp;IF(NOT(ISNUMBER($G86)),"QUANTITE; ",IF(AND($C86="AJUSTEMENT",$G86=0),"QUANTITE &lt;&gt; 0; ",IF(AND($C86&lt;&gt;"AJUSTEMENT",$G86&lt;=0),"QUANTITE &gt; 0; ","")))&amp;IF(AND($C86="AJUSTEMENT",$H86=""),"MOTIF; ","")&amp;IF(AND(OR($C86="TRANSFERT",$C86="CONSOMMATION"),$E86=""),"EMPL. SOURCE; ","")&amp;IF(AND($C86&lt;&gt;"CONSOMMATION",$F86=""),"EMPL. DESTINATION; ","")&amp;IF(AND($C86="TRANSFERT",$E86&lt;&gt;"",$E86=$F86),"SOURCE = DESTINATION; ",""),IF($Q86="EMPLACEMENT INCOHERENT","Le lot "&amp;$D86&amp;" n'existe pas sur cet emplacement (stock 0). Verifier l'emplacement.",IF($Q86="STOCK INSUFFISANT","Disponible avant operation : "&amp;TEXT($P86,"#,##0.00")&amp;" kg. Ligne NON comptee en stock.",IF(COUNTIFS($B$5:$B$304,$B86,$C$5:$C$304,$C86,$D$5:$D$304,$D86,$G$5:$G$304,$G86)&gt;1,"Doublon possible (meme date, type, lot et quantite).",IF($K86="LOT NON REFERENCE","Creer d'abord la fiche du lot dans l'onglet LOTS.",""))))))</f>
        <v/>
      </c>
    </row>
    <row r="87" customFormat="false" ht="15" hidden="false" customHeight="false" outlineLevel="0" collapsed="false">
      <c r="A87" s="26" t="str">
        <f aca="false">IF($C87="","","OP-"&amp;TEXT(ROW()-4,"000"))</f>
        <v/>
      </c>
      <c r="B87" s="25"/>
      <c r="C87" s="24"/>
      <c r="D87" s="24"/>
      <c r="E87" s="24"/>
      <c r="F87" s="24"/>
      <c r="G87" s="29"/>
      <c r="H87" s="24"/>
      <c r="I87" s="24"/>
      <c r="J87" s="26" t="str">
        <f aca="false">IF($D87="","",IFERROR(INDEX(LOT_EXTE,MATCH($D87,LOT_KEY,0)),""))</f>
        <v/>
      </c>
      <c r="K87" s="26" t="str">
        <f aca="false">IF($D87="","",IFERROR(INDEX(LOT_PRODE,MATCH($D87,LOT_KEY,0)),"LOT NON REFERENCE"))</f>
        <v/>
      </c>
      <c r="L87" s="26" t="str">
        <f aca="false">IF($D87="","",IFERROR(INDEX(LOT_FOURNE,MATCH($D87,LOT_KEY,0)),""))</f>
        <v/>
      </c>
      <c r="M87" s="26" t="str">
        <f aca="false">IF($E87="","",IFERROR(INDEX(EMPL_CLASSE,MATCH($E87,EMPL_KEY,0)),"?"))</f>
        <v/>
      </c>
      <c r="N87" s="26" t="str">
        <f aca="false">IF($F87="","",IFERROR(INDEX(EMPL_CLASSE,MATCH($F87,EMPL_KEY,0)),"?"))</f>
        <v/>
      </c>
      <c r="O87" s="28" t="n">
        <f aca="false">IF($C87="",0,IF(OR($B87="",$D87=""),0,IF($C87="AJUSTEMENT",IF(OR(NOT(ISNUMBER($G87)),$G87=0,$F87="",$H87=""),0,1),IF(OR(NOT(ISNUMBER($G87)),$G87&lt;=0),0,IF($C87="RECEPTION",IF($F87="",0,1),IF($C87="CONSOMMATION",IF($E87="",0,1),IF(OR($E87="",$F87="",$E87=$F87),0,1)))))))</f>
        <v>0</v>
      </c>
      <c r="P87" s="27" t="str">
        <f aca="false">IF(OR($O87=0,$C87="RECEPTION"),"",IF($C87="AJUSTEMENT",IF($G87&gt;0,"",SUMIFS(MVT_BRUT,MVT_LOT,$D87,MVT_EMPL,$F87)-$G87),SUMIFS(MVT_BRUT,MVT_LOT,$D87,MVT_EMPL,$E87)+$G87))</f>
        <v/>
      </c>
      <c r="Q87" s="26" t="str">
        <f aca="false">IF($C87="","",IF($O87=0,"DONNEES MANQUANTES",IF($C87="RECEPTION","OK",IF(AND($C87="AJUSTEMENT",$G87&gt;0),"OK",IF($P87&lt;=0,"EMPLACEMENT INCOHERENT",IF(ABS($G87)&gt;$P87+0.001,"STOCK INSUFFISANT","OK"))))))</f>
        <v/>
      </c>
      <c r="R87" s="28" t="n">
        <f aca="false">IF($Q87="OK",1,0)</f>
        <v>0</v>
      </c>
      <c r="S87" s="26" t="str">
        <f aca="false">IF($C87="","",IF($O87=0,"A COMPLETER : "&amp;IF($B87="","DATE; ","")&amp;IF($D87="","LOT INTERNE; ","")&amp;IF(NOT(ISNUMBER($G87)),"QUANTITE; ",IF(AND($C87="AJUSTEMENT",$G87=0),"QUANTITE &lt;&gt; 0; ",IF(AND($C87&lt;&gt;"AJUSTEMENT",$G87&lt;=0),"QUANTITE &gt; 0; ","")))&amp;IF(AND($C87="AJUSTEMENT",$H87=""),"MOTIF; ","")&amp;IF(AND(OR($C87="TRANSFERT",$C87="CONSOMMATION"),$E87=""),"EMPL. SOURCE; ","")&amp;IF(AND($C87&lt;&gt;"CONSOMMATION",$F87=""),"EMPL. DESTINATION; ","")&amp;IF(AND($C87="TRANSFERT",$E87&lt;&gt;"",$E87=$F87),"SOURCE = DESTINATION; ",""),IF($Q87="EMPLACEMENT INCOHERENT","Le lot "&amp;$D87&amp;" n'existe pas sur cet emplacement (stock 0). Verifier l'emplacement.",IF($Q87="STOCK INSUFFISANT","Disponible avant operation : "&amp;TEXT($P87,"#,##0.00")&amp;" kg. Ligne NON comptee en stock.",IF(COUNTIFS($B$5:$B$304,$B87,$C$5:$C$304,$C87,$D$5:$D$304,$D87,$G$5:$G$304,$G87)&gt;1,"Doublon possible (meme date, type, lot et quantite).",IF($K87="LOT NON REFERENCE","Creer d'abord la fiche du lot dans l'onglet LOTS.",""))))))</f>
        <v/>
      </c>
    </row>
    <row r="88" customFormat="false" ht="15" hidden="false" customHeight="false" outlineLevel="0" collapsed="false">
      <c r="A88" s="26" t="str">
        <f aca="false">IF($C88="","","OP-"&amp;TEXT(ROW()-4,"000"))</f>
        <v/>
      </c>
      <c r="B88" s="25"/>
      <c r="C88" s="24"/>
      <c r="D88" s="24"/>
      <c r="E88" s="24"/>
      <c r="F88" s="24"/>
      <c r="G88" s="29"/>
      <c r="H88" s="24"/>
      <c r="I88" s="24"/>
      <c r="J88" s="26" t="str">
        <f aca="false">IF($D88="","",IFERROR(INDEX(LOT_EXTE,MATCH($D88,LOT_KEY,0)),""))</f>
        <v/>
      </c>
      <c r="K88" s="26" t="str">
        <f aca="false">IF($D88="","",IFERROR(INDEX(LOT_PRODE,MATCH($D88,LOT_KEY,0)),"LOT NON REFERENCE"))</f>
        <v/>
      </c>
      <c r="L88" s="26" t="str">
        <f aca="false">IF($D88="","",IFERROR(INDEX(LOT_FOURNE,MATCH($D88,LOT_KEY,0)),""))</f>
        <v/>
      </c>
      <c r="M88" s="26" t="str">
        <f aca="false">IF($E88="","",IFERROR(INDEX(EMPL_CLASSE,MATCH($E88,EMPL_KEY,0)),"?"))</f>
        <v/>
      </c>
      <c r="N88" s="26" t="str">
        <f aca="false">IF($F88="","",IFERROR(INDEX(EMPL_CLASSE,MATCH($F88,EMPL_KEY,0)),"?"))</f>
        <v/>
      </c>
      <c r="O88" s="28" t="n">
        <f aca="false">IF($C88="",0,IF(OR($B88="",$D88=""),0,IF($C88="AJUSTEMENT",IF(OR(NOT(ISNUMBER($G88)),$G88=0,$F88="",$H88=""),0,1),IF(OR(NOT(ISNUMBER($G88)),$G88&lt;=0),0,IF($C88="RECEPTION",IF($F88="",0,1),IF($C88="CONSOMMATION",IF($E88="",0,1),IF(OR($E88="",$F88="",$E88=$F88),0,1)))))))</f>
        <v>0</v>
      </c>
      <c r="P88" s="27" t="str">
        <f aca="false">IF(OR($O88=0,$C88="RECEPTION"),"",IF($C88="AJUSTEMENT",IF($G88&gt;0,"",SUMIFS(MVT_BRUT,MVT_LOT,$D88,MVT_EMPL,$F88)-$G88),SUMIFS(MVT_BRUT,MVT_LOT,$D88,MVT_EMPL,$E88)+$G88))</f>
        <v/>
      </c>
      <c r="Q88" s="26" t="str">
        <f aca="false">IF($C88="","",IF($O88=0,"DONNEES MANQUANTES",IF($C88="RECEPTION","OK",IF(AND($C88="AJUSTEMENT",$G88&gt;0),"OK",IF($P88&lt;=0,"EMPLACEMENT INCOHERENT",IF(ABS($G88)&gt;$P88+0.001,"STOCK INSUFFISANT","OK"))))))</f>
        <v/>
      </c>
      <c r="R88" s="28" t="n">
        <f aca="false">IF($Q88="OK",1,0)</f>
        <v>0</v>
      </c>
      <c r="S88" s="26" t="str">
        <f aca="false">IF($C88="","",IF($O88=0,"A COMPLETER : "&amp;IF($B88="","DATE; ","")&amp;IF($D88="","LOT INTERNE; ","")&amp;IF(NOT(ISNUMBER($G88)),"QUANTITE; ",IF(AND($C88="AJUSTEMENT",$G88=0),"QUANTITE &lt;&gt; 0; ",IF(AND($C88&lt;&gt;"AJUSTEMENT",$G88&lt;=0),"QUANTITE &gt; 0; ","")))&amp;IF(AND($C88="AJUSTEMENT",$H88=""),"MOTIF; ","")&amp;IF(AND(OR($C88="TRANSFERT",$C88="CONSOMMATION"),$E88=""),"EMPL. SOURCE; ","")&amp;IF(AND($C88&lt;&gt;"CONSOMMATION",$F88=""),"EMPL. DESTINATION; ","")&amp;IF(AND($C88="TRANSFERT",$E88&lt;&gt;"",$E88=$F88),"SOURCE = DESTINATION; ",""),IF($Q88="EMPLACEMENT INCOHERENT","Le lot "&amp;$D88&amp;" n'existe pas sur cet emplacement (stock 0). Verifier l'emplacement.",IF($Q88="STOCK INSUFFISANT","Disponible avant operation : "&amp;TEXT($P88,"#,##0.00")&amp;" kg. Ligne NON comptee en stock.",IF(COUNTIFS($B$5:$B$304,$B88,$C$5:$C$304,$C88,$D$5:$D$304,$D88,$G$5:$G$304,$G88)&gt;1,"Doublon possible (meme date, type, lot et quantite).",IF($K88="LOT NON REFERENCE","Creer d'abord la fiche du lot dans l'onglet LOTS.",""))))))</f>
        <v/>
      </c>
    </row>
    <row r="89" customFormat="false" ht="15" hidden="false" customHeight="false" outlineLevel="0" collapsed="false">
      <c r="A89" s="26" t="str">
        <f aca="false">IF($C89="","","OP-"&amp;TEXT(ROW()-4,"000"))</f>
        <v/>
      </c>
      <c r="B89" s="25"/>
      <c r="C89" s="24"/>
      <c r="D89" s="24"/>
      <c r="E89" s="24"/>
      <c r="F89" s="24"/>
      <c r="G89" s="29"/>
      <c r="H89" s="24"/>
      <c r="I89" s="24"/>
      <c r="J89" s="26" t="str">
        <f aca="false">IF($D89="","",IFERROR(INDEX(LOT_EXTE,MATCH($D89,LOT_KEY,0)),""))</f>
        <v/>
      </c>
      <c r="K89" s="26" t="str">
        <f aca="false">IF($D89="","",IFERROR(INDEX(LOT_PRODE,MATCH($D89,LOT_KEY,0)),"LOT NON REFERENCE"))</f>
        <v/>
      </c>
      <c r="L89" s="26" t="str">
        <f aca="false">IF($D89="","",IFERROR(INDEX(LOT_FOURNE,MATCH($D89,LOT_KEY,0)),""))</f>
        <v/>
      </c>
      <c r="M89" s="26" t="str">
        <f aca="false">IF($E89="","",IFERROR(INDEX(EMPL_CLASSE,MATCH($E89,EMPL_KEY,0)),"?"))</f>
        <v/>
      </c>
      <c r="N89" s="26" t="str">
        <f aca="false">IF($F89="","",IFERROR(INDEX(EMPL_CLASSE,MATCH($F89,EMPL_KEY,0)),"?"))</f>
        <v/>
      </c>
      <c r="O89" s="28" t="n">
        <f aca="false">IF($C89="",0,IF(OR($B89="",$D89=""),0,IF($C89="AJUSTEMENT",IF(OR(NOT(ISNUMBER($G89)),$G89=0,$F89="",$H89=""),0,1),IF(OR(NOT(ISNUMBER($G89)),$G89&lt;=0),0,IF($C89="RECEPTION",IF($F89="",0,1),IF($C89="CONSOMMATION",IF($E89="",0,1),IF(OR($E89="",$F89="",$E89=$F89),0,1)))))))</f>
        <v>0</v>
      </c>
      <c r="P89" s="27" t="str">
        <f aca="false">IF(OR($O89=0,$C89="RECEPTION"),"",IF($C89="AJUSTEMENT",IF($G89&gt;0,"",SUMIFS(MVT_BRUT,MVT_LOT,$D89,MVT_EMPL,$F89)-$G89),SUMIFS(MVT_BRUT,MVT_LOT,$D89,MVT_EMPL,$E89)+$G89))</f>
        <v/>
      </c>
      <c r="Q89" s="26" t="str">
        <f aca="false">IF($C89="","",IF($O89=0,"DONNEES MANQUANTES",IF($C89="RECEPTION","OK",IF(AND($C89="AJUSTEMENT",$G89&gt;0),"OK",IF($P89&lt;=0,"EMPLACEMENT INCOHERENT",IF(ABS($G89)&gt;$P89+0.001,"STOCK INSUFFISANT","OK"))))))</f>
        <v/>
      </c>
      <c r="R89" s="28" t="n">
        <f aca="false">IF($Q89="OK",1,0)</f>
        <v>0</v>
      </c>
      <c r="S89" s="26" t="str">
        <f aca="false">IF($C89="","",IF($O89=0,"A COMPLETER : "&amp;IF($B89="","DATE; ","")&amp;IF($D89="","LOT INTERNE; ","")&amp;IF(NOT(ISNUMBER($G89)),"QUANTITE; ",IF(AND($C89="AJUSTEMENT",$G89=0),"QUANTITE &lt;&gt; 0; ",IF(AND($C89&lt;&gt;"AJUSTEMENT",$G89&lt;=0),"QUANTITE &gt; 0; ","")))&amp;IF(AND($C89="AJUSTEMENT",$H89=""),"MOTIF; ","")&amp;IF(AND(OR($C89="TRANSFERT",$C89="CONSOMMATION"),$E89=""),"EMPL. SOURCE; ","")&amp;IF(AND($C89&lt;&gt;"CONSOMMATION",$F89=""),"EMPL. DESTINATION; ","")&amp;IF(AND($C89="TRANSFERT",$E89&lt;&gt;"",$E89=$F89),"SOURCE = DESTINATION; ",""),IF($Q89="EMPLACEMENT INCOHERENT","Le lot "&amp;$D89&amp;" n'existe pas sur cet emplacement (stock 0). Verifier l'emplacement.",IF($Q89="STOCK INSUFFISANT","Disponible avant operation : "&amp;TEXT($P89,"#,##0.00")&amp;" kg. Ligne NON comptee en stock.",IF(COUNTIFS($B$5:$B$304,$B89,$C$5:$C$304,$C89,$D$5:$D$304,$D89,$G$5:$G$304,$G89)&gt;1,"Doublon possible (meme date, type, lot et quantite).",IF($K89="LOT NON REFERENCE","Creer d'abord la fiche du lot dans l'onglet LOTS.",""))))))</f>
        <v/>
      </c>
    </row>
    <row r="90" customFormat="false" ht="15" hidden="false" customHeight="false" outlineLevel="0" collapsed="false">
      <c r="A90" s="26" t="str">
        <f aca="false">IF($C90="","","OP-"&amp;TEXT(ROW()-4,"000"))</f>
        <v/>
      </c>
      <c r="B90" s="25"/>
      <c r="C90" s="24"/>
      <c r="D90" s="24"/>
      <c r="E90" s="24"/>
      <c r="F90" s="24"/>
      <c r="G90" s="29"/>
      <c r="H90" s="24"/>
      <c r="I90" s="24"/>
      <c r="J90" s="26" t="str">
        <f aca="false">IF($D90="","",IFERROR(INDEX(LOT_EXTE,MATCH($D90,LOT_KEY,0)),""))</f>
        <v/>
      </c>
      <c r="K90" s="26" t="str">
        <f aca="false">IF($D90="","",IFERROR(INDEX(LOT_PRODE,MATCH($D90,LOT_KEY,0)),"LOT NON REFERENCE"))</f>
        <v/>
      </c>
      <c r="L90" s="26" t="str">
        <f aca="false">IF($D90="","",IFERROR(INDEX(LOT_FOURNE,MATCH($D90,LOT_KEY,0)),""))</f>
        <v/>
      </c>
      <c r="M90" s="26" t="str">
        <f aca="false">IF($E90="","",IFERROR(INDEX(EMPL_CLASSE,MATCH($E90,EMPL_KEY,0)),"?"))</f>
        <v/>
      </c>
      <c r="N90" s="26" t="str">
        <f aca="false">IF($F90="","",IFERROR(INDEX(EMPL_CLASSE,MATCH($F90,EMPL_KEY,0)),"?"))</f>
        <v/>
      </c>
      <c r="O90" s="28" t="n">
        <f aca="false">IF($C90="",0,IF(OR($B90="",$D90=""),0,IF($C90="AJUSTEMENT",IF(OR(NOT(ISNUMBER($G90)),$G90=0,$F90="",$H90=""),0,1),IF(OR(NOT(ISNUMBER($G90)),$G90&lt;=0),0,IF($C90="RECEPTION",IF($F90="",0,1),IF($C90="CONSOMMATION",IF($E90="",0,1),IF(OR($E90="",$F90="",$E90=$F90),0,1)))))))</f>
        <v>0</v>
      </c>
      <c r="P90" s="27" t="str">
        <f aca="false">IF(OR($O90=0,$C90="RECEPTION"),"",IF($C90="AJUSTEMENT",IF($G90&gt;0,"",SUMIFS(MVT_BRUT,MVT_LOT,$D90,MVT_EMPL,$F90)-$G90),SUMIFS(MVT_BRUT,MVT_LOT,$D90,MVT_EMPL,$E90)+$G90))</f>
        <v/>
      </c>
      <c r="Q90" s="26" t="str">
        <f aca="false">IF($C90="","",IF($O90=0,"DONNEES MANQUANTES",IF($C90="RECEPTION","OK",IF(AND($C90="AJUSTEMENT",$G90&gt;0),"OK",IF($P90&lt;=0,"EMPLACEMENT INCOHERENT",IF(ABS($G90)&gt;$P90+0.001,"STOCK INSUFFISANT","OK"))))))</f>
        <v/>
      </c>
      <c r="R90" s="28" t="n">
        <f aca="false">IF($Q90="OK",1,0)</f>
        <v>0</v>
      </c>
      <c r="S90" s="26" t="str">
        <f aca="false">IF($C90="","",IF($O90=0,"A COMPLETER : "&amp;IF($B90="","DATE; ","")&amp;IF($D90="","LOT INTERNE; ","")&amp;IF(NOT(ISNUMBER($G90)),"QUANTITE; ",IF(AND($C90="AJUSTEMENT",$G90=0),"QUANTITE &lt;&gt; 0; ",IF(AND($C90&lt;&gt;"AJUSTEMENT",$G90&lt;=0),"QUANTITE &gt; 0; ","")))&amp;IF(AND($C90="AJUSTEMENT",$H90=""),"MOTIF; ","")&amp;IF(AND(OR($C90="TRANSFERT",$C90="CONSOMMATION"),$E90=""),"EMPL. SOURCE; ","")&amp;IF(AND($C90&lt;&gt;"CONSOMMATION",$F90=""),"EMPL. DESTINATION; ","")&amp;IF(AND($C90="TRANSFERT",$E90&lt;&gt;"",$E90=$F90),"SOURCE = DESTINATION; ",""),IF($Q90="EMPLACEMENT INCOHERENT","Le lot "&amp;$D90&amp;" n'existe pas sur cet emplacement (stock 0). Verifier l'emplacement.",IF($Q90="STOCK INSUFFISANT","Disponible avant operation : "&amp;TEXT($P90,"#,##0.00")&amp;" kg. Ligne NON comptee en stock.",IF(COUNTIFS($B$5:$B$304,$B90,$C$5:$C$304,$C90,$D$5:$D$304,$D90,$G$5:$G$304,$G90)&gt;1,"Doublon possible (meme date, type, lot et quantite).",IF($K90="LOT NON REFERENCE","Creer d'abord la fiche du lot dans l'onglet LOTS.",""))))))</f>
        <v/>
      </c>
    </row>
    <row r="91" customFormat="false" ht="15" hidden="false" customHeight="false" outlineLevel="0" collapsed="false">
      <c r="A91" s="26" t="str">
        <f aca="false">IF($C91="","","OP-"&amp;TEXT(ROW()-4,"000"))</f>
        <v/>
      </c>
      <c r="B91" s="25"/>
      <c r="C91" s="24"/>
      <c r="D91" s="24"/>
      <c r="E91" s="24"/>
      <c r="F91" s="24"/>
      <c r="G91" s="29"/>
      <c r="H91" s="24"/>
      <c r="I91" s="24"/>
      <c r="J91" s="26" t="str">
        <f aca="false">IF($D91="","",IFERROR(INDEX(LOT_EXTE,MATCH($D91,LOT_KEY,0)),""))</f>
        <v/>
      </c>
      <c r="K91" s="26" t="str">
        <f aca="false">IF($D91="","",IFERROR(INDEX(LOT_PRODE,MATCH($D91,LOT_KEY,0)),"LOT NON REFERENCE"))</f>
        <v/>
      </c>
      <c r="L91" s="26" t="str">
        <f aca="false">IF($D91="","",IFERROR(INDEX(LOT_FOURNE,MATCH($D91,LOT_KEY,0)),""))</f>
        <v/>
      </c>
      <c r="M91" s="26" t="str">
        <f aca="false">IF($E91="","",IFERROR(INDEX(EMPL_CLASSE,MATCH($E91,EMPL_KEY,0)),"?"))</f>
        <v/>
      </c>
      <c r="N91" s="26" t="str">
        <f aca="false">IF($F91="","",IFERROR(INDEX(EMPL_CLASSE,MATCH($F91,EMPL_KEY,0)),"?"))</f>
        <v/>
      </c>
      <c r="O91" s="28" t="n">
        <f aca="false">IF($C91="",0,IF(OR($B91="",$D91=""),0,IF($C91="AJUSTEMENT",IF(OR(NOT(ISNUMBER($G91)),$G91=0,$F91="",$H91=""),0,1),IF(OR(NOT(ISNUMBER($G91)),$G91&lt;=0),0,IF($C91="RECEPTION",IF($F91="",0,1),IF($C91="CONSOMMATION",IF($E91="",0,1),IF(OR($E91="",$F91="",$E91=$F91),0,1)))))))</f>
        <v>0</v>
      </c>
      <c r="P91" s="27" t="str">
        <f aca="false">IF(OR($O91=0,$C91="RECEPTION"),"",IF($C91="AJUSTEMENT",IF($G91&gt;0,"",SUMIFS(MVT_BRUT,MVT_LOT,$D91,MVT_EMPL,$F91)-$G91),SUMIFS(MVT_BRUT,MVT_LOT,$D91,MVT_EMPL,$E91)+$G91))</f>
        <v/>
      </c>
      <c r="Q91" s="26" t="str">
        <f aca="false">IF($C91="","",IF($O91=0,"DONNEES MANQUANTES",IF($C91="RECEPTION","OK",IF(AND($C91="AJUSTEMENT",$G91&gt;0),"OK",IF($P91&lt;=0,"EMPLACEMENT INCOHERENT",IF(ABS($G91)&gt;$P91+0.001,"STOCK INSUFFISANT","OK"))))))</f>
        <v/>
      </c>
      <c r="R91" s="28" t="n">
        <f aca="false">IF($Q91="OK",1,0)</f>
        <v>0</v>
      </c>
      <c r="S91" s="26" t="str">
        <f aca="false">IF($C91="","",IF($O91=0,"A COMPLETER : "&amp;IF($B91="","DATE; ","")&amp;IF($D91="","LOT INTERNE; ","")&amp;IF(NOT(ISNUMBER($G91)),"QUANTITE; ",IF(AND($C91="AJUSTEMENT",$G91=0),"QUANTITE &lt;&gt; 0; ",IF(AND($C91&lt;&gt;"AJUSTEMENT",$G91&lt;=0),"QUANTITE &gt; 0; ","")))&amp;IF(AND($C91="AJUSTEMENT",$H91=""),"MOTIF; ","")&amp;IF(AND(OR($C91="TRANSFERT",$C91="CONSOMMATION"),$E91=""),"EMPL. SOURCE; ","")&amp;IF(AND($C91&lt;&gt;"CONSOMMATION",$F91=""),"EMPL. DESTINATION; ","")&amp;IF(AND($C91="TRANSFERT",$E91&lt;&gt;"",$E91=$F91),"SOURCE = DESTINATION; ",""),IF($Q91="EMPLACEMENT INCOHERENT","Le lot "&amp;$D91&amp;" n'existe pas sur cet emplacement (stock 0). Verifier l'emplacement.",IF($Q91="STOCK INSUFFISANT","Disponible avant operation : "&amp;TEXT($P91,"#,##0.00")&amp;" kg. Ligne NON comptee en stock.",IF(COUNTIFS($B$5:$B$304,$B91,$C$5:$C$304,$C91,$D$5:$D$304,$D91,$G$5:$G$304,$G91)&gt;1,"Doublon possible (meme date, type, lot et quantite).",IF($K91="LOT NON REFERENCE","Creer d'abord la fiche du lot dans l'onglet LOTS.",""))))))</f>
        <v/>
      </c>
    </row>
    <row r="92" customFormat="false" ht="15" hidden="false" customHeight="false" outlineLevel="0" collapsed="false">
      <c r="A92" s="26" t="str">
        <f aca="false">IF($C92="","","OP-"&amp;TEXT(ROW()-4,"000"))</f>
        <v/>
      </c>
      <c r="B92" s="25"/>
      <c r="C92" s="24"/>
      <c r="D92" s="24"/>
      <c r="E92" s="24"/>
      <c r="F92" s="24"/>
      <c r="G92" s="29"/>
      <c r="H92" s="24"/>
      <c r="I92" s="24"/>
      <c r="J92" s="26" t="str">
        <f aca="false">IF($D92="","",IFERROR(INDEX(LOT_EXTE,MATCH($D92,LOT_KEY,0)),""))</f>
        <v/>
      </c>
      <c r="K92" s="26" t="str">
        <f aca="false">IF($D92="","",IFERROR(INDEX(LOT_PRODE,MATCH($D92,LOT_KEY,0)),"LOT NON REFERENCE"))</f>
        <v/>
      </c>
      <c r="L92" s="26" t="str">
        <f aca="false">IF($D92="","",IFERROR(INDEX(LOT_FOURNE,MATCH($D92,LOT_KEY,0)),""))</f>
        <v/>
      </c>
      <c r="M92" s="26" t="str">
        <f aca="false">IF($E92="","",IFERROR(INDEX(EMPL_CLASSE,MATCH($E92,EMPL_KEY,0)),"?"))</f>
        <v/>
      </c>
      <c r="N92" s="26" t="str">
        <f aca="false">IF($F92="","",IFERROR(INDEX(EMPL_CLASSE,MATCH($F92,EMPL_KEY,0)),"?"))</f>
        <v/>
      </c>
      <c r="O92" s="28" t="n">
        <f aca="false">IF($C92="",0,IF(OR($B92="",$D92=""),0,IF($C92="AJUSTEMENT",IF(OR(NOT(ISNUMBER($G92)),$G92=0,$F92="",$H92=""),0,1),IF(OR(NOT(ISNUMBER($G92)),$G92&lt;=0),0,IF($C92="RECEPTION",IF($F92="",0,1),IF($C92="CONSOMMATION",IF($E92="",0,1),IF(OR($E92="",$F92="",$E92=$F92),0,1)))))))</f>
        <v>0</v>
      </c>
      <c r="P92" s="27" t="str">
        <f aca="false">IF(OR($O92=0,$C92="RECEPTION"),"",IF($C92="AJUSTEMENT",IF($G92&gt;0,"",SUMIFS(MVT_BRUT,MVT_LOT,$D92,MVT_EMPL,$F92)-$G92),SUMIFS(MVT_BRUT,MVT_LOT,$D92,MVT_EMPL,$E92)+$G92))</f>
        <v/>
      </c>
      <c r="Q92" s="26" t="str">
        <f aca="false">IF($C92="","",IF($O92=0,"DONNEES MANQUANTES",IF($C92="RECEPTION","OK",IF(AND($C92="AJUSTEMENT",$G92&gt;0),"OK",IF($P92&lt;=0,"EMPLACEMENT INCOHERENT",IF(ABS($G92)&gt;$P92+0.001,"STOCK INSUFFISANT","OK"))))))</f>
        <v/>
      </c>
      <c r="R92" s="28" t="n">
        <f aca="false">IF($Q92="OK",1,0)</f>
        <v>0</v>
      </c>
      <c r="S92" s="26" t="str">
        <f aca="false">IF($C92="","",IF($O92=0,"A COMPLETER : "&amp;IF($B92="","DATE; ","")&amp;IF($D92="","LOT INTERNE; ","")&amp;IF(NOT(ISNUMBER($G92)),"QUANTITE; ",IF(AND($C92="AJUSTEMENT",$G92=0),"QUANTITE &lt;&gt; 0; ",IF(AND($C92&lt;&gt;"AJUSTEMENT",$G92&lt;=0),"QUANTITE &gt; 0; ","")))&amp;IF(AND($C92="AJUSTEMENT",$H92=""),"MOTIF; ","")&amp;IF(AND(OR($C92="TRANSFERT",$C92="CONSOMMATION"),$E92=""),"EMPL. SOURCE; ","")&amp;IF(AND($C92&lt;&gt;"CONSOMMATION",$F92=""),"EMPL. DESTINATION; ","")&amp;IF(AND($C92="TRANSFERT",$E92&lt;&gt;"",$E92=$F92),"SOURCE = DESTINATION; ",""),IF($Q92="EMPLACEMENT INCOHERENT","Le lot "&amp;$D92&amp;" n'existe pas sur cet emplacement (stock 0). Verifier l'emplacement.",IF($Q92="STOCK INSUFFISANT","Disponible avant operation : "&amp;TEXT($P92,"#,##0.00")&amp;" kg. Ligne NON comptee en stock.",IF(COUNTIFS($B$5:$B$304,$B92,$C$5:$C$304,$C92,$D$5:$D$304,$D92,$G$5:$G$304,$G92)&gt;1,"Doublon possible (meme date, type, lot et quantite).",IF($K92="LOT NON REFERENCE","Creer d'abord la fiche du lot dans l'onglet LOTS.",""))))))</f>
        <v/>
      </c>
    </row>
    <row r="93" customFormat="false" ht="15" hidden="false" customHeight="false" outlineLevel="0" collapsed="false">
      <c r="A93" s="26" t="str">
        <f aca="false">IF($C93="","","OP-"&amp;TEXT(ROW()-4,"000"))</f>
        <v/>
      </c>
      <c r="B93" s="25"/>
      <c r="C93" s="24"/>
      <c r="D93" s="24"/>
      <c r="E93" s="24"/>
      <c r="F93" s="24"/>
      <c r="G93" s="29"/>
      <c r="H93" s="24"/>
      <c r="I93" s="24"/>
      <c r="J93" s="26" t="str">
        <f aca="false">IF($D93="","",IFERROR(INDEX(LOT_EXTE,MATCH($D93,LOT_KEY,0)),""))</f>
        <v/>
      </c>
      <c r="K93" s="26" t="str">
        <f aca="false">IF($D93="","",IFERROR(INDEX(LOT_PRODE,MATCH($D93,LOT_KEY,0)),"LOT NON REFERENCE"))</f>
        <v/>
      </c>
      <c r="L93" s="26" t="str">
        <f aca="false">IF($D93="","",IFERROR(INDEX(LOT_FOURNE,MATCH($D93,LOT_KEY,0)),""))</f>
        <v/>
      </c>
      <c r="M93" s="26" t="str">
        <f aca="false">IF($E93="","",IFERROR(INDEX(EMPL_CLASSE,MATCH($E93,EMPL_KEY,0)),"?"))</f>
        <v/>
      </c>
      <c r="N93" s="26" t="str">
        <f aca="false">IF($F93="","",IFERROR(INDEX(EMPL_CLASSE,MATCH($F93,EMPL_KEY,0)),"?"))</f>
        <v/>
      </c>
      <c r="O93" s="28" t="n">
        <f aca="false">IF($C93="",0,IF(OR($B93="",$D93=""),0,IF($C93="AJUSTEMENT",IF(OR(NOT(ISNUMBER($G93)),$G93=0,$F93="",$H93=""),0,1),IF(OR(NOT(ISNUMBER($G93)),$G93&lt;=0),0,IF($C93="RECEPTION",IF($F93="",0,1),IF($C93="CONSOMMATION",IF($E93="",0,1),IF(OR($E93="",$F93="",$E93=$F93),0,1)))))))</f>
        <v>0</v>
      </c>
      <c r="P93" s="27" t="str">
        <f aca="false">IF(OR($O93=0,$C93="RECEPTION"),"",IF($C93="AJUSTEMENT",IF($G93&gt;0,"",SUMIFS(MVT_BRUT,MVT_LOT,$D93,MVT_EMPL,$F93)-$G93),SUMIFS(MVT_BRUT,MVT_LOT,$D93,MVT_EMPL,$E93)+$G93))</f>
        <v/>
      </c>
      <c r="Q93" s="26" t="str">
        <f aca="false">IF($C93="","",IF($O93=0,"DONNEES MANQUANTES",IF($C93="RECEPTION","OK",IF(AND($C93="AJUSTEMENT",$G93&gt;0),"OK",IF($P93&lt;=0,"EMPLACEMENT INCOHERENT",IF(ABS($G93)&gt;$P93+0.001,"STOCK INSUFFISANT","OK"))))))</f>
        <v/>
      </c>
      <c r="R93" s="28" t="n">
        <f aca="false">IF($Q93="OK",1,0)</f>
        <v>0</v>
      </c>
      <c r="S93" s="26" t="str">
        <f aca="false">IF($C93="","",IF($O93=0,"A COMPLETER : "&amp;IF($B93="","DATE; ","")&amp;IF($D93="","LOT INTERNE; ","")&amp;IF(NOT(ISNUMBER($G93)),"QUANTITE; ",IF(AND($C93="AJUSTEMENT",$G93=0),"QUANTITE &lt;&gt; 0; ",IF(AND($C93&lt;&gt;"AJUSTEMENT",$G93&lt;=0),"QUANTITE &gt; 0; ","")))&amp;IF(AND($C93="AJUSTEMENT",$H93=""),"MOTIF; ","")&amp;IF(AND(OR($C93="TRANSFERT",$C93="CONSOMMATION"),$E93=""),"EMPL. SOURCE; ","")&amp;IF(AND($C93&lt;&gt;"CONSOMMATION",$F93=""),"EMPL. DESTINATION; ","")&amp;IF(AND($C93="TRANSFERT",$E93&lt;&gt;"",$E93=$F93),"SOURCE = DESTINATION; ",""),IF($Q93="EMPLACEMENT INCOHERENT","Le lot "&amp;$D93&amp;" n'existe pas sur cet emplacement (stock 0). Verifier l'emplacement.",IF($Q93="STOCK INSUFFISANT","Disponible avant operation : "&amp;TEXT($P93,"#,##0.00")&amp;" kg. Ligne NON comptee en stock.",IF(COUNTIFS($B$5:$B$304,$B93,$C$5:$C$304,$C93,$D$5:$D$304,$D93,$G$5:$G$304,$G93)&gt;1,"Doublon possible (meme date, type, lot et quantite).",IF($K93="LOT NON REFERENCE","Creer d'abord la fiche du lot dans l'onglet LOTS.",""))))))</f>
        <v/>
      </c>
    </row>
    <row r="94" customFormat="false" ht="15" hidden="false" customHeight="false" outlineLevel="0" collapsed="false">
      <c r="A94" s="26" t="str">
        <f aca="false">IF($C94="","","OP-"&amp;TEXT(ROW()-4,"000"))</f>
        <v/>
      </c>
      <c r="B94" s="25"/>
      <c r="C94" s="24"/>
      <c r="D94" s="24"/>
      <c r="E94" s="24"/>
      <c r="F94" s="24"/>
      <c r="G94" s="29"/>
      <c r="H94" s="24"/>
      <c r="I94" s="24"/>
      <c r="J94" s="26" t="str">
        <f aca="false">IF($D94="","",IFERROR(INDEX(LOT_EXTE,MATCH($D94,LOT_KEY,0)),""))</f>
        <v/>
      </c>
      <c r="K94" s="26" t="str">
        <f aca="false">IF($D94="","",IFERROR(INDEX(LOT_PRODE,MATCH($D94,LOT_KEY,0)),"LOT NON REFERENCE"))</f>
        <v/>
      </c>
      <c r="L94" s="26" t="str">
        <f aca="false">IF($D94="","",IFERROR(INDEX(LOT_FOURNE,MATCH($D94,LOT_KEY,0)),""))</f>
        <v/>
      </c>
      <c r="M94" s="26" t="str">
        <f aca="false">IF($E94="","",IFERROR(INDEX(EMPL_CLASSE,MATCH($E94,EMPL_KEY,0)),"?"))</f>
        <v/>
      </c>
      <c r="N94" s="26" t="str">
        <f aca="false">IF($F94="","",IFERROR(INDEX(EMPL_CLASSE,MATCH($F94,EMPL_KEY,0)),"?"))</f>
        <v/>
      </c>
      <c r="O94" s="28" t="n">
        <f aca="false">IF($C94="",0,IF(OR($B94="",$D94=""),0,IF($C94="AJUSTEMENT",IF(OR(NOT(ISNUMBER($G94)),$G94=0,$F94="",$H94=""),0,1),IF(OR(NOT(ISNUMBER($G94)),$G94&lt;=0),0,IF($C94="RECEPTION",IF($F94="",0,1),IF($C94="CONSOMMATION",IF($E94="",0,1),IF(OR($E94="",$F94="",$E94=$F94),0,1)))))))</f>
        <v>0</v>
      </c>
      <c r="P94" s="27" t="str">
        <f aca="false">IF(OR($O94=0,$C94="RECEPTION"),"",IF($C94="AJUSTEMENT",IF($G94&gt;0,"",SUMIFS(MVT_BRUT,MVT_LOT,$D94,MVT_EMPL,$F94)-$G94),SUMIFS(MVT_BRUT,MVT_LOT,$D94,MVT_EMPL,$E94)+$G94))</f>
        <v/>
      </c>
      <c r="Q94" s="26" t="str">
        <f aca="false">IF($C94="","",IF($O94=0,"DONNEES MANQUANTES",IF($C94="RECEPTION","OK",IF(AND($C94="AJUSTEMENT",$G94&gt;0),"OK",IF($P94&lt;=0,"EMPLACEMENT INCOHERENT",IF(ABS($G94)&gt;$P94+0.001,"STOCK INSUFFISANT","OK"))))))</f>
        <v/>
      </c>
      <c r="R94" s="28" t="n">
        <f aca="false">IF($Q94="OK",1,0)</f>
        <v>0</v>
      </c>
      <c r="S94" s="26" t="str">
        <f aca="false">IF($C94="","",IF($O94=0,"A COMPLETER : "&amp;IF($B94="","DATE; ","")&amp;IF($D94="","LOT INTERNE; ","")&amp;IF(NOT(ISNUMBER($G94)),"QUANTITE; ",IF(AND($C94="AJUSTEMENT",$G94=0),"QUANTITE &lt;&gt; 0; ",IF(AND($C94&lt;&gt;"AJUSTEMENT",$G94&lt;=0),"QUANTITE &gt; 0; ","")))&amp;IF(AND($C94="AJUSTEMENT",$H94=""),"MOTIF; ","")&amp;IF(AND(OR($C94="TRANSFERT",$C94="CONSOMMATION"),$E94=""),"EMPL. SOURCE; ","")&amp;IF(AND($C94&lt;&gt;"CONSOMMATION",$F94=""),"EMPL. DESTINATION; ","")&amp;IF(AND($C94="TRANSFERT",$E94&lt;&gt;"",$E94=$F94),"SOURCE = DESTINATION; ",""),IF($Q94="EMPLACEMENT INCOHERENT","Le lot "&amp;$D94&amp;" n'existe pas sur cet emplacement (stock 0). Verifier l'emplacement.",IF($Q94="STOCK INSUFFISANT","Disponible avant operation : "&amp;TEXT($P94,"#,##0.00")&amp;" kg. Ligne NON comptee en stock.",IF(COUNTIFS($B$5:$B$304,$B94,$C$5:$C$304,$C94,$D$5:$D$304,$D94,$G$5:$G$304,$G94)&gt;1,"Doublon possible (meme date, type, lot et quantite).",IF($K94="LOT NON REFERENCE","Creer d'abord la fiche du lot dans l'onglet LOTS.",""))))))</f>
        <v/>
      </c>
    </row>
    <row r="95" customFormat="false" ht="15" hidden="false" customHeight="false" outlineLevel="0" collapsed="false">
      <c r="A95" s="26" t="str">
        <f aca="false">IF($C95="","","OP-"&amp;TEXT(ROW()-4,"000"))</f>
        <v/>
      </c>
      <c r="B95" s="25"/>
      <c r="C95" s="24"/>
      <c r="D95" s="24"/>
      <c r="E95" s="24"/>
      <c r="F95" s="24"/>
      <c r="G95" s="29"/>
      <c r="H95" s="24"/>
      <c r="I95" s="24"/>
      <c r="J95" s="26" t="str">
        <f aca="false">IF($D95="","",IFERROR(INDEX(LOT_EXTE,MATCH($D95,LOT_KEY,0)),""))</f>
        <v/>
      </c>
      <c r="K95" s="26" t="str">
        <f aca="false">IF($D95="","",IFERROR(INDEX(LOT_PRODE,MATCH($D95,LOT_KEY,0)),"LOT NON REFERENCE"))</f>
        <v/>
      </c>
      <c r="L95" s="26" t="str">
        <f aca="false">IF($D95="","",IFERROR(INDEX(LOT_FOURNE,MATCH($D95,LOT_KEY,0)),""))</f>
        <v/>
      </c>
      <c r="M95" s="26" t="str">
        <f aca="false">IF($E95="","",IFERROR(INDEX(EMPL_CLASSE,MATCH($E95,EMPL_KEY,0)),"?"))</f>
        <v/>
      </c>
      <c r="N95" s="26" t="str">
        <f aca="false">IF($F95="","",IFERROR(INDEX(EMPL_CLASSE,MATCH($F95,EMPL_KEY,0)),"?"))</f>
        <v/>
      </c>
      <c r="O95" s="28" t="n">
        <f aca="false">IF($C95="",0,IF(OR($B95="",$D95=""),0,IF($C95="AJUSTEMENT",IF(OR(NOT(ISNUMBER($G95)),$G95=0,$F95="",$H95=""),0,1),IF(OR(NOT(ISNUMBER($G95)),$G95&lt;=0),0,IF($C95="RECEPTION",IF($F95="",0,1),IF($C95="CONSOMMATION",IF($E95="",0,1),IF(OR($E95="",$F95="",$E95=$F95),0,1)))))))</f>
        <v>0</v>
      </c>
      <c r="P95" s="27" t="str">
        <f aca="false">IF(OR($O95=0,$C95="RECEPTION"),"",IF($C95="AJUSTEMENT",IF($G95&gt;0,"",SUMIFS(MVT_BRUT,MVT_LOT,$D95,MVT_EMPL,$F95)-$G95),SUMIFS(MVT_BRUT,MVT_LOT,$D95,MVT_EMPL,$E95)+$G95))</f>
        <v/>
      </c>
      <c r="Q95" s="26" t="str">
        <f aca="false">IF($C95="","",IF($O95=0,"DONNEES MANQUANTES",IF($C95="RECEPTION","OK",IF(AND($C95="AJUSTEMENT",$G95&gt;0),"OK",IF($P95&lt;=0,"EMPLACEMENT INCOHERENT",IF(ABS($G95)&gt;$P95+0.001,"STOCK INSUFFISANT","OK"))))))</f>
        <v/>
      </c>
      <c r="R95" s="28" t="n">
        <f aca="false">IF($Q95="OK",1,0)</f>
        <v>0</v>
      </c>
      <c r="S95" s="26" t="str">
        <f aca="false">IF($C95="","",IF($O95=0,"A COMPLETER : "&amp;IF($B95="","DATE; ","")&amp;IF($D95="","LOT INTERNE; ","")&amp;IF(NOT(ISNUMBER($G95)),"QUANTITE; ",IF(AND($C95="AJUSTEMENT",$G95=0),"QUANTITE &lt;&gt; 0; ",IF(AND($C95&lt;&gt;"AJUSTEMENT",$G95&lt;=0),"QUANTITE &gt; 0; ","")))&amp;IF(AND($C95="AJUSTEMENT",$H95=""),"MOTIF; ","")&amp;IF(AND(OR($C95="TRANSFERT",$C95="CONSOMMATION"),$E95=""),"EMPL. SOURCE; ","")&amp;IF(AND($C95&lt;&gt;"CONSOMMATION",$F95=""),"EMPL. DESTINATION; ","")&amp;IF(AND($C95="TRANSFERT",$E95&lt;&gt;"",$E95=$F95),"SOURCE = DESTINATION; ",""),IF($Q95="EMPLACEMENT INCOHERENT","Le lot "&amp;$D95&amp;" n'existe pas sur cet emplacement (stock 0). Verifier l'emplacement.",IF($Q95="STOCK INSUFFISANT","Disponible avant operation : "&amp;TEXT($P95,"#,##0.00")&amp;" kg. Ligne NON comptee en stock.",IF(COUNTIFS($B$5:$B$304,$B95,$C$5:$C$304,$C95,$D$5:$D$304,$D95,$G$5:$G$304,$G95)&gt;1,"Doublon possible (meme date, type, lot et quantite).",IF($K95="LOT NON REFERENCE","Creer d'abord la fiche du lot dans l'onglet LOTS.",""))))))</f>
        <v/>
      </c>
    </row>
    <row r="96" customFormat="false" ht="15" hidden="false" customHeight="false" outlineLevel="0" collapsed="false">
      <c r="A96" s="26" t="str">
        <f aca="false">IF($C96="","","OP-"&amp;TEXT(ROW()-4,"000"))</f>
        <v/>
      </c>
      <c r="B96" s="25"/>
      <c r="C96" s="24"/>
      <c r="D96" s="24"/>
      <c r="E96" s="24"/>
      <c r="F96" s="24"/>
      <c r="G96" s="29"/>
      <c r="H96" s="24"/>
      <c r="I96" s="24"/>
      <c r="J96" s="26" t="str">
        <f aca="false">IF($D96="","",IFERROR(INDEX(LOT_EXTE,MATCH($D96,LOT_KEY,0)),""))</f>
        <v/>
      </c>
      <c r="K96" s="26" t="str">
        <f aca="false">IF($D96="","",IFERROR(INDEX(LOT_PRODE,MATCH($D96,LOT_KEY,0)),"LOT NON REFERENCE"))</f>
        <v/>
      </c>
      <c r="L96" s="26" t="str">
        <f aca="false">IF($D96="","",IFERROR(INDEX(LOT_FOURNE,MATCH($D96,LOT_KEY,0)),""))</f>
        <v/>
      </c>
      <c r="M96" s="26" t="str">
        <f aca="false">IF($E96="","",IFERROR(INDEX(EMPL_CLASSE,MATCH($E96,EMPL_KEY,0)),"?"))</f>
        <v/>
      </c>
      <c r="N96" s="26" t="str">
        <f aca="false">IF($F96="","",IFERROR(INDEX(EMPL_CLASSE,MATCH($F96,EMPL_KEY,0)),"?"))</f>
        <v/>
      </c>
      <c r="O96" s="28" t="n">
        <f aca="false">IF($C96="",0,IF(OR($B96="",$D96=""),0,IF($C96="AJUSTEMENT",IF(OR(NOT(ISNUMBER($G96)),$G96=0,$F96="",$H96=""),0,1),IF(OR(NOT(ISNUMBER($G96)),$G96&lt;=0),0,IF($C96="RECEPTION",IF($F96="",0,1),IF($C96="CONSOMMATION",IF($E96="",0,1),IF(OR($E96="",$F96="",$E96=$F96),0,1)))))))</f>
        <v>0</v>
      </c>
      <c r="P96" s="27" t="str">
        <f aca="false">IF(OR($O96=0,$C96="RECEPTION"),"",IF($C96="AJUSTEMENT",IF($G96&gt;0,"",SUMIFS(MVT_BRUT,MVT_LOT,$D96,MVT_EMPL,$F96)-$G96),SUMIFS(MVT_BRUT,MVT_LOT,$D96,MVT_EMPL,$E96)+$G96))</f>
        <v/>
      </c>
      <c r="Q96" s="26" t="str">
        <f aca="false">IF($C96="","",IF($O96=0,"DONNEES MANQUANTES",IF($C96="RECEPTION","OK",IF(AND($C96="AJUSTEMENT",$G96&gt;0),"OK",IF($P96&lt;=0,"EMPLACEMENT INCOHERENT",IF(ABS($G96)&gt;$P96+0.001,"STOCK INSUFFISANT","OK"))))))</f>
        <v/>
      </c>
      <c r="R96" s="28" t="n">
        <f aca="false">IF($Q96="OK",1,0)</f>
        <v>0</v>
      </c>
      <c r="S96" s="26" t="str">
        <f aca="false">IF($C96="","",IF($O96=0,"A COMPLETER : "&amp;IF($B96="","DATE; ","")&amp;IF($D96="","LOT INTERNE; ","")&amp;IF(NOT(ISNUMBER($G96)),"QUANTITE; ",IF(AND($C96="AJUSTEMENT",$G96=0),"QUANTITE &lt;&gt; 0; ",IF(AND($C96&lt;&gt;"AJUSTEMENT",$G96&lt;=0),"QUANTITE &gt; 0; ","")))&amp;IF(AND($C96="AJUSTEMENT",$H96=""),"MOTIF; ","")&amp;IF(AND(OR($C96="TRANSFERT",$C96="CONSOMMATION"),$E96=""),"EMPL. SOURCE; ","")&amp;IF(AND($C96&lt;&gt;"CONSOMMATION",$F96=""),"EMPL. DESTINATION; ","")&amp;IF(AND($C96="TRANSFERT",$E96&lt;&gt;"",$E96=$F96),"SOURCE = DESTINATION; ",""),IF($Q96="EMPLACEMENT INCOHERENT","Le lot "&amp;$D96&amp;" n'existe pas sur cet emplacement (stock 0). Verifier l'emplacement.",IF($Q96="STOCK INSUFFISANT","Disponible avant operation : "&amp;TEXT($P96,"#,##0.00")&amp;" kg. Ligne NON comptee en stock.",IF(COUNTIFS($B$5:$B$304,$B96,$C$5:$C$304,$C96,$D$5:$D$304,$D96,$G$5:$G$304,$G96)&gt;1,"Doublon possible (meme date, type, lot et quantite).",IF($K96="LOT NON REFERENCE","Creer d'abord la fiche du lot dans l'onglet LOTS.",""))))))</f>
        <v/>
      </c>
    </row>
    <row r="97" customFormat="false" ht="15" hidden="false" customHeight="false" outlineLevel="0" collapsed="false">
      <c r="A97" s="26" t="str">
        <f aca="false">IF($C97="","","OP-"&amp;TEXT(ROW()-4,"000"))</f>
        <v/>
      </c>
      <c r="B97" s="25"/>
      <c r="C97" s="24"/>
      <c r="D97" s="24"/>
      <c r="E97" s="24"/>
      <c r="F97" s="24"/>
      <c r="G97" s="29"/>
      <c r="H97" s="24"/>
      <c r="I97" s="24"/>
      <c r="J97" s="26" t="str">
        <f aca="false">IF($D97="","",IFERROR(INDEX(LOT_EXTE,MATCH($D97,LOT_KEY,0)),""))</f>
        <v/>
      </c>
      <c r="K97" s="26" t="str">
        <f aca="false">IF($D97="","",IFERROR(INDEX(LOT_PRODE,MATCH($D97,LOT_KEY,0)),"LOT NON REFERENCE"))</f>
        <v/>
      </c>
      <c r="L97" s="26" t="str">
        <f aca="false">IF($D97="","",IFERROR(INDEX(LOT_FOURNE,MATCH($D97,LOT_KEY,0)),""))</f>
        <v/>
      </c>
      <c r="M97" s="26" t="str">
        <f aca="false">IF($E97="","",IFERROR(INDEX(EMPL_CLASSE,MATCH($E97,EMPL_KEY,0)),"?"))</f>
        <v/>
      </c>
      <c r="N97" s="26" t="str">
        <f aca="false">IF($F97="","",IFERROR(INDEX(EMPL_CLASSE,MATCH($F97,EMPL_KEY,0)),"?"))</f>
        <v/>
      </c>
      <c r="O97" s="28" t="n">
        <f aca="false">IF($C97="",0,IF(OR($B97="",$D97=""),0,IF($C97="AJUSTEMENT",IF(OR(NOT(ISNUMBER($G97)),$G97=0,$F97="",$H97=""),0,1),IF(OR(NOT(ISNUMBER($G97)),$G97&lt;=0),0,IF($C97="RECEPTION",IF($F97="",0,1),IF($C97="CONSOMMATION",IF($E97="",0,1),IF(OR($E97="",$F97="",$E97=$F97),0,1)))))))</f>
        <v>0</v>
      </c>
      <c r="P97" s="27" t="str">
        <f aca="false">IF(OR($O97=0,$C97="RECEPTION"),"",IF($C97="AJUSTEMENT",IF($G97&gt;0,"",SUMIFS(MVT_BRUT,MVT_LOT,$D97,MVT_EMPL,$F97)-$G97),SUMIFS(MVT_BRUT,MVT_LOT,$D97,MVT_EMPL,$E97)+$G97))</f>
        <v/>
      </c>
      <c r="Q97" s="26" t="str">
        <f aca="false">IF($C97="","",IF($O97=0,"DONNEES MANQUANTES",IF($C97="RECEPTION","OK",IF(AND($C97="AJUSTEMENT",$G97&gt;0),"OK",IF($P97&lt;=0,"EMPLACEMENT INCOHERENT",IF(ABS($G97)&gt;$P97+0.001,"STOCK INSUFFISANT","OK"))))))</f>
        <v/>
      </c>
      <c r="R97" s="28" t="n">
        <f aca="false">IF($Q97="OK",1,0)</f>
        <v>0</v>
      </c>
      <c r="S97" s="26" t="str">
        <f aca="false">IF($C97="","",IF($O97=0,"A COMPLETER : "&amp;IF($B97="","DATE; ","")&amp;IF($D97="","LOT INTERNE; ","")&amp;IF(NOT(ISNUMBER($G97)),"QUANTITE; ",IF(AND($C97="AJUSTEMENT",$G97=0),"QUANTITE &lt;&gt; 0; ",IF(AND($C97&lt;&gt;"AJUSTEMENT",$G97&lt;=0),"QUANTITE &gt; 0; ","")))&amp;IF(AND($C97="AJUSTEMENT",$H97=""),"MOTIF; ","")&amp;IF(AND(OR($C97="TRANSFERT",$C97="CONSOMMATION"),$E97=""),"EMPL. SOURCE; ","")&amp;IF(AND($C97&lt;&gt;"CONSOMMATION",$F97=""),"EMPL. DESTINATION; ","")&amp;IF(AND($C97="TRANSFERT",$E97&lt;&gt;"",$E97=$F97),"SOURCE = DESTINATION; ",""),IF($Q97="EMPLACEMENT INCOHERENT","Le lot "&amp;$D97&amp;" n'existe pas sur cet emplacement (stock 0). Verifier l'emplacement.",IF($Q97="STOCK INSUFFISANT","Disponible avant operation : "&amp;TEXT($P97,"#,##0.00")&amp;" kg. Ligne NON comptee en stock.",IF(COUNTIFS($B$5:$B$304,$B97,$C$5:$C$304,$C97,$D$5:$D$304,$D97,$G$5:$G$304,$G97)&gt;1,"Doublon possible (meme date, type, lot et quantite).",IF($K97="LOT NON REFERENCE","Creer d'abord la fiche du lot dans l'onglet LOTS.",""))))))</f>
        <v/>
      </c>
    </row>
    <row r="98" customFormat="false" ht="15" hidden="false" customHeight="false" outlineLevel="0" collapsed="false">
      <c r="A98" s="26" t="str">
        <f aca="false">IF($C98="","","OP-"&amp;TEXT(ROW()-4,"000"))</f>
        <v/>
      </c>
      <c r="B98" s="25"/>
      <c r="C98" s="24"/>
      <c r="D98" s="24"/>
      <c r="E98" s="24"/>
      <c r="F98" s="24"/>
      <c r="G98" s="29"/>
      <c r="H98" s="24"/>
      <c r="I98" s="24"/>
      <c r="J98" s="26" t="str">
        <f aca="false">IF($D98="","",IFERROR(INDEX(LOT_EXTE,MATCH($D98,LOT_KEY,0)),""))</f>
        <v/>
      </c>
      <c r="K98" s="26" t="str">
        <f aca="false">IF($D98="","",IFERROR(INDEX(LOT_PRODE,MATCH($D98,LOT_KEY,0)),"LOT NON REFERENCE"))</f>
        <v/>
      </c>
      <c r="L98" s="26" t="str">
        <f aca="false">IF($D98="","",IFERROR(INDEX(LOT_FOURNE,MATCH($D98,LOT_KEY,0)),""))</f>
        <v/>
      </c>
      <c r="M98" s="26" t="str">
        <f aca="false">IF($E98="","",IFERROR(INDEX(EMPL_CLASSE,MATCH($E98,EMPL_KEY,0)),"?"))</f>
        <v/>
      </c>
      <c r="N98" s="26" t="str">
        <f aca="false">IF($F98="","",IFERROR(INDEX(EMPL_CLASSE,MATCH($F98,EMPL_KEY,0)),"?"))</f>
        <v/>
      </c>
      <c r="O98" s="28" t="n">
        <f aca="false">IF($C98="",0,IF(OR($B98="",$D98=""),0,IF($C98="AJUSTEMENT",IF(OR(NOT(ISNUMBER($G98)),$G98=0,$F98="",$H98=""),0,1),IF(OR(NOT(ISNUMBER($G98)),$G98&lt;=0),0,IF($C98="RECEPTION",IF($F98="",0,1),IF($C98="CONSOMMATION",IF($E98="",0,1),IF(OR($E98="",$F98="",$E98=$F98),0,1)))))))</f>
        <v>0</v>
      </c>
      <c r="P98" s="27" t="str">
        <f aca="false">IF(OR($O98=0,$C98="RECEPTION"),"",IF($C98="AJUSTEMENT",IF($G98&gt;0,"",SUMIFS(MVT_BRUT,MVT_LOT,$D98,MVT_EMPL,$F98)-$G98),SUMIFS(MVT_BRUT,MVT_LOT,$D98,MVT_EMPL,$E98)+$G98))</f>
        <v/>
      </c>
      <c r="Q98" s="26" t="str">
        <f aca="false">IF($C98="","",IF($O98=0,"DONNEES MANQUANTES",IF($C98="RECEPTION","OK",IF(AND($C98="AJUSTEMENT",$G98&gt;0),"OK",IF($P98&lt;=0,"EMPLACEMENT INCOHERENT",IF(ABS($G98)&gt;$P98+0.001,"STOCK INSUFFISANT","OK"))))))</f>
        <v/>
      </c>
      <c r="R98" s="28" t="n">
        <f aca="false">IF($Q98="OK",1,0)</f>
        <v>0</v>
      </c>
      <c r="S98" s="26" t="str">
        <f aca="false">IF($C98="","",IF($O98=0,"A COMPLETER : "&amp;IF($B98="","DATE; ","")&amp;IF($D98="","LOT INTERNE; ","")&amp;IF(NOT(ISNUMBER($G98)),"QUANTITE; ",IF(AND($C98="AJUSTEMENT",$G98=0),"QUANTITE &lt;&gt; 0; ",IF(AND($C98&lt;&gt;"AJUSTEMENT",$G98&lt;=0),"QUANTITE &gt; 0; ","")))&amp;IF(AND($C98="AJUSTEMENT",$H98=""),"MOTIF; ","")&amp;IF(AND(OR($C98="TRANSFERT",$C98="CONSOMMATION"),$E98=""),"EMPL. SOURCE; ","")&amp;IF(AND($C98&lt;&gt;"CONSOMMATION",$F98=""),"EMPL. DESTINATION; ","")&amp;IF(AND($C98="TRANSFERT",$E98&lt;&gt;"",$E98=$F98),"SOURCE = DESTINATION; ",""),IF($Q98="EMPLACEMENT INCOHERENT","Le lot "&amp;$D98&amp;" n'existe pas sur cet emplacement (stock 0). Verifier l'emplacement.",IF($Q98="STOCK INSUFFISANT","Disponible avant operation : "&amp;TEXT($P98,"#,##0.00")&amp;" kg. Ligne NON comptee en stock.",IF(COUNTIFS($B$5:$B$304,$B98,$C$5:$C$304,$C98,$D$5:$D$304,$D98,$G$5:$G$304,$G98)&gt;1,"Doublon possible (meme date, type, lot et quantite).",IF($K98="LOT NON REFERENCE","Creer d'abord la fiche du lot dans l'onglet LOTS.",""))))))</f>
        <v/>
      </c>
    </row>
    <row r="99" customFormat="false" ht="15" hidden="false" customHeight="false" outlineLevel="0" collapsed="false">
      <c r="A99" s="26" t="str">
        <f aca="false">IF($C99="","","OP-"&amp;TEXT(ROW()-4,"000"))</f>
        <v/>
      </c>
      <c r="B99" s="25"/>
      <c r="C99" s="24"/>
      <c r="D99" s="24"/>
      <c r="E99" s="24"/>
      <c r="F99" s="24"/>
      <c r="G99" s="29"/>
      <c r="H99" s="24"/>
      <c r="I99" s="24"/>
      <c r="J99" s="26" t="str">
        <f aca="false">IF($D99="","",IFERROR(INDEX(LOT_EXTE,MATCH($D99,LOT_KEY,0)),""))</f>
        <v/>
      </c>
      <c r="K99" s="26" t="str">
        <f aca="false">IF($D99="","",IFERROR(INDEX(LOT_PRODE,MATCH($D99,LOT_KEY,0)),"LOT NON REFERENCE"))</f>
        <v/>
      </c>
      <c r="L99" s="26" t="str">
        <f aca="false">IF($D99="","",IFERROR(INDEX(LOT_FOURNE,MATCH($D99,LOT_KEY,0)),""))</f>
        <v/>
      </c>
      <c r="M99" s="26" t="str">
        <f aca="false">IF($E99="","",IFERROR(INDEX(EMPL_CLASSE,MATCH($E99,EMPL_KEY,0)),"?"))</f>
        <v/>
      </c>
      <c r="N99" s="26" t="str">
        <f aca="false">IF($F99="","",IFERROR(INDEX(EMPL_CLASSE,MATCH($F99,EMPL_KEY,0)),"?"))</f>
        <v/>
      </c>
      <c r="O99" s="28" t="n">
        <f aca="false">IF($C99="",0,IF(OR($B99="",$D99=""),0,IF($C99="AJUSTEMENT",IF(OR(NOT(ISNUMBER($G99)),$G99=0,$F99="",$H99=""),0,1),IF(OR(NOT(ISNUMBER($G99)),$G99&lt;=0),0,IF($C99="RECEPTION",IF($F99="",0,1),IF($C99="CONSOMMATION",IF($E99="",0,1),IF(OR($E99="",$F99="",$E99=$F99),0,1)))))))</f>
        <v>0</v>
      </c>
      <c r="P99" s="27" t="str">
        <f aca="false">IF(OR($O99=0,$C99="RECEPTION"),"",IF($C99="AJUSTEMENT",IF($G99&gt;0,"",SUMIFS(MVT_BRUT,MVT_LOT,$D99,MVT_EMPL,$F99)-$G99),SUMIFS(MVT_BRUT,MVT_LOT,$D99,MVT_EMPL,$E99)+$G99))</f>
        <v/>
      </c>
      <c r="Q99" s="26" t="str">
        <f aca="false">IF($C99="","",IF($O99=0,"DONNEES MANQUANTES",IF($C99="RECEPTION","OK",IF(AND($C99="AJUSTEMENT",$G99&gt;0),"OK",IF($P99&lt;=0,"EMPLACEMENT INCOHERENT",IF(ABS($G99)&gt;$P99+0.001,"STOCK INSUFFISANT","OK"))))))</f>
        <v/>
      </c>
      <c r="R99" s="28" t="n">
        <f aca="false">IF($Q99="OK",1,0)</f>
        <v>0</v>
      </c>
      <c r="S99" s="26" t="str">
        <f aca="false">IF($C99="","",IF($O99=0,"A COMPLETER : "&amp;IF($B99="","DATE; ","")&amp;IF($D99="","LOT INTERNE; ","")&amp;IF(NOT(ISNUMBER($G99)),"QUANTITE; ",IF(AND($C99="AJUSTEMENT",$G99=0),"QUANTITE &lt;&gt; 0; ",IF(AND($C99&lt;&gt;"AJUSTEMENT",$G99&lt;=0),"QUANTITE &gt; 0; ","")))&amp;IF(AND($C99="AJUSTEMENT",$H99=""),"MOTIF; ","")&amp;IF(AND(OR($C99="TRANSFERT",$C99="CONSOMMATION"),$E99=""),"EMPL. SOURCE; ","")&amp;IF(AND($C99&lt;&gt;"CONSOMMATION",$F99=""),"EMPL. DESTINATION; ","")&amp;IF(AND($C99="TRANSFERT",$E99&lt;&gt;"",$E99=$F99),"SOURCE = DESTINATION; ",""),IF($Q99="EMPLACEMENT INCOHERENT","Le lot "&amp;$D99&amp;" n'existe pas sur cet emplacement (stock 0). Verifier l'emplacement.",IF($Q99="STOCK INSUFFISANT","Disponible avant operation : "&amp;TEXT($P99,"#,##0.00")&amp;" kg. Ligne NON comptee en stock.",IF(COUNTIFS($B$5:$B$304,$B99,$C$5:$C$304,$C99,$D$5:$D$304,$D99,$G$5:$G$304,$G99)&gt;1,"Doublon possible (meme date, type, lot et quantite).",IF($K99="LOT NON REFERENCE","Creer d'abord la fiche du lot dans l'onglet LOTS.",""))))))</f>
        <v/>
      </c>
    </row>
    <row r="100" customFormat="false" ht="15" hidden="false" customHeight="false" outlineLevel="0" collapsed="false">
      <c r="A100" s="26" t="str">
        <f aca="false">IF($C100="","","OP-"&amp;TEXT(ROW()-4,"000"))</f>
        <v/>
      </c>
      <c r="B100" s="25"/>
      <c r="C100" s="24"/>
      <c r="D100" s="24"/>
      <c r="E100" s="24"/>
      <c r="F100" s="24"/>
      <c r="G100" s="29"/>
      <c r="H100" s="24"/>
      <c r="I100" s="24"/>
      <c r="J100" s="26" t="str">
        <f aca="false">IF($D100="","",IFERROR(INDEX(LOT_EXTE,MATCH($D100,LOT_KEY,0)),""))</f>
        <v/>
      </c>
      <c r="K100" s="26" t="str">
        <f aca="false">IF($D100="","",IFERROR(INDEX(LOT_PRODE,MATCH($D100,LOT_KEY,0)),"LOT NON REFERENCE"))</f>
        <v/>
      </c>
      <c r="L100" s="26" t="str">
        <f aca="false">IF($D100="","",IFERROR(INDEX(LOT_FOURNE,MATCH($D100,LOT_KEY,0)),""))</f>
        <v/>
      </c>
      <c r="M100" s="26" t="str">
        <f aca="false">IF($E100="","",IFERROR(INDEX(EMPL_CLASSE,MATCH($E100,EMPL_KEY,0)),"?"))</f>
        <v/>
      </c>
      <c r="N100" s="26" t="str">
        <f aca="false">IF($F100="","",IFERROR(INDEX(EMPL_CLASSE,MATCH($F100,EMPL_KEY,0)),"?"))</f>
        <v/>
      </c>
      <c r="O100" s="28" t="n">
        <f aca="false">IF($C100="",0,IF(OR($B100="",$D100=""),0,IF($C100="AJUSTEMENT",IF(OR(NOT(ISNUMBER($G100)),$G100=0,$F100="",$H100=""),0,1),IF(OR(NOT(ISNUMBER($G100)),$G100&lt;=0),0,IF($C100="RECEPTION",IF($F100="",0,1),IF($C100="CONSOMMATION",IF($E100="",0,1),IF(OR($E100="",$F100="",$E100=$F100),0,1)))))))</f>
        <v>0</v>
      </c>
      <c r="P100" s="27" t="str">
        <f aca="false">IF(OR($O100=0,$C100="RECEPTION"),"",IF($C100="AJUSTEMENT",IF($G100&gt;0,"",SUMIFS(MVT_BRUT,MVT_LOT,$D100,MVT_EMPL,$F100)-$G100),SUMIFS(MVT_BRUT,MVT_LOT,$D100,MVT_EMPL,$E100)+$G100))</f>
        <v/>
      </c>
      <c r="Q100" s="26" t="str">
        <f aca="false">IF($C100="","",IF($O100=0,"DONNEES MANQUANTES",IF($C100="RECEPTION","OK",IF(AND($C100="AJUSTEMENT",$G100&gt;0),"OK",IF($P100&lt;=0,"EMPLACEMENT INCOHERENT",IF(ABS($G100)&gt;$P100+0.001,"STOCK INSUFFISANT","OK"))))))</f>
        <v/>
      </c>
      <c r="R100" s="28" t="n">
        <f aca="false">IF($Q100="OK",1,0)</f>
        <v>0</v>
      </c>
      <c r="S100" s="26" t="str">
        <f aca="false">IF($C100="","",IF($O100=0,"A COMPLETER : "&amp;IF($B100="","DATE; ","")&amp;IF($D100="","LOT INTERNE; ","")&amp;IF(NOT(ISNUMBER($G100)),"QUANTITE; ",IF(AND($C100="AJUSTEMENT",$G100=0),"QUANTITE &lt;&gt; 0; ",IF(AND($C100&lt;&gt;"AJUSTEMENT",$G100&lt;=0),"QUANTITE &gt; 0; ","")))&amp;IF(AND($C100="AJUSTEMENT",$H100=""),"MOTIF; ","")&amp;IF(AND(OR($C100="TRANSFERT",$C100="CONSOMMATION"),$E100=""),"EMPL. SOURCE; ","")&amp;IF(AND($C100&lt;&gt;"CONSOMMATION",$F100=""),"EMPL. DESTINATION; ","")&amp;IF(AND($C100="TRANSFERT",$E100&lt;&gt;"",$E100=$F100),"SOURCE = DESTINATION; ",""),IF($Q100="EMPLACEMENT INCOHERENT","Le lot "&amp;$D100&amp;" n'existe pas sur cet emplacement (stock 0). Verifier l'emplacement.",IF($Q100="STOCK INSUFFISANT","Disponible avant operation : "&amp;TEXT($P100,"#,##0.00")&amp;" kg. Ligne NON comptee en stock.",IF(COUNTIFS($B$5:$B$304,$B100,$C$5:$C$304,$C100,$D$5:$D$304,$D100,$G$5:$G$304,$G100)&gt;1,"Doublon possible (meme date, type, lot et quantite).",IF($K100="LOT NON REFERENCE","Creer d'abord la fiche du lot dans l'onglet LOTS.",""))))))</f>
        <v/>
      </c>
    </row>
    <row r="101" customFormat="false" ht="15" hidden="false" customHeight="false" outlineLevel="0" collapsed="false">
      <c r="A101" s="26" t="str">
        <f aca="false">IF($C101="","","OP-"&amp;TEXT(ROW()-4,"000"))</f>
        <v/>
      </c>
      <c r="B101" s="25"/>
      <c r="C101" s="24"/>
      <c r="D101" s="24"/>
      <c r="E101" s="24"/>
      <c r="F101" s="24"/>
      <c r="G101" s="29"/>
      <c r="H101" s="24"/>
      <c r="I101" s="24"/>
      <c r="J101" s="26" t="str">
        <f aca="false">IF($D101="","",IFERROR(INDEX(LOT_EXTE,MATCH($D101,LOT_KEY,0)),""))</f>
        <v/>
      </c>
      <c r="K101" s="26" t="str">
        <f aca="false">IF($D101="","",IFERROR(INDEX(LOT_PRODE,MATCH($D101,LOT_KEY,0)),"LOT NON REFERENCE"))</f>
        <v/>
      </c>
      <c r="L101" s="26" t="str">
        <f aca="false">IF($D101="","",IFERROR(INDEX(LOT_FOURNE,MATCH($D101,LOT_KEY,0)),""))</f>
        <v/>
      </c>
      <c r="M101" s="26" t="str">
        <f aca="false">IF($E101="","",IFERROR(INDEX(EMPL_CLASSE,MATCH($E101,EMPL_KEY,0)),"?"))</f>
        <v/>
      </c>
      <c r="N101" s="26" t="str">
        <f aca="false">IF($F101="","",IFERROR(INDEX(EMPL_CLASSE,MATCH($F101,EMPL_KEY,0)),"?"))</f>
        <v/>
      </c>
      <c r="O101" s="28" t="n">
        <f aca="false">IF($C101="",0,IF(OR($B101="",$D101=""),0,IF($C101="AJUSTEMENT",IF(OR(NOT(ISNUMBER($G101)),$G101=0,$F101="",$H101=""),0,1),IF(OR(NOT(ISNUMBER($G101)),$G101&lt;=0),0,IF($C101="RECEPTION",IF($F101="",0,1),IF($C101="CONSOMMATION",IF($E101="",0,1),IF(OR($E101="",$F101="",$E101=$F101),0,1)))))))</f>
        <v>0</v>
      </c>
      <c r="P101" s="27" t="str">
        <f aca="false">IF(OR($O101=0,$C101="RECEPTION"),"",IF($C101="AJUSTEMENT",IF($G101&gt;0,"",SUMIFS(MVT_BRUT,MVT_LOT,$D101,MVT_EMPL,$F101)-$G101),SUMIFS(MVT_BRUT,MVT_LOT,$D101,MVT_EMPL,$E101)+$G101))</f>
        <v/>
      </c>
      <c r="Q101" s="26" t="str">
        <f aca="false">IF($C101="","",IF($O101=0,"DONNEES MANQUANTES",IF($C101="RECEPTION","OK",IF(AND($C101="AJUSTEMENT",$G101&gt;0),"OK",IF($P101&lt;=0,"EMPLACEMENT INCOHERENT",IF(ABS($G101)&gt;$P101+0.001,"STOCK INSUFFISANT","OK"))))))</f>
        <v/>
      </c>
      <c r="R101" s="28" t="n">
        <f aca="false">IF($Q101="OK",1,0)</f>
        <v>0</v>
      </c>
      <c r="S101" s="26" t="str">
        <f aca="false">IF($C101="","",IF($O101=0,"A COMPLETER : "&amp;IF($B101="","DATE; ","")&amp;IF($D101="","LOT INTERNE; ","")&amp;IF(NOT(ISNUMBER($G101)),"QUANTITE; ",IF(AND($C101="AJUSTEMENT",$G101=0),"QUANTITE &lt;&gt; 0; ",IF(AND($C101&lt;&gt;"AJUSTEMENT",$G101&lt;=0),"QUANTITE &gt; 0; ","")))&amp;IF(AND($C101="AJUSTEMENT",$H101=""),"MOTIF; ","")&amp;IF(AND(OR($C101="TRANSFERT",$C101="CONSOMMATION"),$E101=""),"EMPL. SOURCE; ","")&amp;IF(AND($C101&lt;&gt;"CONSOMMATION",$F101=""),"EMPL. DESTINATION; ","")&amp;IF(AND($C101="TRANSFERT",$E101&lt;&gt;"",$E101=$F101),"SOURCE = DESTINATION; ",""),IF($Q101="EMPLACEMENT INCOHERENT","Le lot "&amp;$D101&amp;" n'existe pas sur cet emplacement (stock 0). Verifier l'emplacement.",IF($Q101="STOCK INSUFFISANT","Disponible avant operation : "&amp;TEXT($P101,"#,##0.00")&amp;" kg. Ligne NON comptee en stock.",IF(COUNTIFS($B$5:$B$304,$B101,$C$5:$C$304,$C101,$D$5:$D$304,$D101,$G$5:$G$304,$G101)&gt;1,"Doublon possible (meme date, type, lot et quantite).",IF($K101="LOT NON REFERENCE","Creer d'abord la fiche du lot dans l'onglet LOTS.",""))))))</f>
        <v/>
      </c>
    </row>
    <row r="102" customFormat="false" ht="15" hidden="false" customHeight="false" outlineLevel="0" collapsed="false">
      <c r="A102" s="26" t="str">
        <f aca="false">IF($C102="","","OP-"&amp;TEXT(ROW()-4,"000"))</f>
        <v/>
      </c>
      <c r="B102" s="25"/>
      <c r="C102" s="24"/>
      <c r="D102" s="24"/>
      <c r="E102" s="24"/>
      <c r="F102" s="24"/>
      <c r="G102" s="29"/>
      <c r="H102" s="24"/>
      <c r="I102" s="24"/>
      <c r="J102" s="26" t="str">
        <f aca="false">IF($D102="","",IFERROR(INDEX(LOT_EXTE,MATCH($D102,LOT_KEY,0)),""))</f>
        <v/>
      </c>
      <c r="K102" s="26" t="str">
        <f aca="false">IF($D102="","",IFERROR(INDEX(LOT_PRODE,MATCH($D102,LOT_KEY,0)),"LOT NON REFERENCE"))</f>
        <v/>
      </c>
      <c r="L102" s="26" t="str">
        <f aca="false">IF($D102="","",IFERROR(INDEX(LOT_FOURNE,MATCH($D102,LOT_KEY,0)),""))</f>
        <v/>
      </c>
      <c r="M102" s="26" t="str">
        <f aca="false">IF($E102="","",IFERROR(INDEX(EMPL_CLASSE,MATCH($E102,EMPL_KEY,0)),"?"))</f>
        <v/>
      </c>
      <c r="N102" s="26" t="str">
        <f aca="false">IF($F102="","",IFERROR(INDEX(EMPL_CLASSE,MATCH($F102,EMPL_KEY,0)),"?"))</f>
        <v/>
      </c>
      <c r="O102" s="28" t="n">
        <f aca="false">IF($C102="",0,IF(OR($B102="",$D102=""),0,IF($C102="AJUSTEMENT",IF(OR(NOT(ISNUMBER($G102)),$G102=0,$F102="",$H102=""),0,1),IF(OR(NOT(ISNUMBER($G102)),$G102&lt;=0),0,IF($C102="RECEPTION",IF($F102="",0,1),IF($C102="CONSOMMATION",IF($E102="",0,1),IF(OR($E102="",$F102="",$E102=$F102),0,1)))))))</f>
        <v>0</v>
      </c>
      <c r="P102" s="27" t="str">
        <f aca="false">IF(OR($O102=0,$C102="RECEPTION"),"",IF($C102="AJUSTEMENT",IF($G102&gt;0,"",SUMIFS(MVT_BRUT,MVT_LOT,$D102,MVT_EMPL,$F102)-$G102),SUMIFS(MVT_BRUT,MVT_LOT,$D102,MVT_EMPL,$E102)+$G102))</f>
        <v/>
      </c>
      <c r="Q102" s="26" t="str">
        <f aca="false">IF($C102="","",IF($O102=0,"DONNEES MANQUANTES",IF($C102="RECEPTION","OK",IF(AND($C102="AJUSTEMENT",$G102&gt;0),"OK",IF($P102&lt;=0,"EMPLACEMENT INCOHERENT",IF(ABS($G102)&gt;$P102+0.001,"STOCK INSUFFISANT","OK"))))))</f>
        <v/>
      </c>
      <c r="R102" s="28" t="n">
        <f aca="false">IF($Q102="OK",1,0)</f>
        <v>0</v>
      </c>
      <c r="S102" s="26" t="str">
        <f aca="false">IF($C102="","",IF($O102=0,"A COMPLETER : "&amp;IF($B102="","DATE; ","")&amp;IF($D102="","LOT INTERNE; ","")&amp;IF(NOT(ISNUMBER($G102)),"QUANTITE; ",IF(AND($C102="AJUSTEMENT",$G102=0),"QUANTITE &lt;&gt; 0; ",IF(AND($C102&lt;&gt;"AJUSTEMENT",$G102&lt;=0),"QUANTITE &gt; 0; ","")))&amp;IF(AND($C102="AJUSTEMENT",$H102=""),"MOTIF; ","")&amp;IF(AND(OR($C102="TRANSFERT",$C102="CONSOMMATION"),$E102=""),"EMPL. SOURCE; ","")&amp;IF(AND($C102&lt;&gt;"CONSOMMATION",$F102=""),"EMPL. DESTINATION; ","")&amp;IF(AND($C102="TRANSFERT",$E102&lt;&gt;"",$E102=$F102),"SOURCE = DESTINATION; ",""),IF($Q102="EMPLACEMENT INCOHERENT","Le lot "&amp;$D102&amp;" n'existe pas sur cet emplacement (stock 0). Verifier l'emplacement.",IF($Q102="STOCK INSUFFISANT","Disponible avant operation : "&amp;TEXT($P102,"#,##0.00")&amp;" kg. Ligne NON comptee en stock.",IF(COUNTIFS($B$5:$B$304,$B102,$C$5:$C$304,$C102,$D$5:$D$304,$D102,$G$5:$G$304,$G102)&gt;1,"Doublon possible (meme date, type, lot et quantite).",IF($K102="LOT NON REFERENCE","Creer d'abord la fiche du lot dans l'onglet LOTS.",""))))))</f>
        <v/>
      </c>
    </row>
    <row r="103" customFormat="false" ht="15" hidden="false" customHeight="false" outlineLevel="0" collapsed="false">
      <c r="A103" s="26" t="str">
        <f aca="false">IF($C103="","","OP-"&amp;TEXT(ROW()-4,"000"))</f>
        <v/>
      </c>
      <c r="B103" s="25"/>
      <c r="C103" s="24"/>
      <c r="D103" s="24"/>
      <c r="E103" s="24"/>
      <c r="F103" s="24"/>
      <c r="G103" s="29"/>
      <c r="H103" s="24"/>
      <c r="I103" s="24"/>
      <c r="J103" s="26" t="str">
        <f aca="false">IF($D103="","",IFERROR(INDEX(LOT_EXTE,MATCH($D103,LOT_KEY,0)),""))</f>
        <v/>
      </c>
      <c r="K103" s="26" t="str">
        <f aca="false">IF($D103="","",IFERROR(INDEX(LOT_PRODE,MATCH($D103,LOT_KEY,0)),"LOT NON REFERENCE"))</f>
        <v/>
      </c>
      <c r="L103" s="26" t="str">
        <f aca="false">IF($D103="","",IFERROR(INDEX(LOT_FOURNE,MATCH($D103,LOT_KEY,0)),""))</f>
        <v/>
      </c>
      <c r="M103" s="26" t="str">
        <f aca="false">IF($E103="","",IFERROR(INDEX(EMPL_CLASSE,MATCH($E103,EMPL_KEY,0)),"?"))</f>
        <v/>
      </c>
      <c r="N103" s="26" t="str">
        <f aca="false">IF($F103="","",IFERROR(INDEX(EMPL_CLASSE,MATCH($F103,EMPL_KEY,0)),"?"))</f>
        <v/>
      </c>
      <c r="O103" s="28" t="n">
        <f aca="false">IF($C103="",0,IF(OR($B103="",$D103=""),0,IF($C103="AJUSTEMENT",IF(OR(NOT(ISNUMBER($G103)),$G103=0,$F103="",$H103=""),0,1),IF(OR(NOT(ISNUMBER($G103)),$G103&lt;=0),0,IF($C103="RECEPTION",IF($F103="",0,1),IF($C103="CONSOMMATION",IF($E103="",0,1),IF(OR($E103="",$F103="",$E103=$F103),0,1)))))))</f>
        <v>0</v>
      </c>
      <c r="P103" s="27" t="str">
        <f aca="false">IF(OR($O103=0,$C103="RECEPTION"),"",IF($C103="AJUSTEMENT",IF($G103&gt;0,"",SUMIFS(MVT_BRUT,MVT_LOT,$D103,MVT_EMPL,$F103)-$G103),SUMIFS(MVT_BRUT,MVT_LOT,$D103,MVT_EMPL,$E103)+$G103))</f>
        <v/>
      </c>
      <c r="Q103" s="26" t="str">
        <f aca="false">IF($C103="","",IF($O103=0,"DONNEES MANQUANTES",IF($C103="RECEPTION","OK",IF(AND($C103="AJUSTEMENT",$G103&gt;0),"OK",IF($P103&lt;=0,"EMPLACEMENT INCOHERENT",IF(ABS($G103)&gt;$P103+0.001,"STOCK INSUFFISANT","OK"))))))</f>
        <v/>
      </c>
      <c r="R103" s="28" t="n">
        <f aca="false">IF($Q103="OK",1,0)</f>
        <v>0</v>
      </c>
      <c r="S103" s="26" t="str">
        <f aca="false">IF($C103="","",IF($O103=0,"A COMPLETER : "&amp;IF($B103="","DATE; ","")&amp;IF($D103="","LOT INTERNE; ","")&amp;IF(NOT(ISNUMBER($G103)),"QUANTITE; ",IF(AND($C103="AJUSTEMENT",$G103=0),"QUANTITE &lt;&gt; 0; ",IF(AND($C103&lt;&gt;"AJUSTEMENT",$G103&lt;=0),"QUANTITE &gt; 0; ","")))&amp;IF(AND($C103="AJUSTEMENT",$H103=""),"MOTIF; ","")&amp;IF(AND(OR($C103="TRANSFERT",$C103="CONSOMMATION"),$E103=""),"EMPL. SOURCE; ","")&amp;IF(AND($C103&lt;&gt;"CONSOMMATION",$F103=""),"EMPL. DESTINATION; ","")&amp;IF(AND($C103="TRANSFERT",$E103&lt;&gt;"",$E103=$F103),"SOURCE = DESTINATION; ",""),IF($Q103="EMPLACEMENT INCOHERENT","Le lot "&amp;$D103&amp;" n'existe pas sur cet emplacement (stock 0). Verifier l'emplacement.",IF($Q103="STOCK INSUFFISANT","Disponible avant operation : "&amp;TEXT($P103,"#,##0.00")&amp;" kg. Ligne NON comptee en stock.",IF(COUNTIFS($B$5:$B$304,$B103,$C$5:$C$304,$C103,$D$5:$D$304,$D103,$G$5:$G$304,$G103)&gt;1,"Doublon possible (meme date, type, lot et quantite).",IF($K103="LOT NON REFERENCE","Creer d'abord la fiche du lot dans l'onglet LOTS.",""))))))</f>
        <v/>
      </c>
    </row>
    <row r="104" customFormat="false" ht="15" hidden="false" customHeight="false" outlineLevel="0" collapsed="false">
      <c r="A104" s="26" t="str">
        <f aca="false">IF($C104="","","OP-"&amp;TEXT(ROW()-4,"000"))</f>
        <v/>
      </c>
      <c r="B104" s="25"/>
      <c r="C104" s="24"/>
      <c r="D104" s="24"/>
      <c r="E104" s="24"/>
      <c r="F104" s="24"/>
      <c r="G104" s="29"/>
      <c r="H104" s="24"/>
      <c r="I104" s="24"/>
      <c r="J104" s="26" t="str">
        <f aca="false">IF($D104="","",IFERROR(INDEX(LOT_EXTE,MATCH($D104,LOT_KEY,0)),""))</f>
        <v/>
      </c>
      <c r="K104" s="26" t="str">
        <f aca="false">IF($D104="","",IFERROR(INDEX(LOT_PRODE,MATCH($D104,LOT_KEY,0)),"LOT NON REFERENCE"))</f>
        <v/>
      </c>
      <c r="L104" s="26" t="str">
        <f aca="false">IF($D104="","",IFERROR(INDEX(LOT_FOURNE,MATCH($D104,LOT_KEY,0)),""))</f>
        <v/>
      </c>
      <c r="M104" s="26" t="str">
        <f aca="false">IF($E104="","",IFERROR(INDEX(EMPL_CLASSE,MATCH($E104,EMPL_KEY,0)),"?"))</f>
        <v/>
      </c>
      <c r="N104" s="26" t="str">
        <f aca="false">IF($F104="","",IFERROR(INDEX(EMPL_CLASSE,MATCH($F104,EMPL_KEY,0)),"?"))</f>
        <v/>
      </c>
      <c r="O104" s="28" t="n">
        <f aca="false">IF($C104="",0,IF(OR($B104="",$D104=""),0,IF($C104="AJUSTEMENT",IF(OR(NOT(ISNUMBER($G104)),$G104=0,$F104="",$H104=""),0,1),IF(OR(NOT(ISNUMBER($G104)),$G104&lt;=0),0,IF($C104="RECEPTION",IF($F104="",0,1),IF($C104="CONSOMMATION",IF($E104="",0,1),IF(OR($E104="",$F104="",$E104=$F104),0,1)))))))</f>
        <v>0</v>
      </c>
      <c r="P104" s="27" t="str">
        <f aca="false">IF(OR($O104=0,$C104="RECEPTION"),"",IF($C104="AJUSTEMENT",IF($G104&gt;0,"",SUMIFS(MVT_BRUT,MVT_LOT,$D104,MVT_EMPL,$F104)-$G104),SUMIFS(MVT_BRUT,MVT_LOT,$D104,MVT_EMPL,$E104)+$G104))</f>
        <v/>
      </c>
      <c r="Q104" s="26" t="str">
        <f aca="false">IF($C104="","",IF($O104=0,"DONNEES MANQUANTES",IF($C104="RECEPTION","OK",IF(AND($C104="AJUSTEMENT",$G104&gt;0),"OK",IF($P104&lt;=0,"EMPLACEMENT INCOHERENT",IF(ABS($G104)&gt;$P104+0.001,"STOCK INSUFFISANT","OK"))))))</f>
        <v/>
      </c>
      <c r="R104" s="28" t="n">
        <f aca="false">IF($Q104="OK",1,0)</f>
        <v>0</v>
      </c>
      <c r="S104" s="26" t="str">
        <f aca="false">IF($C104="","",IF($O104=0,"A COMPLETER : "&amp;IF($B104="","DATE; ","")&amp;IF($D104="","LOT INTERNE; ","")&amp;IF(NOT(ISNUMBER($G104)),"QUANTITE; ",IF(AND($C104="AJUSTEMENT",$G104=0),"QUANTITE &lt;&gt; 0; ",IF(AND($C104&lt;&gt;"AJUSTEMENT",$G104&lt;=0),"QUANTITE &gt; 0; ","")))&amp;IF(AND($C104="AJUSTEMENT",$H104=""),"MOTIF; ","")&amp;IF(AND(OR($C104="TRANSFERT",$C104="CONSOMMATION"),$E104=""),"EMPL. SOURCE; ","")&amp;IF(AND($C104&lt;&gt;"CONSOMMATION",$F104=""),"EMPL. DESTINATION; ","")&amp;IF(AND($C104="TRANSFERT",$E104&lt;&gt;"",$E104=$F104),"SOURCE = DESTINATION; ",""),IF($Q104="EMPLACEMENT INCOHERENT","Le lot "&amp;$D104&amp;" n'existe pas sur cet emplacement (stock 0). Verifier l'emplacement.",IF($Q104="STOCK INSUFFISANT","Disponible avant operation : "&amp;TEXT($P104,"#,##0.00")&amp;" kg. Ligne NON comptee en stock.",IF(COUNTIFS($B$5:$B$304,$B104,$C$5:$C$304,$C104,$D$5:$D$304,$D104,$G$5:$G$304,$G104)&gt;1,"Doublon possible (meme date, type, lot et quantite).",IF($K104="LOT NON REFERENCE","Creer d'abord la fiche du lot dans l'onglet LOTS.",""))))))</f>
        <v/>
      </c>
    </row>
    <row r="105" customFormat="false" ht="15" hidden="false" customHeight="false" outlineLevel="0" collapsed="false">
      <c r="A105" s="26" t="str">
        <f aca="false">IF($C105="","","OP-"&amp;TEXT(ROW()-4,"000"))</f>
        <v/>
      </c>
      <c r="B105" s="25"/>
      <c r="C105" s="24"/>
      <c r="D105" s="24"/>
      <c r="E105" s="24"/>
      <c r="F105" s="24"/>
      <c r="G105" s="29"/>
      <c r="H105" s="24"/>
      <c r="I105" s="24"/>
      <c r="J105" s="26" t="str">
        <f aca="false">IF($D105="","",IFERROR(INDEX(LOT_EXTE,MATCH($D105,LOT_KEY,0)),""))</f>
        <v/>
      </c>
      <c r="K105" s="26" t="str">
        <f aca="false">IF($D105="","",IFERROR(INDEX(LOT_PRODE,MATCH($D105,LOT_KEY,0)),"LOT NON REFERENCE"))</f>
        <v/>
      </c>
      <c r="L105" s="26" t="str">
        <f aca="false">IF($D105="","",IFERROR(INDEX(LOT_FOURNE,MATCH($D105,LOT_KEY,0)),""))</f>
        <v/>
      </c>
      <c r="M105" s="26" t="str">
        <f aca="false">IF($E105="","",IFERROR(INDEX(EMPL_CLASSE,MATCH($E105,EMPL_KEY,0)),"?"))</f>
        <v/>
      </c>
      <c r="N105" s="26" t="str">
        <f aca="false">IF($F105="","",IFERROR(INDEX(EMPL_CLASSE,MATCH($F105,EMPL_KEY,0)),"?"))</f>
        <v/>
      </c>
      <c r="O105" s="28" t="n">
        <f aca="false">IF($C105="",0,IF(OR($B105="",$D105=""),0,IF($C105="AJUSTEMENT",IF(OR(NOT(ISNUMBER($G105)),$G105=0,$F105="",$H105=""),0,1),IF(OR(NOT(ISNUMBER($G105)),$G105&lt;=0),0,IF($C105="RECEPTION",IF($F105="",0,1),IF($C105="CONSOMMATION",IF($E105="",0,1),IF(OR($E105="",$F105="",$E105=$F105),0,1)))))))</f>
        <v>0</v>
      </c>
      <c r="P105" s="27" t="str">
        <f aca="false">IF(OR($O105=0,$C105="RECEPTION"),"",IF($C105="AJUSTEMENT",IF($G105&gt;0,"",SUMIFS(MVT_BRUT,MVT_LOT,$D105,MVT_EMPL,$F105)-$G105),SUMIFS(MVT_BRUT,MVT_LOT,$D105,MVT_EMPL,$E105)+$G105))</f>
        <v/>
      </c>
      <c r="Q105" s="26" t="str">
        <f aca="false">IF($C105="","",IF($O105=0,"DONNEES MANQUANTES",IF($C105="RECEPTION","OK",IF(AND($C105="AJUSTEMENT",$G105&gt;0),"OK",IF($P105&lt;=0,"EMPLACEMENT INCOHERENT",IF(ABS($G105)&gt;$P105+0.001,"STOCK INSUFFISANT","OK"))))))</f>
        <v/>
      </c>
      <c r="R105" s="28" t="n">
        <f aca="false">IF($Q105="OK",1,0)</f>
        <v>0</v>
      </c>
      <c r="S105" s="26" t="str">
        <f aca="false">IF($C105="","",IF($O105=0,"A COMPLETER : "&amp;IF($B105="","DATE; ","")&amp;IF($D105="","LOT INTERNE; ","")&amp;IF(NOT(ISNUMBER($G105)),"QUANTITE; ",IF(AND($C105="AJUSTEMENT",$G105=0),"QUANTITE &lt;&gt; 0; ",IF(AND($C105&lt;&gt;"AJUSTEMENT",$G105&lt;=0),"QUANTITE &gt; 0; ","")))&amp;IF(AND($C105="AJUSTEMENT",$H105=""),"MOTIF; ","")&amp;IF(AND(OR($C105="TRANSFERT",$C105="CONSOMMATION"),$E105=""),"EMPL. SOURCE; ","")&amp;IF(AND($C105&lt;&gt;"CONSOMMATION",$F105=""),"EMPL. DESTINATION; ","")&amp;IF(AND($C105="TRANSFERT",$E105&lt;&gt;"",$E105=$F105),"SOURCE = DESTINATION; ",""),IF($Q105="EMPLACEMENT INCOHERENT","Le lot "&amp;$D105&amp;" n'existe pas sur cet emplacement (stock 0). Verifier l'emplacement.",IF($Q105="STOCK INSUFFISANT","Disponible avant operation : "&amp;TEXT($P105,"#,##0.00")&amp;" kg. Ligne NON comptee en stock.",IF(COUNTIFS($B$5:$B$304,$B105,$C$5:$C$304,$C105,$D$5:$D$304,$D105,$G$5:$G$304,$G105)&gt;1,"Doublon possible (meme date, type, lot et quantite).",IF($K105="LOT NON REFERENCE","Creer d'abord la fiche du lot dans l'onglet LOTS.",""))))))</f>
        <v/>
      </c>
    </row>
    <row r="106" customFormat="false" ht="15" hidden="false" customHeight="false" outlineLevel="0" collapsed="false">
      <c r="A106" s="26" t="str">
        <f aca="false">IF($C106="","","OP-"&amp;TEXT(ROW()-4,"000"))</f>
        <v/>
      </c>
      <c r="B106" s="25"/>
      <c r="C106" s="24"/>
      <c r="D106" s="24"/>
      <c r="E106" s="24"/>
      <c r="F106" s="24"/>
      <c r="G106" s="29"/>
      <c r="H106" s="24"/>
      <c r="I106" s="24"/>
      <c r="J106" s="26" t="str">
        <f aca="false">IF($D106="","",IFERROR(INDEX(LOT_EXTE,MATCH($D106,LOT_KEY,0)),""))</f>
        <v/>
      </c>
      <c r="K106" s="26" t="str">
        <f aca="false">IF($D106="","",IFERROR(INDEX(LOT_PRODE,MATCH($D106,LOT_KEY,0)),"LOT NON REFERENCE"))</f>
        <v/>
      </c>
      <c r="L106" s="26" t="str">
        <f aca="false">IF($D106="","",IFERROR(INDEX(LOT_FOURNE,MATCH($D106,LOT_KEY,0)),""))</f>
        <v/>
      </c>
      <c r="M106" s="26" t="str">
        <f aca="false">IF($E106="","",IFERROR(INDEX(EMPL_CLASSE,MATCH($E106,EMPL_KEY,0)),"?"))</f>
        <v/>
      </c>
      <c r="N106" s="26" t="str">
        <f aca="false">IF($F106="","",IFERROR(INDEX(EMPL_CLASSE,MATCH($F106,EMPL_KEY,0)),"?"))</f>
        <v/>
      </c>
      <c r="O106" s="28" t="n">
        <f aca="false">IF($C106="",0,IF(OR($B106="",$D106=""),0,IF($C106="AJUSTEMENT",IF(OR(NOT(ISNUMBER($G106)),$G106=0,$F106="",$H106=""),0,1),IF(OR(NOT(ISNUMBER($G106)),$G106&lt;=0),0,IF($C106="RECEPTION",IF($F106="",0,1),IF($C106="CONSOMMATION",IF($E106="",0,1),IF(OR($E106="",$F106="",$E106=$F106),0,1)))))))</f>
        <v>0</v>
      </c>
      <c r="P106" s="27" t="str">
        <f aca="false">IF(OR($O106=0,$C106="RECEPTION"),"",IF($C106="AJUSTEMENT",IF($G106&gt;0,"",SUMIFS(MVT_BRUT,MVT_LOT,$D106,MVT_EMPL,$F106)-$G106),SUMIFS(MVT_BRUT,MVT_LOT,$D106,MVT_EMPL,$E106)+$G106))</f>
        <v/>
      </c>
      <c r="Q106" s="26" t="str">
        <f aca="false">IF($C106="","",IF($O106=0,"DONNEES MANQUANTES",IF($C106="RECEPTION","OK",IF(AND($C106="AJUSTEMENT",$G106&gt;0),"OK",IF($P106&lt;=0,"EMPLACEMENT INCOHERENT",IF(ABS($G106)&gt;$P106+0.001,"STOCK INSUFFISANT","OK"))))))</f>
        <v/>
      </c>
      <c r="R106" s="28" t="n">
        <f aca="false">IF($Q106="OK",1,0)</f>
        <v>0</v>
      </c>
      <c r="S106" s="26" t="str">
        <f aca="false">IF($C106="","",IF($O106=0,"A COMPLETER : "&amp;IF($B106="","DATE; ","")&amp;IF($D106="","LOT INTERNE; ","")&amp;IF(NOT(ISNUMBER($G106)),"QUANTITE; ",IF(AND($C106="AJUSTEMENT",$G106=0),"QUANTITE &lt;&gt; 0; ",IF(AND($C106&lt;&gt;"AJUSTEMENT",$G106&lt;=0),"QUANTITE &gt; 0; ","")))&amp;IF(AND($C106="AJUSTEMENT",$H106=""),"MOTIF; ","")&amp;IF(AND(OR($C106="TRANSFERT",$C106="CONSOMMATION"),$E106=""),"EMPL. SOURCE; ","")&amp;IF(AND($C106&lt;&gt;"CONSOMMATION",$F106=""),"EMPL. DESTINATION; ","")&amp;IF(AND($C106="TRANSFERT",$E106&lt;&gt;"",$E106=$F106),"SOURCE = DESTINATION; ",""),IF($Q106="EMPLACEMENT INCOHERENT","Le lot "&amp;$D106&amp;" n'existe pas sur cet emplacement (stock 0). Verifier l'emplacement.",IF($Q106="STOCK INSUFFISANT","Disponible avant operation : "&amp;TEXT($P106,"#,##0.00")&amp;" kg. Ligne NON comptee en stock.",IF(COUNTIFS($B$5:$B$304,$B106,$C$5:$C$304,$C106,$D$5:$D$304,$D106,$G$5:$G$304,$G106)&gt;1,"Doublon possible (meme date, type, lot et quantite).",IF($K106="LOT NON REFERENCE","Creer d'abord la fiche du lot dans l'onglet LOTS.",""))))))</f>
        <v/>
      </c>
    </row>
    <row r="107" customFormat="false" ht="15" hidden="false" customHeight="false" outlineLevel="0" collapsed="false">
      <c r="A107" s="26" t="str">
        <f aca="false">IF($C107="","","OP-"&amp;TEXT(ROW()-4,"000"))</f>
        <v/>
      </c>
      <c r="B107" s="25"/>
      <c r="C107" s="24"/>
      <c r="D107" s="24"/>
      <c r="E107" s="24"/>
      <c r="F107" s="24"/>
      <c r="G107" s="29"/>
      <c r="H107" s="24"/>
      <c r="I107" s="24"/>
      <c r="J107" s="26" t="str">
        <f aca="false">IF($D107="","",IFERROR(INDEX(LOT_EXTE,MATCH($D107,LOT_KEY,0)),""))</f>
        <v/>
      </c>
      <c r="K107" s="26" t="str">
        <f aca="false">IF($D107="","",IFERROR(INDEX(LOT_PRODE,MATCH($D107,LOT_KEY,0)),"LOT NON REFERENCE"))</f>
        <v/>
      </c>
      <c r="L107" s="26" t="str">
        <f aca="false">IF($D107="","",IFERROR(INDEX(LOT_FOURNE,MATCH($D107,LOT_KEY,0)),""))</f>
        <v/>
      </c>
      <c r="M107" s="26" t="str">
        <f aca="false">IF($E107="","",IFERROR(INDEX(EMPL_CLASSE,MATCH($E107,EMPL_KEY,0)),"?"))</f>
        <v/>
      </c>
      <c r="N107" s="26" t="str">
        <f aca="false">IF($F107="","",IFERROR(INDEX(EMPL_CLASSE,MATCH($F107,EMPL_KEY,0)),"?"))</f>
        <v/>
      </c>
      <c r="O107" s="28" t="n">
        <f aca="false">IF($C107="",0,IF(OR($B107="",$D107=""),0,IF($C107="AJUSTEMENT",IF(OR(NOT(ISNUMBER($G107)),$G107=0,$F107="",$H107=""),0,1),IF(OR(NOT(ISNUMBER($G107)),$G107&lt;=0),0,IF($C107="RECEPTION",IF($F107="",0,1),IF($C107="CONSOMMATION",IF($E107="",0,1),IF(OR($E107="",$F107="",$E107=$F107),0,1)))))))</f>
        <v>0</v>
      </c>
      <c r="P107" s="27" t="str">
        <f aca="false">IF(OR($O107=0,$C107="RECEPTION"),"",IF($C107="AJUSTEMENT",IF($G107&gt;0,"",SUMIFS(MVT_BRUT,MVT_LOT,$D107,MVT_EMPL,$F107)-$G107),SUMIFS(MVT_BRUT,MVT_LOT,$D107,MVT_EMPL,$E107)+$G107))</f>
        <v/>
      </c>
      <c r="Q107" s="26" t="str">
        <f aca="false">IF($C107="","",IF($O107=0,"DONNEES MANQUANTES",IF($C107="RECEPTION","OK",IF(AND($C107="AJUSTEMENT",$G107&gt;0),"OK",IF($P107&lt;=0,"EMPLACEMENT INCOHERENT",IF(ABS($G107)&gt;$P107+0.001,"STOCK INSUFFISANT","OK"))))))</f>
        <v/>
      </c>
      <c r="R107" s="28" t="n">
        <f aca="false">IF($Q107="OK",1,0)</f>
        <v>0</v>
      </c>
      <c r="S107" s="26" t="str">
        <f aca="false">IF($C107="","",IF($O107=0,"A COMPLETER : "&amp;IF($B107="","DATE; ","")&amp;IF($D107="","LOT INTERNE; ","")&amp;IF(NOT(ISNUMBER($G107)),"QUANTITE; ",IF(AND($C107="AJUSTEMENT",$G107=0),"QUANTITE &lt;&gt; 0; ",IF(AND($C107&lt;&gt;"AJUSTEMENT",$G107&lt;=0),"QUANTITE &gt; 0; ","")))&amp;IF(AND($C107="AJUSTEMENT",$H107=""),"MOTIF; ","")&amp;IF(AND(OR($C107="TRANSFERT",$C107="CONSOMMATION"),$E107=""),"EMPL. SOURCE; ","")&amp;IF(AND($C107&lt;&gt;"CONSOMMATION",$F107=""),"EMPL. DESTINATION; ","")&amp;IF(AND($C107="TRANSFERT",$E107&lt;&gt;"",$E107=$F107),"SOURCE = DESTINATION; ",""),IF($Q107="EMPLACEMENT INCOHERENT","Le lot "&amp;$D107&amp;" n'existe pas sur cet emplacement (stock 0). Verifier l'emplacement.",IF($Q107="STOCK INSUFFISANT","Disponible avant operation : "&amp;TEXT($P107,"#,##0.00")&amp;" kg. Ligne NON comptee en stock.",IF(COUNTIFS($B$5:$B$304,$B107,$C$5:$C$304,$C107,$D$5:$D$304,$D107,$G$5:$G$304,$G107)&gt;1,"Doublon possible (meme date, type, lot et quantite).",IF($K107="LOT NON REFERENCE","Creer d'abord la fiche du lot dans l'onglet LOTS.",""))))))</f>
        <v/>
      </c>
    </row>
    <row r="108" customFormat="false" ht="15" hidden="false" customHeight="false" outlineLevel="0" collapsed="false">
      <c r="A108" s="26" t="str">
        <f aca="false">IF($C108="","","OP-"&amp;TEXT(ROW()-4,"000"))</f>
        <v/>
      </c>
      <c r="B108" s="25"/>
      <c r="C108" s="24"/>
      <c r="D108" s="24"/>
      <c r="E108" s="24"/>
      <c r="F108" s="24"/>
      <c r="G108" s="29"/>
      <c r="H108" s="24"/>
      <c r="I108" s="24"/>
      <c r="J108" s="26" t="str">
        <f aca="false">IF($D108="","",IFERROR(INDEX(LOT_EXTE,MATCH($D108,LOT_KEY,0)),""))</f>
        <v/>
      </c>
      <c r="K108" s="26" t="str">
        <f aca="false">IF($D108="","",IFERROR(INDEX(LOT_PRODE,MATCH($D108,LOT_KEY,0)),"LOT NON REFERENCE"))</f>
        <v/>
      </c>
      <c r="L108" s="26" t="str">
        <f aca="false">IF($D108="","",IFERROR(INDEX(LOT_FOURNE,MATCH($D108,LOT_KEY,0)),""))</f>
        <v/>
      </c>
      <c r="M108" s="26" t="str">
        <f aca="false">IF($E108="","",IFERROR(INDEX(EMPL_CLASSE,MATCH($E108,EMPL_KEY,0)),"?"))</f>
        <v/>
      </c>
      <c r="N108" s="26" t="str">
        <f aca="false">IF($F108="","",IFERROR(INDEX(EMPL_CLASSE,MATCH($F108,EMPL_KEY,0)),"?"))</f>
        <v/>
      </c>
      <c r="O108" s="28" t="n">
        <f aca="false">IF($C108="",0,IF(OR($B108="",$D108=""),0,IF($C108="AJUSTEMENT",IF(OR(NOT(ISNUMBER($G108)),$G108=0,$F108="",$H108=""),0,1),IF(OR(NOT(ISNUMBER($G108)),$G108&lt;=0),0,IF($C108="RECEPTION",IF($F108="",0,1),IF($C108="CONSOMMATION",IF($E108="",0,1),IF(OR($E108="",$F108="",$E108=$F108),0,1)))))))</f>
        <v>0</v>
      </c>
      <c r="P108" s="27" t="str">
        <f aca="false">IF(OR($O108=0,$C108="RECEPTION"),"",IF($C108="AJUSTEMENT",IF($G108&gt;0,"",SUMIFS(MVT_BRUT,MVT_LOT,$D108,MVT_EMPL,$F108)-$G108),SUMIFS(MVT_BRUT,MVT_LOT,$D108,MVT_EMPL,$E108)+$G108))</f>
        <v/>
      </c>
      <c r="Q108" s="26" t="str">
        <f aca="false">IF($C108="","",IF($O108=0,"DONNEES MANQUANTES",IF($C108="RECEPTION","OK",IF(AND($C108="AJUSTEMENT",$G108&gt;0),"OK",IF($P108&lt;=0,"EMPLACEMENT INCOHERENT",IF(ABS($G108)&gt;$P108+0.001,"STOCK INSUFFISANT","OK"))))))</f>
        <v/>
      </c>
      <c r="R108" s="28" t="n">
        <f aca="false">IF($Q108="OK",1,0)</f>
        <v>0</v>
      </c>
      <c r="S108" s="26" t="str">
        <f aca="false">IF($C108="","",IF($O108=0,"A COMPLETER : "&amp;IF($B108="","DATE; ","")&amp;IF($D108="","LOT INTERNE; ","")&amp;IF(NOT(ISNUMBER($G108)),"QUANTITE; ",IF(AND($C108="AJUSTEMENT",$G108=0),"QUANTITE &lt;&gt; 0; ",IF(AND($C108&lt;&gt;"AJUSTEMENT",$G108&lt;=0),"QUANTITE &gt; 0; ","")))&amp;IF(AND($C108="AJUSTEMENT",$H108=""),"MOTIF; ","")&amp;IF(AND(OR($C108="TRANSFERT",$C108="CONSOMMATION"),$E108=""),"EMPL. SOURCE; ","")&amp;IF(AND($C108&lt;&gt;"CONSOMMATION",$F108=""),"EMPL. DESTINATION; ","")&amp;IF(AND($C108="TRANSFERT",$E108&lt;&gt;"",$E108=$F108),"SOURCE = DESTINATION; ",""),IF($Q108="EMPLACEMENT INCOHERENT","Le lot "&amp;$D108&amp;" n'existe pas sur cet emplacement (stock 0). Verifier l'emplacement.",IF($Q108="STOCK INSUFFISANT","Disponible avant operation : "&amp;TEXT($P108,"#,##0.00")&amp;" kg. Ligne NON comptee en stock.",IF(COUNTIFS($B$5:$B$304,$B108,$C$5:$C$304,$C108,$D$5:$D$304,$D108,$G$5:$G$304,$G108)&gt;1,"Doublon possible (meme date, type, lot et quantite).",IF($K108="LOT NON REFERENCE","Creer d'abord la fiche du lot dans l'onglet LOTS.",""))))))</f>
        <v/>
      </c>
    </row>
    <row r="109" customFormat="false" ht="15" hidden="false" customHeight="false" outlineLevel="0" collapsed="false">
      <c r="A109" s="26" t="str">
        <f aca="false">IF($C109="","","OP-"&amp;TEXT(ROW()-4,"000"))</f>
        <v/>
      </c>
      <c r="B109" s="25"/>
      <c r="C109" s="24"/>
      <c r="D109" s="24"/>
      <c r="E109" s="24"/>
      <c r="F109" s="24"/>
      <c r="G109" s="29"/>
      <c r="H109" s="24"/>
      <c r="I109" s="24"/>
      <c r="J109" s="26" t="str">
        <f aca="false">IF($D109="","",IFERROR(INDEX(LOT_EXTE,MATCH($D109,LOT_KEY,0)),""))</f>
        <v/>
      </c>
      <c r="K109" s="26" t="str">
        <f aca="false">IF($D109="","",IFERROR(INDEX(LOT_PRODE,MATCH($D109,LOT_KEY,0)),"LOT NON REFERENCE"))</f>
        <v/>
      </c>
      <c r="L109" s="26" t="str">
        <f aca="false">IF($D109="","",IFERROR(INDEX(LOT_FOURNE,MATCH($D109,LOT_KEY,0)),""))</f>
        <v/>
      </c>
      <c r="M109" s="26" t="str">
        <f aca="false">IF($E109="","",IFERROR(INDEX(EMPL_CLASSE,MATCH($E109,EMPL_KEY,0)),"?"))</f>
        <v/>
      </c>
      <c r="N109" s="26" t="str">
        <f aca="false">IF($F109="","",IFERROR(INDEX(EMPL_CLASSE,MATCH($F109,EMPL_KEY,0)),"?"))</f>
        <v/>
      </c>
      <c r="O109" s="28" t="n">
        <f aca="false">IF($C109="",0,IF(OR($B109="",$D109=""),0,IF($C109="AJUSTEMENT",IF(OR(NOT(ISNUMBER($G109)),$G109=0,$F109="",$H109=""),0,1),IF(OR(NOT(ISNUMBER($G109)),$G109&lt;=0),0,IF($C109="RECEPTION",IF($F109="",0,1),IF($C109="CONSOMMATION",IF($E109="",0,1),IF(OR($E109="",$F109="",$E109=$F109),0,1)))))))</f>
        <v>0</v>
      </c>
      <c r="P109" s="27" t="str">
        <f aca="false">IF(OR($O109=0,$C109="RECEPTION"),"",IF($C109="AJUSTEMENT",IF($G109&gt;0,"",SUMIFS(MVT_BRUT,MVT_LOT,$D109,MVT_EMPL,$F109)-$G109),SUMIFS(MVT_BRUT,MVT_LOT,$D109,MVT_EMPL,$E109)+$G109))</f>
        <v/>
      </c>
      <c r="Q109" s="26" t="str">
        <f aca="false">IF($C109="","",IF($O109=0,"DONNEES MANQUANTES",IF($C109="RECEPTION","OK",IF(AND($C109="AJUSTEMENT",$G109&gt;0),"OK",IF($P109&lt;=0,"EMPLACEMENT INCOHERENT",IF(ABS($G109)&gt;$P109+0.001,"STOCK INSUFFISANT","OK"))))))</f>
        <v/>
      </c>
      <c r="R109" s="28" t="n">
        <f aca="false">IF($Q109="OK",1,0)</f>
        <v>0</v>
      </c>
      <c r="S109" s="26" t="str">
        <f aca="false">IF($C109="","",IF($O109=0,"A COMPLETER : "&amp;IF($B109="","DATE; ","")&amp;IF($D109="","LOT INTERNE; ","")&amp;IF(NOT(ISNUMBER($G109)),"QUANTITE; ",IF(AND($C109="AJUSTEMENT",$G109=0),"QUANTITE &lt;&gt; 0; ",IF(AND($C109&lt;&gt;"AJUSTEMENT",$G109&lt;=0),"QUANTITE &gt; 0; ","")))&amp;IF(AND($C109="AJUSTEMENT",$H109=""),"MOTIF; ","")&amp;IF(AND(OR($C109="TRANSFERT",$C109="CONSOMMATION"),$E109=""),"EMPL. SOURCE; ","")&amp;IF(AND($C109&lt;&gt;"CONSOMMATION",$F109=""),"EMPL. DESTINATION; ","")&amp;IF(AND($C109="TRANSFERT",$E109&lt;&gt;"",$E109=$F109),"SOURCE = DESTINATION; ",""),IF($Q109="EMPLACEMENT INCOHERENT","Le lot "&amp;$D109&amp;" n'existe pas sur cet emplacement (stock 0). Verifier l'emplacement.",IF($Q109="STOCK INSUFFISANT","Disponible avant operation : "&amp;TEXT($P109,"#,##0.00")&amp;" kg. Ligne NON comptee en stock.",IF(COUNTIFS($B$5:$B$304,$B109,$C$5:$C$304,$C109,$D$5:$D$304,$D109,$G$5:$G$304,$G109)&gt;1,"Doublon possible (meme date, type, lot et quantite).",IF($K109="LOT NON REFERENCE","Creer d'abord la fiche du lot dans l'onglet LOTS.",""))))))</f>
        <v/>
      </c>
    </row>
    <row r="110" customFormat="false" ht="15" hidden="false" customHeight="false" outlineLevel="0" collapsed="false">
      <c r="A110" s="26" t="str">
        <f aca="false">IF($C110="","","OP-"&amp;TEXT(ROW()-4,"000"))</f>
        <v/>
      </c>
      <c r="B110" s="25"/>
      <c r="C110" s="24"/>
      <c r="D110" s="24"/>
      <c r="E110" s="24"/>
      <c r="F110" s="24"/>
      <c r="G110" s="29"/>
      <c r="H110" s="24"/>
      <c r="I110" s="24"/>
      <c r="J110" s="26" t="str">
        <f aca="false">IF($D110="","",IFERROR(INDEX(LOT_EXTE,MATCH($D110,LOT_KEY,0)),""))</f>
        <v/>
      </c>
      <c r="K110" s="26" t="str">
        <f aca="false">IF($D110="","",IFERROR(INDEX(LOT_PRODE,MATCH($D110,LOT_KEY,0)),"LOT NON REFERENCE"))</f>
        <v/>
      </c>
      <c r="L110" s="26" t="str">
        <f aca="false">IF($D110="","",IFERROR(INDEX(LOT_FOURNE,MATCH($D110,LOT_KEY,0)),""))</f>
        <v/>
      </c>
      <c r="M110" s="26" t="str">
        <f aca="false">IF($E110="","",IFERROR(INDEX(EMPL_CLASSE,MATCH($E110,EMPL_KEY,0)),"?"))</f>
        <v/>
      </c>
      <c r="N110" s="26" t="str">
        <f aca="false">IF($F110="","",IFERROR(INDEX(EMPL_CLASSE,MATCH($F110,EMPL_KEY,0)),"?"))</f>
        <v/>
      </c>
      <c r="O110" s="28" t="n">
        <f aca="false">IF($C110="",0,IF(OR($B110="",$D110=""),0,IF($C110="AJUSTEMENT",IF(OR(NOT(ISNUMBER($G110)),$G110=0,$F110="",$H110=""),0,1),IF(OR(NOT(ISNUMBER($G110)),$G110&lt;=0),0,IF($C110="RECEPTION",IF($F110="",0,1),IF($C110="CONSOMMATION",IF($E110="",0,1),IF(OR($E110="",$F110="",$E110=$F110),0,1)))))))</f>
        <v>0</v>
      </c>
      <c r="P110" s="27" t="str">
        <f aca="false">IF(OR($O110=0,$C110="RECEPTION"),"",IF($C110="AJUSTEMENT",IF($G110&gt;0,"",SUMIFS(MVT_BRUT,MVT_LOT,$D110,MVT_EMPL,$F110)-$G110),SUMIFS(MVT_BRUT,MVT_LOT,$D110,MVT_EMPL,$E110)+$G110))</f>
        <v/>
      </c>
      <c r="Q110" s="26" t="str">
        <f aca="false">IF($C110="","",IF($O110=0,"DONNEES MANQUANTES",IF($C110="RECEPTION","OK",IF(AND($C110="AJUSTEMENT",$G110&gt;0),"OK",IF($P110&lt;=0,"EMPLACEMENT INCOHERENT",IF(ABS($G110)&gt;$P110+0.001,"STOCK INSUFFISANT","OK"))))))</f>
        <v/>
      </c>
      <c r="R110" s="28" t="n">
        <f aca="false">IF($Q110="OK",1,0)</f>
        <v>0</v>
      </c>
      <c r="S110" s="26" t="str">
        <f aca="false">IF($C110="","",IF($O110=0,"A COMPLETER : "&amp;IF($B110="","DATE; ","")&amp;IF($D110="","LOT INTERNE; ","")&amp;IF(NOT(ISNUMBER($G110)),"QUANTITE; ",IF(AND($C110="AJUSTEMENT",$G110=0),"QUANTITE &lt;&gt; 0; ",IF(AND($C110&lt;&gt;"AJUSTEMENT",$G110&lt;=0),"QUANTITE &gt; 0; ","")))&amp;IF(AND($C110="AJUSTEMENT",$H110=""),"MOTIF; ","")&amp;IF(AND(OR($C110="TRANSFERT",$C110="CONSOMMATION"),$E110=""),"EMPL. SOURCE; ","")&amp;IF(AND($C110&lt;&gt;"CONSOMMATION",$F110=""),"EMPL. DESTINATION; ","")&amp;IF(AND($C110="TRANSFERT",$E110&lt;&gt;"",$E110=$F110),"SOURCE = DESTINATION; ",""),IF($Q110="EMPLACEMENT INCOHERENT","Le lot "&amp;$D110&amp;" n'existe pas sur cet emplacement (stock 0). Verifier l'emplacement.",IF($Q110="STOCK INSUFFISANT","Disponible avant operation : "&amp;TEXT($P110,"#,##0.00")&amp;" kg. Ligne NON comptee en stock.",IF(COUNTIFS($B$5:$B$304,$B110,$C$5:$C$304,$C110,$D$5:$D$304,$D110,$G$5:$G$304,$G110)&gt;1,"Doublon possible (meme date, type, lot et quantite).",IF($K110="LOT NON REFERENCE","Creer d'abord la fiche du lot dans l'onglet LOTS.",""))))))</f>
        <v/>
      </c>
    </row>
    <row r="111" customFormat="false" ht="15" hidden="false" customHeight="false" outlineLevel="0" collapsed="false">
      <c r="A111" s="26" t="str">
        <f aca="false">IF($C111="","","OP-"&amp;TEXT(ROW()-4,"000"))</f>
        <v/>
      </c>
      <c r="B111" s="25"/>
      <c r="C111" s="24"/>
      <c r="D111" s="24"/>
      <c r="E111" s="24"/>
      <c r="F111" s="24"/>
      <c r="G111" s="29"/>
      <c r="H111" s="24"/>
      <c r="I111" s="24"/>
      <c r="J111" s="26" t="str">
        <f aca="false">IF($D111="","",IFERROR(INDEX(LOT_EXTE,MATCH($D111,LOT_KEY,0)),""))</f>
        <v/>
      </c>
      <c r="K111" s="26" t="str">
        <f aca="false">IF($D111="","",IFERROR(INDEX(LOT_PRODE,MATCH($D111,LOT_KEY,0)),"LOT NON REFERENCE"))</f>
        <v/>
      </c>
      <c r="L111" s="26" t="str">
        <f aca="false">IF($D111="","",IFERROR(INDEX(LOT_FOURNE,MATCH($D111,LOT_KEY,0)),""))</f>
        <v/>
      </c>
      <c r="M111" s="26" t="str">
        <f aca="false">IF($E111="","",IFERROR(INDEX(EMPL_CLASSE,MATCH($E111,EMPL_KEY,0)),"?"))</f>
        <v/>
      </c>
      <c r="N111" s="26" t="str">
        <f aca="false">IF($F111="","",IFERROR(INDEX(EMPL_CLASSE,MATCH($F111,EMPL_KEY,0)),"?"))</f>
        <v/>
      </c>
      <c r="O111" s="28" t="n">
        <f aca="false">IF($C111="",0,IF(OR($B111="",$D111=""),0,IF($C111="AJUSTEMENT",IF(OR(NOT(ISNUMBER($G111)),$G111=0,$F111="",$H111=""),0,1),IF(OR(NOT(ISNUMBER($G111)),$G111&lt;=0),0,IF($C111="RECEPTION",IF($F111="",0,1),IF($C111="CONSOMMATION",IF($E111="",0,1),IF(OR($E111="",$F111="",$E111=$F111),0,1)))))))</f>
        <v>0</v>
      </c>
      <c r="P111" s="27" t="str">
        <f aca="false">IF(OR($O111=0,$C111="RECEPTION"),"",IF($C111="AJUSTEMENT",IF($G111&gt;0,"",SUMIFS(MVT_BRUT,MVT_LOT,$D111,MVT_EMPL,$F111)-$G111),SUMIFS(MVT_BRUT,MVT_LOT,$D111,MVT_EMPL,$E111)+$G111))</f>
        <v/>
      </c>
      <c r="Q111" s="26" t="str">
        <f aca="false">IF($C111="","",IF($O111=0,"DONNEES MANQUANTES",IF($C111="RECEPTION","OK",IF(AND($C111="AJUSTEMENT",$G111&gt;0),"OK",IF($P111&lt;=0,"EMPLACEMENT INCOHERENT",IF(ABS($G111)&gt;$P111+0.001,"STOCK INSUFFISANT","OK"))))))</f>
        <v/>
      </c>
      <c r="R111" s="28" t="n">
        <f aca="false">IF($Q111="OK",1,0)</f>
        <v>0</v>
      </c>
      <c r="S111" s="26" t="str">
        <f aca="false">IF($C111="","",IF($O111=0,"A COMPLETER : "&amp;IF($B111="","DATE; ","")&amp;IF($D111="","LOT INTERNE; ","")&amp;IF(NOT(ISNUMBER($G111)),"QUANTITE; ",IF(AND($C111="AJUSTEMENT",$G111=0),"QUANTITE &lt;&gt; 0; ",IF(AND($C111&lt;&gt;"AJUSTEMENT",$G111&lt;=0),"QUANTITE &gt; 0; ","")))&amp;IF(AND($C111="AJUSTEMENT",$H111=""),"MOTIF; ","")&amp;IF(AND(OR($C111="TRANSFERT",$C111="CONSOMMATION"),$E111=""),"EMPL. SOURCE; ","")&amp;IF(AND($C111&lt;&gt;"CONSOMMATION",$F111=""),"EMPL. DESTINATION; ","")&amp;IF(AND($C111="TRANSFERT",$E111&lt;&gt;"",$E111=$F111),"SOURCE = DESTINATION; ",""),IF($Q111="EMPLACEMENT INCOHERENT","Le lot "&amp;$D111&amp;" n'existe pas sur cet emplacement (stock 0). Verifier l'emplacement.",IF($Q111="STOCK INSUFFISANT","Disponible avant operation : "&amp;TEXT($P111,"#,##0.00")&amp;" kg. Ligne NON comptee en stock.",IF(COUNTIFS($B$5:$B$304,$B111,$C$5:$C$304,$C111,$D$5:$D$304,$D111,$G$5:$G$304,$G111)&gt;1,"Doublon possible (meme date, type, lot et quantite).",IF($K111="LOT NON REFERENCE","Creer d'abord la fiche du lot dans l'onglet LOTS.",""))))))</f>
        <v/>
      </c>
    </row>
    <row r="112" customFormat="false" ht="15" hidden="false" customHeight="false" outlineLevel="0" collapsed="false">
      <c r="A112" s="26" t="str">
        <f aca="false">IF($C112="","","OP-"&amp;TEXT(ROW()-4,"000"))</f>
        <v/>
      </c>
      <c r="B112" s="25"/>
      <c r="C112" s="24"/>
      <c r="D112" s="24"/>
      <c r="E112" s="24"/>
      <c r="F112" s="24"/>
      <c r="G112" s="29"/>
      <c r="H112" s="24"/>
      <c r="I112" s="24"/>
      <c r="J112" s="26" t="str">
        <f aca="false">IF($D112="","",IFERROR(INDEX(LOT_EXTE,MATCH($D112,LOT_KEY,0)),""))</f>
        <v/>
      </c>
      <c r="K112" s="26" t="str">
        <f aca="false">IF($D112="","",IFERROR(INDEX(LOT_PRODE,MATCH($D112,LOT_KEY,0)),"LOT NON REFERENCE"))</f>
        <v/>
      </c>
      <c r="L112" s="26" t="str">
        <f aca="false">IF($D112="","",IFERROR(INDEX(LOT_FOURNE,MATCH($D112,LOT_KEY,0)),""))</f>
        <v/>
      </c>
      <c r="M112" s="26" t="str">
        <f aca="false">IF($E112="","",IFERROR(INDEX(EMPL_CLASSE,MATCH($E112,EMPL_KEY,0)),"?"))</f>
        <v/>
      </c>
      <c r="N112" s="26" t="str">
        <f aca="false">IF($F112="","",IFERROR(INDEX(EMPL_CLASSE,MATCH($F112,EMPL_KEY,0)),"?"))</f>
        <v/>
      </c>
      <c r="O112" s="28" t="n">
        <f aca="false">IF($C112="",0,IF(OR($B112="",$D112=""),0,IF($C112="AJUSTEMENT",IF(OR(NOT(ISNUMBER($G112)),$G112=0,$F112="",$H112=""),0,1),IF(OR(NOT(ISNUMBER($G112)),$G112&lt;=0),0,IF($C112="RECEPTION",IF($F112="",0,1),IF($C112="CONSOMMATION",IF($E112="",0,1),IF(OR($E112="",$F112="",$E112=$F112),0,1)))))))</f>
        <v>0</v>
      </c>
      <c r="P112" s="27" t="str">
        <f aca="false">IF(OR($O112=0,$C112="RECEPTION"),"",IF($C112="AJUSTEMENT",IF($G112&gt;0,"",SUMIFS(MVT_BRUT,MVT_LOT,$D112,MVT_EMPL,$F112)-$G112),SUMIFS(MVT_BRUT,MVT_LOT,$D112,MVT_EMPL,$E112)+$G112))</f>
        <v/>
      </c>
      <c r="Q112" s="26" t="str">
        <f aca="false">IF($C112="","",IF($O112=0,"DONNEES MANQUANTES",IF($C112="RECEPTION","OK",IF(AND($C112="AJUSTEMENT",$G112&gt;0),"OK",IF($P112&lt;=0,"EMPLACEMENT INCOHERENT",IF(ABS($G112)&gt;$P112+0.001,"STOCK INSUFFISANT","OK"))))))</f>
        <v/>
      </c>
      <c r="R112" s="28" t="n">
        <f aca="false">IF($Q112="OK",1,0)</f>
        <v>0</v>
      </c>
      <c r="S112" s="26" t="str">
        <f aca="false">IF($C112="","",IF($O112=0,"A COMPLETER : "&amp;IF($B112="","DATE; ","")&amp;IF($D112="","LOT INTERNE; ","")&amp;IF(NOT(ISNUMBER($G112)),"QUANTITE; ",IF(AND($C112="AJUSTEMENT",$G112=0),"QUANTITE &lt;&gt; 0; ",IF(AND($C112&lt;&gt;"AJUSTEMENT",$G112&lt;=0),"QUANTITE &gt; 0; ","")))&amp;IF(AND($C112="AJUSTEMENT",$H112=""),"MOTIF; ","")&amp;IF(AND(OR($C112="TRANSFERT",$C112="CONSOMMATION"),$E112=""),"EMPL. SOURCE; ","")&amp;IF(AND($C112&lt;&gt;"CONSOMMATION",$F112=""),"EMPL. DESTINATION; ","")&amp;IF(AND($C112="TRANSFERT",$E112&lt;&gt;"",$E112=$F112),"SOURCE = DESTINATION; ",""),IF($Q112="EMPLACEMENT INCOHERENT","Le lot "&amp;$D112&amp;" n'existe pas sur cet emplacement (stock 0). Verifier l'emplacement.",IF($Q112="STOCK INSUFFISANT","Disponible avant operation : "&amp;TEXT($P112,"#,##0.00")&amp;" kg. Ligne NON comptee en stock.",IF(COUNTIFS($B$5:$B$304,$B112,$C$5:$C$304,$C112,$D$5:$D$304,$D112,$G$5:$G$304,$G112)&gt;1,"Doublon possible (meme date, type, lot et quantite).",IF($K112="LOT NON REFERENCE","Creer d'abord la fiche du lot dans l'onglet LOTS.",""))))))</f>
        <v/>
      </c>
    </row>
    <row r="113" customFormat="false" ht="15" hidden="false" customHeight="false" outlineLevel="0" collapsed="false">
      <c r="A113" s="26" t="str">
        <f aca="false">IF($C113="","","OP-"&amp;TEXT(ROW()-4,"000"))</f>
        <v/>
      </c>
      <c r="B113" s="25"/>
      <c r="C113" s="24"/>
      <c r="D113" s="24"/>
      <c r="E113" s="24"/>
      <c r="F113" s="24"/>
      <c r="G113" s="29"/>
      <c r="H113" s="24"/>
      <c r="I113" s="24"/>
      <c r="J113" s="26" t="str">
        <f aca="false">IF($D113="","",IFERROR(INDEX(LOT_EXTE,MATCH($D113,LOT_KEY,0)),""))</f>
        <v/>
      </c>
      <c r="K113" s="26" t="str">
        <f aca="false">IF($D113="","",IFERROR(INDEX(LOT_PRODE,MATCH($D113,LOT_KEY,0)),"LOT NON REFERENCE"))</f>
        <v/>
      </c>
      <c r="L113" s="26" t="str">
        <f aca="false">IF($D113="","",IFERROR(INDEX(LOT_FOURNE,MATCH($D113,LOT_KEY,0)),""))</f>
        <v/>
      </c>
      <c r="M113" s="26" t="str">
        <f aca="false">IF($E113="","",IFERROR(INDEX(EMPL_CLASSE,MATCH($E113,EMPL_KEY,0)),"?"))</f>
        <v/>
      </c>
      <c r="N113" s="26" t="str">
        <f aca="false">IF($F113="","",IFERROR(INDEX(EMPL_CLASSE,MATCH($F113,EMPL_KEY,0)),"?"))</f>
        <v/>
      </c>
      <c r="O113" s="28" t="n">
        <f aca="false">IF($C113="",0,IF(OR($B113="",$D113=""),0,IF($C113="AJUSTEMENT",IF(OR(NOT(ISNUMBER($G113)),$G113=0,$F113="",$H113=""),0,1),IF(OR(NOT(ISNUMBER($G113)),$G113&lt;=0),0,IF($C113="RECEPTION",IF($F113="",0,1),IF($C113="CONSOMMATION",IF($E113="",0,1),IF(OR($E113="",$F113="",$E113=$F113),0,1)))))))</f>
        <v>0</v>
      </c>
      <c r="P113" s="27" t="str">
        <f aca="false">IF(OR($O113=0,$C113="RECEPTION"),"",IF($C113="AJUSTEMENT",IF($G113&gt;0,"",SUMIFS(MVT_BRUT,MVT_LOT,$D113,MVT_EMPL,$F113)-$G113),SUMIFS(MVT_BRUT,MVT_LOT,$D113,MVT_EMPL,$E113)+$G113))</f>
        <v/>
      </c>
      <c r="Q113" s="26" t="str">
        <f aca="false">IF($C113="","",IF($O113=0,"DONNEES MANQUANTES",IF($C113="RECEPTION","OK",IF(AND($C113="AJUSTEMENT",$G113&gt;0),"OK",IF($P113&lt;=0,"EMPLACEMENT INCOHERENT",IF(ABS($G113)&gt;$P113+0.001,"STOCK INSUFFISANT","OK"))))))</f>
        <v/>
      </c>
      <c r="R113" s="28" t="n">
        <f aca="false">IF($Q113="OK",1,0)</f>
        <v>0</v>
      </c>
      <c r="S113" s="26" t="str">
        <f aca="false">IF($C113="","",IF($O113=0,"A COMPLETER : "&amp;IF($B113="","DATE; ","")&amp;IF($D113="","LOT INTERNE; ","")&amp;IF(NOT(ISNUMBER($G113)),"QUANTITE; ",IF(AND($C113="AJUSTEMENT",$G113=0),"QUANTITE &lt;&gt; 0; ",IF(AND($C113&lt;&gt;"AJUSTEMENT",$G113&lt;=0),"QUANTITE &gt; 0; ","")))&amp;IF(AND($C113="AJUSTEMENT",$H113=""),"MOTIF; ","")&amp;IF(AND(OR($C113="TRANSFERT",$C113="CONSOMMATION"),$E113=""),"EMPL. SOURCE; ","")&amp;IF(AND($C113&lt;&gt;"CONSOMMATION",$F113=""),"EMPL. DESTINATION; ","")&amp;IF(AND($C113="TRANSFERT",$E113&lt;&gt;"",$E113=$F113),"SOURCE = DESTINATION; ",""),IF($Q113="EMPLACEMENT INCOHERENT","Le lot "&amp;$D113&amp;" n'existe pas sur cet emplacement (stock 0). Verifier l'emplacement.",IF($Q113="STOCK INSUFFISANT","Disponible avant operation : "&amp;TEXT($P113,"#,##0.00")&amp;" kg. Ligne NON comptee en stock.",IF(COUNTIFS($B$5:$B$304,$B113,$C$5:$C$304,$C113,$D$5:$D$304,$D113,$G$5:$G$304,$G113)&gt;1,"Doublon possible (meme date, type, lot et quantite).",IF($K113="LOT NON REFERENCE","Creer d'abord la fiche du lot dans l'onglet LOTS.",""))))))</f>
        <v/>
      </c>
    </row>
    <row r="114" customFormat="false" ht="15" hidden="false" customHeight="false" outlineLevel="0" collapsed="false">
      <c r="A114" s="26" t="str">
        <f aca="false">IF($C114="","","OP-"&amp;TEXT(ROW()-4,"000"))</f>
        <v/>
      </c>
      <c r="B114" s="25"/>
      <c r="C114" s="24"/>
      <c r="D114" s="24"/>
      <c r="E114" s="24"/>
      <c r="F114" s="24"/>
      <c r="G114" s="29"/>
      <c r="H114" s="24"/>
      <c r="I114" s="24"/>
      <c r="J114" s="26" t="str">
        <f aca="false">IF($D114="","",IFERROR(INDEX(LOT_EXTE,MATCH($D114,LOT_KEY,0)),""))</f>
        <v/>
      </c>
      <c r="K114" s="26" t="str">
        <f aca="false">IF($D114="","",IFERROR(INDEX(LOT_PRODE,MATCH($D114,LOT_KEY,0)),"LOT NON REFERENCE"))</f>
        <v/>
      </c>
      <c r="L114" s="26" t="str">
        <f aca="false">IF($D114="","",IFERROR(INDEX(LOT_FOURNE,MATCH($D114,LOT_KEY,0)),""))</f>
        <v/>
      </c>
      <c r="M114" s="26" t="str">
        <f aca="false">IF($E114="","",IFERROR(INDEX(EMPL_CLASSE,MATCH($E114,EMPL_KEY,0)),"?"))</f>
        <v/>
      </c>
      <c r="N114" s="26" t="str">
        <f aca="false">IF($F114="","",IFERROR(INDEX(EMPL_CLASSE,MATCH($F114,EMPL_KEY,0)),"?"))</f>
        <v/>
      </c>
      <c r="O114" s="28" t="n">
        <f aca="false">IF($C114="",0,IF(OR($B114="",$D114=""),0,IF($C114="AJUSTEMENT",IF(OR(NOT(ISNUMBER($G114)),$G114=0,$F114="",$H114=""),0,1),IF(OR(NOT(ISNUMBER($G114)),$G114&lt;=0),0,IF($C114="RECEPTION",IF($F114="",0,1),IF($C114="CONSOMMATION",IF($E114="",0,1),IF(OR($E114="",$F114="",$E114=$F114),0,1)))))))</f>
        <v>0</v>
      </c>
      <c r="P114" s="27" t="str">
        <f aca="false">IF(OR($O114=0,$C114="RECEPTION"),"",IF($C114="AJUSTEMENT",IF($G114&gt;0,"",SUMIFS(MVT_BRUT,MVT_LOT,$D114,MVT_EMPL,$F114)-$G114),SUMIFS(MVT_BRUT,MVT_LOT,$D114,MVT_EMPL,$E114)+$G114))</f>
        <v/>
      </c>
      <c r="Q114" s="26" t="str">
        <f aca="false">IF($C114="","",IF($O114=0,"DONNEES MANQUANTES",IF($C114="RECEPTION","OK",IF(AND($C114="AJUSTEMENT",$G114&gt;0),"OK",IF($P114&lt;=0,"EMPLACEMENT INCOHERENT",IF(ABS($G114)&gt;$P114+0.001,"STOCK INSUFFISANT","OK"))))))</f>
        <v/>
      </c>
      <c r="R114" s="28" t="n">
        <f aca="false">IF($Q114="OK",1,0)</f>
        <v>0</v>
      </c>
      <c r="S114" s="26" t="str">
        <f aca="false">IF($C114="","",IF($O114=0,"A COMPLETER : "&amp;IF($B114="","DATE; ","")&amp;IF($D114="","LOT INTERNE; ","")&amp;IF(NOT(ISNUMBER($G114)),"QUANTITE; ",IF(AND($C114="AJUSTEMENT",$G114=0),"QUANTITE &lt;&gt; 0; ",IF(AND($C114&lt;&gt;"AJUSTEMENT",$G114&lt;=0),"QUANTITE &gt; 0; ","")))&amp;IF(AND($C114="AJUSTEMENT",$H114=""),"MOTIF; ","")&amp;IF(AND(OR($C114="TRANSFERT",$C114="CONSOMMATION"),$E114=""),"EMPL. SOURCE; ","")&amp;IF(AND($C114&lt;&gt;"CONSOMMATION",$F114=""),"EMPL. DESTINATION; ","")&amp;IF(AND($C114="TRANSFERT",$E114&lt;&gt;"",$E114=$F114),"SOURCE = DESTINATION; ",""),IF($Q114="EMPLACEMENT INCOHERENT","Le lot "&amp;$D114&amp;" n'existe pas sur cet emplacement (stock 0). Verifier l'emplacement.",IF($Q114="STOCK INSUFFISANT","Disponible avant operation : "&amp;TEXT($P114,"#,##0.00")&amp;" kg. Ligne NON comptee en stock.",IF(COUNTIFS($B$5:$B$304,$B114,$C$5:$C$304,$C114,$D$5:$D$304,$D114,$G$5:$G$304,$G114)&gt;1,"Doublon possible (meme date, type, lot et quantite).",IF($K114="LOT NON REFERENCE","Creer d'abord la fiche du lot dans l'onglet LOTS.",""))))))</f>
        <v/>
      </c>
    </row>
    <row r="115" customFormat="false" ht="15" hidden="false" customHeight="false" outlineLevel="0" collapsed="false">
      <c r="A115" s="26" t="str">
        <f aca="false">IF($C115="","","OP-"&amp;TEXT(ROW()-4,"000"))</f>
        <v/>
      </c>
      <c r="B115" s="25"/>
      <c r="C115" s="24"/>
      <c r="D115" s="24"/>
      <c r="E115" s="24"/>
      <c r="F115" s="24"/>
      <c r="G115" s="29"/>
      <c r="H115" s="24"/>
      <c r="I115" s="24"/>
      <c r="J115" s="26" t="str">
        <f aca="false">IF($D115="","",IFERROR(INDEX(LOT_EXTE,MATCH($D115,LOT_KEY,0)),""))</f>
        <v/>
      </c>
      <c r="K115" s="26" t="str">
        <f aca="false">IF($D115="","",IFERROR(INDEX(LOT_PRODE,MATCH($D115,LOT_KEY,0)),"LOT NON REFERENCE"))</f>
        <v/>
      </c>
      <c r="L115" s="26" t="str">
        <f aca="false">IF($D115="","",IFERROR(INDEX(LOT_FOURNE,MATCH($D115,LOT_KEY,0)),""))</f>
        <v/>
      </c>
      <c r="M115" s="26" t="str">
        <f aca="false">IF($E115="","",IFERROR(INDEX(EMPL_CLASSE,MATCH($E115,EMPL_KEY,0)),"?"))</f>
        <v/>
      </c>
      <c r="N115" s="26" t="str">
        <f aca="false">IF($F115="","",IFERROR(INDEX(EMPL_CLASSE,MATCH($F115,EMPL_KEY,0)),"?"))</f>
        <v/>
      </c>
      <c r="O115" s="28" t="n">
        <f aca="false">IF($C115="",0,IF(OR($B115="",$D115=""),0,IF($C115="AJUSTEMENT",IF(OR(NOT(ISNUMBER($G115)),$G115=0,$F115="",$H115=""),0,1),IF(OR(NOT(ISNUMBER($G115)),$G115&lt;=0),0,IF($C115="RECEPTION",IF($F115="",0,1),IF($C115="CONSOMMATION",IF($E115="",0,1),IF(OR($E115="",$F115="",$E115=$F115),0,1)))))))</f>
        <v>0</v>
      </c>
      <c r="P115" s="27" t="str">
        <f aca="false">IF(OR($O115=0,$C115="RECEPTION"),"",IF($C115="AJUSTEMENT",IF($G115&gt;0,"",SUMIFS(MVT_BRUT,MVT_LOT,$D115,MVT_EMPL,$F115)-$G115),SUMIFS(MVT_BRUT,MVT_LOT,$D115,MVT_EMPL,$E115)+$G115))</f>
        <v/>
      </c>
      <c r="Q115" s="26" t="str">
        <f aca="false">IF($C115="","",IF($O115=0,"DONNEES MANQUANTES",IF($C115="RECEPTION","OK",IF(AND($C115="AJUSTEMENT",$G115&gt;0),"OK",IF($P115&lt;=0,"EMPLACEMENT INCOHERENT",IF(ABS($G115)&gt;$P115+0.001,"STOCK INSUFFISANT","OK"))))))</f>
        <v/>
      </c>
      <c r="R115" s="28" t="n">
        <f aca="false">IF($Q115="OK",1,0)</f>
        <v>0</v>
      </c>
      <c r="S115" s="26" t="str">
        <f aca="false">IF($C115="","",IF($O115=0,"A COMPLETER : "&amp;IF($B115="","DATE; ","")&amp;IF($D115="","LOT INTERNE; ","")&amp;IF(NOT(ISNUMBER($G115)),"QUANTITE; ",IF(AND($C115="AJUSTEMENT",$G115=0),"QUANTITE &lt;&gt; 0; ",IF(AND($C115&lt;&gt;"AJUSTEMENT",$G115&lt;=0),"QUANTITE &gt; 0; ","")))&amp;IF(AND($C115="AJUSTEMENT",$H115=""),"MOTIF; ","")&amp;IF(AND(OR($C115="TRANSFERT",$C115="CONSOMMATION"),$E115=""),"EMPL. SOURCE; ","")&amp;IF(AND($C115&lt;&gt;"CONSOMMATION",$F115=""),"EMPL. DESTINATION; ","")&amp;IF(AND($C115="TRANSFERT",$E115&lt;&gt;"",$E115=$F115),"SOURCE = DESTINATION; ",""),IF($Q115="EMPLACEMENT INCOHERENT","Le lot "&amp;$D115&amp;" n'existe pas sur cet emplacement (stock 0). Verifier l'emplacement.",IF($Q115="STOCK INSUFFISANT","Disponible avant operation : "&amp;TEXT($P115,"#,##0.00")&amp;" kg. Ligne NON comptee en stock.",IF(COUNTIFS($B$5:$B$304,$B115,$C$5:$C$304,$C115,$D$5:$D$304,$D115,$G$5:$G$304,$G115)&gt;1,"Doublon possible (meme date, type, lot et quantite).",IF($K115="LOT NON REFERENCE","Creer d'abord la fiche du lot dans l'onglet LOTS.",""))))))</f>
        <v/>
      </c>
    </row>
    <row r="116" customFormat="false" ht="15" hidden="false" customHeight="false" outlineLevel="0" collapsed="false">
      <c r="A116" s="26" t="str">
        <f aca="false">IF($C116="","","OP-"&amp;TEXT(ROW()-4,"000"))</f>
        <v/>
      </c>
      <c r="B116" s="25"/>
      <c r="C116" s="24"/>
      <c r="D116" s="24"/>
      <c r="E116" s="24"/>
      <c r="F116" s="24"/>
      <c r="G116" s="29"/>
      <c r="H116" s="24"/>
      <c r="I116" s="24"/>
      <c r="J116" s="26" t="str">
        <f aca="false">IF($D116="","",IFERROR(INDEX(LOT_EXTE,MATCH($D116,LOT_KEY,0)),""))</f>
        <v/>
      </c>
      <c r="K116" s="26" t="str">
        <f aca="false">IF($D116="","",IFERROR(INDEX(LOT_PRODE,MATCH($D116,LOT_KEY,0)),"LOT NON REFERENCE"))</f>
        <v/>
      </c>
      <c r="L116" s="26" t="str">
        <f aca="false">IF($D116="","",IFERROR(INDEX(LOT_FOURNE,MATCH($D116,LOT_KEY,0)),""))</f>
        <v/>
      </c>
      <c r="M116" s="26" t="str">
        <f aca="false">IF($E116="","",IFERROR(INDEX(EMPL_CLASSE,MATCH($E116,EMPL_KEY,0)),"?"))</f>
        <v/>
      </c>
      <c r="N116" s="26" t="str">
        <f aca="false">IF($F116="","",IFERROR(INDEX(EMPL_CLASSE,MATCH($F116,EMPL_KEY,0)),"?"))</f>
        <v/>
      </c>
      <c r="O116" s="28" t="n">
        <f aca="false">IF($C116="",0,IF(OR($B116="",$D116=""),0,IF($C116="AJUSTEMENT",IF(OR(NOT(ISNUMBER($G116)),$G116=0,$F116="",$H116=""),0,1),IF(OR(NOT(ISNUMBER($G116)),$G116&lt;=0),0,IF($C116="RECEPTION",IF($F116="",0,1),IF($C116="CONSOMMATION",IF($E116="",0,1),IF(OR($E116="",$F116="",$E116=$F116),0,1)))))))</f>
        <v>0</v>
      </c>
      <c r="P116" s="27" t="str">
        <f aca="false">IF(OR($O116=0,$C116="RECEPTION"),"",IF($C116="AJUSTEMENT",IF($G116&gt;0,"",SUMIFS(MVT_BRUT,MVT_LOT,$D116,MVT_EMPL,$F116)-$G116),SUMIFS(MVT_BRUT,MVT_LOT,$D116,MVT_EMPL,$E116)+$G116))</f>
        <v/>
      </c>
      <c r="Q116" s="26" t="str">
        <f aca="false">IF($C116="","",IF($O116=0,"DONNEES MANQUANTES",IF($C116="RECEPTION","OK",IF(AND($C116="AJUSTEMENT",$G116&gt;0),"OK",IF($P116&lt;=0,"EMPLACEMENT INCOHERENT",IF(ABS($G116)&gt;$P116+0.001,"STOCK INSUFFISANT","OK"))))))</f>
        <v/>
      </c>
      <c r="R116" s="28" t="n">
        <f aca="false">IF($Q116="OK",1,0)</f>
        <v>0</v>
      </c>
      <c r="S116" s="26" t="str">
        <f aca="false">IF($C116="","",IF($O116=0,"A COMPLETER : "&amp;IF($B116="","DATE; ","")&amp;IF($D116="","LOT INTERNE; ","")&amp;IF(NOT(ISNUMBER($G116)),"QUANTITE; ",IF(AND($C116="AJUSTEMENT",$G116=0),"QUANTITE &lt;&gt; 0; ",IF(AND($C116&lt;&gt;"AJUSTEMENT",$G116&lt;=0),"QUANTITE &gt; 0; ","")))&amp;IF(AND($C116="AJUSTEMENT",$H116=""),"MOTIF; ","")&amp;IF(AND(OR($C116="TRANSFERT",$C116="CONSOMMATION"),$E116=""),"EMPL. SOURCE; ","")&amp;IF(AND($C116&lt;&gt;"CONSOMMATION",$F116=""),"EMPL. DESTINATION; ","")&amp;IF(AND($C116="TRANSFERT",$E116&lt;&gt;"",$E116=$F116),"SOURCE = DESTINATION; ",""),IF($Q116="EMPLACEMENT INCOHERENT","Le lot "&amp;$D116&amp;" n'existe pas sur cet emplacement (stock 0). Verifier l'emplacement.",IF($Q116="STOCK INSUFFISANT","Disponible avant operation : "&amp;TEXT($P116,"#,##0.00")&amp;" kg. Ligne NON comptee en stock.",IF(COUNTIFS($B$5:$B$304,$B116,$C$5:$C$304,$C116,$D$5:$D$304,$D116,$G$5:$G$304,$G116)&gt;1,"Doublon possible (meme date, type, lot et quantite).",IF($K116="LOT NON REFERENCE","Creer d'abord la fiche du lot dans l'onglet LOTS.",""))))))</f>
        <v/>
      </c>
    </row>
    <row r="117" customFormat="false" ht="15" hidden="false" customHeight="false" outlineLevel="0" collapsed="false">
      <c r="A117" s="26" t="str">
        <f aca="false">IF($C117="","","OP-"&amp;TEXT(ROW()-4,"000"))</f>
        <v/>
      </c>
      <c r="B117" s="25"/>
      <c r="C117" s="24"/>
      <c r="D117" s="24"/>
      <c r="E117" s="24"/>
      <c r="F117" s="24"/>
      <c r="G117" s="29"/>
      <c r="H117" s="24"/>
      <c r="I117" s="24"/>
      <c r="J117" s="26" t="str">
        <f aca="false">IF($D117="","",IFERROR(INDEX(LOT_EXTE,MATCH($D117,LOT_KEY,0)),""))</f>
        <v/>
      </c>
      <c r="K117" s="26" t="str">
        <f aca="false">IF($D117="","",IFERROR(INDEX(LOT_PRODE,MATCH($D117,LOT_KEY,0)),"LOT NON REFERENCE"))</f>
        <v/>
      </c>
      <c r="L117" s="26" t="str">
        <f aca="false">IF($D117="","",IFERROR(INDEX(LOT_FOURNE,MATCH($D117,LOT_KEY,0)),""))</f>
        <v/>
      </c>
      <c r="M117" s="26" t="str">
        <f aca="false">IF($E117="","",IFERROR(INDEX(EMPL_CLASSE,MATCH($E117,EMPL_KEY,0)),"?"))</f>
        <v/>
      </c>
      <c r="N117" s="26" t="str">
        <f aca="false">IF($F117="","",IFERROR(INDEX(EMPL_CLASSE,MATCH($F117,EMPL_KEY,0)),"?"))</f>
        <v/>
      </c>
      <c r="O117" s="28" t="n">
        <f aca="false">IF($C117="",0,IF(OR($B117="",$D117=""),0,IF($C117="AJUSTEMENT",IF(OR(NOT(ISNUMBER($G117)),$G117=0,$F117="",$H117=""),0,1),IF(OR(NOT(ISNUMBER($G117)),$G117&lt;=0),0,IF($C117="RECEPTION",IF($F117="",0,1),IF($C117="CONSOMMATION",IF($E117="",0,1),IF(OR($E117="",$F117="",$E117=$F117),0,1)))))))</f>
        <v>0</v>
      </c>
      <c r="P117" s="27" t="str">
        <f aca="false">IF(OR($O117=0,$C117="RECEPTION"),"",IF($C117="AJUSTEMENT",IF($G117&gt;0,"",SUMIFS(MVT_BRUT,MVT_LOT,$D117,MVT_EMPL,$F117)-$G117),SUMIFS(MVT_BRUT,MVT_LOT,$D117,MVT_EMPL,$E117)+$G117))</f>
        <v/>
      </c>
      <c r="Q117" s="26" t="str">
        <f aca="false">IF($C117="","",IF($O117=0,"DONNEES MANQUANTES",IF($C117="RECEPTION","OK",IF(AND($C117="AJUSTEMENT",$G117&gt;0),"OK",IF($P117&lt;=0,"EMPLACEMENT INCOHERENT",IF(ABS($G117)&gt;$P117+0.001,"STOCK INSUFFISANT","OK"))))))</f>
        <v/>
      </c>
      <c r="R117" s="28" t="n">
        <f aca="false">IF($Q117="OK",1,0)</f>
        <v>0</v>
      </c>
      <c r="S117" s="26" t="str">
        <f aca="false">IF($C117="","",IF($O117=0,"A COMPLETER : "&amp;IF($B117="","DATE; ","")&amp;IF($D117="","LOT INTERNE; ","")&amp;IF(NOT(ISNUMBER($G117)),"QUANTITE; ",IF(AND($C117="AJUSTEMENT",$G117=0),"QUANTITE &lt;&gt; 0; ",IF(AND($C117&lt;&gt;"AJUSTEMENT",$G117&lt;=0),"QUANTITE &gt; 0; ","")))&amp;IF(AND($C117="AJUSTEMENT",$H117=""),"MOTIF; ","")&amp;IF(AND(OR($C117="TRANSFERT",$C117="CONSOMMATION"),$E117=""),"EMPL. SOURCE; ","")&amp;IF(AND($C117&lt;&gt;"CONSOMMATION",$F117=""),"EMPL. DESTINATION; ","")&amp;IF(AND($C117="TRANSFERT",$E117&lt;&gt;"",$E117=$F117),"SOURCE = DESTINATION; ",""),IF($Q117="EMPLACEMENT INCOHERENT","Le lot "&amp;$D117&amp;" n'existe pas sur cet emplacement (stock 0). Verifier l'emplacement.",IF($Q117="STOCK INSUFFISANT","Disponible avant operation : "&amp;TEXT($P117,"#,##0.00")&amp;" kg. Ligne NON comptee en stock.",IF(COUNTIFS($B$5:$B$304,$B117,$C$5:$C$304,$C117,$D$5:$D$304,$D117,$G$5:$G$304,$G117)&gt;1,"Doublon possible (meme date, type, lot et quantite).",IF($K117="LOT NON REFERENCE","Creer d'abord la fiche du lot dans l'onglet LOTS.",""))))))</f>
        <v/>
      </c>
    </row>
    <row r="118" customFormat="false" ht="15" hidden="false" customHeight="false" outlineLevel="0" collapsed="false">
      <c r="A118" s="26" t="str">
        <f aca="false">IF($C118="","","OP-"&amp;TEXT(ROW()-4,"000"))</f>
        <v/>
      </c>
      <c r="B118" s="25"/>
      <c r="C118" s="24"/>
      <c r="D118" s="24"/>
      <c r="E118" s="24"/>
      <c r="F118" s="24"/>
      <c r="G118" s="29"/>
      <c r="H118" s="24"/>
      <c r="I118" s="24"/>
      <c r="J118" s="26" t="str">
        <f aca="false">IF($D118="","",IFERROR(INDEX(LOT_EXTE,MATCH($D118,LOT_KEY,0)),""))</f>
        <v/>
      </c>
      <c r="K118" s="26" t="str">
        <f aca="false">IF($D118="","",IFERROR(INDEX(LOT_PRODE,MATCH($D118,LOT_KEY,0)),"LOT NON REFERENCE"))</f>
        <v/>
      </c>
      <c r="L118" s="26" t="str">
        <f aca="false">IF($D118="","",IFERROR(INDEX(LOT_FOURNE,MATCH($D118,LOT_KEY,0)),""))</f>
        <v/>
      </c>
      <c r="M118" s="26" t="str">
        <f aca="false">IF($E118="","",IFERROR(INDEX(EMPL_CLASSE,MATCH($E118,EMPL_KEY,0)),"?"))</f>
        <v/>
      </c>
      <c r="N118" s="26" t="str">
        <f aca="false">IF($F118="","",IFERROR(INDEX(EMPL_CLASSE,MATCH($F118,EMPL_KEY,0)),"?"))</f>
        <v/>
      </c>
      <c r="O118" s="28" t="n">
        <f aca="false">IF($C118="",0,IF(OR($B118="",$D118=""),0,IF($C118="AJUSTEMENT",IF(OR(NOT(ISNUMBER($G118)),$G118=0,$F118="",$H118=""),0,1),IF(OR(NOT(ISNUMBER($G118)),$G118&lt;=0),0,IF($C118="RECEPTION",IF($F118="",0,1),IF($C118="CONSOMMATION",IF($E118="",0,1),IF(OR($E118="",$F118="",$E118=$F118),0,1)))))))</f>
        <v>0</v>
      </c>
      <c r="P118" s="27" t="str">
        <f aca="false">IF(OR($O118=0,$C118="RECEPTION"),"",IF($C118="AJUSTEMENT",IF($G118&gt;0,"",SUMIFS(MVT_BRUT,MVT_LOT,$D118,MVT_EMPL,$F118)-$G118),SUMIFS(MVT_BRUT,MVT_LOT,$D118,MVT_EMPL,$E118)+$G118))</f>
        <v/>
      </c>
      <c r="Q118" s="26" t="str">
        <f aca="false">IF($C118="","",IF($O118=0,"DONNEES MANQUANTES",IF($C118="RECEPTION","OK",IF(AND($C118="AJUSTEMENT",$G118&gt;0),"OK",IF($P118&lt;=0,"EMPLACEMENT INCOHERENT",IF(ABS($G118)&gt;$P118+0.001,"STOCK INSUFFISANT","OK"))))))</f>
        <v/>
      </c>
      <c r="R118" s="28" t="n">
        <f aca="false">IF($Q118="OK",1,0)</f>
        <v>0</v>
      </c>
      <c r="S118" s="26" t="str">
        <f aca="false">IF($C118="","",IF($O118=0,"A COMPLETER : "&amp;IF($B118="","DATE; ","")&amp;IF($D118="","LOT INTERNE; ","")&amp;IF(NOT(ISNUMBER($G118)),"QUANTITE; ",IF(AND($C118="AJUSTEMENT",$G118=0),"QUANTITE &lt;&gt; 0; ",IF(AND($C118&lt;&gt;"AJUSTEMENT",$G118&lt;=0),"QUANTITE &gt; 0; ","")))&amp;IF(AND($C118="AJUSTEMENT",$H118=""),"MOTIF; ","")&amp;IF(AND(OR($C118="TRANSFERT",$C118="CONSOMMATION"),$E118=""),"EMPL. SOURCE; ","")&amp;IF(AND($C118&lt;&gt;"CONSOMMATION",$F118=""),"EMPL. DESTINATION; ","")&amp;IF(AND($C118="TRANSFERT",$E118&lt;&gt;"",$E118=$F118),"SOURCE = DESTINATION; ",""),IF($Q118="EMPLACEMENT INCOHERENT","Le lot "&amp;$D118&amp;" n'existe pas sur cet emplacement (stock 0). Verifier l'emplacement.",IF($Q118="STOCK INSUFFISANT","Disponible avant operation : "&amp;TEXT($P118,"#,##0.00")&amp;" kg. Ligne NON comptee en stock.",IF(COUNTIFS($B$5:$B$304,$B118,$C$5:$C$304,$C118,$D$5:$D$304,$D118,$G$5:$G$304,$G118)&gt;1,"Doublon possible (meme date, type, lot et quantite).",IF($K118="LOT NON REFERENCE","Creer d'abord la fiche du lot dans l'onglet LOTS.",""))))))</f>
        <v/>
      </c>
    </row>
    <row r="119" customFormat="false" ht="15" hidden="false" customHeight="false" outlineLevel="0" collapsed="false">
      <c r="A119" s="26" t="str">
        <f aca="false">IF($C119="","","OP-"&amp;TEXT(ROW()-4,"000"))</f>
        <v/>
      </c>
      <c r="B119" s="25"/>
      <c r="C119" s="24"/>
      <c r="D119" s="24"/>
      <c r="E119" s="24"/>
      <c r="F119" s="24"/>
      <c r="G119" s="29"/>
      <c r="H119" s="24"/>
      <c r="I119" s="24"/>
      <c r="J119" s="26" t="str">
        <f aca="false">IF($D119="","",IFERROR(INDEX(LOT_EXTE,MATCH($D119,LOT_KEY,0)),""))</f>
        <v/>
      </c>
      <c r="K119" s="26" t="str">
        <f aca="false">IF($D119="","",IFERROR(INDEX(LOT_PRODE,MATCH($D119,LOT_KEY,0)),"LOT NON REFERENCE"))</f>
        <v/>
      </c>
      <c r="L119" s="26" t="str">
        <f aca="false">IF($D119="","",IFERROR(INDEX(LOT_FOURNE,MATCH($D119,LOT_KEY,0)),""))</f>
        <v/>
      </c>
      <c r="M119" s="26" t="str">
        <f aca="false">IF($E119="","",IFERROR(INDEX(EMPL_CLASSE,MATCH($E119,EMPL_KEY,0)),"?"))</f>
        <v/>
      </c>
      <c r="N119" s="26" t="str">
        <f aca="false">IF($F119="","",IFERROR(INDEX(EMPL_CLASSE,MATCH($F119,EMPL_KEY,0)),"?"))</f>
        <v/>
      </c>
      <c r="O119" s="28" t="n">
        <f aca="false">IF($C119="",0,IF(OR($B119="",$D119=""),0,IF($C119="AJUSTEMENT",IF(OR(NOT(ISNUMBER($G119)),$G119=0,$F119="",$H119=""),0,1),IF(OR(NOT(ISNUMBER($G119)),$G119&lt;=0),0,IF($C119="RECEPTION",IF($F119="",0,1),IF($C119="CONSOMMATION",IF($E119="",0,1),IF(OR($E119="",$F119="",$E119=$F119),0,1)))))))</f>
        <v>0</v>
      </c>
      <c r="P119" s="27" t="str">
        <f aca="false">IF(OR($O119=0,$C119="RECEPTION"),"",IF($C119="AJUSTEMENT",IF($G119&gt;0,"",SUMIFS(MVT_BRUT,MVT_LOT,$D119,MVT_EMPL,$F119)-$G119),SUMIFS(MVT_BRUT,MVT_LOT,$D119,MVT_EMPL,$E119)+$G119))</f>
        <v/>
      </c>
      <c r="Q119" s="26" t="str">
        <f aca="false">IF($C119="","",IF($O119=0,"DONNEES MANQUANTES",IF($C119="RECEPTION","OK",IF(AND($C119="AJUSTEMENT",$G119&gt;0),"OK",IF($P119&lt;=0,"EMPLACEMENT INCOHERENT",IF(ABS($G119)&gt;$P119+0.001,"STOCK INSUFFISANT","OK"))))))</f>
        <v/>
      </c>
      <c r="R119" s="28" t="n">
        <f aca="false">IF($Q119="OK",1,0)</f>
        <v>0</v>
      </c>
      <c r="S119" s="26" t="str">
        <f aca="false">IF($C119="","",IF($O119=0,"A COMPLETER : "&amp;IF($B119="","DATE; ","")&amp;IF($D119="","LOT INTERNE; ","")&amp;IF(NOT(ISNUMBER($G119)),"QUANTITE; ",IF(AND($C119="AJUSTEMENT",$G119=0),"QUANTITE &lt;&gt; 0; ",IF(AND($C119&lt;&gt;"AJUSTEMENT",$G119&lt;=0),"QUANTITE &gt; 0; ","")))&amp;IF(AND($C119="AJUSTEMENT",$H119=""),"MOTIF; ","")&amp;IF(AND(OR($C119="TRANSFERT",$C119="CONSOMMATION"),$E119=""),"EMPL. SOURCE; ","")&amp;IF(AND($C119&lt;&gt;"CONSOMMATION",$F119=""),"EMPL. DESTINATION; ","")&amp;IF(AND($C119="TRANSFERT",$E119&lt;&gt;"",$E119=$F119),"SOURCE = DESTINATION; ",""),IF($Q119="EMPLACEMENT INCOHERENT","Le lot "&amp;$D119&amp;" n'existe pas sur cet emplacement (stock 0). Verifier l'emplacement.",IF($Q119="STOCK INSUFFISANT","Disponible avant operation : "&amp;TEXT($P119,"#,##0.00")&amp;" kg. Ligne NON comptee en stock.",IF(COUNTIFS($B$5:$B$304,$B119,$C$5:$C$304,$C119,$D$5:$D$304,$D119,$G$5:$G$304,$G119)&gt;1,"Doublon possible (meme date, type, lot et quantite).",IF($K119="LOT NON REFERENCE","Creer d'abord la fiche du lot dans l'onglet LOTS.",""))))))</f>
        <v/>
      </c>
    </row>
    <row r="120" customFormat="false" ht="15" hidden="false" customHeight="false" outlineLevel="0" collapsed="false">
      <c r="A120" s="26" t="str">
        <f aca="false">IF($C120="","","OP-"&amp;TEXT(ROW()-4,"000"))</f>
        <v/>
      </c>
      <c r="B120" s="25"/>
      <c r="C120" s="24"/>
      <c r="D120" s="24"/>
      <c r="E120" s="24"/>
      <c r="F120" s="24"/>
      <c r="G120" s="29"/>
      <c r="H120" s="24"/>
      <c r="I120" s="24"/>
      <c r="J120" s="26" t="str">
        <f aca="false">IF($D120="","",IFERROR(INDEX(LOT_EXTE,MATCH($D120,LOT_KEY,0)),""))</f>
        <v/>
      </c>
      <c r="K120" s="26" t="str">
        <f aca="false">IF($D120="","",IFERROR(INDEX(LOT_PRODE,MATCH($D120,LOT_KEY,0)),"LOT NON REFERENCE"))</f>
        <v/>
      </c>
      <c r="L120" s="26" t="str">
        <f aca="false">IF($D120="","",IFERROR(INDEX(LOT_FOURNE,MATCH($D120,LOT_KEY,0)),""))</f>
        <v/>
      </c>
      <c r="M120" s="26" t="str">
        <f aca="false">IF($E120="","",IFERROR(INDEX(EMPL_CLASSE,MATCH($E120,EMPL_KEY,0)),"?"))</f>
        <v/>
      </c>
      <c r="N120" s="26" t="str">
        <f aca="false">IF($F120="","",IFERROR(INDEX(EMPL_CLASSE,MATCH($F120,EMPL_KEY,0)),"?"))</f>
        <v/>
      </c>
      <c r="O120" s="28" t="n">
        <f aca="false">IF($C120="",0,IF(OR($B120="",$D120=""),0,IF($C120="AJUSTEMENT",IF(OR(NOT(ISNUMBER($G120)),$G120=0,$F120="",$H120=""),0,1),IF(OR(NOT(ISNUMBER($G120)),$G120&lt;=0),0,IF($C120="RECEPTION",IF($F120="",0,1),IF($C120="CONSOMMATION",IF($E120="",0,1),IF(OR($E120="",$F120="",$E120=$F120),0,1)))))))</f>
        <v>0</v>
      </c>
      <c r="P120" s="27" t="str">
        <f aca="false">IF(OR($O120=0,$C120="RECEPTION"),"",IF($C120="AJUSTEMENT",IF($G120&gt;0,"",SUMIFS(MVT_BRUT,MVT_LOT,$D120,MVT_EMPL,$F120)-$G120),SUMIFS(MVT_BRUT,MVT_LOT,$D120,MVT_EMPL,$E120)+$G120))</f>
        <v/>
      </c>
      <c r="Q120" s="26" t="str">
        <f aca="false">IF($C120="","",IF($O120=0,"DONNEES MANQUANTES",IF($C120="RECEPTION","OK",IF(AND($C120="AJUSTEMENT",$G120&gt;0),"OK",IF($P120&lt;=0,"EMPLACEMENT INCOHERENT",IF(ABS($G120)&gt;$P120+0.001,"STOCK INSUFFISANT","OK"))))))</f>
        <v/>
      </c>
      <c r="R120" s="28" t="n">
        <f aca="false">IF($Q120="OK",1,0)</f>
        <v>0</v>
      </c>
      <c r="S120" s="26" t="str">
        <f aca="false">IF($C120="","",IF($O120=0,"A COMPLETER : "&amp;IF($B120="","DATE; ","")&amp;IF($D120="","LOT INTERNE; ","")&amp;IF(NOT(ISNUMBER($G120)),"QUANTITE; ",IF(AND($C120="AJUSTEMENT",$G120=0),"QUANTITE &lt;&gt; 0; ",IF(AND($C120&lt;&gt;"AJUSTEMENT",$G120&lt;=0),"QUANTITE &gt; 0; ","")))&amp;IF(AND($C120="AJUSTEMENT",$H120=""),"MOTIF; ","")&amp;IF(AND(OR($C120="TRANSFERT",$C120="CONSOMMATION"),$E120=""),"EMPL. SOURCE; ","")&amp;IF(AND($C120&lt;&gt;"CONSOMMATION",$F120=""),"EMPL. DESTINATION; ","")&amp;IF(AND($C120="TRANSFERT",$E120&lt;&gt;"",$E120=$F120),"SOURCE = DESTINATION; ",""),IF($Q120="EMPLACEMENT INCOHERENT","Le lot "&amp;$D120&amp;" n'existe pas sur cet emplacement (stock 0). Verifier l'emplacement.",IF($Q120="STOCK INSUFFISANT","Disponible avant operation : "&amp;TEXT($P120,"#,##0.00")&amp;" kg. Ligne NON comptee en stock.",IF(COUNTIFS($B$5:$B$304,$B120,$C$5:$C$304,$C120,$D$5:$D$304,$D120,$G$5:$G$304,$G120)&gt;1,"Doublon possible (meme date, type, lot et quantite).",IF($K120="LOT NON REFERENCE","Creer d'abord la fiche du lot dans l'onglet LOTS.",""))))))</f>
        <v/>
      </c>
    </row>
    <row r="121" customFormat="false" ht="15" hidden="false" customHeight="false" outlineLevel="0" collapsed="false">
      <c r="A121" s="26" t="str">
        <f aca="false">IF($C121="","","OP-"&amp;TEXT(ROW()-4,"000"))</f>
        <v/>
      </c>
      <c r="B121" s="25"/>
      <c r="C121" s="24"/>
      <c r="D121" s="24"/>
      <c r="E121" s="24"/>
      <c r="F121" s="24"/>
      <c r="G121" s="29"/>
      <c r="H121" s="24"/>
      <c r="I121" s="24"/>
      <c r="J121" s="26" t="str">
        <f aca="false">IF($D121="","",IFERROR(INDEX(LOT_EXTE,MATCH($D121,LOT_KEY,0)),""))</f>
        <v/>
      </c>
      <c r="K121" s="26" t="str">
        <f aca="false">IF($D121="","",IFERROR(INDEX(LOT_PRODE,MATCH($D121,LOT_KEY,0)),"LOT NON REFERENCE"))</f>
        <v/>
      </c>
      <c r="L121" s="26" t="str">
        <f aca="false">IF($D121="","",IFERROR(INDEX(LOT_FOURNE,MATCH($D121,LOT_KEY,0)),""))</f>
        <v/>
      </c>
      <c r="M121" s="26" t="str">
        <f aca="false">IF($E121="","",IFERROR(INDEX(EMPL_CLASSE,MATCH($E121,EMPL_KEY,0)),"?"))</f>
        <v/>
      </c>
      <c r="N121" s="26" t="str">
        <f aca="false">IF($F121="","",IFERROR(INDEX(EMPL_CLASSE,MATCH($F121,EMPL_KEY,0)),"?"))</f>
        <v/>
      </c>
      <c r="O121" s="28" t="n">
        <f aca="false">IF($C121="",0,IF(OR($B121="",$D121=""),0,IF($C121="AJUSTEMENT",IF(OR(NOT(ISNUMBER($G121)),$G121=0,$F121="",$H121=""),0,1),IF(OR(NOT(ISNUMBER($G121)),$G121&lt;=0),0,IF($C121="RECEPTION",IF($F121="",0,1),IF($C121="CONSOMMATION",IF($E121="",0,1),IF(OR($E121="",$F121="",$E121=$F121),0,1)))))))</f>
        <v>0</v>
      </c>
      <c r="P121" s="27" t="str">
        <f aca="false">IF(OR($O121=0,$C121="RECEPTION"),"",IF($C121="AJUSTEMENT",IF($G121&gt;0,"",SUMIFS(MVT_BRUT,MVT_LOT,$D121,MVT_EMPL,$F121)-$G121),SUMIFS(MVT_BRUT,MVT_LOT,$D121,MVT_EMPL,$E121)+$G121))</f>
        <v/>
      </c>
      <c r="Q121" s="26" t="str">
        <f aca="false">IF($C121="","",IF($O121=0,"DONNEES MANQUANTES",IF($C121="RECEPTION","OK",IF(AND($C121="AJUSTEMENT",$G121&gt;0),"OK",IF($P121&lt;=0,"EMPLACEMENT INCOHERENT",IF(ABS($G121)&gt;$P121+0.001,"STOCK INSUFFISANT","OK"))))))</f>
        <v/>
      </c>
      <c r="R121" s="28" t="n">
        <f aca="false">IF($Q121="OK",1,0)</f>
        <v>0</v>
      </c>
      <c r="S121" s="26" t="str">
        <f aca="false">IF($C121="","",IF($O121=0,"A COMPLETER : "&amp;IF($B121="","DATE; ","")&amp;IF($D121="","LOT INTERNE; ","")&amp;IF(NOT(ISNUMBER($G121)),"QUANTITE; ",IF(AND($C121="AJUSTEMENT",$G121=0),"QUANTITE &lt;&gt; 0; ",IF(AND($C121&lt;&gt;"AJUSTEMENT",$G121&lt;=0),"QUANTITE &gt; 0; ","")))&amp;IF(AND($C121="AJUSTEMENT",$H121=""),"MOTIF; ","")&amp;IF(AND(OR($C121="TRANSFERT",$C121="CONSOMMATION"),$E121=""),"EMPL. SOURCE; ","")&amp;IF(AND($C121&lt;&gt;"CONSOMMATION",$F121=""),"EMPL. DESTINATION; ","")&amp;IF(AND($C121="TRANSFERT",$E121&lt;&gt;"",$E121=$F121),"SOURCE = DESTINATION; ",""),IF($Q121="EMPLACEMENT INCOHERENT","Le lot "&amp;$D121&amp;" n'existe pas sur cet emplacement (stock 0). Verifier l'emplacement.",IF($Q121="STOCK INSUFFISANT","Disponible avant operation : "&amp;TEXT($P121,"#,##0.00")&amp;" kg. Ligne NON comptee en stock.",IF(COUNTIFS($B$5:$B$304,$B121,$C$5:$C$304,$C121,$D$5:$D$304,$D121,$G$5:$G$304,$G121)&gt;1,"Doublon possible (meme date, type, lot et quantite).",IF($K121="LOT NON REFERENCE","Creer d'abord la fiche du lot dans l'onglet LOTS.",""))))))</f>
        <v/>
      </c>
    </row>
    <row r="122" customFormat="false" ht="15" hidden="false" customHeight="false" outlineLevel="0" collapsed="false">
      <c r="A122" s="26" t="str">
        <f aca="false">IF($C122="","","OP-"&amp;TEXT(ROW()-4,"000"))</f>
        <v/>
      </c>
      <c r="B122" s="25"/>
      <c r="C122" s="24"/>
      <c r="D122" s="24"/>
      <c r="E122" s="24"/>
      <c r="F122" s="24"/>
      <c r="G122" s="29"/>
      <c r="H122" s="24"/>
      <c r="I122" s="24"/>
      <c r="J122" s="26" t="str">
        <f aca="false">IF($D122="","",IFERROR(INDEX(LOT_EXTE,MATCH($D122,LOT_KEY,0)),""))</f>
        <v/>
      </c>
      <c r="K122" s="26" t="str">
        <f aca="false">IF($D122="","",IFERROR(INDEX(LOT_PRODE,MATCH($D122,LOT_KEY,0)),"LOT NON REFERENCE"))</f>
        <v/>
      </c>
      <c r="L122" s="26" t="str">
        <f aca="false">IF($D122="","",IFERROR(INDEX(LOT_FOURNE,MATCH($D122,LOT_KEY,0)),""))</f>
        <v/>
      </c>
      <c r="M122" s="26" t="str">
        <f aca="false">IF($E122="","",IFERROR(INDEX(EMPL_CLASSE,MATCH($E122,EMPL_KEY,0)),"?"))</f>
        <v/>
      </c>
      <c r="N122" s="26" t="str">
        <f aca="false">IF($F122="","",IFERROR(INDEX(EMPL_CLASSE,MATCH($F122,EMPL_KEY,0)),"?"))</f>
        <v/>
      </c>
      <c r="O122" s="28" t="n">
        <f aca="false">IF($C122="",0,IF(OR($B122="",$D122=""),0,IF($C122="AJUSTEMENT",IF(OR(NOT(ISNUMBER($G122)),$G122=0,$F122="",$H122=""),0,1),IF(OR(NOT(ISNUMBER($G122)),$G122&lt;=0),0,IF($C122="RECEPTION",IF($F122="",0,1),IF($C122="CONSOMMATION",IF($E122="",0,1),IF(OR($E122="",$F122="",$E122=$F122),0,1)))))))</f>
        <v>0</v>
      </c>
      <c r="P122" s="27" t="str">
        <f aca="false">IF(OR($O122=0,$C122="RECEPTION"),"",IF($C122="AJUSTEMENT",IF($G122&gt;0,"",SUMIFS(MVT_BRUT,MVT_LOT,$D122,MVT_EMPL,$F122)-$G122),SUMIFS(MVT_BRUT,MVT_LOT,$D122,MVT_EMPL,$E122)+$G122))</f>
        <v/>
      </c>
      <c r="Q122" s="26" t="str">
        <f aca="false">IF($C122="","",IF($O122=0,"DONNEES MANQUANTES",IF($C122="RECEPTION","OK",IF(AND($C122="AJUSTEMENT",$G122&gt;0),"OK",IF($P122&lt;=0,"EMPLACEMENT INCOHERENT",IF(ABS($G122)&gt;$P122+0.001,"STOCK INSUFFISANT","OK"))))))</f>
        <v/>
      </c>
      <c r="R122" s="28" t="n">
        <f aca="false">IF($Q122="OK",1,0)</f>
        <v>0</v>
      </c>
      <c r="S122" s="26" t="str">
        <f aca="false">IF($C122="","",IF($O122=0,"A COMPLETER : "&amp;IF($B122="","DATE; ","")&amp;IF($D122="","LOT INTERNE; ","")&amp;IF(NOT(ISNUMBER($G122)),"QUANTITE; ",IF(AND($C122="AJUSTEMENT",$G122=0),"QUANTITE &lt;&gt; 0; ",IF(AND($C122&lt;&gt;"AJUSTEMENT",$G122&lt;=0),"QUANTITE &gt; 0; ","")))&amp;IF(AND($C122="AJUSTEMENT",$H122=""),"MOTIF; ","")&amp;IF(AND(OR($C122="TRANSFERT",$C122="CONSOMMATION"),$E122=""),"EMPL. SOURCE; ","")&amp;IF(AND($C122&lt;&gt;"CONSOMMATION",$F122=""),"EMPL. DESTINATION; ","")&amp;IF(AND($C122="TRANSFERT",$E122&lt;&gt;"",$E122=$F122),"SOURCE = DESTINATION; ",""),IF($Q122="EMPLACEMENT INCOHERENT","Le lot "&amp;$D122&amp;" n'existe pas sur cet emplacement (stock 0). Verifier l'emplacement.",IF($Q122="STOCK INSUFFISANT","Disponible avant operation : "&amp;TEXT($P122,"#,##0.00")&amp;" kg. Ligne NON comptee en stock.",IF(COUNTIFS($B$5:$B$304,$B122,$C$5:$C$304,$C122,$D$5:$D$304,$D122,$G$5:$G$304,$G122)&gt;1,"Doublon possible (meme date, type, lot et quantite).",IF($K122="LOT NON REFERENCE","Creer d'abord la fiche du lot dans l'onglet LOTS.",""))))))</f>
        <v/>
      </c>
    </row>
    <row r="123" customFormat="false" ht="15" hidden="false" customHeight="false" outlineLevel="0" collapsed="false">
      <c r="A123" s="26" t="str">
        <f aca="false">IF($C123="","","OP-"&amp;TEXT(ROW()-4,"000"))</f>
        <v/>
      </c>
      <c r="B123" s="25"/>
      <c r="C123" s="24"/>
      <c r="D123" s="24"/>
      <c r="E123" s="24"/>
      <c r="F123" s="24"/>
      <c r="G123" s="29"/>
      <c r="H123" s="24"/>
      <c r="I123" s="24"/>
      <c r="J123" s="26" t="str">
        <f aca="false">IF($D123="","",IFERROR(INDEX(LOT_EXTE,MATCH($D123,LOT_KEY,0)),""))</f>
        <v/>
      </c>
      <c r="K123" s="26" t="str">
        <f aca="false">IF($D123="","",IFERROR(INDEX(LOT_PRODE,MATCH($D123,LOT_KEY,0)),"LOT NON REFERENCE"))</f>
        <v/>
      </c>
      <c r="L123" s="26" t="str">
        <f aca="false">IF($D123="","",IFERROR(INDEX(LOT_FOURNE,MATCH($D123,LOT_KEY,0)),""))</f>
        <v/>
      </c>
      <c r="M123" s="26" t="str">
        <f aca="false">IF($E123="","",IFERROR(INDEX(EMPL_CLASSE,MATCH($E123,EMPL_KEY,0)),"?"))</f>
        <v/>
      </c>
      <c r="N123" s="26" t="str">
        <f aca="false">IF($F123="","",IFERROR(INDEX(EMPL_CLASSE,MATCH($F123,EMPL_KEY,0)),"?"))</f>
        <v/>
      </c>
      <c r="O123" s="28" t="n">
        <f aca="false">IF($C123="",0,IF(OR($B123="",$D123=""),0,IF($C123="AJUSTEMENT",IF(OR(NOT(ISNUMBER($G123)),$G123=0,$F123="",$H123=""),0,1),IF(OR(NOT(ISNUMBER($G123)),$G123&lt;=0),0,IF($C123="RECEPTION",IF($F123="",0,1),IF($C123="CONSOMMATION",IF($E123="",0,1),IF(OR($E123="",$F123="",$E123=$F123),0,1)))))))</f>
        <v>0</v>
      </c>
      <c r="P123" s="27" t="str">
        <f aca="false">IF(OR($O123=0,$C123="RECEPTION"),"",IF($C123="AJUSTEMENT",IF($G123&gt;0,"",SUMIFS(MVT_BRUT,MVT_LOT,$D123,MVT_EMPL,$F123)-$G123),SUMIFS(MVT_BRUT,MVT_LOT,$D123,MVT_EMPL,$E123)+$G123))</f>
        <v/>
      </c>
      <c r="Q123" s="26" t="str">
        <f aca="false">IF($C123="","",IF($O123=0,"DONNEES MANQUANTES",IF($C123="RECEPTION","OK",IF(AND($C123="AJUSTEMENT",$G123&gt;0),"OK",IF($P123&lt;=0,"EMPLACEMENT INCOHERENT",IF(ABS($G123)&gt;$P123+0.001,"STOCK INSUFFISANT","OK"))))))</f>
        <v/>
      </c>
      <c r="R123" s="28" t="n">
        <f aca="false">IF($Q123="OK",1,0)</f>
        <v>0</v>
      </c>
      <c r="S123" s="26" t="str">
        <f aca="false">IF($C123="","",IF($O123=0,"A COMPLETER : "&amp;IF($B123="","DATE; ","")&amp;IF($D123="","LOT INTERNE; ","")&amp;IF(NOT(ISNUMBER($G123)),"QUANTITE; ",IF(AND($C123="AJUSTEMENT",$G123=0),"QUANTITE &lt;&gt; 0; ",IF(AND($C123&lt;&gt;"AJUSTEMENT",$G123&lt;=0),"QUANTITE &gt; 0; ","")))&amp;IF(AND($C123="AJUSTEMENT",$H123=""),"MOTIF; ","")&amp;IF(AND(OR($C123="TRANSFERT",$C123="CONSOMMATION"),$E123=""),"EMPL. SOURCE; ","")&amp;IF(AND($C123&lt;&gt;"CONSOMMATION",$F123=""),"EMPL. DESTINATION; ","")&amp;IF(AND($C123="TRANSFERT",$E123&lt;&gt;"",$E123=$F123),"SOURCE = DESTINATION; ",""),IF($Q123="EMPLACEMENT INCOHERENT","Le lot "&amp;$D123&amp;" n'existe pas sur cet emplacement (stock 0). Verifier l'emplacement.",IF($Q123="STOCK INSUFFISANT","Disponible avant operation : "&amp;TEXT($P123,"#,##0.00")&amp;" kg. Ligne NON comptee en stock.",IF(COUNTIFS($B$5:$B$304,$B123,$C$5:$C$304,$C123,$D$5:$D$304,$D123,$G$5:$G$304,$G123)&gt;1,"Doublon possible (meme date, type, lot et quantite).",IF($K123="LOT NON REFERENCE","Creer d'abord la fiche du lot dans l'onglet LOTS.",""))))))</f>
        <v/>
      </c>
    </row>
    <row r="124" customFormat="false" ht="15" hidden="false" customHeight="false" outlineLevel="0" collapsed="false">
      <c r="A124" s="26" t="str">
        <f aca="false">IF($C124="","","OP-"&amp;TEXT(ROW()-4,"000"))</f>
        <v/>
      </c>
      <c r="B124" s="25"/>
      <c r="C124" s="24"/>
      <c r="D124" s="24"/>
      <c r="E124" s="24"/>
      <c r="F124" s="24"/>
      <c r="G124" s="29"/>
      <c r="H124" s="24"/>
      <c r="I124" s="24"/>
      <c r="J124" s="26" t="str">
        <f aca="false">IF($D124="","",IFERROR(INDEX(LOT_EXTE,MATCH($D124,LOT_KEY,0)),""))</f>
        <v/>
      </c>
      <c r="K124" s="26" t="str">
        <f aca="false">IF($D124="","",IFERROR(INDEX(LOT_PRODE,MATCH($D124,LOT_KEY,0)),"LOT NON REFERENCE"))</f>
        <v/>
      </c>
      <c r="L124" s="26" t="str">
        <f aca="false">IF($D124="","",IFERROR(INDEX(LOT_FOURNE,MATCH($D124,LOT_KEY,0)),""))</f>
        <v/>
      </c>
      <c r="M124" s="26" t="str">
        <f aca="false">IF($E124="","",IFERROR(INDEX(EMPL_CLASSE,MATCH($E124,EMPL_KEY,0)),"?"))</f>
        <v/>
      </c>
      <c r="N124" s="26" t="str">
        <f aca="false">IF($F124="","",IFERROR(INDEX(EMPL_CLASSE,MATCH($F124,EMPL_KEY,0)),"?"))</f>
        <v/>
      </c>
      <c r="O124" s="28" t="n">
        <f aca="false">IF($C124="",0,IF(OR($B124="",$D124=""),0,IF($C124="AJUSTEMENT",IF(OR(NOT(ISNUMBER($G124)),$G124=0,$F124="",$H124=""),0,1),IF(OR(NOT(ISNUMBER($G124)),$G124&lt;=0),0,IF($C124="RECEPTION",IF($F124="",0,1),IF($C124="CONSOMMATION",IF($E124="",0,1),IF(OR($E124="",$F124="",$E124=$F124),0,1)))))))</f>
        <v>0</v>
      </c>
      <c r="P124" s="27" t="str">
        <f aca="false">IF(OR($O124=0,$C124="RECEPTION"),"",IF($C124="AJUSTEMENT",IF($G124&gt;0,"",SUMIFS(MVT_BRUT,MVT_LOT,$D124,MVT_EMPL,$F124)-$G124),SUMIFS(MVT_BRUT,MVT_LOT,$D124,MVT_EMPL,$E124)+$G124))</f>
        <v/>
      </c>
      <c r="Q124" s="26" t="str">
        <f aca="false">IF($C124="","",IF($O124=0,"DONNEES MANQUANTES",IF($C124="RECEPTION","OK",IF(AND($C124="AJUSTEMENT",$G124&gt;0),"OK",IF($P124&lt;=0,"EMPLACEMENT INCOHERENT",IF(ABS($G124)&gt;$P124+0.001,"STOCK INSUFFISANT","OK"))))))</f>
        <v/>
      </c>
      <c r="R124" s="28" t="n">
        <f aca="false">IF($Q124="OK",1,0)</f>
        <v>0</v>
      </c>
      <c r="S124" s="26" t="str">
        <f aca="false">IF($C124="","",IF($O124=0,"A COMPLETER : "&amp;IF($B124="","DATE; ","")&amp;IF($D124="","LOT INTERNE; ","")&amp;IF(NOT(ISNUMBER($G124)),"QUANTITE; ",IF(AND($C124="AJUSTEMENT",$G124=0),"QUANTITE &lt;&gt; 0; ",IF(AND($C124&lt;&gt;"AJUSTEMENT",$G124&lt;=0),"QUANTITE &gt; 0; ","")))&amp;IF(AND($C124="AJUSTEMENT",$H124=""),"MOTIF; ","")&amp;IF(AND(OR($C124="TRANSFERT",$C124="CONSOMMATION"),$E124=""),"EMPL. SOURCE; ","")&amp;IF(AND($C124&lt;&gt;"CONSOMMATION",$F124=""),"EMPL. DESTINATION; ","")&amp;IF(AND($C124="TRANSFERT",$E124&lt;&gt;"",$E124=$F124),"SOURCE = DESTINATION; ",""),IF($Q124="EMPLACEMENT INCOHERENT","Le lot "&amp;$D124&amp;" n'existe pas sur cet emplacement (stock 0). Verifier l'emplacement.",IF($Q124="STOCK INSUFFISANT","Disponible avant operation : "&amp;TEXT($P124,"#,##0.00")&amp;" kg. Ligne NON comptee en stock.",IF(COUNTIFS($B$5:$B$304,$B124,$C$5:$C$304,$C124,$D$5:$D$304,$D124,$G$5:$G$304,$G124)&gt;1,"Doublon possible (meme date, type, lot et quantite).",IF($K124="LOT NON REFERENCE","Creer d'abord la fiche du lot dans l'onglet LOTS.",""))))))</f>
        <v/>
      </c>
    </row>
    <row r="125" customFormat="false" ht="15" hidden="false" customHeight="false" outlineLevel="0" collapsed="false">
      <c r="A125" s="26" t="str">
        <f aca="false">IF($C125="","","OP-"&amp;TEXT(ROW()-4,"000"))</f>
        <v/>
      </c>
      <c r="B125" s="25"/>
      <c r="C125" s="24"/>
      <c r="D125" s="24"/>
      <c r="E125" s="24"/>
      <c r="F125" s="24"/>
      <c r="G125" s="29"/>
      <c r="H125" s="24"/>
      <c r="I125" s="24"/>
      <c r="J125" s="26" t="str">
        <f aca="false">IF($D125="","",IFERROR(INDEX(LOT_EXTE,MATCH($D125,LOT_KEY,0)),""))</f>
        <v/>
      </c>
      <c r="K125" s="26" t="str">
        <f aca="false">IF($D125="","",IFERROR(INDEX(LOT_PRODE,MATCH($D125,LOT_KEY,0)),"LOT NON REFERENCE"))</f>
        <v/>
      </c>
      <c r="L125" s="26" t="str">
        <f aca="false">IF($D125="","",IFERROR(INDEX(LOT_FOURNE,MATCH($D125,LOT_KEY,0)),""))</f>
        <v/>
      </c>
      <c r="M125" s="26" t="str">
        <f aca="false">IF($E125="","",IFERROR(INDEX(EMPL_CLASSE,MATCH($E125,EMPL_KEY,0)),"?"))</f>
        <v/>
      </c>
      <c r="N125" s="26" t="str">
        <f aca="false">IF($F125="","",IFERROR(INDEX(EMPL_CLASSE,MATCH($F125,EMPL_KEY,0)),"?"))</f>
        <v/>
      </c>
      <c r="O125" s="28" t="n">
        <f aca="false">IF($C125="",0,IF(OR($B125="",$D125=""),0,IF($C125="AJUSTEMENT",IF(OR(NOT(ISNUMBER($G125)),$G125=0,$F125="",$H125=""),0,1),IF(OR(NOT(ISNUMBER($G125)),$G125&lt;=0),0,IF($C125="RECEPTION",IF($F125="",0,1),IF($C125="CONSOMMATION",IF($E125="",0,1),IF(OR($E125="",$F125="",$E125=$F125),0,1)))))))</f>
        <v>0</v>
      </c>
      <c r="P125" s="27" t="str">
        <f aca="false">IF(OR($O125=0,$C125="RECEPTION"),"",IF($C125="AJUSTEMENT",IF($G125&gt;0,"",SUMIFS(MVT_BRUT,MVT_LOT,$D125,MVT_EMPL,$F125)-$G125),SUMIFS(MVT_BRUT,MVT_LOT,$D125,MVT_EMPL,$E125)+$G125))</f>
        <v/>
      </c>
      <c r="Q125" s="26" t="str">
        <f aca="false">IF($C125="","",IF($O125=0,"DONNEES MANQUANTES",IF($C125="RECEPTION","OK",IF(AND($C125="AJUSTEMENT",$G125&gt;0),"OK",IF($P125&lt;=0,"EMPLACEMENT INCOHERENT",IF(ABS($G125)&gt;$P125+0.001,"STOCK INSUFFISANT","OK"))))))</f>
        <v/>
      </c>
      <c r="R125" s="28" t="n">
        <f aca="false">IF($Q125="OK",1,0)</f>
        <v>0</v>
      </c>
      <c r="S125" s="26" t="str">
        <f aca="false">IF($C125="","",IF($O125=0,"A COMPLETER : "&amp;IF($B125="","DATE; ","")&amp;IF($D125="","LOT INTERNE; ","")&amp;IF(NOT(ISNUMBER($G125)),"QUANTITE; ",IF(AND($C125="AJUSTEMENT",$G125=0),"QUANTITE &lt;&gt; 0; ",IF(AND($C125&lt;&gt;"AJUSTEMENT",$G125&lt;=0),"QUANTITE &gt; 0; ","")))&amp;IF(AND($C125="AJUSTEMENT",$H125=""),"MOTIF; ","")&amp;IF(AND(OR($C125="TRANSFERT",$C125="CONSOMMATION"),$E125=""),"EMPL. SOURCE; ","")&amp;IF(AND($C125&lt;&gt;"CONSOMMATION",$F125=""),"EMPL. DESTINATION; ","")&amp;IF(AND($C125="TRANSFERT",$E125&lt;&gt;"",$E125=$F125),"SOURCE = DESTINATION; ",""),IF($Q125="EMPLACEMENT INCOHERENT","Le lot "&amp;$D125&amp;" n'existe pas sur cet emplacement (stock 0). Verifier l'emplacement.",IF($Q125="STOCK INSUFFISANT","Disponible avant operation : "&amp;TEXT($P125,"#,##0.00")&amp;" kg. Ligne NON comptee en stock.",IF(COUNTIFS($B$5:$B$304,$B125,$C$5:$C$304,$C125,$D$5:$D$304,$D125,$G$5:$G$304,$G125)&gt;1,"Doublon possible (meme date, type, lot et quantite).",IF($K125="LOT NON REFERENCE","Creer d'abord la fiche du lot dans l'onglet LOTS.",""))))))</f>
        <v/>
      </c>
    </row>
    <row r="126" customFormat="false" ht="15" hidden="false" customHeight="false" outlineLevel="0" collapsed="false">
      <c r="A126" s="26" t="str">
        <f aca="false">IF($C126="","","OP-"&amp;TEXT(ROW()-4,"000"))</f>
        <v/>
      </c>
      <c r="B126" s="25"/>
      <c r="C126" s="24"/>
      <c r="D126" s="24"/>
      <c r="E126" s="24"/>
      <c r="F126" s="24"/>
      <c r="G126" s="29"/>
      <c r="H126" s="24"/>
      <c r="I126" s="24"/>
      <c r="J126" s="26" t="str">
        <f aca="false">IF($D126="","",IFERROR(INDEX(LOT_EXTE,MATCH($D126,LOT_KEY,0)),""))</f>
        <v/>
      </c>
      <c r="K126" s="26" t="str">
        <f aca="false">IF($D126="","",IFERROR(INDEX(LOT_PRODE,MATCH($D126,LOT_KEY,0)),"LOT NON REFERENCE"))</f>
        <v/>
      </c>
      <c r="L126" s="26" t="str">
        <f aca="false">IF($D126="","",IFERROR(INDEX(LOT_FOURNE,MATCH($D126,LOT_KEY,0)),""))</f>
        <v/>
      </c>
      <c r="M126" s="26" t="str">
        <f aca="false">IF($E126="","",IFERROR(INDEX(EMPL_CLASSE,MATCH($E126,EMPL_KEY,0)),"?"))</f>
        <v/>
      </c>
      <c r="N126" s="26" t="str">
        <f aca="false">IF($F126="","",IFERROR(INDEX(EMPL_CLASSE,MATCH($F126,EMPL_KEY,0)),"?"))</f>
        <v/>
      </c>
      <c r="O126" s="28" t="n">
        <f aca="false">IF($C126="",0,IF(OR($B126="",$D126=""),0,IF($C126="AJUSTEMENT",IF(OR(NOT(ISNUMBER($G126)),$G126=0,$F126="",$H126=""),0,1),IF(OR(NOT(ISNUMBER($G126)),$G126&lt;=0),0,IF($C126="RECEPTION",IF($F126="",0,1),IF($C126="CONSOMMATION",IF($E126="",0,1),IF(OR($E126="",$F126="",$E126=$F126),0,1)))))))</f>
        <v>0</v>
      </c>
      <c r="P126" s="27" t="str">
        <f aca="false">IF(OR($O126=0,$C126="RECEPTION"),"",IF($C126="AJUSTEMENT",IF($G126&gt;0,"",SUMIFS(MVT_BRUT,MVT_LOT,$D126,MVT_EMPL,$F126)-$G126),SUMIFS(MVT_BRUT,MVT_LOT,$D126,MVT_EMPL,$E126)+$G126))</f>
        <v/>
      </c>
      <c r="Q126" s="26" t="str">
        <f aca="false">IF($C126="","",IF($O126=0,"DONNEES MANQUANTES",IF($C126="RECEPTION","OK",IF(AND($C126="AJUSTEMENT",$G126&gt;0),"OK",IF($P126&lt;=0,"EMPLACEMENT INCOHERENT",IF(ABS($G126)&gt;$P126+0.001,"STOCK INSUFFISANT","OK"))))))</f>
        <v/>
      </c>
      <c r="R126" s="28" t="n">
        <f aca="false">IF($Q126="OK",1,0)</f>
        <v>0</v>
      </c>
      <c r="S126" s="26" t="str">
        <f aca="false">IF($C126="","",IF($O126=0,"A COMPLETER : "&amp;IF($B126="","DATE; ","")&amp;IF($D126="","LOT INTERNE; ","")&amp;IF(NOT(ISNUMBER($G126)),"QUANTITE; ",IF(AND($C126="AJUSTEMENT",$G126=0),"QUANTITE &lt;&gt; 0; ",IF(AND($C126&lt;&gt;"AJUSTEMENT",$G126&lt;=0),"QUANTITE &gt; 0; ","")))&amp;IF(AND($C126="AJUSTEMENT",$H126=""),"MOTIF; ","")&amp;IF(AND(OR($C126="TRANSFERT",$C126="CONSOMMATION"),$E126=""),"EMPL. SOURCE; ","")&amp;IF(AND($C126&lt;&gt;"CONSOMMATION",$F126=""),"EMPL. DESTINATION; ","")&amp;IF(AND($C126="TRANSFERT",$E126&lt;&gt;"",$E126=$F126),"SOURCE = DESTINATION; ",""),IF($Q126="EMPLACEMENT INCOHERENT","Le lot "&amp;$D126&amp;" n'existe pas sur cet emplacement (stock 0). Verifier l'emplacement.",IF($Q126="STOCK INSUFFISANT","Disponible avant operation : "&amp;TEXT($P126,"#,##0.00")&amp;" kg. Ligne NON comptee en stock.",IF(COUNTIFS($B$5:$B$304,$B126,$C$5:$C$304,$C126,$D$5:$D$304,$D126,$G$5:$G$304,$G126)&gt;1,"Doublon possible (meme date, type, lot et quantite).",IF($K126="LOT NON REFERENCE","Creer d'abord la fiche du lot dans l'onglet LOTS.",""))))))</f>
        <v/>
      </c>
    </row>
    <row r="127" customFormat="false" ht="15" hidden="false" customHeight="false" outlineLevel="0" collapsed="false">
      <c r="A127" s="26" t="str">
        <f aca="false">IF($C127="","","OP-"&amp;TEXT(ROW()-4,"000"))</f>
        <v/>
      </c>
      <c r="B127" s="25"/>
      <c r="C127" s="24"/>
      <c r="D127" s="24"/>
      <c r="E127" s="24"/>
      <c r="F127" s="24"/>
      <c r="G127" s="29"/>
      <c r="H127" s="24"/>
      <c r="I127" s="24"/>
      <c r="J127" s="26" t="str">
        <f aca="false">IF($D127="","",IFERROR(INDEX(LOT_EXTE,MATCH($D127,LOT_KEY,0)),""))</f>
        <v/>
      </c>
      <c r="K127" s="26" t="str">
        <f aca="false">IF($D127="","",IFERROR(INDEX(LOT_PRODE,MATCH($D127,LOT_KEY,0)),"LOT NON REFERENCE"))</f>
        <v/>
      </c>
      <c r="L127" s="26" t="str">
        <f aca="false">IF($D127="","",IFERROR(INDEX(LOT_FOURNE,MATCH($D127,LOT_KEY,0)),""))</f>
        <v/>
      </c>
      <c r="M127" s="26" t="str">
        <f aca="false">IF($E127="","",IFERROR(INDEX(EMPL_CLASSE,MATCH($E127,EMPL_KEY,0)),"?"))</f>
        <v/>
      </c>
      <c r="N127" s="26" t="str">
        <f aca="false">IF($F127="","",IFERROR(INDEX(EMPL_CLASSE,MATCH($F127,EMPL_KEY,0)),"?"))</f>
        <v/>
      </c>
      <c r="O127" s="28" t="n">
        <f aca="false">IF($C127="",0,IF(OR($B127="",$D127=""),0,IF($C127="AJUSTEMENT",IF(OR(NOT(ISNUMBER($G127)),$G127=0,$F127="",$H127=""),0,1),IF(OR(NOT(ISNUMBER($G127)),$G127&lt;=0),0,IF($C127="RECEPTION",IF($F127="",0,1),IF($C127="CONSOMMATION",IF($E127="",0,1),IF(OR($E127="",$F127="",$E127=$F127),0,1)))))))</f>
        <v>0</v>
      </c>
      <c r="P127" s="27" t="str">
        <f aca="false">IF(OR($O127=0,$C127="RECEPTION"),"",IF($C127="AJUSTEMENT",IF($G127&gt;0,"",SUMIFS(MVT_BRUT,MVT_LOT,$D127,MVT_EMPL,$F127)-$G127),SUMIFS(MVT_BRUT,MVT_LOT,$D127,MVT_EMPL,$E127)+$G127))</f>
        <v/>
      </c>
      <c r="Q127" s="26" t="str">
        <f aca="false">IF($C127="","",IF($O127=0,"DONNEES MANQUANTES",IF($C127="RECEPTION","OK",IF(AND($C127="AJUSTEMENT",$G127&gt;0),"OK",IF($P127&lt;=0,"EMPLACEMENT INCOHERENT",IF(ABS($G127)&gt;$P127+0.001,"STOCK INSUFFISANT","OK"))))))</f>
        <v/>
      </c>
      <c r="R127" s="28" t="n">
        <f aca="false">IF($Q127="OK",1,0)</f>
        <v>0</v>
      </c>
      <c r="S127" s="26" t="str">
        <f aca="false">IF($C127="","",IF($O127=0,"A COMPLETER : "&amp;IF($B127="","DATE; ","")&amp;IF($D127="","LOT INTERNE; ","")&amp;IF(NOT(ISNUMBER($G127)),"QUANTITE; ",IF(AND($C127="AJUSTEMENT",$G127=0),"QUANTITE &lt;&gt; 0; ",IF(AND($C127&lt;&gt;"AJUSTEMENT",$G127&lt;=0),"QUANTITE &gt; 0; ","")))&amp;IF(AND($C127="AJUSTEMENT",$H127=""),"MOTIF; ","")&amp;IF(AND(OR($C127="TRANSFERT",$C127="CONSOMMATION"),$E127=""),"EMPL. SOURCE; ","")&amp;IF(AND($C127&lt;&gt;"CONSOMMATION",$F127=""),"EMPL. DESTINATION; ","")&amp;IF(AND($C127="TRANSFERT",$E127&lt;&gt;"",$E127=$F127),"SOURCE = DESTINATION; ",""),IF($Q127="EMPLACEMENT INCOHERENT","Le lot "&amp;$D127&amp;" n'existe pas sur cet emplacement (stock 0). Verifier l'emplacement.",IF($Q127="STOCK INSUFFISANT","Disponible avant operation : "&amp;TEXT($P127,"#,##0.00")&amp;" kg. Ligne NON comptee en stock.",IF(COUNTIFS($B$5:$B$304,$B127,$C$5:$C$304,$C127,$D$5:$D$304,$D127,$G$5:$G$304,$G127)&gt;1,"Doublon possible (meme date, type, lot et quantite).",IF($K127="LOT NON REFERENCE","Creer d'abord la fiche du lot dans l'onglet LOTS.",""))))))</f>
        <v/>
      </c>
    </row>
    <row r="128" customFormat="false" ht="15" hidden="false" customHeight="false" outlineLevel="0" collapsed="false">
      <c r="A128" s="26" t="str">
        <f aca="false">IF($C128="","","OP-"&amp;TEXT(ROW()-4,"000"))</f>
        <v/>
      </c>
      <c r="B128" s="25"/>
      <c r="C128" s="24"/>
      <c r="D128" s="24"/>
      <c r="E128" s="24"/>
      <c r="F128" s="24"/>
      <c r="G128" s="29"/>
      <c r="H128" s="24"/>
      <c r="I128" s="24"/>
      <c r="J128" s="26" t="str">
        <f aca="false">IF($D128="","",IFERROR(INDEX(LOT_EXTE,MATCH($D128,LOT_KEY,0)),""))</f>
        <v/>
      </c>
      <c r="K128" s="26" t="str">
        <f aca="false">IF($D128="","",IFERROR(INDEX(LOT_PRODE,MATCH($D128,LOT_KEY,0)),"LOT NON REFERENCE"))</f>
        <v/>
      </c>
      <c r="L128" s="26" t="str">
        <f aca="false">IF($D128="","",IFERROR(INDEX(LOT_FOURNE,MATCH($D128,LOT_KEY,0)),""))</f>
        <v/>
      </c>
      <c r="M128" s="26" t="str">
        <f aca="false">IF($E128="","",IFERROR(INDEX(EMPL_CLASSE,MATCH($E128,EMPL_KEY,0)),"?"))</f>
        <v/>
      </c>
      <c r="N128" s="26" t="str">
        <f aca="false">IF($F128="","",IFERROR(INDEX(EMPL_CLASSE,MATCH($F128,EMPL_KEY,0)),"?"))</f>
        <v/>
      </c>
      <c r="O128" s="28" t="n">
        <f aca="false">IF($C128="",0,IF(OR($B128="",$D128=""),0,IF($C128="AJUSTEMENT",IF(OR(NOT(ISNUMBER($G128)),$G128=0,$F128="",$H128=""),0,1),IF(OR(NOT(ISNUMBER($G128)),$G128&lt;=0),0,IF($C128="RECEPTION",IF($F128="",0,1),IF($C128="CONSOMMATION",IF($E128="",0,1),IF(OR($E128="",$F128="",$E128=$F128),0,1)))))))</f>
        <v>0</v>
      </c>
      <c r="P128" s="27" t="str">
        <f aca="false">IF(OR($O128=0,$C128="RECEPTION"),"",IF($C128="AJUSTEMENT",IF($G128&gt;0,"",SUMIFS(MVT_BRUT,MVT_LOT,$D128,MVT_EMPL,$F128)-$G128),SUMIFS(MVT_BRUT,MVT_LOT,$D128,MVT_EMPL,$E128)+$G128))</f>
        <v/>
      </c>
      <c r="Q128" s="26" t="str">
        <f aca="false">IF($C128="","",IF($O128=0,"DONNEES MANQUANTES",IF($C128="RECEPTION","OK",IF(AND($C128="AJUSTEMENT",$G128&gt;0),"OK",IF($P128&lt;=0,"EMPLACEMENT INCOHERENT",IF(ABS($G128)&gt;$P128+0.001,"STOCK INSUFFISANT","OK"))))))</f>
        <v/>
      </c>
      <c r="R128" s="28" t="n">
        <f aca="false">IF($Q128="OK",1,0)</f>
        <v>0</v>
      </c>
      <c r="S128" s="26" t="str">
        <f aca="false">IF($C128="","",IF($O128=0,"A COMPLETER : "&amp;IF($B128="","DATE; ","")&amp;IF($D128="","LOT INTERNE; ","")&amp;IF(NOT(ISNUMBER($G128)),"QUANTITE; ",IF(AND($C128="AJUSTEMENT",$G128=0),"QUANTITE &lt;&gt; 0; ",IF(AND($C128&lt;&gt;"AJUSTEMENT",$G128&lt;=0),"QUANTITE &gt; 0; ","")))&amp;IF(AND($C128="AJUSTEMENT",$H128=""),"MOTIF; ","")&amp;IF(AND(OR($C128="TRANSFERT",$C128="CONSOMMATION"),$E128=""),"EMPL. SOURCE; ","")&amp;IF(AND($C128&lt;&gt;"CONSOMMATION",$F128=""),"EMPL. DESTINATION; ","")&amp;IF(AND($C128="TRANSFERT",$E128&lt;&gt;"",$E128=$F128),"SOURCE = DESTINATION; ",""),IF($Q128="EMPLACEMENT INCOHERENT","Le lot "&amp;$D128&amp;" n'existe pas sur cet emplacement (stock 0). Verifier l'emplacement.",IF($Q128="STOCK INSUFFISANT","Disponible avant operation : "&amp;TEXT($P128,"#,##0.00")&amp;" kg. Ligne NON comptee en stock.",IF(COUNTIFS($B$5:$B$304,$B128,$C$5:$C$304,$C128,$D$5:$D$304,$D128,$G$5:$G$304,$G128)&gt;1,"Doublon possible (meme date, type, lot et quantite).",IF($K128="LOT NON REFERENCE","Creer d'abord la fiche du lot dans l'onglet LOTS.",""))))))</f>
        <v/>
      </c>
    </row>
    <row r="129" customFormat="false" ht="15" hidden="false" customHeight="false" outlineLevel="0" collapsed="false">
      <c r="A129" s="26" t="str">
        <f aca="false">IF($C129="","","OP-"&amp;TEXT(ROW()-4,"000"))</f>
        <v/>
      </c>
      <c r="B129" s="25"/>
      <c r="C129" s="24"/>
      <c r="D129" s="24"/>
      <c r="E129" s="24"/>
      <c r="F129" s="24"/>
      <c r="G129" s="29"/>
      <c r="H129" s="24"/>
      <c r="I129" s="24"/>
      <c r="J129" s="26" t="str">
        <f aca="false">IF($D129="","",IFERROR(INDEX(LOT_EXTE,MATCH($D129,LOT_KEY,0)),""))</f>
        <v/>
      </c>
      <c r="K129" s="26" t="str">
        <f aca="false">IF($D129="","",IFERROR(INDEX(LOT_PRODE,MATCH($D129,LOT_KEY,0)),"LOT NON REFERENCE"))</f>
        <v/>
      </c>
      <c r="L129" s="26" t="str">
        <f aca="false">IF($D129="","",IFERROR(INDEX(LOT_FOURNE,MATCH($D129,LOT_KEY,0)),""))</f>
        <v/>
      </c>
      <c r="M129" s="26" t="str">
        <f aca="false">IF($E129="","",IFERROR(INDEX(EMPL_CLASSE,MATCH($E129,EMPL_KEY,0)),"?"))</f>
        <v/>
      </c>
      <c r="N129" s="26" t="str">
        <f aca="false">IF($F129="","",IFERROR(INDEX(EMPL_CLASSE,MATCH($F129,EMPL_KEY,0)),"?"))</f>
        <v/>
      </c>
      <c r="O129" s="28" t="n">
        <f aca="false">IF($C129="",0,IF(OR($B129="",$D129=""),0,IF($C129="AJUSTEMENT",IF(OR(NOT(ISNUMBER($G129)),$G129=0,$F129="",$H129=""),0,1),IF(OR(NOT(ISNUMBER($G129)),$G129&lt;=0),0,IF($C129="RECEPTION",IF($F129="",0,1),IF($C129="CONSOMMATION",IF($E129="",0,1),IF(OR($E129="",$F129="",$E129=$F129),0,1)))))))</f>
        <v>0</v>
      </c>
      <c r="P129" s="27" t="str">
        <f aca="false">IF(OR($O129=0,$C129="RECEPTION"),"",IF($C129="AJUSTEMENT",IF($G129&gt;0,"",SUMIFS(MVT_BRUT,MVT_LOT,$D129,MVT_EMPL,$F129)-$G129),SUMIFS(MVT_BRUT,MVT_LOT,$D129,MVT_EMPL,$E129)+$G129))</f>
        <v/>
      </c>
      <c r="Q129" s="26" t="str">
        <f aca="false">IF($C129="","",IF($O129=0,"DONNEES MANQUANTES",IF($C129="RECEPTION","OK",IF(AND($C129="AJUSTEMENT",$G129&gt;0),"OK",IF($P129&lt;=0,"EMPLACEMENT INCOHERENT",IF(ABS($G129)&gt;$P129+0.001,"STOCK INSUFFISANT","OK"))))))</f>
        <v/>
      </c>
      <c r="R129" s="28" t="n">
        <f aca="false">IF($Q129="OK",1,0)</f>
        <v>0</v>
      </c>
      <c r="S129" s="26" t="str">
        <f aca="false">IF($C129="","",IF($O129=0,"A COMPLETER : "&amp;IF($B129="","DATE; ","")&amp;IF($D129="","LOT INTERNE; ","")&amp;IF(NOT(ISNUMBER($G129)),"QUANTITE; ",IF(AND($C129="AJUSTEMENT",$G129=0),"QUANTITE &lt;&gt; 0; ",IF(AND($C129&lt;&gt;"AJUSTEMENT",$G129&lt;=0),"QUANTITE &gt; 0; ","")))&amp;IF(AND($C129="AJUSTEMENT",$H129=""),"MOTIF; ","")&amp;IF(AND(OR($C129="TRANSFERT",$C129="CONSOMMATION"),$E129=""),"EMPL. SOURCE; ","")&amp;IF(AND($C129&lt;&gt;"CONSOMMATION",$F129=""),"EMPL. DESTINATION; ","")&amp;IF(AND($C129="TRANSFERT",$E129&lt;&gt;"",$E129=$F129),"SOURCE = DESTINATION; ",""),IF($Q129="EMPLACEMENT INCOHERENT","Le lot "&amp;$D129&amp;" n'existe pas sur cet emplacement (stock 0). Verifier l'emplacement.",IF($Q129="STOCK INSUFFISANT","Disponible avant operation : "&amp;TEXT($P129,"#,##0.00")&amp;" kg. Ligne NON comptee en stock.",IF(COUNTIFS($B$5:$B$304,$B129,$C$5:$C$304,$C129,$D$5:$D$304,$D129,$G$5:$G$304,$G129)&gt;1,"Doublon possible (meme date, type, lot et quantite).",IF($K129="LOT NON REFERENCE","Creer d'abord la fiche du lot dans l'onglet LOTS.",""))))))</f>
        <v/>
      </c>
    </row>
    <row r="130" customFormat="false" ht="15" hidden="false" customHeight="false" outlineLevel="0" collapsed="false">
      <c r="A130" s="26" t="str">
        <f aca="false">IF($C130="","","OP-"&amp;TEXT(ROW()-4,"000"))</f>
        <v/>
      </c>
      <c r="B130" s="25"/>
      <c r="C130" s="24"/>
      <c r="D130" s="24"/>
      <c r="E130" s="24"/>
      <c r="F130" s="24"/>
      <c r="G130" s="29"/>
      <c r="H130" s="24"/>
      <c r="I130" s="24"/>
      <c r="J130" s="26" t="str">
        <f aca="false">IF($D130="","",IFERROR(INDEX(LOT_EXTE,MATCH($D130,LOT_KEY,0)),""))</f>
        <v/>
      </c>
      <c r="K130" s="26" t="str">
        <f aca="false">IF($D130="","",IFERROR(INDEX(LOT_PRODE,MATCH($D130,LOT_KEY,0)),"LOT NON REFERENCE"))</f>
        <v/>
      </c>
      <c r="L130" s="26" t="str">
        <f aca="false">IF($D130="","",IFERROR(INDEX(LOT_FOURNE,MATCH($D130,LOT_KEY,0)),""))</f>
        <v/>
      </c>
      <c r="M130" s="26" t="str">
        <f aca="false">IF($E130="","",IFERROR(INDEX(EMPL_CLASSE,MATCH($E130,EMPL_KEY,0)),"?"))</f>
        <v/>
      </c>
      <c r="N130" s="26" t="str">
        <f aca="false">IF($F130="","",IFERROR(INDEX(EMPL_CLASSE,MATCH($F130,EMPL_KEY,0)),"?"))</f>
        <v/>
      </c>
      <c r="O130" s="28" t="n">
        <f aca="false">IF($C130="",0,IF(OR($B130="",$D130=""),0,IF($C130="AJUSTEMENT",IF(OR(NOT(ISNUMBER($G130)),$G130=0,$F130="",$H130=""),0,1),IF(OR(NOT(ISNUMBER($G130)),$G130&lt;=0),0,IF($C130="RECEPTION",IF($F130="",0,1),IF($C130="CONSOMMATION",IF($E130="",0,1),IF(OR($E130="",$F130="",$E130=$F130),0,1)))))))</f>
        <v>0</v>
      </c>
      <c r="P130" s="27" t="str">
        <f aca="false">IF(OR($O130=0,$C130="RECEPTION"),"",IF($C130="AJUSTEMENT",IF($G130&gt;0,"",SUMIFS(MVT_BRUT,MVT_LOT,$D130,MVT_EMPL,$F130)-$G130),SUMIFS(MVT_BRUT,MVT_LOT,$D130,MVT_EMPL,$E130)+$G130))</f>
        <v/>
      </c>
      <c r="Q130" s="26" t="str">
        <f aca="false">IF($C130="","",IF($O130=0,"DONNEES MANQUANTES",IF($C130="RECEPTION","OK",IF(AND($C130="AJUSTEMENT",$G130&gt;0),"OK",IF($P130&lt;=0,"EMPLACEMENT INCOHERENT",IF(ABS($G130)&gt;$P130+0.001,"STOCK INSUFFISANT","OK"))))))</f>
        <v/>
      </c>
      <c r="R130" s="28" t="n">
        <f aca="false">IF($Q130="OK",1,0)</f>
        <v>0</v>
      </c>
      <c r="S130" s="26" t="str">
        <f aca="false">IF($C130="","",IF($O130=0,"A COMPLETER : "&amp;IF($B130="","DATE; ","")&amp;IF($D130="","LOT INTERNE; ","")&amp;IF(NOT(ISNUMBER($G130)),"QUANTITE; ",IF(AND($C130="AJUSTEMENT",$G130=0),"QUANTITE &lt;&gt; 0; ",IF(AND($C130&lt;&gt;"AJUSTEMENT",$G130&lt;=0),"QUANTITE &gt; 0; ","")))&amp;IF(AND($C130="AJUSTEMENT",$H130=""),"MOTIF; ","")&amp;IF(AND(OR($C130="TRANSFERT",$C130="CONSOMMATION"),$E130=""),"EMPL. SOURCE; ","")&amp;IF(AND($C130&lt;&gt;"CONSOMMATION",$F130=""),"EMPL. DESTINATION; ","")&amp;IF(AND($C130="TRANSFERT",$E130&lt;&gt;"",$E130=$F130),"SOURCE = DESTINATION; ",""),IF($Q130="EMPLACEMENT INCOHERENT","Le lot "&amp;$D130&amp;" n'existe pas sur cet emplacement (stock 0). Verifier l'emplacement.",IF($Q130="STOCK INSUFFISANT","Disponible avant operation : "&amp;TEXT($P130,"#,##0.00")&amp;" kg. Ligne NON comptee en stock.",IF(COUNTIFS($B$5:$B$304,$B130,$C$5:$C$304,$C130,$D$5:$D$304,$D130,$G$5:$G$304,$G130)&gt;1,"Doublon possible (meme date, type, lot et quantite).",IF($K130="LOT NON REFERENCE","Creer d'abord la fiche du lot dans l'onglet LOTS.",""))))))</f>
        <v/>
      </c>
    </row>
    <row r="131" customFormat="false" ht="15" hidden="false" customHeight="false" outlineLevel="0" collapsed="false">
      <c r="A131" s="26" t="str">
        <f aca="false">IF($C131="","","OP-"&amp;TEXT(ROW()-4,"000"))</f>
        <v/>
      </c>
      <c r="B131" s="25"/>
      <c r="C131" s="24"/>
      <c r="D131" s="24"/>
      <c r="E131" s="24"/>
      <c r="F131" s="24"/>
      <c r="G131" s="29"/>
      <c r="H131" s="24"/>
      <c r="I131" s="24"/>
      <c r="J131" s="26" t="str">
        <f aca="false">IF($D131="","",IFERROR(INDEX(LOT_EXTE,MATCH($D131,LOT_KEY,0)),""))</f>
        <v/>
      </c>
      <c r="K131" s="26" t="str">
        <f aca="false">IF($D131="","",IFERROR(INDEX(LOT_PRODE,MATCH($D131,LOT_KEY,0)),"LOT NON REFERENCE"))</f>
        <v/>
      </c>
      <c r="L131" s="26" t="str">
        <f aca="false">IF($D131="","",IFERROR(INDEX(LOT_FOURNE,MATCH($D131,LOT_KEY,0)),""))</f>
        <v/>
      </c>
      <c r="M131" s="26" t="str">
        <f aca="false">IF($E131="","",IFERROR(INDEX(EMPL_CLASSE,MATCH($E131,EMPL_KEY,0)),"?"))</f>
        <v/>
      </c>
      <c r="N131" s="26" t="str">
        <f aca="false">IF($F131="","",IFERROR(INDEX(EMPL_CLASSE,MATCH($F131,EMPL_KEY,0)),"?"))</f>
        <v/>
      </c>
      <c r="O131" s="28" t="n">
        <f aca="false">IF($C131="",0,IF(OR($B131="",$D131=""),0,IF($C131="AJUSTEMENT",IF(OR(NOT(ISNUMBER($G131)),$G131=0,$F131="",$H131=""),0,1),IF(OR(NOT(ISNUMBER($G131)),$G131&lt;=0),0,IF($C131="RECEPTION",IF($F131="",0,1),IF($C131="CONSOMMATION",IF($E131="",0,1),IF(OR($E131="",$F131="",$E131=$F131),0,1)))))))</f>
        <v>0</v>
      </c>
      <c r="P131" s="27" t="str">
        <f aca="false">IF(OR($O131=0,$C131="RECEPTION"),"",IF($C131="AJUSTEMENT",IF($G131&gt;0,"",SUMIFS(MVT_BRUT,MVT_LOT,$D131,MVT_EMPL,$F131)-$G131),SUMIFS(MVT_BRUT,MVT_LOT,$D131,MVT_EMPL,$E131)+$G131))</f>
        <v/>
      </c>
      <c r="Q131" s="26" t="str">
        <f aca="false">IF($C131="","",IF($O131=0,"DONNEES MANQUANTES",IF($C131="RECEPTION","OK",IF(AND($C131="AJUSTEMENT",$G131&gt;0),"OK",IF($P131&lt;=0,"EMPLACEMENT INCOHERENT",IF(ABS($G131)&gt;$P131+0.001,"STOCK INSUFFISANT","OK"))))))</f>
        <v/>
      </c>
      <c r="R131" s="28" t="n">
        <f aca="false">IF($Q131="OK",1,0)</f>
        <v>0</v>
      </c>
      <c r="S131" s="26" t="str">
        <f aca="false">IF($C131="","",IF($O131=0,"A COMPLETER : "&amp;IF($B131="","DATE; ","")&amp;IF($D131="","LOT INTERNE; ","")&amp;IF(NOT(ISNUMBER($G131)),"QUANTITE; ",IF(AND($C131="AJUSTEMENT",$G131=0),"QUANTITE &lt;&gt; 0; ",IF(AND($C131&lt;&gt;"AJUSTEMENT",$G131&lt;=0),"QUANTITE &gt; 0; ","")))&amp;IF(AND($C131="AJUSTEMENT",$H131=""),"MOTIF; ","")&amp;IF(AND(OR($C131="TRANSFERT",$C131="CONSOMMATION"),$E131=""),"EMPL. SOURCE; ","")&amp;IF(AND($C131&lt;&gt;"CONSOMMATION",$F131=""),"EMPL. DESTINATION; ","")&amp;IF(AND($C131="TRANSFERT",$E131&lt;&gt;"",$E131=$F131),"SOURCE = DESTINATION; ",""),IF($Q131="EMPLACEMENT INCOHERENT","Le lot "&amp;$D131&amp;" n'existe pas sur cet emplacement (stock 0). Verifier l'emplacement.",IF($Q131="STOCK INSUFFISANT","Disponible avant operation : "&amp;TEXT($P131,"#,##0.00")&amp;" kg. Ligne NON comptee en stock.",IF(COUNTIFS($B$5:$B$304,$B131,$C$5:$C$304,$C131,$D$5:$D$304,$D131,$G$5:$G$304,$G131)&gt;1,"Doublon possible (meme date, type, lot et quantite).",IF($K131="LOT NON REFERENCE","Creer d'abord la fiche du lot dans l'onglet LOTS.",""))))))</f>
        <v/>
      </c>
    </row>
    <row r="132" customFormat="false" ht="15" hidden="false" customHeight="false" outlineLevel="0" collapsed="false">
      <c r="A132" s="26" t="str">
        <f aca="false">IF($C132="","","OP-"&amp;TEXT(ROW()-4,"000"))</f>
        <v/>
      </c>
      <c r="B132" s="25"/>
      <c r="C132" s="24"/>
      <c r="D132" s="24"/>
      <c r="E132" s="24"/>
      <c r="F132" s="24"/>
      <c r="G132" s="29"/>
      <c r="H132" s="24"/>
      <c r="I132" s="24"/>
      <c r="J132" s="26" t="str">
        <f aca="false">IF($D132="","",IFERROR(INDEX(LOT_EXTE,MATCH($D132,LOT_KEY,0)),""))</f>
        <v/>
      </c>
      <c r="K132" s="26" t="str">
        <f aca="false">IF($D132="","",IFERROR(INDEX(LOT_PRODE,MATCH($D132,LOT_KEY,0)),"LOT NON REFERENCE"))</f>
        <v/>
      </c>
      <c r="L132" s="26" t="str">
        <f aca="false">IF($D132="","",IFERROR(INDEX(LOT_FOURNE,MATCH($D132,LOT_KEY,0)),""))</f>
        <v/>
      </c>
      <c r="M132" s="26" t="str">
        <f aca="false">IF($E132="","",IFERROR(INDEX(EMPL_CLASSE,MATCH($E132,EMPL_KEY,0)),"?"))</f>
        <v/>
      </c>
      <c r="N132" s="26" t="str">
        <f aca="false">IF($F132="","",IFERROR(INDEX(EMPL_CLASSE,MATCH($F132,EMPL_KEY,0)),"?"))</f>
        <v/>
      </c>
      <c r="O132" s="28" t="n">
        <f aca="false">IF($C132="",0,IF(OR($B132="",$D132=""),0,IF($C132="AJUSTEMENT",IF(OR(NOT(ISNUMBER($G132)),$G132=0,$F132="",$H132=""),0,1),IF(OR(NOT(ISNUMBER($G132)),$G132&lt;=0),0,IF($C132="RECEPTION",IF($F132="",0,1),IF($C132="CONSOMMATION",IF($E132="",0,1),IF(OR($E132="",$F132="",$E132=$F132),0,1)))))))</f>
        <v>0</v>
      </c>
      <c r="P132" s="27" t="str">
        <f aca="false">IF(OR($O132=0,$C132="RECEPTION"),"",IF($C132="AJUSTEMENT",IF($G132&gt;0,"",SUMIFS(MVT_BRUT,MVT_LOT,$D132,MVT_EMPL,$F132)-$G132),SUMIFS(MVT_BRUT,MVT_LOT,$D132,MVT_EMPL,$E132)+$G132))</f>
        <v/>
      </c>
      <c r="Q132" s="26" t="str">
        <f aca="false">IF($C132="","",IF($O132=0,"DONNEES MANQUANTES",IF($C132="RECEPTION","OK",IF(AND($C132="AJUSTEMENT",$G132&gt;0),"OK",IF($P132&lt;=0,"EMPLACEMENT INCOHERENT",IF(ABS($G132)&gt;$P132+0.001,"STOCK INSUFFISANT","OK"))))))</f>
        <v/>
      </c>
      <c r="R132" s="28" t="n">
        <f aca="false">IF($Q132="OK",1,0)</f>
        <v>0</v>
      </c>
      <c r="S132" s="26" t="str">
        <f aca="false">IF($C132="","",IF($O132=0,"A COMPLETER : "&amp;IF($B132="","DATE; ","")&amp;IF($D132="","LOT INTERNE; ","")&amp;IF(NOT(ISNUMBER($G132)),"QUANTITE; ",IF(AND($C132="AJUSTEMENT",$G132=0),"QUANTITE &lt;&gt; 0; ",IF(AND($C132&lt;&gt;"AJUSTEMENT",$G132&lt;=0),"QUANTITE &gt; 0; ","")))&amp;IF(AND($C132="AJUSTEMENT",$H132=""),"MOTIF; ","")&amp;IF(AND(OR($C132="TRANSFERT",$C132="CONSOMMATION"),$E132=""),"EMPL. SOURCE; ","")&amp;IF(AND($C132&lt;&gt;"CONSOMMATION",$F132=""),"EMPL. DESTINATION; ","")&amp;IF(AND($C132="TRANSFERT",$E132&lt;&gt;"",$E132=$F132),"SOURCE = DESTINATION; ",""),IF($Q132="EMPLACEMENT INCOHERENT","Le lot "&amp;$D132&amp;" n'existe pas sur cet emplacement (stock 0). Verifier l'emplacement.",IF($Q132="STOCK INSUFFISANT","Disponible avant operation : "&amp;TEXT($P132,"#,##0.00")&amp;" kg. Ligne NON comptee en stock.",IF(COUNTIFS($B$5:$B$304,$B132,$C$5:$C$304,$C132,$D$5:$D$304,$D132,$G$5:$G$304,$G132)&gt;1,"Doublon possible (meme date, type, lot et quantite).",IF($K132="LOT NON REFERENCE","Creer d'abord la fiche du lot dans l'onglet LOTS.",""))))))</f>
        <v/>
      </c>
    </row>
    <row r="133" customFormat="false" ht="15" hidden="false" customHeight="false" outlineLevel="0" collapsed="false">
      <c r="A133" s="26" t="str">
        <f aca="false">IF($C133="","","OP-"&amp;TEXT(ROW()-4,"000"))</f>
        <v/>
      </c>
      <c r="B133" s="25"/>
      <c r="C133" s="24"/>
      <c r="D133" s="24"/>
      <c r="E133" s="24"/>
      <c r="F133" s="24"/>
      <c r="G133" s="29"/>
      <c r="H133" s="24"/>
      <c r="I133" s="24"/>
      <c r="J133" s="26" t="str">
        <f aca="false">IF($D133="","",IFERROR(INDEX(LOT_EXTE,MATCH($D133,LOT_KEY,0)),""))</f>
        <v/>
      </c>
      <c r="K133" s="26" t="str">
        <f aca="false">IF($D133="","",IFERROR(INDEX(LOT_PRODE,MATCH($D133,LOT_KEY,0)),"LOT NON REFERENCE"))</f>
        <v/>
      </c>
      <c r="L133" s="26" t="str">
        <f aca="false">IF($D133="","",IFERROR(INDEX(LOT_FOURNE,MATCH($D133,LOT_KEY,0)),""))</f>
        <v/>
      </c>
      <c r="M133" s="26" t="str">
        <f aca="false">IF($E133="","",IFERROR(INDEX(EMPL_CLASSE,MATCH($E133,EMPL_KEY,0)),"?"))</f>
        <v/>
      </c>
      <c r="N133" s="26" t="str">
        <f aca="false">IF($F133="","",IFERROR(INDEX(EMPL_CLASSE,MATCH($F133,EMPL_KEY,0)),"?"))</f>
        <v/>
      </c>
      <c r="O133" s="28" t="n">
        <f aca="false">IF($C133="",0,IF(OR($B133="",$D133=""),0,IF($C133="AJUSTEMENT",IF(OR(NOT(ISNUMBER($G133)),$G133=0,$F133="",$H133=""),0,1),IF(OR(NOT(ISNUMBER($G133)),$G133&lt;=0),0,IF($C133="RECEPTION",IF($F133="",0,1),IF($C133="CONSOMMATION",IF($E133="",0,1),IF(OR($E133="",$F133="",$E133=$F133),0,1)))))))</f>
        <v>0</v>
      </c>
      <c r="P133" s="27" t="str">
        <f aca="false">IF(OR($O133=0,$C133="RECEPTION"),"",IF($C133="AJUSTEMENT",IF($G133&gt;0,"",SUMIFS(MVT_BRUT,MVT_LOT,$D133,MVT_EMPL,$F133)-$G133),SUMIFS(MVT_BRUT,MVT_LOT,$D133,MVT_EMPL,$E133)+$G133))</f>
        <v/>
      </c>
      <c r="Q133" s="26" t="str">
        <f aca="false">IF($C133="","",IF($O133=0,"DONNEES MANQUANTES",IF($C133="RECEPTION","OK",IF(AND($C133="AJUSTEMENT",$G133&gt;0),"OK",IF($P133&lt;=0,"EMPLACEMENT INCOHERENT",IF(ABS($G133)&gt;$P133+0.001,"STOCK INSUFFISANT","OK"))))))</f>
        <v/>
      </c>
      <c r="R133" s="28" t="n">
        <f aca="false">IF($Q133="OK",1,0)</f>
        <v>0</v>
      </c>
      <c r="S133" s="26" t="str">
        <f aca="false">IF($C133="","",IF($O133=0,"A COMPLETER : "&amp;IF($B133="","DATE; ","")&amp;IF($D133="","LOT INTERNE; ","")&amp;IF(NOT(ISNUMBER($G133)),"QUANTITE; ",IF(AND($C133="AJUSTEMENT",$G133=0),"QUANTITE &lt;&gt; 0; ",IF(AND($C133&lt;&gt;"AJUSTEMENT",$G133&lt;=0),"QUANTITE &gt; 0; ","")))&amp;IF(AND($C133="AJUSTEMENT",$H133=""),"MOTIF; ","")&amp;IF(AND(OR($C133="TRANSFERT",$C133="CONSOMMATION"),$E133=""),"EMPL. SOURCE; ","")&amp;IF(AND($C133&lt;&gt;"CONSOMMATION",$F133=""),"EMPL. DESTINATION; ","")&amp;IF(AND($C133="TRANSFERT",$E133&lt;&gt;"",$E133=$F133),"SOURCE = DESTINATION; ",""),IF($Q133="EMPLACEMENT INCOHERENT","Le lot "&amp;$D133&amp;" n'existe pas sur cet emplacement (stock 0). Verifier l'emplacement.",IF($Q133="STOCK INSUFFISANT","Disponible avant operation : "&amp;TEXT($P133,"#,##0.00")&amp;" kg. Ligne NON comptee en stock.",IF(COUNTIFS($B$5:$B$304,$B133,$C$5:$C$304,$C133,$D$5:$D$304,$D133,$G$5:$G$304,$G133)&gt;1,"Doublon possible (meme date, type, lot et quantite).",IF($K133="LOT NON REFERENCE","Creer d'abord la fiche du lot dans l'onglet LOTS.",""))))))</f>
        <v/>
      </c>
    </row>
    <row r="134" customFormat="false" ht="15" hidden="false" customHeight="false" outlineLevel="0" collapsed="false">
      <c r="A134" s="26" t="str">
        <f aca="false">IF($C134="","","OP-"&amp;TEXT(ROW()-4,"000"))</f>
        <v/>
      </c>
      <c r="B134" s="25"/>
      <c r="C134" s="24"/>
      <c r="D134" s="24"/>
      <c r="E134" s="24"/>
      <c r="F134" s="24"/>
      <c r="G134" s="29"/>
      <c r="H134" s="24"/>
      <c r="I134" s="24"/>
      <c r="J134" s="26" t="str">
        <f aca="false">IF($D134="","",IFERROR(INDEX(LOT_EXTE,MATCH($D134,LOT_KEY,0)),""))</f>
        <v/>
      </c>
      <c r="K134" s="26" t="str">
        <f aca="false">IF($D134="","",IFERROR(INDEX(LOT_PRODE,MATCH($D134,LOT_KEY,0)),"LOT NON REFERENCE"))</f>
        <v/>
      </c>
      <c r="L134" s="26" t="str">
        <f aca="false">IF($D134="","",IFERROR(INDEX(LOT_FOURNE,MATCH($D134,LOT_KEY,0)),""))</f>
        <v/>
      </c>
      <c r="M134" s="26" t="str">
        <f aca="false">IF($E134="","",IFERROR(INDEX(EMPL_CLASSE,MATCH($E134,EMPL_KEY,0)),"?"))</f>
        <v/>
      </c>
      <c r="N134" s="26" t="str">
        <f aca="false">IF($F134="","",IFERROR(INDEX(EMPL_CLASSE,MATCH($F134,EMPL_KEY,0)),"?"))</f>
        <v/>
      </c>
      <c r="O134" s="28" t="n">
        <f aca="false">IF($C134="",0,IF(OR($B134="",$D134=""),0,IF($C134="AJUSTEMENT",IF(OR(NOT(ISNUMBER($G134)),$G134=0,$F134="",$H134=""),0,1),IF(OR(NOT(ISNUMBER($G134)),$G134&lt;=0),0,IF($C134="RECEPTION",IF($F134="",0,1),IF($C134="CONSOMMATION",IF($E134="",0,1),IF(OR($E134="",$F134="",$E134=$F134),0,1)))))))</f>
        <v>0</v>
      </c>
      <c r="P134" s="27" t="str">
        <f aca="false">IF(OR($O134=0,$C134="RECEPTION"),"",IF($C134="AJUSTEMENT",IF($G134&gt;0,"",SUMIFS(MVT_BRUT,MVT_LOT,$D134,MVT_EMPL,$F134)-$G134),SUMIFS(MVT_BRUT,MVT_LOT,$D134,MVT_EMPL,$E134)+$G134))</f>
        <v/>
      </c>
      <c r="Q134" s="26" t="str">
        <f aca="false">IF($C134="","",IF($O134=0,"DONNEES MANQUANTES",IF($C134="RECEPTION","OK",IF(AND($C134="AJUSTEMENT",$G134&gt;0),"OK",IF($P134&lt;=0,"EMPLACEMENT INCOHERENT",IF(ABS($G134)&gt;$P134+0.001,"STOCK INSUFFISANT","OK"))))))</f>
        <v/>
      </c>
      <c r="R134" s="28" t="n">
        <f aca="false">IF($Q134="OK",1,0)</f>
        <v>0</v>
      </c>
      <c r="S134" s="26" t="str">
        <f aca="false">IF($C134="","",IF($O134=0,"A COMPLETER : "&amp;IF($B134="","DATE; ","")&amp;IF($D134="","LOT INTERNE; ","")&amp;IF(NOT(ISNUMBER($G134)),"QUANTITE; ",IF(AND($C134="AJUSTEMENT",$G134=0),"QUANTITE &lt;&gt; 0; ",IF(AND($C134&lt;&gt;"AJUSTEMENT",$G134&lt;=0),"QUANTITE &gt; 0; ","")))&amp;IF(AND($C134="AJUSTEMENT",$H134=""),"MOTIF; ","")&amp;IF(AND(OR($C134="TRANSFERT",$C134="CONSOMMATION"),$E134=""),"EMPL. SOURCE; ","")&amp;IF(AND($C134&lt;&gt;"CONSOMMATION",$F134=""),"EMPL. DESTINATION; ","")&amp;IF(AND($C134="TRANSFERT",$E134&lt;&gt;"",$E134=$F134),"SOURCE = DESTINATION; ",""),IF($Q134="EMPLACEMENT INCOHERENT","Le lot "&amp;$D134&amp;" n'existe pas sur cet emplacement (stock 0). Verifier l'emplacement.",IF($Q134="STOCK INSUFFISANT","Disponible avant operation : "&amp;TEXT($P134,"#,##0.00")&amp;" kg. Ligne NON comptee en stock.",IF(COUNTIFS($B$5:$B$304,$B134,$C$5:$C$304,$C134,$D$5:$D$304,$D134,$G$5:$G$304,$G134)&gt;1,"Doublon possible (meme date, type, lot et quantite).",IF($K134="LOT NON REFERENCE","Creer d'abord la fiche du lot dans l'onglet LOTS.",""))))))</f>
        <v/>
      </c>
    </row>
    <row r="135" customFormat="false" ht="15" hidden="false" customHeight="false" outlineLevel="0" collapsed="false">
      <c r="A135" s="26" t="str">
        <f aca="false">IF($C135="","","OP-"&amp;TEXT(ROW()-4,"000"))</f>
        <v/>
      </c>
      <c r="B135" s="25"/>
      <c r="C135" s="24"/>
      <c r="D135" s="24"/>
      <c r="E135" s="24"/>
      <c r="F135" s="24"/>
      <c r="G135" s="29"/>
      <c r="H135" s="24"/>
      <c r="I135" s="24"/>
      <c r="J135" s="26" t="str">
        <f aca="false">IF($D135="","",IFERROR(INDEX(LOT_EXTE,MATCH($D135,LOT_KEY,0)),""))</f>
        <v/>
      </c>
      <c r="K135" s="26" t="str">
        <f aca="false">IF($D135="","",IFERROR(INDEX(LOT_PRODE,MATCH($D135,LOT_KEY,0)),"LOT NON REFERENCE"))</f>
        <v/>
      </c>
      <c r="L135" s="26" t="str">
        <f aca="false">IF($D135="","",IFERROR(INDEX(LOT_FOURNE,MATCH($D135,LOT_KEY,0)),""))</f>
        <v/>
      </c>
      <c r="M135" s="26" t="str">
        <f aca="false">IF($E135="","",IFERROR(INDEX(EMPL_CLASSE,MATCH($E135,EMPL_KEY,0)),"?"))</f>
        <v/>
      </c>
      <c r="N135" s="26" t="str">
        <f aca="false">IF($F135="","",IFERROR(INDEX(EMPL_CLASSE,MATCH($F135,EMPL_KEY,0)),"?"))</f>
        <v/>
      </c>
      <c r="O135" s="28" t="n">
        <f aca="false">IF($C135="",0,IF(OR($B135="",$D135=""),0,IF($C135="AJUSTEMENT",IF(OR(NOT(ISNUMBER($G135)),$G135=0,$F135="",$H135=""),0,1),IF(OR(NOT(ISNUMBER($G135)),$G135&lt;=0),0,IF($C135="RECEPTION",IF($F135="",0,1),IF($C135="CONSOMMATION",IF($E135="",0,1),IF(OR($E135="",$F135="",$E135=$F135),0,1)))))))</f>
        <v>0</v>
      </c>
      <c r="P135" s="27" t="str">
        <f aca="false">IF(OR($O135=0,$C135="RECEPTION"),"",IF($C135="AJUSTEMENT",IF($G135&gt;0,"",SUMIFS(MVT_BRUT,MVT_LOT,$D135,MVT_EMPL,$F135)-$G135),SUMIFS(MVT_BRUT,MVT_LOT,$D135,MVT_EMPL,$E135)+$G135))</f>
        <v/>
      </c>
      <c r="Q135" s="26" t="str">
        <f aca="false">IF($C135="","",IF($O135=0,"DONNEES MANQUANTES",IF($C135="RECEPTION","OK",IF(AND($C135="AJUSTEMENT",$G135&gt;0),"OK",IF($P135&lt;=0,"EMPLACEMENT INCOHERENT",IF(ABS($G135)&gt;$P135+0.001,"STOCK INSUFFISANT","OK"))))))</f>
        <v/>
      </c>
      <c r="R135" s="28" t="n">
        <f aca="false">IF($Q135="OK",1,0)</f>
        <v>0</v>
      </c>
      <c r="S135" s="26" t="str">
        <f aca="false">IF($C135="","",IF($O135=0,"A COMPLETER : "&amp;IF($B135="","DATE; ","")&amp;IF($D135="","LOT INTERNE; ","")&amp;IF(NOT(ISNUMBER($G135)),"QUANTITE; ",IF(AND($C135="AJUSTEMENT",$G135=0),"QUANTITE &lt;&gt; 0; ",IF(AND($C135&lt;&gt;"AJUSTEMENT",$G135&lt;=0),"QUANTITE &gt; 0; ","")))&amp;IF(AND($C135="AJUSTEMENT",$H135=""),"MOTIF; ","")&amp;IF(AND(OR($C135="TRANSFERT",$C135="CONSOMMATION"),$E135=""),"EMPL. SOURCE; ","")&amp;IF(AND($C135&lt;&gt;"CONSOMMATION",$F135=""),"EMPL. DESTINATION; ","")&amp;IF(AND($C135="TRANSFERT",$E135&lt;&gt;"",$E135=$F135),"SOURCE = DESTINATION; ",""),IF($Q135="EMPLACEMENT INCOHERENT","Le lot "&amp;$D135&amp;" n'existe pas sur cet emplacement (stock 0). Verifier l'emplacement.",IF($Q135="STOCK INSUFFISANT","Disponible avant operation : "&amp;TEXT($P135,"#,##0.00")&amp;" kg. Ligne NON comptee en stock.",IF(COUNTIFS($B$5:$B$304,$B135,$C$5:$C$304,$C135,$D$5:$D$304,$D135,$G$5:$G$304,$G135)&gt;1,"Doublon possible (meme date, type, lot et quantite).",IF($K135="LOT NON REFERENCE","Creer d'abord la fiche du lot dans l'onglet LOTS.",""))))))</f>
        <v/>
      </c>
    </row>
    <row r="136" customFormat="false" ht="15" hidden="false" customHeight="false" outlineLevel="0" collapsed="false">
      <c r="A136" s="26" t="str">
        <f aca="false">IF($C136="","","OP-"&amp;TEXT(ROW()-4,"000"))</f>
        <v/>
      </c>
      <c r="B136" s="25"/>
      <c r="C136" s="24"/>
      <c r="D136" s="24"/>
      <c r="E136" s="24"/>
      <c r="F136" s="24"/>
      <c r="G136" s="29"/>
      <c r="H136" s="24"/>
      <c r="I136" s="24"/>
      <c r="J136" s="26" t="str">
        <f aca="false">IF($D136="","",IFERROR(INDEX(LOT_EXTE,MATCH($D136,LOT_KEY,0)),""))</f>
        <v/>
      </c>
      <c r="K136" s="26" t="str">
        <f aca="false">IF($D136="","",IFERROR(INDEX(LOT_PRODE,MATCH($D136,LOT_KEY,0)),"LOT NON REFERENCE"))</f>
        <v/>
      </c>
      <c r="L136" s="26" t="str">
        <f aca="false">IF($D136="","",IFERROR(INDEX(LOT_FOURNE,MATCH($D136,LOT_KEY,0)),""))</f>
        <v/>
      </c>
      <c r="M136" s="26" t="str">
        <f aca="false">IF($E136="","",IFERROR(INDEX(EMPL_CLASSE,MATCH($E136,EMPL_KEY,0)),"?"))</f>
        <v/>
      </c>
      <c r="N136" s="26" t="str">
        <f aca="false">IF($F136="","",IFERROR(INDEX(EMPL_CLASSE,MATCH($F136,EMPL_KEY,0)),"?"))</f>
        <v/>
      </c>
      <c r="O136" s="28" t="n">
        <f aca="false">IF($C136="",0,IF(OR($B136="",$D136=""),0,IF($C136="AJUSTEMENT",IF(OR(NOT(ISNUMBER($G136)),$G136=0,$F136="",$H136=""),0,1),IF(OR(NOT(ISNUMBER($G136)),$G136&lt;=0),0,IF($C136="RECEPTION",IF($F136="",0,1),IF($C136="CONSOMMATION",IF($E136="",0,1),IF(OR($E136="",$F136="",$E136=$F136),0,1)))))))</f>
        <v>0</v>
      </c>
      <c r="P136" s="27" t="str">
        <f aca="false">IF(OR($O136=0,$C136="RECEPTION"),"",IF($C136="AJUSTEMENT",IF($G136&gt;0,"",SUMIFS(MVT_BRUT,MVT_LOT,$D136,MVT_EMPL,$F136)-$G136),SUMIFS(MVT_BRUT,MVT_LOT,$D136,MVT_EMPL,$E136)+$G136))</f>
        <v/>
      </c>
      <c r="Q136" s="26" t="str">
        <f aca="false">IF($C136="","",IF($O136=0,"DONNEES MANQUANTES",IF($C136="RECEPTION","OK",IF(AND($C136="AJUSTEMENT",$G136&gt;0),"OK",IF($P136&lt;=0,"EMPLACEMENT INCOHERENT",IF(ABS($G136)&gt;$P136+0.001,"STOCK INSUFFISANT","OK"))))))</f>
        <v/>
      </c>
      <c r="R136" s="28" t="n">
        <f aca="false">IF($Q136="OK",1,0)</f>
        <v>0</v>
      </c>
      <c r="S136" s="26" t="str">
        <f aca="false">IF($C136="","",IF($O136=0,"A COMPLETER : "&amp;IF($B136="","DATE; ","")&amp;IF($D136="","LOT INTERNE; ","")&amp;IF(NOT(ISNUMBER($G136)),"QUANTITE; ",IF(AND($C136="AJUSTEMENT",$G136=0),"QUANTITE &lt;&gt; 0; ",IF(AND($C136&lt;&gt;"AJUSTEMENT",$G136&lt;=0),"QUANTITE &gt; 0; ","")))&amp;IF(AND($C136="AJUSTEMENT",$H136=""),"MOTIF; ","")&amp;IF(AND(OR($C136="TRANSFERT",$C136="CONSOMMATION"),$E136=""),"EMPL. SOURCE; ","")&amp;IF(AND($C136&lt;&gt;"CONSOMMATION",$F136=""),"EMPL. DESTINATION; ","")&amp;IF(AND($C136="TRANSFERT",$E136&lt;&gt;"",$E136=$F136),"SOURCE = DESTINATION; ",""),IF($Q136="EMPLACEMENT INCOHERENT","Le lot "&amp;$D136&amp;" n'existe pas sur cet emplacement (stock 0). Verifier l'emplacement.",IF($Q136="STOCK INSUFFISANT","Disponible avant operation : "&amp;TEXT($P136,"#,##0.00")&amp;" kg. Ligne NON comptee en stock.",IF(COUNTIFS($B$5:$B$304,$B136,$C$5:$C$304,$C136,$D$5:$D$304,$D136,$G$5:$G$304,$G136)&gt;1,"Doublon possible (meme date, type, lot et quantite).",IF($K136="LOT NON REFERENCE","Creer d'abord la fiche du lot dans l'onglet LOTS.",""))))))</f>
        <v/>
      </c>
    </row>
    <row r="137" customFormat="false" ht="15" hidden="false" customHeight="false" outlineLevel="0" collapsed="false">
      <c r="A137" s="26" t="str">
        <f aca="false">IF($C137="","","OP-"&amp;TEXT(ROW()-4,"000"))</f>
        <v/>
      </c>
      <c r="B137" s="25"/>
      <c r="C137" s="24"/>
      <c r="D137" s="24"/>
      <c r="E137" s="24"/>
      <c r="F137" s="24"/>
      <c r="G137" s="29"/>
      <c r="H137" s="24"/>
      <c r="I137" s="24"/>
      <c r="J137" s="26" t="str">
        <f aca="false">IF($D137="","",IFERROR(INDEX(LOT_EXTE,MATCH($D137,LOT_KEY,0)),""))</f>
        <v/>
      </c>
      <c r="K137" s="26" t="str">
        <f aca="false">IF($D137="","",IFERROR(INDEX(LOT_PRODE,MATCH($D137,LOT_KEY,0)),"LOT NON REFERENCE"))</f>
        <v/>
      </c>
      <c r="L137" s="26" t="str">
        <f aca="false">IF($D137="","",IFERROR(INDEX(LOT_FOURNE,MATCH($D137,LOT_KEY,0)),""))</f>
        <v/>
      </c>
      <c r="M137" s="26" t="str">
        <f aca="false">IF($E137="","",IFERROR(INDEX(EMPL_CLASSE,MATCH($E137,EMPL_KEY,0)),"?"))</f>
        <v/>
      </c>
      <c r="N137" s="26" t="str">
        <f aca="false">IF($F137="","",IFERROR(INDEX(EMPL_CLASSE,MATCH($F137,EMPL_KEY,0)),"?"))</f>
        <v/>
      </c>
      <c r="O137" s="28" t="n">
        <f aca="false">IF($C137="",0,IF(OR($B137="",$D137=""),0,IF($C137="AJUSTEMENT",IF(OR(NOT(ISNUMBER($G137)),$G137=0,$F137="",$H137=""),0,1),IF(OR(NOT(ISNUMBER($G137)),$G137&lt;=0),0,IF($C137="RECEPTION",IF($F137="",0,1),IF($C137="CONSOMMATION",IF($E137="",0,1),IF(OR($E137="",$F137="",$E137=$F137),0,1)))))))</f>
        <v>0</v>
      </c>
      <c r="P137" s="27" t="str">
        <f aca="false">IF(OR($O137=0,$C137="RECEPTION"),"",IF($C137="AJUSTEMENT",IF($G137&gt;0,"",SUMIFS(MVT_BRUT,MVT_LOT,$D137,MVT_EMPL,$F137)-$G137),SUMIFS(MVT_BRUT,MVT_LOT,$D137,MVT_EMPL,$E137)+$G137))</f>
        <v/>
      </c>
      <c r="Q137" s="26" t="str">
        <f aca="false">IF($C137="","",IF($O137=0,"DONNEES MANQUANTES",IF($C137="RECEPTION","OK",IF(AND($C137="AJUSTEMENT",$G137&gt;0),"OK",IF($P137&lt;=0,"EMPLACEMENT INCOHERENT",IF(ABS($G137)&gt;$P137+0.001,"STOCK INSUFFISANT","OK"))))))</f>
        <v/>
      </c>
      <c r="R137" s="28" t="n">
        <f aca="false">IF($Q137="OK",1,0)</f>
        <v>0</v>
      </c>
      <c r="S137" s="26" t="str">
        <f aca="false">IF($C137="","",IF($O137=0,"A COMPLETER : "&amp;IF($B137="","DATE; ","")&amp;IF($D137="","LOT INTERNE; ","")&amp;IF(NOT(ISNUMBER($G137)),"QUANTITE; ",IF(AND($C137="AJUSTEMENT",$G137=0),"QUANTITE &lt;&gt; 0; ",IF(AND($C137&lt;&gt;"AJUSTEMENT",$G137&lt;=0),"QUANTITE &gt; 0; ","")))&amp;IF(AND($C137="AJUSTEMENT",$H137=""),"MOTIF; ","")&amp;IF(AND(OR($C137="TRANSFERT",$C137="CONSOMMATION"),$E137=""),"EMPL. SOURCE; ","")&amp;IF(AND($C137&lt;&gt;"CONSOMMATION",$F137=""),"EMPL. DESTINATION; ","")&amp;IF(AND($C137="TRANSFERT",$E137&lt;&gt;"",$E137=$F137),"SOURCE = DESTINATION; ",""),IF($Q137="EMPLACEMENT INCOHERENT","Le lot "&amp;$D137&amp;" n'existe pas sur cet emplacement (stock 0). Verifier l'emplacement.",IF($Q137="STOCK INSUFFISANT","Disponible avant operation : "&amp;TEXT($P137,"#,##0.00")&amp;" kg. Ligne NON comptee en stock.",IF(COUNTIFS($B$5:$B$304,$B137,$C$5:$C$304,$C137,$D$5:$D$304,$D137,$G$5:$G$304,$G137)&gt;1,"Doublon possible (meme date, type, lot et quantite).",IF($K137="LOT NON REFERENCE","Creer d'abord la fiche du lot dans l'onglet LOTS.",""))))))</f>
        <v/>
      </c>
    </row>
    <row r="138" customFormat="false" ht="15" hidden="false" customHeight="false" outlineLevel="0" collapsed="false">
      <c r="A138" s="26" t="str">
        <f aca="false">IF($C138="","","OP-"&amp;TEXT(ROW()-4,"000"))</f>
        <v/>
      </c>
      <c r="B138" s="25"/>
      <c r="C138" s="24"/>
      <c r="D138" s="24"/>
      <c r="E138" s="24"/>
      <c r="F138" s="24"/>
      <c r="G138" s="29"/>
      <c r="H138" s="24"/>
      <c r="I138" s="24"/>
      <c r="J138" s="26" t="str">
        <f aca="false">IF($D138="","",IFERROR(INDEX(LOT_EXTE,MATCH($D138,LOT_KEY,0)),""))</f>
        <v/>
      </c>
      <c r="K138" s="26" t="str">
        <f aca="false">IF($D138="","",IFERROR(INDEX(LOT_PRODE,MATCH($D138,LOT_KEY,0)),"LOT NON REFERENCE"))</f>
        <v/>
      </c>
      <c r="L138" s="26" t="str">
        <f aca="false">IF($D138="","",IFERROR(INDEX(LOT_FOURNE,MATCH($D138,LOT_KEY,0)),""))</f>
        <v/>
      </c>
      <c r="M138" s="26" t="str">
        <f aca="false">IF($E138="","",IFERROR(INDEX(EMPL_CLASSE,MATCH($E138,EMPL_KEY,0)),"?"))</f>
        <v/>
      </c>
      <c r="N138" s="26" t="str">
        <f aca="false">IF($F138="","",IFERROR(INDEX(EMPL_CLASSE,MATCH($F138,EMPL_KEY,0)),"?"))</f>
        <v/>
      </c>
      <c r="O138" s="28" t="n">
        <f aca="false">IF($C138="",0,IF(OR($B138="",$D138=""),0,IF($C138="AJUSTEMENT",IF(OR(NOT(ISNUMBER($G138)),$G138=0,$F138="",$H138=""),0,1),IF(OR(NOT(ISNUMBER($G138)),$G138&lt;=0),0,IF($C138="RECEPTION",IF($F138="",0,1),IF($C138="CONSOMMATION",IF($E138="",0,1),IF(OR($E138="",$F138="",$E138=$F138),0,1)))))))</f>
        <v>0</v>
      </c>
      <c r="P138" s="27" t="str">
        <f aca="false">IF(OR($O138=0,$C138="RECEPTION"),"",IF($C138="AJUSTEMENT",IF($G138&gt;0,"",SUMIFS(MVT_BRUT,MVT_LOT,$D138,MVT_EMPL,$F138)-$G138),SUMIFS(MVT_BRUT,MVT_LOT,$D138,MVT_EMPL,$E138)+$G138))</f>
        <v/>
      </c>
      <c r="Q138" s="26" t="str">
        <f aca="false">IF($C138="","",IF($O138=0,"DONNEES MANQUANTES",IF($C138="RECEPTION","OK",IF(AND($C138="AJUSTEMENT",$G138&gt;0),"OK",IF($P138&lt;=0,"EMPLACEMENT INCOHERENT",IF(ABS($G138)&gt;$P138+0.001,"STOCK INSUFFISANT","OK"))))))</f>
        <v/>
      </c>
      <c r="R138" s="28" t="n">
        <f aca="false">IF($Q138="OK",1,0)</f>
        <v>0</v>
      </c>
      <c r="S138" s="26" t="str">
        <f aca="false">IF($C138="","",IF($O138=0,"A COMPLETER : "&amp;IF($B138="","DATE; ","")&amp;IF($D138="","LOT INTERNE; ","")&amp;IF(NOT(ISNUMBER($G138)),"QUANTITE; ",IF(AND($C138="AJUSTEMENT",$G138=0),"QUANTITE &lt;&gt; 0; ",IF(AND($C138&lt;&gt;"AJUSTEMENT",$G138&lt;=0),"QUANTITE &gt; 0; ","")))&amp;IF(AND($C138="AJUSTEMENT",$H138=""),"MOTIF; ","")&amp;IF(AND(OR($C138="TRANSFERT",$C138="CONSOMMATION"),$E138=""),"EMPL. SOURCE; ","")&amp;IF(AND($C138&lt;&gt;"CONSOMMATION",$F138=""),"EMPL. DESTINATION; ","")&amp;IF(AND($C138="TRANSFERT",$E138&lt;&gt;"",$E138=$F138),"SOURCE = DESTINATION; ",""),IF($Q138="EMPLACEMENT INCOHERENT","Le lot "&amp;$D138&amp;" n'existe pas sur cet emplacement (stock 0). Verifier l'emplacement.",IF($Q138="STOCK INSUFFISANT","Disponible avant operation : "&amp;TEXT($P138,"#,##0.00")&amp;" kg. Ligne NON comptee en stock.",IF(COUNTIFS($B$5:$B$304,$B138,$C$5:$C$304,$C138,$D$5:$D$304,$D138,$G$5:$G$304,$G138)&gt;1,"Doublon possible (meme date, type, lot et quantite).",IF($K138="LOT NON REFERENCE","Creer d'abord la fiche du lot dans l'onglet LOTS.",""))))))</f>
        <v/>
      </c>
    </row>
    <row r="139" customFormat="false" ht="15" hidden="false" customHeight="false" outlineLevel="0" collapsed="false">
      <c r="A139" s="26" t="str">
        <f aca="false">IF($C139="","","OP-"&amp;TEXT(ROW()-4,"000"))</f>
        <v/>
      </c>
      <c r="B139" s="25"/>
      <c r="C139" s="24"/>
      <c r="D139" s="24"/>
      <c r="E139" s="24"/>
      <c r="F139" s="24"/>
      <c r="G139" s="29"/>
      <c r="H139" s="24"/>
      <c r="I139" s="24"/>
      <c r="J139" s="26" t="str">
        <f aca="false">IF($D139="","",IFERROR(INDEX(LOT_EXTE,MATCH($D139,LOT_KEY,0)),""))</f>
        <v/>
      </c>
      <c r="K139" s="26" t="str">
        <f aca="false">IF($D139="","",IFERROR(INDEX(LOT_PRODE,MATCH($D139,LOT_KEY,0)),"LOT NON REFERENCE"))</f>
        <v/>
      </c>
      <c r="L139" s="26" t="str">
        <f aca="false">IF($D139="","",IFERROR(INDEX(LOT_FOURNE,MATCH($D139,LOT_KEY,0)),""))</f>
        <v/>
      </c>
      <c r="M139" s="26" t="str">
        <f aca="false">IF($E139="","",IFERROR(INDEX(EMPL_CLASSE,MATCH($E139,EMPL_KEY,0)),"?"))</f>
        <v/>
      </c>
      <c r="N139" s="26" t="str">
        <f aca="false">IF($F139="","",IFERROR(INDEX(EMPL_CLASSE,MATCH($F139,EMPL_KEY,0)),"?"))</f>
        <v/>
      </c>
      <c r="O139" s="28" t="n">
        <f aca="false">IF($C139="",0,IF(OR($B139="",$D139=""),0,IF($C139="AJUSTEMENT",IF(OR(NOT(ISNUMBER($G139)),$G139=0,$F139="",$H139=""),0,1),IF(OR(NOT(ISNUMBER($G139)),$G139&lt;=0),0,IF($C139="RECEPTION",IF($F139="",0,1),IF($C139="CONSOMMATION",IF($E139="",0,1),IF(OR($E139="",$F139="",$E139=$F139),0,1)))))))</f>
        <v>0</v>
      </c>
      <c r="P139" s="27" t="str">
        <f aca="false">IF(OR($O139=0,$C139="RECEPTION"),"",IF($C139="AJUSTEMENT",IF($G139&gt;0,"",SUMIFS(MVT_BRUT,MVT_LOT,$D139,MVT_EMPL,$F139)-$G139),SUMIFS(MVT_BRUT,MVT_LOT,$D139,MVT_EMPL,$E139)+$G139))</f>
        <v/>
      </c>
      <c r="Q139" s="26" t="str">
        <f aca="false">IF($C139="","",IF($O139=0,"DONNEES MANQUANTES",IF($C139="RECEPTION","OK",IF(AND($C139="AJUSTEMENT",$G139&gt;0),"OK",IF($P139&lt;=0,"EMPLACEMENT INCOHERENT",IF(ABS($G139)&gt;$P139+0.001,"STOCK INSUFFISANT","OK"))))))</f>
        <v/>
      </c>
      <c r="R139" s="28" t="n">
        <f aca="false">IF($Q139="OK",1,0)</f>
        <v>0</v>
      </c>
      <c r="S139" s="26" t="str">
        <f aca="false">IF($C139="","",IF($O139=0,"A COMPLETER : "&amp;IF($B139="","DATE; ","")&amp;IF($D139="","LOT INTERNE; ","")&amp;IF(NOT(ISNUMBER($G139)),"QUANTITE; ",IF(AND($C139="AJUSTEMENT",$G139=0),"QUANTITE &lt;&gt; 0; ",IF(AND($C139&lt;&gt;"AJUSTEMENT",$G139&lt;=0),"QUANTITE &gt; 0; ","")))&amp;IF(AND($C139="AJUSTEMENT",$H139=""),"MOTIF; ","")&amp;IF(AND(OR($C139="TRANSFERT",$C139="CONSOMMATION"),$E139=""),"EMPL. SOURCE; ","")&amp;IF(AND($C139&lt;&gt;"CONSOMMATION",$F139=""),"EMPL. DESTINATION; ","")&amp;IF(AND($C139="TRANSFERT",$E139&lt;&gt;"",$E139=$F139),"SOURCE = DESTINATION; ",""),IF($Q139="EMPLACEMENT INCOHERENT","Le lot "&amp;$D139&amp;" n'existe pas sur cet emplacement (stock 0). Verifier l'emplacement.",IF($Q139="STOCK INSUFFISANT","Disponible avant operation : "&amp;TEXT($P139,"#,##0.00")&amp;" kg. Ligne NON comptee en stock.",IF(COUNTIFS($B$5:$B$304,$B139,$C$5:$C$304,$C139,$D$5:$D$304,$D139,$G$5:$G$304,$G139)&gt;1,"Doublon possible (meme date, type, lot et quantite).",IF($K139="LOT NON REFERENCE","Creer d'abord la fiche du lot dans l'onglet LOTS.",""))))))</f>
        <v/>
      </c>
    </row>
    <row r="140" customFormat="false" ht="15" hidden="false" customHeight="false" outlineLevel="0" collapsed="false">
      <c r="A140" s="26" t="str">
        <f aca="false">IF($C140="","","OP-"&amp;TEXT(ROW()-4,"000"))</f>
        <v/>
      </c>
      <c r="B140" s="25"/>
      <c r="C140" s="24"/>
      <c r="D140" s="24"/>
      <c r="E140" s="24"/>
      <c r="F140" s="24"/>
      <c r="G140" s="29"/>
      <c r="H140" s="24"/>
      <c r="I140" s="24"/>
      <c r="J140" s="26" t="str">
        <f aca="false">IF($D140="","",IFERROR(INDEX(LOT_EXTE,MATCH($D140,LOT_KEY,0)),""))</f>
        <v/>
      </c>
      <c r="K140" s="26" t="str">
        <f aca="false">IF($D140="","",IFERROR(INDEX(LOT_PRODE,MATCH($D140,LOT_KEY,0)),"LOT NON REFERENCE"))</f>
        <v/>
      </c>
      <c r="L140" s="26" t="str">
        <f aca="false">IF($D140="","",IFERROR(INDEX(LOT_FOURNE,MATCH($D140,LOT_KEY,0)),""))</f>
        <v/>
      </c>
      <c r="M140" s="26" t="str">
        <f aca="false">IF($E140="","",IFERROR(INDEX(EMPL_CLASSE,MATCH($E140,EMPL_KEY,0)),"?"))</f>
        <v/>
      </c>
      <c r="N140" s="26" t="str">
        <f aca="false">IF($F140="","",IFERROR(INDEX(EMPL_CLASSE,MATCH($F140,EMPL_KEY,0)),"?"))</f>
        <v/>
      </c>
      <c r="O140" s="28" t="n">
        <f aca="false">IF($C140="",0,IF(OR($B140="",$D140=""),0,IF($C140="AJUSTEMENT",IF(OR(NOT(ISNUMBER($G140)),$G140=0,$F140="",$H140=""),0,1),IF(OR(NOT(ISNUMBER($G140)),$G140&lt;=0),0,IF($C140="RECEPTION",IF($F140="",0,1),IF($C140="CONSOMMATION",IF($E140="",0,1),IF(OR($E140="",$F140="",$E140=$F140),0,1)))))))</f>
        <v>0</v>
      </c>
      <c r="P140" s="27" t="str">
        <f aca="false">IF(OR($O140=0,$C140="RECEPTION"),"",IF($C140="AJUSTEMENT",IF($G140&gt;0,"",SUMIFS(MVT_BRUT,MVT_LOT,$D140,MVT_EMPL,$F140)-$G140),SUMIFS(MVT_BRUT,MVT_LOT,$D140,MVT_EMPL,$E140)+$G140))</f>
        <v/>
      </c>
      <c r="Q140" s="26" t="str">
        <f aca="false">IF($C140="","",IF($O140=0,"DONNEES MANQUANTES",IF($C140="RECEPTION","OK",IF(AND($C140="AJUSTEMENT",$G140&gt;0),"OK",IF($P140&lt;=0,"EMPLACEMENT INCOHERENT",IF(ABS($G140)&gt;$P140+0.001,"STOCK INSUFFISANT","OK"))))))</f>
        <v/>
      </c>
      <c r="R140" s="28" t="n">
        <f aca="false">IF($Q140="OK",1,0)</f>
        <v>0</v>
      </c>
      <c r="S140" s="26" t="str">
        <f aca="false">IF($C140="","",IF($O140=0,"A COMPLETER : "&amp;IF($B140="","DATE; ","")&amp;IF($D140="","LOT INTERNE; ","")&amp;IF(NOT(ISNUMBER($G140)),"QUANTITE; ",IF(AND($C140="AJUSTEMENT",$G140=0),"QUANTITE &lt;&gt; 0; ",IF(AND($C140&lt;&gt;"AJUSTEMENT",$G140&lt;=0),"QUANTITE &gt; 0; ","")))&amp;IF(AND($C140="AJUSTEMENT",$H140=""),"MOTIF; ","")&amp;IF(AND(OR($C140="TRANSFERT",$C140="CONSOMMATION"),$E140=""),"EMPL. SOURCE; ","")&amp;IF(AND($C140&lt;&gt;"CONSOMMATION",$F140=""),"EMPL. DESTINATION; ","")&amp;IF(AND($C140="TRANSFERT",$E140&lt;&gt;"",$E140=$F140),"SOURCE = DESTINATION; ",""),IF($Q140="EMPLACEMENT INCOHERENT","Le lot "&amp;$D140&amp;" n'existe pas sur cet emplacement (stock 0). Verifier l'emplacement.",IF($Q140="STOCK INSUFFISANT","Disponible avant operation : "&amp;TEXT($P140,"#,##0.00")&amp;" kg. Ligne NON comptee en stock.",IF(COUNTIFS($B$5:$B$304,$B140,$C$5:$C$304,$C140,$D$5:$D$304,$D140,$G$5:$G$304,$G140)&gt;1,"Doublon possible (meme date, type, lot et quantite).",IF($K140="LOT NON REFERENCE","Creer d'abord la fiche du lot dans l'onglet LOTS.",""))))))</f>
        <v/>
      </c>
    </row>
    <row r="141" customFormat="false" ht="15" hidden="false" customHeight="false" outlineLevel="0" collapsed="false">
      <c r="A141" s="26" t="str">
        <f aca="false">IF($C141="","","OP-"&amp;TEXT(ROW()-4,"000"))</f>
        <v/>
      </c>
      <c r="B141" s="25"/>
      <c r="C141" s="24"/>
      <c r="D141" s="24"/>
      <c r="E141" s="24"/>
      <c r="F141" s="24"/>
      <c r="G141" s="29"/>
      <c r="H141" s="24"/>
      <c r="I141" s="24"/>
      <c r="J141" s="26" t="str">
        <f aca="false">IF($D141="","",IFERROR(INDEX(LOT_EXTE,MATCH($D141,LOT_KEY,0)),""))</f>
        <v/>
      </c>
      <c r="K141" s="26" t="str">
        <f aca="false">IF($D141="","",IFERROR(INDEX(LOT_PRODE,MATCH($D141,LOT_KEY,0)),"LOT NON REFERENCE"))</f>
        <v/>
      </c>
      <c r="L141" s="26" t="str">
        <f aca="false">IF($D141="","",IFERROR(INDEX(LOT_FOURNE,MATCH($D141,LOT_KEY,0)),""))</f>
        <v/>
      </c>
      <c r="M141" s="26" t="str">
        <f aca="false">IF($E141="","",IFERROR(INDEX(EMPL_CLASSE,MATCH($E141,EMPL_KEY,0)),"?"))</f>
        <v/>
      </c>
      <c r="N141" s="26" t="str">
        <f aca="false">IF($F141="","",IFERROR(INDEX(EMPL_CLASSE,MATCH($F141,EMPL_KEY,0)),"?"))</f>
        <v/>
      </c>
      <c r="O141" s="28" t="n">
        <f aca="false">IF($C141="",0,IF(OR($B141="",$D141=""),0,IF($C141="AJUSTEMENT",IF(OR(NOT(ISNUMBER($G141)),$G141=0,$F141="",$H141=""),0,1),IF(OR(NOT(ISNUMBER($G141)),$G141&lt;=0),0,IF($C141="RECEPTION",IF($F141="",0,1),IF($C141="CONSOMMATION",IF($E141="",0,1),IF(OR($E141="",$F141="",$E141=$F141),0,1)))))))</f>
        <v>0</v>
      </c>
      <c r="P141" s="27" t="str">
        <f aca="false">IF(OR($O141=0,$C141="RECEPTION"),"",IF($C141="AJUSTEMENT",IF($G141&gt;0,"",SUMIFS(MVT_BRUT,MVT_LOT,$D141,MVT_EMPL,$F141)-$G141),SUMIFS(MVT_BRUT,MVT_LOT,$D141,MVT_EMPL,$E141)+$G141))</f>
        <v/>
      </c>
      <c r="Q141" s="26" t="str">
        <f aca="false">IF($C141="","",IF($O141=0,"DONNEES MANQUANTES",IF($C141="RECEPTION","OK",IF(AND($C141="AJUSTEMENT",$G141&gt;0),"OK",IF($P141&lt;=0,"EMPLACEMENT INCOHERENT",IF(ABS($G141)&gt;$P141+0.001,"STOCK INSUFFISANT","OK"))))))</f>
        <v/>
      </c>
      <c r="R141" s="28" t="n">
        <f aca="false">IF($Q141="OK",1,0)</f>
        <v>0</v>
      </c>
      <c r="S141" s="26" t="str">
        <f aca="false">IF($C141="","",IF($O141=0,"A COMPLETER : "&amp;IF($B141="","DATE; ","")&amp;IF($D141="","LOT INTERNE; ","")&amp;IF(NOT(ISNUMBER($G141)),"QUANTITE; ",IF(AND($C141="AJUSTEMENT",$G141=0),"QUANTITE &lt;&gt; 0; ",IF(AND($C141&lt;&gt;"AJUSTEMENT",$G141&lt;=0),"QUANTITE &gt; 0; ","")))&amp;IF(AND($C141="AJUSTEMENT",$H141=""),"MOTIF; ","")&amp;IF(AND(OR($C141="TRANSFERT",$C141="CONSOMMATION"),$E141=""),"EMPL. SOURCE; ","")&amp;IF(AND($C141&lt;&gt;"CONSOMMATION",$F141=""),"EMPL. DESTINATION; ","")&amp;IF(AND($C141="TRANSFERT",$E141&lt;&gt;"",$E141=$F141),"SOURCE = DESTINATION; ",""),IF($Q141="EMPLACEMENT INCOHERENT","Le lot "&amp;$D141&amp;" n'existe pas sur cet emplacement (stock 0). Verifier l'emplacement.",IF($Q141="STOCK INSUFFISANT","Disponible avant operation : "&amp;TEXT($P141,"#,##0.00")&amp;" kg. Ligne NON comptee en stock.",IF(COUNTIFS($B$5:$B$304,$B141,$C$5:$C$304,$C141,$D$5:$D$304,$D141,$G$5:$G$304,$G141)&gt;1,"Doublon possible (meme date, type, lot et quantite).",IF($K141="LOT NON REFERENCE","Creer d'abord la fiche du lot dans l'onglet LOTS.",""))))))</f>
        <v/>
      </c>
    </row>
    <row r="142" customFormat="false" ht="15" hidden="false" customHeight="false" outlineLevel="0" collapsed="false">
      <c r="A142" s="26" t="str">
        <f aca="false">IF($C142="","","OP-"&amp;TEXT(ROW()-4,"000"))</f>
        <v/>
      </c>
      <c r="B142" s="25"/>
      <c r="C142" s="24"/>
      <c r="D142" s="24"/>
      <c r="E142" s="24"/>
      <c r="F142" s="24"/>
      <c r="G142" s="29"/>
      <c r="H142" s="24"/>
      <c r="I142" s="24"/>
      <c r="J142" s="26" t="str">
        <f aca="false">IF($D142="","",IFERROR(INDEX(LOT_EXTE,MATCH($D142,LOT_KEY,0)),""))</f>
        <v/>
      </c>
      <c r="K142" s="26" t="str">
        <f aca="false">IF($D142="","",IFERROR(INDEX(LOT_PRODE,MATCH($D142,LOT_KEY,0)),"LOT NON REFERENCE"))</f>
        <v/>
      </c>
      <c r="L142" s="26" t="str">
        <f aca="false">IF($D142="","",IFERROR(INDEX(LOT_FOURNE,MATCH($D142,LOT_KEY,0)),""))</f>
        <v/>
      </c>
      <c r="M142" s="26" t="str">
        <f aca="false">IF($E142="","",IFERROR(INDEX(EMPL_CLASSE,MATCH($E142,EMPL_KEY,0)),"?"))</f>
        <v/>
      </c>
      <c r="N142" s="26" t="str">
        <f aca="false">IF($F142="","",IFERROR(INDEX(EMPL_CLASSE,MATCH($F142,EMPL_KEY,0)),"?"))</f>
        <v/>
      </c>
      <c r="O142" s="28" t="n">
        <f aca="false">IF($C142="",0,IF(OR($B142="",$D142=""),0,IF($C142="AJUSTEMENT",IF(OR(NOT(ISNUMBER($G142)),$G142=0,$F142="",$H142=""),0,1),IF(OR(NOT(ISNUMBER($G142)),$G142&lt;=0),0,IF($C142="RECEPTION",IF($F142="",0,1),IF($C142="CONSOMMATION",IF($E142="",0,1),IF(OR($E142="",$F142="",$E142=$F142),0,1)))))))</f>
        <v>0</v>
      </c>
      <c r="P142" s="27" t="str">
        <f aca="false">IF(OR($O142=0,$C142="RECEPTION"),"",IF($C142="AJUSTEMENT",IF($G142&gt;0,"",SUMIFS(MVT_BRUT,MVT_LOT,$D142,MVT_EMPL,$F142)-$G142),SUMIFS(MVT_BRUT,MVT_LOT,$D142,MVT_EMPL,$E142)+$G142))</f>
        <v/>
      </c>
      <c r="Q142" s="26" t="str">
        <f aca="false">IF($C142="","",IF($O142=0,"DONNEES MANQUANTES",IF($C142="RECEPTION","OK",IF(AND($C142="AJUSTEMENT",$G142&gt;0),"OK",IF($P142&lt;=0,"EMPLACEMENT INCOHERENT",IF(ABS($G142)&gt;$P142+0.001,"STOCK INSUFFISANT","OK"))))))</f>
        <v/>
      </c>
      <c r="R142" s="28" t="n">
        <f aca="false">IF($Q142="OK",1,0)</f>
        <v>0</v>
      </c>
      <c r="S142" s="26" t="str">
        <f aca="false">IF($C142="","",IF($O142=0,"A COMPLETER : "&amp;IF($B142="","DATE; ","")&amp;IF($D142="","LOT INTERNE; ","")&amp;IF(NOT(ISNUMBER($G142)),"QUANTITE; ",IF(AND($C142="AJUSTEMENT",$G142=0),"QUANTITE &lt;&gt; 0; ",IF(AND($C142&lt;&gt;"AJUSTEMENT",$G142&lt;=0),"QUANTITE &gt; 0; ","")))&amp;IF(AND($C142="AJUSTEMENT",$H142=""),"MOTIF; ","")&amp;IF(AND(OR($C142="TRANSFERT",$C142="CONSOMMATION"),$E142=""),"EMPL. SOURCE; ","")&amp;IF(AND($C142&lt;&gt;"CONSOMMATION",$F142=""),"EMPL. DESTINATION; ","")&amp;IF(AND($C142="TRANSFERT",$E142&lt;&gt;"",$E142=$F142),"SOURCE = DESTINATION; ",""),IF($Q142="EMPLACEMENT INCOHERENT","Le lot "&amp;$D142&amp;" n'existe pas sur cet emplacement (stock 0). Verifier l'emplacement.",IF($Q142="STOCK INSUFFISANT","Disponible avant operation : "&amp;TEXT($P142,"#,##0.00")&amp;" kg. Ligne NON comptee en stock.",IF(COUNTIFS($B$5:$B$304,$B142,$C$5:$C$304,$C142,$D$5:$D$304,$D142,$G$5:$G$304,$G142)&gt;1,"Doublon possible (meme date, type, lot et quantite).",IF($K142="LOT NON REFERENCE","Creer d'abord la fiche du lot dans l'onglet LOTS.",""))))))</f>
        <v/>
      </c>
    </row>
    <row r="143" customFormat="false" ht="15" hidden="false" customHeight="false" outlineLevel="0" collapsed="false">
      <c r="A143" s="26" t="str">
        <f aca="false">IF($C143="","","OP-"&amp;TEXT(ROW()-4,"000"))</f>
        <v/>
      </c>
      <c r="B143" s="25"/>
      <c r="C143" s="24"/>
      <c r="D143" s="24"/>
      <c r="E143" s="24"/>
      <c r="F143" s="24"/>
      <c r="G143" s="29"/>
      <c r="H143" s="24"/>
      <c r="I143" s="24"/>
      <c r="J143" s="26" t="str">
        <f aca="false">IF($D143="","",IFERROR(INDEX(LOT_EXTE,MATCH($D143,LOT_KEY,0)),""))</f>
        <v/>
      </c>
      <c r="K143" s="26" t="str">
        <f aca="false">IF($D143="","",IFERROR(INDEX(LOT_PRODE,MATCH($D143,LOT_KEY,0)),"LOT NON REFERENCE"))</f>
        <v/>
      </c>
      <c r="L143" s="26" t="str">
        <f aca="false">IF($D143="","",IFERROR(INDEX(LOT_FOURNE,MATCH($D143,LOT_KEY,0)),""))</f>
        <v/>
      </c>
      <c r="M143" s="26" t="str">
        <f aca="false">IF($E143="","",IFERROR(INDEX(EMPL_CLASSE,MATCH($E143,EMPL_KEY,0)),"?"))</f>
        <v/>
      </c>
      <c r="N143" s="26" t="str">
        <f aca="false">IF($F143="","",IFERROR(INDEX(EMPL_CLASSE,MATCH($F143,EMPL_KEY,0)),"?"))</f>
        <v/>
      </c>
      <c r="O143" s="28" t="n">
        <f aca="false">IF($C143="",0,IF(OR($B143="",$D143=""),0,IF($C143="AJUSTEMENT",IF(OR(NOT(ISNUMBER($G143)),$G143=0,$F143="",$H143=""),0,1),IF(OR(NOT(ISNUMBER($G143)),$G143&lt;=0),0,IF($C143="RECEPTION",IF($F143="",0,1),IF($C143="CONSOMMATION",IF($E143="",0,1),IF(OR($E143="",$F143="",$E143=$F143),0,1)))))))</f>
        <v>0</v>
      </c>
      <c r="P143" s="27" t="str">
        <f aca="false">IF(OR($O143=0,$C143="RECEPTION"),"",IF($C143="AJUSTEMENT",IF($G143&gt;0,"",SUMIFS(MVT_BRUT,MVT_LOT,$D143,MVT_EMPL,$F143)-$G143),SUMIFS(MVT_BRUT,MVT_LOT,$D143,MVT_EMPL,$E143)+$G143))</f>
        <v/>
      </c>
      <c r="Q143" s="26" t="str">
        <f aca="false">IF($C143="","",IF($O143=0,"DONNEES MANQUANTES",IF($C143="RECEPTION","OK",IF(AND($C143="AJUSTEMENT",$G143&gt;0),"OK",IF($P143&lt;=0,"EMPLACEMENT INCOHERENT",IF(ABS($G143)&gt;$P143+0.001,"STOCK INSUFFISANT","OK"))))))</f>
        <v/>
      </c>
      <c r="R143" s="28" t="n">
        <f aca="false">IF($Q143="OK",1,0)</f>
        <v>0</v>
      </c>
      <c r="S143" s="26" t="str">
        <f aca="false">IF($C143="","",IF($O143=0,"A COMPLETER : "&amp;IF($B143="","DATE; ","")&amp;IF($D143="","LOT INTERNE; ","")&amp;IF(NOT(ISNUMBER($G143)),"QUANTITE; ",IF(AND($C143="AJUSTEMENT",$G143=0),"QUANTITE &lt;&gt; 0; ",IF(AND($C143&lt;&gt;"AJUSTEMENT",$G143&lt;=0),"QUANTITE &gt; 0; ","")))&amp;IF(AND($C143="AJUSTEMENT",$H143=""),"MOTIF; ","")&amp;IF(AND(OR($C143="TRANSFERT",$C143="CONSOMMATION"),$E143=""),"EMPL. SOURCE; ","")&amp;IF(AND($C143&lt;&gt;"CONSOMMATION",$F143=""),"EMPL. DESTINATION; ","")&amp;IF(AND($C143="TRANSFERT",$E143&lt;&gt;"",$E143=$F143),"SOURCE = DESTINATION; ",""),IF($Q143="EMPLACEMENT INCOHERENT","Le lot "&amp;$D143&amp;" n'existe pas sur cet emplacement (stock 0). Verifier l'emplacement.",IF($Q143="STOCK INSUFFISANT","Disponible avant operation : "&amp;TEXT($P143,"#,##0.00")&amp;" kg. Ligne NON comptee en stock.",IF(COUNTIFS($B$5:$B$304,$B143,$C$5:$C$304,$C143,$D$5:$D$304,$D143,$G$5:$G$304,$G143)&gt;1,"Doublon possible (meme date, type, lot et quantite).",IF($K143="LOT NON REFERENCE","Creer d'abord la fiche du lot dans l'onglet LOTS.",""))))))</f>
        <v/>
      </c>
    </row>
    <row r="144" customFormat="false" ht="15" hidden="false" customHeight="false" outlineLevel="0" collapsed="false">
      <c r="A144" s="26" t="str">
        <f aca="false">IF($C144="","","OP-"&amp;TEXT(ROW()-4,"000"))</f>
        <v/>
      </c>
      <c r="B144" s="25"/>
      <c r="C144" s="24"/>
      <c r="D144" s="24"/>
      <c r="E144" s="24"/>
      <c r="F144" s="24"/>
      <c r="G144" s="29"/>
      <c r="H144" s="24"/>
      <c r="I144" s="24"/>
      <c r="J144" s="26" t="str">
        <f aca="false">IF($D144="","",IFERROR(INDEX(LOT_EXTE,MATCH($D144,LOT_KEY,0)),""))</f>
        <v/>
      </c>
      <c r="K144" s="26" t="str">
        <f aca="false">IF($D144="","",IFERROR(INDEX(LOT_PRODE,MATCH($D144,LOT_KEY,0)),"LOT NON REFERENCE"))</f>
        <v/>
      </c>
      <c r="L144" s="26" t="str">
        <f aca="false">IF($D144="","",IFERROR(INDEX(LOT_FOURNE,MATCH($D144,LOT_KEY,0)),""))</f>
        <v/>
      </c>
      <c r="M144" s="26" t="str">
        <f aca="false">IF($E144="","",IFERROR(INDEX(EMPL_CLASSE,MATCH($E144,EMPL_KEY,0)),"?"))</f>
        <v/>
      </c>
      <c r="N144" s="26" t="str">
        <f aca="false">IF($F144="","",IFERROR(INDEX(EMPL_CLASSE,MATCH($F144,EMPL_KEY,0)),"?"))</f>
        <v/>
      </c>
      <c r="O144" s="28" t="n">
        <f aca="false">IF($C144="",0,IF(OR($B144="",$D144=""),0,IF($C144="AJUSTEMENT",IF(OR(NOT(ISNUMBER($G144)),$G144=0,$F144="",$H144=""),0,1),IF(OR(NOT(ISNUMBER($G144)),$G144&lt;=0),0,IF($C144="RECEPTION",IF($F144="",0,1),IF($C144="CONSOMMATION",IF($E144="",0,1),IF(OR($E144="",$F144="",$E144=$F144),0,1)))))))</f>
        <v>0</v>
      </c>
      <c r="P144" s="27" t="str">
        <f aca="false">IF(OR($O144=0,$C144="RECEPTION"),"",IF($C144="AJUSTEMENT",IF($G144&gt;0,"",SUMIFS(MVT_BRUT,MVT_LOT,$D144,MVT_EMPL,$F144)-$G144),SUMIFS(MVT_BRUT,MVT_LOT,$D144,MVT_EMPL,$E144)+$G144))</f>
        <v/>
      </c>
      <c r="Q144" s="26" t="str">
        <f aca="false">IF($C144="","",IF($O144=0,"DONNEES MANQUANTES",IF($C144="RECEPTION","OK",IF(AND($C144="AJUSTEMENT",$G144&gt;0),"OK",IF($P144&lt;=0,"EMPLACEMENT INCOHERENT",IF(ABS($G144)&gt;$P144+0.001,"STOCK INSUFFISANT","OK"))))))</f>
        <v/>
      </c>
      <c r="R144" s="28" t="n">
        <f aca="false">IF($Q144="OK",1,0)</f>
        <v>0</v>
      </c>
      <c r="S144" s="26" t="str">
        <f aca="false">IF($C144="","",IF($O144=0,"A COMPLETER : "&amp;IF($B144="","DATE; ","")&amp;IF($D144="","LOT INTERNE; ","")&amp;IF(NOT(ISNUMBER($G144)),"QUANTITE; ",IF(AND($C144="AJUSTEMENT",$G144=0),"QUANTITE &lt;&gt; 0; ",IF(AND($C144&lt;&gt;"AJUSTEMENT",$G144&lt;=0),"QUANTITE &gt; 0; ","")))&amp;IF(AND($C144="AJUSTEMENT",$H144=""),"MOTIF; ","")&amp;IF(AND(OR($C144="TRANSFERT",$C144="CONSOMMATION"),$E144=""),"EMPL. SOURCE; ","")&amp;IF(AND($C144&lt;&gt;"CONSOMMATION",$F144=""),"EMPL. DESTINATION; ","")&amp;IF(AND($C144="TRANSFERT",$E144&lt;&gt;"",$E144=$F144),"SOURCE = DESTINATION; ",""),IF($Q144="EMPLACEMENT INCOHERENT","Le lot "&amp;$D144&amp;" n'existe pas sur cet emplacement (stock 0). Verifier l'emplacement.",IF($Q144="STOCK INSUFFISANT","Disponible avant operation : "&amp;TEXT($P144,"#,##0.00")&amp;" kg. Ligne NON comptee en stock.",IF(COUNTIFS($B$5:$B$304,$B144,$C$5:$C$304,$C144,$D$5:$D$304,$D144,$G$5:$G$304,$G144)&gt;1,"Doublon possible (meme date, type, lot et quantite).",IF($K144="LOT NON REFERENCE","Creer d'abord la fiche du lot dans l'onglet LOTS.",""))))))</f>
        <v/>
      </c>
    </row>
    <row r="145" customFormat="false" ht="15" hidden="false" customHeight="false" outlineLevel="0" collapsed="false">
      <c r="A145" s="26" t="str">
        <f aca="false">IF($C145="","","OP-"&amp;TEXT(ROW()-4,"000"))</f>
        <v/>
      </c>
      <c r="B145" s="25"/>
      <c r="C145" s="24"/>
      <c r="D145" s="24"/>
      <c r="E145" s="24"/>
      <c r="F145" s="24"/>
      <c r="G145" s="29"/>
      <c r="H145" s="24"/>
      <c r="I145" s="24"/>
      <c r="J145" s="26" t="str">
        <f aca="false">IF($D145="","",IFERROR(INDEX(LOT_EXTE,MATCH($D145,LOT_KEY,0)),""))</f>
        <v/>
      </c>
      <c r="K145" s="26" t="str">
        <f aca="false">IF($D145="","",IFERROR(INDEX(LOT_PRODE,MATCH($D145,LOT_KEY,0)),"LOT NON REFERENCE"))</f>
        <v/>
      </c>
      <c r="L145" s="26" t="str">
        <f aca="false">IF($D145="","",IFERROR(INDEX(LOT_FOURNE,MATCH($D145,LOT_KEY,0)),""))</f>
        <v/>
      </c>
      <c r="M145" s="26" t="str">
        <f aca="false">IF($E145="","",IFERROR(INDEX(EMPL_CLASSE,MATCH($E145,EMPL_KEY,0)),"?"))</f>
        <v/>
      </c>
      <c r="N145" s="26" t="str">
        <f aca="false">IF($F145="","",IFERROR(INDEX(EMPL_CLASSE,MATCH($F145,EMPL_KEY,0)),"?"))</f>
        <v/>
      </c>
      <c r="O145" s="28" t="n">
        <f aca="false">IF($C145="",0,IF(OR($B145="",$D145=""),0,IF($C145="AJUSTEMENT",IF(OR(NOT(ISNUMBER($G145)),$G145=0,$F145="",$H145=""),0,1),IF(OR(NOT(ISNUMBER($G145)),$G145&lt;=0),0,IF($C145="RECEPTION",IF($F145="",0,1),IF($C145="CONSOMMATION",IF($E145="",0,1),IF(OR($E145="",$F145="",$E145=$F145),0,1)))))))</f>
        <v>0</v>
      </c>
      <c r="P145" s="27" t="str">
        <f aca="false">IF(OR($O145=0,$C145="RECEPTION"),"",IF($C145="AJUSTEMENT",IF($G145&gt;0,"",SUMIFS(MVT_BRUT,MVT_LOT,$D145,MVT_EMPL,$F145)-$G145),SUMIFS(MVT_BRUT,MVT_LOT,$D145,MVT_EMPL,$E145)+$G145))</f>
        <v/>
      </c>
      <c r="Q145" s="26" t="str">
        <f aca="false">IF($C145="","",IF($O145=0,"DONNEES MANQUANTES",IF($C145="RECEPTION","OK",IF(AND($C145="AJUSTEMENT",$G145&gt;0),"OK",IF($P145&lt;=0,"EMPLACEMENT INCOHERENT",IF(ABS($G145)&gt;$P145+0.001,"STOCK INSUFFISANT","OK"))))))</f>
        <v/>
      </c>
      <c r="R145" s="28" t="n">
        <f aca="false">IF($Q145="OK",1,0)</f>
        <v>0</v>
      </c>
      <c r="S145" s="26" t="str">
        <f aca="false">IF($C145="","",IF($O145=0,"A COMPLETER : "&amp;IF($B145="","DATE; ","")&amp;IF($D145="","LOT INTERNE; ","")&amp;IF(NOT(ISNUMBER($G145)),"QUANTITE; ",IF(AND($C145="AJUSTEMENT",$G145=0),"QUANTITE &lt;&gt; 0; ",IF(AND($C145&lt;&gt;"AJUSTEMENT",$G145&lt;=0),"QUANTITE &gt; 0; ","")))&amp;IF(AND($C145="AJUSTEMENT",$H145=""),"MOTIF; ","")&amp;IF(AND(OR($C145="TRANSFERT",$C145="CONSOMMATION"),$E145=""),"EMPL. SOURCE; ","")&amp;IF(AND($C145&lt;&gt;"CONSOMMATION",$F145=""),"EMPL. DESTINATION; ","")&amp;IF(AND($C145="TRANSFERT",$E145&lt;&gt;"",$E145=$F145),"SOURCE = DESTINATION; ",""),IF($Q145="EMPLACEMENT INCOHERENT","Le lot "&amp;$D145&amp;" n'existe pas sur cet emplacement (stock 0). Verifier l'emplacement.",IF($Q145="STOCK INSUFFISANT","Disponible avant operation : "&amp;TEXT($P145,"#,##0.00")&amp;" kg. Ligne NON comptee en stock.",IF(COUNTIFS($B$5:$B$304,$B145,$C$5:$C$304,$C145,$D$5:$D$304,$D145,$G$5:$G$304,$G145)&gt;1,"Doublon possible (meme date, type, lot et quantite).",IF($K145="LOT NON REFERENCE","Creer d'abord la fiche du lot dans l'onglet LOTS.",""))))))</f>
        <v/>
      </c>
    </row>
    <row r="146" customFormat="false" ht="15" hidden="false" customHeight="false" outlineLevel="0" collapsed="false">
      <c r="A146" s="26" t="str">
        <f aca="false">IF($C146="","","OP-"&amp;TEXT(ROW()-4,"000"))</f>
        <v/>
      </c>
      <c r="B146" s="25"/>
      <c r="C146" s="24"/>
      <c r="D146" s="24"/>
      <c r="E146" s="24"/>
      <c r="F146" s="24"/>
      <c r="G146" s="29"/>
      <c r="H146" s="24"/>
      <c r="I146" s="24"/>
      <c r="J146" s="26" t="str">
        <f aca="false">IF($D146="","",IFERROR(INDEX(LOT_EXTE,MATCH($D146,LOT_KEY,0)),""))</f>
        <v/>
      </c>
      <c r="K146" s="26" t="str">
        <f aca="false">IF($D146="","",IFERROR(INDEX(LOT_PRODE,MATCH($D146,LOT_KEY,0)),"LOT NON REFERENCE"))</f>
        <v/>
      </c>
      <c r="L146" s="26" t="str">
        <f aca="false">IF($D146="","",IFERROR(INDEX(LOT_FOURNE,MATCH($D146,LOT_KEY,0)),""))</f>
        <v/>
      </c>
      <c r="M146" s="26" t="str">
        <f aca="false">IF($E146="","",IFERROR(INDEX(EMPL_CLASSE,MATCH($E146,EMPL_KEY,0)),"?"))</f>
        <v/>
      </c>
      <c r="N146" s="26" t="str">
        <f aca="false">IF($F146="","",IFERROR(INDEX(EMPL_CLASSE,MATCH($F146,EMPL_KEY,0)),"?"))</f>
        <v/>
      </c>
      <c r="O146" s="28" t="n">
        <f aca="false">IF($C146="",0,IF(OR($B146="",$D146=""),0,IF($C146="AJUSTEMENT",IF(OR(NOT(ISNUMBER($G146)),$G146=0,$F146="",$H146=""),0,1),IF(OR(NOT(ISNUMBER($G146)),$G146&lt;=0),0,IF($C146="RECEPTION",IF($F146="",0,1),IF($C146="CONSOMMATION",IF($E146="",0,1),IF(OR($E146="",$F146="",$E146=$F146),0,1)))))))</f>
        <v>0</v>
      </c>
      <c r="P146" s="27" t="str">
        <f aca="false">IF(OR($O146=0,$C146="RECEPTION"),"",IF($C146="AJUSTEMENT",IF($G146&gt;0,"",SUMIFS(MVT_BRUT,MVT_LOT,$D146,MVT_EMPL,$F146)-$G146),SUMIFS(MVT_BRUT,MVT_LOT,$D146,MVT_EMPL,$E146)+$G146))</f>
        <v/>
      </c>
      <c r="Q146" s="26" t="str">
        <f aca="false">IF($C146="","",IF($O146=0,"DONNEES MANQUANTES",IF($C146="RECEPTION","OK",IF(AND($C146="AJUSTEMENT",$G146&gt;0),"OK",IF($P146&lt;=0,"EMPLACEMENT INCOHERENT",IF(ABS($G146)&gt;$P146+0.001,"STOCK INSUFFISANT","OK"))))))</f>
        <v/>
      </c>
      <c r="R146" s="28" t="n">
        <f aca="false">IF($Q146="OK",1,0)</f>
        <v>0</v>
      </c>
      <c r="S146" s="26" t="str">
        <f aca="false">IF($C146="","",IF($O146=0,"A COMPLETER : "&amp;IF($B146="","DATE; ","")&amp;IF($D146="","LOT INTERNE; ","")&amp;IF(NOT(ISNUMBER($G146)),"QUANTITE; ",IF(AND($C146="AJUSTEMENT",$G146=0),"QUANTITE &lt;&gt; 0; ",IF(AND($C146&lt;&gt;"AJUSTEMENT",$G146&lt;=0),"QUANTITE &gt; 0; ","")))&amp;IF(AND($C146="AJUSTEMENT",$H146=""),"MOTIF; ","")&amp;IF(AND(OR($C146="TRANSFERT",$C146="CONSOMMATION"),$E146=""),"EMPL. SOURCE; ","")&amp;IF(AND($C146&lt;&gt;"CONSOMMATION",$F146=""),"EMPL. DESTINATION; ","")&amp;IF(AND($C146="TRANSFERT",$E146&lt;&gt;"",$E146=$F146),"SOURCE = DESTINATION; ",""),IF($Q146="EMPLACEMENT INCOHERENT","Le lot "&amp;$D146&amp;" n'existe pas sur cet emplacement (stock 0). Verifier l'emplacement.",IF($Q146="STOCK INSUFFISANT","Disponible avant operation : "&amp;TEXT($P146,"#,##0.00")&amp;" kg. Ligne NON comptee en stock.",IF(COUNTIFS($B$5:$B$304,$B146,$C$5:$C$304,$C146,$D$5:$D$304,$D146,$G$5:$G$304,$G146)&gt;1,"Doublon possible (meme date, type, lot et quantite).",IF($K146="LOT NON REFERENCE","Creer d'abord la fiche du lot dans l'onglet LOTS.",""))))))</f>
        <v/>
      </c>
    </row>
    <row r="147" customFormat="false" ht="15" hidden="false" customHeight="false" outlineLevel="0" collapsed="false">
      <c r="A147" s="26" t="str">
        <f aca="false">IF($C147="","","OP-"&amp;TEXT(ROW()-4,"000"))</f>
        <v/>
      </c>
      <c r="B147" s="25"/>
      <c r="C147" s="24"/>
      <c r="D147" s="24"/>
      <c r="E147" s="24"/>
      <c r="F147" s="24"/>
      <c r="G147" s="29"/>
      <c r="H147" s="24"/>
      <c r="I147" s="24"/>
      <c r="J147" s="26" t="str">
        <f aca="false">IF($D147="","",IFERROR(INDEX(LOT_EXTE,MATCH($D147,LOT_KEY,0)),""))</f>
        <v/>
      </c>
      <c r="K147" s="26" t="str">
        <f aca="false">IF($D147="","",IFERROR(INDEX(LOT_PRODE,MATCH($D147,LOT_KEY,0)),"LOT NON REFERENCE"))</f>
        <v/>
      </c>
      <c r="L147" s="26" t="str">
        <f aca="false">IF($D147="","",IFERROR(INDEX(LOT_FOURNE,MATCH($D147,LOT_KEY,0)),""))</f>
        <v/>
      </c>
      <c r="M147" s="26" t="str">
        <f aca="false">IF($E147="","",IFERROR(INDEX(EMPL_CLASSE,MATCH($E147,EMPL_KEY,0)),"?"))</f>
        <v/>
      </c>
      <c r="N147" s="26" t="str">
        <f aca="false">IF($F147="","",IFERROR(INDEX(EMPL_CLASSE,MATCH($F147,EMPL_KEY,0)),"?"))</f>
        <v/>
      </c>
      <c r="O147" s="28" t="n">
        <f aca="false">IF($C147="",0,IF(OR($B147="",$D147=""),0,IF($C147="AJUSTEMENT",IF(OR(NOT(ISNUMBER($G147)),$G147=0,$F147="",$H147=""),0,1),IF(OR(NOT(ISNUMBER($G147)),$G147&lt;=0),0,IF($C147="RECEPTION",IF($F147="",0,1),IF($C147="CONSOMMATION",IF($E147="",0,1),IF(OR($E147="",$F147="",$E147=$F147),0,1)))))))</f>
        <v>0</v>
      </c>
      <c r="P147" s="27" t="str">
        <f aca="false">IF(OR($O147=0,$C147="RECEPTION"),"",IF($C147="AJUSTEMENT",IF($G147&gt;0,"",SUMIFS(MVT_BRUT,MVT_LOT,$D147,MVT_EMPL,$F147)-$G147),SUMIFS(MVT_BRUT,MVT_LOT,$D147,MVT_EMPL,$E147)+$G147))</f>
        <v/>
      </c>
      <c r="Q147" s="26" t="str">
        <f aca="false">IF($C147="","",IF($O147=0,"DONNEES MANQUANTES",IF($C147="RECEPTION","OK",IF(AND($C147="AJUSTEMENT",$G147&gt;0),"OK",IF($P147&lt;=0,"EMPLACEMENT INCOHERENT",IF(ABS($G147)&gt;$P147+0.001,"STOCK INSUFFISANT","OK"))))))</f>
        <v/>
      </c>
      <c r="R147" s="28" t="n">
        <f aca="false">IF($Q147="OK",1,0)</f>
        <v>0</v>
      </c>
      <c r="S147" s="26" t="str">
        <f aca="false">IF($C147="","",IF($O147=0,"A COMPLETER : "&amp;IF($B147="","DATE; ","")&amp;IF($D147="","LOT INTERNE; ","")&amp;IF(NOT(ISNUMBER($G147)),"QUANTITE; ",IF(AND($C147="AJUSTEMENT",$G147=0),"QUANTITE &lt;&gt; 0; ",IF(AND($C147&lt;&gt;"AJUSTEMENT",$G147&lt;=0),"QUANTITE &gt; 0; ","")))&amp;IF(AND($C147="AJUSTEMENT",$H147=""),"MOTIF; ","")&amp;IF(AND(OR($C147="TRANSFERT",$C147="CONSOMMATION"),$E147=""),"EMPL. SOURCE; ","")&amp;IF(AND($C147&lt;&gt;"CONSOMMATION",$F147=""),"EMPL. DESTINATION; ","")&amp;IF(AND($C147="TRANSFERT",$E147&lt;&gt;"",$E147=$F147),"SOURCE = DESTINATION; ",""),IF($Q147="EMPLACEMENT INCOHERENT","Le lot "&amp;$D147&amp;" n'existe pas sur cet emplacement (stock 0). Verifier l'emplacement.",IF($Q147="STOCK INSUFFISANT","Disponible avant operation : "&amp;TEXT($P147,"#,##0.00")&amp;" kg. Ligne NON comptee en stock.",IF(COUNTIFS($B$5:$B$304,$B147,$C$5:$C$304,$C147,$D$5:$D$304,$D147,$G$5:$G$304,$G147)&gt;1,"Doublon possible (meme date, type, lot et quantite).",IF($K147="LOT NON REFERENCE","Creer d'abord la fiche du lot dans l'onglet LOTS.",""))))))</f>
        <v/>
      </c>
    </row>
    <row r="148" customFormat="false" ht="15" hidden="false" customHeight="false" outlineLevel="0" collapsed="false">
      <c r="A148" s="26" t="str">
        <f aca="false">IF($C148="","","OP-"&amp;TEXT(ROW()-4,"000"))</f>
        <v/>
      </c>
      <c r="B148" s="25"/>
      <c r="C148" s="24"/>
      <c r="D148" s="24"/>
      <c r="E148" s="24"/>
      <c r="F148" s="24"/>
      <c r="G148" s="29"/>
      <c r="H148" s="24"/>
      <c r="I148" s="24"/>
      <c r="J148" s="26" t="str">
        <f aca="false">IF($D148="","",IFERROR(INDEX(LOT_EXTE,MATCH($D148,LOT_KEY,0)),""))</f>
        <v/>
      </c>
      <c r="K148" s="26" t="str">
        <f aca="false">IF($D148="","",IFERROR(INDEX(LOT_PRODE,MATCH($D148,LOT_KEY,0)),"LOT NON REFERENCE"))</f>
        <v/>
      </c>
      <c r="L148" s="26" t="str">
        <f aca="false">IF($D148="","",IFERROR(INDEX(LOT_FOURNE,MATCH($D148,LOT_KEY,0)),""))</f>
        <v/>
      </c>
      <c r="M148" s="26" t="str">
        <f aca="false">IF($E148="","",IFERROR(INDEX(EMPL_CLASSE,MATCH($E148,EMPL_KEY,0)),"?"))</f>
        <v/>
      </c>
      <c r="N148" s="26" t="str">
        <f aca="false">IF($F148="","",IFERROR(INDEX(EMPL_CLASSE,MATCH($F148,EMPL_KEY,0)),"?"))</f>
        <v/>
      </c>
      <c r="O148" s="28" t="n">
        <f aca="false">IF($C148="",0,IF(OR($B148="",$D148=""),0,IF($C148="AJUSTEMENT",IF(OR(NOT(ISNUMBER($G148)),$G148=0,$F148="",$H148=""),0,1),IF(OR(NOT(ISNUMBER($G148)),$G148&lt;=0),0,IF($C148="RECEPTION",IF($F148="",0,1),IF($C148="CONSOMMATION",IF($E148="",0,1),IF(OR($E148="",$F148="",$E148=$F148),0,1)))))))</f>
        <v>0</v>
      </c>
      <c r="P148" s="27" t="str">
        <f aca="false">IF(OR($O148=0,$C148="RECEPTION"),"",IF($C148="AJUSTEMENT",IF($G148&gt;0,"",SUMIFS(MVT_BRUT,MVT_LOT,$D148,MVT_EMPL,$F148)-$G148),SUMIFS(MVT_BRUT,MVT_LOT,$D148,MVT_EMPL,$E148)+$G148))</f>
        <v/>
      </c>
      <c r="Q148" s="26" t="str">
        <f aca="false">IF($C148="","",IF($O148=0,"DONNEES MANQUANTES",IF($C148="RECEPTION","OK",IF(AND($C148="AJUSTEMENT",$G148&gt;0),"OK",IF($P148&lt;=0,"EMPLACEMENT INCOHERENT",IF(ABS($G148)&gt;$P148+0.001,"STOCK INSUFFISANT","OK"))))))</f>
        <v/>
      </c>
      <c r="R148" s="28" t="n">
        <f aca="false">IF($Q148="OK",1,0)</f>
        <v>0</v>
      </c>
      <c r="S148" s="26" t="str">
        <f aca="false">IF($C148="","",IF($O148=0,"A COMPLETER : "&amp;IF($B148="","DATE; ","")&amp;IF($D148="","LOT INTERNE; ","")&amp;IF(NOT(ISNUMBER($G148)),"QUANTITE; ",IF(AND($C148="AJUSTEMENT",$G148=0),"QUANTITE &lt;&gt; 0; ",IF(AND($C148&lt;&gt;"AJUSTEMENT",$G148&lt;=0),"QUANTITE &gt; 0; ","")))&amp;IF(AND($C148="AJUSTEMENT",$H148=""),"MOTIF; ","")&amp;IF(AND(OR($C148="TRANSFERT",$C148="CONSOMMATION"),$E148=""),"EMPL. SOURCE; ","")&amp;IF(AND($C148&lt;&gt;"CONSOMMATION",$F148=""),"EMPL. DESTINATION; ","")&amp;IF(AND($C148="TRANSFERT",$E148&lt;&gt;"",$E148=$F148),"SOURCE = DESTINATION; ",""),IF($Q148="EMPLACEMENT INCOHERENT","Le lot "&amp;$D148&amp;" n'existe pas sur cet emplacement (stock 0). Verifier l'emplacement.",IF($Q148="STOCK INSUFFISANT","Disponible avant operation : "&amp;TEXT($P148,"#,##0.00")&amp;" kg. Ligne NON comptee en stock.",IF(COUNTIFS($B$5:$B$304,$B148,$C$5:$C$304,$C148,$D$5:$D$304,$D148,$G$5:$G$304,$G148)&gt;1,"Doublon possible (meme date, type, lot et quantite).",IF($K148="LOT NON REFERENCE","Creer d'abord la fiche du lot dans l'onglet LOTS.",""))))))</f>
        <v/>
      </c>
    </row>
    <row r="149" customFormat="false" ht="15" hidden="false" customHeight="false" outlineLevel="0" collapsed="false">
      <c r="A149" s="26" t="str">
        <f aca="false">IF($C149="","","OP-"&amp;TEXT(ROW()-4,"000"))</f>
        <v/>
      </c>
      <c r="B149" s="25"/>
      <c r="C149" s="24"/>
      <c r="D149" s="24"/>
      <c r="E149" s="24"/>
      <c r="F149" s="24"/>
      <c r="G149" s="29"/>
      <c r="H149" s="24"/>
      <c r="I149" s="24"/>
      <c r="J149" s="26" t="str">
        <f aca="false">IF($D149="","",IFERROR(INDEX(LOT_EXTE,MATCH($D149,LOT_KEY,0)),""))</f>
        <v/>
      </c>
      <c r="K149" s="26" t="str">
        <f aca="false">IF($D149="","",IFERROR(INDEX(LOT_PRODE,MATCH($D149,LOT_KEY,0)),"LOT NON REFERENCE"))</f>
        <v/>
      </c>
      <c r="L149" s="26" t="str">
        <f aca="false">IF($D149="","",IFERROR(INDEX(LOT_FOURNE,MATCH($D149,LOT_KEY,0)),""))</f>
        <v/>
      </c>
      <c r="M149" s="26" t="str">
        <f aca="false">IF($E149="","",IFERROR(INDEX(EMPL_CLASSE,MATCH($E149,EMPL_KEY,0)),"?"))</f>
        <v/>
      </c>
      <c r="N149" s="26" t="str">
        <f aca="false">IF($F149="","",IFERROR(INDEX(EMPL_CLASSE,MATCH($F149,EMPL_KEY,0)),"?"))</f>
        <v/>
      </c>
      <c r="O149" s="28" t="n">
        <f aca="false">IF($C149="",0,IF(OR($B149="",$D149=""),0,IF($C149="AJUSTEMENT",IF(OR(NOT(ISNUMBER($G149)),$G149=0,$F149="",$H149=""),0,1),IF(OR(NOT(ISNUMBER($G149)),$G149&lt;=0),0,IF($C149="RECEPTION",IF($F149="",0,1),IF($C149="CONSOMMATION",IF($E149="",0,1),IF(OR($E149="",$F149="",$E149=$F149),0,1)))))))</f>
        <v>0</v>
      </c>
      <c r="P149" s="27" t="str">
        <f aca="false">IF(OR($O149=0,$C149="RECEPTION"),"",IF($C149="AJUSTEMENT",IF($G149&gt;0,"",SUMIFS(MVT_BRUT,MVT_LOT,$D149,MVT_EMPL,$F149)-$G149),SUMIFS(MVT_BRUT,MVT_LOT,$D149,MVT_EMPL,$E149)+$G149))</f>
        <v/>
      </c>
      <c r="Q149" s="26" t="str">
        <f aca="false">IF($C149="","",IF($O149=0,"DONNEES MANQUANTES",IF($C149="RECEPTION","OK",IF(AND($C149="AJUSTEMENT",$G149&gt;0),"OK",IF($P149&lt;=0,"EMPLACEMENT INCOHERENT",IF(ABS($G149)&gt;$P149+0.001,"STOCK INSUFFISANT","OK"))))))</f>
        <v/>
      </c>
      <c r="R149" s="28" t="n">
        <f aca="false">IF($Q149="OK",1,0)</f>
        <v>0</v>
      </c>
      <c r="S149" s="26" t="str">
        <f aca="false">IF($C149="","",IF($O149=0,"A COMPLETER : "&amp;IF($B149="","DATE; ","")&amp;IF($D149="","LOT INTERNE; ","")&amp;IF(NOT(ISNUMBER($G149)),"QUANTITE; ",IF(AND($C149="AJUSTEMENT",$G149=0),"QUANTITE &lt;&gt; 0; ",IF(AND($C149&lt;&gt;"AJUSTEMENT",$G149&lt;=0),"QUANTITE &gt; 0; ","")))&amp;IF(AND($C149="AJUSTEMENT",$H149=""),"MOTIF; ","")&amp;IF(AND(OR($C149="TRANSFERT",$C149="CONSOMMATION"),$E149=""),"EMPL. SOURCE; ","")&amp;IF(AND($C149&lt;&gt;"CONSOMMATION",$F149=""),"EMPL. DESTINATION; ","")&amp;IF(AND($C149="TRANSFERT",$E149&lt;&gt;"",$E149=$F149),"SOURCE = DESTINATION; ",""),IF($Q149="EMPLACEMENT INCOHERENT","Le lot "&amp;$D149&amp;" n'existe pas sur cet emplacement (stock 0). Verifier l'emplacement.",IF($Q149="STOCK INSUFFISANT","Disponible avant operation : "&amp;TEXT($P149,"#,##0.00")&amp;" kg. Ligne NON comptee en stock.",IF(COUNTIFS($B$5:$B$304,$B149,$C$5:$C$304,$C149,$D$5:$D$304,$D149,$G$5:$G$304,$G149)&gt;1,"Doublon possible (meme date, type, lot et quantite).",IF($K149="LOT NON REFERENCE","Creer d'abord la fiche du lot dans l'onglet LOTS.",""))))))</f>
        <v/>
      </c>
    </row>
    <row r="150" customFormat="false" ht="15" hidden="false" customHeight="false" outlineLevel="0" collapsed="false">
      <c r="A150" s="26" t="str">
        <f aca="false">IF($C150="","","OP-"&amp;TEXT(ROW()-4,"000"))</f>
        <v/>
      </c>
      <c r="B150" s="25"/>
      <c r="C150" s="24"/>
      <c r="D150" s="24"/>
      <c r="E150" s="24"/>
      <c r="F150" s="24"/>
      <c r="G150" s="29"/>
      <c r="H150" s="24"/>
      <c r="I150" s="24"/>
      <c r="J150" s="26" t="str">
        <f aca="false">IF($D150="","",IFERROR(INDEX(LOT_EXTE,MATCH($D150,LOT_KEY,0)),""))</f>
        <v/>
      </c>
      <c r="K150" s="26" t="str">
        <f aca="false">IF($D150="","",IFERROR(INDEX(LOT_PRODE,MATCH($D150,LOT_KEY,0)),"LOT NON REFERENCE"))</f>
        <v/>
      </c>
      <c r="L150" s="26" t="str">
        <f aca="false">IF($D150="","",IFERROR(INDEX(LOT_FOURNE,MATCH($D150,LOT_KEY,0)),""))</f>
        <v/>
      </c>
      <c r="M150" s="26" t="str">
        <f aca="false">IF($E150="","",IFERROR(INDEX(EMPL_CLASSE,MATCH($E150,EMPL_KEY,0)),"?"))</f>
        <v/>
      </c>
      <c r="N150" s="26" t="str">
        <f aca="false">IF($F150="","",IFERROR(INDEX(EMPL_CLASSE,MATCH($F150,EMPL_KEY,0)),"?"))</f>
        <v/>
      </c>
      <c r="O150" s="28" t="n">
        <f aca="false">IF($C150="",0,IF(OR($B150="",$D150=""),0,IF($C150="AJUSTEMENT",IF(OR(NOT(ISNUMBER($G150)),$G150=0,$F150="",$H150=""),0,1),IF(OR(NOT(ISNUMBER($G150)),$G150&lt;=0),0,IF($C150="RECEPTION",IF($F150="",0,1),IF($C150="CONSOMMATION",IF($E150="",0,1),IF(OR($E150="",$F150="",$E150=$F150),0,1)))))))</f>
        <v>0</v>
      </c>
      <c r="P150" s="27" t="str">
        <f aca="false">IF(OR($O150=0,$C150="RECEPTION"),"",IF($C150="AJUSTEMENT",IF($G150&gt;0,"",SUMIFS(MVT_BRUT,MVT_LOT,$D150,MVT_EMPL,$F150)-$G150),SUMIFS(MVT_BRUT,MVT_LOT,$D150,MVT_EMPL,$E150)+$G150))</f>
        <v/>
      </c>
      <c r="Q150" s="26" t="str">
        <f aca="false">IF($C150="","",IF($O150=0,"DONNEES MANQUANTES",IF($C150="RECEPTION","OK",IF(AND($C150="AJUSTEMENT",$G150&gt;0),"OK",IF($P150&lt;=0,"EMPLACEMENT INCOHERENT",IF(ABS($G150)&gt;$P150+0.001,"STOCK INSUFFISANT","OK"))))))</f>
        <v/>
      </c>
      <c r="R150" s="28" t="n">
        <f aca="false">IF($Q150="OK",1,0)</f>
        <v>0</v>
      </c>
      <c r="S150" s="26" t="str">
        <f aca="false">IF($C150="","",IF($O150=0,"A COMPLETER : "&amp;IF($B150="","DATE; ","")&amp;IF($D150="","LOT INTERNE; ","")&amp;IF(NOT(ISNUMBER($G150)),"QUANTITE; ",IF(AND($C150="AJUSTEMENT",$G150=0),"QUANTITE &lt;&gt; 0; ",IF(AND($C150&lt;&gt;"AJUSTEMENT",$G150&lt;=0),"QUANTITE &gt; 0; ","")))&amp;IF(AND($C150="AJUSTEMENT",$H150=""),"MOTIF; ","")&amp;IF(AND(OR($C150="TRANSFERT",$C150="CONSOMMATION"),$E150=""),"EMPL. SOURCE; ","")&amp;IF(AND($C150&lt;&gt;"CONSOMMATION",$F150=""),"EMPL. DESTINATION; ","")&amp;IF(AND($C150="TRANSFERT",$E150&lt;&gt;"",$E150=$F150),"SOURCE = DESTINATION; ",""),IF($Q150="EMPLACEMENT INCOHERENT","Le lot "&amp;$D150&amp;" n'existe pas sur cet emplacement (stock 0). Verifier l'emplacement.",IF($Q150="STOCK INSUFFISANT","Disponible avant operation : "&amp;TEXT($P150,"#,##0.00")&amp;" kg. Ligne NON comptee en stock.",IF(COUNTIFS($B$5:$B$304,$B150,$C$5:$C$304,$C150,$D$5:$D$304,$D150,$G$5:$G$304,$G150)&gt;1,"Doublon possible (meme date, type, lot et quantite).",IF($K150="LOT NON REFERENCE","Creer d'abord la fiche du lot dans l'onglet LOTS.",""))))))</f>
        <v/>
      </c>
    </row>
    <row r="151" customFormat="false" ht="15" hidden="false" customHeight="false" outlineLevel="0" collapsed="false">
      <c r="A151" s="26" t="str">
        <f aca="false">IF($C151="","","OP-"&amp;TEXT(ROW()-4,"000"))</f>
        <v/>
      </c>
      <c r="B151" s="25"/>
      <c r="C151" s="24"/>
      <c r="D151" s="24"/>
      <c r="E151" s="24"/>
      <c r="F151" s="24"/>
      <c r="G151" s="29"/>
      <c r="H151" s="24"/>
      <c r="I151" s="24"/>
      <c r="J151" s="26" t="str">
        <f aca="false">IF($D151="","",IFERROR(INDEX(LOT_EXTE,MATCH($D151,LOT_KEY,0)),""))</f>
        <v/>
      </c>
      <c r="K151" s="26" t="str">
        <f aca="false">IF($D151="","",IFERROR(INDEX(LOT_PRODE,MATCH($D151,LOT_KEY,0)),"LOT NON REFERENCE"))</f>
        <v/>
      </c>
      <c r="L151" s="26" t="str">
        <f aca="false">IF($D151="","",IFERROR(INDEX(LOT_FOURNE,MATCH($D151,LOT_KEY,0)),""))</f>
        <v/>
      </c>
      <c r="M151" s="26" t="str">
        <f aca="false">IF($E151="","",IFERROR(INDEX(EMPL_CLASSE,MATCH($E151,EMPL_KEY,0)),"?"))</f>
        <v/>
      </c>
      <c r="N151" s="26" t="str">
        <f aca="false">IF($F151="","",IFERROR(INDEX(EMPL_CLASSE,MATCH($F151,EMPL_KEY,0)),"?"))</f>
        <v/>
      </c>
      <c r="O151" s="28" t="n">
        <f aca="false">IF($C151="",0,IF(OR($B151="",$D151=""),0,IF($C151="AJUSTEMENT",IF(OR(NOT(ISNUMBER($G151)),$G151=0,$F151="",$H151=""),0,1),IF(OR(NOT(ISNUMBER($G151)),$G151&lt;=0),0,IF($C151="RECEPTION",IF($F151="",0,1),IF($C151="CONSOMMATION",IF($E151="",0,1),IF(OR($E151="",$F151="",$E151=$F151),0,1)))))))</f>
        <v>0</v>
      </c>
      <c r="P151" s="27" t="str">
        <f aca="false">IF(OR($O151=0,$C151="RECEPTION"),"",IF($C151="AJUSTEMENT",IF($G151&gt;0,"",SUMIFS(MVT_BRUT,MVT_LOT,$D151,MVT_EMPL,$F151)-$G151),SUMIFS(MVT_BRUT,MVT_LOT,$D151,MVT_EMPL,$E151)+$G151))</f>
        <v/>
      </c>
      <c r="Q151" s="26" t="str">
        <f aca="false">IF($C151="","",IF($O151=0,"DONNEES MANQUANTES",IF($C151="RECEPTION","OK",IF(AND($C151="AJUSTEMENT",$G151&gt;0),"OK",IF($P151&lt;=0,"EMPLACEMENT INCOHERENT",IF(ABS($G151)&gt;$P151+0.001,"STOCK INSUFFISANT","OK"))))))</f>
        <v/>
      </c>
      <c r="R151" s="28" t="n">
        <f aca="false">IF($Q151="OK",1,0)</f>
        <v>0</v>
      </c>
      <c r="S151" s="26" t="str">
        <f aca="false">IF($C151="","",IF($O151=0,"A COMPLETER : "&amp;IF($B151="","DATE; ","")&amp;IF($D151="","LOT INTERNE; ","")&amp;IF(NOT(ISNUMBER($G151)),"QUANTITE; ",IF(AND($C151="AJUSTEMENT",$G151=0),"QUANTITE &lt;&gt; 0; ",IF(AND($C151&lt;&gt;"AJUSTEMENT",$G151&lt;=0),"QUANTITE &gt; 0; ","")))&amp;IF(AND($C151="AJUSTEMENT",$H151=""),"MOTIF; ","")&amp;IF(AND(OR($C151="TRANSFERT",$C151="CONSOMMATION"),$E151=""),"EMPL. SOURCE; ","")&amp;IF(AND($C151&lt;&gt;"CONSOMMATION",$F151=""),"EMPL. DESTINATION; ","")&amp;IF(AND($C151="TRANSFERT",$E151&lt;&gt;"",$E151=$F151),"SOURCE = DESTINATION; ",""),IF($Q151="EMPLACEMENT INCOHERENT","Le lot "&amp;$D151&amp;" n'existe pas sur cet emplacement (stock 0). Verifier l'emplacement.",IF($Q151="STOCK INSUFFISANT","Disponible avant operation : "&amp;TEXT($P151,"#,##0.00")&amp;" kg. Ligne NON comptee en stock.",IF(COUNTIFS($B$5:$B$304,$B151,$C$5:$C$304,$C151,$D$5:$D$304,$D151,$G$5:$G$304,$G151)&gt;1,"Doublon possible (meme date, type, lot et quantite).",IF($K151="LOT NON REFERENCE","Creer d'abord la fiche du lot dans l'onglet LOTS.",""))))))</f>
        <v/>
      </c>
    </row>
    <row r="152" customFormat="false" ht="15" hidden="false" customHeight="false" outlineLevel="0" collapsed="false">
      <c r="A152" s="26" t="str">
        <f aca="false">IF($C152="","","OP-"&amp;TEXT(ROW()-4,"000"))</f>
        <v/>
      </c>
      <c r="B152" s="25"/>
      <c r="C152" s="24"/>
      <c r="D152" s="24"/>
      <c r="E152" s="24"/>
      <c r="F152" s="24"/>
      <c r="G152" s="29"/>
      <c r="H152" s="24"/>
      <c r="I152" s="24"/>
      <c r="J152" s="26" t="str">
        <f aca="false">IF($D152="","",IFERROR(INDEX(LOT_EXTE,MATCH($D152,LOT_KEY,0)),""))</f>
        <v/>
      </c>
      <c r="K152" s="26" t="str">
        <f aca="false">IF($D152="","",IFERROR(INDEX(LOT_PRODE,MATCH($D152,LOT_KEY,0)),"LOT NON REFERENCE"))</f>
        <v/>
      </c>
      <c r="L152" s="26" t="str">
        <f aca="false">IF($D152="","",IFERROR(INDEX(LOT_FOURNE,MATCH($D152,LOT_KEY,0)),""))</f>
        <v/>
      </c>
      <c r="M152" s="26" t="str">
        <f aca="false">IF($E152="","",IFERROR(INDEX(EMPL_CLASSE,MATCH($E152,EMPL_KEY,0)),"?"))</f>
        <v/>
      </c>
      <c r="N152" s="26" t="str">
        <f aca="false">IF($F152="","",IFERROR(INDEX(EMPL_CLASSE,MATCH($F152,EMPL_KEY,0)),"?"))</f>
        <v/>
      </c>
      <c r="O152" s="28" t="n">
        <f aca="false">IF($C152="",0,IF(OR($B152="",$D152=""),0,IF($C152="AJUSTEMENT",IF(OR(NOT(ISNUMBER($G152)),$G152=0,$F152="",$H152=""),0,1),IF(OR(NOT(ISNUMBER($G152)),$G152&lt;=0),0,IF($C152="RECEPTION",IF($F152="",0,1),IF($C152="CONSOMMATION",IF($E152="",0,1),IF(OR($E152="",$F152="",$E152=$F152),0,1)))))))</f>
        <v>0</v>
      </c>
      <c r="P152" s="27" t="str">
        <f aca="false">IF(OR($O152=0,$C152="RECEPTION"),"",IF($C152="AJUSTEMENT",IF($G152&gt;0,"",SUMIFS(MVT_BRUT,MVT_LOT,$D152,MVT_EMPL,$F152)-$G152),SUMIFS(MVT_BRUT,MVT_LOT,$D152,MVT_EMPL,$E152)+$G152))</f>
        <v/>
      </c>
      <c r="Q152" s="26" t="str">
        <f aca="false">IF($C152="","",IF($O152=0,"DONNEES MANQUANTES",IF($C152="RECEPTION","OK",IF(AND($C152="AJUSTEMENT",$G152&gt;0),"OK",IF($P152&lt;=0,"EMPLACEMENT INCOHERENT",IF(ABS($G152)&gt;$P152+0.001,"STOCK INSUFFISANT","OK"))))))</f>
        <v/>
      </c>
      <c r="R152" s="28" t="n">
        <f aca="false">IF($Q152="OK",1,0)</f>
        <v>0</v>
      </c>
      <c r="S152" s="26" t="str">
        <f aca="false">IF($C152="","",IF($O152=0,"A COMPLETER : "&amp;IF($B152="","DATE; ","")&amp;IF($D152="","LOT INTERNE; ","")&amp;IF(NOT(ISNUMBER($G152)),"QUANTITE; ",IF(AND($C152="AJUSTEMENT",$G152=0),"QUANTITE &lt;&gt; 0; ",IF(AND($C152&lt;&gt;"AJUSTEMENT",$G152&lt;=0),"QUANTITE &gt; 0; ","")))&amp;IF(AND($C152="AJUSTEMENT",$H152=""),"MOTIF; ","")&amp;IF(AND(OR($C152="TRANSFERT",$C152="CONSOMMATION"),$E152=""),"EMPL. SOURCE; ","")&amp;IF(AND($C152&lt;&gt;"CONSOMMATION",$F152=""),"EMPL. DESTINATION; ","")&amp;IF(AND($C152="TRANSFERT",$E152&lt;&gt;"",$E152=$F152),"SOURCE = DESTINATION; ",""),IF($Q152="EMPLACEMENT INCOHERENT","Le lot "&amp;$D152&amp;" n'existe pas sur cet emplacement (stock 0). Verifier l'emplacement.",IF($Q152="STOCK INSUFFISANT","Disponible avant operation : "&amp;TEXT($P152,"#,##0.00")&amp;" kg. Ligne NON comptee en stock.",IF(COUNTIFS($B$5:$B$304,$B152,$C$5:$C$304,$C152,$D$5:$D$304,$D152,$G$5:$G$304,$G152)&gt;1,"Doublon possible (meme date, type, lot et quantite).",IF($K152="LOT NON REFERENCE","Creer d'abord la fiche du lot dans l'onglet LOTS.",""))))))</f>
        <v/>
      </c>
    </row>
    <row r="153" customFormat="false" ht="15" hidden="false" customHeight="false" outlineLevel="0" collapsed="false">
      <c r="A153" s="26" t="str">
        <f aca="false">IF($C153="","","OP-"&amp;TEXT(ROW()-4,"000"))</f>
        <v/>
      </c>
      <c r="B153" s="25"/>
      <c r="C153" s="24"/>
      <c r="D153" s="24"/>
      <c r="E153" s="24"/>
      <c r="F153" s="24"/>
      <c r="G153" s="29"/>
      <c r="H153" s="24"/>
      <c r="I153" s="24"/>
      <c r="J153" s="26" t="str">
        <f aca="false">IF($D153="","",IFERROR(INDEX(LOT_EXTE,MATCH($D153,LOT_KEY,0)),""))</f>
        <v/>
      </c>
      <c r="K153" s="26" t="str">
        <f aca="false">IF($D153="","",IFERROR(INDEX(LOT_PRODE,MATCH($D153,LOT_KEY,0)),"LOT NON REFERENCE"))</f>
        <v/>
      </c>
      <c r="L153" s="26" t="str">
        <f aca="false">IF($D153="","",IFERROR(INDEX(LOT_FOURNE,MATCH($D153,LOT_KEY,0)),""))</f>
        <v/>
      </c>
      <c r="M153" s="26" t="str">
        <f aca="false">IF($E153="","",IFERROR(INDEX(EMPL_CLASSE,MATCH($E153,EMPL_KEY,0)),"?"))</f>
        <v/>
      </c>
      <c r="N153" s="26" t="str">
        <f aca="false">IF($F153="","",IFERROR(INDEX(EMPL_CLASSE,MATCH($F153,EMPL_KEY,0)),"?"))</f>
        <v/>
      </c>
      <c r="O153" s="28" t="n">
        <f aca="false">IF($C153="",0,IF(OR($B153="",$D153=""),0,IF($C153="AJUSTEMENT",IF(OR(NOT(ISNUMBER($G153)),$G153=0,$F153="",$H153=""),0,1),IF(OR(NOT(ISNUMBER($G153)),$G153&lt;=0),0,IF($C153="RECEPTION",IF($F153="",0,1),IF($C153="CONSOMMATION",IF($E153="",0,1),IF(OR($E153="",$F153="",$E153=$F153),0,1)))))))</f>
        <v>0</v>
      </c>
      <c r="P153" s="27" t="str">
        <f aca="false">IF(OR($O153=0,$C153="RECEPTION"),"",IF($C153="AJUSTEMENT",IF($G153&gt;0,"",SUMIFS(MVT_BRUT,MVT_LOT,$D153,MVT_EMPL,$F153)-$G153),SUMIFS(MVT_BRUT,MVT_LOT,$D153,MVT_EMPL,$E153)+$G153))</f>
        <v/>
      </c>
      <c r="Q153" s="26" t="str">
        <f aca="false">IF($C153="","",IF($O153=0,"DONNEES MANQUANTES",IF($C153="RECEPTION","OK",IF(AND($C153="AJUSTEMENT",$G153&gt;0),"OK",IF($P153&lt;=0,"EMPLACEMENT INCOHERENT",IF(ABS($G153)&gt;$P153+0.001,"STOCK INSUFFISANT","OK"))))))</f>
        <v/>
      </c>
      <c r="R153" s="28" t="n">
        <f aca="false">IF($Q153="OK",1,0)</f>
        <v>0</v>
      </c>
      <c r="S153" s="26" t="str">
        <f aca="false">IF($C153="","",IF($O153=0,"A COMPLETER : "&amp;IF($B153="","DATE; ","")&amp;IF($D153="","LOT INTERNE; ","")&amp;IF(NOT(ISNUMBER($G153)),"QUANTITE; ",IF(AND($C153="AJUSTEMENT",$G153=0),"QUANTITE &lt;&gt; 0; ",IF(AND($C153&lt;&gt;"AJUSTEMENT",$G153&lt;=0),"QUANTITE &gt; 0; ","")))&amp;IF(AND($C153="AJUSTEMENT",$H153=""),"MOTIF; ","")&amp;IF(AND(OR($C153="TRANSFERT",$C153="CONSOMMATION"),$E153=""),"EMPL. SOURCE; ","")&amp;IF(AND($C153&lt;&gt;"CONSOMMATION",$F153=""),"EMPL. DESTINATION; ","")&amp;IF(AND($C153="TRANSFERT",$E153&lt;&gt;"",$E153=$F153),"SOURCE = DESTINATION; ",""),IF($Q153="EMPLACEMENT INCOHERENT","Le lot "&amp;$D153&amp;" n'existe pas sur cet emplacement (stock 0). Verifier l'emplacement.",IF($Q153="STOCK INSUFFISANT","Disponible avant operation : "&amp;TEXT($P153,"#,##0.00")&amp;" kg. Ligne NON comptee en stock.",IF(COUNTIFS($B$5:$B$304,$B153,$C$5:$C$304,$C153,$D$5:$D$304,$D153,$G$5:$G$304,$G153)&gt;1,"Doublon possible (meme date, type, lot et quantite).",IF($K153="LOT NON REFERENCE","Creer d'abord la fiche du lot dans l'onglet LOTS.",""))))))</f>
        <v/>
      </c>
    </row>
    <row r="154" customFormat="false" ht="15" hidden="false" customHeight="false" outlineLevel="0" collapsed="false">
      <c r="A154" s="26" t="str">
        <f aca="false">IF($C154="","","OP-"&amp;TEXT(ROW()-4,"000"))</f>
        <v/>
      </c>
      <c r="B154" s="25"/>
      <c r="C154" s="24"/>
      <c r="D154" s="24"/>
      <c r="E154" s="24"/>
      <c r="F154" s="24"/>
      <c r="G154" s="29"/>
      <c r="H154" s="24"/>
      <c r="I154" s="24"/>
      <c r="J154" s="26" t="str">
        <f aca="false">IF($D154="","",IFERROR(INDEX(LOT_EXTE,MATCH($D154,LOT_KEY,0)),""))</f>
        <v/>
      </c>
      <c r="K154" s="26" t="str">
        <f aca="false">IF($D154="","",IFERROR(INDEX(LOT_PRODE,MATCH($D154,LOT_KEY,0)),"LOT NON REFERENCE"))</f>
        <v/>
      </c>
      <c r="L154" s="26" t="str">
        <f aca="false">IF($D154="","",IFERROR(INDEX(LOT_FOURNE,MATCH($D154,LOT_KEY,0)),""))</f>
        <v/>
      </c>
      <c r="M154" s="26" t="str">
        <f aca="false">IF($E154="","",IFERROR(INDEX(EMPL_CLASSE,MATCH($E154,EMPL_KEY,0)),"?"))</f>
        <v/>
      </c>
      <c r="N154" s="26" t="str">
        <f aca="false">IF($F154="","",IFERROR(INDEX(EMPL_CLASSE,MATCH($F154,EMPL_KEY,0)),"?"))</f>
        <v/>
      </c>
      <c r="O154" s="28" t="n">
        <f aca="false">IF($C154="",0,IF(OR($B154="",$D154=""),0,IF($C154="AJUSTEMENT",IF(OR(NOT(ISNUMBER($G154)),$G154=0,$F154="",$H154=""),0,1),IF(OR(NOT(ISNUMBER($G154)),$G154&lt;=0),0,IF($C154="RECEPTION",IF($F154="",0,1),IF($C154="CONSOMMATION",IF($E154="",0,1),IF(OR($E154="",$F154="",$E154=$F154),0,1)))))))</f>
        <v>0</v>
      </c>
      <c r="P154" s="27" t="str">
        <f aca="false">IF(OR($O154=0,$C154="RECEPTION"),"",IF($C154="AJUSTEMENT",IF($G154&gt;0,"",SUMIFS(MVT_BRUT,MVT_LOT,$D154,MVT_EMPL,$F154)-$G154),SUMIFS(MVT_BRUT,MVT_LOT,$D154,MVT_EMPL,$E154)+$G154))</f>
        <v/>
      </c>
      <c r="Q154" s="26" t="str">
        <f aca="false">IF($C154="","",IF($O154=0,"DONNEES MANQUANTES",IF($C154="RECEPTION","OK",IF(AND($C154="AJUSTEMENT",$G154&gt;0),"OK",IF($P154&lt;=0,"EMPLACEMENT INCOHERENT",IF(ABS($G154)&gt;$P154+0.001,"STOCK INSUFFISANT","OK"))))))</f>
        <v/>
      </c>
      <c r="R154" s="28" t="n">
        <f aca="false">IF($Q154="OK",1,0)</f>
        <v>0</v>
      </c>
      <c r="S154" s="26" t="str">
        <f aca="false">IF($C154="","",IF($O154=0,"A COMPLETER : "&amp;IF($B154="","DATE; ","")&amp;IF($D154="","LOT INTERNE; ","")&amp;IF(NOT(ISNUMBER($G154)),"QUANTITE; ",IF(AND($C154="AJUSTEMENT",$G154=0),"QUANTITE &lt;&gt; 0; ",IF(AND($C154&lt;&gt;"AJUSTEMENT",$G154&lt;=0),"QUANTITE &gt; 0; ","")))&amp;IF(AND($C154="AJUSTEMENT",$H154=""),"MOTIF; ","")&amp;IF(AND(OR($C154="TRANSFERT",$C154="CONSOMMATION"),$E154=""),"EMPL. SOURCE; ","")&amp;IF(AND($C154&lt;&gt;"CONSOMMATION",$F154=""),"EMPL. DESTINATION; ","")&amp;IF(AND($C154="TRANSFERT",$E154&lt;&gt;"",$E154=$F154),"SOURCE = DESTINATION; ",""),IF($Q154="EMPLACEMENT INCOHERENT","Le lot "&amp;$D154&amp;" n'existe pas sur cet emplacement (stock 0). Verifier l'emplacement.",IF($Q154="STOCK INSUFFISANT","Disponible avant operation : "&amp;TEXT($P154,"#,##0.00")&amp;" kg. Ligne NON comptee en stock.",IF(COUNTIFS($B$5:$B$304,$B154,$C$5:$C$304,$C154,$D$5:$D$304,$D154,$G$5:$G$304,$G154)&gt;1,"Doublon possible (meme date, type, lot et quantite).",IF($K154="LOT NON REFERENCE","Creer d'abord la fiche du lot dans l'onglet LOTS.",""))))))</f>
        <v/>
      </c>
    </row>
    <row r="155" customFormat="false" ht="15" hidden="false" customHeight="false" outlineLevel="0" collapsed="false">
      <c r="A155" s="26" t="str">
        <f aca="false">IF($C155="","","OP-"&amp;TEXT(ROW()-4,"000"))</f>
        <v/>
      </c>
      <c r="B155" s="25"/>
      <c r="C155" s="24"/>
      <c r="D155" s="24"/>
      <c r="E155" s="24"/>
      <c r="F155" s="24"/>
      <c r="G155" s="29"/>
      <c r="H155" s="24"/>
      <c r="I155" s="24"/>
      <c r="J155" s="26" t="str">
        <f aca="false">IF($D155="","",IFERROR(INDEX(LOT_EXTE,MATCH($D155,LOT_KEY,0)),""))</f>
        <v/>
      </c>
      <c r="K155" s="26" t="str">
        <f aca="false">IF($D155="","",IFERROR(INDEX(LOT_PRODE,MATCH($D155,LOT_KEY,0)),"LOT NON REFERENCE"))</f>
        <v/>
      </c>
      <c r="L155" s="26" t="str">
        <f aca="false">IF($D155="","",IFERROR(INDEX(LOT_FOURNE,MATCH($D155,LOT_KEY,0)),""))</f>
        <v/>
      </c>
      <c r="M155" s="26" t="str">
        <f aca="false">IF($E155="","",IFERROR(INDEX(EMPL_CLASSE,MATCH($E155,EMPL_KEY,0)),"?"))</f>
        <v/>
      </c>
      <c r="N155" s="26" t="str">
        <f aca="false">IF($F155="","",IFERROR(INDEX(EMPL_CLASSE,MATCH($F155,EMPL_KEY,0)),"?"))</f>
        <v/>
      </c>
      <c r="O155" s="28" t="n">
        <f aca="false">IF($C155="",0,IF(OR($B155="",$D155=""),0,IF($C155="AJUSTEMENT",IF(OR(NOT(ISNUMBER($G155)),$G155=0,$F155="",$H155=""),0,1),IF(OR(NOT(ISNUMBER($G155)),$G155&lt;=0),0,IF($C155="RECEPTION",IF($F155="",0,1),IF($C155="CONSOMMATION",IF($E155="",0,1),IF(OR($E155="",$F155="",$E155=$F155),0,1)))))))</f>
        <v>0</v>
      </c>
      <c r="P155" s="27" t="str">
        <f aca="false">IF(OR($O155=0,$C155="RECEPTION"),"",IF($C155="AJUSTEMENT",IF($G155&gt;0,"",SUMIFS(MVT_BRUT,MVT_LOT,$D155,MVT_EMPL,$F155)-$G155),SUMIFS(MVT_BRUT,MVT_LOT,$D155,MVT_EMPL,$E155)+$G155))</f>
        <v/>
      </c>
      <c r="Q155" s="26" t="str">
        <f aca="false">IF($C155="","",IF($O155=0,"DONNEES MANQUANTES",IF($C155="RECEPTION","OK",IF(AND($C155="AJUSTEMENT",$G155&gt;0),"OK",IF($P155&lt;=0,"EMPLACEMENT INCOHERENT",IF(ABS($G155)&gt;$P155+0.001,"STOCK INSUFFISANT","OK"))))))</f>
        <v/>
      </c>
      <c r="R155" s="28" t="n">
        <f aca="false">IF($Q155="OK",1,0)</f>
        <v>0</v>
      </c>
      <c r="S155" s="26" t="str">
        <f aca="false">IF($C155="","",IF($O155=0,"A COMPLETER : "&amp;IF($B155="","DATE; ","")&amp;IF($D155="","LOT INTERNE; ","")&amp;IF(NOT(ISNUMBER($G155)),"QUANTITE; ",IF(AND($C155="AJUSTEMENT",$G155=0),"QUANTITE &lt;&gt; 0; ",IF(AND($C155&lt;&gt;"AJUSTEMENT",$G155&lt;=0),"QUANTITE &gt; 0; ","")))&amp;IF(AND($C155="AJUSTEMENT",$H155=""),"MOTIF; ","")&amp;IF(AND(OR($C155="TRANSFERT",$C155="CONSOMMATION"),$E155=""),"EMPL. SOURCE; ","")&amp;IF(AND($C155&lt;&gt;"CONSOMMATION",$F155=""),"EMPL. DESTINATION; ","")&amp;IF(AND($C155="TRANSFERT",$E155&lt;&gt;"",$E155=$F155),"SOURCE = DESTINATION; ",""),IF($Q155="EMPLACEMENT INCOHERENT","Le lot "&amp;$D155&amp;" n'existe pas sur cet emplacement (stock 0). Verifier l'emplacement.",IF($Q155="STOCK INSUFFISANT","Disponible avant operation : "&amp;TEXT($P155,"#,##0.00")&amp;" kg. Ligne NON comptee en stock.",IF(COUNTIFS($B$5:$B$304,$B155,$C$5:$C$304,$C155,$D$5:$D$304,$D155,$G$5:$G$304,$G155)&gt;1,"Doublon possible (meme date, type, lot et quantite).",IF($K155="LOT NON REFERENCE","Creer d'abord la fiche du lot dans l'onglet LOTS.",""))))))</f>
        <v/>
      </c>
    </row>
    <row r="156" customFormat="false" ht="15" hidden="false" customHeight="false" outlineLevel="0" collapsed="false">
      <c r="A156" s="26" t="str">
        <f aca="false">IF($C156="","","OP-"&amp;TEXT(ROW()-4,"000"))</f>
        <v/>
      </c>
      <c r="B156" s="25"/>
      <c r="C156" s="24"/>
      <c r="D156" s="24"/>
      <c r="E156" s="24"/>
      <c r="F156" s="24"/>
      <c r="G156" s="29"/>
      <c r="H156" s="24"/>
      <c r="I156" s="24"/>
      <c r="J156" s="26" t="str">
        <f aca="false">IF($D156="","",IFERROR(INDEX(LOT_EXTE,MATCH($D156,LOT_KEY,0)),""))</f>
        <v/>
      </c>
      <c r="K156" s="26" t="str">
        <f aca="false">IF($D156="","",IFERROR(INDEX(LOT_PRODE,MATCH($D156,LOT_KEY,0)),"LOT NON REFERENCE"))</f>
        <v/>
      </c>
      <c r="L156" s="26" t="str">
        <f aca="false">IF($D156="","",IFERROR(INDEX(LOT_FOURNE,MATCH($D156,LOT_KEY,0)),""))</f>
        <v/>
      </c>
      <c r="M156" s="26" t="str">
        <f aca="false">IF($E156="","",IFERROR(INDEX(EMPL_CLASSE,MATCH($E156,EMPL_KEY,0)),"?"))</f>
        <v/>
      </c>
      <c r="N156" s="26" t="str">
        <f aca="false">IF($F156="","",IFERROR(INDEX(EMPL_CLASSE,MATCH($F156,EMPL_KEY,0)),"?"))</f>
        <v/>
      </c>
      <c r="O156" s="28" t="n">
        <f aca="false">IF($C156="",0,IF(OR($B156="",$D156=""),0,IF($C156="AJUSTEMENT",IF(OR(NOT(ISNUMBER($G156)),$G156=0,$F156="",$H156=""),0,1),IF(OR(NOT(ISNUMBER($G156)),$G156&lt;=0),0,IF($C156="RECEPTION",IF($F156="",0,1),IF($C156="CONSOMMATION",IF($E156="",0,1),IF(OR($E156="",$F156="",$E156=$F156),0,1)))))))</f>
        <v>0</v>
      </c>
      <c r="P156" s="27" t="str">
        <f aca="false">IF(OR($O156=0,$C156="RECEPTION"),"",IF($C156="AJUSTEMENT",IF($G156&gt;0,"",SUMIFS(MVT_BRUT,MVT_LOT,$D156,MVT_EMPL,$F156)-$G156),SUMIFS(MVT_BRUT,MVT_LOT,$D156,MVT_EMPL,$E156)+$G156))</f>
        <v/>
      </c>
      <c r="Q156" s="26" t="str">
        <f aca="false">IF($C156="","",IF($O156=0,"DONNEES MANQUANTES",IF($C156="RECEPTION","OK",IF(AND($C156="AJUSTEMENT",$G156&gt;0),"OK",IF($P156&lt;=0,"EMPLACEMENT INCOHERENT",IF(ABS($G156)&gt;$P156+0.001,"STOCK INSUFFISANT","OK"))))))</f>
        <v/>
      </c>
      <c r="R156" s="28" t="n">
        <f aca="false">IF($Q156="OK",1,0)</f>
        <v>0</v>
      </c>
      <c r="S156" s="26" t="str">
        <f aca="false">IF($C156="","",IF($O156=0,"A COMPLETER : "&amp;IF($B156="","DATE; ","")&amp;IF($D156="","LOT INTERNE; ","")&amp;IF(NOT(ISNUMBER($G156)),"QUANTITE; ",IF(AND($C156="AJUSTEMENT",$G156=0),"QUANTITE &lt;&gt; 0; ",IF(AND($C156&lt;&gt;"AJUSTEMENT",$G156&lt;=0),"QUANTITE &gt; 0; ","")))&amp;IF(AND($C156="AJUSTEMENT",$H156=""),"MOTIF; ","")&amp;IF(AND(OR($C156="TRANSFERT",$C156="CONSOMMATION"),$E156=""),"EMPL. SOURCE; ","")&amp;IF(AND($C156&lt;&gt;"CONSOMMATION",$F156=""),"EMPL. DESTINATION; ","")&amp;IF(AND($C156="TRANSFERT",$E156&lt;&gt;"",$E156=$F156),"SOURCE = DESTINATION; ",""),IF($Q156="EMPLACEMENT INCOHERENT","Le lot "&amp;$D156&amp;" n'existe pas sur cet emplacement (stock 0). Verifier l'emplacement.",IF($Q156="STOCK INSUFFISANT","Disponible avant operation : "&amp;TEXT($P156,"#,##0.00")&amp;" kg. Ligne NON comptee en stock.",IF(COUNTIFS($B$5:$B$304,$B156,$C$5:$C$304,$C156,$D$5:$D$304,$D156,$G$5:$G$304,$G156)&gt;1,"Doublon possible (meme date, type, lot et quantite).",IF($K156="LOT NON REFERENCE","Creer d'abord la fiche du lot dans l'onglet LOTS.",""))))))</f>
        <v/>
      </c>
    </row>
    <row r="157" customFormat="false" ht="15" hidden="false" customHeight="false" outlineLevel="0" collapsed="false">
      <c r="A157" s="26" t="str">
        <f aca="false">IF($C157="","","OP-"&amp;TEXT(ROW()-4,"000"))</f>
        <v/>
      </c>
      <c r="B157" s="25"/>
      <c r="C157" s="24"/>
      <c r="D157" s="24"/>
      <c r="E157" s="24"/>
      <c r="F157" s="24"/>
      <c r="G157" s="29"/>
      <c r="H157" s="24"/>
      <c r="I157" s="24"/>
      <c r="J157" s="26" t="str">
        <f aca="false">IF($D157="","",IFERROR(INDEX(LOT_EXTE,MATCH($D157,LOT_KEY,0)),""))</f>
        <v/>
      </c>
      <c r="K157" s="26" t="str">
        <f aca="false">IF($D157="","",IFERROR(INDEX(LOT_PRODE,MATCH($D157,LOT_KEY,0)),"LOT NON REFERENCE"))</f>
        <v/>
      </c>
      <c r="L157" s="26" t="str">
        <f aca="false">IF($D157="","",IFERROR(INDEX(LOT_FOURNE,MATCH($D157,LOT_KEY,0)),""))</f>
        <v/>
      </c>
      <c r="M157" s="26" t="str">
        <f aca="false">IF($E157="","",IFERROR(INDEX(EMPL_CLASSE,MATCH($E157,EMPL_KEY,0)),"?"))</f>
        <v/>
      </c>
      <c r="N157" s="26" t="str">
        <f aca="false">IF($F157="","",IFERROR(INDEX(EMPL_CLASSE,MATCH($F157,EMPL_KEY,0)),"?"))</f>
        <v/>
      </c>
      <c r="O157" s="28" t="n">
        <f aca="false">IF($C157="",0,IF(OR($B157="",$D157=""),0,IF($C157="AJUSTEMENT",IF(OR(NOT(ISNUMBER($G157)),$G157=0,$F157="",$H157=""),0,1),IF(OR(NOT(ISNUMBER($G157)),$G157&lt;=0),0,IF($C157="RECEPTION",IF($F157="",0,1),IF($C157="CONSOMMATION",IF($E157="",0,1),IF(OR($E157="",$F157="",$E157=$F157),0,1)))))))</f>
        <v>0</v>
      </c>
      <c r="P157" s="27" t="str">
        <f aca="false">IF(OR($O157=0,$C157="RECEPTION"),"",IF($C157="AJUSTEMENT",IF($G157&gt;0,"",SUMIFS(MVT_BRUT,MVT_LOT,$D157,MVT_EMPL,$F157)-$G157),SUMIFS(MVT_BRUT,MVT_LOT,$D157,MVT_EMPL,$E157)+$G157))</f>
        <v/>
      </c>
      <c r="Q157" s="26" t="str">
        <f aca="false">IF($C157="","",IF($O157=0,"DONNEES MANQUANTES",IF($C157="RECEPTION","OK",IF(AND($C157="AJUSTEMENT",$G157&gt;0),"OK",IF($P157&lt;=0,"EMPLACEMENT INCOHERENT",IF(ABS($G157)&gt;$P157+0.001,"STOCK INSUFFISANT","OK"))))))</f>
        <v/>
      </c>
      <c r="R157" s="28" t="n">
        <f aca="false">IF($Q157="OK",1,0)</f>
        <v>0</v>
      </c>
      <c r="S157" s="26" t="str">
        <f aca="false">IF($C157="","",IF($O157=0,"A COMPLETER : "&amp;IF($B157="","DATE; ","")&amp;IF($D157="","LOT INTERNE; ","")&amp;IF(NOT(ISNUMBER($G157)),"QUANTITE; ",IF(AND($C157="AJUSTEMENT",$G157=0),"QUANTITE &lt;&gt; 0; ",IF(AND($C157&lt;&gt;"AJUSTEMENT",$G157&lt;=0),"QUANTITE &gt; 0; ","")))&amp;IF(AND($C157="AJUSTEMENT",$H157=""),"MOTIF; ","")&amp;IF(AND(OR($C157="TRANSFERT",$C157="CONSOMMATION"),$E157=""),"EMPL. SOURCE; ","")&amp;IF(AND($C157&lt;&gt;"CONSOMMATION",$F157=""),"EMPL. DESTINATION; ","")&amp;IF(AND($C157="TRANSFERT",$E157&lt;&gt;"",$E157=$F157),"SOURCE = DESTINATION; ",""),IF($Q157="EMPLACEMENT INCOHERENT","Le lot "&amp;$D157&amp;" n'existe pas sur cet emplacement (stock 0). Verifier l'emplacement.",IF($Q157="STOCK INSUFFISANT","Disponible avant operation : "&amp;TEXT($P157,"#,##0.00")&amp;" kg. Ligne NON comptee en stock.",IF(COUNTIFS($B$5:$B$304,$B157,$C$5:$C$304,$C157,$D$5:$D$304,$D157,$G$5:$G$304,$G157)&gt;1,"Doublon possible (meme date, type, lot et quantite).",IF($K157="LOT NON REFERENCE","Creer d'abord la fiche du lot dans l'onglet LOTS.",""))))))</f>
        <v/>
      </c>
    </row>
    <row r="158" customFormat="false" ht="15" hidden="false" customHeight="false" outlineLevel="0" collapsed="false">
      <c r="A158" s="26" t="str">
        <f aca="false">IF($C158="","","OP-"&amp;TEXT(ROW()-4,"000"))</f>
        <v/>
      </c>
      <c r="B158" s="25"/>
      <c r="C158" s="24"/>
      <c r="D158" s="24"/>
      <c r="E158" s="24"/>
      <c r="F158" s="24"/>
      <c r="G158" s="29"/>
      <c r="H158" s="24"/>
      <c r="I158" s="24"/>
      <c r="J158" s="26" t="str">
        <f aca="false">IF($D158="","",IFERROR(INDEX(LOT_EXTE,MATCH($D158,LOT_KEY,0)),""))</f>
        <v/>
      </c>
      <c r="K158" s="26" t="str">
        <f aca="false">IF($D158="","",IFERROR(INDEX(LOT_PRODE,MATCH($D158,LOT_KEY,0)),"LOT NON REFERENCE"))</f>
        <v/>
      </c>
      <c r="L158" s="26" t="str">
        <f aca="false">IF($D158="","",IFERROR(INDEX(LOT_FOURNE,MATCH($D158,LOT_KEY,0)),""))</f>
        <v/>
      </c>
      <c r="M158" s="26" t="str">
        <f aca="false">IF($E158="","",IFERROR(INDEX(EMPL_CLASSE,MATCH($E158,EMPL_KEY,0)),"?"))</f>
        <v/>
      </c>
      <c r="N158" s="26" t="str">
        <f aca="false">IF($F158="","",IFERROR(INDEX(EMPL_CLASSE,MATCH($F158,EMPL_KEY,0)),"?"))</f>
        <v/>
      </c>
      <c r="O158" s="28" t="n">
        <f aca="false">IF($C158="",0,IF(OR($B158="",$D158=""),0,IF($C158="AJUSTEMENT",IF(OR(NOT(ISNUMBER($G158)),$G158=0,$F158="",$H158=""),0,1),IF(OR(NOT(ISNUMBER($G158)),$G158&lt;=0),0,IF($C158="RECEPTION",IF($F158="",0,1),IF($C158="CONSOMMATION",IF($E158="",0,1),IF(OR($E158="",$F158="",$E158=$F158),0,1)))))))</f>
        <v>0</v>
      </c>
      <c r="P158" s="27" t="str">
        <f aca="false">IF(OR($O158=0,$C158="RECEPTION"),"",IF($C158="AJUSTEMENT",IF($G158&gt;0,"",SUMIFS(MVT_BRUT,MVT_LOT,$D158,MVT_EMPL,$F158)-$G158),SUMIFS(MVT_BRUT,MVT_LOT,$D158,MVT_EMPL,$E158)+$G158))</f>
        <v/>
      </c>
      <c r="Q158" s="26" t="str">
        <f aca="false">IF($C158="","",IF($O158=0,"DONNEES MANQUANTES",IF($C158="RECEPTION","OK",IF(AND($C158="AJUSTEMENT",$G158&gt;0),"OK",IF($P158&lt;=0,"EMPLACEMENT INCOHERENT",IF(ABS($G158)&gt;$P158+0.001,"STOCK INSUFFISANT","OK"))))))</f>
        <v/>
      </c>
      <c r="R158" s="28" t="n">
        <f aca="false">IF($Q158="OK",1,0)</f>
        <v>0</v>
      </c>
      <c r="S158" s="26" t="str">
        <f aca="false">IF($C158="","",IF($O158=0,"A COMPLETER : "&amp;IF($B158="","DATE; ","")&amp;IF($D158="","LOT INTERNE; ","")&amp;IF(NOT(ISNUMBER($G158)),"QUANTITE; ",IF(AND($C158="AJUSTEMENT",$G158=0),"QUANTITE &lt;&gt; 0; ",IF(AND($C158&lt;&gt;"AJUSTEMENT",$G158&lt;=0),"QUANTITE &gt; 0; ","")))&amp;IF(AND($C158="AJUSTEMENT",$H158=""),"MOTIF; ","")&amp;IF(AND(OR($C158="TRANSFERT",$C158="CONSOMMATION"),$E158=""),"EMPL. SOURCE; ","")&amp;IF(AND($C158&lt;&gt;"CONSOMMATION",$F158=""),"EMPL. DESTINATION; ","")&amp;IF(AND($C158="TRANSFERT",$E158&lt;&gt;"",$E158=$F158),"SOURCE = DESTINATION; ",""),IF($Q158="EMPLACEMENT INCOHERENT","Le lot "&amp;$D158&amp;" n'existe pas sur cet emplacement (stock 0). Verifier l'emplacement.",IF($Q158="STOCK INSUFFISANT","Disponible avant operation : "&amp;TEXT($P158,"#,##0.00")&amp;" kg. Ligne NON comptee en stock.",IF(COUNTIFS($B$5:$B$304,$B158,$C$5:$C$304,$C158,$D$5:$D$304,$D158,$G$5:$G$304,$G158)&gt;1,"Doublon possible (meme date, type, lot et quantite).",IF($K158="LOT NON REFERENCE","Creer d'abord la fiche du lot dans l'onglet LOTS.",""))))))</f>
        <v/>
      </c>
    </row>
    <row r="159" customFormat="false" ht="15" hidden="false" customHeight="false" outlineLevel="0" collapsed="false">
      <c r="A159" s="26" t="str">
        <f aca="false">IF($C159="","","OP-"&amp;TEXT(ROW()-4,"000"))</f>
        <v/>
      </c>
      <c r="B159" s="25"/>
      <c r="C159" s="24"/>
      <c r="D159" s="24"/>
      <c r="E159" s="24"/>
      <c r="F159" s="24"/>
      <c r="G159" s="29"/>
      <c r="H159" s="24"/>
      <c r="I159" s="24"/>
      <c r="J159" s="26" t="str">
        <f aca="false">IF($D159="","",IFERROR(INDEX(LOT_EXTE,MATCH($D159,LOT_KEY,0)),""))</f>
        <v/>
      </c>
      <c r="K159" s="26" t="str">
        <f aca="false">IF($D159="","",IFERROR(INDEX(LOT_PRODE,MATCH($D159,LOT_KEY,0)),"LOT NON REFERENCE"))</f>
        <v/>
      </c>
      <c r="L159" s="26" t="str">
        <f aca="false">IF($D159="","",IFERROR(INDEX(LOT_FOURNE,MATCH($D159,LOT_KEY,0)),""))</f>
        <v/>
      </c>
      <c r="M159" s="26" t="str">
        <f aca="false">IF($E159="","",IFERROR(INDEX(EMPL_CLASSE,MATCH($E159,EMPL_KEY,0)),"?"))</f>
        <v/>
      </c>
      <c r="N159" s="26" t="str">
        <f aca="false">IF($F159="","",IFERROR(INDEX(EMPL_CLASSE,MATCH($F159,EMPL_KEY,0)),"?"))</f>
        <v/>
      </c>
      <c r="O159" s="28" t="n">
        <f aca="false">IF($C159="",0,IF(OR($B159="",$D159=""),0,IF($C159="AJUSTEMENT",IF(OR(NOT(ISNUMBER($G159)),$G159=0,$F159="",$H159=""),0,1),IF(OR(NOT(ISNUMBER($G159)),$G159&lt;=0),0,IF($C159="RECEPTION",IF($F159="",0,1),IF($C159="CONSOMMATION",IF($E159="",0,1),IF(OR($E159="",$F159="",$E159=$F159),0,1)))))))</f>
        <v>0</v>
      </c>
      <c r="P159" s="27" t="str">
        <f aca="false">IF(OR($O159=0,$C159="RECEPTION"),"",IF($C159="AJUSTEMENT",IF($G159&gt;0,"",SUMIFS(MVT_BRUT,MVT_LOT,$D159,MVT_EMPL,$F159)-$G159),SUMIFS(MVT_BRUT,MVT_LOT,$D159,MVT_EMPL,$E159)+$G159))</f>
        <v/>
      </c>
      <c r="Q159" s="26" t="str">
        <f aca="false">IF($C159="","",IF($O159=0,"DONNEES MANQUANTES",IF($C159="RECEPTION","OK",IF(AND($C159="AJUSTEMENT",$G159&gt;0),"OK",IF($P159&lt;=0,"EMPLACEMENT INCOHERENT",IF(ABS($G159)&gt;$P159+0.001,"STOCK INSUFFISANT","OK"))))))</f>
        <v/>
      </c>
      <c r="R159" s="28" t="n">
        <f aca="false">IF($Q159="OK",1,0)</f>
        <v>0</v>
      </c>
      <c r="S159" s="26" t="str">
        <f aca="false">IF($C159="","",IF($O159=0,"A COMPLETER : "&amp;IF($B159="","DATE; ","")&amp;IF($D159="","LOT INTERNE; ","")&amp;IF(NOT(ISNUMBER($G159)),"QUANTITE; ",IF(AND($C159="AJUSTEMENT",$G159=0),"QUANTITE &lt;&gt; 0; ",IF(AND($C159&lt;&gt;"AJUSTEMENT",$G159&lt;=0),"QUANTITE &gt; 0; ","")))&amp;IF(AND($C159="AJUSTEMENT",$H159=""),"MOTIF; ","")&amp;IF(AND(OR($C159="TRANSFERT",$C159="CONSOMMATION"),$E159=""),"EMPL. SOURCE; ","")&amp;IF(AND($C159&lt;&gt;"CONSOMMATION",$F159=""),"EMPL. DESTINATION; ","")&amp;IF(AND($C159="TRANSFERT",$E159&lt;&gt;"",$E159=$F159),"SOURCE = DESTINATION; ",""),IF($Q159="EMPLACEMENT INCOHERENT","Le lot "&amp;$D159&amp;" n'existe pas sur cet emplacement (stock 0). Verifier l'emplacement.",IF($Q159="STOCK INSUFFISANT","Disponible avant operation : "&amp;TEXT($P159,"#,##0.00")&amp;" kg. Ligne NON comptee en stock.",IF(COUNTIFS($B$5:$B$304,$B159,$C$5:$C$304,$C159,$D$5:$D$304,$D159,$G$5:$G$304,$G159)&gt;1,"Doublon possible (meme date, type, lot et quantite).",IF($K159="LOT NON REFERENCE","Creer d'abord la fiche du lot dans l'onglet LOTS.",""))))))</f>
        <v/>
      </c>
    </row>
    <row r="160" customFormat="false" ht="15" hidden="false" customHeight="false" outlineLevel="0" collapsed="false">
      <c r="A160" s="26" t="str">
        <f aca="false">IF($C160="","","OP-"&amp;TEXT(ROW()-4,"000"))</f>
        <v/>
      </c>
      <c r="B160" s="25"/>
      <c r="C160" s="24"/>
      <c r="D160" s="24"/>
      <c r="E160" s="24"/>
      <c r="F160" s="24"/>
      <c r="G160" s="29"/>
      <c r="H160" s="24"/>
      <c r="I160" s="24"/>
      <c r="J160" s="26" t="str">
        <f aca="false">IF($D160="","",IFERROR(INDEX(LOT_EXTE,MATCH($D160,LOT_KEY,0)),""))</f>
        <v/>
      </c>
      <c r="K160" s="26" t="str">
        <f aca="false">IF($D160="","",IFERROR(INDEX(LOT_PRODE,MATCH($D160,LOT_KEY,0)),"LOT NON REFERENCE"))</f>
        <v/>
      </c>
      <c r="L160" s="26" t="str">
        <f aca="false">IF($D160="","",IFERROR(INDEX(LOT_FOURNE,MATCH($D160,LOT_KEY,0)),""))</f>
        <v/>
      </c>
      <c r="M160" s="26" t="str">
        <f aca="false">IF($E160="","",IFERROR(INDEX(EMPL_CLASSE,MATCH($E160,EMPL_KEY,0)),"?"))</f>
        <v/>
      </c>
      <c r="N160" s="26" t="str">
        <f aca="false">IF($F160="","",IFERROR(INDEX(EMPL_CLASSE,MATCH($F160,EMPL_KEY,0)),"?"))</f>
        <v/>
      </c>
      <c r="O160" s="28" t="n">
        <f aca="false">IF($C160="",0,IF(OR($B160="",$D160=""),0,IF($C160="AJUSTEMENT",IF(OR(NOT(ISNUMBER($G160)),$G160=0,$F160="",$H160=""),0,1),IF(OR(NOT(ISNUMBER($G160)),$G160&lt;=0),0,IF($C160="RECEPTION",IF($F160="",0,1),IF($C160="CONSOMMATION",IF($E160="",0,1),IF(OR($E160="",$F160="",$E160=$F160),0,1)))))))</f>
        <v>0</v>
      </c>
      <c r="P160" s="27" t="str">
        <f aca="false">IF(OR($O160=0,$C160="RECEPTION"),"",IF($C160="AJUSTEMENT",IF($G160&gt;0,"",SUMIFS(MVT_BRUT,MVT_LOT,$D160,MVT_EMPL,$F160)-$G160),SUMIFS(MVT_BRUT,MVT_LOT,$D160,MVT_EMPL,$E160)+$G160))</f>
        <v/>
      </c>
      <c r="Q160" s="26" t="str">
        <f aca="false">IF($C160="","",IF($O160=0,"DONNEES MANQUANTES",IF($C160="RECEPTION","OK",IF(AND($C160="AJUSTEMENT",$G160&gt;0),"OK",IF($P160&lt;=0,"EMPLACEMENT INCOHERENT",IF(ABS($G160)&gt;$P160+0.001,"STOCK INSUFFISANT","OK"))))))</f>
        <v/>
      </c>
      <c r="R160" s="28" t="n">
        <f aca="false">IF($Q160="OK",1,0)</f>
        <v>0</v>
      </c>
      <c r="S160" s="26" t="str">
        <f aca="false">IF($C160="","",IF($O160=0,"A COMPLETER : "&amp;IF($B160="","DATE; ","")&amp;IF($D160="","LOT INTERNE; ","")&amp;IF(NOT(ISNUMBER($G160)),"QUANTITE; ",IF(AND($C160="AJUSTEMENT",$G160=0),"QUANTITE &lt;&gt; 0; ",IF(AND($C160&lt;&gt;"AJUSTEMENT",$G160&lt;=0),"QUANTITE &gt; 0; ","")))&amp;IF(AND($C160="AJUSTEMENT",$H160=""),"MOTIF; ","")&amp;IF(AND(OR($C160="TRANSFERT",$C160="CONSOMMATION"),$E160=""),"EMPL. SOURCE; ","")&amp;IF(AND($C160&lt;&gt;"CONSOMMATION",$F160=""),"EMPL. DESTINATION; ","")&amp;IF(AND($C160="TRANSFERT",$E160&lt;&gt;"",$E160=$F160),"SOURCE = DESTINATION; ",""),IF($Q160="EMPLACEMENT INCOHERENT","Le lot "&amp;$D160&amp;" n'existe pas sur cet emplacement (stock 0). Verifier l'emplacement.",IF($Q160="STOCK INSUFFISANT","Disponible avant operation : "&amp;TEXT($P160,"#,##0.00")&amp;" kg. Ligne NON comptee en stock.",IF(COUNTIFS($B$5:$B$304,$B160,$C$5:$C$304,$C160,$D$5:$D$304,$D160,$G$5:$G$304,$G160)&gt;1,"Doublon possible (meme date, type, lot et quantite).",IF($K160="LOT NON REFERENCE","Creer d'abord la fiche du lot dans l'onglet LOTS.",""))))))</f>
        <v/>
      </c>
    </row>
    <row r="161" customFormat="false" ht="15" hidden="false" customHeight="false" outlineLevel="0" collapsed="false">
      <c r="A161" s="26" t="str">
        <f aca="false">IF($C161="","","OP-"&amp;TEXT(ROW()-4,"000"))</f>
        <v/>
      </c>
      <c r="B161" s="25"/>
      <c r="C161" s="24"/>
      <c r="D161" s="24"/>
      <c r="E161" s="24"/>
      <c r="F161" s="24"/>
      <c r="G161" s="29"/>
      <c r="H161" s="24"/>
      <c r="I161" s="24"/>
      <c r="J161" s="26" t="str">
        <f aca="false">IF($D161="","",IFERROR(INDEX(LOT_EXTE,MATCH($D161,LOT_KEY,0)),""))</f>
        <v/>
      </c>
      <c r="K161" s="26" t="str">
        <f aca="false">IF($D161="","",IFERROR(INDEX(LOT_PRODE,MATCH($D161,LOT_KEY,0)),"LOT NON REFERENCE"))</f>
        <v/>
      </c>
      <c r="L161" s="26" t="str">
        <f aca="false">IF($D161="","",IFERROR(INDEX(LOT_FOURNE,MATCH($D161,LOT_KEY,0)),""))</f>
        <v/>
      </c>
      <c r="M161" s="26" t="str">
        <f aca="false">IF($E161="","",IFERROR(INDEX(EMPL_CLASSE,MATCH($E161,EMPL_KEY,0)),"?"))</f>
        <v/>
      </c>
      <c r="N161" s="26" t="str">
        <f aca="false">IF($F161="","",IFERROR(INDEX(EMPL_CLASSE,MATCH($F161,EMPL_KEY,0)),"?"))</f>
        <v/>
      </c>
      <c r="O161" s="28" t="n">
        <f aca="false">IF($C161="",0,IF(OR($B161="",$D161=""),0,IF($C161="AJUSTEMENT",IF(OR(NOT(ISNUMBER($G161)),$G161=0,$F161="",$H161=""),0,1),IF(OR(NOT(ISNUMBER($G161)),$G161&lt;=0),0,IF($C161="RECEPTION",IF($F161="",0,1),IF($C161="CONSOMMATION",IF($E161="",0,1),IF(OR($E161="",$F161="",$E161=$F161),0,1)))))))</f>
        <v>0</v>
      </c>
      <c r="P161" s="27" t="str">
        <f aca="false">IF(OR($O161=0,$C161="RECEPTION"),"",IF($C161="AJUSTEMENT",IF($G161&gt;0,"",SUMIFS(MVT_BRUT,MVT_LOT,$D161,MVT_EMPL,$F161)-$G161),SUMIFS(MVT_BRUT,MVT_LOT,$D161,MVT_EMPL,$E161)+$G161))</f>
        <v/>
      </c>
      <c r="Q161" s="26" t="str">
        <f aca="false">IF($C161="","",IF($O161=0,"DONNEES MANQUANTES",IF($C161="RECEPTION","OK",IF(AND($C161="AJUSTEMENT",$G161&gt;0),"OK",IF($P161&lt;=0,"EMPLACEMENT INCOHERENT",IF(ABS($G161)&gt;$P161+0.001,"STOCK INSUFFISANT","OK"))))))</f>
        <v/>
      </c>
      <c r="R161" s="28" t="n">
        <f aca="false">IF($Q161="OK",1,0)</f>
        <v>0</v>
      </c>
      <c r="S161" s="26" t="str">
        <f aca="false">IF($C161="","",IF($O161=0,"A COMPLETER : "&amp;IF($B161="","DATE; ","")&amp;IF($D161="","LOT INTERNE; ","")&amp;IF(NOT(ISNUMBER($G161)),"QUANTITE; ",IF(AND($C161="AJUSTEMENT",$G161=0),"QUANTITE &lt;&gt; 0; ",IF(AND($C161&lt;&gt;"AJUSTEMENT",$G161&lt;=0),"QUANTITE &gt; 0; ","")))&amp;IF(AND($C161="AJUSTEMENT",$H161=""),"MOTIF; ","")&amp;IF(AND(OR($C161="TRANSFERT",$C161="CONSOMMATION"),$E161=""),"EMPL. SOURCE; ","")&amp;IF(AND($C161&lt;&gt;"CONSOMMATION",$F161=""),"EMPL. DESTINATION; ","")&amp;IF(AND($C161="TRANSFERT",$E161&lt;&gt;"",$E161=$F161),"SOURCE = DESTINATION; ",""),IF($Q161="EMPLACEMENT INCOHERENT","Le lot "&amp;$D161&amp;" n'existe pas sur cet emplacement (stock 0). Verifier l'emplacement.",IF($Q161="STOCK INSUFFISANT","Disponible avant operation : "&amp;TEXT($P161,"#,##0.00")&amp;" kg. Ligne NON comptee en stock.",IF(COUNTIFS($B$5:$B$304,$B161,$C$5:$C$304,$C161,$D$5:$D$304,$D161,$G$5:$G$304,$G161)&gt;1,"Doublon possible (meme date, type, lot et quantite).",IF($K161="LOT NON REFERENCE","Creer d'abord la fiche du lot dans l'onglet LOTS.",""))))))</f>
        <v/>
      </c>
    </row>
    <row r="162" customFormat="false" ht="15" hidden="false" customHeight="false" outlineLevel="0" collapsed="false">
      <c r="A162" s="26" t="str">
        <f aca="false">IF($C162="","","OP-"&amp;TEXT(ROW()-4,"000"))</f>
        <v/>
      </c>
      <c r="B162" s="25"/>
      <c r="C162" s="24"/>
      <c r="D162" s="24"/>
      <c r="E162" s="24"/>
      <c r="F162" s="24"/>
      <c r="G162" s="29"/>
      <c r="H162" s="24"/>
      <c r="I162" s="24"/>
      <c r="J162" s="26" t="str">
        <f aca="false">IF($D162="","",IFERROR(INDEX(LOT_EXTE,MATCH($D162,LOT_KEY,0)),""))</f>
        <v/>
      </c>
      <c r="K162" s="26" t="str">
        <f aca="false">IF($D162="","",IFERROR(INDEX(LOT_PRODE,MATCH($D162,LOT_KEY,0)),"LOT NON REFERENCE"))</f>
        <v/>
      </c>
      <c r="L162" s="26" t="str">
        <f aca="false">IF($D162="","",IFERROR(INDEX(LOT_FOURNE,MATCH($D162,LOT_KEY,0)),""))</f>
        <v/>
      </c>
      <c r="M162" s="26" t="str">
        <f aca="false">IF($E162="","",IFERROR(INDEX(EMPL_CLASSE,MATCH($E162,EMPL_KEY,0)),"?"))</f>
        <v/>
      </c>
      <c r="N162" s="26" t="str">
        <f aca="false">IF($F162="","",IFERROR(INDEX(EMPL_CLASSE,MATCH($F162,EMPL_KEY,0)),"?"))</f>
        <v/>
      </c>
      <c r="O162" s="28" t="n">
        <f aca="false">IF($C162="",0,IF(OR($B162="",$D162=""),0,IF($C162="AJUSTEMENT",IF(OR(NOT(ISNUMBER($G162)),$G162=0,$F162="",$H162=""),0,1),IF(OR(NOT(ISNUMBER($G162)),$G162&lt;=0),0,IF($C162="RECEPTION",IF($F162="",0,1),IF($C162="CONSOMMATION",IF($E162="",0,1),IF(OR($E162="",$F162="",$E162=$F162),0,1)))))))</f>
        <v>0</v>
      </c>
      <c r="P162" s="27" t="str">
        <f aca="false">IF(OR($O162=0,$C162="RECEPTION"),"",IF($C162="AJUSTEMENT",IF($G162&gt;0,"",SUMIFS(MVT_BRUT,MVT_LOT,$D162,MVT_EMPL,$F162)-$G162),SUMIFS(MVT_BRUT,MVT_LOT,$D162,MVT_EMPL,$E162)+$G162))</f>
        <v/>
      </c>
      <c r="Q162" s="26" t="str">
        <f aca="false">IF($C162="","",IF($O162=0,"DONNEES MANQUANTES",IF($C162="RECEPTION","OK",IF(AND($C162="AJUSTEMENT",$G162&gt;0),"OK",IF($P162&lt;=0,"EMPLACEMENT INCOHERENT",IF(ABS($G162)&gt;$P162+0.001,"STOCK INSUFFISANT","OK"))))))</f>
        <v/>
      </c>
      <c r="R162" s="28" t="n">
        <f aca="false">IF($Q162="OK",1,0)</f>
        <v>0</v>
      </c>
      <c r="S162" s="26" t="str">
        <f aca="false">IF($C162="","",IF($O162=0,"A COMPLETER : "&amp;IF($B162="","DATE; ","")&amp;IF($D162="","LOT INTERNE; ","")&amp;IF(NOT(ISNUMBER($G162)),"QUANTITE; ",IF(AND($C162="AJUSTEMENT",$G162=0),"QUANTITE &lt;&gt; 0; ",IF(AND($C162&lt;&gt;"AJUSTEMENT",$G162&lt;=0),"QUANTITE &gt; 0; ","")))&amp;IF(AND($C162="AJUSTEMENT",$H162=""),"MOTIF; ","")&amp;IF(AND(OR($C162="TRANSFERT",$C162="CONSOMMATION"),$E162=""),"EMPL. SOURCE; ","")&amp;IF(AND($C162&lt;&gt;"CONSOMMATION",$F162=""),"EMPL. DESTINATION; ","")&amp;IF(AND($C162="TRANSFERT",$E162&lt;&gt;"",$E162=$F162),"SOURCE = DESTINATION; ",""),IF($Q162="EMPLACEMENT INCOHERENT","Le lot "&amp;$D162&amp;" n'existe pas sur cet emplacement (stock 0). Verifier l'emplacement.",IF($Q162="STOCK INSUFFISANT","Disponible avant operation : "&amp;TEXT($P162,"#,##0.00")&amp;" kg. Ligne NON comptee en stock.",IF(COUNTIFS($B$5:$B$304,$B162,$C$5:$C$304,$C162,$D$5:$D$304,$D162,$G$5:$G$304,$G162)&gt;1,"Doublon possible (meme date, type, lot et quantite).",IF($K162="LOT NON REFERENCE","Creer d'abord la fiche du lot dans l'onglet LOTS.",""))))))</f>
        <v/>
      </c>
    </row>
    <row r="163" customFormat="false" ht="15" hidden="false" customHeight="false" outlineLevel="0" collapsed="false">
      <c r="A163" s="26" t="str">
        <f aca="false">IF($C163="","","OP-"&amp;TEXT(ROW()-4,"000"))</f>
        <v/>
      </c>
      <c r="B163" s="25"/>
      <c r="C163" s="24"/>
      <c r="D163" s="24"/>
      <c r="E163" s="24"/>
      <c r="F163" s="24"/>
      <c r="G163" s="29"/>
      <c r="H163" s="24"/>
      <c r="I163" s="24"/>
      <c r="J163" s="26" t="str">
        <f aca="false">IF($D163="","",IFERROR(INDEX(LOT_EXTE,MATCH($D163,LOT_KEY,0)),""))</f>
        <v/>
      </c>
      <c r="K163" s="26" t="str">
        <f aca="false">IF($D163="","",IFERROR(INDEX(LOT_PRODE,MATCH($D163,LOT_KEY,0)),"LOT NON REFERENCE"))</f>
        <v/>
      </c>
      <c r="L163" s="26" t="str">
        <f aca="false">IF($D163="","",IFERROR(INDEX(LOT_FOURNE,MATCH($D163,LOT_KEY,0)),""))</f>
        <v/>
      </c>
      <c r="M163" s="26" t="str">
        <f aca="false">IF($E163="","",IFERROR(INDEX(EMPL_CLASSE,MATCH($E163,EMPL_KEY,0)),"?"))</f>
        <v/>
      </c>
      <c r="N163" s="26" t="str">
        <f aca="false">IF($F163="","",IFERROR(INDEX(EMPL_CLASSE,MATCH($F163,EMPL_KEY,0)),"?"))</f>
        <v/>
      </c>
      <c r="O163" s="28" t="n">
        <f aca="false">IF($C163="",0,IF(OR($B163="",$D163=""),0,IF($C163="AJUSTEMENT",IF(OR(NOT(ISNUMBER($G163)),$G163=0,$F163="",$H163=""),0,1),IF(OR(NOT(ISNUMBER($G163)),$G163&lt;=0),0,IF($C163="RECEPTION",IF($F163="",0,1),IF($C163="CONSOMMATION",IF($E163="",0,1),IF(OR($E163="",$F163="",$E163=$F163),0,1)))))))</f>
        <v>0</v>
      </c>
      <c r="P163" s="27" t="str">
        <f aca="false">IF(OR($O163=0,$C163="RECEPTION"),"",IF($C163="AJUSTEMENT",IF($G163&gt;0,"",SUMIFS(MVT_BRUT,MVT_LOT,$D163,MVT_EMPL,$F163)-$G163),SUMIFS(MVT_BRUT,MVT_LOT,$D163,MVT_EMPL,$E163)+$G163))</f>
        <v/>
      </c>
      <c r="Q163" s="26" t="str">
        <f aca="false">IF($C163="","",IF($O163=0,"DONNEES MANQUANTES",IF($C163="RECEPTION","OK",IF(AND($C163="AJUSTEMENT",$G163&gt;0),"OK",IF($P163&lt;=0,"EMPLACEMENT INCOHERENT",IF(ABS($G163)&gt;$P163+0.001,"STOCK INSUFFISANT","OK"))))))</f>
        <v/>
      </c>
      <c r="R163" s="28" t="n">
        <f aca="false">IF($Q163="OK",1,0)</f>
        <v>0</v>
      </c>
      <c r="S163" s="26" t="str">
        <f aca="false">IF($C163="","",IF($O163=0,"A COMPLETER : "&amp;IF($B163="","DATE; ","")&amp;IF($D163="","LOT INTERNE; ","")&amp;IF(NOT(ISNUMBER($G163)),"QUANTITE; ",IF(AND($C163="AJUSTEMENT",$G163=0),"QUANTITE &lt;&gt; 0; ",IF(AND($C163&lt;&gt;"AJUSTEMENT",$G163&lt;=0),"QUANTITE &gt; 0; ","")))&amp;IF(AND($C163="AJUSTEMENT",$H163=""),"MOTIF; ","")&amp;IF(AND(OR($C163="TRANSFERT",$C163="CONSOMMATION"),$E163=""),"EMPL. SOURCE; ","")&amp;IF(AND($C163&lt;&gt;"CONSOMMATION",$F163=""),"EMPL. DESTINATION; ","")&amp;IF(AND($C163="TRANSFERT",$E163&lt;&gt;"",$E163=$F163),"SOURCE = DESTINATION; ",""),IF($Q163="EMPLACEMENT INCOHERENT","Le lot "&amp;$D163&amp;" n'existe pas sur cet emplacement (stock 0). Verifier l'emplacement.",IF($Q163="STOCK INSUFFISANT","Disponible avant operation : "&amp;TEXT($P163,"#,##0.00")&amp;" kg. Ligne NON comptee en stock.",IF(COUNTIFS($B$5:$B$304,$B163,$C$5:$C$304,$C163,$D$5:$D$304,$D163,$G$5:$G$304,$G163)&gt;1,"Doublon possible (meme date, type, lot et quantite).",IF($K163="LOT NON REFERENCE","Creer d'abord la fiche du lot dans l'onglet LOTS.",""))))))</f>
        <v/>
      </c>
    </row>
    <row r="164" customFormat="false" ht="15" hidden="false" customHeight="false" outlineLevel="0" collapsed="false">
      <c r="A164" s="26" t="str">
        <f aca="false">IF($C164="","","OP-"&amp;TEXT(ROW()-4,"000"))</f>
        <v/>
      </c>
      <c r="B164" s="25"/>
      <c r="C164" s="24"/>
      <c r="D164" s="24"/>
      <c r="E164" s="24"/>
      <c r="F164" s="24"/>
      <c r="G164" s="29"/>
      <c r="H164" s="24"/>
      <c r="I164" s="24"/>
      <c r="J164" s="26" t="str">
        <f aca="false">IF($D164="","",IFERROR(INDEX(LOT_EXTE,MATCH($D164,LOT_KEY,0)),""))</f>
        <v/>
      </c>
      <c r="K164" s="26" t="str">
        <f aca="false">IF($D164="","",IFERROR(INDEX(LOT_PRODE,MATCH($D164,LOT_KEY,0)),"LOT NON REFERENCE"))</f>
        <v/>
      </c>
      <c r="L164" s="26" t="str">
        <f aca="false">IF($D164="","",IFERROR(INDEX(LOT_FOURNE,MATCH($D164,LOT_KEY,0)),""))</f>
        <v/>
      </c>
      <c r="M164" s="26" t="str">
        <f aca="false">IF($E164="","",IFERROR(INDEX(EMPL_CLASSE,MATCH($E164,EMPL_KEY,0)),"?"))</f>
        <v/>
      </c>
      <c r="N164" s="26" t="str">
        <f aca="false">IF($F164="","",IFERROR(INDEX(EMPL_CLASSE,MATCH($F164,EMPL_KEY,0)),"?"))</f>
        <v/>
      </c>
      <c r="O164" s="28" t="n">
        <f aca="false">IF($C164="",0,IF(OR($B164="",$D164=""),0,IF($C164="AJUSTEMENT",IF(OR(NOT(ISNUMBER($G164)),$G164=0,$F164="",$H164=""),0,1),IF(OR(NOT(ISNUMBER($G164)),$G164&lt;=0),0,IF($C164="RECEPTION",IF($F164="",0,1),IF($C164="CONSOMMATION",IF($E164="",0,1),IF(OR($E164="",$F164="",$E164=$F164),0,1)))))))</f>
        <v>0</v>
      </c>
      <c r="P164" s="27" t="str">
        <f aca="false">IF(OR($O164=0,$C164="RECEPTION"),"",IF($C164="AJUSTEMENT",IF($G164&gt;0,"",SUMIFS(MVT_BRUT,MVT_LOT,$D164,MVT_EMPL,$F164)-$G164),SUMIFS(MVT_BRUT,MVT_LOT,$D164,MVT_EMPL,$E164)+$G164))</f>
        <v/>
      </c>
      <c r="Q164" s="26" t="str">
        <f aca="false">IF($C164="","",IF($O164=0,"DONNEES MANQUANTES",IF($C164="RECEPTION","OK",IF(AND($C164="AJUSTEMENT",$G164&gt;0),"OK",IF($P164&lt;=0,"EMPLACEMENT INCOHERENT",IF(ABS($G164)&gt;$P164+0.001,"STOCK INSUFFISANT","OK"))))))</f>
        <v/>
      </c>
      <c r="R164" s="28" t="n">
        <f aca="false">IF($Q164="OK",1,0)</f>
        <v>0</v>
      </c>
      <c r="S164" s="26" t="str">
        <f aca="false">IF($C164="","",IF($O164=0,"A COMPLETER : "&amp;IF($B164="","DATE; ","")&amp;IF($D164="","LOT INTERNE; ","")&amp;IF(NOT(ISNUMBER($G164)),"QUANTITE; ",IF(AND($C164="AJUSTEMENT",$G164=0),"QUANTITE &lt;&gt; 0; ",IF(AND($C164&lt;&gt;"AJUSTEMENT",$G164&lt;=0),"QUANTITE &gt; 0; ","")))&amp;IF(AND($C164="AJUSTEMENT",$H164=""),"MOTIF; ","")&amp;IF(AND(OR($C164="TRANSFERT",$C164="CONSOMMATION"),$E164=""),"EMPL. SOURCE; ","")&amp;IF(AND($C164&lt;&gt;"CONSOMMATION",$F164=""),"EMPL. DESTINATION; ","")&amp;IF(AND($C164="TRANSFERT",$E164&lt;&gt;"",$E164=$F164),"SOURCE = DESTINATION; ",""),IF($Q164="EMPLACEMENT INCOHERENT","Le lot "&amp;$D164&amp;" n'existe pas sur cet emplacement (stock 0). Verifier l'emplacement.",IF($Q164="STOCK INSUFFISANT","Disponible avant operation : "&amp;TEXT($P164,"#,##0.00")&amp;" kg. Ligne NON comptee en stock.",IF(COUNTIFS($B$5:$B$304,$B164,$C$5:$C$304,$C164,$D$5:$D$304,$D164,$G$5:$G$304,$G164)&gt;1,"Doublon possible (meme date, type, lot et quantite).",IF($K164="LOT NON REFERENCE","Creer d'abord la fiche du lot dans l'onglet LOTS.",""))))))</f>
        <v/>
      </c>
    </row>
    <row r="165" customFormat="false" ht="15" hidden="false" customHeight="false" outlineLevel="0" collapsed="false">
      <c r="A165" s="26" t="str">
        <f aca="false">IF($C165="","","OP-"&amp;TEXT(ROW()-4,"000"))</f>
        <v/>
      </c>
      <c r="B165" s="25"/>
      <c r="C165" s="24"/>
      <c r="D165" s="24"/>
      <c r="E165" s="24"/>
      <c r="F165" s="24"/>
      <c r="G165" s="29"/>
      <c r="H165" s="24"/>
      <c r="I165" s="24"/>
      <c r="J165" s="26" t="str">
        <f aca="false">IF($D165="","",IFERROR(INDEX(LOT_EXTE,MATCH($D165,LOT_KEY,0)),""))</f>
        <v/>
      </c>
      <c r="K165" s="26" t="str">
        <f aca="false">IF($D165="","",IFERROR(INDEX(LOT_PRODE,MATCH($D165,LOT_KEY,0)),"LOT NON REFERENCE"))</f>
        <v/>
      </c>
      <c r="L165" s="26" t="str">
        <f aca="false">IF($D165="","",IFERROR(INDEX(LOT_FOURNE,MATCH($D165,LOT_KEY,0)),""))</f>
        <v/>
      </c>
      <c r="M165" s="26" t="str">
        <f aca="false">IF($E165="","",IFERROR(INDEX(EMPL_CLASSE,MATCH($E165,EMPL_KEY,0)),"?"))</f>
        <v/>
      </c>
      <c r="N165" s="26" t="str">
        <f aca="false">IF($F165="","",IFERROR(INDEX(EMPL_CLASSE,MATCH($F165,EMPL_KEY,0)),"?"))</f>
        <v/>
      </c>
      <c r="O165" s="28" t="n">
        <f aca="false">IF($C165="",0,IF(OR($B165="",$D165=""),0,IF($C165="AJUSTEMENT",IF(OR(NOT(ISNUMBER($G165)),$G165=0,$F165="",$H165=""),0,1),IF(OR(NOT(ISNUMBER($G165)),$G165&lt;=0),0,IF($C165="RECEPTION",IF($F165="",0,1),IF($C165="CONSOMMATION",IF($E165="",0,1),IF(OR($E165="",$F165="",$E165=$F165),0,1)))))))</f>
        <v>0</v>
      </c>
      <c r="P165" s="27" t="str">
        <f aca="false">IF(OR($O165=0,$C165="RECEPTION"),"",IF($C165="AJUSTEMENT",IF($G165&gt;0,"",SUMIFS(MVT_BRUT,MVT_LOT,$D165,MVT_EMPL,$F165)-$G165),SUMIFS(MVT_BRUT,MVT_LOT,$D165,MVT_EMPL,$E165)+$G165))</f>
        <v/>
      </c>
      <c r="Q165" s="26" t="str">
        <f aca="false">IF($C165="","",IF($O165=0,"DONNEES MANQUANTES",IF($C165="RECEPTION","OK",IF(AND($C165="AJUSTEMENT",$G165&gt;0),"OK",IF($P165&lt;=0,"EMPLACEMENT INCOHERENT",IF(ABS($G165)&gt;$P165+0.001,"STOCK INSUFFISANT","OK"))))))</f>
        <v/>
      </c>
      <c r="R165" s="28" t="n">
        <f aca="false">IF($Q165="OK",1,0)</f>
        <v>0</v>
      </c>
      <c r="S165" s="26" t="str">
        <f aca="false">IF($C165="","",IF($O165=0,"A COMPLETER : "&amp;IF($B165="","DATE; ","")&amp;IF($D165="","LOT INTERNE; ","")&amp;IF(NOT(ISNUMBER($G165)),"QUANTITE; ",IF(AND($C165="AJUSTEMENT",$G165=0),"QUANTITE &lt;&gt; 0; ",IF(AND($C165&lt;&gt;"AJUSTEMENT",$G165&lt;=0),"QUANTITE &gt; 0; ","")))&amp;IF(AND($C165="AJUSTEMENT",$H165=""),"MOTIF; ","")&amp;IF(AND(OR($C165="TRANSFERT",$C165="CONSOMMATION"),$E165=""),"EMPL. SOURCE; ","")&amp;IF(AND($C165&lt;&gt;"CONSOMMATION",$F165=""),"EMPL. DESTINATION; ","")&amp;IF(AND($C165="TRANSFERT",$E165&lt;&gt;"",$E165=$F165),"SOURCE = DESTINATION; ",""),IF($Q165="EMPLACEMENT INCOHERENT","Le lot "&amp;$D165&amp;" n'existe pas sur cet emplacement (stock 0). Verifier l'emplacement.",IF($Q165="STOCK INSUFFISANT","Disponible avant operation : "&amp;TEXT($P165,"#,##0.00")&amp;" kg. Ligne NON comptee en stock.",IF(COUNTIFS($B$5:$B$304,$B165,$C$5:$C$304,$C165,$D$5:$D$304,$D165,$G$5:$G$304,$G165)&gt;1,"Doublon possible (meme date, type, lot et quantite).",IF($K165="LOT NON REFERENCE","Creer d'abord la fiche du lot dans l'onglet LOTS.",""))))))</f>
        <v/>
      </c>
    </row>
    <row r="166" customFormat="false" ht="15" hidden="false" customHeight="false" outlineLevel="0" collapsed="false">
      <c r="A166" s="26" t="str">
        <f aca="false">IF($C166="","","OP-"&amp;TEXT(ROW()-4,"000"))</f>
        <v/>
      </c>
      <c r="B166" s="25"/>
      <c r="C166" s="24"/>
      <c r="D166" s="24"/>
      <c r="E166" s="24"/>
      <c r="F166" s="24"/>
      <c r="G166" s="29"/>
      <c r="H166" s="24"/>
      <c r="I166" s="24"/>
      <c r="J166" s="26" t="str">
        <f aca="false">IF($D166="","",IFERROR(INDEX(LOT_EXTE,MATCH($D166,LOT_KEY,0)),""))</f>
        <v/>
      </c>
      <c r="K166" s="26" t="str">
        <f aca="false">IF($D166="","",IFERROR(INDEX(LOT_PRODE,MATCH($D166,LOT_KEY,0)),"LOT NON REFERENCE"))</f>
        <v/>
      </c>
      <c r="L166" s="26" t="str">
        <f aca="false">IF($D166="","",IFERROR(INDEX(LOT_FOURNE,MATCH($D166,LOT_KEY,0)),""))</f>
        <v/>
      </c>
      <c r="M166" s="26" t="str">
        <f aca="false">IF($E166="","",IFERROR(INDEX(EMPL_CLASSE,MATCH($E166,EMPL_KEY,0)),"?"))</f>
        <v/>
      </c>
      <c r="N166" s="26" t="str">
        <f aca="false">IF($F166="","",IFERROR(INDEX(EMPL_CLASSE,MATCH($F166,EMPL_KEY,0)),"?"))</f>
        <v/>
      </c>
      <c r="O166" s="28" t="n">
        <f aca="false">IF($C166="",0,IF(OR($B166="",$D166=""),0,IF($C166="AJUSTEMENT",IF(OR(NOT(ISNUMBER($G166)),$G166=0,$F166="",$H166=""),0,1),IF(OR(NOT(ISNUMBER($G166)),$G166&lt;=0),0,IF($C166="RECEPTION",IF($F166="",0,1),IF($C166="CONSOMMATION",IF($E166="",0,1),IF(OR($E166="",$F166="",$E166=$F166),0,1)))))))</f>
        <v>0</v>
      </c>
      <c r="P166" s="27" t="str">
        <f aca="false">IF(OR($O166=0,$C166="RECEPTION"),"",IF($C166="AJUSTEMENT",IF($G166&gt;0,"",SUMIFS(MVT_BRUT,MVT_LOT,$D166,MVT_EMPL,$F166)-$G166),SUMIFS(MVT_BRUT,MVT_LOT,$D166,MVT_EMPL,$E166)+$G166))</f>
        <v/>
      </c>
      <c r="Q166" s="26" t="str">
        <f aca="false">IF($C166="","",IF($O166=0,"DONNEES MANQUANTES",IF($C166="RECEPTION","OK",IF(AND($C166="AJUSTEMENT",$G166&gt;0),"OK",IF($P166&lt;=0,"EMPLACEMENT INCOHERENT",IF(ABS($G166)&gt;$P166+0.001,"STOCK INSUFFISANT","OK"))))))</f>
        <v/>
      </c>
      <c r="R166" s="28" t="n">
        <f aca="false">IF($Q166="OK",1,0)</f>
        <v>0</v>
      </c>
      <c r="S166" s="26" t="str">
        <f aca="false">IF($C166="","",IF($O166=0,"A COMPLETER : "&amp;IF($B166="","DATE; ","")&amp;IF($D166="","LOT INTERNE; ","")&amp;IF(NOT(ISNUMBER($G166)),"QUANTITE; ",IF(AND($C166="AJUSTEMENT",$G166=0),"QUANTITE &lt;&gt; 0; ",IF(AND($C166&lt;&gt;"AJUSTEMENT",$G166&lt;=0),"QUANTITE &gt; 0; ","")))&amp;IF(AND($C166="AJUSTEMENT",$H166=""),"MOTIF; ","")&amp;IF(AND(OR($C166="TRANSFERT",$C166="CONSOMMATION"),$E166=""),"EMPL. SOURCE; ","")&amp;IF(AND($C166&lt;&gt;"CONSOMMATION",$F166=""),"EMPL. DESTINATION; ","")&amp;IF(AND($C166="TRANSFERT",$E166&lt;&gt;"",$E166=$F166),"SOURCE = DESTINATION; ",""),IF($Q166="EMPLACEMENT INCOHERENT","Le lot "&amp;$D166&amp;" n'existe pas sur cet emplacement (stock 0). Verifier l'emplacement.",IF($Q166="STOCK INSUFFISANT","Disponible avant operation : "&amp;TEXT($P166,"#,##0.00")&amp;" kg. Ligne NON comptee en stock.",IF(COUNTIFS($B$5:$B$304,$B166,$C$5:$C$304,$C166,$D$5:$D$304,$D166,$G$5:$G$304,$G166)&gt;1,"Doublon possible (meme date, type, lot et quantite).",IF($K166="LOT NON REFERENCE","Creer d'abord la fiche du lot dans l'onglet LOTS.",""))))))</f>
        <v/>
      </c>
    </row>
    <row r="167" customFormat="false" ht="15" hidden="false" customHeight="false" outlineLevel="0" collapsed="false">
      <c r="A167" s="26" t="str">
        <f aca="false">IF($C167="","","OP-"&amp;TEXT(ROW()-4,"000"))</f>
        <v/>
      </c>
      <c r="B167" s="25"/>
      <c r="C167" s="24"/>
      <c r="D167" s="24"/>
      <c r="E167" s="24"/>
      <c r="F167" s="24"/>
      <c r="G167" s="29"/>
      <c r="H167" s="24"/>
      <c r="I167" s="24"/>
      <c r="J167" s="26" t="str">
        <f aca="false">IF($D167="","",IFERROR(INDEX(LOT_EXTE,MATCH($D167,LOT_KEY,0)),""))</f>
        <v/>
      </c>
      <c r="K167" s="26" t="str">
        <f aca="false">IF($D167="","",IFERROR(INDEX(LOT_PRODE,MATCH($D167,LOT_KEY,0)),"LOT NON REFERENCE"))</f>
        <v/>
      </c>
      <c r="L167" s="26" t="str">
        <f aca="false">IF($D167="","",IFERROR(INDEX(LOT_FOURNE,MATCH($D167,LOT_KEY,0)),""))</f>
        <v/>
      </c>
      <c r="M167" s="26" t="str">
        <f aca="false">IF($E167="","",IFERROR(INDEX(EMPL_CLASSE,MATCH($E167,EMPL_KEY,0)),"?"))</f>
        <v/>
      </c>
      <c r="N167" s="26" t="str">
        <f aca="false">IF($F167="","",IFERROR(INDEX(EMPL_CLASSE,MATCH($F167,EMPL_KEY,0)),"?"))</f>
        <v/>
      </c>
      <c r="O167" s="28" t="n">
        <f aca="false">IF($C167="",0,IF(OR($B167="",$D167=""),0,IF($C167="AJUSTEMENT",IF(OR(NOT(ISNUMBER($G167)),$G167=0,$F167="",$H167=""),0,1),IF(OR(NOT(ISNUMBER($G167)),$G167&lt;=0),0,IF($C167="RECEPTION",IF($F167="",0,1),IF($C167="CONSOMMATION",IF($E167="",0,1),IF(OR($E167="",$F167="",$E167=$F167),0,1)))))))</f>
        <v>0</v>
      </c>
      <c r="P167" s="27" t="str">
        <f aca="false">IF(OR($O167=0,$C167="RECEPTION"),"",IF($C167="AJUSTEMENT",IF($G167&gt;0,"",SUMIFS(MVT_BRUT,MVT_LOT,$D167,MVT_EMPL,$F167)-$G167),SUMIFS(MVT_BRUT,MVT_LOT,$D167,MVT_EMPL,$E167)+$G167))</f>
        <v/>
      </c>
      <c r="Q167" s="26" t="str">
        <f aca="false">IF($C167="","",IF($O167=0,"DONNEES MANQUANTES",IF($C167="RECEPTION","OK",IF(AND($C167="AJUSTEMENT",$G167&gt;0),"OK",IF($P167&lt;=0,"EMPLACEMENT INCOHERENT",IF(ABS($G167)&gt;$P167+0.001,"STOCK INSUFFISANT","OK"))))))</f>
        <v/>
      </c>
      <c r="R167" s="28" t="n">
        <f aca="false">IF($Q167="OK",1,0)</f>
        <v>0</v>
      </c>
      <c r="S167" s="26" t="str">
        <f aca="false">IF($C167="","",IF($O167=0,"A COMPLETER : "&amp;IF($B167="","DATE; ","")&amp;IF($D167="","LOT INTERNE; ","")&amp;IF(NOT(ISNUMBER($G167)),"QUANTITE; ",IF(AND($C167="AJUSTEMENT",$G167=0),"QUANTITE &lt;&gt; 0; ",IF(AND($C167&lt;&gt;"AJUSTEMENT",$G167&lt;=0),"QUANTITE &gt; 0; ","")))&amp;IF(AND($C167="AJUSTEMENT",$H167=""),"MOTIF; ","")&amp;IF(AND(OR($C167="TRANSFERT",$C167="CONSOMMATION"),$E167=""),"EMPL. SOURCE; ","")&amp;IF(AND($C167&lt;&gt;"CONSOMMATION",$F167=""),"EMPL. DESTINATION; ","")&amp;IF(AND($C167="TRANSFERT",$E167&lt;&gt;"",$E167=$F167),"SOURCE = DESTINATION; ",""),IF($Q167="EMPLACEMENT INCOHERENT","Le lot "&amp;$D167&amp;" n'existe pas sur cet emplacement (stock 0). Verifier l'emplacement.",IF($Q167="STOCK INSUFFISANT","Disponible avant operation : "&amp;TEXT($P167,"#,##0.00")&amp;" kg. Ligne NON comptee en stock.",IF(COUNTIFS($B$5:$B$304,$B167,$C$5:$C$304,$C167,$D$5:$D$304,$D167,$G$5:$G$304,$G167)&gt;1,"Doublon possible (meme date, type, lot et quantite).",IF($K167="LOT NON REFERENCE","Creer d'abord la fiche du lot dans l'onglet LOTS.",""))))))</f>
        <v/>
      </c>
    </row>
    <row r="168" customFormat="false" ht="15" hidden="false" customHeight="false" outlineLevel="0" collapsed="false">
      <c r="A168" s="26" t="str">
        <f aca="false">IF($C168="","","OP-"&amp;TEXT(ROW()-4,"000"))</f>
        <v/>
      </c>
      <c r="B168" s="25"/>
      <c r="C168" s="24"/>
      <c r="D168" s="24"/>
      <c r="E168" s="24"/>
      <c r="F168" s="24"/>
      <c r="G168" s="29"/>
      <c r="H168" s="24"/>
      <c r="I168" s="24"/>
      <c r="J168" s="26" t="str">
        <f aca="false">IF($D168="","",IFERROR(INDEX(LOT_EXTE,MATCH($D168,LOT_KEY,0)),""))</f>
        <v/>
      </c>
      <c r="K168" s="26" t="str">
        <f aca="false">IF($D168="","",IFERROR(INDEX(LOT_PRODE,MATCH($D168,LOT_KEY,0)),"LOT NON REFERENCE"))</f>
        <v/>
      </c>
      <c r="L168" s="26" t="str">
        <f aca="false">IF($D168="","",IFERROR(INDEX(LOT_FOURNE,MATCH($D168,LOT_KEY,0)),""))</f>
        <v/>
      </c>
      <c r="M168" s="26" t="str">
        <f aca="false">IF($E168="","",IFERROR(INDEX(EMPL_CLASSE,MATCH($E168,EMPL_KEY,0)),"?"))</f>
        <v/>
      </c>
      <c r="N168" s="26" t="str">
        <f aca="false">IF($F168="","",IFERROR(INDEX(EMPL_CLASSE,MATCH($F168,EMPL_KEY,0)),"?"))</f>
        <v/>
      </c>
      <c r="O168" s="28" t="n">
        <f aca="false">IF($C168="",0,IF(OR($B168="",$D168=""),0,IF($C168="AJUSTEMENT",IF(OR(NOT(ISNUMBER($G168)),$G168=0,$F168="",$H168=""),0,1),IF(OR(NOT(ISNUMBER($G168)),$G168&lt;=0),0,IF($C168="RECEPTION",IF($F168="",0,1),IF($C168="CONSOMMATION",IF($E168="",0,1),IF(OR($E168="",$F168="",$E168=$F168),0,1)))))))</f>
        <v>0</v>
      </c>
      <c r="P168" s="27" t="str">
        <f aca="false">IF(OR($O168=0,$C168="RECEPTION"),"",IF($C168="AJUSTEMENT",IF($G168&gt;0,"",SUMIFS(MVT_BRUT,MVT_LOT,$D168,MVT_EMPL,$F168)-$G168),SUMIFS(MVT_BRUT,MVT_LOT,$D168,MVT_EMPL,$E168)+$G168))</f>
        <v/>
      </c>
      <c r="Q168" s="26" t="str">
        <f aca="false">IF($C168="","",IF($O168=0,"DONNEES MANQUANTES",IF($C168="RECEPTION","OK",IF(AND($C168="AJUSTEMENT",$G168&gt;0),"OK",IF($P168&lt;=0,"EMPLACEMENT INCOHERENT",IF(ABS($G168)&gt;$P168+0.001,"STOCK INSUFFISANT","OK"))))))</f>
        <v/>
      </c>
      <c r="R168" s="28" t="n">
        <f aca="false">IF($Q168="OK",1,0)</f>
        <v>0</v>
      </c>
      <c r="S168" s="26" t="str">
        <f aca="false">IF($C168="","",IF($O168=0,"A COMPLETER : "&amp;IF($B168="","DATE; ","")&amp;IF($D168="","LOT INTERNE; ","")&amp;IF(NOT(ISNUMBER($G168)),"QUANTITE; ",IF(AND($C168="AJUSTEMENT",$G168=0),"QUANTITE &lt;&gt; 0; ",IF(AND($C168&lt;&gt;"AJUSTEMENT",$G168&lt;=0),"QUANTITE &gt; 0; ","")))&amp;IF(AND($C168="AJUSTEMENT",$H168=""),"MOTIF; ","")&amp;IF(AND(OR($C168="TRANSFERT",$C168="CONSOMMATION"),$E168=""),"EMPL. SOURCE; ","")&amp;IF(AND($C168&lt;&gt;"CONSOMMATION",$F168=""),"EMPL. DESTINATION; ","")&amp;IF(AND($C168="TRANSFERT",$E168&lt;&gt;"",$E168=$F168),"SOURCE = DESTINATION; ",""),IF($Q168="EMPLACEMENT INCOHERENT","Le lot "&amp;$D168&amp;" n'existe pas sur cet emplacement (stock 0). Verifier l'emplacement.",IF($Q168="STOCK INSUFFISANT","Disponible avant operation : "&amp;TEXT($P168,"#,##0.00")&amp;" kg. Ligne NON comptee en stock.",IF(COUNTIFS($B$5:$B$304,$B168,$C$5:$C$304,$C168,$D$5:$D$304,$D168,$G$5:$G$304,$G168)&gt;1,"Doublon possible (meme date, type, lot et quantite).",IF($K168="LOT NON REFERENCE","Creer d'abord la fiche du lot dans l'onglet LOTS.",""))))))</f>
        <v/>
      </c>
    </row>
    <row r="169" customFormat="false" ht="15" hidden="false" customHeight="false" outlineLevel="0" collapsed="false">
      <c r="A169" s="26" t="str">
        <f aca="false">IF($C169="","","OP-"&amp;TEXT(ROW()-4,"000"))</f>
        <v/>
      </c>
      <c r="B169" s="25"/>
      <c r="C169" s="24"/>
      <c r="D169" s="24"/>
      <c r="E169" s="24"/>
      <c r="F169" s="24"/>
      <c r="G169" s="29"/>
      <c r="H169" s="24"/>
      <c r="I169" s="24"/>
      <c r="J169" s="26" t="str">
        <f aca="false">IF($D169="","",IFERROR(INDEX(LOT_EXTE,MATCH($D169,LOT_KEY,0)),""))</f>
        <v/>
      </c>
      <c r="K169" s="26" t="str">
        <f aca="false">IF($D169="","",IFERROR(INDEX(LOT_PRODE,MATCH($D169,LOT_KEY,0)),"LOT NON REFERENCE"))</f>
        <v/>
      </c>
      <c r="L169" s="26" t="str">
        <f aca="false">IF($D169="","",IFERROR(INDEX(LOT_FOURNE,MATCH($D169,LOT_KEY,0)),""))</f>
        <v/>
      </c>
      <c r="M169" s="26" t="str">
        <f aca="false">IF($E169="","",IFERROR(INDEX(EMPL_CLASSE,MATCH($E169,EMPL_KEY,0)),"?"))</f>
        <v/>
      </c>
      <c r="N169" s="26" t="str">
        <f aca="false">IF($F169="","",IFERROR(INDEX(EMPL_CLASSE,MATCH($F169,EMPL_KEY,0)),"?"))</f>
        <v/>
      </c>
      <c r="O169" s="28" t="n">
        <f aca="false">IF($C169="",0,IF(OR($B169="",$D169=""),0,IF($C169="AJUSTEMENT",IF(OR(NOT(ISNUMBER($G169)),$G169=0,$F169="",$H169=""),0,1),IF(OR(NOT(ISNUMBER($G169)),$G169&lt;=0),0,IF($C169="RECEPTION",IF($F169="",0,1),IF($C169="CONSOMMATION",IF($E169="",0,1),IF(OR($E169="",$F169="",$E169=$F169),0,1)))))))</f>
        <v>0</v>
      </c>
      <c r="P169" s="27" t="str">
        <f aca="false">IF(OR($O169=0,$C169="RECEPTION"),"",IF($C169="AJUSTEMENT",IF($G169&gt;0,"",SUMIFS(MVT_BRUT,MVT_LOT,$D169,MVT_EMPL,$F169)-$G169),SUMIFS(MVT_BRUT,MVT_LOT,$D169,MVT_EMPL,$E169)+$G169))</f>
        <v/>
      </c>
      <c r="Q169" s="26" t="str">
        <f aca="false">IF($C169="","",IF($O169=0,"DONNEES MANQUANTES",IF($C169="RECEPTION","OK",IF(AND($C169="AJUSTEMENT",$G169&gt;0),"OK",IF($P169&lt;=0,"EMPLACEMENT INCOHERENT",IF(ABS($G169)&gt;$P169+0.001,"STOCK INSUFFISANT","OK"))))))</f>
        <v/>
      </c>
      <c r="R169" s="28" t="n">
        <f aca="false">IF($Q169="OK",1,0)</f>
        <v>0</v>
      </c>
      <c r="S169" s="26" t="str">
        <f aca="false">IF($C169="","",IF($O169=0,"A COMPLETER : "&amp;IF($B169="","DATE; ","")&amp;IF($D169="","LOT INTERNE; ","")&amp;IF(NOT(ISNUMBER($G169)),"QUANTITE; ",IF(AND($C169="AJUSTEMENT",$G169=0),"QUANTITE &lt;&gt; 0; ",IF(AND($C169&lt;&gt;"AJUSTEMENT",$G169&lt;=0),"QUANTITE &gt; 0; ","")))&amp;IF(AND($C169="AJUSTEMENT",$H169=""),"MOTIF; ","")&amp;IF(AND(OR($C169="TRANSFERT",$C169="CONSOMMATION"),$E169=""),"EMPL. SOURCE; ","")&amp;IF(AND($C169&lt;&gt;"CONSOMMATION",$F169=""),"EMPL. DESTINATION; ","")&amp;IF(AND($C169="TRANSFERT",$E169&lt;&gt;"",$E169=$F169),"SOURCE = DESTINATION; ",""),IF($Q169="EMPLACEMENT INCOHERENT","Le lot "&amp;$D169&amp;" n'existe pas sur cet emplacement (stock 0). Verifier l'emplacement.",IF($Q169="STOCK INSUFFISANT","Disponible avant operation : "&amp;TEXT($P169,"#,##0.00")&amp;" kg. Ligne NON comptee en stock.",IF(COUNTIFS($B$5:$B$304,$B169,$C$5:$C$304,$C169,$D$5:$D$304,$D169,$G$5:$G$304,$G169)&gt;1,"Doublon possible (meme date, type, lot et quantite).",IF($K169="LOT NON REFERENCE","Creer d'abord la fiche du lot dans l'onglet LOTS.",""))))))</f>
        <v/>
      </c>
    </row>
    <row r="170" customFormat="false" ht="15" hidden="false" customHeight="false" outlineLevel="0" collapsed="false">
      <c r="A170" s="26" t="str">
        <f aca="false">IF($C170="","","OP-"&amp;TEXT(ROW()-4,"000"))</f>
        <v/>
      </c>
      <c r="B170" s="25"/>
      <c r="C170" s="24"/>
      <c r="D170" s="24"/>
      <c r="E170" s="24"/>
      <c r="F170" s="24"/>
      <c r="G170" s="29"/>
      <c r="H170" s="24"/>
      <c r="I170" s="24"/>
      <c r="J170" s="26" t="str">
        <f aca="false">IF($D170="","",IFERROR(INDEX(LOT_EXTE,MATCH($D170,LOT_KEY,0)),""))</f>
        <v/>
      </c>
      <c r="K170" s="26" t="str">
        <f aca="false">IF($D170="","",IFERROR(INDEX(LOT_PRODE,MATCH($D170,LOT_KEY,0)),"LOT NON REFERENCE"))</f>
        <v/>
      </c>
      <c r="L170" s="26" t="str">
        <f aca="false">IF($D170="","",IFERROR(INDEX(LOT_FOURNE,MATCH($D170,LOT_KEY,0)),""))</f>
        <v/>
      </c>
      <c r="M170" s="26" t="str">
        <f aca="false">IF($E170="","",IFERROR(INDEX(EMPL_CLASSE,MATCH($E170,EMPL_KEY,0)),"?"))</f>
        <v/>
      </c>
      <c r="N170" s="26" t="str">
        <f aca="false">IF($F170="","",IFERROR(INDEX(EMPL_CLASSE,MATCH($F170,EMPL_KEY,0)),"?"))</f>
        <v/>
      </c>
      <c r="O170" s="28" t="n">
        <f aca="false">IF($C170="",0,IF(OR($B170="",$D170=""),0,IF($C170="AJUSTEMENT",IF(OR(NOT(ISNUMBER($G170)),$G170=0,$F170="",$H170=""),0,1),IF(OR(NOT(ISNUMBER($G170)),$G170&lt;=0),0,IF($C170="RECEPTION",IF($F170="",0,1),IF($C170="CONSOMMATION",IF($E170="",0,1),IF(OR($E170="",$F170="",$E170=$F170),0,1)))))))</f>
        <v>0</v>
      </c>
      <c r="P170" s="27" t="str">
        <f aca="false">IF(OR($O170=0,$C170="RECEPTION"),"",IF($C170="AJUSTEMENT",IF($G170&gt;0,"",SUMIFS(MVT_BRUT,MVT_LOT,$D170,MVT_EMPL,$F170)-$G170),SUMIFS(MVT_BRUT,MVT_LOT,$D170,MVT_EMPL,$E170)+$G170))</f>
        <v/>
      </c>
      <c r="Q170" s="26" t="str">
        <f aca="false">IF($C170="","",IF($O170=0,"DONNEES MANQUANTES",IF($C170="RECEPTION","OK",IF(AND($C170="AJUSTEMENT",$G170&gt;0),"OK",IF($P170&lt;=0,"EMPLACEMENT INCOHERENT",IF(ABS($G170)&gt;$P170+0.001,"STOCK INSUFFISANT","OK"))))))</f>
        <v/>
      </c>
      <c r="R170" s="28" t="n">
        <f aca="false">IF($Q170="OK",1,0)</f>
        <v>0</v>
      </c>
      <c r="S170" s="26" t="str">
        <f aca="false">IF($C170="","",IF($O170=0,"A COMPLETER : "&amp;IF($B170="","DATE; ","")&amp;IF($D170="","LOT INTERNE; ","")&amp;IF(NOT(ISNUMBER($G170)),"QUANTITE; ",IF(AND($C170="AJUSTEMENT",$G170=0),"QUANTITE &lt;&gt; 0; ",IF(AND($C170&lt;&gt;"AJUSTEMENT",$G170&lt;=0),"QUANTITE &gt; 0; ","")))&amp;IF(AND($C170="AJUSTEMENT",$H170=""),"MOTIF; ","")&amp;IF(AND(OR($C170="TRANSFERT",$C170="CONSOMMATION"),$E170=""),"EMPL. SOURCE; ","")&amp;IF(AND($C170&lt;&gt;"CONSOMMATION",$F170=""),"EMPL. DESTINATION; ","")&amp;IF(AND($C170="TRANSFERT",$E170&lt;&gt;"",$E170=$F170),"SOURCE = DESTINATION; ",""),IF($Q170="EMPLACEMENT INCOHERENT","Le lot "&amp;$D170&amp;" n'existe pas sur cet emplacement (stock 0). Verifier l'emplacement.",IF($Q170="STOCK INSUFFISANT","Disponible avant operation : "&amp;TEXT($P170,"#,##0.00")&amp;" kg. Ligne NON comptee en stock.",IF(COUNTIFS($B$5:$B$304,$B170,$C$5:$C$304,$C170,$D$5:$D$304,$D170,$G$5:$G$304,$G170)&gt;1,"Doublon possible (meme date, type, lot et quantite).",IF($K170="LOT NON REFERENCE","Creer d'abord la fiche du lot dans l'onglet LOTS.",""))))))</f>
        <v/>
      </c>
    </row>
    <row r="171" customFormat="false" ht="15" hidden="false" customHeight="false" outlineLevel="0" collapsed="false">
      <c r="A171" s="26" t="str">
        <f aca="false">IF($C171="","","OP-"&amp;TEXT(ROW()-4,"000"))</f>
        <v/>
      </c>
      <c r="B171" s="25"/>
      <c r="C171" s="24"/>
      <c r="D171" s="24"/>
      <c r="E171" s="24"/>
      <c r="F171" s="24"/>
      <c r="G171" s="29"/>
      <c r="H171" s="24"/>
      <c r="I171" s="24"/>
      <c r="J171" s="26" t="str">
        <f aca="false">IF($D171="","",IFERROR(INDEX(LOT_EXTE,MATCH($D171,LOT_KEY,0)),""))</f>
        <v/>
      </c>
      <c r="K171" s="26" t="str">
        <f aca="false">IF($D171="","",IFERROR(INDEX(LOT_PRODE,MATCH($D171,LOT_KEY,0)),"LOT NON REFERENCE"))</f>
        <v/>
      </c>
      <c r="L171" s="26" t="str">
        <f aca="false">IF($D171="","",IFERROR(INDEX(LOT_FOURNE,MATCH($D171,LOT_KEY,0)),""))</f>
        <v/>
      </c>
      <c r="M171" s="26" t="str">
        <f aca="false">IF($E171="","",IFERROR(INDEX(EMPL_CLASSE,MATCH($E171,EMPL_KEY,0)),"?"))</f>
        <v/>
      </c>
      <c r="N171" s="26" t="str">
        <f aca="false">IF($F171="","",IFERROR(INDEX(EMPL_CLASSE,MATCH($F171,EMPL_KEY,0)),"?"))</f>
        <v/>
      </c>
      <c r="O171" s="28" t="n">
        <f aca="false">IF($C171="",0,IF(OR($B171="",$D171=""),0,IF($C171="AJUSTEMENT",IF(OR(NOT(ISNUMBER($G171)),$G171=0,$F171="",$H171=""),0,1),IF(OR(NOT(ISNUMBER($G171)),$G171&lt;=0),0,IF($C171="RECEPTION",IF($F171="",0,1),IF($C171="CONSOMMATION",IF($E171="",0,1),IF(OR($E171="",$F171="",$E171=$F171),0,1)))))))</f>
        <v>0</v>
      </c>
      <c r="P171" s="27" t="str">
        <f aca="false">IF(OR($O171=0,$C171="RECEPTION"),"",IF($C171="AJUSTEMENT",IF($G171&gt;0,"",SUMIFS(MVT_BRUT,MVT_LOT,$D171,MVT_EMPL,$F171)-$G171),SUMIFS(MVT_BRUT,MVT_LOT,$D171,MVT_EMPL,$E171)+$G171))</f>
        <v/>
      </c>
      <c r="Q171" s="26" t="str">
        <f aca="false">IF($C171="","",IF($O171=0,"DONNEES MANQUANTES",IF($C171="RECEPTION","OK",IF(AND($C171="AJUSTEMENT",$G171&gt;0),"OK",IF($P171&lt;=0,"EMPLACEMENT INCOHERENT",IF(ABS($G171)&gt;$P171+0.001,"STOCK INSUFFISANT","OK"))))))</f>
        <v/>
      </c>
      <c r="R171" s="28" t="n">
        <f aca="false">IF($Q171="OK",1,0)</f>
        <v>0</v>
      </c>
      <c r="S171" s="26" t="str">
        <f aca="false">IF($C171="","",IF($O171=0,"A COMPLETER : "&amp;IF($B171="","DATE; ","")&amp;IF($D171="","LOT INTERNE; ","")&amp;IF(NOT(ISNUMBER($G171)),"QUANTITE; ",IF(AND($C171="AJUSTEMENT",$G171=0),"QUANTITE &lt;&gt; 0; ",IF(AND($C171&lt;&gt;"AJUSTEMENT",$G171&lt;=0),"QUANTITE &gt; 0; ","")))&amp;IF(AND($C171="AJUSTEMENT",$H171=""),"MOTIF; ","")&amp;IF(AND(OR($C171="TRANSFERT",$C171="CONSOMMATION"),$E171=""),"EMPL. SOURCE; ","")&amp;IF(AND($C171&lt;&gt;"CONSOMMATION",$F171=""),"EMPL. DESTINATION; ","")&amp;IF(AND($C171="TRANSFERT",$E171&lt;&gt;"",$E171=$F171),"SOURCE = DESTINATION; ",""),IF($Q171="EMPLACEMENT INCOHERENT","Le lot "&amp;$D171&amp;" n'existe pas sur cet emplacement (stock 0). Verifier l'emplacement.",IF($Q171="STOCK INSUFFISANT","Disponible avant operation : "&amp;TEXT($P171,"#,##0.00")&amp;" kg. Ligne NON comptee en stock.",IF(COUNTIFS($B$5:$B$304,$B171,$C$5:$C$304,$C171,$D$5:$D$304,$D171,$G$5:$G$304,$G171)&gt;1,"Doublon possible (meme date, type, lot et quantite).",IF($K171="LOT NON REFERENCE","Creer d'abord la fiche du lot dans l'onglet LOTS.",""))))))</f>
        <v/>
      </c>
    </row>
    <row r="172" customFormat="false" ht="15" hidden="false" customHeight="false" outlineLevel="0" collapsed="false">
      <c r="A172" s="26" t="str">
        <f aca="false">IF($C172="","","OP-"&amp;TEXT(ROW()-4,"000"))</f>
        <v/>
      </c>
      <c r="B172" s="25"/>
      <c r="C172" s="24"/>
      <c r="D172" s="24"/>
      <c r="E172" s="24"/>
      <c r="F172" s="24"/>
      <c r="G172" s="29"/>
      <c r="H172" s="24"/>
      <c r="I172" s="24"/>
      <c r="J172" s="26" t="str">
        <f aca="false">IF($D172="","",IFERROR(INDEX(LOT_EXTE,MATCH($D172,LOT_KEY,0)),""))</f>
        <v/>
      </c>
      <c r="K172" s="26" t="str">
        <f aca="false">IF($D172="","",IFERROR(INDEX(LOT_PRODE,MATCH($D172,LOT_KEY,0)),"LOT NON REFERENCE"))</f>
        <v/>
      </c>
      <c r="L172" s="26" t="str">
        <f aca="false">IF($D172="","",IFERROR(INDEX(LOT_FOURNE,MATCH($D172,LOT_KEY,0)),""))</f>
        <v/>
      </c>
      <c r="M172" s="26" t="str">
        <f aca="false">IF($E172="","",IFERROR(INDEX(EMPL_CLASSE,MATCH($E172,EMPL_KEY,0)),"?"))</f>
        <v/>
      </c>
      <c r="N172" s="26" t="str">
        <f aca="false">IF($F172="","",IFERROR(INDEX(EMPL_CLASSE,MATCH($F172,EMPL_KEY,0)),"?"))</f>
        <v/>
      </c>
      <c r="O172" s="28" t="n">
        <f aca="false">IF($C172="",0,IF(OR($B172="",$D172=""),0,IF($C172="AJUSTEMENT",IF(OR(NOT(ISNUMBER($G172)),$G172=0,$F172="",$H172=""),0,1),IF(OR(NOT(ISNUMBER($G172)),$G172&lt;=0),0,IF($C172="RECEPTION",IF($F172="",0,1),IF($C172="CONSOMMATION",IF($E172="",0,1),IF(OR($E172="",$F172="",$E172=$F172),0,1)))))))</f>
        <v>0</v>
      </c>
      <c r="P172" s="27" t="str">
        <f aca="false">IF(OR($O172=0,$C172="RECEPTION"),"",IF($C172="AJUSTEMENT",IF($G172&gt;0,"",SUMIFS(MVT_BRUT,MVT_LOT,$D172,MVT_EMPL,$F172)-$G172),SUMIFS(MVT_BRUT,MVT_LOT,$D172,MVT_EMPL,$E172)+$G172))</f>
        <v/>
      </c>
      <c r="Q172" s="26" t="str">
        <f aca="false">IF($C172="","",IF($O172=0,"DONNEES MANQUANTES",IF($C172="RECEPTION","OK",IF(AND($C172="AJUSTEMENT",$G172&gt;0),"OK",IF($P172&lt;=0,"EMPLACEMENT INCOHERENT",IF(ABS($G172)&gt;$P172+0.001,"STOCK INSUFFISANT","OK"))))))</f>
        <v/>
      </c>
      <c r="R172" s="28" t="n">
        <f aca="false">IF($Q172="OK",1,0)</f>
        <v>0</v>
      </c>
      <c r="S172" s="26" t="str">
        <f aca="false">IF($C172="","",IF($O172=0,"A COMPLETER : "&amp;IF($B172="","DATE; ","")&amp;IF($D172="","LOT INTERNE; ","")&amp;IF(NOT(ISNUMBER($G172)),"QUANTITE; ",IF(AND($C172="AJUSTEMENT",$G172=0),"QUANTITE &lt;&gt; 0; ",IF(AND($C172&lt;&gt;"AJUSTEMENT",$G172&lt;=0),"QUANTITE &gt; 0; ","")))&amp;IF(AND($C172="AJUSTEMENT",$H172=""),"MOTIF; ","")&amp;IF(AND(OR($C172="TRANSFERT",$C172="CONSOMMATION"),$E172=""),"EMPL. SOURCE; ","")&amp;IF(AND($C172&lt;&gt;"CONSOMMATION",$F172=""),"EMPL. DESTINATION; ","")&amp;IF(AND($C172="TRANSFERT",$E172&lt;&gt;"",$E172=$F172),"SOURCE = DESTINATION; ",""),IF($Q172="EMPLACEMENT INCOHERENT","Le lot "&amp;$D172&amp;" n'existe pas sur cet emplacement (stock 0). Verifier l'emplacement.",IF($Q172="STOCK INSUFFISANT","Disponible avant operation : "&amp;TEXT($P172,"#,##0.00")&amp;" kg. Ligne NON comptee en stock.",IF(COUNTIFS($B$5:$B$304,$B172,$C$5:$C$304,$C172,$D$5:$D$304,$D172,$G$5:$G$304,$G172)&gt;1,"Doublon possible (meme date, type, lot et quantite).",IF($K172="LOT NON REFERENCE","Creer d'abord la fiche du lot dans l'onglet LOTS.",""))))))</f>
        <v/>
      </c>
    </row>
    <row r="173" customFormat="false" ht="15" hidden="false" customHeight="false" outlineLevel="0" collapsed="false">
      <c r="A173" s="26" t="str">
        <f aca="false">IF($C173="","","OP-"&amp;TEXT(ROW()-4,"000"))</f>
        <v/>
      </c>
      <c r="B173" s="25"/>
      <c r="C173" s="24"/>
      <c r="D173" s="24"/>
      <c r="E173" s="24"/>
      <c r="F173" s="24"/>
      <c r="G173" s="29"/>
      <c r="H173" s="24"/>
      <c r="I173" s="24"/>
      <c r="J173" s="26" t="str">
        <f aca="false">IF($D173="","",IFERROR(INDEX(LOT_EXTE,MATCH($D173,LOT_KEY,0)),""))</f>
        <v/>
      </c>
      <c r="K173" s="26" t="str">
        <f aca="false">IF($D173="","",IFERROR(INDEX(LOT_PRODE,MATCH($D173,LOT_KEY,0)),"LOT NON REFERENCE"))</f>
        <v/>
      </c>
      <c r="L173" s="26" t="str">
        <f aca="false">IF($D173="","",IFERROR(INDEX(LOT_FOURNE,MATCH($D173,LOT_KEY,0)),""))</f>
        <v/>
      </c>
      <c r="M173" s="26" t="str">
        <f aca="false">IF($E173="","",IFERROR(INDEX(EMPL_CLASSE,MATCH($E173,EMPL_KEY,0)),"?"))</f>
        <v/>
      </c>
      <c r="N173" s="26" t="str">
        <f aca="false">IF($F173="","",IFERROR(INDEX(EMPL_CLASSE,MATCH($F173,EMPL_KEY,0)),"?"))</f>
        <v/>
      </c>
      <c r="O173" s="28" t="n">
        <f aca="false">IF($C173="",0,IF(OR($B173="",$D173=""),0,IF($C173="AJUSTEMENT",IF(OR(NOT(ISNUMBER($G173)),$G173=0,$F173="",$H173=""),0,1),IF(OR(NOT(ISNUMBER($G173)),$G173&lt;=0),0,IF($C173="RECEPTION",IF($F173="",0,1),IF($C173="CONSOMMATION",IF($E173="",0,1),IF(OR($E173="",$F173="",$E173=$F173),0,1)))))))</f>
        <v>0</v>
      </c>
      <c r="P173" s="27" t="str">
        <f aca="false">IF(OR($O173=0,$C173="RECEPTION"),"",IF($C173="AJUSTEMENT",IF($G173&gt;0,"",SUMIFS(MVT_BRUT,MVT_LOT,$D173,MVT_EMPL,$F173)-$G173),SUMIFS(MVT_BRUT,MVT_LOT,$D173,MVT_EMPL,$E173)+$G173))</f>
        <v/>
      </c>
      <c r="Q173" s="26" t="str">
        <f aca="false">IF($C173="","",IF($O173=0,"DONNEES MANQUANTES",IF($C173="RECEPTION","OK",IF(AND($C173="AJUSTEMENT",$G173&gt;0),"OK",IF($P173&lt;=0,"EMPLACEMENT INCOHERENT",IF(ABS($G173)&gt;$P173+0.001,"STOCK INSUFFISANT","OK"))))))</f>
        <v/>
      </c>
      <c r="R173" s="28" t="n">
        <f aca="false">IF($Q173="OK",1,0)</f>
        <v>0</v>
      </c>
      <c r="S173" s="26" t="str">
        <f aca="false">IF($C173="","",IF($O173=0,"A COMPLETER : "&amp;IF($B173="","DATE; ","")&amp;IF($D173="","LOT INTERNE; ","")&amp;IF(NOT(ISNUMBER($G173)),"QUANTITE; ",IF(AND($C173="AJUSTEMENT",$G173=0),"QUANTITE &lt;&gt; 0; ",IF(AND($C173&lt;&gt;"AJUSTEMENT",$G173&lt;=0),"QUANTITE &gt; 0; ","")))&amp;IF(AND($C173="AJUSTEMENT",$H173=""),"MOTIF; ","")&amp;IF(AND(OR($C173="TRANSFERT",$C173="CONSOMMATION"),$E173=""),"EMPL. SOURCE; ","")&amp;IF(AND($C173&lt;&gt;"CONSOMMATION",$F173=""),"EMPL. DESTINATION; ","")&amp;IF(AND($C173="TRANSFERT",$E173&lt;&gt;"",$E173=$F173),"SOURCE = DESTINATION; ",""),IF($Q173="EMPLACEMENT INCOHERENT","Le lot "&amp;$D173&amp;" n'existe pas sur cet emplacement (stock 0). Verifier l'emplacement.",IF($Q173="STOCK INSUFFISANT","Disponible avant operation : "&amp;TEXT($P173,"#,##0.00")&amp;" kg. Ligne NON comptee en stock.",IF(COUNTIFS($B$5:$B$304,$B173,$C$5:$C$304,$C173,$D$5:$D$304,$D173,$G$5:$G$304,$G173)&gt;1,"Doublon possible (meme date, type, lot et quantite).",IF($K173="LOT NON REFERENCE","Creer d'abord la fiche du lot dans l'onglet LOTS.",""))))))</f>
        <v/>
      </c>
    </row>
    <row r="174" customFormat="false" ht="15" hidden="false" customHeight="false" outlineLevel="0" collapsed="false">
      <c r="A174" s="26" t="str">
        <f aca="false">IF($C174="","","OP-"&amp;TEXT(ROW()-4,"000"))</f>
        <v/>
      </c>
      <c r="B174" s="25"/>
      <c r="C174" s="24"/>
      <c r="D174" s="24"/>
      <c r="E174" s="24"/>
      <c r="F174" s="24"/>
      <c r="G174" s="29"/>
      <c r="H174" s="24"/>
      <c r="I174" s="24"/>
      <c r="J174" s="26" t="str">
        <f aca="false">IF($D174="","",IFERROR(INDEX(LOT_EXTE,MATCH($D174,LOT_KEY,0)),""))</f>
        <v/>
      </c>
      <c r="K174" s="26" t="str">
        <f aca="false">IF($D174="","",IFERROR(INDEX(LOT_PRODE,MATCH($D174,LOT_KEY,0)),"LOT NON REFERENCE"))</f>
        <v/>
      </c>
      <c r="L174" s="26" t="str">
        <f aca="false">IF($D174="","",IFERROR(INDEX(LOT_FOURNE,MATCH($D174,LOT_KEY,0)),""))</f>
        <v/>
      </c>
      <c r="M174" s="26" t="str">
        <f aca="false">IF($E174="","",IFERROR(INDEX(EMPL_CLASSE,MATCH($E174,EMPL_KEY,0)),"?"))</f>
        <v/>
      </c>
      <c r="N174" s="26" t="str">
        <f aca="false">IF($F174="","",IFERROR(INDEX(EMPL_CLASSE,MATCH($F174,EMPL_KEY,0)),"?"))</f>
        <v/>
      </c>
      <c r="O174" s="28" t="n">
        <f aca="false">IF($C174="",0,IF(OR($B174="",$D174=""),0,IF($C174="AJUSTEMENT",IF(OR(NOT(ISNUMBER($G174)),$G174=0,$F174="",$H174=""),0,1),IF(OR(NOT(ISNUMBER($G174)),$G174&lt;=0),0,IF($C174="RECEPTION",IF($F174="",0,1),IF($C174="CONSOMMATION",IF($E174="",0,1),IF(OR($E174="",$F174="",$E174=$F174),0,1)))))))</f>
        <v>0</v>
      </c>
      <c r="P174" s="27" t="str">
        <f aca="false">IF(OR($O174=0,$C174="RECEPTION"),"",IF($C174="AJUSTEMENT",IF($G174&gt;0,"",SUMIFS(MVT_BRUT,MVT_LOT,$D174,MVT_EMPL,$F174)-$G174),SUMIFS(MVT_BRUT,MVT_LOT,$D174,MVT_EMPL,$E174)+$G174))</f>
        <v/>
      </c>
      <c r="Q174" s="26" t="str">
        <f aca="false">IF($C174="","",IF($O174=0,"DONNEES MANQUANTES",IF($C174="RECEPTION","OK",IF(AND($C174="AJUSTEMENT",$G174&gt;0),"OK",IF($P174&lt;=0,"EMPLACEMENT INCOHERENT",IF(ABS($G174)&gt;$P174+0.001,"STOCK INSUFFISANT","OK"))))))</f>
        <v/>
      </c>
      <c r="R174" s="28" t="n">
        <f aca="false">IF($Q174="OK",1,0)</f>
        <v>0</v>
      </c>
      <c r="S174" s="26" t="str">
        <f aca="false">IF($C174="","",IF($O174=0,"A COMPLETER : "&amp;IF($B174="","DATE; ","")&amp;IF($D174="","LOT INTERNE; ","")&amp;IF(NOT(ISNUMBER($G174)),"QUANTITE; ",IF(AND($C174="AJUSTEMENT",$G174=0),"QUANTITE &lt;&gt; 0; ",IF(AND($C174&lt;&gt;"AJUSTEMENT",$G174&lt;=0),"QUANTITE &gt; 0; ","")))&amp;IF(AND($C174="AJUSTEMENT",$H174=""),"MOTIF; ","")&amp;IF(AND(OR($C174="TRANSFERT",$C174="CONSOMMATION"),$E174=""),"EMPL. SOURCE; ","")&amp;IF(AND($C174&lt;&gt;"CONSOMMATION",$F174=""),"EMPL. DESTINATION; ","")&amp;IF(AND($C174="TRANSFERT",$E174&lt;&gt;"",$E174=$F174),"SOURCE = DESTINATION; ",""),IF($Q174="EMPLACEMENT INCOHERENT","Le lot "&amp;$D174&amp;" n'existe pas sur cet emplacement (stock 0). Verifier l'emplacement.",IF($Q174="STOCK INSUFFISANT","Disponible avant operation : "&amp;TEXT($P174,"#,##0.00")&amp;" kg. Ligne NON comptee en stock.",IF(COUNTIFS($B$5:$B$304,$B174,$C$5:$C$304,$C174,$D$5:$D$304,$D174,$G$5:$G$304,$G174)&gt;1,"Doublon possible (meme date, type, lot et quantite).",IF($K174="LOT NON REFERENCE","Creer d'abord la fiche du lot dans l'onglet LOTS.",""))))))</f>
        <v/>
      </c>
    </row>
    <row r="175" customFormat="false" ht="15" hidden="false" customHeight="false" outlineLevel="0" collapsed="false">
      <c r="A175" s="26" t="str">
        <f aca="false">IF($C175="","","OP-"&amp;TEXT(ROW()-4,"000"))</f>
        <v/>
      </c>
      <c r="B175" s="25"/>
      <c r="C175" s="24"/>
      <c r="D175" s="24"/>
      <c r="E175" s="24"/>
      <c r="F175" s="24"/>
      <c r="G175" s="29"/>
      <c r="H175" s="24"/>
      <c r="I175" s="24"/>
      <c r="J175" s="26" t="str">
        <f aca="false">IF($D175="","",IFERROR(INDEX(LOT_EXTE,MATCH($D175,LOT_KEY,0)),""))</f>
        <v/>
      </c>
      <c r="K175" s="26" t="str">
        <f aca="false">IF($D175="","",IFERROR(INDEX(LOT_PRODE,MATCH($D175,LOT_KEY,0)),"LOT NON REFERENCE"))</f>
        <v/>
      </c>
      <c r="L175" s="26" t="str">
        <f aca="false">IF($D175="","",IFERROR(INDEX(LOT_FOURNE,MATCH($D175,LOT_KEY,0)),""))</f>
        <v/>
      </c>
      <c r="M175" s="26" t="str">
        <f aca="false">IF($E175="","",IFERROR(INDEX(EMPL_CLASSE,MATCH($E175,EMPL_KEY,0)),"?"))</f>
        <v/>
      </c>
      <c r="N175" s="26" t="str">
        <f aca="false">IF($F175="","",IFERROR(INDEX(EMPL_CLASSE,MATCH($F175,EMPL_KEY,0)),"?"))</f>
        <v/>
      </c>
      <c r="O175" s="28" t="n">
        <f aca="false">IF($C175="",0,IF(OR($B175="",$D175=""),0,IF($C175="AJUSTEMENT",IF(OR(NOT(ISNUMBER($G175)),$G175=0,$F175="",$H175=""),0,1),IF(OR(NOT(ISNUMBER($G175)),$G175&lt;=0),0,IF($C175="RECEPTION",IF($F175="",0,1),IF($C175="CONSOMMATION",IF($E175="",0,1),IF(OR($E175="",$F175="",$E175=$F175),0,1)))))))</f>
        <v>0</v>
      </c>
      <c r="P175" s="27" t="str">
        <f aca="false">IF(OR($O175=0,$C175="RECEPTION"),"",IF($C175="AJUSTEMENT",IF($G175&gt;0,"",SUMIFS(MVT_BRUT,MVT_LOT,$D175,MVT_EMPL,$F175)-$G175),SUMIFS(MVT_BRUT,MVT_LOT,$D175,MVT_EMPL,$E175)+$G175))</f>
        <v/>
      </c>
      <c r="Q175" s="26" t="str">
        <f aca="false">IF($C175="","",IF($O175=0,"DONNEES MANQUANTES",IF($C175="RECEPTION","OK",IF(AND($C175="AJUSTEMENT",$G175&gt;0),"OK",IF($P175&lt;=0,"EMPLACEMENT INCOHERENT",IF(ABS($G175)&gt;$P175+0.001,"STOCK INSUFFISANT","OK"))))))</f>
        <v/>
      </c>
      <c r="R175" s="28" t="n">
        <f aca="false">IF($Q175="OK",1,0)</f>
        <v>0</v>
      </c>
      <c r="S175" s="26" t="str">
        <f aca="false">IF($C175="","",IF($O175=0,"A COMPLETER : "&amp;IF($B175="","DATE; ","")&amp;IF($D175="","LOT INTERNE; ","")&amp;IF(NOT(ISNUMBER($G175)),"QUANTITE; ",IF(AND($C175="AJUSTEMENT",$G175=0),"QUANTITE &lt;&gt; 0; ",IF(AND($C175&lt;&gt;"AJUSTEMENT",$G175&lt;=0),"QUANTITE &gt; 0; ","")))&amp;IF(AND($C175="AJUSTEMENT",$H175=""),"MOTIF; ","")&amp;IF(AND(OR($C175="TRANSFERT",$C175="CONSOMMATION"),$E175=""),"EMPL. SOURCE; ","")&amp;IF(AND($C175&lt;&gt;"CONSOMMATION",$F175=""),"EMPL. DESTINATION; ","")&amp;IF(AND($C175="TRANSFERT",$E175&lt;&gt;"",$E175=$F175),"SOURCE = DESTINATION; ",""),IF($Q175="EMPLACEMENT INCOHERENT","Le lot "&amp;$D175&amp;" n'existe pas sur cet emplacement (stock 0). Verifier l'emplacement.",IF($Q175="STOCK INSUFFISANT","Disponible avant operation : "&amp;TEXT($P175,"#,##0.00")&amp;" kg. Ligne NON comptee en stock.",IF(COUNTIFS($B$5:$B$304,$B175,$C$5:$C$304,$C175,$D$5:$D$304,$D175,$G$5:$G$304,$G175)&gt;1,"Doublon possible (meme date, type, lot et quantite).",IF($K175="LOT NON REFERENCE","Creer d'abord la fiche du lot dans l'onglet LOTS.",""))))))</f>
        <v/>
      </c>
    </row>
    <row r="176" customFormat="false" ht="15" hidden="false" customHeight="false" outlineLevel="0" collapsed="false">
      <c r="A176" s="26" t="str">
        <f aca="false">IF($C176="","","OP-"&amp;TEXT(ROW()-4,"000"))</f>
        <v/>
      </c>
      <c r="B176" s="25"/>
      <c r="C176" s="24"/>
      <c r="D176" s="24"/>
      <c r="E176" s="24"/>
      <c r="F176" s="24"/>
      <c r="G176" s="29"/>
      <c r="H176" s="24"/>
      <c r="I176" s="24"/>
      <c r="J176" s="26" t="str">
        <f aca="false">IF($D176="","",IFERROR(INDEX(LOT_EXTE,MATCH($D176,LOT_KEY,0)),""))</f>
        <v/>
      </c>
      <c r="K176" s="26" t="str">
        <f aca="false">IF($D176="","",IFERROR(INDEX(LOT_PRODE,MATCH($D176,LOT_KEY,0)),"LOT NON REFERENCE"))</f>
        <v/>
      </c>
      <c r="L176" s="26" t="str">
        <f aca="false">IF($D176="","",IFERROR(INDEX(LOT_FOURNE,MATCH($D176,LOT_KEY,0)),""))</f>
        <v/>
      </c>
      <c r="M176" s="26" t="str">
        <f aca="false">IF($E176="","",IFERROR(INDEX(EMPL_CLASSE,MATCH($E176,EMPL_KEY,0)),"?"))</f>
        <v/>
      </c>
      <c r="N176" s="26" t="str">
        <f aca="false">IF($F176="","",IFERROR(INDEX(EMPL_CLASSE,MATCH($F176,EMPL_KEY,0)),"?"))</f>
        <v/>
      </c>
      <c r="O176" s="28" t="n">
        <f aca="false">IF($C176="",0,IF(OR($B176="",$D176=""),0,IF($C176="AJUSTEMENT",IF(OR(NOT(ISNUMBER($G176)),$G176=0,$F176="",$H176=""),0,1),IF(OR(NOT(ISNUMBER($G176)),$G176&lt;=0),0,IF($C176="RECEPTION",IF($F176="",0,1),IF($C176="CONSOMMATION",IF($E176="",0,1),IF(OR($E176="",$F176="",$E176=$F176),0,1)))))))</f>
        <v>0</v>
      </c>
      <c r="P176" s="27" t="str">
        <f aca="false">IF(OR($O176=0,$C176="RECEPTION"),"",IF($C176="AJUSTEMENT",IF($G176&gt;0,"",SUMIFS(MVT_BRUT,MVT_LOT,$D176,MVT_EMPL,$F176)-$G176),SUMIFS(MVT_BRUT,MVT_LOT,$D176,MVT_EMPL,$E176)+$G176))</f>
        <v/>
      </c>
      <c r="Q176" s="26" t="str">
        <f aca="false">IF($C176="","",IF($O176=0,"DONNEES MANQUANTES",IF($C176="RECEPTION","OK",IF(AND($C176="AJUSTEMENT",$G176&gt;0),"OK",IF($P176&lt;=0,"EMPLACEMENT INCOHERENT",IF(ABS($G176)&gt;$P176+0.001,"STOCK INSUFFISANT","OK"))))))</f>
        <v/>
      </c>
      <c r="R176" s="28" t="n">
        <f aca="false">IF($Q176="OK",1,0)</f>
        <v>0</v>
      </c>
      <c r="S176" s="26" t="str">
        <f aca="false">IF($C176="","",IF($O176=0,"A COMPLETER : "&amp;IF($B176="","DATE; ","")&amp;IF($D176="","LOT INTERNE; ","")&amp;IF(NOT(ISNUMBER($G176)),"QUANTITE; ",IF(AND($C176="AJUSTEMENT",$G176=0),"QUANTITE &lt;&gt; 0; ",IF(AND($C176&lt;&gt;"AJUSTEMENT",$G176&lt;=0),"QUANTITE &gt; 0; ","")))&amp;IF(AND($C176="AJUSTEMENT",$H176=""),"MOTIF; ","")&amp;IF(AND(OR($C176="TRANSFERT",$C176="CONSOMMATION"),$E176=""),"EMPL. SOURCE; ","")&amp;IF(AND($C176&lt;&gt;"CONSOMMATION",$F176=""),"EMPL. DESTINATION; ","")&amp;IF(AND($C176="TRANSFERT",$E176&lt;&gt;"",$E176=$F176),"SOURCE = DESTINATION; ",""),IF($Q176="EMPLACEMENT INCOHERENT","Le lot "&amp;$D176&amp;" n'existe pas sur cet emplacement (stock 0). Verifier l'emplacement.",IF($Q176="STOCK INSUFFISANT","Disponible avant operation : "&amp;TEXT($P176,"#,##0.00")&amp;" kg. Ligne NON comptee en stock.",IF(COUNTIFS($B$5:$B$304,$B176,$C$5:$C$304,$C176,$D$5:$D$304,$D176,$G$5:$G$304,$G176)&gt;1,"Doublon possible (meme date, type, lot et quantite).",IF($K176="LOT NON REFERENCE","Creer d'abord la fiche du lot dans l'onglet LOTS.",""))))))</f>
        <v/>
      </c>
    </row>
    <row r="177" customFormat="false" ht="15" hidden="false" customHeight="false" outlineLevel="0" collapsed="false">
      <c r="A177" s="26" t="str">
        <f aca="false">IF($C177="","","OP-"&amp;TEXT(ROW()-4,"000"))</f>
        <v/>
      </c>
      <c r="B177" s="25"/>
      <c r="C177" s="24"/>
      <c r="D177" s="24"/>
      <c r="E177" s="24"/>
      <c r="F177" s="24"/>
      <c r="G177" s="29"/>
      <c r="H177" s="24"/>
      <c r="I177" s="24"/>
      <c r="J177" s="26" t="str">
        <f aca="false">IF($D177="","",IFERROR(INDEX(LOT_EXTE,MATCH($D177,LOT_KEY,0)),""))</f>
        <v/>
      </c>
      <c r="K177" s="26" t="str">
        <f aca="false">IF($D177="","",IFERROR(INDEX(LOT_PRODE,MATCH($D177,LOT_KEY,0)),"LOT NON REFERENCE"))</f>
        <v/>
      </c>
      <c r="L177" s="26" t="str">
        <f aca="false">IF($D177="","",IFERROR(INDEX(LOT_FOURNE,MATCH($D177,LOT_KEY,0)),""))</f>
        <v/>
      </c>
      <c r="M177" s="26" t="str">
        <f aca="false">IF($E177="","",IFERROR(INDEX(EMPL_CLASSE,MATCH($E177,EMPL_KEY,0)),"?"))</f>
        <v/>
      </c>
      <c r="N177" s="26" t="str">
        <f aca="false">IF($F177="","",IFERROR(INDEX(EMPL_CLASSE,MATCH($F177,EMPL_KEY,0)),"?"))</f>
        <v/>
      </c>
      <c r="O177" s="28" t="n">
        <f aca="false">IF($C177="",0,IF(OR($B177="",$D177=""),0,IF($C177="AJUSTEMENT",IF(OR(NOT(ISNUMBER($G177)),$G177=0,$F177="",$H177=""),0,1),IF(OR(NOT(ISNUMBER($G177)),$G177&lt;=0),0,IF($C177="RECEPTION",IF($F177="",0,1),IF($C177="CONSOMMATION",IF($E177="",0,1),IF(OR($E177="",$F177="",$E177=$F177),0,1)))))))</f>
        <v>0</v>
      </c>
      <c r="P177" s="27" t="str">
        <f aca="false">IF(OR($O177=0,$C177="RECEPTION"),"",IF($C177="AJUSTEMENT",IF($G177&gt;0,"",SUMIFS(MVT_BRUT,MVT_LOT,$D177,MVT_EMPL,$F177)-$G177),SUMIFS(MVT_BRUT,MVT_LOT,$D177,MVT_EMPL,$E177)+$G177))</f>
        <v/>
      </c>
      <c r="Q177" s="26" t="str">
        <f aca="false">IF($C177="","",IF($O177=0,"DONNEES MANQUANTES",IF($C177="RECEPTION","OK",IF(AND($C177="AJUSTEMENT",$G177&gt;0),"OK",IF($P177&lt;=0,"EMPLACEMENT INCOHERENT",IF(ABS($G177)&gt;$P177+0.001,"STOCK INSUFFISANT","OK"))))))</f>
        <v/>
      </c>
      <c r="R177" s="28" t="n">
        <f aca="false">IF($Q177="OK",1,0)</f>
        <v>0</v>
      </c>
      <c r="S177" s="26" t="str">
        <f aca="false">IF($C177="","",IF($O177=0,"A COMPLETER : "&amp;IF($B177="","DATE; ","")&amp;IF($D177="","LOT INTERNE; ","")&amp;IF(NOT(ISNUMBER($G177)),"QUANTITE; ",IF(AND($C177="AJUSTEMENT",$G177=0),"QUANTITE &lt;&gt; 0; ",IF(AND($C177&lt;&gt;"AJUSTEMENT",$G177&lt;=0),"QUANTITE &gt; 0; ","")))&amp;IF(AND($C177="AJUSTEMENT",$H177=""),"MOTIF; ","")&amp;IF(AND(OR($C177="TRANSFERT",$C177="CONSOMMATION"),$E177=""),"EMPL. SOURCE; ","")&amp;IF(AND($C177&lt;&gt;"CONSOMMATION",$F177=""),"EMPL. DESTINATION; ","")&amp;IF(AND($C177="TRANSFERT",$E177&lt;&gt;"",$E177=$F177),"SOURCE = DESTINATION; ",""),IF($Q177="EMPLACEMENT INCOHERENT","Le lot "&amp;$D177&amp;" n'existe pas sur cet emplacement (stock 0). Verifier l'emplacement.",IF($Q177="STOCK INSUFFISANT","Disponible avant operation : "&amp;TEXT($P177,"#,##0.00")&amp;" kg. Ligne NON comptee en stock.",IF(COUNTIFS($B$5:$B$304,$B177,$C$5:$C$304,$C177,$D$5:$D$304,$D177,$G$5:$G$304,$G177)&gt;1,"Doublon possible (meme date, type, lot et quantite).",IF($K177="LOT NON REFERENCE","Creer d'abord la fiche du lot dans l'onglet LOTS.",""))))))</f>
        <v/>
      </c>
    </row>
    <row r="178" customFormat="false" ht="15" hidden="false" customHeight="false" outlineLevel="0" collapsed="false">
      <c r="A178" s="26" t="str">
        <f aca="false">IF($C178="","","OP-"&amp;TEXT(ROW()-4,"000"))</f>
        <v/>
      </c>
      <c r="B178" s="25"/>
      <c r="C178" s="24"/>
      <c r="D178" s="24"/>
      <c r="E178" s="24"/>
      <c r="F178" s="24"/>
      <c r="G178" s="29"/>
      <c r="H178" s="24"/>
      <c r="I178" s="24"/>
      <c r="J178" s="26" t="str">
        <f aca="false">IF($D178="","",IFERROR(INDEX(LOT_EXTE,MATCH($D178,LOT_KEY,0)),""))</f>
        <v/>
      </c>
      <c r="K178" s="26" t="str">
        <f aca="false">IF($D178="","",IFERROR(INDEX(LOT_PRODE,MATCH($D178,LOT_KEY,0)),"LOT NON REFERENCE"))</f>
        <v/>
      </c>
      <c r="L178" s="26" t="str">
        <f aca="false">IF($D178="","",IFERROR(INDEX(LOT_FOURNE,MATCH($D178,LOT_KEY,0)),""))</f>
        <v/>
      </c>
      <c r="M178" s="26" t="str">
        <f aca="false">IF($E178="","",IFERROR(INDEX(EMPL_CLASSE,MATCH($E178,EMPL_KEY,0)),"?"))</f>
        <v/>
      </c>
      <c r="N178" s="26" t="str">
        <f aca="false">IF($F178="","",IFERROR(INDEX(EMPL_CLASSE,MATCH($F178,EMPL_KEY,0)),"?"))</f>
        <v/>
      </c>
      <c r="O178" s="28" t="n">
        <f aca="false">IF($C178="",0,IF(OR($B178="",$D178=""),0,IF($C178="AJUSTEMENT",IF(OR(NOT(ISNUMBER($G178)),$G178=0,$F178="",$H178=""),0,1),IF(OR(NOT(ISNUMBER($G178)),$G178&lt;=0),0,IF($C178="RECEPTION",IF($F178="",0,1),IF($C178="CONSOMMATION",IF($E178="",0,1),IF(OR($E178="",$F178="",$E178=$F178),0,1)))))))</f>
        <v>0</v>
      </c>
      <c r="P178" s="27" t="str">
        <f aca="false">IF(OR($O178=0,$C178="RECEPTION"),"",IF($C178="AJUSTEMENT",IF($G178&gt;0,"",SUMIFS(MVT_BRUT,MVT_LOT,$D178,MVT_EMPL,$F178)-$G178),SUMIFS(MVT_BRUT,MVT_LOT,$D178,MVT_EMPL,$E178)+$G178))</f>
        <v/>
      </c>
      <c r="Q178" s="26" t="str">
        <f aca="false">IF($C178="","",IF($O178=0,"DONNEES MANQUANTES",IF($C178="RECEPTION","OK",IF(AND($C178="AJUSTEMENT",$G178&gt;0),"OK",IF($P178&lt;=0,"EMPLACEMENT INCOHERENT",IF(ABS($G178)&gt;$P178+0.001,"STOCK INSUFFISANT","OK"))))))</f>
        <v/>
      </c>
      <c r="R178" s="28" t="n">
        <f aca="false">IF($Q178="OK",1,0)</f>
        <v>0</v>
      </c>
      <c r="S178" s="26" t="str">
        <f aca="false">IF($C178="","",IF($O178=0,"A COMPLETER : "&amp;IF($B178="","DATE; ","")&amp;IF($D178="","LOT INTERNE; ","")&amp;IF(NOT(ISNUMBER($G178)),"QUANTITE; ",IF(AND($C178="AJUSTEMENT",$G178=0),"QUANTITE &lt;&gt; 0; ",IF(AND($C178&lt;&gt;"AJUSTEMENT",$G178&lt;=0),"QUANTITE &gt; 0; ","")))&amp;IF(AND($C178="AJUSTEMENT",$H178=""),"MOTIF; ","")&amp;IF(AND(OR($C178="TRANSFERT",$C178="CONSOMMATION"),$E178=""),"EMPL. SOURCE; ","")&amp;IF(AND($C178&lt;&gt;"CONSOMMATION",$F178=""),"EMPL. DESTINATION; ","")&amp;IF(AND($C178="TRANSFERT",$E178&lt;&gt;"",$E178=$F178),"SOURCE = DESTINATION; ",""),IF($Q178="EMPLACEMENT INCOHERENT","Le lot "&amp;$D178&amp;" n'existe pas sur cet emplacement (stock 0). Verifier l'emplacement.",IF($Q178="STOCK INSUFFISANT","Disponible avant operation : "&amp;TEXT($P178,"#,##0.00")&amp;" kg. Ligne NON comptee en stock.",IF(COUNTIFS($B$5:$B$304,$B178,$C$5:$C$304,$C178,$D$5:$D$304,$D178,$G$5:$G$304,$G178)&gt;1,"Doublon possible (meme date, type, lot et quantite).",IF($K178="LOT NON REFERENCE","Creer d'abord la fiche du lot dans l'onglet LOTS.",""))))))</f>
        <v/>
      </c>
    </row>
    <row r="179" customFormat="false" ht="15" hidden="false" customHeight="false" outlineLevel="0" collapsed="false">
      <c r="A179" s="26" t="str">
        <f aca="false">IF($C179="","","OP-"&amp;TEXT(ROW()-4,"000"))</f>
        <v/>
      </c>
      <c r="B179" s="25"/>
      <c r="C179" s="24"/>
      <c r="D179" s="24"/>
      <c r="E179" s="24"/>
      <c r="F179" s="24"/>
      <c r="G179" s="29"/>
      <c r="H179" s="24"/>
      <c r="I179" s="24"/>
      <c r="J179" s="26" t="str">
        <f aca="false">IF($D179="","",IFERROR(INDEX(LOT_EXTE,MATCH($D179,LOT_KEY,0)),""))</f>
        <v/>
      </c>
      <c r="K179" s="26" t="str">
        <f aca="false">IF($D179="","",IFERROR(INDEX(LOT_PRODE,MATCH($D179,LOT_KEY,0)),"LOT NON REFERENCE"))</f>
        <v/>
      </c>
      <c r="L179" s="26" t="str">
        <f aca="false">IF($D179="","",IFERROR(INDEX(LOT_FOURNE,MATCH($D179,LOT_KEY,0)),""))</f>
        <v/>
      </c>
      <c r="M179" s="26" t="str">
        <f aca="false">IF($E179="","",IFERROR(INDEX(EMPL_CLASSE,MATCH($E179,EMPL_KEY,0)),"?"))</f>
        <v/>
      </c>
      <c r="N179" s="26" t="str">
        <f aca="false">IF($F179="","",IFERROR(INDEX(EMPL_CLASSE,MATCH($F179,EMPL_KEY,0)),"?"))</f>
        <v/>
      </c>
      <c r="O179" s="28" t="n">
        <f aca="false">IF($C179="",0,IF(OR($B179="",$D179=""),0,IF($C179="AJUSTEMENT",IF(OR(NOT(ISNUMBER($G179)),$G179=0,$F179="",$H179=""),0,1),IF(OR(NOT(ISNUMBER($G179)),$G179&lt;=0),0,IF($C179="RECEPTION",IF($F179="",0,1),IF($C179="CONSOMMATION",IF($E179="",0,1),IF(OR($E179="",$F179="",$E179=$F179),0,1)))))))</f>
        <v>0</v>
      </c>
      <c r="P179" s="27" t="str">
        <f aca="false">IF(OR($O179=0,$C179="RECEPTION"),"",IF($C179="AJUSTEMENT",IF($G179&gt;0,"",SUMIFS(MVT_BRUT,MVT_LOT,$D179,MVT_EMPL,$F179)-$G179),SUMIFS(MVT_BRUT,MVT_LOT,$D179,MVT_EMPL,$E179)+$G179))</f>
        <v/>
      </c>
      <c r="Q179" s="26" t="str">
        <f aca="false">IF($C179="","",IF($O179=0,"DONNEES MANQUANTES",IF($C179="RECEPTION","OK",IF(AND($C179="AJUSTEMENT",$G179&gt;0),"OK",IF($P179&lt;=0,"EMPLACEMENT INCOHERENT",IF(ABS($G179)&gt;$P179+0.001,"STOCK INSUFFISANT","OK"))))))</f>
        <v/>
      </c>
      <c r="R179" s="28" t="n">
        <f aca="false">IF($Q179="OK",1,0)</f>
        <v>0</v>
      </c>
      <c r="S179" s="26" t="str">
        <f aca="false">IF($C179="","",IF($O179=0,"A COMPLETER : "&amp;IF($B179="","DATE; ","")&amp;IF($D179="","LOT INTERNE; ","")&amp;IF(NOT(ISNUMBER($G179)),"QUANTITE; ",IF(AND($C179="AJUSTEMENT",$G179=0),"QUANTITE &lt;&gt; 0; ",IF(AND($C179&lt;&gt;"AJUSTEMENT",$G179&lt;=0),"QUANTITE &gt; 0; ","")))&amp;IF(AND($C179="AJUSTEMENT",$H179=""),"MOTIF; ","")&amp;IF(AND(OR($C179="TRANSFERT",$C179="CONSOMMATION"),$E179=""),"EMPL. SOURCE; ","")&amp;IF(AND($C179&lt;&gt;"CONSOMMATION",$F179=""),"EMPL. DESTINATION; ","")&amp;IF(AND($C179="TRANSFERT",$E179&lt;&gt;"",$E179=$F179),"SOURCE = DESTINATION; ",""),IF($Q179="EMPLACEMENT INCOHERENT","Le lot "&amp;$D179&amp;" n'existe pas sur cet emplacement (stock 0). Verifier l'emplacement.",IF($Q179="STOCK INSUFFISANT","Disponible avant operation : "&amp;TEXT($P179,"#,##0.00")&amp;" kg. Ligne NON comptee en stock.",IF(COUNTIFS($B$5:$B$304,$B179,$C$5:$C$304,$C179,$D$5:$D$304,$D179,$G$5:$G$304,$G179)&gt;1,"Doublon possible (meme date, type, lot et quantite).",IF($K179="LOT NON REFERENCE","Creer d'abord la fiche du lot dans l'onglet LOTS.",""))))))</f>
        <v/>
      </c>
    </row>
    <row r="180" customFormat="false" ht="15" hidden="false" customHeight="false" outlineLevel="0" collapsed="false">
      <c r="A180" s="26" t="str">
        <f aca="false">IF($C180="","","OP-"&amp;TEXT(ROW()-4,"000"))</f>
        <v/>
      </c>
      <c r="B180" s="25"/>
      <c r="C180" s="24"/>
      <c r="D180" s="24"/>
      <c r="E180" s="24"/>
      <c r="F180" s="24"/>
      <c r="G180" s="29"/>
      <c r="H180" s="24"/>
      <c r="I180" s="24"/>
      <c r="J180" s="26" t="str">
        <f aca="false">IF($D180="","",IFERROR(INDEX(LOT_EXTE,MATCH($D180,LOT_KEY,0)),""))</f>
        <v/>
      </c>
      <c r="K180" s="26" t="str">
        <f aca="false">IF($D180="","",IFERROR(INDEX(LOT_PRODE,MATCH($D180,LOT_KEY,0)),"LOT NON REFERENCE"))</f>
        <v/>
      </c>
      <c r="L180" s="26" t="str">
        <f aca="false">IF($D180="","",IFERROR(INDEX(LOT_FOURNE,MATCH($D180,LOT_KEY,0)),""))</f>
        <v/>
      </c>
      <c r="M180" s="26" t="str">
        <f aca="false">IF($E180="","",IFERROR(INDEX(EMPL_CLASSE,MATCH($E180,EMPL_KEY,0)),"?"))</f>
        <v/>
      </c>
      <c r="N180" s="26" t="str">
        <f aca="false">IF($F180="","",IFERROR(INDEX(EMPL_CLASSE,MATCH($F180,EMPL_KEY,0)),"?"))</f>
        <v/>
      </c>
      <c r="O180" s="28" t="n">
        <f aca="false">IF($C180="",0,IF(OR($B180="",$D180=""),0,IF($C180="AJUSTEMENT",IF(OR(NOT(ISNUMBER($G180)),$G180=0,$F180="",$H180=""),0,1),IF(OR(NOT(ISNUMBER($G180)),$G180&lt;=0),0,IF($C180="RECEPTION",IF($F180="",0,1),IF($C180="CONSOMMATION",IF($E180="",0,1),IF(OR($E180="",$F180="",$E180=$F180),0,1)))))))</f>
        <v>0</v>
      </c>
      <c r="P180" s="27" t="str">
        <f aca="false">IF(OR($O180=0,$C180="RECEPTION"),"",IF($C180="AJUSTEMENT",IF($G180&gt;0,"",SUMIFS(MVT_BRUT,MVT_LOT,$D180,MVT_EMPL,$F180)-$G180),SUMIFS(MVT_BRUT,MVT_LOT,$D180,MVT_EMPL,$E180)+$G180))</f>
        <v/>
      </c>
      <c r="Q180" s="26" t="str">
        <f aca="false">IF($C180="","",IF($O180=0,"DONNEES MANQUANTES",IF($C180="RECEPTION","OK",IF(AND($C180="AJUSTEMENT",$G180&gt;0),"OK",IF($P180&lt;=0,"EMPLACEMENT INCOHERENT",IF(ABS($G180)&gt;$P180+0.001,"STOCK INSUFFISANT","OK"))))))</f>
        <v/>
      </c>
      <c r="R180" s="28" t="n">
        <f aca="false">IF($Q180="OK",1,0)</f>
        <v>0</v>
      </c>
      <c r="S180" s="26" t="str">
        <f aca="false">IF($C180="","",IF($O180=0,"A COMPLETER : "&amp;IF($B180="","DATE; ","")&amp;IF($D180="","LOT INTERNE; ","")&amp;IF(NOT(ISNUMBER($G180)),"QUANTITE; ",IF(AND($C180="AJUSTEMENT",$G180=0),"QUANTITE &lt;&gt; 0; ",IF(AND($C180&lt;&gt;"AJUSTEMENT",$G180&lt;=0),"QUANTITE &gt; 0; ","")))&amp;IF(AND($C180="AJUSTEMENT",$H180=""),"MOTIF; ","")&amp;IF(AND(OR($C180="TRANSFERT",$C180="CONSOMMATION"),$E180=""),"EMPL. SOURCE; ","")&amp;IF(AND($C180&lt;&gt;"CONSOMMATION",$F180=""),"EMPL. DESTINATION; ","")&amp;IF(AND($C180="TRANSFERT",$E180&lt;&gt;"",$E180=$F180),"SOURCE = DESTINATION; ",""),IF($Q180="EMPLACEMENT INCOHERENT","Le lot "&amp;$D180&amp;" n'existe pas sur cet emplacement (stock 0). Verifier l'emplacement.",IF($Q180="STOCK INSUFFISANT","Disponible avant operation : "&amp;TEXT($P180,"#,##0.00")&amp;" kg. Ligne NON comptee en stock.",IF(COUNTIFS($B$5:$B$304,$B180,$C$5:$C$304,$C180,$D$5:$D$304,$D180,$G$5:$G$304,$G180)&gt;1,"Doublon possible (meme date, type, lot et quantite).",IF($K180="LOT NON REFERENCE","Creer d'abord la fiche du lot dans l'onglet LOTS.",""))))))</f>
        <v/>
      </c>
    </row>
    <row r="181" customFormat="false" ht="15" hidden="false" customHeight="false" outlineLevel="0" collapsed="false">
      <c r="A181" s="26" t="str">
        <f aca="false">IF($C181="","","OP-"&amp;TEXT(ROW()-4,"000"))</f>
        <v/>
      </c>
      <c r="B181" s="25"/>
      <c r="C181" s="24"/>
      <c r="D181" s="24"/>
      <c r="E181" s="24"/>
      <c r="F181" s="24"/>
      <c r="G181" s="29"/>
      <c r="H181" s="24"/>
      <c r="I181" s="24"/>
      <c r="J181" s="26" t="str">
        <f aca="false">IF($D181="","",IFERROR(INDEX(LOT_EXTE,MATCH($D181,LOT_KEY,0)),""))</f>
        <v/>
      </c>
      <c r="K181" s="26" t="str">
        <f aca="false">IF($D181="","",IFERROR(INDEX(LOT_PRODE,MATCH($D181,LOT_KEY,0)),"LOT NON REFERENCE"))</f>
        <v/>
      </c>
      <c r="L181" s="26" t="str">
        <f aca="false">IF($D181="","",IFERROR(INDEX(LOT_FOURNE,MATCH($D181,LOT_KEY,0)),""))</f>
        <v/>
      </c>
      <c r="M181" s="26" t="str">
        <f aca="false">IF($E181="","",IFERROR(INDEX(EMPL_CLASSE,MATCH($E181,EMPL_KEY,0)),"?"))</f>
        <v/>
      </c>
      <c r="N181" s="26" t="str">
        <f aca="false">IF($F181="","",IFERROR(INDEX(EMPL_CLASSE,MATCH($F181,EMPL_KEY,0)),"?"))</f>
        <v/>
      </c>
      <c r="O181" s="28" t="n">
        <f aca="false">IF($C181="",0,IF(OR($B181="",$D181=""),0,IF($C181="AJUSTEMENT",IF(OR(NOT(ISNUMBER($G181)),$G181=0,$F181="",$H181=""),0,1),IF(OR(NOT(ISNUMBER($G181)),$G181&lt;=0),0,IF($C181="RECEPTION",IF($F181="",0,1),IF($C181="CONSOMMATION",IF($E181="",0,1),IF(OR($E181="",$F181="",$E181=$F181),0,1)))))))</f>
        <v>0</v>
      </c>
      <c r="P181" s="27" t="str">
        <f aca="false">IF(OR($O181=0,$C181="RECEPTION"),"",IF($C181="AJUSTEMENT",IF($G181&gt;0,"",SUMIFS(MVT_BRUT,MVT_LOT,$D181,MVT_EMPL,$F181)-$G181),SUMIFS(MVT_BRUT,MVT_LOT,$D181,MVT_EMPL,$E181)+$G181))</f>
        <v/>
      </c>
      <c r="Q181" s="26" t="str">
        <f aca="false">IF($C181="","",IF($O181=0,"DONNEES MANQUANTES",IF($C181="RECEPTION","OK",IF(AND($C181="AJUSTEMENT",$G181&gt;0),"OK",IF($P181&lt;=0,"EMPLACEMENT INCOHERENT",IF(ABS($G181)&gt;$P181+0.001,"STOCK INSUFFISANT","OK"))))))</f>
        <v/>
      </c>
      <c r="R181" s="28" t="n">
        <f aca="false">IF($Q181="OK",1,0)</f>
        <v>0</v>
      </c>
      <c r="S181" s="26" t="str">
        <f aca="false">IF($C181="","",IF($O181=0,"A COMPLETER : "&amp;IF($B181="","DATE; ","")&amp;IF($D181="","LOT INTERNE; ","")&amp;IF(NOT(ISNUMBER($G181)),"QUANTITE; ",IF(AND($C181="AJUSTEMENT",$G181=0),"QUANTITE &lt;&gt; 0; ",IF(AND($C181&lt;&gt;"AJUSTEMENT",$G181&lt;=0),"QUANTITE &gt; 0; ","")))&amp;IF(AND($C181="AJUSTEMENT",$H181=""),"MOTIF; ","")&amp;IF(AND(OR($C181="TRANSFERT",$C181="CONSOMMATION"),$E181=""),"EMPL. SOURCE; ","")&amp;IF(AND($C181&lt;&gt;"CONSOMMATION",$F181=""),"EMPL. DESTINATION; ","")&amp;IF(AND($C181="TRANSFERT",$E181&lt;&gt;"",$E181=$F181),"SOURCE = DESTINATION; ",""),IF($Q181="EMPLACEMENT INCOHERENT","Le lot "&amp;$D181&amp;" n'existe pas sur cet emplacement (stock 0). Verifier l'emplacement.",IF($Q181="STOCK INSUFFISANT","Disponible avant operation : "&amp;TEXT($P181,"#,##0.00")&amp;" kg. Ligne NON comptee en stock.",IF(COUNTIFS($B$5:$B$304,$B181,$C$5:$C$304,$C181,$D$5:$D$304,$D181,$G$5:$G$304,$G181)&gt;1,"Doublon possible (meme date, type, lot et quantite).",IF($K181="LOT NON REFERENCE","Creer d'abord la fiche du lot dans l'onglet LOTS.",""))))))</f>
        <v/>
      </c>
    </row>
    <row r="182" customFormat="false" ht="15" hidden="false" customHeight="false" outlineLevel="0" collapsed="false">
      <c r="A182" s="26" t="str">
        <f aca="false">IF($C182="","","OP-"&amp;TEXT(ROW()-4,"000"))</f>
        <v/>
      </c>
      <c r="B182" s="25"/>
      <c r="C182" s="24"/>
      <c r="D182" s="24"/>
      <c r="E182" s="24"/>
      <c r="F182" s="24"/>
      <c r="G182" s="29"/>
      <c r="H182" s="24"/>
      <c r="I182" s="24"/>
      <c r="J182" s="26" t="str">
        <f aca="false">IF($D182="","",IFERROR(INDEX(LOT_EXTE,MATCH($D182,LOT_KEY,0)),""))</f>
        <v/>
      </c>
      <c r="K182" s="26" t="str">
        <f aca="false">IF($D182="","",IFERROR(INDEX(LOT_PRODE,MATCH($D182,LOT_KEY,0)),"LOT NON REFERENCE"))</f>
        <v/>
      </c>
      <c r="L182" s="26" t="str">
        <f aca="false">IF($D182="","",IFERROR(INDEX(LOT_FOURNE,MATCH($D182,LOT_KEY,0)),""))</f>
        <v/>
      </c>
      <c r="M182" s="26" t="str">
        <f aca="false">IF($E182="","",IFERROR(INDEX(EMPL_CLASSE,MATCH($E182,EMPL_KEY,0)),"?"))</f>
        <v/>
      </c>
      <c r="N182" s="26" t="str">
        <f aca="false">IF($F182="","",IFERROR(INDEX(EMPL_CLASSE,MATCH($F182,EMPL_KEY,0)),"?"))</f>
        <v/>
      </c>
      <c r="O182" s="28" t="n">
        <f aca="false">IF($C182="",0,IF(OR($B182="",$D182=""),0,IF($C182="AJUSTEMENT",IF(OR(NOT(ISNUMBER($G182)),$G182=0,$F182="",$H182=""),0,1),IF(OR(NOT(ISNUMBER($G182)),$G182&lt;=0),0,IF($C182="RECEPTION",IF($F182="",0,1),IF($C182="CONSOMMATION",IF($E182="",0,1),IF(OR($E182="",$F182="",$E182=$F182),0,1)))))))</f>
        <v>0</v>
      </c>
      <c r="P182" s="27" t="str">
        <f aca="false">IF(OR($O182=0,$C182="RECEPTION"),"",IF($C182="AJUSTEMENT",IF($G182&gt;0,"",SUMIFS(MVT_BRUT,MVT_LOT,$D182,MVT_EMPL,$F182)-$G182),SUMIFS(MVT_BRUT,MVT_LOT,$D182,MVT_EMPL,$E182)+$G182))</f>
        <v/>
      </c>
      <c r="Q182" s="26" t="str">
        <f aca="false">IF($C182="","",IF($O182=0,"DONNEES MANQUANTES",IF($C182="RECEPTION","OK",IF(AND($C182="AJUSTEMENT",$G182&gt;0),"OK",IF($P182&lt;=0,"EMPLACEMENT INCOHERENT",IF(ABS($G182)&gt;$P182+0.001,"STOCK INSUFFISANT","OK"))))))</f>
        <v/>
      </c>
      <c r="R182" s="28" t="n">
        <f aca="false">IF($Q182="OK",1,0)</f>
        <v>0</v>
      </c>
      <c r="S182" s="26" t="str">
        <f aca="false">IF($C182="","",IF($O182=0,"A COMPLETER : "&amp;IF($B182="","DATE; ","")&amp;IF($D182="","LOT INTERNE; ","")&amp;IF(NOT(ISNUMBER($G182)),"QUANTITE; ",IF(AND($C182="AJUSTEMENT",$G182=0),"QUANTITE &lt;&gt; 0; ",IF(AND($C182&lt;&gt;"AJUSTEMENT",$G182&lt;=0),"QUANTITE &gt; 0; ","")))&amp;IF(AND($C182="AJUSTEMENT",$H182=""),"MOTIF; ","")&amp;IF(AND(OR($C182="TRANSFERT",$C182="CONSOMMATION"),$E182=""),"EMPL. SOURCE; ","")&amp;IF(AND($C182&lt;&gt;"CONSOMMATION",$F182=""),"EMPL. DESTINATION; ","")&amp;IF(AND($C182="TRANSFERT",$E182&lt;&gt;"",$E182=$F182),"SOURCE = DESTINATION; ",""),IF($Q182="EMPLACEMENT INCOHERENT","Le lot "&amp;$D182&amp;" n'existe pas sur cet emplacement (stock 0). Verifier l'emplacement.",IF($Q182="STOCK INSUFFISANT","Disponible avant operation : "&amp;TEXT($P182,"#,##0.00")&amp;" kg. Ligne NON comptee en stock.",IF(COUNTIFS($B$5:$B$304,$B182,$C$5:$C$304,$C182,$D$5:$D$304,$D182,$G$5:$G$304,$G182)&gt;1,"Doublon possible (meme date, type, lot et quantite).",IF($K182="LOT NON REFERENCE","Creer d'abord la fiche du lot dans l'onglet LOTS.",""))))))</f>
        <v/>
      </c>
    </row>
    <row r="183" customFormat="false" ht="15" hidden="false" customHeight="false" outlineLevel="0" collapsed="false">
      <c r="A183" s="26" t="str">
        <f aca="false">IF($C183="","","OP-"&amp;TEXT(ROW()-4,"000"))</f>
        <v/>
      </c>
      <c r="B183" s="25"/>
      <c r="C183" s="24"/>
      <c r="D183" s="24"/>
      <c r="E183" s="24"/>
      <c r="F183" s="24"/>
      <c r="G183" s="29"/>
      <c r="H183" s="24"/>
      <c r="I183" s="24"/>
      <c r="J183" s="26" t="str">
        <f aca="false">IF($D183="","",IFERROR(INDEX(LOT_EXTE,MATCH($D183,LOT_KEY,0)),""))</f>
        <v/>
      </c>
      <c r="K183" s="26" t="str">
        <f aca="false">IF($D183="","",IFERROR(INDEX(LOT_PRODE,MATCH($D183,LOT_KEY,0)),"LOT NON REFERENCE"))</f>
        <v/>
      </c>
      <c r="L183" s="26" t="str">
        <f aca="false">IF($D183="","",IFERROR(INDEX(LOT_FOURNE,MATCH($D183,LOT_KEY,0)),""))</f>
        <v/>
      </c>
      <c r="M183" s="26" t="str">
        <f aca="false">IF($E183="","",IFERROR(INDEX(EMPL_CLASSE,MATCH($E183,EMPL_KEY,0)),"?"))</f>
        <v/>
      </c>
      <c r="N183" s="26" t="str">
        <f aca="false">IF($F183="","",IFERROR(INDEX(EMPL_CLASSE,MATCH($F183,EMPL_KEY,0)),"?"))</f>
        <v/>
      </c>
      <c r="O183" s="28" t="n">
        <f aca="false">IF($C183="",0,IF(OR($B183="",$D183=""),0,IF($C183="AJUSTEMENT",IF(OR(NOT(ISNUMBER($G183)),$G183=0,$F183="",$H183=""),0,1),IF(OR(NOT(ISNUMBER($G183)),$G183&lt;=0),0,IF($C183="RECEPTION",IF($F183="",0,1),IF($C183="CONSOMMATION",IF($E183="",0,1),IF(OR($E183="",$F183="",$E183=$F183),0,1)))))))</f>
        <v>0</v>
      </c>
      <c r="P183" s="27" t="str">
        <f aca="false">IF(OR($O183=0,$C183="RECEPTION"),"",IF($C183="AJUSTEMENT",IF($G183&gt;0,"",SUMIFS(MVT_BRUT,MVT_LOT,$D183,MVT_EMPL,$F183)-$G183),SUMIFS(MVT_BRUT,MVT_LOT,$D183,MVT_EMPL,$E183)+$G183))</f>
        <v/>
      </c>
      <c r="Q183" s="26" t="str">
        <f aca="false">IF($C183="","",IF($O183=0,"DONNEES MANQUANTES",IF($C183="RECEPTION","OK",IF(AND($C183="AJUSTEMENT",$G183&gt;0),"OK",IF($P183&lt;=0,"EMPLACEMENT INCOHERENT",IF(ABS($G183)&gt;$P183+0.001,"STOCK INSUFFISANT","OK"))))))</f>
        <v/>
      </c>
      <c r="R183" s="28" t="n">
        <f aca="false">IF($Q183="OK",1,0)</f>
        <v>0</v>
      </c>
      <c r="S183" s="26" t="str">
        <f aca="false">IF($C183="","",IF($O183=0,"A COMPLETER : "&amp;IF($B183="","DATE; ","")&amp;IF($D183="","LOT INTERNE; ","")&amp;IF(NOT(ISNUMBER($G183)),"QUANTITE; ",IF(AND($C183="AJUSTEMENT",$G183=0),"QUANTITE &lt;&gt; 0; ",IF(AND($C183&lt;&gt;"AJUSTEMENT",$G183&lt;=0),"QUANTITE &gt; 0; ","")))&amp;IF(AND($C183="AJUSTEMENT",$H183=""),"MOTIF; ","")&amp;IF(AND(OR($C183="TRANSFERT",$C183="CONSOMMATION"),$E183=""),"EMPL. SOURCE; ","")&amp;IF(AND($C183&lt;&gt;"CONSOMMATION",$F183=""),"EMPL. DESTINATION; ","")&amp;IF(AND($C183="TRANSFERT",$E183&lt;&gt;"",$E183=$F183),"SOURCE = DESTINATION; ",""),IF($Q183="EMPLACEMENT INCOHERENT","Le lot "&amp;$D183&amp;" n'existe pas sur cet emplacement (stock 0). Verifier l'emplacement.",IF($Q183="STOCK INSUFFISANT","Disponible avant operation : "&amp;TEXT($P183,"#,##0.00")&amp;" kg. Ligne NON comptee en stock.",IF(COUNTIFS($B$5:$B$304,$B183,$C$5:$C$304,$C183,$D$5:$D$304,$D183,$G$5:$G$304,$G183)&gt;1,"Doublon possible (meme date, type, lot et quantite).",IF($K183="LOT NON REFERENCE","Creer d'abord la fiche du lot dans l'onglet LOTS.",""))))))</f>
        <v/>
      </c>
    </row>
    <row r="184" customFormat="false" ht="15" hidden="false" customHeight="false" outlineLevel="0" collapsed="false">
      <c r="A184" s="26" t="str">
        <f aca="false">IF($C184="","","OP-"&amp;TEXT(ROW()-4,"000"))</f>
        <v/>
      </c>
      <c r="B184" s="25"/>
      <c r="C184" s="24"/>
      <c r="D184" s="24"/>
      <c r="E184" s="24"/>
      <c r="F184" s="24"/>
      <c r="G184" s="29"/>
      <c r="H184" s="24"/>
      <c r="I184" s="24"/>
      <c r="J184" s="26" t="str">
        <f aca="false">IF($D184="","",IFERROR(INDEX(LOT_EXTE,MATCH($D184,LOT_KEY,0)),""))</f>
        <v/>
      </c>
      <c r="K184" s="26" t="str">
        <f aca="false">IF($D184="","",IFERROR(INDEX(LOT_PRODE,MATCH($D184,LOT_KEY,0)),"LOT NON REFERENCE"))</f>
        <v/>
      </c>
      <c r="L184" s="26" t="str">
        <f aca="false">IF($D184="","",IFERROR(INDEX(LOT_FOURNE,MATCH($D184,LOT_KEY,0)),""))</f>
        <v/>
      </c>
      <c r="M184" s="26" t="str">
        <f aca="false">IF($E184="","",IFERROR(INDEX(EMPL_CLASSE,MATCH($E184,EMPL_KEY,0)),"?"))</f>
        <v/>
      </c>
      <c r="N184" s="26" t="str">
        <f aca="false">IF($F184="","",IFERROR(INDEX(EMPL_CLASSE,MATCH($F184,EMPL_KEY,0)),"?"))</f>
        <v/>
      </c>
      <c r="O184" s="28" t="n">
        <f aca="false">IF($C184="",0,IF(OR($B184="",$D184=""),0,IF($C184="AJUSTEMENT",IF(OR(NOT(ISNUMBER($G184)),$G184=0,$F184="",$H184=""),0,1),IF(OR(NOT(ISNUMBER($G184)),$G184&lt;=0),0,IF($C184="RECEPTION",IF($F184="",0,1),IF($C184="CONSOMMATION",IF($E184="",0,1),IF(OR($E184="",$F184="",$E184=$F184),0,1)))))))</f>
        <v>0</v>
      </c>
      <c r="P184" s="27" t="str">
        <f aca="false">IF(OR($O184=0,$C184="RECEPTION"),"",IF($C184="AJUSTEMENT",IF($G184&gt;0,"",SUMIFS(MVT_BRUT,MVT_LOT,$D184,MVT_EMPL,$F184)-$G184),SUMIFS(MVT_BRUT,MVT_LOT,$D184,MVT_EMPL,$E184)+$G184))</f>
        <v/>
      </c>
      <c r="Q184" s="26" t="str">
        <f aca="false">IF($C184="","",IF($O184=0,"DONNEES MANQUANTES",IF($C184="RECEPTION","OK",IF(AND($C184="AJUSTEMENT",$G184&gt;0),"OK",IF($P184&lt;=0,"EMPLACEMENT INCOHERENT",IF(ABS($G184)&gt;$P184+0.001,"STOCK INSUFFISANT","OK"))))))</f>
        <v/>
      </c>
      <c r="R184" s="28" t="n">
        <f aca="false">IF($Q184="OK",1,0)</f>
        <v>0</v>
      </c>
      <c r="S184" s="26" t="str">
        <f aca="false">IF($C184="","",IF($O184=0,"A COMPLETER : "&amp;IF($B184="","DATE; ","")&amp;IF($D184="","LOT INTERNE; ","")&amp;IF(NOT(ISNUMBER($G184)),"QUANTITE; ",IF(AND($C184="AJUSTEMENT",$G184=0),"QUANTITE &lt;&gt; 0; ",IF(AND($C184&lt;&gt;"AJUSTEMENT",$G184&lt;=0),"QUANTITE &gt; 0; ","")))&amp;IF(AND($C184="AJUSTEMENT",$H184=""),"MOTIF; ","")&amp;IF(AND(OR($C184="TRANSFERT",$C184="CONSOMMATION"),$E184=""),"EMPL. SOURCE; ","")&amp;IF(AND($C184&lt;&gt;"CONSOMMATION",$F184=""),"EMPL. DESTINATION; ","")&amp;IF(AND($C184="TRANSFERT",$E184&lt;&gt;"",$E184=$F184),"SOURCE = DESTINATION; ",""),IF($Q184="EMPLACEMENT INCOHERENT","Le lot "&amp;$D184&amp;" n'existe pas sur cet emplacement (stock 0). Verifier l'emplacement.",IF($Q184="STOCK INSUFFISANT","Disponible avant operation : "&amp;TEXT($P184,"#,##0.00")&amp;" kg. Ligne NON comptee en stock.",IF(COUNTIFS($B$5:$B$304,$B184,$C$5:$C$304,$C184,$D$5:$D$304,$D184,$G$5:$G$304,$G184)&gt;1,"Doublon possible (meme date, type, lot et quantite).",IF($K184="LOT NON REFERENCE","Creer d'abord la fiche du lot dans l'onglet LOTS.",""))))))</f>
        <v/>
      </c>
    </row>
    <row r="185" customFormat="false" ht="15" hidden="false" customHeight="false" outlineLevel="0" collapsed="false">
      <c r="A185" s="26" t="str">
        <f aca="false">IF($C185="","","OP-"&amp;TEXT(ROW()-4,"000"))</f>
        <v/>
      </c>
      <c r="B185" s="25"/>
      <c r="C185" s="24"/>
      <c r="D185" s="24"/>
      <c r="E185" s="24"/>
      <c r="F185" s="24"/>
      <c r="G185" s="29"/>
      <c r="H185" s="24"/>
      <c r="I185" s="24"/>
      <c r="J185" s="26" t="str">
        <f aca="false">IF($D185="","",IFERROR(INDEX(LOT_EXTE,MATCH($D185,LOT_KEY,0)),""))</f>
        <v/>
      </c>
      <c r="K185" s="26" t="str">
        <f aca="false">IF($D185="","",IFERROR(INDEX(LOT_PRODE,MATCH($D185,LOT_KEY,0)),"LOT NON REFERENCE"))</f>
        <v/>
      </c>
      <c r="L185" s="26" t="str">
        <f aca="false">IF($D185="","",IFERROR(INDEX(LOT_FOURNE,MATCH($D185,LOT_KEY,0)),""))</f>
        <v/>
      </c>
      <c r="M185" s="26" t="str">
        <f aca="false">IF($E185="","",IFERROR(INDEX(EMPL_CLASSE,MATCH($E185,EMPL_KEY,0)),"?"))</f>
        <v/>
      </c>
      <c r="N185" s="26" t="str">
        <f aca="false">IF($F185="","",IFERROR(INDEX(EMPL_CLASSE,MATCH($F185,EMPL_KEY,0)),"?"))</f>
        <v/>
      </c>
      <c r="O185" s="28" t="n">
        <f aca="false">IF($C185="",0,IF(OR($B185="",$D185=""),0,IF($C185="AJUSTEMENT",IF(OR(NOT(ISNUMBER($G185)),$G185=0,$F185="",$H185=""),0,1),IF(OR(NOT(ISNUMBER($G185)),$G185&lt;=0),0,IF($C185="RECEPTION",IF($F185="",0,1),IF($C185="CONSOMMATION",IF($E185="",0,1),IF(OR($E185="",$F185="",$E185=$F185),0,1)))))))</f>
        <v>0</v>
      </c>
      <c r="P185" s="27" t="str">
        <f aca="false">IF(OR($O185=0,$C185="RECEPTION"),"",IF($C185="AJUSTEMENT",IF($G185&gt;0,"",SUMIFS(MVT_BRUT,MVT_LOT,$D185,MVT_EMPL,$F185)-$G185),SUMIFS(MVT_BRUT,MVT_LOT,$D185,MVT_EMPL,$E185)+$G185))</f>
        <v/>
      </c>
      <c r="Q185" s="26" t="str">
        <f aca="false">IF($C185="","",IF($O185=0,"DONNEES MANQUANTES",IF($C185="RECEPTION","OK",IF(AND($C185="AJUSTEMENT",$G185&gt;0),"OK",IF($P185&lt;=0,"EMPLACEMENT INCOHERENT",IF(ABS($G185)&gt;$P185+0.001,"STOCK INSUFFISANT","OK"))))))</f>
        <v/>
      </c>
      <c r="R185" s="28" t="n">
        <f aca="false">IF($Q185="OK",1,0)</f>
        <v>0</v>
      </c>
      <c r="S185" s="26" t="str">
        <f aca="false">IF($C185="","",IF($O185=0,"A COMPLETER : "&amp;IF($B185="","DATE; ","")&amp;IF($D185="","LOT INTERNE; ","")&amp;IF(NOT(ISNUMBER($G185)),"QUANTITE; ",IF(AND($C185="AJUSTEMENT",$G185=0),"QUANTITE &lt;&gt; 0; ",IF(AND($C185&lt;&gt;"AJUSTEMENT",$G185&lt;=0),"QUANTITE &gt; 0; ","")))&amp;IF(AND($C185="AJUSTEMENT",$H185=""),"MOTIF; ","")&amp;IF(AND(OR($C185="TRANSFERT",$C185="CONSOMMATION"),$E185=""),"EMPL. SOURCE; ","")&amp;IF(AND($C185&lt;&gt;"CONSOMMATION",$F185=""),"EMPL. DESTINATION; ","")&amp;IF(AND($C185="TRANSFERT",$E185&lt;&gt;"",$E185=$F185),"SOURCE = DESTINATION; ",""),IF($Q185="EMPLACEMENT INCOHERENT","Le lot "&amp;$D185&amp;" n'existe pas sur cet emplacement (stock 0). Verifier l'emplacement.",IF($Q185="STOCK INSUFFISANT","Disponible avant operation : "&amp;TEXT($P185,"#,##0.00")&amp;" kg. Ligne NON comptee en stock.",IF(COUNTIFS($B$5:$B$304,$B185,$C$5:$C$304,$C185,$D$5:$D$304,$D185,$G$5:$G$304,$G185)&gt;1,"Doublon possible (meme date, type, lot et quantite).",IF($K185="LOT NON REFERENCE","Creer d'abord la fiche du lot dans l'onglet LOTS.",""))))))</f>
        <v/>
      </c>
    </row>
    <row r="186" customFormat="false" ht="15" hidden="false" customHeight="false" outlineLevel="0" collapsed="false">
      <c r="A186" s="26" t="str">
        <f aca="false">IF($C186="","","OP-"&amp;TEXT(ROW()-4,"000"))</f>
        <v/>
      </c>
      <c r="B186" s="25"/>
      <c r="C186" s="24"/>
      <c r="D186" s="24"/>
      <c r="E186" s="24"/>
      <c r="F186" s="24"/>
      <c r="G186" s="29"/>
      <c r="H186" s="24"/>
      <c r="I186" s="24"/>
      <c r="J186" s="26" t="str">
        <f aca="false">IF($D186="","",IFERROR(INDEX(LOT_EXTE,MATCH($D186,LOT_KEY,0)),""))</f>
        <v/>
      </c>
      <c r="K186" s="26" t="str">
        <f aca="false">IF($D186="","",IFERROR(INDEX(LOT_PRODE,MATCH($D186,LOT_KEY,0)),"LOT NON REFERENCE"))</f>
        <v/>
      </c>
      <c r="L186" s="26" t="str">
        <f aca="false">IF($D186="","",IFERROR(INDEX(LOT_FOURNE,MATCH($D186,LOT_KEY,0)),""))</f>
        <v/>
      </c>
      <c r="M186" s="26" t="str">
        <f aca="false">IF($E186="","",IFERROR(INDEX(EMPL_CLASSE,MATCH($E186,EMPL_KEY,0)),"?"))</f>
        <v/>
      </c>
      <c r="N186" s="26" t="str">
        <f aca="false">IF($F186="","",IFERROR(INDEX(EMPL_CLASSE,MATCH($F186,EMPL_KEY,0)),"?"))</f>
        <v/>
      </c>
      <c r="O186" s="28" t="n">
        <f aca="false">IF($C186="",0,IF(OR($B186="",$D186=""),0,IF($C186="AJUSTEMENT",IF(OR(NOT(ISNUMBER($G186)),$G186=0,$F186="",$H186=""),0,1),IF(OR(NOT(ISNUMBER($G186)),$G186&lt;=0),0,IF($C186="RECEPTION",IF($F186="",0,1),IF($C186="CONSOMMATION",IF($E186="",0,1),IF(OR($E186="",$F186="",$E186=$F186),0,1)))))))</f>
        <v>0</v>
      </c>
      <c r="P186" s="27" t="str">
        <f aca="false">IF(OR($O186=0,$C186="RECEPTION"),"",IF($C186="AJUSTEMENT",IF($G186&gt;0,"",SUMIFS(MVT_BRUT,MVT_LOT,$D186,MVT_EMPL,$F186)-$G186),SUMIFS(MVT_BRUT,MVT_LOT,$D186,MVT_EMPL,$E186)+$G186))</f>
        <v/>
      </c>
      <c r="Q186" s="26" t="str">
        <f aca="false">IF($C186="","",IF($O186=0,"DONNEES MANQUANTES",IF($C186="RECEPTION","OK",IF(AND($C186="AJUSTEMENT",$G186&gt;0),"OK",IF($P186&lt;=0,"EMPLACEMENT INCOHERENT",IF(ABS($G186)&gt;$P186+0.001,"STOCK INSUFFISANT","OK"))))))</f>
        <v/>
      </c>
      <c r="R186" s="28" t="n">
        <f aca="false">IF($Q186="OK",1,0)</f>
        <v>0</v>
      </c>
      <c r="S186" s="26" t="str">
        <f aca="false">IF($C186="","",IF($O186=0,"A COMPLETER : "&amp;IF($B186="","DATE; ","")&amp;IF($D186="","LOT INTERNE; ","")&amp;IF(NOT(ISNUMBER($G186)),"QUANTITE; ",IF(AND($C186="AJUSTEMENT",$G186=0),"QUANTITE &lt;&gt; 0; ",IF(AND($C186&lt;&gt;"AJUSTEMENT",$G186&lt;=0),"QUANTITE &gt; 0; ","")))&amp;IF(AND($C186="AJUSTEMENT",$H186=""),"MOTIF; ","")&amp;IF(AND(OR($C186="TRANSFERT",$C186="CONSOMMATION"),$E186=""),"EMPL. SOURCE; ","")&amp;IF(AND($C186&lt;&gt;"CONSOMMATION",$F186=""),"EMPL. DESTINATION; ","")&amp;IF(AND($C186="TRANSFERT",$E186&lt;&gt;"",$E186=$F186),"SOURCE = DESTINATION; ",""),IF($Q186="EMPLACEMENT INCOHERENT","Le lot "&amp;$D186&amp;" n'existe pas sur cet emplacement (stock 0). Verifier l'emplacement.",IF($Q186="STOCK INSUFFISANT","Disponible avant operation : "&amp;TEXT($P186,"#,##0.00")&amp;" kg. Ligne NON comptee en stock.",IF(COUNTIFS($B$5:$B$304,$B186,$C$5:$C$304,$C186,$D$5:$D$304,$D186,$G$5:$G$304,$G186)&gt;1,"Doublon possible (meme date, type, lot et quantite).",IF($K186="LOT NON REFERENCE","Creer d'abord la fiche du lot dans l'onglet LOTS.",""))))))</f>
        <v/>
      </c>
    </row>
    <row r="187" customFormat="false" ht="15" hidden="false" customHeight="false" outlineLevel="0" collapsed="false">
      <c r="A187" s="26" t="str">
        <f aca="false">IF($C187="","","OP-"&amp;TEXT(ROW()-4,"000"))</f>
        <v/>
      </c>
      <c r="B187" s="25"/>
      <c r="C187" s="24"/>
      <c r="D187" s="24"/>
      <c r="E187" s="24"/>
      <c r="F187" s="24"/>
      <c r="G187" s="29"/>
      <c r="H187" s="24"/>
      <c r="I187" s="24"/>
      <c r="J187" s="26" t="str">
        <f aca="false">IF($D187="","",IFERROR(INDEX(LOT_EXTE,MATCH($D187,LOT_KEY,0)),""))</f>
        <v/>
      </c>
      <c r="K187" s="26" t="str">
        <f aca="false">IF($D187="","",IFERROR(INDEX(LOT_PRODE,MATCH($D187,LOT_KEY,0)),"LOT NON REFERENCE"))</f>
        <v/>
      </c>
      <c r="L187" s="26" t="str">
        <f aca="false">IF($D187="","",IFERROR(INDEX(LOT_FOURNE,MATCH($D187,LOT_KEY,0)),""))</f>
        <v/>
      </c>
      <c r="M187" s="26" t="str">
        <f aca="false">IF($E187="","",IFERROR(INDEX(EMPL_CLASSE,MATCH($E187,EMPL_KEY,0)),"?"))</f>
        <v/>
      </c>
      <c r="N187" s="26" t="str">
        <f aca="false">IF($F187="","",IFERROR(INDEX(EMPL_CLASSE,MATCH($F187,EMPL_KEY,0)),"?"))</f>
        <v/>
      </c>
      <c r="O187" s="28" t="n">
        <f aca="false">IF($C187="",0,IF(OR($B187="",$D187=""),0,IF($C187="AJUSTEMENT",IF(OR(NOT(ISNUMBER($G187)),$G187=0,$F187="",$H187=""),0,1),IF(OR(NOT(ISNUMBER($G187)),$G187&lt;=0),0,IF($C187="RECEPTION",IF($F187="",0,1),IF($C187="CONSOMMATION",IF($E187="",0,1),IF(OR($E187="",$F187="",$E187=$F187),0,1)))))))</f>
        <v>0</v>
      </c>
      <c r="P187" s="27" t="str">
        <f aca="false">IF(OR($O187=0,$C187="RECEPTION"),"",IF($C187="AJUSTEMENT",IF($G187&gt;0,"",SUMIFS(MVT_BRUT,MVT_LOT,$D187,MVT_EMPL,$F187)-$G187),SUMIFS(MVT_BRUT,MVT_LOT,$D187,MVT_EMPL,$E187)+$G187))</f>
        <v/>
      </c>
      <c r="Q187" s="26" t="str">
        <f aca="false">IF($C187="","",IF($O187=0,"DONNEES MANQUANTES",IF($C187="RECEPTION","OK",IF(AND($C187="AJUSTEMENT",$G187&gt;0),"OK",IF($P187&lt;=0,"EMPLACEMENT INCOHERENT",IF(ABS($G187)&gt;$P187+0.001,"STOCK INSUFFISANT","OK"))))))</f>
        <v/>
      </c>
      <c r="R187" s="28" t="n">
        <f aca="false">IF($Q187="OK",1,0)</f>
        <v>0</v>
      </c>
      <c r="S187" s="26" t="str">
        <f aca="false">IF($C187="","",IF($O187=0,"A COMPLETER : "&amp;IF($B187="","DATE; ","")&amp;IF($D187="","LOT INTERNE; ","")&amp;IF(NOT(ISNUMBER($G187)),"QUANTITE; ",IF(AND($C187="AJUSTEMENT",$G187=0),"QUANTITE &lt;&gt; 0; ",IF(AND($C187&lt;&gt;"AJUSTEMENT",$G187&lt;=0),"QUANTITE &gt; 0; ","")))&amp;IF(AND($C187="AJUSTEMENT",$H187=""),"MOTIF; ","")&amp;IF(AND(OR($C187="TRANSFERT",$C187="CONSOMMATION"),$E187=""),"EMPL. SOURCE; ","")&amp;IF(AND($C187&lt;&gt;"CONSOMMATION",$F187=""),"EMPL. DESTINATION; ","")&amp;IF(AND($C187="TRANSFERT",$E187&lt;&gt;"",$E187=$F187),"SOURCE = DESTINATION; ",""),IF($Q187="EMPLACEMENT INCOHERENT","Le lot "&amp;$D187&amp;" n'existe pas sur cet emplacement (stock 0). Verifier l'emplacement.",IF($Q187="STOCK INSUFFISANT","Disponible avant operation : "&amp;TEXT($P187,"#,##0.00")&amp;" kg. Ligne NON comptee en stock.",IF(COUNTIFS($B$5:$B$304,$B187,$C$5:$C$304,$C187,$D$5:$D$304,$D187,$G$5:$G$304,$G187)&gt;1,"Doublon possible (meme date, type, lot et quantite).",IF($K187="LOT NON REFERENCE","Creer d'abord la fiche du lot dans l'onglet LOTS.",""))))))</f>
        <v/>
      </c>
    </row>
    <row r="188" customFormat="false" ht="15" hidden="false" customHeight="false" outlineLevel="0" collapsed="false">
      <c r="A188" s="26" t="str">
        <f aca="false">IF($C188="","","OP-"&amp;TEXT(ROW()-4,"000"))</f>
        <v/>
      </c>
      <c r="B188" s="25"/>
      <c r="C188" s="24"/>
      <c r="D188" s="24"/>
      <c r="E188" s="24"/>
      <c r="F188" s="24"/>
      <c r="G188" s="29"/>
      <c r="H188" s="24"/>
      <c r="I188" s="24"/>
      <c r="J188" s="26" t="str">
        <f aca="false">IF($D188="","",IFERROR(INDEX(LOT_EXTE,MATCH($D188,LOT_KEY,0)),""))</f>
        <v/>
      </c>
      <c r="K188" s="26" t="str">
        <f aca="false">IF($D188="","",IFERROR(INDEX(LOT_PRODE,MATCH($D188,LOT_KEY,0)),"LOT NON REFERENCE"))</f>
        <v/>
      </c>
      <c r="L188" s="26" t="str">
        <f aca="false">IF($D188="","",IFERROR(INDEX(LOT_FOURNE,MATCH($D188,LOT_KEY,0)),""))</f>
        <v/>
      </c>
      <c r="M188" s="26" t="str">
        <f aca="false">IF($E188="","",IFERROR(INDEX(EMPL_CLASSE,MATCH($E188,EMPL_KEY,0)),"?"))</f>
        <v/>
      </c>
      <c r="N188" s="26" t="str">
        <f aca="false">IF($F188="","",IFERROR(INDEX(EMPL_CLASSE,MATCH($F188,EMPL_KEY,0)),"?"))</f>
        <v/>
      </c>
      <c r="O188" s="28" t="n">
        <f aca="false">IF($C188="",0,IF(OR($B188="",$D188=""),0,IF($C188="AJUSTEMENT",IF(OR(NOT(ISNUMBER($G188)),$G188=0,$F188="",$H188=""),0,1),IF(OR(NOT(ISNUMBER($G188)),$G188&lt;=0),0,IF($C188="RECEPTION",IF($F188="",0,1),IF($C188="CONSOMMATION",IF($E188="",0,1),IF(OR($E188="",$F188="",$E188=$F188),0,1)))))))</f>
        <v>0</v>
      </c>
      <c r="P188" s="27" t="str">
        <f aca="false">IF(OR($O188=0,$C188="RECEPTION"),"",IF($C188="AJUSTEMENT",IF($G188&gt;0,"",SUMIFS(MVT_BRUT,MVT_LOT,$D188,MVT_EMPL,$F188)-$G188),SUMIFS(MVT_BRUT,MVT_LOT,$D188,MVT_EMPL,$E188)+$G188))</f>
        <v/>
      </c>
      <c r="Q188" s="26" t="str">
        <f aca="false">IF($C188="","",IF($O188=0,"DONNEES MANQUANTES",IF($C188="RECEPTION","OK",IF(AND($C188="AJUSTEMENT",$G188&gt;0),"OK",IF($P188&lt;=0,"EMPLACEMENT INCOHERENT",IF(ABS($G188)&gt;$P188+0.001,"STOCK INSUFFISANT","OK"))))))</f>
        <v/>
      </c>
      <c r="R188" s="28" t="n">
        <f aca="false">IF($Q188="OK",1,0)</f>
        <v>0</v>
      </c>
      <c r="S188" s="26" t="str">
        <f aca="false">IF($C188="","",IF($O188=0,"A COMPLETER : "&amp;IF($B188="","DATE; ","")&amp;IF($D188="","LOT INTERNE; ","")&amp;IF(NOT(ISNUMBER($G188)),"QUANTITE; ",IF(AND($C188="AJUSTEMENT",$G188=0),"QUANTITE &lt;&gt; 0; ",IF(AND($C188&lt;&gt;"AJUSTEMENT",$G188&lt;=0),"QUANTITE &gt; 0; ","")))&amp;IF(AND($C188="AJUSTEMENT",$H188=""),"MOTIF; ","")&amp;IF(AND(OR($C188="TRANSFERT",$C188="CONSOMMATION"),$E188=""),"EMPL. SOURCE; ","")&amp;IF(AND($C188&lt;&gt;"CONSOMMATION",$F188=""),"EMPL. DESTINATION; ","")&amp;IF(AND($C188="TRANSFERT",$E188&lt;&gt;"",$E188=$F188),"SOURCE = DESTINATION; ",""),IF($Q188="EMPLACEMENT INCOHERENT","Le lot "&amp;$D188&amp;" n'existe pas sur cet emplacement (stock 0). Verifier l'emplacement.",IF($Q188="STOCK INSUFFISANT","Disponible avant operation : "&amp;TEXT($P188,"#,##0.00")&amp;" kg. Ligne NON comptee en stock.",IF(COUNTIFS($B$5:$B$304,$B188,$C$5:$C$304,$C188,$D$5:$D$304,$D188,$G$5:$G$304,$G188)&gt;1,"Doublon possible (meme date, type, lot et quantite).",IF($K188="LOT NON REFERENCE","Creer d'abord la fiche du lot dans l'onglet LOTS.",""))))))</f>
        <v/>
      </c>
    </row>
    <row r="189" customFormat="false" ht="15" hidden="false" customHeight="false" outlineLevel="0" collapsed="false">
      <c r="A189" s="26" t="str">
        <f aca="false">IF($C189="","","OP-"&amp;TEXT(ROW()-4,"000"))</f>
        <v/>
      </c>
      <c r="B189" s="25"/>
      <c r="C189" s="24"/>
      <c r="D189" s="24"/>
      <c r="E189" s="24"/>
      <c r="F189" s="24"/>
      <c r="G189" s="29"/>
      <c r="H189" s="24"/>
      <c r="I189" s="24"/>
      <c r="J189" s="26" t="str">
        <f aca="false">IF($D189="","",IFERROR(INDEX(LOT_EXTE,MATCH($D189,LOT_KEY,0)),""))</f>
        <v/>
      </c>
      <c r="K189" s="26" t="str">
        <f aca="false">IF($D189="","",IFERROR(INDEX(LOT_PRODE,MATCH($D189,LOT_KEY,0)),"LOT NON REFERENCE"))</f>
        <v/>
      </c>
      <c r="L189" s="26" t="str">
        <f aca="false">IF($D189="","",IFERROR(INDEX(LOT_FOURNE,MATCH($D189,LOT_KEY,0)),""))</f>
        <v/>
      </c>
      <c r="M189" s="26" t="str">
        <f aca="false">IF($E189="","",IFERROR(INDEX(EMPL_CLASSE,MATCH($E189,EMPL_KEY,0)),"?"))</f>
        <v/>
      </c>
      <c r="N189" s="26" t="str">
        <f aca="false">IF($F189="","",IFERROR(INDEX(EMPL_CLASSE,MATCH($F189,EMPL_KEY,0)),"?"))</f>
        <v/>
      </c>
      <c r="O189" s="28" t="n">
        <f aca="false">IF($C189="",0,IF(OR($B189="",$D189=""),0,IF($C189="AJUSTEMENT",IF(OR(NOT(ISNUMBER($G189)),$G189=0,$F189="",$H189=""),0,1),IF(OR(NOT(ISNUMBER($G189)),$G189&lt;=0),0,IF($C189="RECEPTION",IF($F189="",0,1),IF($C189="CONSOMMATION",IF($E189="",0,1),IF(OR($E189="",$F189="",$E189=$F189),0,1)))))))</f>
        <v>0</v>
      </c>
      <c r="P189" s="27" t="str">
        <f aca="false">IF(OR($O189=0,$C189="RECEPTION"),"",IF($C189="AJUSTEMENT",IF($G189&gt;0,"",SUMIFS(MVT_BRUT,MVT_LOT,$D189,MVT_EMPL,$F189)-$G189),SUMIFS(MVT_BRUT,MVT_LOT,$D189,MVT_EMPL,$E189)+$G189))</f>
        <v/>
      </c>
      <c r="Q189" s="26" t="str">
        <f aca="false">IF($C189="","",IF($O189=0,"DONNEES MANQUANTES",IF($C189="RECEPTION","OK",IF(AND($C189="AJUSTEMENT",$G189&gt;0),"OK",IF($P189&lt;=0,"EMPLACEMENT INCOHERENT",IF(ABS($G189)&gt;$P189+0.001,"STOCK INSUFFISANT","OK"))))))</f>
        <v/>
      </c>
      <c r="R189" s="28" t="n">
        <f aca="false">IF($Q189="OK",1,0)</f>
        <v>0</v>
      </c>
      <c r="S189" s="26" t="str">
        <f aca="false">IF($C189="","",IF($O189=0,"A COMPLETER : "&amp;IF($B189="","DATE; ","")&amp;IF($D189="","LOT INTERNE; ","")&amp;IF(NOT(ISNUMBER($G189)),"QUANTITE; ",IF(AND($C189="AJUSTEMENT",$G189=0),"QUANTITE &lt;&gt; 0; ",IF(AND($C189&lt;&gt;"AJUSTEMENT",$G189&lt;=0),"QUANTITE &gt; 0; ","")))&amp;IF(AND($C189="AJUSTEMENT",$H189=""),"MOTIF; ","")&amp;IF(AND(OR($C189="TRANSFERT",$C189="CONSOMMATION"),$E189=""),"EMPL. SOURCE; ","")&amp;IF(AND($C189&lt;&gt;"CONSOMMATION",$F189=""),"EMPL. DESTINATION; ","")&amp;IF(AND($C189="TRANSFERT",$E189&lt;&gt;"",$E189=$F189),"SOURCE = DESTINATION; ",""),IF($Q189="EMPLACEMENT INCOHERENT","Le lot "&amp;$D189&amp;" n'existe pas sur cet emplacement (stock 0). Verifier l'emplacement.",IF($Q189="STOCK INSUFFISANT","Disponible avant operation : "&amp;TEXT($P189,"#,##0.00")&amp;" kg. Ligne NON comptee en stock.",IF(COUNTIFS($B$5:$B$304,$B189,$C$5:$C$304,$C189,$D$5:$D$304,$D189,$G$5:$G$304,$G189)&gt;1,"Doublon possible (meme date, type, lot et quantite).",IF($K189="LOT NON REFERENCE","Creer d'abord la fiche du lot dans l'onglet LOTS.",""))))))</f>
        <v/>
      </c>
    </row>
    <row r="190" customFormat="false" ht="15" hidden="false" customHeight="false" outlineLevel="0" collapsed="false">
      <c r="A190" s="26" t="str">
        <f aca="false">IF($C190="","","OP-"&amp;TEXT(ROW()-4,"000"))</f>
        <v/>
      </c>
      <c r="B190" s="25"/>
      <c r="C190" s="24"/>
      <c r="D190" s="24"/>
      <c r="E190" s="24"/>
      <c r="F190" s="24"/>
      <c r="G190" s="29"/>
      <c r="H190" s="24"/>
      <c r="I190" s="24"/>
      <c r="J190" s="26" t="str">
        <f aca="false">IF($D190="","",IFERROR(INDEX(LOT_EXTE,MATCH($D190,LOT_KEY,0)),""))</f>
        <v/>
      </c>
      <c r="K190" s="26" t="str">
        <f aca="false">IF($D190="","",IFERROR(INDEX(LOT_PRODE,MATCH($D190,LOT_KEY,0)),"LOT NON REFERENCE"))</f>
        <v/>
      </c>
      <c r="L190" s="26" t="str">
        <f aca="false">IF($D190="","",IFERROR(INDEX(LOT_FOURNE,MATCH($D190,LOT_KEY,0)),""))</f>
        <v/>
      </c>
      <c r="M190" s="26" t="str">
        <f aca="false">IF($E190="","",IFERROR(INDEX(EMPL_CLASSE,MATCH($E190,EMPL_KEY,0)),"?"))</f>
        <v/>
      </c>
      <c r="N190" s="26" t="str">
        <f aca="false">IF($F190="","",IFERROR(INDEX(EMPL_CLASSE,MATCH($F190,EMPL_KEY,0)),"?"))</f>
        <v/>
      </c>
      <c r="O190" s="28" t="n">
        <f aca="false">IF($C190="",0,IF(OR($B190="",$D190=""),0,IF($C190="AJUSTEMENT",IF(OR(NOT(ISNUMBER($G190)),$G190=0,$F190="",$H190=""),0,1),IF(OR(NOT(ISNUMBER($G190)),$G190&lt;=0),0,IF($C190="RECEPTION",IF($F190="",0,1),IF($C190="CONSOMMATION",IF($E190="",0,1),IF(OR($E190="",$F190="",$E190=$F190),0,1)))))))</f>
        <v>0</v>
      </c>
      <c r="P190" s="27" t="str">
        <f aca="false">IF(OR($O190=0,$C190="RECEPTION"),"",IF($C190="AJUSTEMENT",IF($G190&gt;0,"",SUMIFS(MVT_BRUT,MVT_LOT,$D190,MVT_EMPL,$F190)-$G190),SUMIFS(MVT_BRUT,MVT_LOT,$D190,MVT_EMPL,$E190)+$G190))</f>
        <v/>
      </c>
      <c r="Q190" s="26" t="str">
        <f aca="false">IF($C190="","",IF($O190=0,"DONNEES MANQUANTES",IF($C190="RECEPTION","OK",IF(AND($C190="AJUSTEMENT",$G190&gt;0),"OK",IF($P190&lt;=0,"EMPLACEMENT INCOHERENT",IF(ABS($G190)&gt;$P190+0.001,"STOCK INSUFFISANT","OK"))))))</f>
        <v/>
      </c>
      <c r="R190" s="28" t="n">
        <f aca="false">IF($Q190="OK",1,0)</f>
        <v>0</v>
      </c>
      <c r="S190" s="26" t="str">
        <f aca="false">IF($C190="","",IF($O190=0,"A COMPLETER : "&amp;IF($B190="","DATE; ","")&amp;IF($D190="","LOT INTERNE; ","")&amp;IF(NOT(ISNUMBER($G190)),"QUANTITE; ",IF(AND($C190="AJUSTEMENT",$G190=0),"QUANTITE &lt;&gt; 0; ",IF(AND($C190&lt;&gt;"AJUSTEMENT",$G190&lt;=0),"QUANTITE &gt; 0; ","")))&amp;IF(AND($C190="AJUSTEMENT",$H190=""),"MOTIF; ","")&amp;IF(AND(OR($C190="TRANSFERT",$C190="CONSOMMATION"),$E190=""),"EMPL. SOURCE; ","")&amp;IF(AND($C190&lt;&gt;"CONSOMMATION",$F190=""),"EMPL. DESTINATION; ","")&amp;IF(AND($C190="TRANSFERT",$E190&lt;&gt;"",$E190=$F190),"SOURCE = DESTINATION; ",""),IF($Q190="EMPLACEMENT INCOHERENT","Le lot "&amp;$D190&amp;" n'existe pas sur cet emplacement (stock 0). Verifier l'emplacement.",IF($Q190="STOCK INSUFFISANT","Disponible avant operation : "&amp;TEXT($P190,"#,##0.00")&amp;" kg. Ligne NON comptee en stock.",IF(COUNTIFS($B$5:$B$304,$B190,$C$5:$C$304,$C190,$D$5:$D$304,$D190,$G$5:$G$304,$G190)&gt;1,"Doublon possible (meme date, type, lot et quantite).",IF($K190="LOT NON REFERENCE","Creer d'abord la fiche du lot dans l'onglet LOTS.",""))))))</f>
        <v/>
      </c>
    </row>
    <row r="191" customFormat="false" ht="15" hidden="false" customHeight="false" outlineLevel="0" collapsed="false">
      <c r="A191" s="26" t="str">
        <f aca="false">IF($C191="","","OP-"&amp;TEXT(ROW()-4,"000"))</f>
        <v/>
      </c>
      <c r="B191" s="25"/>
      <c r="C191" s="24"/>
      <c r="D191" s="24"/>
      <c r="E191" s="24"/>
      <c r="F191" s="24"/>
      <c r="G191" s="29"/>
      <c r="H191" s="24"/>
      <c r="I191" s="24"/>
      <c r="J191" s="26" t="str">
        <f aca="false">IF($D191="","",IFERROR(INDEX(LOT_EXTE,MATCH($D191,LOT_KEY,0)),""))</f>
        <v/>
      </c>
      <c r="K191" s="26" t="str">
        <f aca="false">IF($D191="","",IFERROR(INDEX(LOT_PRODE,MATCH($D191,LOT_KEY,0)),"LOT NON REFERENCE"))</f>
        <v/>
      </c>
      <c r="L191" s="26" t="str">
        <f aca="false">IF($D191="","",IFERROR(INDEX(LOT_FOURNE,MATCH($D191,LOT_KEY,0)),""))</f>
        <v/>
      </c>
      <c r="M191" s="26" t="str">
        <f aca="false">IF($E191="","",IFERROR(INDEX(EMPL_CLASSE,MATCH($E191,EMPL_KEY,0)),"?"))</f>
        <v/>
      </c>
      <c r="N191" s="26" t="str">
        <f aca="false">IF($F191="","",IFERROR(INDEX(EMPL_CLASSE,MATCH($F191,EMPL_KEY,0)),"?"))</f>
        <v/>
      </c>
      <c r="O191" s="28" t="n">
        <f aca="false">IF($C191="",0,IF(OR($B191="",$D191=""),0,IF($C191="AJUSTEMENT",IF(OR(NOT(ISNUMBER($G191)),$G191=0,$F191="",$H191=""),0,1),IF(OR(NOT(ISNUMBER($G191)),$G191&lt;=0),0,IF($C191="RECEPTION",IF($F191="",0,1),IF($C191="CONSOMMATION",IF($E191="",0,1),IF(OR($E191="",$F191="",$E191=$F191),0,1)))))))</f>
        <v>0</v>
      </c>
      <c r="P191" s="27" t="str">
        <f aca="false">IF(OR($O191=0,$C191="RECEPTION"),"",IF($C191="AJUSTEMENT",IF($G191&gt;0,"",SUMIFS(MVT_BRUT,MVT_LOT,$D191,MVT_EMPL,$F191)-$G191),SUMIFS(MVT_BRUT,MVT_LOT,$D191,MVT_EMPL,$E191)+$G191))</f>
        <v/>
      </c>
      <c r="Q191" s="26" t="str">
        <f aca="false">IF($C191="","",IF($O191=0,"DONNEES MANQUANTES",IF($C191="RECEPTION","OK",IF(AND($C191="AJUSTEMENT",$G191&gt;0),"OK",IF($P191&lt;=0,"EMPLACEMENT INCOHERENT",IF(ABS($G191)&gt;$P191+0.001,"STOCK INSUFFISANT","OK"))))))</f>
        <v/>
      </c>
      <c r="R191" s="28" t="n">
        <f aca="false">IF($Q191="OK",1,0)</f>
        <v>0</v>
      </c>
      <c r="S191" s="26" t="str">
        <f aca="false">IF($C191="","",IF($O191=0,"A COMPLETER : "&amp;IF($B191="","DATE; ","")&amp;IF($D191="","LOT INTERNE; ","")&amp;IF(NOT(ISNUMBER($G191)),"QUANTITE; ",IF(AND($C191="AJUSTEMENT",$G191=0),"QUANTITE &lt;&gt; 0; ",IF(AND($C191&lt;&gt;"AJUSTEMENT",$G191&lt;=0),"QUANTITE &gt; 0; ","")))&amp;IF(AND($C191="AJUSTEMENT",$H191=""),"MOTIF; ","")&amp;IF(AND(OR($C191="TRANSFERT",$C191="CONSOMMATION"),$E191=""),"EMPL. SOURCE; ","")&amp;IF(AND($C191&lt;&gt;"CONSOMMATION",$F191=""),"EMPL. DESTINATION; ","")&amp;IF(AND($C191="TRANSFERT",$E191&lt;&gt;"",$E191=$F191),"SOURCE = DESTINATION; ",""),IF($Q191="EMPLACEMENT INCOHERENT","Le lot "&amp;$D191&amp;" n'existe pas sur cet emplacement (stock 0). Verifier l'emplacement.",IF($Q191="STOCK INSUFFISANT","Disponible avant operation : "&amp;TEXT($P191,"#,##0.00")&amp;" kg. Ligne NON comptee en stock.",IF(COUNTIFS($B$5:$B$304,$B191,$C$5:$C$304,$C191,$D$5:$D$304,$D191,$G$5:$G$304,$G191)&gt;1,"Doublon possible (meme date, type, lot et quantite).",IF($K191="LOT NON REFERENCE","Creer d'abord la fiche du lot dans l'onglet LOTS.",""))))))</f>
        <v/>
      </c>
    </row>
    <row r="192" customFormat="false" ht="15" hidden="false" customHeight="false" outlineLevel="0" collapsed="false">
      <c r="A192" s="26" t="str">
        <f aca="false">IF($C192="","","OP-"&amp;TEXT(ROW()-4,"000"))</f>
        <v/>
      </c>
      <c r="B192" s="25"/>
      <c r="C192" s="24"/>
      <c r="D192" s="24"/>
      <c r="E192" s="24"/>
      <c r="F192" s="24"/>
      <c r="G192" s="29"/>
      <c r="H192" s="24"/>
      <c r="I192" s="24"/>
      <c r="J192" s="26" t="str">
        <f aca="false">IF($D192="","",IFERROR(INDEX(LOT_EXTE,MATCH($D192,LOT_KEY,0)),""))</f>
        <v/>
      </c>
      <c r="K192" s="26" t="str">
        <f aca="false">IF($D192="","",IFERROR(INDEX(LOT_PRODE,MATCH($D192,LOT_KEY,0)),"LOT NON REFERENCE"))</f>
        <v/>
      </c>
      <c r="L192" s="26" t="str">
        <f aca="false">IF($D192="","",IFERROR(INDEX(LOT_FOURNE,MATCH($D192,LOT_KEY,0)),""))</f>
        <v/>
      </c>
      <c r="M192" s="26" t="str">
        <f aca="false">IF($E192="","",IFERROR(INDEX(EMPL_CLASSE,MATCH($E192,EMPL_KEY,0)),"?"))</f>
        <v/>
      </c>
      <c r="N192" s="26" t="str">
        <f aca="false">IF($F192="","",IFERROR(INDEX(EMPL_CLASSE,MATCH($F192,EMPL_KEY,0)),"?"))</f>
        <v/>
      </c>
      <c r="O192" s="28" t="n">
        <f aca="false">IF($C192="",0,IF(OR($B192="",$D192=""),0,IF($C192="AJUSTEMENT",IF(OR(NOT(ISNUMBER($G192)),$G192=0,$F192="",$H192=""),0,1),IF(OR(NOT(ISNUMBER($G192)),$G192&lt;=0),0,IF($C192="RECEPTION",IF($F192="",0,1),IF($C192="CONSOMMATION",IF($E192="",0,1),IF(OR($E192="",$F192="",$E192=$F192),0,1)))))))</f>
        <v>0</v>
      </c>
      <c r="P192" s="27" t="str">
        <f aca="false">IF(OR($O192=0,$C192="RECEPTION"),"",IF($C192="AJUSTEMENT",IF($G192&gt;0,"",SUMIFS(MVT_BRUT,MVT_LOT,$D192,MVT_EMPL,$F192)-$G192),SUMIFS(MVT_BRUT,MVT_LOT,$D192,MVT_EMPL,$E192)+$G192))</f>
        <v/>
      </c>
      <c r="Q192" s="26" t="str">
        <f aca="false">IF($C192="","",IF($O192=0,"DONNEES MANQUANTES",IF($C192="RECEPTION","OK",IF(AND($C192="AJUSTEMENT",$G192&gt;0),"OK",IF($P192&lt;=0,"EMPLACEMENT INCOHERENT",IF(ABS($G192)&gt;$P192+0.001,"STOCK INSUFFISANT","OK"))))))</f>
        <v/>
      </c>
      <c r="R192" s="28" t="n">
        <f aca="false">IF($Q192="OK",1,0)</f>
        <v>0</v>
      </c>
      <c r="S192" s="26" t="str">
        <f aca="false">IF($C192="","",IF($O192=0,"A COMPLETER : "&amp;IF($B192="","DATE; ","")&amp;IF($D192="","LOT INTERNE; ","")&amp;IF(NOT(ISNUMBER($G192)),"QUANTITE; ",IF(AND($C192="AJUSTEMENT",$G192=0),"QUANTITE &lt;&gt; 0; ",IF(AND($C192&lt;&gt;"AJUSTEMENT",$G192&lt;=0),"QUANTITE &gt; 0; ","")))&amp;IF(AND($C192="AJUSTEMENT",$H192=""),"MOTIF; ","")&amp;IF(AND(OR($C192="TRANSFERT",$C192="CONSOMMATION"),$E192=""),"EMPL. SOURCE; ","")&amp;IF(AND($C192&lt;&gt;"CONSOMMATION",$F192=""),"EMPL. DESTINATION; ","")&amp;IF(AND($C192="TRANSFERT",$E192&lt;&gt;"",$E192=$F192),"SOURCE = DESTINATION; ",""),IF($Q192="EMPLACEMENT INCOHERENT","Le lot "&amp;$D192&amp;" n'existe pas sur cet emplacement (stock 0). Verifier l'emplacement.",IF($Q192="STOCK INSUFFISANT","Disponible avant operation : "&amp;TEXT($P192,"#,##0.00")&amp;" kg. Ligne NON comptee en stock.",IF(COUNTIFS($B$5:$B$304,$B192,$C$5:$C$304,$C192,$D$5:$D$304,$D192,$G$5:$G$304,$G192)&gt;1,"Doublon possible (meme date, type, lot et quantite).",IF($K192="LOT NON REFERENCE","Creer d'abord la fiche du lot dans l'onglet LOTS.",""))))))</f>
        <v/>
      </c>
    </row>
    <row r="193" customFormat="false" ht="15" hidden="false" customHeight="false" outlineLevel="0" collapsed="false">
      <c r="A193" s="26" t="str">
        <f aca="false">IF($C193="","","OP-"&amp;TEXT(ROW()-4,"000"))</f>
        <v/>
      </c>
      <c r="B193" s="25"/>
      <c r="C193" s="24"/>
      <c r="D193" s="24"/>
      <c r="E193" s="24"/>
      <c r="F193" s="24"/>
      <c r="G193" s="29"/>
      <c r="H193" s="24"/>
      <c r="I193" s="24"/>
      <c r="J193" s="26" t="str">
        <f aca="false">IF($D193="","",IFERROR(INDEX(LOT_EXTE,MATCH($D193,LOT_KEY,0)),""))</f>
        <v/>
      </c>
      <c r="K193" s="26" t="str">
        <f aca="false">IF($D193="","",IFERROR(INDEX(LOT_PRODE,MATCH($D193,LOT_KEY,0)),"LOT NON REFERENCE"))</f>
        <v/>
      </c>
      <c r="L193" s="26" t="str">
        <f aca="false">IF($D193="","",IFERROR(INDEX(LOT_FOURNE,MATCH($D193,LOT_KEY,0)),""))</f>
        <v/>
      </c>
      <c r="M193" s="26" t="str">
        <f aca="false">IF($E193="","",IFERROR(INDEX(EMPL_CLASSE,MATCH($E193,EMPL_KEY,0)),"?"))</f>
        <v/>
      </c>
      <c r="N193" s="26" t="str">
        <f aca="false">IF($F193="","",IFERROR(INDEX(EMPL_CLASSE,MATCH($F193,EMPL_KEY,0)),"?"))</f>
        <v/>
      </c>
      <c r="O193" s="28" t="n">
        <f aca="false">IF($C193="",0,IF(OR($B193="",$D193=""),0,IF($C193="AJUSTEMENT",IF(OR(NOT(ISNUMBER($G193)),$G193=0,$F193="",$H193=""),0,1),IF(OR(NOT(ISNUMBER($G193)),$G193&lt;=0),0,IF($C193="RECEPTION",IF($F193="",0,1),IF($C193="CONSOMMATION",IF($E193="",0,1),IF(OR($E193="",$F193="",$E193=$F193),0,1)))))))</f>
        <v>0</v>
      </c>
      <c r="P193" s="27" t="str">
        <f aca="false">IF(OR($O193=0,$C193="RECEPTION"),"",IF($C193="AJUSTEMENT",IF($G193&gt;0,"",SUMIFS(MVT_BRUT,MVT_LOT,$D193,MVT_EMPL,$F193)-$G193),SUMIFS(MVT_BRUT,MVT_LOT,$D193,MVT_EMPL,$E193)+$G193))</f>
        <v/>
      </c>
      <c r="Q193" s="26" t="str">
        <f aca="false">IF($C193="","",IF($O193=0,"DONNEES MANQUANTES",IF($C193="RECEPTION","OK",IF(AND($C193="AJUSTEMENT",$G193&gt;0),"OK",IF($P193&lt;=0,"EMPLACEMENT INCOHERENT",IF(ABS($G193)&gt;$P193+0.001,"STOCK INSUFFISANT","OK"))))))</f>
        <v/>
      </c>
      <c r="R193" s="28" t="n">
        <f aca="false">IF($Q193="OK",1,0)</f>
        <v>0</v>
      </c>
      <c r="S193" s="26" t="str">
        <f aca="false">IF($C193="","",IF($O193=0,"A COMPLETER : "&amp;IF($B193="","DATE; ","")&amp;IF($D193="","LOT INTERNE; ","")&amp;IF(NOT(ISNUMBER($G193)),"QUANTITE; ",IF(AND($C193="AJUSTEMENT",$G193=0),"QUANTITE &lt;&gt; 0; ",IF(AND($C193&lt;&gt;"AJUSTEMENT",$G193&lt;=0),"QUANTITE &gt; 0; ","")))&amp;IF(AND($C193="AJUSTEMENT",$H193=""),"MOTIF; ","")&amp;IF(AND(OR($C193="TRANSFERT",$C193="CONSOMMATION"),$E193=""),"EMPL. SOURCE; ","")&amp;IF(AND($C193&lt;&gt;"CONSOMMATION",$F193=""),"EMPL. DESTINATION; ","")&amp;IF(AND($C193="TRANSFERT",$E193&lt;&gt;"",$E193=$F193),"SOURCE = DESTINATION; ",""),IF($Q193="EMPLACEMENT INCOHERENT","Le lot "&amp;$D193&amp;" n'existe pas sur cet emplacement (stock 0). Verifier l'emplacement.",IF($Q193="STOCK INSUFFISANT","Disponible avant operation : "&amp;TEXT($P193,"#,##0.00")&amp;" kg. Ligne NON comptee en stock.",IF(COUNTIFS($B$5:$B$304,$B193,$C$5:$C$304,$C193,$D$5:$D$304,$D193,$G$5:$G$304,$G193)&gt;1,"Doublon possible (meme date, type, lot et quantite).",IF($K193="LOT NON REFERENCE","Creer d'abord la fiche du lot dans l'onglet LOTS.",""))))))</f>
        <v/>
      </c>
    </row>
    <row r="194" customFormat="false" ht="15" hidden="false" customHeight="false" outlineLevel="0" collapsed="false">
      <c r="A194" s="26" t="str">
        <f aca="false">IF($C194="","","OP-"&amp;TEXT(ROW()-4,"000"))</f>
        <v/>
      </c>
      <c r="B194" s="25"/>
      <c r="C194" s="24"/>
      <c r="D194" s="24"/>
      <c r="E194" s="24"/>
      <c r="F194" s="24"/>
      <c r="G194" s="29"/>
      <c r="H194" s="24"/>
      <c r="I194" s="24"/>
      <c r="J194" s="26" t="str">
        <f aca="false">IF($D194="","",IFERROR(INDEX(LOT_EXTE,MATCH($D194,LOT_KEY,0)),""))</f>
        <v/>
      </c>
      <c r="K194" s="26" t="str">
        <f aca="false">IF($D194="","",IFERROR(INDEX(LOT_PRODE,MATCH($D194,LOT_KEY,0)),"LOT NON REFERENCE"))</f>
        <v/>
      </c>
      <c r="L194" s="26" t="str">
        <f aca="false">IF($D194="","",IFERROR(INDEX(LOT_FOURNE,MATCH($D194,LOT_KEY,0)),""))</f>
        <v/>
      </c>
      <c r="M194" s="26" t="str">
        <f aca="false">IF($E194="","",IFERROR(INDEX(EMPL_CLASSE,MATCH($E194,EMPL_KEY,0)),"?"))</f>
        <v/>
      </c>
      <c r="N194" s="26" t="str">
        <f aca="false">IF($F194="","",IFERROR(INDEX(EMPL_CLASSE,MATCH($F194,EMPL_KEY,0)),"?"))</f>
        <v/>
      </c>
      <c r="O194" s="28" t="n">
        <f aca="false">IF($C194="",0,IF(OR($B194="",$D194=""),0,IF($C194="AJUSTEMENT",IF(OR(NOT(ISNUMBER($G194)),$G194=0,$F194="",$H194=""),0,1),IF(OR(NOT(ISNUMBER($G194)),$G194&lt;=0),0,IF($C194="RECEPTION",IF($F194="",0,1),IF($C194="CONSOMMATION",IF($E194="",0,1),IF(OR($E194="",$F194="",$E194=$F194),0,1)))))))</f>
        <v>0</v>
      </c>
      <c r="P194" s="27" t="str">
        <f aca="false">IF(OR($O194=0,$C194="RECEPTION"),"",IF($C194="AJUSTEMENT",IF($G194&gt;0,"",SUMIFS(MVT_BRUT,MVT_LOT,$D194,MVT_EMPL,$F194)-$G194),SUMIFS(MVT_BRUT,MVT_LOT,$D194,MVT_EMPL,$E194)+$G194))</f>
        <v/>
      </c>
      <c r="Q194" s="26" t="str">
        <f aca="false">IF($C194="","",IF($O194=0,"DONNEES MANQUANTES",IF($C194="RECEPTION","OK",IF(AND($C194="AJUSTEMENT",$G194&gt;0),"OK",IF($P194&lt;=0,"EMPLACEMENT INCOHERENT",IF(ABS($G194)&gt;$P194+0.001,"STOCK INSUFFISANT","OK"))))))</f>
        <v/>
      </c>
      <c r="R194" s="28" t="n">
        <f aca="false">IF($Q194="OK",1,0)</f>
        <v>0</v>
      </c>
      <c r="S194" s="26" t="str">
        <f aca="false">IF($C194="","",IF($O194=0,"A COMPLETER : "&amp;IF($B194="","DATE; ","")&amp;IF($D194="","LOT INTERNE; ","")&amp;IF(NOT(ISNUMBER($G194)),"QUANTITE; ",IF(AND($C194="AJUSTEMENT",$G194=0),"QUANTITE &lt;&gt; 0; ",IF(AND($C194&lt;&gt;"AJUSTEMENT",$G194&lt;=0),"QUANTITE &gt; 0; ","")))&amp;IF(AND($C194="AJUSTEMENT",$H194=""),"MOTIF; ","")&amp;IF(AND(OR($C194="TRANSFERT",$C194="CONSOMMATION"),$E194=""),"EMPL. SOURCE; ","")&amp;IF(AND($C194&lt;&gt;"CONSOMMATION",$F194=""),"EMPL. DESTINATION; ","")&amp;IF(AND($C194="TRANSFERT",$E194&lt;&gt;"",$E194=$F194),"SOURCE = DESTINATION; ",""),IF($Q194="EMPLACEMENT INCOHERENT","Le lot "&amp;$D194&amp;" n'existe pas sur cet emplacement (stock 0). Verifier l'emplacement.",IF($Q194="STOCK INSUFFISANT","Disponible avant operation : "&amp;TEXT($P194,"#,##0.00")&amp;" kg. Ligne NON comptee en stock.",IF(COUNTIFS($B$5:$B$304,$B194,$C$5:$C$304,$C194,$D$5:$D$304,$D194,$G$5:$G$304,$G194)&gt;1,"Doublon possible (meme date, type, lot et quantite).",IF($K194="LOT NON REFERENCE","Creer d'abord la fiche du lot dans l'onglet LOTS.",""))))))</f>
        <v/>
      </c>
    </row>
    <row r="195" customFormat="false" ht="15" hidden="false" customHeight="false" outlineLevel="0" collapsed="false">
      <c r="A195" s="26" t="str">
        <f aca="false">IF($C195="","","OP-"&amp;TEXT(ROW()-4,"000"))</f>
        <v/>
      </c>
      <c r="B195" s="25"/>
      <c r="C195" s="24"/>
      <c r="D195" s="24"/>
      <c r="E195" s="24"/>
      <c r="F195" s="24"/>
      <c r="G195" s="29"/>
      <c r="H195" s="24"/>
      <c r="I195" s="24"/>
      <c r="J195" s="26" t="str">
        <f aca="false">IF($D195="","",IFERROR(INDEX(LOT_EXTE,MATCH($D195,LOT_KEY,0)),""))</f>
        <v/>
      </c>
      <c r="K195" s="26" t="str">
        <f aca="false">IF($D195="","",IFERROR(INDEX(LOT_PRODE,MATCH($D195,LOT_KEY,0)),"LOT NON REFERENCE"))</f>
        <v/>
      </c>
      <c r="L195" s="26" t="str">
        <f aca="false">IF($D195="","",IFERROR(INDEX(LOT_FOURNE,MATCH($D195,LOT_KEY,0)),""))</f>
        <v/>
      </c>
      <c r="M195" s="26" t="str">
        <f aca="false">IF($E195="","",IFERROR(INDEX(EMPL_CLASSE,MATCH($E195,EMPL_KEY,0)),"?"))</f>
        <v/>
      </c>
      <c r="N195" s="26" t="str">
        <f aca="false">IF($F195="","",IFERROR(INDEX(EMPL_CLASSE,MATCH($F195,EMPL_KEY,0)),"?"))</f>
        <v/>
      </c>
      <c r="O195" s="28" t="n">
        <f aca="false">IF($C195="",0,IF(OR($B195="",$D195=""),0,IF($C195="AJUSTEMENT",IF(OR(NOT(ISNUMBER($G195)),$G195=0,$F195="",$H195=""),0,1),IF(OR(NOT(ISNUMBER($G195)),$G195&lt;=0),0,IF($C195="RECEPTION",IF($F195="",0,1),IF($C195="CONSOMMATION",IF($E195="",0,1),IF(OR($E195="",$F195="",$E195=$F195),0,1)))))))</f>
        <v>0</v>
      </c>
      <c r="P195" s="27" t="str">
        <f aca="false">IF(OR($O195=0,$C195="RECEPTION"),"",IF($C195="AJUSTEMENT",IF($G195&gt;0,"",SUMIFS(MVT_BRUT,MVT_LOT,$D195,MVT_EMPL,$F195)-$G195),SUMIFS(MVT_BRUT,MVT_LOT,$D195,MVT_EMPL,$E195)+$G195))</f>
        <v/>
      </c>
      <c r="Q195" s="26" t="str">
        <f aca="false">IF($C195="","",IF($O195=0,"DONNEES MANQUANTES",IF($C195="RECEPTION","OK",IF(AND($C195="AJUSTEMENT",$G195&gt;0),"OK",IF($P195&lt;=0,"EMPLACEMENT INCOHERENT",IF(ABS($G195)&gt;$P195+0.001,"STOCK INSUFFISANT","OK"))))))</f>
        <v/>
      </c>
      <c r="R195" s="28" t="n">
        <f aca="false">IF($Q195="OK",1,0)</f>
        <v>0</v>
      </c>
      <c r="S195" s="26" t="str">
        <f aca="false">IF($C195="","",IF($O195=0,"A COMPLETER : "&amp;IF($B195="","DATE; ","")&amp;IF($D195="","LOT INTERNE; ","")&amp;IF(NOT(ISNUMBER($G195)),"QUANTITE; ",IF(AND($C195="AJUSTEMENT",$G195=0),"QUANTITE &lt;&gt; 0; ",IF(AND($C195&lt;&gt;"AJUSTEMENT",$G195&lt;=0),"QUANTITE &gt; 0; ","")))&amp;IF(AND($C195="AJUSTEMENT",$H195=""),"MOTIF; ","")&amp;IF(AND(OR($C195="TRANSFERT",$C195="CONSOMMATION"),$E195=""),"EMPL. SOURCE; ","")&amp;IF(AND($C195&lt;&gt;"CONSOMMATION",$F195=""),"EMPL. DESTINATION; ","")&amp;IF(AND($C195="TRANSFERT",$E195&lt;&gt;"",$E195=$F195),"SOURCE = DESTINATION; ",""),IF($Q195="EMPLACEMENT INCOHERENT","Le lot "&amp;$D195&amp;" n'existe pas sur cet emplacement (stock 0). Verifier l'emplacement.",IF($Q195="STOCK INSUFFISANT","Disponible avant operation : "&amp;TEXT($P195,"#,##0.00")&amp;" kg. Ligne NON comptee en stock.",IF(COUNTIFS($B$5:$B$304,$B195,$C$5:$C$304,$C195,$D$5:$D$304,$D195,$G$5:$G$304,$G195)&gt;1,"Doublon possible (meme date, type, lot et quantite).",IF($K195="LOT NON REFERENCE","Creer d'abord la fiche du lot dans l'onglet LOTS.",""))))))</f>
        <v/>
      </c>
    </row>
    <row r="196" customFormat="false" ht="15" hidden="false" customHeight="false" outlineLevel="0" collapsed="false">
      <c r="A196" s="26" t="str">
        <f aca="false">IF($C196="","","OP-"&amp;TEXT(ROW()-4,"000"))</f>
        <v/>
      </c>
      <c r="B196" s="25"/>
      <c r="C196" s="24"/>
      <c r="D196" s="24"/>
      <c r="E196" s="24"/>
      <c r="F196" s="24"/>
      <c r="G196" s="29"/>
      <c r="H196" s="24"/>
      <c r="I196" s="24"/>
      <c r="J196" s="26" t="str">
        <f aca="false">IF($D196="","",IFERROR(INDEX(LOT_EXTE,MATCH($D196,LOT_KEY,0)),""))</f>
        <v/>
      </c>
      <c r="K196" s="26" t="str">
        <f aca="false">IF($D196="","",IFERROR(INDEX(LOT_PRODE,MATCH($D196,LOT_KEY,0)),"LOT NON REFERENCE"))</f>
        <v/>
      </c>
      <c r="L196" s="26" t="str">
        <f aca="false">IF($D196="","",IFERROR(INDEX(LOT_FOURNE,MATCH($D196,LOT_KEY,0)),""))</f>
        <v/>
      </c>
      <c r="M196" s="26" t="str">
        <f aca="false">IF($E196="","",IFERROR(INDEX(EMPL_CLASSE,MATCH($E196,EMPL_KEY,0)),"?"))</f>
        <v/>
      </c>
      <c r="N196" s="26" t="str">
        <f aca="false">IF($F196="","",IFERROR(INDEX(EMPL_CLASSE,MATCH($F196,EMPL_KEY,0)),"?"))</f>
        <v/>
      </c>
      <c r="O196" s="28" t="n">
        <f aca="false">IF($C196="",0,IF(OR($B196="",$D196=""),0,IF($C196="AJUSTEMENT",IF(OR(NOT(ISNUMBER($G196)),$G196=0,$F196="",$H196=""),0,1),IF(OR(NOT(ISNUMBER($G196)),$G196&lt;=0),0,IF($C196="RECEPTION",IF($F196="",0,1),IF($C196="CONSOMMATION",IF($E196="",0,1),IF(OR($E196="",$F196="",$E196=$F196),0,1)))))))</f>
        <v>0</v>
      </c>
      <c r="P196" s="27" t="str">
        <f aca="false">IF(OR($O196=0,$C196="RECEPTION"),"",IF($C196="AJUSTEMENT",IF($G196&gt;0,"",SUMIFS(MVT_BRUT,MVT_LOT,$D196,MVT_EMPL,$F196)-$G196),SUMIFS(MVT_BRUT,MVT_LOT,$D196,MVT_EMPL,$E196)+$G196))</f>
        <v/>
      </c>
      <c r="Q196" s="26" t="str">
        <f aca="false">IF($C196="","",IF($O196=0,"DONNEES MANQUANTES",IF($C196="RECEPTION","OK",IF(AND($C196="AJUSTEMENT",$G196&gt;0),"OK",IF($P196&lt;=0,"EMPLACEMENT INCOHERENT",IF(ABS($G196)&gt;$P196+0.001,"STOCK INSUFFISANT","OK"))))))</f>
        <v/>
      </c>
      <c r="R196" s="28" t="n">
        <f aca="false">IF($Q196="OK",1,0)</f>
        <v>0</v>
      </c>
      <c r="S196" s="26" t="str">
        <f aca="false">IF($C196="","",IF($O196=0,"A COMPLETER : "&amp;IF($B196="","DATE; ","")&amp;IF($D196="","LOT INTERNE; ","")&amp;IF(NOT(ISNUMBER($G196)),"QUANTITE; ",IF(AND($C196="AJUSTEMENT",$G196=0),"QUANTITE &lt;&gt; 0; ",IF(AND($C196&lt;&gt;"AJUSTEMENT",$G196&lt;=0),"QUANTITE &gt; 0; ","")))&amp;IF(AND($C196="AJUSTEMENT",$H196=""),"MOTIF; ","")&amp;IF(AND(OR($C196="TRANSFERT",$C196="CONSOMMATION"),$E196=""),"EMPL. SOURCE; ","")&amp;IF(AND($C196&lt;&gt;"CONSOMMATION",$F196=""),"EMPL. DESTINATION; ","")&amp;IF(AND($C196="TRANSFERT",$E196&lt;&gt;"",$E196=$F196),"SOURCE = DESTINATION; ",""),IF($Q196="EMPLACEMENT INCOHERENT","Le lot "&amp;$D196&amp;" n'existe pas sur cet emplacement (stock 0). Verifier l'emplacement.",IF($Q196="STOCK INSUFFISANT","Disponible avant operation : "&amp;TEXT($P196,"#,##0.00")&amp;" kg. Ligne NON comptee en stock.",IF(COUNTIFS($B$5:$B$304,$B196,$C$5:$C$304,$C196,$D$5:$D$304,$D196,$G$5:$G$304,$G196)&gt;1,"Doublon possible (meme date, type, lot et quantite).",IF($K196="LOT NON REFERENCE","Creer d'abord la fiche du lot dans l'onglet LOTS.",""))))))</f>
        <v/>
      </c>
    </row>
    <row r="197" customFormat="false" ht="15" hidden="false" customHeight="false" outlineLevel="0" collapsed="false">
      <c r="A197" s="26" t="str">
        <f aca="false">IF($C197="","","OP-"&amp;TEXT(ROW()-4,"000"))</f>
        <v/>
      </c>
      <c r="B197" s="25"/>
      <c r="C197" s="24"/>
      <c r="D197" s="24"/>
      <c r="E197" s="24"/>
      <c r="F197" s="24"/>
      <c r="G197" s="29"/>
      <c r="H197" s="24"/>
      <c r="I197" s="24"/>
      <c r="J197" s="26" t="str">
        <f aca="false">IF($D197="","",IFERROR(INDEX(LOT_EXTE,MATCH($D197,LOT_KEY,0)),""))</f>
        <v/>
      </c>
      <c r="K197" s="26" t="str">
        <f aca="false">IF($D197="","",IFERROR(INDEX(LOT_PRODE,MATCH($D197,LOT_KEY,0)),"LOT NON REFERENCE"))</f>
        <v/>
      </c>
      <c r="L197" s="26" t="str">
        <f aca="false">IF($D197="","",IFERROR(INDEX(LOT_FOURNE,MATCH($D197,LOT_KEY,0)),""))</f>
        <v/>
      </c>
      <c r="M197" s="26" t="str">
        <f aca="false">IF($E197="","",IFERROR(INDEX(EMPL_CLASSE,MATCH($E197,EMPL_KEY,0)),"?"))</f>
        <v/>
      </c>
      <c r="N197" s="26" t="str">
        <f aca="false">IF($F197="","",IFERROR(INDEX(EMPL_CLASSE,MATCH($F197,EMPL_KEY,0)),"?"))</f>
        <v/>
      </c>
      <c r="O197" s="28" t="n">
        <f aca="false">IF($C197="",0,IF(OR($B197="",$D197=""),0,IF($C197="AJUSTEMENT",IF(OR(NOT(ISNUMBER($G197)),$G197=0,$F197="",$H197=""),0,1),IF(OR(NOT(ISNUMBER($G197)),$G197&lt;=0),0,IF($C197="RECEPTION",IF($F197="",0,1),IF($C197="CONSOMMATION",IF($E197="",0,1),IF(OR($E197="",$F197="",$E197=$F197),0,1)))))))</f>
        <v>0</v>
      </c>
      <c r="P197" s="27" t="str">
        <f aca="false">IF(OR($O197=0,$C197="RECEPTION"),"",IF($C197="AJUSTEMENT",IF($G197&gt;0,"",SUMIFS(MVT_BRUT,MVT_LOT,$D197,MVT_EMPL,$F197)-$G197),SUMIFS(MVT_BRUT,MVT_LOT,$D197,MVT_EMPL,$E197)+$G197))</f>
        <v/>
      </c>
      <c r="Q197" s="26" t="str">
        <f aca="false">IF($C197="","",IF($O197=0,"DONNEES MANQUANTES",IF($C197="RECEPTION","OK",IF(AND($C197="AJUSTEMENT",$G197&gt;0),"OK",IF($P197&lt;=0,"EMPLACEMENT INCOHERENT",IF(ABS($G197)&gt;$P197+0.001,"STOCK INSUFFISANT","OK"))))))</f>
        <v/>
      </c>
      <c r="R197" s="28" t="n">
        <f aca="false">IF($Q197="OK",1,0)</f>
        <v>0</v>
      </c>
      <c r="S197" s="26" t="str">
        <f aca="false">IF($C197="","",IF($O197=0,"A COMPLETER : "&amp;IF($B197="","DATE; ","")&amp;IF($D197="","LOT INTERNE; ","")&amp;IF(NOT(ISNUMBER($G197)),"QUANTITE; ",IF(AND($C197="AJUSTEMENT",$G197=0),"QUANTITE &lt;&gt; 0; ",IF(AND($C197&lt;&gt;"AJUSTEMENT",$G197&lt;=0),"QUANTITE &gt; 0; ","")))&amp;IF(AND($C197="AJUSTEMENT",$H197=""),"MOTIF; ","")&amp;IF(AND(OR($C197="TRANSFERT",$C197="CONSOMMATION"),$E197=""),"EMPL. SOURCE; ","")&amp;IF(AND($C197&lt;&gt;"CONSOMMATION",$F197=""),"EMPL. DESTINATION; ","")&amp;IF(AND($C197="TRANSFERT",$E197&lt;&gt;"",$E197=$F197),"SOURCE = DESTINATION; ",""),IF($Q197="EMPLACEMENT INCOHERENT","Le lot "&amp;$D197&amp;" n'existe pas sur cet emplacement (stock 0). Verifier l'emplacement.",IF($Q197="STOCK INSUFFISANT","Disponible avant operation : "&amp;TEXT($P197,"#,##0.00")&amp;" kg. Ligne NON comptee en stock.",IF(COUNTIFS($B$5:$B$304,$B197,$C$5:$C$304,$C197,$D$5:$D$304,$D197,$G$5:$G$304,$G197)&gt;1,"Doublon possible (meme date, type, lot et quantite).",IF($K197="LOT NON REFERENCE","Creer d'abord la fiche du lot dans l'onglet LOTS.",""))))))</f>
        <v/>
      </c>
    </row>
    <row r="198" customFormat="false" ht="15" hidden="false" customHeight="false" outlineLevel="0" collapsed="false">
      <c r="A198" s="26" t="str">
        <f aca="false">IF($C198="","","OP-"&amp;TEXT(ROW()-4,"000"))</f>
        <v/>
      </c>
      <c r="B198" s="25"/>
      <c r="C198" s="24"/>
      <c r="D198" s="24"/>
      <c r="E198" s="24"/>
      <c r="F198" s="24"/>
      <c r="G198" s="29"/>
      <c r="H198" s="24"/>
      <c r="I198" s="24"/>
      <c r="J198" s="26" t="str">
        <f aca="false">IF($D198="","",IFERROR(INDEX(LOT_EXTE,MATCH($D198,LOT_KEY,0)),""))</f>
        <v/>
      </c>
      <c r="K198" s="26" t="str">
        <f aca="false">IF($D198="","",IFERROR(INDEX(LOT_PRODE,MATCH($D198,LOT_KEY,0)),"LOT NON REFERENCE"))</f>
        <v/>
      </c>
      <c r="L198" s="26" t="str">
        <f aca="false">IF($D198="","",IFERROR(INDEX(LOT_FOURNE,MATCH($D198,LOT_KEY,0)),""))</f>
        <v/>
      </c>
      <c r="M198" s="26" t="str">
        <f aca="false">IF($E198="","",IFERROR(INDEX(EMPL_CLASSE,MATCH($E198,EMPL_KEY,0)),"?"))</f>
        <v/>
      </c>
      <c r="N198" s="26" t="str">
        <f aca="false">IF($F198="","",IFERROR(INDEX(EMPL_CLASSE,MATCH($F198,EMPL_KEY,0)),"?"))</f>
        <v/>
      </c>
      <c r="O198" s="28" t="n">
        <f aca="false">IF($C198="",0,IF(OR($B198="",$D198=""),0,IF($C198="AJUSTEMENT",IF(OR(NOT(ISNUMBER($G198)),$G198=0,$F198="",$H198=""),0,1),IF(OR(NOT(ISNUMBER($G198)),$G198&lt;=0),0,IF($C198="RECEPTION",IF($F198="",0,1),IF($C198="CONSOMMATION",IF($E198="",0,1),IF(OR($E198="",$F198="",$E198=$F198),0,1)))))))</f>
        <v>0</v>
      </c>
      <c r="P198" s="27" t="str">
        <f aca="false">IF(OR($O198=0,$C198="RECEPTION"),"",IF($C198="AJUSTEMENT",IF($G198&gt;0,"",SUMIFS(MVT_BRUT,MVT_LOT,$D198,MVT_EMPL,$F198)-$G198),SUMIFS(MVT_BRUT,MVT_LOT,$D198,MVT_EMPL,$E198)+$G198))</f>
        <v/>
      </c>
      <c r="Q198" s="26" t="str">
        <f aca="false">IF($C198="","",IF($O198=0,"DONNEES MANQUANTES",IF($C198="RECEPTION","OK",IF(AND($C198="AJUSTEMENT",$G198&gt;0),"OK",IF($P198&lt;=0,"EMPLACEMENT INCOHERENT",IF(ABS($G198)&gt;$P198+0.001,"STOCK INSUFFISANT","OK"))))))</f>
        <v/>
      </c>
      <c r="R198" s="28" t="n">
        <f aca="false">IF($Q198="OK",1,0)</f>
        <v>0</v>
      </c>
      <c r="S198" s="26" t="str">
        <f aca="false">IF($C198="","",IF($O198=0,"A COMPLETER : "&amp;IF($B198="","DATE; ","")&amp;IF($D198="","LOT INTERNE; ","")&amp;IF(NOT(ISNUMBER($G198)),"QUANTITE; ",IF(AND($C198="AJUSTEMENT",$G198=0),"QUANTITE &lt;&gt; 0; ",IF(AND($C198&lt;&gt;"AJUSTEMENT",$G198&lt;=0),"QUANTITE &gt; 0; ","")))&amp;IF(AND($C198="AJUSTEMENT",$H198=""),"MOTIF; ","")&amp;IF(AND(OR($C198="TRANSFERT",$C198="CONSOMMATION"),$E198=""),"EMPL. SOURCE; ","")&amp;IF(AND($C198&lt;&gt;"CONSOMMATION",$F198=""),"EMPL. DESTINATION; ","")&amp;IF(AND($C198="TRANSFERT",$E198&lt;&gt;"",$E198=$F198),"SOURCE = DESTINATION; ",""),IF($Q198="EMPLACEMENT INCOHERENT","Le lot "&amp;$D198&amp;" n'existe pas sur cet emplacement (stock 0). Verifier l'emplacement.",IF($Q198="STOCK INSUFFISANT","Disponible avant operation : "&amp;TEXT($P198,"#,##0.00")&amp;" kg. Ligne NON comptee en stock.",IF(COUNTIFS($B$5:$B$304,$B198,$C$5:$C$304,$C198,$D$5:$D$304,$D198,$G$5:$G$304,$G198)&gt;1,"Doublon possible (meme date, type, lot et quantite).",IF($K198="LOT NON REFERENCE","Creer d'abord la fiche du lot dans l'onglet LOTS.",""))))))</f>
        <v/>
      </c>
    </row>
    <row r="199" customFormat="false" ht="15" hidden="false" customHeight="false" outlineLevel="0" collapsed="false">
      <c r="A199" s="26" t="str">
        <f aca="false">IF($C199="","","OP-"&amp;TEXT(ROW()-4,"000"))</f>
        <v/>
      </c>
      <c r="B199" s="25"/>
      <c r="C199" s="24"/>
      <c r="D199" s="24"/>
      <c r="E199" s="24"/>
      <c r="F199" s="24"/>
      <c r="G199" s="29"/>
      <c r="H199" s="24"/>
      <c r="I199" s="24"/>
      <c r="J199" s="26" t="str">
        <f aca="false">IF($D199="","",IFERROR(INDEX(LOT_EXTE,MATCH($D199,LOT_KEY,0)),""))</f>
        <v/>
      </c>
      <c r="K199" s="26" t="str">
        <f aca="false">IF($D199="","",IFERROR(INDEX(LOT_PRODE,MATCH($D199,LOT_KEY,0)),"LOT NON REFERENCE"))</f>
        <v/>
      </c>
      <c r="L199" s="26" t="str">
        <f aca="false">IF($D199="","",IFERROR(INDEX(LOT_FOURNE,MATCH($D199,LOT_KEY,0)),""))</f>
        <v/>
      </c>
      <c r="M199" s="26" t="str">
        <f aca="false">IF($E199="","",IFERROR(INDEX(EMPL_CLASSE,MATCH($E199,EMPL_KEY,0)),"?"))</f>
        <v/>
      </c>
      <c r="N199" s="26" t="str">
        <f aca="false">IF($F199="","",IFERROR(INDEX(EMPL_CLASSE,MATCH($F199,EMPL_KEY,0)),"?"))</f>
        <v/>
      </c>
      <c r="O199" s="28" t="n">
        <f aca="false">IF($C199="",0,IF(OR($B199="",$D199=""),0,IF($C199="AJUSTEMENT",IF(OR(NOT(ISNUMBER($G199)),$G199=0,$F199="",$H199=""),0,1),IF(OR(NOT(ISNUMBER($G199)),$G199&lt;=0),0,IF($C199="RECEPTION",IF($F199="",0,1),IF($C199="CONSOMMATION",IF($E199="",0,1),IF(OR($E199="",$F199="",$E199=$F199),0,1)))))))</f>
        <v>0</v>
      </c>
      <c r="P199" s="27" t="str">
        <f aca="false">IF(OR($O199=0,$C199="RECEPTION"),"",IF($C199="AJUSTEMENT",IF($G199&gt;0,"",SUMIFS(MVT_BRUT,MVT_LOT,$D199,MVT_EMPL,$F199)-$G199),SUMIFS(MVT_BRUT,MVT_LOT,$D199,MVT_EMPL,$E199)+$G199))</f>
        <v/>
      </c>
      <c r="Q199" s="26" t="str">
        <f aca="false">IF($C199="","",IF($O199=0,"DONNEES MANQUANTES",IF($C199="RECEPTION","OK",IF(AND($C199="AJUSTEMENT",$G199&gt;0),"OK",IF($P199&lt;=0,"EMPLACEMENT INCOHERENT",IF(ABS($G199)&gt;$P199+0.001,"STOCK INSUFFISANT","OK"))))))</f>
        <v/>
      </c>
      <c r="R199" s="28" t="n">
        <f aca="false">IF($Q199="OK",1,0)</f>
        <v>0</v>
      </c>
      <c r="S199" s="26" t="str">
        <f aca="false">IF($C199="","",IF($O199=0,"A COMPLETER : "&amp;IF($B199="","DATE; ","")&amp;IF($D199="","LOT INTERNE; ","")&amp;IF(NOT(ISNUMBER($G199)),"QUANTITE; ",IF(AND($C199="AJUSTEMENT",$G199=0),"QUANTITE &lt;&gt; 0; ",IF(AND($C199&lt;&gt;"AJUSTEMENT",$G199&lt;=0),"QUANTITE &gt; 0; ","")))&amp;IF(AND($C199="AJUSTEMENT",$H199=""),"MOTIF; ","")&amp;IF(AND(OR($C199="TRANSFERT",$C199="CONSOMMATION"),$E199=""),"EMPL. SOURCE; ","")&amp;IF(AND($C199&lt;&gt;"CONSOMMATION",$F199=""),"EMPL. DESTINATION; ","")&amp;IF(AND($C199="TRANSFERT",$E199&lt;&gt;"",$E199=$F199),"SOURCE = DESTINATION; ",""),IF($Q199="EMPLACEMENT INCOHERENT","Le lot "&amp;$D199&amp;" n'existe pas sur cet emplacement (stock 0). Verifier l'emplacement.",IF($Q199="STOCK INSUFFISANT","Disponible avant operation : "&amp;TEXT($P199,"#,##0.00")&amp;" kg. Ligne NON comptee en stock.",IF(COUNTIFS($B$5:$B$304,$B199,$C$5:$C$304,$C199,$D$5:$D$304,$D199,$G$5:$G$304,$G199)&gt;1,"Doublon possible (meme date, type, lot et quantite).",IF($K199="LOT NON REFERENCE","Creer d'abord la fiche du lot dans l'onglet LOTS.",""))))))</f>
        <v/>
      </c>
    </row>
    <row r="200" customFormat="false" ht="15" hidden="false" customHeight="false" outlineLevel="0" collapsed="false">
      <c r="A200" s="26" t="str">
        <f aca="false">IF($C200="","","OP-"&amp;TEXT(ROW()-4,"000"))</f>
        <v/>
      </c>
      <c r="B200" s="25"/>
      <c r="C200" s="24"/>
      <c r="D200" s="24"/>
      <c r="E200" s="24"/>
      <c r="F200" s="24"/>
      <c r="G200" s="29"/>
      <c r="H200" s="24"/>
      <c r="I200" s="24"/>
      <c r="J200" s="26" t="str">
        <f aca="false">IF($D200="","",IFERROR(INDEX(LOT_EXTE,MATCH($D200,LOT_KEY,0)),""))</f>
        <v/>
      </c>
      <c r="K200" s="26" t="str">
        <f aca="false">IF($D200="","",IFERROR(INDEX(LOT_PRODE,MATCH($D200,LOT_KEY,0)),"LOT NON REFERENCE"))</f>
        <v/>
      </c>
      <c r="L200" s="26" t="str">
        <f aca="false">IF($D200="","",IFERROR(INDEX(LOT_FOURNE,MATCH($D200,LOT_KEY,0)),""))</f>
        <v/>
      </c>
      <c r="M200" s="26" t="str">
        <f aca="false">IF($E200="","",IFERROR(INDEX(EMPL_CLASSE,MATCH($E200,EMPL_KEY,0)),"?"))</f>
        <v/>
      </c>
      <c r="N200" s="26" t="str">
        <f aca="false">IF($F200="","",IFERROR(INDEX(EMPL_CLASSE,MATCH($F200,EMPL_KEY,0)),"?"))</f>
        <v/>
      </c>
      <c r="O200" s="28" t="n">
        <f aca="false">IF($C200="",0,IF(OR($B200="",$D200=""),0,IF($C200="AJUSTEMENT",IF(OR(NOT(ISNUMBER($G200)),$G200=0,$F200="",$H200=""),0,1),IF(OR(NOT(ISNUMBER($G200)),$G200&lt;=0),0,IF($C200="RECEPTION",IF($F200="",0,1),IF($C200="CONSOMMATION",IF($E200="",0,1),IF(OR($E200="",$F200="",$E200=$F200),0,1)))))))</f>
        <v>0</v>
      </c>
      <c r="P200" s="27" t="str">
        <f aca="false">IF(OR($O200=0,$C200="RECEPTION"),"",IF($C200="AJUSTEMENT",IF($G200&gt;0,"",SUMIFS(MVT_BRUT,MVT_LOT,$D200,MVT_EMPL,$F200)-$G200),SUMIFS(MVT_BRUT,MVT_LOT,$D200,MVT_EMPL,$E200)+$G200))</f>
        <v/>
      </c>
      <c r="Q200" s="26" t="str">
        <f aca="false">IF($C200="","",IF($O200=0,"DONNEES MANQUANTES",IF($C200="RECEPTION","OK",IF(AND($C200="AJUSTEMENT",$G200&gt;0),"OK",IF($P200&lt;=0,"EMPLACEMENT INCOHERENT",IF(ABS($G200)&gt;$P200+0.001,"STOCK INSUFFISANT","OK"))))))</f>
        <v/>
      </c>
      <c r="R200" s="28" t="n">
        <f aca="false">IF($Q200="OK",1,0)</f>
        <v>0</v>
      </c>
      <c r="S200" s="26" t="str">
        <f aca="false">IF($C200="","",IF($O200=0,"A COMPLETER : "&amp;IF($B200="","DATE; ","")&amp;IF($D200="","LOT INTERNE; ","")&amp;IF(NOT(ISNUMBER($G200)),"QUANTITE; ",IF(AND($C200="AJUSTEMENT",$G200=0),"QUANTITE &lt;&gt; 0; ",IF(AND($C200&lt;&gt;"AJUSTEMENT",$G200&lt;=0),"QUANTITE &gt; 0; ","")))&amp;IF(AND($C200="AJUSTEMENT",$H200=""),"MOTIF; ","")&amp;IF(AND(OR($C200="TRANSFERT",$C200="CONSOMMATION"),$E200=""),"EMPL. SOURCE; ","")&amp;IF(AND($C200&lt;&gt;"CONSOMMATION",$F200=""),"EMPL. DESTINATION; ","")&amp;IF(AND($C200="TRANSFERT",$E200&lt;&gt;"",$E200=$F200),"SOURCE = DESTINATION; ",""),IF($Q200="EMPLACEMENT INCOHERENT","Le lot "&amp;$D200&amp;" n'existe pas sur cet emplacement (stock 0). Verifier l'emplacement.",IF($Q200="STOCK INSUFFISANT","Disponible avant operation : "&amp;TEXT($P200,"#,##0.00")&amp;" kg. Ligne NON comptee en stock.",IF(COUNTIFS($B$5:$B$304,$B200,$C$5:$C$304,$C200,$D$5:$D$304,$D200,$G$5:$G$304,$G200)&gt;1,"Doublon possible (meme date, type, lot et quantite).",IF($K200="LOT NON REFERENCE","Creer d'abord la fiche du lot dans l'onglet LOTS.",""))))))</f>
        <v/>
      </c>
    </row>
    <row r="201" customFormat="false" ht="15" hidden="false" customHeight="false" outlineLevel="0" collapsed="false">
      <c r="A201" s="26" t="str">
        <f aca="false">IF($C201="","","OP-"&amp;TEXT(ROW()-4,"000"))</f>
        <v/>
      </c>
      <c r="B201" s="25"/>
      <c r="C201" s="24"/>
      <c r="D201" s="24"/>
      <c r="E201" s="24"/>
      <c r="F201" s="24"/>
      <c r="G201" s="29"/>
      <c r="H201" s="24"/>
      <c r="I201" s="24"/>
      <c r="J201" s="26" t="str">
        <f aca="false">IF($D201="","",IFERROR(INDEX(LOT_EXTE,MATCH($D201,LOT_KEY,0)),""))</f>
        <v/>
      </c>
      <c r="K201" s="26" t="str">
        <f aca="false">IF($D201="","",IFERROR(INDEX(LOT_PRODE,MATCH($D201,LOT_KEY,0)),"LOT NON REFERENCE"))</f>
        <v/>
      </c>
      <c r="L201" s="26" t="str">
        <f aca="false">IF($D201="","",IFERROR(INDEX(LOT_FOURNE,MATCH($D201,LOT_KEY,0)),""))</f>
        <v/>
      </c>
      <c r="M201" s="26" t="str">
        <f aca="false">IF($E201="","",IFERROR(INDEX(EMPL_CLASSE,MATCH($E201,EMPL_KEY,0)),"?"))</f>
        <v/>
      </c>
      <c r="N201" s="26" t="str">
        <f aca="false">IF($F201="","",IFERROR(INDEX(EMPL_CLASSE,MATCH($F201,EMPL_KEY,0)),"?"))</f>
        <v/>
      </c>
      <c r="O201" s="28" t="n">
        <f aca="false">IF($C201="",0,IF(OR($B201="",$D201=""),0,IF($C201="AJUSTEMENT",IF(OR(NOT(ISNUMBER($G201)),$G201=0,$F201="",$H201=""),0,1),IF(OR(NOT(ISNUMBER($G201)),$G201&lt;=0),0,IF($C201="RECEPTION",IF($F201="",0,1),IF($C201="CONSOMMATION",IF($E201="",0,1),IF(OR($E201="",$F201="",$E201=$F201),0,1)))))))</f>
        <v>0</v>
      </c>
      <c r="P201" s="27" t="str">
        <f aca="false">IF(OR($O201=0,$C201="RECEPTION"),"",IF($C201="AJUSTEMENT",IF($G201&gt;0,"",SUMIFS(MVT_BRUT,MVT_LOT,$D201,MVT_EMPL,$F201)-$G201),SUMIFS(MVT_BRUT,MVT_LOT,$D201,MVT_EMPL,$E201)+$G201))</f>
        <v/>
      </c>
      <c r="Q201" s="26" t="str">
        <f aca="false">IF($C201="","",IF($O201=0,"DONNEES MANQUANTES",IF($C201="RECEPTION","OK",IF(AND($C201="AJUSTEMENT",$G201&gt;0),"OK",IF($P201&lt;=0,"EMPLACEMENT INCOHERENT",IF(ABS($G201)&gt;$P201+0.001,"STOCK INSUFFISANT","OK"))))))</f>
        <v/>
      </c>
      <c r="R201" s="28" t="n">
        <f aca="false">IF($Q201="OK",1,0)</f>
        <v>0</v>
      </c>
      <c r="S201" s="26" t="str">
        <f aca="false">IF($C201="","",IF($O201=0,"A COMPLETER : "&amp;IF($B201="","DATE; ","")&amp;IF($D201="","LOT INTERNE; ","")&amp;IF(NOT(ISNUMBER($G201)),"QUANTITE; ",IF(AND($C201="AJUSTEMENT",$G201=0),"QUANTITE &lt;&gt; 0; ",IF(AND($C201&lt;&gt;"AJUSTEMENT",$G201&lt;=0),"QUANTITE &gt; 0; ","")))&amp;IF(AND($C201="AJUSTEMENT",$H201=""),"MOTIF; ","")&amp;IF(AND(OR($C201="TRANSFERT",$C201="CONSOMMATION"),$E201=""),"EMPL. SOURCE; ","")&amp;IF(AND($C201&lt;&gt;"CONSOMMATION",$F201=""),"EMPL. DESTINATION; ","")&amp;IF(AND($C201="TRANSFERT",$E201&lt;&gt;"",$E201=$F201),"SOURCE = DESTINATION; ",""),IF($Q201="EMPLACEMENT INCOHERENT","Le lot "&amp;$D201&amp;" n'existe pas sur cet emplacement (stock 0). Verifier l'emplacement.",IF($Q201="STOCK INSUFFISANT","Disponible avant operation : "&amp;TEXT($P201,"#,##0.00")&amp;" kg. Ligne NON comptee en stock.",IF(COUNTIFS($B$5:$B$304,$B201,$C$5:$C$304,$C201,$D$5:$D$304,$D201,$G$5:$G$304,$G201)&gt;1,"Doublon possible (meme date, type, lot et quantite).",IF($K201="LOT NON REFERENCE","Creer d'abord la fiche du lot dans l'onglet LOTS.",""))))))</f>
        <v/>
      </c>
    </row>
    <row r="202" customFormat="false" ht="15" hidden="false" customHeight="false" outlineLevel="0" collapsed="false">
      <c r="A202" s="26" t="str">
        <f aca="false">IF($C202="","","OP-"&amp;TEXT(ROW()-4,"000"))</f>
        <v/>
      </c>
      <c r="B202" s="25"/>
      <c r="C202" s="24"/>
      <c r="D202" s="24"/>
      <c r="E202" s="24"/>
      <c r="F202" s="24"/>
      <c r="G202" s="29"/>
      <c r="H202" s="24"/>
      <c r="I202" s="24"/>
      <c r="J202" s="26" t="str">
        <f aca="false">IF($D202="","",IFERROR(INDEX(LOT_EXTE,MATCH($D202,LOT_KEY,0)),""))</f>
        <v/>
      </c>
      <c r="K202" s="26" t="str">
        <f aca="false">IF($D202="","",IFERROR(INDEX(LOT_PRODE,MATCH($D202,LOT_KEY,0)),"LOT NON REFERENCE"))</f>
        <v/>
      </c>
      <c r="L202" s="26" t="str">
        <f aca="false">IF($D202="","",IFERROR(INDEX(LOT_FOURNE,MATCH($D202,LOT_KEY,0)),""))</f>
        <v/>
      </c>
      <c r="M202" s="26" t="str">
        <f aca="false">IF($E202="","",IFERROR(INDEX(EMPL_CLASSE,MATCH($E202,EMPL_KEY,0)),"?"))</f>
        <v/>
      </c>
      <c r="N202" s="26" t="str">
        <f aca="false">IF($F202="","",IFERROR(INDEX(EMPL_CLASSE,MATCH($F202,EMPL_KEY,0)),"?"))</f>
        <v/>
      </c>
      <c r="O202" s="28" t="n">
        <f aca="false">IF($C202="",0,IF(OR($B202="",$D202=""),0,IF($C202="AJUSTEMENT",IF(OR(NOT(ISNUMBER($G202)),$G202=0,$F202="",$H202=""),0,1),IF(OR(NOT(ISNUMBER($G202)),$G202&lt;=0),0,IF($C202="RECEPTION",IF($F202="",0,1),IF($C202="CONSOMMATION",IF($E202="",0,1),IF(OR($E202="",$F202="",$E202=$F202),0,1)))))))</f>
        <v>0</v>
      </c>
      <c r="P202" s="27" t="str">
        <f aca="false">IF(OR($O202=0,$C202="RECEPTION"),"",IF($C202="AJUSTEMENT",IF($G202&gt;0,"",SUMIFS(MVT_BRUT,MVT_LOT,$D202,MVT_EMPL,$F202)-$G202),SUMIFS(MVT_BRUT,MVT_LOT,$D202,MVT_EMPL,$E202)+$G202))</f>
        <v/>
      </c>
      <c r="Q202" s="26" t="str">
        <f aca="false">IF($C202="","",IF($O202=0,"DONNEES MANQUANTES",IF($C202="RECEPTION","OK",IF(AND($C202="AJUSTEMENT",$G202&gt;0),"OK",IF($P202&lt;=0,"EMPLACEMENT INCOHERENT",IF(ABS($G202)&gt;$P202+0.001,"STOCK INSUFFISANT","OK"))))))</f>
        <v/>
      </c>
      <c r="R202" s="28" t="n">
        <f aca="false">IF($Q202="OK",1,0)</f>
        <v>0</v>
      </c>
      <c r="S202" s="26" t="str">
        <f aca="false">IF($C202="","",IF($O202=0,"A COMPLETER : "&amp;IF($B202="","DATE; ","")&amp;IF($D202="","LOT INTERNE; ","")&amp;IF(NOT(ISNUMBER($G202)),"QUANTITE; ",IF(AND($C202="AJUSTEMENT",$G202=0),"QUANTITE &lt;&gt; 0; ",IF(AND($C202&lt;&gt;"AJUSTEMENT",$G202&lt;=0),"QUANTITE &gt; 0; ","")))&amp;IF(AND($C202="AJUSTEMENT",$H202=""),"MOTIF; ","")&amp;IF(AND(OR($C202="TRANSFERT",$C202="CONSOMMATION"),$E202=""),"EMPL. SOURCE; ","")&amp;IF(AND($C202&lt;&gt;"CONSOMMATION",$F202=""),"EMPL. DESTINATION; ","")&amp;IF(AND($C202="TRANSFERT",$E202&lt;&gt;"",$E202=$F202),"SOURCE = DESTINATION; ",""),IF($Q202="EMPLACEMENT INCOHERENT","Le lot "&amp;$D202&amp;" n'existe pas sur cet emplacement (stock 0). Verifier l'emplacement.",IF($Q202="STOCK INSUFFISANT","Disponible avant operation : "&amp;TEXT($P202,"#,##0.00")&amp;" kg. Ligne NON comptee en stock.",IF(COUNTIFS($B$5:$B$304,$B202,$C$5:$C$304,$C202,$D$5:$D$304,$D202,$G$5:$G$304,$G202)&gt;1,"Doublon possible (meme date, type, lot et quantite).",IF($K202="LOT NON REFERENCE","Creer d'abord la fiche du lot dans l'onglet LOTS.",""))))))</f>
        <v/>
      </c>
    </row>
    <row r="203" customFormat="false" ht="15" hidden="false" customHeight="false" outlineLevel="0" collapsed="false">
      <c r="A203" s="26" t="str">
        <f aca="false">IF($C203="","","OP-"&amp;TEXT(ROW()-4,"000"))</f>
        <v/>
      </c>
      <c r="B203" s="25"/>
      <c r="C203" s="24"/>
      <c r="D203" s="24"/>
      <c r="E203" s="24"/>
      <c r="F203" s="24"/>
      <c r="G203" s="29"/>
      <c r="H203" s="24"/>
      <c r="I203" s="24"/>
      <c r="J203" s="26" t="str">
        <f aca="false">IF($D203="","",IFERROR(INDEX(LOT_EXTE,MATCH($D203,LOT_KEY,0)),""))</f>
        <v/>
      </c>
      <c r="K203" s="26" t="str">
        <f aca="false">IF($D203="","",IFERROR(INDEX(LOT_PRODE,MATCH($D203,LOT_KEY,0)),"LOT NON REFERENCE"))</f>
        <v/>
      </c>
      <c r="L203" s="26" t="str">
        <f aca="false">IF($D203="","",IFERROR(INDEX(LOT_FOURNE,MATCH($D203,LOT_KEY,0)),""))</f>
        <v/>
      </c>
      <c r="M203" s="26" t="str">
        <f aca="false">IF($E203="","",IFERROR(INDEX(EMPL_CLASSE,MATCH($E203,EMPL_KEY,0)),"?"))</f>
        <v/>
      </c>
      <c r="N203" s="26" t="str">
        <f aca="false">IF($F203="","",IFERROR(INDEX(EMPL_CLASSE,MATCH($F203,EMPL_KEY,0)),"?"))</f>
        <v/>
      </c>
      <c r="O203" s="28" t="n">
        <f aca="false">IF($C203="",0,IF(OR($B203="",$D203=""),0,IF($C203="AJUSTEMENT",IF(OR(NOT(ISNUMBER($G203)),$G203=0,$F203="",$H203=""),0,1),IF(OR(NOT(ISNUMBER($G203)),$G203&lt;=0),0,IF($C203="RECEPTION",IF($F203="",0,1),IF($C203="CONSOMMATION",IF($E203="",0,1),IF(OR($E203="",$F203="",$E203=$F203),0,1)))))))</f>
        <v>0</v>
      </c>
      <c r="P203" s="27" t="str">
        <f aca="false">IF(OR($O203=0,$C203="RECEPTION"),"",IF($C203="AJUSTEMENT",IF($G203&gt;0,"",SUMIFS(MVT_BRUT,MVT_LOT,$D203,MVT_EMPL,$F203)-$G203),SUMIFS(MVT_BRUT,MVT_LOT,$D203,MVT_EMPL,$E203)+$G203))</f>
        <v/>
      </c>
      <c r="Q203" s="26" t="str">
        <f aca="false">IF($C203="","",IF($O203=0,"DONNEES MANQUANTES",IF($C203="RECEPTION","OK",IF(AND($C203="AJUSTEMENT",$G203&gt;0),"OK",IF($P203&lt;=0,"EMPLACEMENT INCOHERENT",IF(ABS($G203)&gt;$P203+0.001,"STOCK INSUFFISANT","OK"))))))</f>
        <v/>
      </c>
      <c r="R203" s="28" t="n">
        <f aca="false">IF($Q203="OK",1,0)</f>
        <v>0</v>
      </c>
      <c r="S203" s="26" t="str">
        <f aca="false">IF($C203="","",IF($O203=0,"A COMPLETER : "&amp;IF($B203="","DATE; ","")&amp;IF($D203="","LOT INTERNE; ","")&amp;IF(NOT(ISNUMBER($G203)),"QUANTITE; ",IF(AND($C203="AJUSTEMENT",$G203=0),"QUANTITE &lt;&gt; 0; ",IF(AND($C203&lt;&gt;"AJUSTEMENT",$G203&lt;=0),"QUANTITE &gt; 0; ","")))&amp;IF(AND($C203="AJUSTEMENT",$H203=""),"MOTIF; ","")&amp;IF(AND(OR($C203="TRANSFERT",$C203="CONSOMMATION"),$E203=""),"EMPL. SOURCE; ","")&amp;IF(AND($C203&lt;&gt;"CONSOMMATION",$F203=""),"EMPL. DESTINATION; ","")&amp;IF(AND($C203="TRANSFERT",$E203&lt;&gt;"",$E203=$F203),"SOURCE = DESTINATION; ",""),IF($Q203="EMPLACEMENT INCOHERENT","Le lot "&amp;$D203&amp;" n'existe pas sur cet emplacement (stock 0). Verifier l'emplacement.",IF($Q203="STOCK INSUFFISANT","Disponible avant operation : "&amp;TEXT($P203,"#,##0.00")&amp;" kg. Ligne NON comptee en stock.",IF(COUNTIFS($B$5:$B$304,$B203,$C$5:$C$304,$C203,$D$5:$D$304,$D203,$G$5:$G$304,$G203)&gt;1,"Doublon possible (meme date, type, lot et quantite).",IF($K203="LOT NON REFERENCE","Creer d'abord la fiche du lot dans l'onglet LOTS.",""))))))</f>
        <v/>
      </c>
    </row>
    <row r="204" customFormat="false" ht="15" hidden="false" customHeight="false" outlineLevel="0" collapsed="false">
      <c r="A204" s="26" t="str">
        <f aca="false">IF($C204="","","OP-"&amp;TEXT(ROW()-4,"000"))</f>
        <v/>
      </c>
      <c r="B204" s="25"/>
      <c r="C204" s="24"/>
      <c r="D204" s="24"/>
      <c r="E204" s="24"/>
      <c r="F204" s="24"/>
      <c r="G204" s="29"/>
      <c r="H204" s="24"/>
      <c r="I204" s="24"/>
      <c r="J204" s="26" t="str">
        <f aca="false">IF($D204="","",IFERROR(INDEX(LOT_EXTE,MATCH($D204,LOT_KEY,0)),""))</f>
        <v/>
      </c>
      <c r="K204" s="26" t="str">
        <f aca="false">IF($D204="","",IFERROR(INDEX(LOT_PRODE,MATCH($D204,LOT_KEY,0)),"LOT NON REFERENCE"))</f>
        <v/>
      </c>
      <c r="L204" s="26" t="str">
        <f aca="false">IF($D204="","",IFERROR(INDEX(LOT_FOURNE,MATCH($D204,LOT_KEY,0)),""))</f>
        <v/>
      </c>
      <c r="M204" s="26" t="str">
        <f aca="false">IF($E204="","",IFERROR(INDEX(EMPL_CLASSE,MATCH($E204,EMPL_KEY,0)),"?"))</f>
        <v/>
      </c>
      <c r="N204" s="26" t="str">
        <f aca="false">IF($F204="","",IFERROR(INDEX(EMPL_CLASSE,MATCH($F204,EMPL_KEY,0)),"?"))</f>
        <v/>
      </c>
      <c r="O204" s="28" t="n">
        <f aca="false">IF($C204="",0,IF(OR($B204="",$D204=""),0,IF($C204="AJUSTEMENT",IF(OR(NOT(ISNUMBER($G204)),$G204=0,$F204="",$H204=""),0,1),IF(OR(NOT(ISNUMBER($G204)),$G204&lt;=0),0,IF($C204="RECEPTION",IF($F204="",0,1),IF($C204="CONSOMMATION",IF($E204="",0,1),IF(OR($E204="",$F204="",$E204=$F204),0,1)))))))</f>
        <v>0</v>
      </c>
      <c r="P204" s="27" t="str">
        <f aca="false">IF(OR($O204=0,$C204="RECEPTION"),"",IF($C204="AJUSTEMENT",IF($G204&gt;0,"",SUMIFS(MVT_BRUT,MVT_LOT,$D204,MVT_EMPL,$F204)-$G204),SUMIFS(MVT_BRUT,MVT_LOT,$D204,MVT_EMPL,$E204)+$G204))</f>
        <v/>
      </c>
      <c r="Q204" s="26" t="str">
        <f aca="false">IF($C204="","",IF($O204=0,"DONNEES MANQUANTES",IF($C204="RECEPTION","OK",IF(AND($C204="AJUSTEMENT",$G204&gt;0),"OK",IF($P204&lt;=0,"EMPLACEMENT INCOHERENT",IF(ABS($G204)&gt;$P204+0.001,"STOCK INSUFFISANT","OK"))))))</f>
        <v/>
      </c>
      <c r="R204" s="28" t="n">
        <f aca="false">IF($Q204="OK",1,0)</f>
        <v>0</v>
      </c>
      <c r="S204" s="26" t="str">
        <f aca="false">IF($C204="","",IF($O204=0,"A COMPLETER : "&amp;IF($B204="","DATE; ","")&amp;IF($D204="","LOT INTERNE; ","")&amp;IF(NOT(ISNUMBER($G204)),"QUANTITE; ",IF(AND($C204="AJUSTEMENT",$G204=0),"QUANTITE &lt;&gt; 0; ",IF(AND($C204&lt;&gt;"AJUSTEMENT",$G204&lt;=0),"QUANTITE &gt; 0; ","")))&amp;IF(AND($C204="AJUSTEMENT",$H204=""),"MOTIF; ","")&amp;IF(AND(OR($C204="TRANSFERT",$C204="CONSOMMATION"),$E204=""),"EMPL. SOURCE; ","")&amp;IF(AND($C204&lt;&gt;"CONSOMMATION",$F204=""),"EMPL. DESTINATION; ","")&amp;IF(AND($C204="TRANSFERT",$E204&lt;&gt;"",$E204=$F204),"SOURCE = DESTINATION; ",""),IF($Q204="EMPLACEMENT INCOHERENT","Le lot "&amp;$D204&amp;" n'existe pas sur cet emplacement (stock 0). Verifier l'emplacement.",IF($Q204="STOCK INSUFFISANT","Disponible avant operation : "&amp;TEXT($P204,"#,##0.00")&amp;" kg. Ligne NON comptee en stock.",IF(COUNTIFS($B$5:$B$304,$B204,$C$5:$C$304,$C204,$D$5:$D$304,$D204,$G$5:$G$304,$G204)&gt;1,"Doublon possible (meme date, type, lot et quantite).",IF($K204="LOT NON REFERENCE","Creer d'abord la fiche du lot dans l'onglet LOTS.",""))))))</f>
        <v/>
      </c>
    </row>
    <row r="205" customFormat="false" ht="15" hidden="false" customHeight="false" outlineLevel="0" collapsed="false">
      <c r="A205" s="26" t="str">
        <f aca="false">IF($C205="","","OP-"&amp;TEXT(ROW()-4,"000"))</f>
        <v/>
      </c>
      <c r="B205" s="25"/>
      <c r="C205" s="24"/>
      <c r="D205" s="24"/>
      <c r="E205" s="24"/>
      <c r="F205" s="24"/>
      <c r="G205" s="29"/>
      <c r="H205" s="24"/>
      <c r="I205" s="24"/>
      <c r="J205" s="26" t="str">
        <f aca="false">IF($D205="","",IFERROR(INDEX(LOT_EXTE,MATCH($D205,LOT_KEY,0)),""))</f>
        <v/>
      </c>
      <c r="K205" s="26" t="str">
        <f aca="false">IF($D205="","",IFERROR(INDEX(LOT_PRODE,MATCH($D205,LOT_KEY,0)),"LOT NON REFERENCE"))</f>
        <v/>
      </c>
      <c r="L205" s="26" t="str">
        <f aca="false">IF($D205="","",IFERROR(INDEX(LOT_FOURNE,MATCH($D205,LOT_KEY,0)),""))</f>
        <v/>
      </c>
      <c r="M205" s="26" t="str">
        <f aca="false">IF($E205="","",IFERROR(INDEX(EMPL_CLASSE,MATCH($E205,EMPL_KEY,0)),"?"))</f>
        <v/>
      </c>
      <c r="N205" s="26" t="str">
        <f aca="false">IF($F205="","",IFERROR(INDEX(EMPL_CLASSE,MATCH($F205,EMPL_KEY,0)),"?"))</f>
        <v/>
      </c>
      <c r="O205" s="28" t="n">
        <f aca="false">IF($C205="",0,IF(OR($B205="",$D205=""),0,IF($C205="AJUSTEMENT",IF(OR(NOT(ISNUMBER($G205)),$G205=0,$F205="",$H205=""),0,1),IF(OR(NOT(ISNUMBER($G205)),$G205&lt;=0),0,IF($C205="RECEPTION",IF($F205="",0,1),IF($C205="CONSOMMATION",IF($E205="",0,1),IF(OR($E205="",$F205="",$E205=$F205),0,1)))))))</f>
        <v>0</v>
      </c>
      <c r="P205" s="27" t="str">
        <f aca="false">IF(OR($O205=0,$C205="RECEPTION"),"",IF($C205="AJUSTEMENT",IF($G205&gt;0,"",SUMIFS(MVT_BRUT,MVT_LOT,$D205,MVT_EMPL,$F205)-$G205),SUMIFS(MVT_BRUT,MVT_LOT,$D205,MVT_EMPL,$E205)+$G205))</f>
        <v/>
      </c>
      <c r="Q205" s="26" t="str">
        <f aca="false">IF($C205="","",IF($O205=0,"DONNEES MANQUANTES",IF($C205="RECEPTION","OK",IF(AND($C205="AJUSTEMENT",$G205&gt;0),"OK",IF($P205&lt;=0,"EMPLACEMENT INCOHERENT",IF(ABS($G205)&gt;$P205+0.001,"STOCK INSUFFISANT","OK"))))))</f>
        <v/>
      </c>
      <c r="R205" s="28" t="n">
        <f aca="false">IF($Q205="OK",1,0)</f>
        <v>0</v>
      </c>
      <c r="S205" s="26" t="str">
        <f aca="false">IF($C205="","",IF($O205=0,"A COMPLETER : "&amp;IF($B205="","DATE; ","")&amp;IF($D205="","LOT INTERNE; ","")&amp;IF(NOT(ISNUMBER($G205)),"QUANTITE; ",IF(AND($C205="AJUSTEMENT",$G205=0),"QUANTITE &lt;&gt; 0; ",IF(AND($C205&lt;&gt;"AJUSTEMENT",$G205&lt;=0),"QUANTITE &gt; 0; ","")))&amp;IF(AND($C205="AJUSTEMENT",$H205=""),"MOTIF; ","")&amp;IF(AND(OR($C205="TRANSFERT",$C205="CONSOMMATION"),$E205=""),"EMPL. SOURCE; ","")&amp;IF(AND($C205&lt;&gt;"CONSOMMATION",$F205=""),"EMPL. DESTINATION; ","")&amp;IF(AND($C205="TRANSFERT",$E205&lt;&gt;"",$E205=$F205),"SOURCE = DESTINATION; ",""),IF($Q205="EMPLACEMENT INCOHERENT","Le lot "&amp;$D205&amp;" n'existe pas sur cet emplacement (stock 0). Verifier l'emplacement.",IF($Q205="STOCK INSUFFISANT","Disponible avant operation : "&amp;TEXT($P205,"#,##0.00")&amp;" kg. Ligne NON comptee en stock.",IF(COUNTIFS($B$5:$B$304,$B205,$C$5:$C$304,$C205,$D$5:$D$304,$D205,$G$5:$G$304,$G205)&gt;1,"Doublon possible (meme date, type, lot et quantite).",IF($K205="LOT NON REFERENCE","Creer d'abord la fiche du lot dans l'onglet LOTS.",""))))))</f>
        <v/>
      </c>
    </row>
    <row r="206" customFormat="false" ht="15" hidden="false" customHeight="false" outlineLevel="0" collapsed="false">
      <c r="A206" s="26" t="str">
        <f aca="false">IF($C206="","","OP-"&amp;TEXT(ROW()-4,"000"))</f>
        <v/>
      </c>
      <c r="B206" s="25"/>
      <c r="C206" s="24"/>
      <c r="D206" s="24"/>
      <c r="E206" s="24"/>
      <c r="F206" s="24"/>
      <c r="G206" s="29"/>
      <c r="H206" s="24"/>
      <c r="I206" s="24"/>
      <c r="J206" s="26" t="str">
        <f aca="false">IF($D206="","",IFERROR(INDEX(LOT_EXTE,MATCH($D206,LOT_KEY,0)),""))</f>
        <v/>
      </c>
      <c r="K206" s="26" t="str">
        <f aca="false">IF($D206="","",IFERROR(INDEX(LOT_PRODE,MATCH($D206,LOT_KEY,0)),"LOT NON REFERENCE"))</f>
        <v/>
      </c>
      <c r="L206" s="26" t="str">
        <f aca="false">IF($D206="","",IFERROR(INDEX(LOT_FOURNE,MATCH($D206,LOT_KEY,0)),""))</f>
        <v/>
      </c>
      <c r="M206" s="26" t="str">
        <f aca="false">IF($E206="","",IFERROR(INDEX(EMPL_CLASSE,MATCH($E206,EMPL_KEY,0)),"?"))</f>
        <v/>
      </c>
      <c r="N206" s="26" t="str">
        <f aca="false">IF($F206="","",IFERROR(INDEX(EMPL_CLASSE,MATCH($F206,EMPL_KEY,0)),"?"))</f>
        <v/>
      </c>
      <c r="O206" s="28" t="n">
        <f aca="false">IF($C206="",0,IF(OR($B206="",$D206=""),0,IF($C206="AJUSTEMENT",IF(OR(NOT(ISNUMBER($G206)),$G206=0,$F206="",$H206=""),0,1),IF(OR(NOT(ISNUMBER($G206)),$G206&lt;=0),0,IF($C206="RECEPTION",IF($F206="",0,1),IF($C206="CONSOMMATION",IF($E206="",0,1),IF(OR($E206="",$F206="",$E206=$F206),0,1)))))))</f>
        <v>0</v>
      </c>
      <c r="P206" s="27" t="str">
        <f aca="false">IF(OR($O206=0,$C206="RECEPTION"),"",IF($C206="AJUSTEMENT",IF($G206&gt;0,"",SUMIFS(MVT_BRUT,MVT_LOT,$D206,MVT_EMPL,$F206)-$G206),SUMIFS(MVT_BRUT,MVT_LOT,$D206,MVT_EMPL,$E206)+$G206))</f>
        <v/>
      </c>
      <c r="Q206" s="26" t="str">
        <f aca="false">IF($C206="","",IF($O206=0,"DONNEES MANQUANTES",IF($C206="RECEPTION","OK",IF(AND($C206="AJUSTEMENT",$G206&gt;0),"OK",IF($P206&lt;=0,"EMPLACEMENT INCOHERENT",IF(ABS($G206)&gt;$P206+0.001,"STOCK INSUFFISANT","OK"))))))</f>
        <v/>
      </c>
      <c r="R206" s="28" t="n">
        <f aca="false">IF($Q206="OK",1,0)</f>
        <v>0</v>
      </c>
      <c r="S206" s="26" t="str">
        <f aca="false">IF($C206="","",IF($O206=0,"A COMPLETER : "&amp;IF($B206="","DATE; ","")&amp;IF($D206="","LOT INTERNE; ","")&amp;IF(NOT(ISNUMBER($G206)),"QUANTITE; ",IF(AND($C206="AJUSTEMENT",$G206=0),"QUANTITE &lt;&gt; 0; ",IF(AND($C206&lt;&gt;"AJUSTEMENT",$G206&lt;=0),"QUANTITE &gt; 0; ","")))&amp;IF(AND($C206="AJUSTEMENT",$H206=""),"MOTIF; ","")&amp;IF(AND(OR($C206="TRANSFERT",$C206="CONSOMMATION"),$E206=""),"EMPL. SOURCE; ","")&amp;IF(AND($C206&lt;&gt;"CONSOMMATION",$F206=""),"EMPL. DESTINATION; ","")&amp;IF(AND($C206="TRANSFERT",$E206&lt;&gt;"",$E206=$F206),"SOURCE = DESTINATION; ",""),IF($Q206="EMPLACEMENT INCOHERENT","Le lot "&amp;$D206&amp;" n'existe pas sur cet emplacement (stock 0). Verifier l'emplacement.",IF($Q206="STOCK INSUFFISANT","Disponible avant operation : "&amp;TEXT($P206,"#,##0.00")&amp;" kg. Ligne NON comptee en stock.",IF(COUNTIFS($B$5:$B$304,$B206,$C$5:$C$304,$C206,$D$5:$D$304,$D206,$G$5:$G$304,$G206)&gt;1,"Doublon possible (meme date, type, lot et quantite).",IF($K206="LOT NON REFERENCE","Creer d'abord la fiche du lot dans l'onglet LOTS.",""))))))</f>
        <v/>
      </c>
    </row>
    <row r="207" customFormat="false" ht="15" hidden="false" customHeight="false" outlineLevel="0" collapsed="false">
      <c r="A207" s="26" t="str">
        <f aca="false">IF($C207="","","OP-"&amp;TEXT(ROW()-4,"000"))</f>
        <v/>
      </c>
      <c r="B207" s="25"/>
      <c r="C207" s="24"/>
      <c r="D207" s="24"/>
      <c r="E207" s="24"/>
      <c r="F207" s="24"/>
      <c r="G207" s="29"/>
      <c r="H207" s="24"/>
      <c r="I207" s="24"/>
      <c r="J207" s="26" t="str">
        <f aca="false">IF($D207="","",IFERROR(INDEX(LOT_EXTE,MATCH($D207,LOT_KEY,0)),""))</f>
        <v/>
      </c>
      <c r="K207" s="26" t="str">
        <f aca="false">IF($D207="","",IFERROR(INDEX(LOT_PRODE,MATCH($D207,LOT_KEY,0)),"LOT NON REFERENCE"))</f>
        <v/>
      </c>
      <c r="L207" s="26" t="str">
        <f aca="false">IF($D207="","",IFERROR(INDEX(LOT_FOURNE,MATCH($D207,LOT_KEY,0)),""))</f>
        <v/>
      </c>
      <c r="M207" s="26" t="str">
        <f aca="false">IF($E207="","",IFERROR(INDEX(EMPL_CLASSE,MATCH($E207,EMPL_KEY,0)),"?"))</f>
        <v/>
      </c>
      <c r="N207" s="26" t="str">
        <f aca="false">IF($F207="","",IFERROR(INDEX(EMPL_CLASSE,MATCH($F207,EMPL_KEY,0)),"?"))</f>
        <v/>
      </c>
      <c r="O207" s="28" t="n">
        <f aca="false">IF($C207="",0,IF(OR($B207="",$D207=""),0,IF($C207="AJUSTEMENT",IF(OR(NOT(ISNUMBER($G207)),$G207=0,$F207="",$H207=""),0,1),IF(OR(NOT(ISNUMBER($G207)),$G207&lt;=0),0,IF($C207="RECEPTION",IF($F207="",0,1),IF($C207="CONSOMMATION",IF($E207="",0,1),IF(OR($E207="",$F207="",$E207=$F207),0,1)))))))</f>
        <v>0</v>
      </c>
      <c r="P207" s="27" t="str">
        <f aca="false">IF(OR($O207=0,$C207="RECEPTION"),"",IF($C207="AJUSTEMENT",IF($G207&gt;0,"",SUMIFS(MVT_BRUT,MVT_LOT,$D207,MVT_EMPL,$F207)-$G207),SUMIFS(MVT_BRUT,MVT_LOT,$D207,MVT_EMPL,$E207)+$G207))</f>
        <v/>
      </c>
      <c r="Q207" s="26" t="str">
        <f aca="false">IF($C207="","",IF($O207=0,"DONNEES MANQUANTES",IF($C207="RECEPTION","OK",IF(AND($C207="AJUSTEMENT",$G207&gt;0),"OK",IF($P207&lt;=0,"EMPLACEMENT INCOHERENT",IF(ABS($G207)&gt;$P207+0.001,"STOCK INSUFFISANT","OK"))))))</f>
        <v/>
      </c>
      <c r="R207" s="28" t="n">
        <f aca="false">IF($Q207="OK",1,0)</f>
        <v>0</v>
      </c>
      <c r="S207" s="26" t="str">
        <f aca="false">IF($C207="","",IF($O207=0,"A COMPLETER : "&amp;IF($B207="","DATE; ","")&amp;IF($D207="","LOT INTERNE; ","")&amp;IF(NOT(ISNUMBER($G207)),"QUANTITE; ",IF(AND($C207="AJUSTEMENT",$G207=0),"QUANTITE &lt;&gt; 0; ",IF(AND($C207&lt;&gt;"AJUSTEMENT",$G207&lt;=0),"QUANTITE &gt; 0; ","")))&amp;IF(AND($C207="AJUSTEMENT",$H207=""),"MOTIF; ","")&amp;IF(AND(OR($C207="TRANSFERT",$C207="CONSOMMATION"),$E207=""),"EMPL. SOURCE; ","")&amp;IF(AND($C207&lt;&gt;"CONSOMMATION",$F207=""),"EMPL. DESTINATION; ","")&amp;IF(AND($C207="TRANSFERT",$E207&lt;&gt;"",$E207=$F207),"SOURCE = DESTINATION; ",""),IF($Q207="EMPLACEMENT INCOHERENT","Le lot "&amp;$D207&amp;" n'existe pas sur cet emplacement (stock 0). Verifier l'emplacement.",IF($Q207="STOCK INSUFFISANT","Disponible avant operation : "&amp;TEXT($P207,"#,##0.00")&amp;" kg. Ligne NON comptee en stock.",IF(COUNTIFS($B$5:$B$304,$B207,$C$5:$C$304,$C207,$D$5:$D$304,$D207,$G$5:$G$304,$G207)&gt;1,"Doublon possible (meme date, type, lot et quantite).",IF($K207="LOT NON REFERENCE","Creer d'abord la fiche du lot dans l'onglet LOTS.",""))))))</f>
        <v/>
      </c>
    </row>
    <row r="208" customFormat="false" ht="15" hidden="false" customHeight="false" outlineLevel="0" collapsed="false">
      <c r="A208" s="26" t="str">
        <f aca="false">IF($C208="","","OP-"&amp;TEXT(ROW()-4,"000"))</f>
        <v/>
      </c>
      <c r="B208" s="25"/>
      <c r="C208" s="24"/>
      <c r="D208" s="24"/>
      <c r="E208" s="24"/>
      <c r="F208" s="24"/>
      <c r="G208" s="29"/>
      <c r="H208" s="24"/>
      <c r="I208" s="24"/>
      <c r="J208" s="26" t="str">
        <f aca="false">IF($D208="","",IFERROR(INDEX(LOT_EXTE,MATCH($D208,LOT_KEY,0)),""))</f>
        <v/>
      </c>
      <c r="K208" s="26" t="str">
        <f aca="false">IF($D208="","",IFERROR(INDEX(LOT_PRODE,MATCH($D208,LOT_KEY,0)),"LOT NON REFERENCE"))</f>
        <v/>
      </c>
      <c r="L208" s="26" t="str">
        <f aca="false">IF($D208="","",IFERROR(INDEX(LOT_FOURNE,MATCH($D208,LOT_KEY,0)),""))</f>
        <v/>
      </c>
      <c r="M208" s="26" t="str">
        <f aca="false">IF($E208="","",IFERROR(INDEX(EMPL_CLASSE,MATCH($E208,EMPL_KEY,0)),"?"))</f>
        <v/>
      </c>
      <c r="N208" s="26" t="str">
        <f aca="false">IF($F208="","",IFERROR(INDEX(EMPL_CLASSE,MATCH($F208,EMPL_KEY,0)),"?"))</f>
        <v/>
      </c>
      <c r="O208" s="28" t="n">
        <f aca="false">IF($C208="",0,IF(OR($B208="",$D208=""),0,IF($C208="AJUSTEMENT",IF(OR(NOT(ISNUMBER($G208)),$G208=0,$F208="",$H208=""),0,1),IF(OR(NOT(ISNUMBER($G208)),$G208&lt;=0),0,IF($C208="RECEPTION",IF($F208="",0,1),IF($C208="CONSOMMATION",IF($E208="",0,1),IF(OR($E208="",$F208="",$E208=$F208),0,1)))))))</f>
        <v>0</v>
      </c>
      <c r="P208" s="27" t="str">
        <f aca="false">IF(OR($O208=0,$C208="RECEPTION"),"",IF($C208="AJUSTEMENT",IF($G208&gt;0,"",SUMIFS(MVT_BRUT,MVT_LOT,$D208,MVT_EMPL,$F208)-$G208),SUMIFS(MVT_BRUT,MVT_LOT,$D208,MVT_EMPL,$E208)+$G208))</f>
        <v/>
      </c>
      <c r="Q208" s="26" t="str">
        <f aca="false">IF($C208="","",IF($O208=0,"DONNEES MANQUANTES",IF($C208="RECEPTION","OK",IF(AND($C208="AJUSTEMENT",$G208&gt;0),"OK",IF($P208&lt;=0,"EMPLACEMENT INCOHERENT",IF(ABS($G208)&gt;$P208+0.001,"STOCK INSUFFISANT","OK"))))))</f>
        <v/>
      </c>
      <c r="R208" s="28" t="n">
        <f aca="false">IF($Q208="OK",1,0)</f>
        <v>0</v>
      </c>
      <c r="S208" s="26" t="str">
        <f aca="false">IF($C208="","",IF($O208=0,"A COMPLETER : "&amp;IF($B208="","DATE; ","")&amp;IF($D208="","LOT INTERNE; ","")&amp;IF(NOT(ISNUMBER($G208)),"QUANTITE; ",IF(AND($C208="AJUSTEMENT",$G208=0),"QUANTITE &lt;&gt; 0; ",IF(AND($C208&lt;&gt;"AJUSTEMENT",$G208&lt;=0),"QUANTITE &gt; 0; ","")))&amp;IF(AND($C208="AJUSTEMENT",$H208=""),"MOTIF; ","")&amp;IF(AND(OR($C208="TRANSFERT",$C208="CONSOMMATION"),$E208=""),"EMPL. SOURCE; ","")&amp;IF(AND($C208&lt;&gt;"CONSOMMATION",$F208=""),"EMPL. DESTINATION; ","")&amp;IF(AND($C208="TRANSFERT",$E208&lt;&gt;"",$E208=$F208),"SOURCE = DESTINATION; ",""),IF($Q208="EMPLACEMENT INCOHERENT","Le lot "&amp;$D208&amp;" n'existe pas sur cet emplacement (stock 0). Verifier l'emplacement.",IF($Q208="STOCK INSUFFISANT","Disponible avant operation : "&amp;TEXT($P208,"#,##0.00")&amp;" kg. Ligne NON comptee en stock.",IF(COUNTIFS($B$5:$B$304,$B208,$C$5:$C$304,$C208,$D$5:$D$304,$D208,$G$5:$G$304,$G208)&gt;1,"Doublon possible (meme date, type, lot et quantite).",IF($K208="LOT NON REFERENCE","Creer d'abord la fiche du lot dans l'onglet LOTS.",""))))))</f>
        <v/>
      </c>
    </row>
    <row r="209" customFormat="false" ht="15" hidden="false" customHeight="false" outlineLevel="0" collapsed="false">
      <c r="A209" s="26" t="str">
        <f aca="false">IF($C209="","","OP-"&amp;TEXT(ROW()-4,"000"))</f>
        <v/>
      </c>
      <c r="B209" s="25"/>
      <c r="C209" s="24"/>
      <c r="D209" s="24"/>
      <c r="E209" s="24"/>
      <c r="F209" s="24"/>
      <c r="G209" s="29"/>
      <c r="H209" s="24"/>
      <c r="I209" s="24"/>
      <c r="J209" s="26" t="str">
        <f aca="false">IF($D209="","",IFERROR(INDEX(LOT_EXTE,MATCH($D209,LOT_KEY,0)),""))</f>
        <v/>
      </c>
      <c r="K209" s="26" t="str">
        <f aca="false">IF($D209="","",IFERROR(INDEX(LOT_PRODE,MATCH($D209,LOT_KEY,0)),"LOT NON REFERENCE"))</f>
        <v/>
      </c>
      <c r="L209" s="26" t="str">
        <f aca="false">IF($D209="","",IFERROR(INDEX(LOT_FOURNE,MATCH($D209,LOT_KEY,0)),""))</f>
        <v/>
      </c>
      <c r="M209" s="26" t="str">
        <f aca="false">IF($E209="","",IFERROR(INDEX(EMPL_CLASSE,MATCH($E209,EMPL_KEY,0)),"?"))</f>
        <v/>
      </c>
      <c r="N209" s="26" t="str">
        <f aca="false">IF($F209="","",IFERROR(INDEX(EMPL_CLASSE,MATCH($F209,EMPL_KEY,0)),"?"))</f>
        <v/>
      </c>
      <c r="O209" s="28" t="n">
        <f aca="false">IF($C209="",0,IF(OR($B209="",$D209=""),0,IF($C209="AJUSTEMENT",IF(OR(NOT(ISNUMBER($G209)),$G209=0,$F209="",$H209=""),0,1),IF(OR(NOT(ISNUMBER($G209)),$G209&lt;=0),0,IF($C209="RECEPTION",IF($F209="",0,1),IF($C209="CONSOMMATION",IF($E209="",0,1),IF(OR($E209="",$F209="",$E209=$F209),0,1)))))))</f>
        <v>0</v>
      </c>
      <c r="P209" s="27" t="str">
        <f aca="false">IF(OR($O209=0,$C209="RECEPTION"),"",IF($C209="AJUSTEMENT",IF($G209&gt;0,"",SUMIFS(MVT_BRUT,MVT_LOT,$D209,MVT_EMPL,$F209)-$G209),SUMIFS(MVT_BRUT,MVT_LOT,$D209,MVT_EMPL,$E209)+$G209))</f>
        <v/>
      </c>
      <c r="Q209" s="26" t="str">
        <f aca="false">IF($C209="","",IF($O209=0,"DONNEES MANQUANTES",IF($C209="RECEPTION","OK",IF(AND($C209="AJUSTEMENT",$G209&gt;0),"OK",IF($P209&lt;=0,"EMPLACEMENT INCOHERENT",IF(ABS($G209)&gt;$P209+0.001,"STOCK INSUFFISANT","OK"))))))</f>
        <v/>
      </c>
      <c r="R209" s="28" t="n">
        <f aca="false">IF($Q209="OK",1,0)</f>
        <v>0</v>
      </c>
      <c r="S209" s="26" t="str">
        <f aca="false">IF($C209="","",IF($O209=0,"A COMPLETER : "&amp;IF($B209="","DATE; ","")&amp;IF($D209="","LOT INTERNE; ","")&amp;IF(NOT(ISNUMBER($G209)),"QUANTITE; ",IF(AND($C209="AJUSTEMENT",$G209=0),"QUANTITE &lt;&gt; 0; ",IF(AND($C209&lt;&gt;"AJUSTEMENT",$G209&lt;=0),"QUANTITE &gt; 0; ","")))&amp;IF(AND($C209="AJUSTEMENT",$H209=""),"MOTIF; ","")&amp;IF(AND(OR($C209="TRANSFERT",$C209="CONSOMMATION"),$E209=""),"EMPL. SOURCE; ","")&amp;IF(AND($C209&lt;&gt;"CONSOMMATION",$F209=""),"EMPL. DESTINATION; ","")&amp;IF(AND($C209="TRANSFERT",$E209&lt;&gt;"",$E209=$F209),"SOURCE = DESTINATION; ",""),IF($Q209="EMPLACEMENT INCOHERENT","Le lot "&amp;$D209&amp;" n'existe pas sur cet emplacement (stock 0). Verifier l'emplacement.",IF($Q209="STOCK INSUFFISANT","Disponible avant operation : "&amp;TEXT($P209,"#,##0.00")&amp;" kg. Ligne NON comptee en stock.",IF(COUNTIFS($B$5:$B$304,$B209,$C$5:$C$304,$C209,$D$5:$D$304,$D209,$G$5:$G$304,$G209)&gt;1,"Doublon possible (meme date, type, lot et quantite).",IF($K209="LOT NON REFERENCE","Creer d'abord la fiche du lot dans l'onglet LOTS.",""))))))</f>
        <v/>
      </c>
    </row>
    <row r="210" customFormat="false" ht="15" hidden="false" customHeight="false" outlineLevel="0" collapsed="false">
      <c r="A210" s="26" t="str">
        <f aca="false">IF($C210="","","OP-"&amp;TEXT(ROW()-4,"000"))</f>
        <v/>
      </c>
      <c r="B210" s="25"/>
      <c r="C210" s="24"/>
      <c r="D210" s="24"/>
      <c r="E210" s="24"/>
      <c r="F210" s="24"/>
      <c r="G210" s="29"/>
      <c r="H210" s="24"/>
      <c r="I210" s="24"/>
      <c r="J210" s="26" t="str">
        <f aca="false">IF($D210="","",IFERROR(INDEX(LOT_EXTE,MATCH($D210,LOT_KEY,0)),""))</f>
        <v/>
      </c>
      <c r="K210" s="26" t="str">
        <f aca="false">IF($D210="","",IFERROR(INDEX(LOT_PRODE,MATCH($D210,LOT_KEY,0)),"LOT NON REFERENCE"))</f>
        <v/>
      </c>
      <c r="L210" s="26" t="str">
        <f aca="false">IF($D210="","",IFERROR(INDEX(LOT_FOURNE,MATCH($D210,LOT_KEY,0)),""))</f>
        <v/>
      </c>
      <c r="M210" s="26" t="str">
        <f aca="false">IF($E210="","",IFERROR(INDEX(EMPL_CLASSE,MATCH($E210,EMPL_KEY,0)),"?"))</f>
        <v/>
      </c>
      <c r="N210" s="26" t="str">
        <f aca="false">IF($F210="","",IFERROR(INDEX(EMPL_CLASSE,MATCH($F210,EMPL_KEY,0)),"?"))</f>
        <v/>
      </c>
      <c r="O210" s="28" t="n">
        <f aca="false">IF($C210="",0,IF(OR($B210="",$D210=""),0,IF($C210="AJUSTEMENT",IF(OR(NOT(ISNUMBER($G210)),$G210=0,$F210="",$H210=""),0,1),IF(OR(NOT(ISNUMBER($G210)),$G210&lt;=0),0,IF($C210="RECEPTION",IF($F210="",0,1),IF($C210="CONSOMMATION",IF($E210="",0,1),IF(OR($E210="",$F210="",$E210=$F210),0,1)))))))</f>
        <v>0</v>
      </c>
      <c r="P210" s="27" t="str">
        <f aca="false">IF(OR($O210=0,$C210="RECEPTION"),"",IF($C210="AJUSTEMENT",IF($G210&gt;0,"",SUMIFS(MVT_BRUT,MVT_LOT,$D210,MVT_EMPL,$F210)-$G210),SUMIFS(MVT_BRUT,MVT_LOT,$D210,MVT_EMPL,$E210)+$G210))</f>
        <v/>
      </c>
      <c r="Q210" s="26" t="str">
        <f aca="false">IF($C210="","",IF($O210=0,"DONNEES MANQUANTES",IF($C210="RECEPTION","OK",IF(AND($C210="AJUSTEMENT",$G210&gt;0),"OK",IF($P210&lt;=0,"EMPLACEMENT INCOHERENT",IF(ABS($G210)&gt;$P210+0.001,"STOCK INSUFFISANT","OK"))))))</f>
        <v/>
      </c>
      <c r="R210" s="28" t="n">
        <f aca="false">IF($Q210="OK",1,0)</f>
        <v>0</v>
      </c>
      <c r="S210" s="26" t="str">
        <f aca="false">IF($C210="","",IF($O210=0,"A COMPLETER : "&amp;IF($B210="","DATE; ","")&amp;IF($D210="","LOT INTERNE; ","")&amp;IF(NOT(ISNUMBER($G210)),"QUANTITE; ",IF(AND($C210="AJUSTEMENT",$G210=0),"QUANTITE &lt;&gt; 0; ",IF(AND($C210&lt;&gt;"AJUSTEMENT",$G210&lt;=0),"QUANTITE &gt; 0; ","")))&amp;IF(AND($C210="AJUSTEMENT",$H210=""),"MOTIF; ","")&amp;IF(AND(OR($C210="TRANSFERT",$C210="CONSOMMATION"),$E210=""),"EMPL. SOURCE; ","")&amp;IF(AND($C210&lt;&gt;"CONSOMMATION",$F210=""),"EMPL. DESTINATION; ","")&amp;IF(AND($C210="TRANSFERT",$E210&lt;&gt;"",$E210=$F210),"SOURCE = DESTINATION; ",""),IF($Q210="EMPLACEMENT INCOHERENT","Le lot "&amp;$D210&amp;" n'existe pas sur cet emplacement (stock 0). Verifier l'emplacement.",IF($Q210="STOCK INSUFFISANT","Disponible avant operation : "&amp;TEXT($P210,"#,##0.00")&amp;" kg. Ligne NON comptee en stock.",IF(COUNTIFS($B$5:$B$304,$B210,$C$5:$C$304,$C210,$D$5:$D$304,$D210,$G$5:$G$304,$G210)&gt;1,"Doublon possible (meme date, type, lot et quantite).",IF($K210="LOT NON REFERENCE","Creer d'abord la fiche du lot dans l'onglet LOTS.",""))))))</f>
        <v/>
      </c>
    </row>
    <row r="211" customFormat="false" ht="15" hidden="false" customHeight="false" outlineLevel="0" collapsed="false">
      <c r="A211" s="26" t="str">
        <f aca="false">IF($C211="","","OP-"&amp;TEXT(ROW()-4,"000"))</f>
        <v/>
      </c>
      <c r="B211" s="25"/>
      <c r="C211" s="24"/>
      <c r="D211" s="24"/>
      <c r="E211" s="24"/>
      <c r="F211" s="24"/>
      <c r="G211" s="29"/>
      <c r="H211" s="24"/>
      <c r="I211" s="24"/>
      <c r="J211" s="26" t="str">
        <f aca="false">IF($D211="","",IFERROR(INDEX(LOT_EXTE,MATCH($D211,LOT_KEY,0)),""))</f>
        <v/>
      </c>
      <c r="K211" s="26" t="str">
        <f aca="false">IF($D211="","",IFERROR(INDEX(LOT_PRODE,MATCH($D211,LOT_KEY,0)),"LOT NON REFERENCE"))</f>
        <v/>
      </c>
      <c r="L211" s="26" t="str">
        <f aca="false">IF($D211="","",IFERROR(INDEX(LOT_FOURNE,MATCH($D211,LOT_KEY,0)),""))</f>
        <v/>
      </c>
      <c r="M211" s="26" t="str">
        <f aca="false">IF($E211="","",IFERROR(INDEX(EMPL_CLASSE,MATCH($E211,EMPL_KEY,0)),"?"))</f>
        <v/>
      </c>
      <c r="N211" s="26" t="str">
        <f aca="false">IF($F211="","",IFERROR(INDEX(EMPL_CLASSE,MATCH($F211,EMPL_KEY,0)),"?"))</f>
        <v/>
      </c>
      <c r="O211" s="28" t="n">
        <f aca="false">IF($C211="",0,IF(OR($B211="",$D211=""),0,IF($C211="AJUSTEMENT",IF(OR(NOT(ISNUMBER($G211)),$G211=0,$F211="",$H211=""),0,1),IF(OR(NOT(ISNUMBER($G211)),$G211&lt;=0),0,IF($C211="RECEPTION",IF($F211="",0,1),IF($C211="CONSOMMATION",IF($E211="",0,1),IF(OR($E211="",$F211="",$E211=$F211),0,1)))))))</f>
        <v>0</v>
      </c>
      <c r="P211" s="27" t="str">
        <f aca="false">IF(OR($O211=0,$C211="RECEPTION"),"",IF($C211="AJUSTEMENT",IF($G211&gt;0,"",SUMIFS(MVT_BRUT,MVT_LOT,$D211,MVT_EMPL,$F211)-$G211),SUMIFS(MVT_BRUT,MVT_LOT,$D211,MVT_EMPL,$E211)+$G211))</f>
        <v/>
      </c>
      <c r="Q211" s="26" t="str">
        <f aca="false">IF($C211="","",IF($O211=0,"DONNEES MANQUANTES",IF($C211="RECEPTION","OK",IF(AND($C211="AJUSTEMENT",$G211&gt;0),"OK",IF($P211&lt;=0,"EMPLACEMENT INCOHERENT",IF(ABS($G211)&gt;$P211+0.001,"STOCK INSUFFISANT","OK"))))))</f>
        <v/>
      </c>
      <c r="R211" s="28" t="n">
        <f aca="false">IF($Q211="OK",1,0)</f>
        <v>0</v>
      </c>
      <c r="S211" s="26" t="str">
        <f aca="false">IF($C211="","",IF($O211=0,"A COMPLETER : "&amp;IF($B211="","DATE; ","")&amp;IF($D211="","LOT INTERNE; ","")&amp;IF(NOT(ISNUMBER($G211)),"QUANTITE; ",IF(AND($C211="AJUSTEMENT",$G211=0),"QUANTITE &lt;&gt; 0; ",IF(AND($C211&lt;&gt;"AJUSTEMENT",$G211&lt;=0),"QUANTITE &gt; 0; ","")))&amp;IF(AND($C211="AJUSTEMENT",$H211=""),"MOTIF; ","")&amp;IF(AND(OR($C211="TRANSFERT",$C211="CONSOMMATION"),$E211=""),"EMPL. SOURCE; ","")&amp;IF(AND($C211&lt;&gt;"CONSOMMATION",$F211=""),"EMPL. DESTINATION; ","")&amp;IF(AND($C211="TRANSFERT",$E211&lt;&gt;"",$E211=$F211),"SOURCE = DESTINATION; ",""),IF($Q211="EMPLACEMENT INCOHERENT","Le lot "&amp;$D211&amp;" n'existe pas sur cet emplacement (stock 0). Verifier l'emplacement.",IF($Q211="STOCK INSUFFISANT","Disponible avant operation : "&amp;TEXT($P211,"#,##0.00")&amp;" kg. Ligne NON comptee en stock.",IF(COUNTIFS($B$5:$B$304,$B211,$C$5:$C$304,$C211,$D$5:$D$304,$D211,$G$5:$G$304,$G211)&gt;1,"Doublon possible (meme date, type, lot et quantite).",IF($K211="LOT NON REFERENCE","Creer d'abord la fiche du lot dans l'onglet LOTS.",""))))))</f>
        <v/>
      </c>
    </row>
    <row r="212" customFormat="false" ht="15" hidden="false" customHeight="false" outlineLevel="0" collapsed="false">
      <c r="A212" s="26" t="str">
        <f aca="false">IF($C212="","","OP-"&amp;TEXT(ROW()-4,"000"))</f>
        <v/>
      </c>
      <c r="B212" s="25"/>
      <c r="C212" s="24"/>
      <c r="D212" s="24"/>
      <c r="E212" s="24"/>
      <c r="F212" s="24"/>
      <c r="G212" s="29"/>
      <c r="H212" s="24"/>
      <c r="I212" s="24"/>
      <c r="J212" s="26" t="str">
        <f aca="false">IF($D212="","",IFERROR(INDEX(LOT_EXTE,MATCH($D212,LOT_KEY,0)),""))</f>
        <v/>
      </c>
      <c r="K212" s="26" t="str">
        <f aca="false">IF($D212="","",IFERROR(INDEX(LOT_PRODE,MATCH($D212,LOT_KEY,0)),"LOT NON REFERENCE"))</f>
        <v/>
      </c>
      <c r="L212" s="26" t="str">
        <f aca="false">IF($D212="","",IFERROR(INDEX(LOT_FOURNE,MATCH($D212,LOT_KEY,0)),""))</f>
        <v/>
      </c>
      <c r="M212" s="26" t="str">
        <f aca="false">IF($E212="","",IFERROR(INDEX(EMPL_CLASSE,MATCH($E212,EMPL_KEY,0)),"?"))</f>
        <v/>
      </c>
      <c r="N212" s="26" t="str">
        <f aca="false">IF($F212="","",IFERROR(INDEX(EMPL_CLASSE,MATCH($F212,EMPL_KEY,0)),"?"))</f>
        <v/>
      </c>
      <c r="O212" s="28" t="n">
        <f aca="false">IF($C212="",0,IF(OR($B212="",$D212=""),0,IF($C212="AJUSTEMENT",IF(OR(NOT(ISNUMBER($G212)),$G212=0,$F212="",$H212=""),0,1),IF(OR(NOT(ISNUMBER($G212)),$G212&lt;=0),0,IF($C212="RECEPTION",IF($F212="",0,1),IF($C212="CONSOMMATION",IF($E212="",0,1),IF(OR($E212="",$F212="",$E212=$F212),0,1)))))))</f>
        <v>0</v>
      </c>
      <c r="P212" s="27" t="str">
        <f aca="false">IF(OR($O212=0,$C212="RECEPTION"),"",IF($C212="AJUSTEMENT",IF($G212&gt;0,"",SUMIFS(MVT_BRUT,MVT_LOT,$D212,MVT_EMPL,$F212)-$G212),SUMIFS(MVT_BRUT,MVT_LOT,$D212,MVT_EMPL,$E212)+$G212))</f>
        <v/>
      </c>
      <c r="Q212" s="26" t="str">
        <f aca="false">IF($C212="","",IF($O212=0,"DONNEES MANQUANTES",IF($C212="RECEPTION","OK",IF(AND($C212="AJUSTEMENT",$G212&gt;0),"OK",IF($P212&lt;=0,"EMPLACEMENT INCOHERENT",IF(ABS($G212)&gt;$P212+0.001,"STOCK INSUFFISANT","OK"))))))</f>
        <v/>
      </c>
      <c r="R212" s="28" t="n">
        <f aca="false">IF($Q212="OK",1,0)</f>
        <v>0</v>
      </c>
      <c r="S212" s="26" t="str">
        <f aca="false">IF($C212="","",IF($O212=0,"A COMPLETER : "&amp;IF($B212="","DATE; ","")&amp;IF($D212="","LOT INTERNE; ","")&amp;IF(NOT(ISNUMBER($G212)),"QUANTITE; ",IF(AND($C212="AJUSTEMENT",$G212=0),"QUANTITE &lt;&gt; 0; ",IF(AND($C212&lt;&gt;"AJUSTEMENT",$G212&lt;=0),"QUANTITE &gt; 0; ","")))&amp;IF(AND($C212="AJUSTEMENT",$H212=""),"MOTIF; ","")&amp;IF(AND(OR($C212="TRANSFERT",$C212="CONSOMMATION"),$E212=""),"EMPL. SOURCE; ","")&amp;IF(AND($C212&lt;&gt;"CONSOMMATION",$F212=""),"EMPL. DESTINATION; ","")&amp;IF(AND($C212="TRANSFERT",$E212&lt;&gt;"",$E212=$F212),"SOURCE = DESTINATION; ",""),IF($Q212="EMPLACEMENT INCOHERENT","Le lot "&amp;$D212&amp;" n'existe pas sur cet emplacement (stock 0). Verifier l'emplacement.",IF($Q212="STOCK INSUFFISANT","Disponible avant operation : "&amp;TEXT($P212,"#,##0.00")&amp;" kg. Ligne NON comptee en stock.",IF(COUNTIFS($B$5:$B$304,$B212,$C$5:$C$304,$C212,$D$5:$D$304,$D212,$G$5:$G$304,$G212)&gt;1,"Doublon possible (meme date, type, lot et quantite).",IF($K212="LOT NON REFERENCE","Creer d'abord la fiche du lot dans l'onglet LOTS.",""))))))</f>
        <v/>
      </c>
    </row>
    <row r="213" customFormat="false" ht="15" hidden="false" customHeight="false" outlineLevel="0" collapsed="false">
      <c r="A213" s="26" t="str">
        <f aca="false">IF($C213="","","OP-"&amp;TEXT(ROW()-4,"000"))</f>
        <v/>
      </c>
      <c r="B213" s="25"/>
      <c r="C213" s="24"/>
      <c r="D213" s="24"/>
      <c r="E213" s="24"/>
      <c r="F213" s="24"/>
      <c r="G213" s="29"/>
      <c r="H213" s="24"/>
      <c r="I213" s="24"/>
      <c r="J213" s="26" t="str">
        <f aca="false">IF($D213="","",IFERROR(INDEX(LOT_EXTE,MATCH($D213,LOT_KEY,0)),""))</f>
        <v/>
      </c>
      <c r="K213" s="26" t="str">
        <f aca="false">IF($D213="","",IFERROR(INDEX(LOT_PRODE,MATCH($D213,LOT_KEY,0)),"LOT NON REFERENCE"))</f>
        <v/>
      </c>
      <c r="L213" s="26" t="str">
        <f aca="false">IF($D213="","",IFERROR(INDEX(LOT_FOURNE,MATCH($D213,LOT_KEY,0)),""))</f>
        <v/>
      </c>
      <c r="M213" s="26" t="str">
        <f aca="false">IF($E213="","",IFERROR(INDEX(EMPL_CLASSE,MATCH($E213,EMPL_KEY,0)),"?"))</f>
        <v/>
      </c>
      <c r="N213" s="26" t="str">
        <f aca="false">IF($F213="","",IFERROR(INDEX(EMPL_CLASSE,MATCH($F213,EMPL_KEY,0)),"?"))</f>
        <v/>
      </c>
      <c r="O213" s="28" t="n">
        <f aca="false">IF($C213="",0,IF(OR($B213="",$D213=""),0,IF($C213="AJUSTEMENT",IF(OR(NOT(ISNUMBER($G213)),$G213=0,$F213="",$H213=""),0,1),IF(OR(NOT(ISNUMBER($G213)),$G213&lt;=0),0,IF($C213="RECEPTION",IF($F213="",0,1),IF($C213="CONSOMMATION",IF($E213="",0,1),IF(OR($E213="",$F213="",$E213=$F213),0,1)))))))</f>
        <v>0</v>
      </c>
      <c r="P213" s="27" t="str">
        <f aca="false">IF(OR($O213=0,$C213="RECEPTION"),"",IF($C213="AJUSTEMENT",IF($G213&gt;0,"",SUMIFS(MVT_BRUT,MVT_LOT,$D213,MVT_EMPL,$F213)-$G213),SUMIFS(MVT_BRUT,MVT_LOT,$D213,MVT_EMPL,$E213)+$G213))</f>
        <v/>
      </c>
      <c r="Q213" s="26" t="str">
        <f aca="false">IF($C213="","",IF($O213=0,"DONNEES MANQUANTES",IF($C213="RECEPTION","OK",IF(AND($C213="AJUSTEMENT",$G213&gt;0),"OK",IF($P213&lt;=0,"EMPLACEMENT INCOHERENT",IF(ABS($G213)&gt;$P213+0.001,"STOCK INSUFFISANT","OK"))))))</f>
        <v/>
      </c>
      <c r="R213" s="28" t="n">
        <f aca="false">IF($Q213="OK",1,0)</f>
        <v>0</v>
      </c>
      <c r="S213" s="26" t="str">
        <f aca="false">IF($C213="","",IF($O213=0,"A COMPLETER : "&amp;IF($B213="","DATE; ","")&amp;IF($D213="","LOT INTERNE; ","")&amp;IF(NOT(ISNUMBER($G213)),"QUANTITE; ",IF(AND($C213="AJUSTEMENT",$G213=0),"QUANTITE &lt;&gt; 0; ",IF(AND($C213&lt;&gt;"AJUSTEMENT",$G213&lt;=0),"QUANTITE &gt; 0; ","")))&amp;IF(AND($C213="AJUSTEMENT",$H213=""),"MOTIF; ","")&amp;IF(AND(OR($C213="TRANSFERT",$C213="CONSOMMATION"),$E213=""),"EMPL. SOURCE; ","")&amp;IF(AND($C213&lt;&gt;"CONSOMMATION",$F213=""),"EMPL. DESTINATION; ","")&amp;IF(AND($C213="TRANSFERT",$E213&lt;&gt;"",$E213=$F213),"SOURCE = DESTINATION; ",""),IF($Q213="EMPLACEMENT INCOHERENT","Le lot "&amp;$D213&amp;" n'existe pas sur cet emplacement (stock 0). Verifier l'emplacement.",IF($Q213="STOCK INSUFFISANT","Disponible avant operation : "&amp;TEXT($P213,"#,##0.00")&amp;" kg. Ligne NON comptee en stock.",IF(COUNTIFS($B$5:$B$304,$B213,$C$5:$C$304,$C213,$D$5:$D$304,$D213,$G$5:$G$304,$G213)&gt;1,"Doublon possible (meme date, type, lot et quantite).",IF($K213="LOT NON REFERENCE","Creer d'abord la fiche du lot dans l'onglet LOTS.",""))))))</f>
        <v/>
      </c>
    </row>
    <row r="214" customFormat="false" ht="15" hidden="false" customHeight="false" outlineLevel="0" collapsed="false">
      <c r="A214" s="26" t="str">
        <f aca="false">IF($C214="","","OP-"&amp;TEXT(ROW()-4,"000"))</f>
        <v/>
      </c>
      <c r="B214" s="25"/>
      <c r="C214" s="24"/>
      <c r="D214" s="24"/>
      <c r="E214" s="24"/>
      <c r="F214" s="24"/>
      <c r="G214" s="29"/>
      <c r="H214" s="24"/>
      <c r="I214" s="24"/>
      <c r="J214" s="26" t="str">
        <f aca="false">IF($D214="","",IFERROR(INDEX(LOT_EXTE,MATCH($D214,LOT_KEY,0)),""))</f>
        <v/>
      </c>
      <c r="K214" s="26" t="str">
        <f aca="false">IF($D214="","",IFERROR(INDEX(LOT_PRODE,MATCH($D214,LOT_KEY,0)),"LOT NON REFERENCE"))</f>
        <v/>
      </c>
      <c r="L214" s="26" t="str">
        <f aca="false">IF($D214="","",IFERROR(INDEX(LOT_FOURNE,MATCH($D214,LOT_KEY,0)),""))</f>
        <v/>
      </c>
      <c r="M214" s="26" t="str">
        <f aca="false">IF($E214="","",IFERROR(INDEX(EMPL_CLASSE,MATCH($E214,EMPL_KEY,0)),"?"))</f>
        <v/>
      </c>
      <c r="N214" s="26" t="str">
        <f aca="false">IF($F214="","",IFERROR(INDEX(EMPL_CLASSE,MATCH($F214,EMPL_KEY,0)),"?"))</f>
        <v/>
      </c>
      <c r="O214" s="28" t="n">
        <f aca="false">IF($C214="",0,IF(OR($B214="",$D214=""),0,IF($C214="AJUSTEMENT",IF(OR(NOT(ISNUMBER($G214)),$G214=0,$F214="",$H214=""),0,1),IF(OR(NOT(ISNUMBER($G214)),$G214&lt;=0),0,IF($C214="RECEPTION",IF($F214="",0,1),IF($C214="CONSOMMATION",IF($E214="",0,1),IF(OR($E214="",$F214="",$E214=$F214),0,1)))))))</f>
        <v>0</v>
      </c>
      <c r="P214" s="27" t="str">
        <f aca="false">IF(OR($O214=0,$C214="RECEPTION"),"",IF($C214="AJUSTEMENT",IF($G214&gt;0,"",SUMIFS(MVT_BRUT,MVT_LOT,$D214,MVT_EMPL,$F214)-$G214),SUMIFS(MVT_BRUT,MVT_LOT,$D214,MVT_EMPL,$E214)+$G214))</f>
        <v/>
      </c>
      <c r="Q214" s="26" t="str">
        <f aca="false">IF($C214="","",IF($O214=0,"DONNEES MANQUANTES",IF($C214="RECEPTION","OK",IF(AND($C214="AJUSTEMENT",$G214&gt;0),"OK",IF($P214&lt;=0,"EMPLACEMENT INCOHERENT",IF(ABS($G214)&gt;$P214+0.001,"STOCK INSUFFISANT","OK"))))))</f>
        <v/>
      </c>
      <c r="R214" s="28" t="n">
        <f aca="false">IF($Q214="OK",1,0)</f>
        <v>0</v>
      </c>
      <c r="S214" s="26" t="str">
        <f aca="false">IF($C214="","",IF($O214=0,"A COMPLETER : "&amp;IF($B214="","DATE; ","")&amp;IF($D214="","LOT INTERNE; ","")&amp;IF(NOT(ISNUMBER($G214)),"QUANTITE; ",IF(AND($C214="AJUSTEMENT",$G214=0),"QUANTITE &lt;&gt; 0; ",IF(AND($C214&lt;&gt;"AJUSTEMENT",$G214&lt;=0),"QUANTITE &gt; 0; ","")))&amp;IF(AND($C214="AJUSTEMENT",$H214=""),"MOTIF; ","")&amp;IF(AND(OR($C214="TRANSFERT",$C214="CONSOMMATION"),$E214=""),"EMPL. SOURCE; ","")&amp;IF(AND($C214&lt;&gt;"CONSOMMATION",$F214=""),"EMPL. DESTINATION; ","")&amp;IF(AND($C214="TRANSFERT",$E214&lt;&gt;"",$E214=$F214),"SOURCE = DESTINATION; ",""),IF($Q214="EMPLACEMENT INCOHERENT","Le lot "&amp;$D214&amp;" n'existe pas sur cet emplacement (stock 0). Verifier l'emplacement.",IF($Q214="STOCK INSUFFISANT","Disponible avant operation : "&amp;TEXT($P214,"#,##0.00")&amp;" kg. Ligne NON comptee en stock.",IF(COUNTIFS($B$5:$B$304,$B214,$C$5:$C$304,$C214,$D$5:$D$304,$D214,$G$5:$G$304,$G214)&gt;1,"Doublon possible (meme date, type, lot et quantite).",IF($K214="LOT NON REFERENCE","Creer d'abord la fiche du lot dans l'onglet LOTS.",""))))))</f>
        <v/>
      </c>
    </row>
    <row r="215" customFormat="false" ht="15" hidden="false" customHeight="false" outlineLevel="0" collapsed="false">
      <c r="A215" s="26" t="str">
        <f aca="false">IF($C215="","","OP-"&amp;TEXT(ROW()-4,"000"))</f>
        <v/>
      </c>
      <c r="B215" s="25"/>
      <c r="C215" s="24"/>
      <c r="D215" s="24"/>
      <c r="E215" s="24"/>
      <c r="F215" s="24"/>
      <c r="G215" s="29"/>
      <c r="H215" s="24"/>
      <c r="I215" s="24"/>
      <c r="J215" s="26" t="str">
        <f aca="false">IF($D215="","",IFERROR(INDEX(LOT_EXTE,MATCH($D215,LOT_KEY,0)),""))</f>
        <v/>
      </c>
      <c r="K215" s="26" t="str">
        <f aca="false">IF($D215="","",IFERROR(INDEX(LOT_PRODE,MATCH($D215,LOT_KEY,0)),"LOT NON REFERENCE"))</f>
        <v/>
      </c>
      <c r="L215" s="26" t="str">
        <f aca="false">IF($D215="","",IFERROR(INDEX(LOT_FOURNE,MATCH($D215,LOT_KEY,0)),""))</f>
        <v/>
      </c>
      <c r="M215" s="26" t="str">
        <f aca="false">IF($E215="","",IFERROR(INDEX(EMPL_CLASSE,MATCH($E215,EMPL_KEY,0)),"?"))</f>
        <v/>
      </c>
      <c r="N215" s="26" t="str">
        <f aca="false">IF($F215="","",IFERROR(INDEX(EMPL_CLASSE,MATCH($F215,EMPL_KEY,0)),"?"))</f>
        <v/>
      </c>
      <c r="O215" s="28" t="n">
        <f aca="false">IF($C215="",0,IF(OR($B215="",$D215=""),0,IF($C215="AJUSTEMENT",IF(OR(NOT(ISNUMBER($G215)),$G215=0,$F215="",$H215=""),0,1),IF(OR(NOT(ISNUMBER($G215)),$G215&lt;=0),0,IF($C215="RECEPTION",IF($F215="",0,1),IF($C215="CONSOMMATION",IF($E215="",0,1),IF(OR($E215="",$F215="",$E215=$F215),0,1)))))))</f>
        <v>0</v>
      </c>
      <c r="P215" s="27" t="str">
        <f aca="false">IF(OR($O215=0,$C215="RECEPTION"),"",IF($C215="AJUSTEMENT",IF($G215&gt;0,"",SUMIFS(MVT_BRUT,MVT_LOT,$D215,MVT_EMPL,$F215)-$G215),SUMIFS(MVT_BRUT,MVT_LOT,$D215,MVT_EMPL,$E215)+$G215))</f>
        <v/>
      </c>
      <c r="Q215" s="26" t="str">
        <f aca="false">IF($C215="","",IF($O215=0,"DONNEES MANQUANTES",IF($C215="RECEPTION","OK",IF(AND($C215="AJUSTEMENT",$G215&gt;0),"OK",IF($P215&lt;=0,"EMPLACEMENT INCOHERENT",IF(ABS($G215)&gt;$P215+0.001,"STOCK INSUFFISANT","OK"))))))</f>
        <v/>
      </c>
      <c r="R215" s="28" t="n">
        <f aca="false">IF($Q215="OK",1,0)</f>
        <v>0</v>
      </c>
      <c r="S215" s="26" t="str">
        <f aca="false">IF($C215="","",IF($O215=0,"A COMPLETER : "&amp;IF($B215="","DATE; ","")&amp;IF($D215="","LOT INTERNE; ","")&amp;IF(NOT(ISNUMBER($G215)),"QUANTITE; ",IF(AND($C215="AJUSTEMENT",$G215=0),"QUANTITE &lt;&gt; 0; ",IF(AND($C215&lt;&gt;"AJUSTEMENT",$G215&lt;=0),"QUANTITE &gt; 0; ","")))&amp;IF(AND($C215="AJUSTEMENT",$H215=""),"MOTIF; ","")&amp;IF(AND(OR($C215="TRANSFERT",$C215="CONSOMMATION"),$E215=""),"EMPL. SOURCE; ","")&amp;IF(AND($C215&lt;&gt;"CONSOMMATION",$F215=""),"EMPL. DESTINATION; ","")&amp;IF(AND($C215="TRANSFERT",$E215&lt;&gt;"",$E215=$F215),"SOURCE = DESTINATION; ",""),IF($Q215="EMPLACEMENT INCOHERENT","Le lot "&amp;$D215&amp;" n'existe pas sur cet emplacement (stock 0). Verifier l'emplacement.",IF($Q215="STOCK INSUFFISANT","Disponible avant operation : "&amp;TEXT($P215,"#,##0.00")&amp;" kg. Ligne NON comptee en stock.",IF(COUNTIFS($B$5:$B$304,$B215,$C$5:$C$304,$C215,$D$5:$D$304,$D215,$G$5:$G$304,$G215)&gt;1,"Doublon possible (meme date, type, lot et quantite).",IF($K215="LOT NON REFERENCE","Creer d'abord la fiche du lot dans l'onglet LOTS.",""))))))</f>
        <v/>
      </c>
    </row>
    <row r="216" customFormat="false" ht="15" hidden="false" customHeight="false" outlineLevel="0" collapsed="false">
      <c r="A216" s="26" t="str">
        <f aca="false">IF($C216="","","OP-"&amp;TEXT(ROW()-4,"000"))</f>
        <v/>
      </c>
      <c r="B216" s="25"/>
      <c r="C216" s="24"/>
      <c r="D216" s="24"/>
      <c r="E216" s="24"/>
      <c r="F216" s="24"/>
      <c r="G216" s="29"/>
      <c r="H216" s="24"/>
      <c r="I216" s="24"/>
      <c r="J216" s="26" t="str">
        <f aca="false">IF($D216="","",IFERROR(INDEX(LOT_EXTE,MATCH($D216,LOT_KEY,0)),""))</f>
        <v/>
      </c>
      <c r="K216" s="26" t="str">
        <f aca="false">IF($D216="","",IFERROR(INDEX(LOT_PRODE,MATCH($D216,LOT_KEY,0)),"LOT NON REFERENCE"))</f>
        <v/>
      </c>
      <c r="L216" s="26" t="str">
        <f aca="false">IF($D216="","",IFERROR(INDEX(LOT_FOURNE,MATCH($D216,LOT_KEY,0)),""))</f>
        <v/>
      </c>
      <c r="M216" s="26" t="str">
        <f aca="false">IF($E216="","",IFERROR(INDEX(EMPL_CLASSE,MATCH($E216,EMPL_KEY,0)),"?"))</f>
        <v/>
      </c>
      <c r="N216" s="26" t="str">
        <f aca="false">IF($F216="","",IFERROR(INDEX(EMPL_CLASSE,MATCH($F216,EMPL_KEY,0)),"?"))</f>
        <v/>
      </c>
      <c r="O216" s="28" t="n">
        <f aca="false">IF($C216="",0,IF(OR($B216="",$D216=""),0,IF($C216="AJUSTEMENT",IF(OR(NOT(ISNUMBER($G216)),$G216=0,$F216="",$H216=""),0,1),IF(OR(NOT(ISNUMBER($G216)),$G216&lt;=0),0,IF($C216="RECEPTION",IF($F216="",0,1),IF($C216="CONSOMMATION",IF($E216="",0,1),IF(OR($E216="",$F216="",$E216=$F216),0,1)))))))</f>
        <v>0</v>
      </c>
      <c r="P216" s="27" t="str">
        <f aca="false">IF(OR($O216=0,$C216="RECEPTION"),"",IF($C216="AJUSTEMENT",IF($G216&gt;0,"",SUMIFS(MVT_BRUT,MVT_LOT,$D216,MVT_EMPL,$F216)-$G216),SUMIFS(MVT_BRUT,MVT_LOT,$D216,MVT_EMPL,$E216)+$G216))</f>
        <v/>
      </c>
      <c r="Q216" s="26" t="str">
        <f aca="false">IF($C216="","",IF($O216=0,"DONNEES MANQUANTES",IF($C216="RECEPTION","OK",IF(AND($C216="AJUSTEMENT",$G216&gt;0),"OK",IF($P216&lt;=0,"EMPLACEMENT INCOHERENT",IF(ABS($G216)&gt;$P216+0.001,"STOCK INSUFFISANT","OK"))))))</f>
        <v/>
      </c>
      <c r="R216" s="28" t="n">
        <f aca="false">IF($Q216="OK",1,0)</f>
        <v>0</v>
      </c>
      <c r="S216" s="26" t="str">
        <f aca="false">IF($C216="","",IF($O216=0,"A COMPLETER : "&amp;IF($B216="","DATE; ","")&amp;IF($D216="","LOT INTERNE; ","")&amp;IF(NOT(ISNUMBER($G216)),"QUANTITE; ",IF(AND($C216="AJUSTEMENT",$G216=0),"QUANTITE &lt;&gt; 0; ",IF(AND($C216&lt;&gt;"AJUSTEMENT",$G216&lt;=0),"QUANTITE &gt; 0; ","")))&amp;IF(AND($C216="AJUSTEMENT",$H216=""),"MOTIF; ","")&amp;IF(AND(OR($C216="TRANSFERT",$C216="CONSOMMATION"),$E216=""),"EMPL. SOURCE; ","")&amp;IF(AND($C216&lt;&gt;"CONSOMMATION",$F216=""),"EMPL. DESTINATION; ","")&amp;IF(AND($C216="TRANSFERT",$E216&lt;&gt;"",$E216=$F216),"SOURCE = DESTINATION; ",""),IF($Q216="EMPLACEMENT INCOHERENT","Le lot "&amp;$D216&amp;" n'existe pas sur cet emplacement (stock 0). Verifier l'emplacement.",IF($Q216="STOCK INSUFFISANT","Disponible avant operation : "&amp;TEXT($P216,"#,##0.00")&amp;" kg. Ligne NON comptee en stock.",IF(COUNTIFS($B$5:$B$304,$B216,$C$5:$C$304,$C216,$D$5:$D$304,$D216,$G$5:$G$304,$G216)&gt;1,"Doublon possible (meme date, type, lot et quantite).",IF($K216="LOT NON REFERENCE","Creer d'abord la fiche du lot dans l'onglet LOTS.",""))))))</f>
        <v/>
      </c>
    </row>
    <row r="217" customFormat="false" ht="15" hidden="false" customHeight="false" outlineLevel="0" collapsed="false">
      <c r="A217" s="26" t="str">
        <f aca="false">IF($C217="","","OP-"&amp;TEXT(ROW()-4,"000"))</f>
        <v/>
      </c>
      <c r="B217" s="25"/>
      <c r="C217" s="24"/>
      <c r="D217" s="24"/>
      <c r="E217" s="24"/>
      <c r="F217" s="24"/>
      <c r="G217" s="29"/>
      <c r="H217" s="24"/>
      <c r="I217" s="24"/>
      <c r="J217" s="26" t="str">
        <f aca="false">IF($D217="","",IFERROR(INDEX(LOT_EXTE,MATCH($D217,LOT_KEY,0)),""))</f>
        <v/>
      </c>
      <c r="K217" s="26" t="str">
        <f aca="false">IF($D217="","",IFERROR(INDEX(LOT_PRODE,MATCH($D217,LOT_KEY,0)),"LOT NON REFERENCE"))</f>
        <v/>
      </c>
      <c r="L217" s="26" t="str">
        <f aca="false">IF($D217="","",IFERROR(INDEX(LOT_FOURNE,MATCH($D217,LOT_KEY,0)),""))</f>
        <v/>
      </c>
      <c r="M217" s="26" t="str">
        <f aca="false">IF($E217="","",IFERROR(INDEX(EMPL_CLASSE,MATCH($E217,EMPL_KEY,0)),"?"))</f>
        <v/>
      </c>
      <c r="N217" s="26" t="str">
        <f aca="false">IF($F217="","",IFERROR(INDEX(EMPL_CLASSE,MATCH($F217,EMPL_KEY,0)),"?"))</f>
        <v/>
      </c>
      <c r="O217" s="28" t="n">
        <f aca="false">IF($C217="",0,IF(OR($B217="",$D217=""),0,IF($C217="AJUSTEMENT",IF(OR(NOT(ISNUMBER($G217)),$G217=0,$F217="",$H217=""),0,1),IF(OR(NOT(ISNUMBER($G217)),$G217&lt;=0),0,IF($C217="RECEPTION",IF($F217="",0,1),IF($C217="CONSOMMATION",IF($E217="",0,1),IF(OR($E217="",$F217="",$E217=$F217),0,1)))))))</f>
        <v>0</v>
      </c>
      <c r="P217" s="27" t="str">
        <f aca="false">IF(OR($O217=0,$C217="RECEPTION"),"",IF($C217="AJUSTEMENT",IF($G217&gt;0,"",SUMIFS(MVT_BRUT,MVT_LOT,$D217,MVT_EMPL,$F217)-$G217),SUMIFS(MVT_BRUT,MVT_LOT,$D217,MVT_EMPL,$E217)+$G217))</f>
        <v/>
      </c>
      <c r="Q217" s="26" t="str">
        <f aca="false">IF($C217="","",IF($O217=0,"DONNEES MANQUANTES",IF($C217="RECEPTION","OK",IF(AND($C217="AJUSTEMENT",$G217&gt;0),"OK",IF($P217&lt;=0,"EMPLACEMENT INCOHERENT",IF(ABS($G217)&gt;$P217+0.001,"STOCK INSUFFISANT","OK"))))))</f>
        <v/>
      </c>
      <c r="R217" s="28" t="n">
        <f aca="false">IF($Q217="OK",1,0)</f>
        <v>0</v>
      </c>
      <c r="S217" s="26" t="str">
        <f aca="false">IF($C217="","",IF($O217=0,"A COMPLETER : "&amp;IF($B217="","DATE; ","")&amp;IF($D217="","LOT INTERNE; ","")&amp;IF(NOT(ISNUMBER($G217)),"QUANTITE; ",IF(AND($C217="AJUSTEMENT",$G217=0),"QUANTITE &lt;&gt; 0; ",IF(AND($C217&lt;&gt;"AJUSTEMENT",$G217&lt;=0),"QUANTITE &gt; 0; ","")))&amp;IF(AND($C217="AJUSTEMENT",$H217=""),"MOTIF; ","")&amp;IF(AND(OR($C217="TRANSFERT",$C217="CONSOMMATION"),$E217=""),"EMPL. SOURCE; ","")&amp;IF(AND($C217&lt;&gt;"CONSOMMATION",$F217=""),"EMPL. DESTINATION; ","")&amp;IF(AND($C217="TRANSFERT",$E217&lt;&gt;"",$E217=$F217),"SOURCE = DESTINATION; ",""),IF($Q217="EMPLACEMENT INCOHERENT","Le lot "&amp;$D217&amp;" n'existe pas sur cet emplacement (stock 0). Verifier l'emplacement.",IF($Q217="STOCK INSUFFISANT","Disponible avant operation : "&amp;TEXT($P217,"#,##0.00")&amp;" kg. Ligne NON comptee en stock.",IF(COUNTIFS($B$5:$B$304,$B217,$C$5:$C$304,$C217,$D$5:$D$304,$D217,$G$5:$G$304,$G217)&gt;1,"Doublon possible (meme date, type, lot et quantite).",IF($K217="LOT NON REFERENCE","Creer d'abord la fiche du lot dans l'onglet LOTS.",""))))))</f>
        <v/>
      </c>
    </row>
    <row r="218" customFormat="false" ht="15" hidden="false" customHeight="false" outlineLevel="0" collapsed="false">
      <c r="A218" s="26" t="str">
        <f aca="false">IF($C218="","","OP-"&amp;TEXT(ROW()-4,"000"))</f>
        <v/>
      </c>
      <c r="B218" s="25"/>
      <c r="C218" s="24"/>
      <c r="D218" s="24"/>
      <c r="E218" s="24"/>
      <c r="F218" s="24"/>
      <c r="G218" s="29"/>
      <c r="H218" s="24"/>
      <c r="I218" s="24"/>
      <c r="J218" s="26" t="str">
        <f aca="false">IF($D218="","",IFERROR(INDEX(LOT_EXTE,MATCH($D218,LOT_KEY,0)),""))</f>
        <v/>
      </c>
      <c r="K218" s="26" t="str">
        <f aca="false">IF($D218="","",IFERROR(INDEX(LOT_PRODE,MATCH($D218,LOT_KEY,0)),"LOT NON REFERENCE"))</f>
        <v/>
      </c>
      <c r="L218" s="26" t="str">
        <f aca="false">IF($D218="","",IFERROR(INDEX(LOT_FOURNE,MATCH($D218,LOT_KEY,0)),""))</f>
        <v/>
      </c>
      <c r="M218" s="26" t="str">
        <f aca="false">IF($E218="","",IFERROR(INDEX(EMPL_CLASSE,MATCH($E218,EMPL_KEY,0)),"?"))</f>
        <v/>
      </c>
      <c r="N218" s="26" t="str">
        <f aca="false">IF($F218="","",IFERROR(INDEX(EMPL_CLASSE,MATCH($F218,EMPL_KEY,0)),"?"))</f>
        <v/>
      </c>
      <c r="O218" s="28" t="n">
        <f aca="false">IF($C218="",0,IF(OR($B218="",$D218=""),0,IF($C218="AJUSTEMENT",IF(OR(NOT(ISNUMBER($G218)),$G218=0,$F218="",$H218=""),0,1),IF(OR(NOT(ISNUMBER($G218)),$G218&lt;=0),0,IF($C218="RECEPTION",IF($F218="",0,1),IF($C218="CONSOMMATION",IF($E218="",0,1),IF(OR($E218="",$F218="",$E218=$F218),0,1)))))))</f>
        <v>0</v>
      </c>
      <c r="P218" s="27" t="str">
        <f aca="false">IF(OR($O218=0,$C218="RECEPTION"),"",IF($C218="AJUSTEMENT",IF($G218&gt;0,"",SUMIFS(MVT_BRUT,MVT_LOT,$D218,MVT_EMPL,$F218)-$G218),SUMIFS(MVT_BRUT,MVT_LOT,$D218,MVT_EMPL,$E218)+$G218))</f>
        <v/>
      </c>
      <c r="Q218" s="26" t="str">
        <f aca="false">IF($C218="","",IF($O218=0,"DONNEES MANQUANTES",IF($C218="RECEPTION","OK",IF(AND($C218="AJUSTEMENT",$G218&gt;0),"OK",IF($P218&lt;=0,"EMPLACEMENT INCOHERENT",IF(ABS($G218)&gt;$P218+0.001,"STOCK INSUFFISANT","OK"))))))</f>
        <v/>
      </c>
      <c r="R218" s="28" t="n">
        <f aca="false">IF($Q218="OK",1,0)</f>
        <v>0</v>
      </c>
      <c r="S218" s="26" t="str">
        <f aca="false">IF($C218="","",IF($O218=0,"A COMPLETER : "&amp;IF($B218="","DATE; ","")&amp;IF($D218="","LOT INTERNE; ","")&amp;IF(NOT(ISNUMBER($G218)),"QUANTITE; ",IF(AND($C218="AJUSTEMENT",$G218=0),"QUANTITE &lt;&gt; 0; ",IF(AND($C218&lt;&gt;"AJUSTEMENT",$G218&lt;=0),"QUANTITE &gt; 0; ","")))&amp;IF(AND($C218="AJUSTEMENT",$H218=""),"MOTIF; ","")&amp;IF(AND(OR($C218="TRANSFERT",$C218="CONSOMMATION"),$E218=""),"EMPL. SOURCE; ","")&amp;IF(AND($C218&lt;&gt;"CONSOMMATION",$F218=""),"EMPL. DESTINATION; ","")&amp;IF(AND($C218="TRANSFERT",$E218&lt;&gt;"",$E218=$F218),"SOURCE = DESTINATION; ",""),IF($Q218="EMPLACEMENT INCOHERENT","Le lot "&amp;$D218&amp;" n'existe pas sur cet emplacement (stock 0). Verifier l'emplacement.",IF($Q218="STOCK INSUFFISANT","Disponible avant operation : "&amp;TEXT($P218,"#,##0.00")&amp;" kg. Ligne NON comptee en stock.",IF(COUNTIFS($B$5:$B$304,$B218,$C$5:$C$304,$C218,$D$5:$D$304,$D218,$G$5:$G$304,$G218)&gt;1,"Doublon possible (meme date, type, lot et quantite).",IF($K218="LOT NON REFERENCE","Creer d'abord la fiche du lot dans l'onglet LOTS.",""))))))</f>
        <v/>
      </c>
    </row>
    <row r="219" customFormat="false" ht="15" hidden="false" customHeight="false" outlineLevel="0" collapsed="false">
      <c r="A219" s="26" t="str">
        <f aca="false">IF($C219="","","OP-"&amp;TEXT(ROW()-4,"000"))</f>
        <v/>
      </c>
      <c r="B219" s="25"/>
      <c r="C219" s="24"/>
      <c r="D219" s="24"/>
      <c r="E219" s="24"/>
      <c r="F219" s="24"/>
      <c r="G219" s="29"/>
      <c r="H219" s="24"/>
      <c r="I219" s="24"/>
      <c r="J219" s="26" t="str">
        <f aca="false">IF($D219="","",IFERROR(INDEX(LOT_EXTE,MATCH($D219,LOT_KEY,0)),""))</f>
        <v/>
      </c>
      <c r="K219" s="26" t="str">
        <f aca="false">IF($D219="","",IFERROR(INDEX(LOT_PRODE,MATCH($D219,LOT_KEY,0)),"LOT NON REFERENCE"))</f>
        <v/>
      </c>
      <c r="L219" s="26" t="str">
        <f aca="false">IF($D219="","",IFERROR(INDEX(LOT_FOURNE,MATCH($D219,LOT_KEY,0)),""))</f>
        <v/>
      </c>
      <c r="M219" s="26" t="str">
        <f aca="false">IF($E219="","",IFERROR(INDEX(EMPL_CLASSE,MATCH($E219,EMPL_KEY,0)),"?"))</f>
        <v/>
      </c>
      <c r="N219" s="26" t="str">
        <f aca="false">IF($F219="","",IFERROR(INDEX(EMPL_CLASSE,MATCH($F219,EMPL_KEY,0)),"?"))</f>
        <v/>
      </c>
      <c r="O219" s="28" t="n">
        <f aca="false">IF($C219="",0,IF(OR($B219="",$D219=""),0,IF($C219="AJUSTEMENT",IF(OR(NOT(ISNUMBER($G219)),$G219=0,$F219="",$H219=""),0,1),IF(OR(NOT(ISNUMBER($G219)),$G219&lt;=0),0,IF($C219="RECEPTION",IF($F219="",0,1),IF($C219="CONSOMMATION",IF($E219="",0,1),IF(OR($E219="",$F219="",$E219=$F219),0,1)))))))</f>
        <v>0</v>
      </c>
      <c r="P219" s="27" t="str">
        <f aca="false">IF(OR($O219=0,$C219="RECEPTION"),"",IF($C219="AJUSTEMENT",IF($G219&gt;0,"",SUMIFS(MVT_BRUT,MVT_LOT,$D219,MVT_EMPL,$F219)-$G219),SUMIFS(MVT_BRUT,MVT_LOT,$D219,MVT_EMPL,$E219)+$G219))</f>
        <v/>
      </c>
      <c r="Q219" s="26" t="str">
        <f aca="false">IF($C219="","",IF($O219=0,"DONNEES MANQUANTES",IF($C219="RECEPTION","OK",IF(AND($C219="AJUSTEMENT",$G219&gt;0),"OK",IF($P219&lt;=0,"EMPLACEMENT INCOHERENT",IF(ABS($G219)&gt;$P219+0.001,"STOCK INSUFFISANT","OK"))))))</f>
        <v/>
      </c>
      <c r="R219" s="28" t="n">
        <f aca="false">IF($Q219="OK",1,0)</f>
        <v>0</v>
      </c>
      <c r="S219" s="26" t="str">
        <f aca="false">IF($C219="","",IF($O219=0,"A COMPLETER : "&amp;IF($B219="","DATE; ","")&amp;IF($D219="","LOT INTERNE; ","")&amp;IF(NOT(ISNUMBER($G219)),"QUANTITE; ",IF(AND($C219="AJUSTEMENT",$G219=0),"QUANTITE &lt;&gt; 0; ",IF(AND($C219&lt;&gt;"AJUSTEMENT",$G219&lt;=0),"QUANTITE &gt; 0; ","")))&amp;IF(AND($C219="AJUSTEMENT",$H219=""),"MOTIF; ","")&amp;IF(AND(OR($C219="TRANSFERT",$C219="CONSOMMATION"),$E219=""),"EMPL. SOURCE; ","")&amp;IF(AND($C219&lt;&gt;"CONSOMMATION",$F219=""),"EMPL. DESTINATION; ","")&amp;IF(AND($C219="TRANSFERT",$E219&lt;&gt;"",$E219=$F219),"SOURCE = DESTINATION; ",""),IF($Q219="EMPLACEMENT INCOHERENT","Le lot "&amp;$D219&amp;" n'existe pas sur cet emplacement (stock 0). Verifier l'emplacement.",IF($Q219="STOCK INSUFFISANT","Disponible avant operation : "&amp;TEXT($P219,"#,##0.00")&amp;" kg. Ligne NON comptee en stock.",IF(COUNTIFS($B$5:$B$304,$B219,$C$5:$C$304,$C219,$D$5:$D$304,$D219,$G$5:$G$304,$G219)&gt;1,"Doublon possible (meme date, type, lot et quantite).",IF($K219="LOT NON REFERENCE","Creer d'abord la fiche du lot dans l'onglet LOTS.",""))))))</f>
        <v/>
      </c>
    </row>
    <row r="220" customFormat="false" ht="15" hidden="false" customHeight="false" outlineLevel="0" collapsed="false">
      <c r="A220" s="26" t="str">
        <f aca="false">IF($C220="","","OP-"&amp;TEXT(ROW()-4,"000"))</f>
        <v/>
      </c>
      <c r="B220" s="25"/>
      <c r="C220" s="24"/>
      <c r="D220" s="24"/>
      <c r="E220" s="24"/>
      <c r="F220" s="24"/>
      <c r="G220" s="29"/>
      <c r="H220" s="24"/>
      <c r="I220" s="24"/>
      <c r="J220" s="26" t="str">
        <f aca="false">IF($D220="","",IFERROR(INDEX(LOT_EXTE,MATCH($D220,LOT_KEY,0)),""))</f>
        <v/>
      </c>
      <c r="K220" s="26" t="str">
        <f aca="false">IF($D220="","",IFERROR(INDEX(LOT_PRODE,MATCH($D220,LOT_KEY,0)),"LOT NON REFERENCE"))</f>
        <v/>
      </c>
      <c r="L220" s="26" t="str">
        <f aca="false">IF($D220="","",IFERROR(INDEX(LOT_FOURNE,MATCH($D220,LOT_KEY,0)),""))</f>
        <v/>
      </c>
      <c r="M220" s="26" t="str">
        <f aca="false">IF($E220="","",IFERROR(INDEX(EMPL_CLASSE,MATCH($E220,EMPL_KEY,0)),"?"))</f>
        <v/>
      </c>
      <c r="N220" s="26" t="str">
        <f aca="false">IF($F220="","",IFERROR(INDEX(EMPL_CLASSE,MATCH($F220,EMPL_KEY,0)),"?"))</f>
        <v/>
      </c>
      <c r="O220" s="28" t="n">
        <f aca="false">IF($C220="",0,IF(OR($B220="",$D220=""),0,IF($C220="AJUSTEMENT",IF(OR(NOT(ISNUMBER($G220)),$G220=0,$F220="",$H220=""),0,1),IF(OR(NOT(ISNUMBER($G220)),$G220&lt;=0),0,IF($C220="RECEPTION",IF($F220="",0,1),IF($C220="CONSOMMATION",IF($E220="",0,1),IF(OR($E220="",$F220="",$E220=$F220),0,1)))))))</f>
        <v>0</v>
      </c>
      <c r="P220" s="27" t="str">
        <f aca="false">IF(OR($O220=0,$C220="RECEPTION"),"",IF($C220="AJUSTEMENT",IF($G220&gt;0,"",SUMIFS(MVT_BRUT,MVT_LOT,$D220,MVT_EMPL,$F220)-$G220),SUMIFS(MVT_BRUT,MVT_LOT,$D220,MVT_EMPL,$E220)+$G220))</f>
        <v/>
      </c>
      <c r="Q220" s="26" t="str">
        <f aca="false">IF($C220="","",IF($O220=0,"DONNEES MANQUANTES",IF($C220="RECEPTION","OK",IF(AND($C220="AJUSTEMENT",$G220&gt;0),"OK",IF($P220&lt;=0,"EMPLACEMENT INCOHERENT",IF(ABS($G220)&gt;$P220+0.001,"STOCK INSUFFISANT","OK"))))))</f>
        <v/>
      </c>
      <c r="R220" s="28" t="n">
        <f aca="false">IF($Q220="OK",1,0)</f>
        <v>0</v>
      </c>
      <c r="S220" s="26" t="str">
        <f aca="false">IF($C220="","",IF($O220=0,"A COMPLETER : "&amp;IF($B220="","DATE; ","")&amp;IF($D220="","LOT INTERNE; ","")&amp;IF(NOT(ISNUMBER($G220)),"QUANTITE; ",IF(AND($C220="AJUSTEMENT",$G220=0),"QUANTITE &lt;&gt; 0; ",IF(AND($C220&lt;&gt;"AJUSTEMENT",$G220&lt;=0),"QUANTITE &gt; 0; ","")))&amp;IF(AND($C220="AJUSTEMENT",$H220=""),"MOTIF; ","")&amp;IF(AND(OR($C220="TRANSFERT",$C220="CONSOMMATION"),$E220=""),"EMPL. SOURCE; ","")&amp;IF(AND($C220&lt;&gt;"CONSOMMATION",$F220=""),"EMPL. DESTINATION; ","")&amp;IF(AND($C220="TRANSFERT",$E220&lt;&gt;"",$E220=$F220),"SOURCE = DESTINATION; ",""),IF($Q220="EMPLACEMENT INCOHERENT","Le lot "&amp;$D220&amp;" n'existe pas sur cet emplacement (stock 0). Verifier l'emplacement.",IF($Q220="STOCK INSUFFISANT","Disponible avant operation : "&amp;TEXT($P220,"#,##0.00")&amp;" kg. Ligne NON comptee en stock.",IF(COUNTIFS($B$5:$B$304,$B220,$C$5:$C$304,$C220,$D$5:$D$304,$D220,$G$5:$G$304,$G220)&gt;1,"Doublon possible (meme date, type, lot et quantite).",IF($K220="LOT NON REFERENCE","Creer d'abord la fiche du lot dans l'onglet LOTS.",""))))))</f>
        <v/>
      </c>
    </row>
    <row r="221" customFormat="false" ht="15" hidden="false" customHeight="false" outlineLevel="0" collapsed="false">
      <c r="A221" s="26" t="str">
        <f aca="false">IF($C221="","","OP-"&amp;TEXT(ROW()-4,"000"))</f>
        <v/>
      </c>
      <c r="B221" s="25"/>
      <c r="C221" s="24"/>
      <c r="D221" s="24"/>
      <c r="E221" s="24"/>
      <c r="F221" s="24"/>
      <c r="G221" s="29"/>
      <c r="H221" s="24"/>
      <c r="I221" s="24"/>
      <c r="J221" s="26" t="str">
        <f aca="false">IF($D221="","",IFERROR(INDEX(LOT_EXTE,MATCH($D221,LOT_KEY,0)),""))</f>
        <v/>
      </c>
      <c r="K221" s="26" t="str">
        <f aca="false">IF($D221="","",IFERROR(INDEX(LOT_PRODE,MATCH($D221,LOT_KEY,0)),"LOT NON REFERENCE"))</f>
        <v/>
      </c>
      <c r="L221" s="26" t="str">
        <f aca="false">IF($D221="","",IFERROR(INDEX(LOT_FOURNE,MATCH($D221,LOT_KEY,0)),""))</f>
        <v/>
      </c>
      <c r="M221" s="26" t="str">
        <f aca="false">IF($E221="","",IFERROR(INDEX(EMPL_CLASSE,MATCH($E221,EMPL_KEY,0)),"?"))</f>
        <v/>
      </c>
      <c r="N221" s="26" t="str">
        <f aca="false">IF($F221="","",IFERROR(INDEX(EMPL_CLASSE,MATCH($F221,EMPL_KEY,0)),"?"))</f>
        <v/>
      </c>
      <c r="O221" s="28" t="n">
        <f aca="false">IF($C221="",0,IF(OR($B221="",$D221=""),0,IF($C221="AJUSTEMENT",IF(OR(NOT(ISNUMBER($G221)),$G221=0,$F221="",$H221=""),0,1),IF(OR(NOT(ISNUMBER($G221)),$G221&lt;=0),0,IF($C221="RECEPTION",IF($F221="",0,1),IF($C221="CONSOMMATION",IF($E221="",0,1),IF(OR($E221="",$F221="",$E221=$F221),0,1)))))))</f>
        <v>0</v>
      </c>
      <c r="P221" s="27" t="str">
        <f aca="false">IF(OR($O221=0,$C221="RECEPTION"),"",IF($C221="AJUSTEMENT",IF($G221&gt;0,"",SUMIFS(MVT_BRUT,MVT_LOT,$D221,MVT_EMPL,$F221)-$G221),SUMIFS(MVT_BRUT,MVT_LOT,$D221,MVT_EMPL,$E221)+$G221))</f>
        <v/>
      </c>
      <c r="Q221" s="26" t="str">
        <f aca="false">IF($C221="","",IF($O221=0,"DONNEES MANQUANTES",IF($C221="RECEPTION","OK",IF(AND($C221="AJUSTEMENT",$G221&gt;0),"OK",IF($P221&lt;=0,"EMPLACEMENT INCOHERENT",IF(ABS($G221)&gt;$P221+0.001,"STOCK INSUFFISANT","OK"))))))</f>
        <v/>
      </c>
      <c r="R221" s="28" t="n">
        <f aca="false">IF($Q221="OK",1,0)</f>
        <v>0</v>
      </c>
      <c r="S221" s="26" t="str">
        <f aca="false">IF($C221="","",IF($O221=0,"A COMPLETER : "&amp;IF($B221="","DATE; ","")&amp;IF($D221="","LOT INTERNE; ","")&amp;IF(NOT(ISNUMBER($G221)),"QUANTITE; ",IF(AND($C221="AJUSTEMENT",$G221=0),"QUANTITE &lt;&gt; 0; ",IF(AND($C221&lt;&gt;"AJUSTEMENT",$G221&lt;=0),"QUANTITE &gt; 0; ","")))&amp;IF(AND($C221="AJUSTEMENT",$H221=""),"MOTIF; ","")&amp;IF(AND(OR($C221="TRANSFERT",$C221="CONSOMMATION"),$E221=""),"EMPL. SOURCE; ","")&amp;IF(AND($C221&lt;&gt;"CONSOMMATION",$F221=""),"EMPL. DESTINATION; ","")&amp;IF(AND($C221="TRANSFERT",$E221&lt;&gt;"",$E221=$F221),"SOURCE = DESTINATION; ",""),IF($Q221="EMPLACEMENT INCOHERENT","Le lot "&amp;$D221&amp;" n'existe pas sur cet emplacement (stock 0). Verifier l'emplacement.",IF($Q221="STOCK INSUFFISANT","Disponible avant operation : "&amp;TEXT($P221,"#,##0.00")&amp;" kg. Ligne NON comptee en stock.",IF(COUNTIFS($B$5:$B$304,$B221,$C$5:$C$304,$C221,$D$5:$D$304,$D221,$G$5:$G$304,$G221)&gt;1,"Doublon possible (meme date, type, lot et quantite).",IF($K221="LOT NON REFERENCE","Creer d'abord la fiche du lot dans l'onglet LOTS.",""))))))</f>
        <v/>
      </c>
    </row>
    <row r="222" customFormat="false" ht="15" hidden="false" customHeight="false" outlineLevel="0" collapsed="false">
      <c r="A222" s="26" t="str">
        <f aca="false">IF($C222="","","OP-"&amp;TEXT(ROW()-4,"000"))</f>
        <v/>
      </c>
      <c r="B222" s="25"/>
      <c r="C222" s="24"/>
      <c r="D222" s="24"/>
      <c r="E222" s="24"/>
      <c r="F222" s="24"/>
      <c r="G222" s="29"/>
      <c r="H222" s="24"/>
      <c r="I222" s="24"/>
      <c r="J222" s="26" t="str">
        <f aca="false">IF($D222="","",IFERROR(INDEX(LOT_EXTE,MATCH($D222,LOT_KEY,0)),""))</f>
        <v/>
      </c>
      <c r="K222" s="26" t="str">
        <f aca="false">IF($D222="","",IFERROR(INDEX(LOT_PRODE,MATCH($D222,LOT_KEY,0)),"LOT NON REFERENCE"))</f>
        <v/>
      </c>
      <c r="L222" s="26" t="str">
        <f aca="false">IF($D222="","",IFERROR(INDEX(LOT_FOURNE,MATCH($D222,LOT_KEY,0)),""))</f>
        <v/>
      </c>
      <c r="M222" s="26" t="str">
        <f aca="false">IF($E222="","",IFERROR(INDEX(EMPL_CLASSE,MATCH($E222,EMPL_KEY,0)),"?"))</f>
        <v/>
      </c>
      <c r="N222" s="26" t="str">
        <f aca="false">IF($F222="","",IFERROR(INDEX(EMPL_CLASSE,MATCH($F222,EMPL_KEY,0)),"?"))</f>
        <v/>
      </c>
      <c r="O222" s="28" t="n">
        <f aca="false">IF($C222="",0,IF(OR($B222="",$D222=""),0,IF($C222="AJUSTEMENT",IF(OR(NOT(ISNUMBER($G222)),$G222=0,$F222="",$H222=""),0,1),IF(OR(NOT(ISNUMBER($G222)),$G222&lt;=0),0,IF($C222="RECEPTION",IF($F222="",0,1),IF($C222="CONSOMMATION",IF($E222="",0,1),IF(OR($E222="",$F222="",$E222=$F222),0,1)))))))</f>
        <v>0</v>
      </c>
      <c r="P222" s="27" t="str">
        <f aca="false">IF(OR($O222=0,$C222="RECEPTION"),"",IF($C222="AJUSTEMENT",IF($G222&gt;0,"",SUMIFS(MVT_BRUT,MVT_LOT,$D222,MVT_EMPL,$F222)-$G222),SUMIFS(MVT_BRUT,MVT_LOT,$D222,MVT_EMPL,$E222)+$G222))</f>
        <v/>
      </c>
      <c r="Q222" s="26" t="str">
        <f aca="false">IF($C222="","",IF($O222=0,"DONNEES MANQUANTES",IF($C222="RECEPTION","OK",IF(AND($C222="AJUSTEMENT",$G222&gt;0),"OK",IF($P222&lt;=0,"EMPLACEMENT INCOHERENT",IF(ABS($G222)&gt;$P222+0.001,"STOCK INSUFFISANT","OK"))))))</f>
        <v/>
      </c>
      <c r="R222" s="28" t="n">
        <f aca="false">IF($Q222="OK",1,0)</f>
        <v>0</v>
      </c>
      <c r="S222" s="26" t="str">
        <f aca="false">IF($C222="","",IF($O222=0,"A COMPLETER : "&amp;IF($B222="","DATE; ","")&amp;IF($D222="","LOT INTERNE; ","")&amp;IF(NOT(ISNUMBER($G222)),"QUANTITE; ",IF(AND($C222="AJUSTEMENT",$G222=0),"QUANTITE &lt;&gt; 0; ",IF(AND($C222&lt;&gt;"AJUSTEMENT",$G222&lt;=0),"QUANTITE &gt; 0; ","")))&amp;IF(AND($C222="AJUSTEMENT",$H222=""),"MOTIF; ","")&amp;IF(AND(OR($C222="TRANSFERT",$C222="CONSOMMATION"),$E222=""),"EMPL. SOURCE; ","")&amp;IF(AND($C222&lt;&gt;"CONSOMMATION",$F222=""),"EMPL. DESTINATION; ","")&amp;IF(AND($C222="TRANSFERT",$E222&lt;&gt;"",$E222=$F222),"SOURCE = DESTINATION; ",""),IF($Q222="EMPLACEMENT INCOHERENT","Le lot "&amp;$D222&amp;" n'existe pas sur cet emplacement (stock 0). Verifier l'emplacement.",IF($Q222="STOCK INSUFFISANT","Disponible avant operation : "&amp;TEXT($P222,"#,##0.00")&amp;" kg. Ligne NON comptee en stock.",IF(COUNTIFS($B$5:$B$304,$B222,$C$5:$C$304,$C222,$D$5:$D$304,$D222,$G$5:$G$304,$G222)&gt;1,"Doublon possible (meme date, type, lot et quantite).",IF($K222="LOT NON REFERENCE","Creer d'abord la fiche du lot dans l'onglet LOTS.",""))))))</f>
        <v/>
      </c>
    </row>
    <row r="223" customFormat="false" ht="15" hidden="false" customHeight="false" outlineLevel="0" collapsed="false">
      <c r="A223" s="26" t="str">
        <f aca="false">IF($C223="","","OP-"&amp;TEXT(ROW()-4,"000"))</f>
        <v/>
      </c>
      <c r="B223" s="25"/>
      <c r="C223" s="24"/>
      <c r="D223" s="24"/>
      <c r="E223" s="24"/>
      <c r="F223" s="24"/>
      <c r="G223" s="29"/>
      <c r="H223" s="24"/>
      <c r="I223" s="24"/>
      <c r="J223" s="26" t="str">
        <f aca="false">IF($D223="","",IFERROR(INDEX(LOT_EXTE,MATCH($D223,LOT_KEY,0)),""))</f>
        <v/>
      </c>
      <c r="K223" s="26" t="str">
        <f aca="false">IF($D223="","",IFERROR(INDEX(LOT_PRODE,MATCH($D223,LOT_KEY,0)),"LOT NON REFERENCE"))</f>
        <v/>
      </c>
      <c r="L223" s="26" t="str">
        <f aca="false">IF($D223="","",IFERROR(INDEX(LOT_FOURNE,MATCH($D223,LOT_KEY,0)),""))</f>
        <v/>
      </c>
      <c r="M223" s="26" t="str">
        <f aca="false">IF($E223="","",IFERROR(INDEX(EMPL_CLASSE,MATCH($E223,EMPL_KEY,0)),"?"))</f>
        <v/>
      </c>
      <c r="N223" s="26" t="str">
        <f aca="false">IF($F223="","",IFERROR(INDEX(EMPL_CLASSE,MATCH($F223,EMPL_KEY,0)),"?"))</f>
        <v/>
      </c>
      <c r="O223" s="28" t="n">
        <f aca="false">IF($C223="",0,IF(OR($B223="",$D223=""),0,IF($C223="AJUSTEMENT",IF(OR(NOT(ISNUMBER($G223)),$G223=0,$F223="",$H223=""),0,1),IF(OR(NOT(ISNUMBER($G223)),$G223&lt;=0),0,IF($C223="RECEPTION",IF($F223="",0,1),IF($C223="CONSOMMATION",IF($E223="",0,1),IF(OR($E223="",$F223="",$E223=$F223),0,1)))))))</f>
        <v>0</v>
      </c>
      <c r="P223" s="27" t="str">
        <f aca="false">IF(OR($O223=0,$C223="RECEPTION"),"",IF($C223="AJUSTEMENT",IF($G223&gt;0,"",SUMIFS(MVT_BRUT,MVT_LOT,$D223,MVT_EMPL,$F223)-$G223),SUMIFS(MVT_BRUT,MVT_LOT,$D223,MVT_EMPL,$E223)+$G223))</f>
        <v/>
      </c>
      <c r="Q223" s="26" t="str">
        <f aca="false">IF($C223="","",IF($O223=0,"DONNEES MANQUANTES",IF($C223="RECEPTION","OK",IF(AND($C223="AJUSTEMENT",$G223&gt;0),"OK",IF($P223&lt;=0,"EMPLACEMENT INCOHERENT",IF(ABS($G223)&gt;$P223+0.001,"STOCK INSUFFISANT","OK"))))))</f>
        <v/>
      </c>
      <c r="R223" s="28" t="n">
        <f aca="false">IF($Q223="OK",1,0)</f>
        <v>0</v>
      </c>
      <c r="S223" s="26" t="str">
        <f aca="false">IF($C223="","",IF($O223=0,"A COMPLETER : "&amp;IF($B223="","DATE; ","")&amp;IF($D223="","LOT INTERNE; ","")&amp;IF(NOT(ISNUMBER($G223)),"QUANTITE; ",IF(AND($C223="AJUSTEMENT",$G223=0),"QUANTITE &lt;&gt; 0; ",IF(AND($C223&lt;&gt;"AJUSTEMENT",$G223&lt;=0),"QUANTITE &gt; 0; ","")))&amp;IF(AND($C223="AJUSTEMENT",$H223=""),"MOTIF; ","")&amp;IF(AND(OR($C223="TRANSFERT",$C223="CONSOMMATION"),$E223=""),"EMPL. SOURCE; ","")&amp;IF(AND($C223&lt;&gt;"CONSOMMATION",$F223=""),"EMPL. DESTINATION; ","")&amp;IF(AND($C223="TRANSFERT",$E223&lt;&gt;"",$E223=$F223),"SOURCE = DESTINATION; ",""),IF($Q223="EMPLACEMENT INCOHERENT","Le lot "&amp;$D223&amp;" n'existe pas sur cet emplacement (stock 0). Verifier l'emplacement.",IF($Q223="STOCK INSUFFISANT","Disponible avant operation : "&amp;TEXT($P223,"#,##0.00")&amp;" kg. Ligne NON comptee en stock.",IF(COUNTIFS($B$5:$B$304,$B223,$C$5:$C$304,$C223,$D$5:$D$304,$D223,$G$5:$G$304,$G223)&gt;1,"Doublon possible (meme date, type, lot et quantite).",IF($K223="LOT NON REFERENCE","Creer d'abord la fiche du lot dans l'onglet LOTS.",""))))))</f>
        <v/>
      </c>
    </row>
    <row r="224" customFormat="false" ht="15" hidden="false" customHeight="false" outlineLevel="0" collapsed="false">
      <c r="A224" s="26" t="str">
        <f aca="false">IF($C224="","","OP-"&amp;TEXT(ROW()-4,"000"))</f>
        <v/>
      </c>
      <c r="B224" s="25"/>
      <c r="C224" s="24"/>
      <c r="D224" s="24"/>
      <c r="E224" s="24"/>
      <c r="F224" s="24"/>
      <c r="G224" s="29"/>
      <c r="H224" s="24"/>
      <c r="I224" s="24"/>
      <c r="J224" s="26" t="str">
        <f aca="false">IF($D224="","",IFERROR(INDEX(LOT_EXTE,MATCH($D224,LOT_KEY,0)),""))</f>
        <v/>
      </c>
      <c r="K224" s="26" t="str">
        <f aca="false">IF($D224="","",IFERROR(INDEX(LOT_PRODE,MATCH($D224,LOT_KEY,0)),"LOT NON REFERENCE"))</f>
        <v/>
      </c>
      <c r="L224" s="26" t="str">
        <f aca="false">IF($D224="","",IFERROR(INDEX(LOT_FOURNE,MATCH($D224,LOT_KEY,0)),""))</f>
        <v/>
      </c>
      <c r="M224" s="26" t="str">
        <f aca="false">IF($E224="","",IFERROR(INDEX(EMPL_CLASSE,MATCH($E224,EMPL_KEY,0)),"?"))</f>
        <v/>
      </c>
      <c r="N224" s="26" t="str">
        <f aca="false">IF($F224="","",IFERROR(INDEX(EMPL_CLASSE,MATCH($F224,EMPL_KEY,0)),"?"))</f>
        <v/>
      </c>
      <c r="O224" s="28" t="n">
        <f aca="false">IF($C224="",0,IF(OR($B224="",$D224=""),0,IF($C224="AJUSTEMENT",IF(OR(NOT(ISNUMBER($G224)),$G224=0,$F224="",$H224=""),0,1),IF(OR(NOT(ISNUMBER($G224)),$G224&lt;=0),0,IF($C224="RECEPTION",IF($F224="",0,1),IF($C224="CONSOMMATION",IF($E224="",0,1),IF(OR($E224="",$F224="",$E224=$F224),0,1)))))))</f>
        <v>0</v>
      </c>
      <c r="P224" s="27" t="str">
        <f aca="false">IF(OR($O224=0,$C224="RECEPTION"),"",IF($C224="AJUSTEMENT",IF($G224&gt;0,"",SUMIFS(MVT_BRUT,MVT_LOT,$D224,MVT_EMPL,$F224)-$G224),SUMIFS(MVT_BRUT,MVT_LOT,$D224,MVT_EMPL,$E224)+$G224))</f>
        <v/>
      </c>
      <c r="Q224" s="26" t="str">
        <f aca="false">IF($C224="","",IF($O224=0,"DONNEES MANQUANTES",IF($C224="RECEPTION","OK",IF(AND($C224="AJUSTEMENT",$G224&gt;0),"OK",IF($P224&lt;=0,"EMPLACEMENT INCOHERENT",IF(ABS($G224)&gt;$P224+0.001,"STOCK INSUFFISANT","OK"))))))</f>
        <v/>
      </c>
      <c r="R224" s="28" t="n">
        <f aca="false">IF($Q224="OK",1,0)</f>
        <v>0</v>
      </c>
      <c r="S224" s="26" t="str">
        <f aca="false">IF($C224="","",IF($O224=0,"A COMPLETER : "&amp;IF($B224="","DATE; ","")&amp;IF($D224="","LOT INTERNE; ","")&amp;IF(NOT(ISNUMBER($G224)),"QUANTITE; ",IF(AND($C224="AJUSTEMENT",$G224=0),"QUANTITE &lt;&gt; 0; ",IF(AND($C224&lt;&gt;"AJUSTEMENT",$G224&lt;=0),"QUANTITE &gt; 0; ","")))&amp;IF(AND($C224="AJUSTEMENT",$H224=""),"MOTIF; ","")&amp;IF(AND(OR($C224="TRANSFERT",$C224="CONSOMMATION"),$E224=""),"EMPL. SOURCE; ","")&amp;IF(AND($C224&lt;&gt;"CONSOMMATION",$F224=""),"EMPL. DESTINATION; ","")&amp;IF(AND($C224="TRANSFERT",$E224&lt;&gt;"",$E224=$F224),"SOURCE = DESTINATION; ",""),IF($Q224="EMPLACEMENT INCOHERENT","Le lot "&amp;$D224&amp;" n'existe pas sur cet emplacement (stock 0). Verifier l'emplacement.",IF($Q224="STOCK INSUFFISANT","Disponible avant operation : "&amp;TEXT($P224,"#,##0.00")&amp;" kg. Ligne NON comptee en stock.",IF(COUNTIFS($B$5:$B$304,$B224,$C$5:$C$304,$C224,$D$5:$D$304,$D224,$G$5:$G$304,$G224)&gt;1,"Doublon possible (meme date, type, lot et quantite).",IF($K224="LOT NON REFERENCE","Creer d'abord la fiche du lot dans l'onglet LOTS.",""))))))</f>
        <v/>
      </c>
    </row>
    <row r="225" customFormat="false" ht="15" hidden="false" customHeight="false" outlineLevel="0" collapsed="false">
      <c r="A225" s="26" t="str">
        <f aca="false">IF($C225="","","OP-"&amp;TEXT(ROW()-4,"000"))</f>
        <v/>
      </c>
      <c r="B225" s="25"/>
      <c r="C225" s="24"/>
      <c r="D225" s="24"/>
      <c r="E225" s="24"/>
      <c r="F225" s="24"/>
      <c r="G225" s="29"/>
      <c r="H225" s="24"/>
      <c r="I225" s="24"/>
      <c r="J225" s="26" t="str">
        <f aca="false">IF($D225="","",IFERROR(INDEX(LOT_EXTE,MATCH($D225,LOT_KEY,0)),""))</f>
        <v/>
      </c>
      <c r="K225" s="26" t="str">
        <f aca="false">IF($D225="","",IFERROR(INDEX(LOT_PRODE,MATCH($D225,LOT_KEY,0)),"LOT NON REFERENCE"))</f>
        <v/>
      </c>
      <c r="L225" s="26" t="str">
        <f aca="false">IF($D225="","",IFERROR(INDEX(LOT_FOURNE,MATCH($D225,LOT_KEY,0)),""))</f>
        <v/>
      </c>
      <c r="M225" s="26" t="str">
        <f aca="false">IF($E225="","",IFERROR(INDEX(EMPL_CLASSE,MATCH($E225,EMPL_KEY,0)),"?"))</f>
        <v/>
      </c>
      <c r="N225" s="26" t="str">
        <f aca="false">IF($F225="","",IFERROR(INDEX(EMPL_CLASSE,MATCH($F225,EMPL_KEY,0)),"?"))</f>
        <v/>
      </c>
      <c r="O225" s="28" t="n">
        <f aca="false">IF($C225="",0,IF(OR($B225="",$D225=""),0,IF($C225="AJUSTEMENT",IF(OR(NOT(ISNUMBER($G225)),$G225=0,$F225="",$H225=""),0,1),IF(OR(NOT(ISNUMBER($G225)),$G225&lt;=0),0,IF($C225="RECEPTION",IF($F225="",0,1),IF($C225="CONSOMMATION",IF($E225="",0,1),IF(OR($E225="",$F225="",$E225=$F225),0,1)))))))</f>
        <v>0</v>
      </c>
      <c r="P225" s="27" t="str">
        <f aca="false">IF(OR($O225=0,$C225="RECEPTION"),"",IF($C225="AJUSTEMENT",IF($G225&gt;0,"",SUMIFS(MVT_BRUT,MVT_LOT,$D225,MVT_EMPL,$F225)-$G225),SUMIFS(MVT_BRUT,MVT_LOT,$D225,MVT_EMPL,$E225)+$G225))</f>
        <v/>
      </c>
      <c r="Q225" s="26" t="str">
        <f aca="false">IF($C225="","",IF($O225=0,"DONNEES MANQUANTES",IF($C225="RECEPTION","OK",IF(AND($C225="AJUSTEMENT",$G225&gt;0),"OK",IF($P225&lt;=0,"EMPLACEMENT INCOHERENT",IF(ABS($G225)&gt;$P225+0.001,"STOCK INSUFFISANT","OK"))))))</f>
        <v/>
      </c>
      <c r="R225" s="28" t="n">
        <f aca="false">IF($Q225="OK",1,0)</f>
        <v>0</v>
      </c>
      <c r="S225" s="26" t="str">
        <f aca="false">IF($C225="","",IF($O225=0,"A COMPLETER : "&amp;IF($B225="","DATE; ","")&amp;IF($D225="","LOT INTERNE; ","")&amp;IF(NOT(ISNUMBER($G225)),"QUANTITE; ",IF(AND($C225="AJUSTEMENT",$G225=0),"QUANTITE &lt;&gt; 0; ",IF(AND($C225&lt;&gt;"AJUSTEMENT",$G225&lt;=0),"QUANTITE &gt; 0; ","")))&amp;IF(AND($C225="AJUSTEMENT",$H225=""),"MOTIF; ","")&amp;IF(AND(OR($C225="TRANSFERT",$C225="CONSOMMATION"),$E225=""),"EMPL. SOURCE; ","")&amp;IF(AND($C225&lt;&gt;"CONSOMMATION",$F225=""),"EMPL. DESTINATION; ","")&amp;IF(AND($C225="TRANSFERT",$E225&lt;&gt;"",$E225=$F225),"SOURCE = DESTINATION; ",""),IF($Q225="EMPLACEMENT INCOHERENT","Le lot "&amp;$D225&amp;" n'existe pas sur cet emplacement (stock 0). Verifier l'emplacement.",IF($Q225="STOCK INSUFFISANT","Disponible avant operation : "&amp;TEXT($P225,"#,##0.00")&amp;" kg. Ligne NON comptee en stock.",IF(COUNTIFS($B$5:$B$304,$B225,$C$5:$C$304,$C225,$D$5:$D$304,$D225,$G$5:$G$304,$G225)&gt;1,"Doublon possible (meme date, type, lot et quantite).",IF($K225="LOT NON REFERENCE","Creer d'abord la fiche du lot dans l'onglet LOTS.",""))))))</f>
        <v/>
      </c>
    </row>
    <row r="226" customFormat="false" ht="15" hidden="false" customHeight="false" outlineLevel="0" collapsed="false">
      <c r="A226" s="26" t="str">
        <f aca="false">IF($C226="","","OP-"&amp;TEXT(ROW()-4,"000"))</f>
        <v/>
      </c>
      <c r="B226" s="25"/>
      <c r="C226" s="24"/>
      <c r="D226" s="24"/>
      <c r="E226" s="24"/>
      <c r="F226" s="24"/>
      <c r="G226" s="29"/>
      <c r="H226" s="24"/>
      <c r="I226" s="24"/>
      <c r="J226" s="26" t="str">
        <f aca="false">IF($D226="","",IFERROR(INDEX(LOT_EXTE,MATCH($D226,LOT_KEY,0)),""))</f>
        <v/>
      </c>
      <c r="K226" s="26" t="str">
        <f aca="false">IF($D226="","",IFERROR(INDEX(LOT_PRODE,MATCH($D226,LOT_KEY,0)),"LOT NON REFERENCE"))</f>
        <v/>
      </c>
      <c r="L226" s="26" t="str">
        <f aca="false">IF($D226="","",IFERROR(INDEX(LOT_FOURNE,MATCH($D226,LOT_KEY,0)),""))</f>
        <v/>
      </c>
      <c r="M226" s="26" t="str">
        <f aca="false">IF($E226="","",IFERROR(INDEX(EMPL_CLASSE,MATCH($E226,EMPL_KEY,0)),"?"))</f>
        <v/>
      </c>
      <c r="N226" s="26" t="str">
        <f aca="false">IF($F226="","",IFERROR(INDEX(EMPL_CLASSE,MATCH($F226,EMPL_KEY,0)),"?"))</f>
        <v/>
      </c>
      <c r="O226" s="28" t="n">
        <f aca="false">IF($C226="",0,IF(OR($B226="",$D226=""),0,IF($C226="AJUSTEMENT",IF(OR(NOT(ISNUMBER($G226)),$G226=0,$F226="",$H226=""),0,1),IF(OR(NOT(ISNUMBER($G226)),$G226&lt;=0),0,IF($C226="RECEPTION",IF($F226="",0,1),IF($C226="CONSOMMATION",IF($E226="",0,1),IF(OR($E226="",$F226="",$E226=$F226),0,1)))))))</f>
        <v>0</v>
      </c>
      <c r="P226" s="27" t="str">
        <f aca="false">IF(OR($O226=0,$C226="RECEPTION"),"",IF($C226="AJUSTEMENT",IF($G226&gt;0,"",SUMIFS(MVT_BRUT,MVT_LOT,$D226,MVT_EMPL,$F226)-$G226),SUMIFS(MVT_BRUT,MVT_LOT,$D226,MVT_EMPL,$E226)+$G226))</f>
        <v/>
      </c>
      <c r="Q226" s="26" t="str">
        <f aca="false">IF($C226="","",IF($O226=0,"DONNEES MANQUANTES",IF($C226="RECEPTION","OK",IF(AND($C226="AJUSTEMENT",$G226&gt;0),"OK",IF($P226&lt;=0,"EMPLACEMENT INCOHERENT",IF(ABS($G226)&gt;$P226+0.001,"STOCK INSUFFISANT","OK"))))))</f>
        <v/>
      </c>
      <c r="R226" s="28" t="n">
        <f aca="false">IF($Q226="OK",1,0)</f>
        <v>0</v>
      </c>
      <c r="S226" s="26" t="str">
        <f aca="false">IF($C226="","",IF($O226=0,"A COMPLETER : "&amp;IF($B226="","DATE; ","")&amp;IF($D226="","LOT INTERNE; ","")&amp;IF(NOT(ISNUMBER($G226)),"QUANTITE; ",IF(AND($C226="AJUSTEMENT",$G226=0),"QUANTITE &lt;&gt; 0; ",IF(AND($C226&lt;&gt;"AJUSTEMENT",$G226&lt;=0),"QUANTITE &gt; 0; ","")))&amp;IF(AND($C226="AJUSTEMENT",$H226=""),"MOTIF; ","")&amp;IF(AND(OR($C226="TRANSFERT",$C226="CONSOMMATION"),$E226=""),"EMPL. SOURCE; ","")&amp;IF(AND($C226&lt;&gt;"CONSOMMATION",$F226=""),"EMPL. DESTINATION; ","")&amp;IF(AND($C226="TRANSFERT",$E226&lt;&gt;"",$E226=$F226),"SOURCE = DESTINATION; ",""),IF($Q226="EMPLACEMENT INCOHERENT","Le lot "&amp;$D226&amp;" n'existe pas sur cet emplacement (stock 0). Verifier l'emplacement.",IF($Q226="STOCK INSUFFISANT","Disponible avant operation : "&amp;TEXT($P226,"#,##0.00")&amp;" kg. Ligne NON comptee en stock.",IF(COUNTIFS($B$5:$B$304,$B226,$C$5:$C$304,$C226,$D$5:$D$304,$D226,$G$5:$G$304,$G226)&gt;1,"Doublon possible (meme date, type, lot et quantite).",IF($K226="LOT NON REFERENCE","Creer d'abord la fiche du lot dans l'onglet LOTS.",""))))))</f>
        <v/>
      </c>
    </row>
    <row r="227" customFormat="false" ht="15" hidden="false" customHeight="false" outlineLevel="0" collapsed="false">
      <c r="A227" s="26" t="str">
        <f aca="false">IF($C227="","","OP-"&amp;TEXT(ROW()-4,"000"))</f>
        <v/>
      </c>
      <c r="B227" s="25"/>
      <c r="C227" s="24"/>
      <c r="D227" s="24"/>
      <c r="E227" s="24"/>
      <c r="F227" s="24"/>
      <c r="G227" s="29"/>
      <c r="H227" s="24"/>
      <c r="I227" s="24"/>
      <c r="J227" s="26" t="str">
        <f aca="false">IF($D227="","",IFERROR(INDEX(LOT_EXTE,MATCH($D227,LOT_KEY,0)),""))</f>
        <v/>
      </c>
      <c r="K227" s="26" t="str">
        <f aca="false">IF($D227="","",IFERROR(INDEX(LOT_PRODE,MATCH($D227,LOT_KEY,0)),"LOT NON REFERENCE"))</f>
        <v/>
      </c>
      <c r="L227" s="26" t="str">
        <f aca="false">IF($D227="","",IFERROR(INDEX(LOT_FOURNE,MATCH($D227,LOT_KEY,0)),""))</f>
        <v/>
      </c>
      <c r="M227" s="26" t="str">
        <f aca="false">IF($E227="","",IFERROR(INDEX(EMPL_CLASSE,MATCH($E227,EMPL_KEY,0)),"?"))</f>
        <v/>
      </c>
      <c r="N227" s="26" t="str">
        <f aca="false">IF($F227="","",IFERROR(INDEX(EMPL_CLASSE,MATCH($F227,EMPL_KEY,0)),"?"))</f>
        <v/>
      </c>
      <c r="O227" s="28" t="n">
        <f aca="false">IF($C227="",0,IF(OR($B227="",$D227=""),0,IF($C227="AJUSTEMENT",IF(OR(NOT(ISNUMBER($G227)),$G227=0,$F227="",$H227=""),0,1),IF(OR(NOT(ISNUMBER($G227)),$G227&lt;=0),0,IF($C227="RECEPTION",IF($F227="",0,1),IF($C227="CONSOMMATION",IF($E227="",0,1),IF(OR($E227="",$F227="",$E227=$F227),0,1)))))))</f>
        <v>0</v>
      </c>
      <c r="P227" s="27" t="str">
        <f aca="false">IF(OR($O227=0,$C227="RECEPTION"),"",IF($C227="AJUSTEMENT",IF($G227&gt;0,"",SUMIFS(MVT_BRUT,MVT_LOT,$D227,MVT_EMPL,$F227)-$G227),SUMIFS(MVT_BRUT,MVT_LOT,$D227,MVT_EMPL,$E227)+$G227))</f>
        <v/>
      </c>
      <c r="Q227" s="26" t="str">
        <f aca="false">IF($C227="","",IF($O227=0,"DONNEES MANQUANTES",IF($C227="RECEPTION","OK",IF(AND($C227="AJUSTEMENT",$G227&gt;0),"OK",IF($P227&lt;=0,"EMPLACEMENT INCOHERENT",IF(ABS($G227)&gt;$P227+0.001,"STOCK INSUFFISANT","OK"))))))</f>
        <v/>
      </c>
      <c r="R227" s="28" t="n">
        <f aca="false">IF($Q227="OK",1,0)</f>
        <v>0</v>
      </c>
      <c r="S227" s="26" t="str">
        <f aca="false">IF($C227="","",IF($O227=0,"A COMPLETER : "&amp;IF($B227="","DATE; ","")&amp;IF($D227="","LOT INTERNE; ","")&amp;IF(NOT(ISNUMBER($G227)),"QUANTITE; ",IF(AND($C227="AJUSTEMENT",$G227=0),"QUANTITE &lt;&gt; 0; ",IF(AND($C227&lt;&gt;"AJUSTEMENT",$G227&lt;=0),"QUANTITE &gt; 0; ","")))&amp;IF(AND($C227="AJUSTEMENT",$H227=""),"MOTIF; ","")&amp;IF(AND(OR($C227="TRANSFERT",$C227="CONSOMMATION"),$E227=""),"EMPL. SOURCE; ","")&amp;IF(AND($C227&lt;&gt;"CONSOMMATION",$F227=""),"EMPL. DESTINATION; ","")&amp;IF(AND($C227="TRANSFERT",$E227&lt;&gt;"",$E227=$F227),"SOURCE = DESTINATION; ",""),IF($Q227="EMPLACEMENT INCOHERENT","Le lot "&amp;$D227&amp;" n'existe pas sur cet emplacement (stock 0). Verifier l'emplacement.",IF($Q227="STOCK INSUFFISANT","Disponible avant operation : "&amp;TEXT($P227,"#,##0.00")&amp;" kg. Ligne NON comptee en stock.",IF(COUNTIFS($B$5:$B$304,$B227,$C$5:$C$304,$C227,$D$5:$D$304,$D227,$G$5:$G$304,$G227)&gt;1,"Doublon possible (meme date, type, lot et quantite).",IF($K227="LOT NON REFERENCE","Creer d'abord la fiche du lot dans l'onglet LOTS.",""))))))</f>
        <v/>
      </c>
    </row>
    <row r="228" customFormat="false" ht="15" hidden="false" customHeight="false" outlineLevel="0" collapsed="false">
      <c r="A228" s="26" t="str">
        <f aca="false">IF($C228="","","OP-"&amp;TEXT(ROW()-4,"000"))</f>
        <v/>
      </c>
      <c r="B228" s="25"/>
      <c r="C228" s="24"/>
      <c r="D228" s="24"/>
      <c r="E228" s="24"/>
      <c r="F228" s="24"/>
      <c r="G228" s="29"/>
      <c r="H228" s="24"/>
      <c r="I228" s="24"/>
      <c r="J228" s="26" t="str">
        <f aca="false">IF($D228="","",IFERROR(INDEX(LOT_EXTE,MATCH($D228,LOT_KEY,0)),""))</f>
        <v/>
      </c>
      <c r="K228" s="26" t="str">
        <f aca="false">IF($D228="","",IFERROR(INDEX(LOT_PRODE,MATCH($D228,LOT_KEY,0)),"LOT NON REFERENCE"))</f>
        <v/>
      </c>
      <c r="L228" s="26" t="str">
        <f aca="false">IF($D228="","",IFERROR(INDEX(LOT_FOURNE,MATCH($D228,LOT_KEY,0)),""))</f>
        <v/>
      </c>
      <c r="M228" s="26" t="str">
        <f aca="false">IF($E228="","",IFERROR(INDEX(EMPL_CLASSE,MATCH($E228,EMPL_KEY,0)),"?"))</f>
        <v/>
      </c>
      <c r="N228" s="26" t="str">
        <f aca="false">IF($F228="","",IFERROR(INDEX(EMPL_CLASSE,MATCH($F228,EMPL_KEY,0)),"?"))</f>
        <v/>
      </c>
      <c r="O228" s="28" t="n">
        <f aca="false">IF($C228="",0,IF(OR($B228="",$D228=""),0,IF($C228="AJUSTEMENT",IF(OR(NOT(ISNUMBER($G228)),$G228=0,$F228="",$H228=""),0,1),IF(OR(NOT(ISNUMBER($G228)),$G228&lt;=0),0,IF($C228="RECEPTION",IF($F228="",0,1),IF($C228="CONSOMMATION",IF($E228="",0,1),IF(OR($E228="",$F228="",$E228=$F228),0,1)))))))</f>
        <v>0</v>
      </c>
      <c r="P228" s="27" t="str">
        <f aca="false">IF(OR($O228=0,$C228="RECEPTION"),"",IF($C228="AJUSTEMENT",IF($G228&gt;0,"",SUMIFS(MVT_BRUT,MVT_LOT,$D228,MVT_EMPL,$F228)-$G228),SUMIFS(MVT_BRUT,MVT_LOT,$D228,MVT_EMPL,$E228)+$G228))</f>
        <v/>
      </c>
      <c r="Q228" s="26" t="str">
        <f aca="false">IF($C228="","",IF($O228=0,"DONNEES MANQUANTES",IF($C228="RECEPTION","OK",IF(AND($C228="AJUSTEMENT",$G228&gt;0),"OK",IF($P228&lt;=0,"EMPLACEMENT INCOHERENT",IF(ABS($G228)&gt;$P228+0.001,"STOCK INSUFFISANT","OK"))))))</f>
        <v/>
      </c>
      <c r="R228" s="28" t="n">
        <f aca="false">IF($Q228="OK",1,0)</f>
        <v>0</v>
      </c>
      <c r="S228" s="26" t="str">
        <f aca="false">IF($C228="","",IF($O228=0,"A COMPLETER : "&amp;IF($B228="","DATE; ","")&amp;IF($D228="","LOT INTERNE; ","")&amp;IF(NOT(ISNUMBER($G228)),"QUANTITE; ",IF(AND($C228="AJUSTEMENT",$G228=0),"QUANTITE &lt;&gt; 0; ",IF(AND($C228&lt;&gt;"AJUSTEMENT",$G228&lt;=0),"QUANTITE &gt; 0; ","")))&amp;IF(AND($C228="AJUSTEMENT",$H228=""),"MOTIF; ","")&amp;IF(AND(OR($C228="TRANSFERT",$C228="CONSOMMATION"),$E228=""),"EMPL. SOURCE; ","")&amp;IF(AND($C228&lt;&gt;"CONSOMMATION",$F228=""),"EMPL. DESTINATION; ","")&amp;IF(AND($C228="TRANSFERT",$E228&lt;&gt;"",$E228=$F228),"SOURCE = DESTINATION; ",""),IF($Q228="EMPLACEMENT INCOHERENT","Le lot "&amp;$D228&amp;" n'existe pas sur cet emplacement (stock 0). Verifier l'emplacement.",IF($Q228="STOCK INSUFFISANT","Disponible avant operation : "&amp;TEXT($P228,"#,##0.00")&amp;" kg. Ligne NON comptee en stock.",IF(COUNTIFS($B$5:$B$304,$B228,$C$5:$C$304,$C228,$D$5:$D$304,$D228,$G$5:$G$304,$G228)&gt;1,"Doublon possible (meme date, type, lot et quantite).",IF($K228="LOT NON REFERENCE","Creer d'abord la fiche du lot dans l'onglet LOTS.",""))))))</f>
        <v/>
      </c>
    </row>
    <row r="229" customFormat="false" ht="15" hidden="false" customHeight="false" outlineLevel="0" collapsed="false">
      <c r="A229" s="26" t="str">
        <f aca="false">IF($C229="","","OP-"&amp;TEXT(ROW()-4,"000"))</f>
        <v/>
      </c>
      <c r="B229" s="25"/>
      <c r="C229" s="24"/>
      <c r="D229" s="24"/>
      <c r="E229" s="24"/>
      <c r="F229" s="24"/>
      <c r="G229" s="29"/>
      <c r="H229" s="24"/>
      <c r="I229" s="24"/>
      <c r="J229" s="26" t="str">
        <f aca="false">IF($D229="","",IFERROR(INDEX(LOT_EXTE,MATCH($D229,LOT_KEY,0)),""))</f>
        <v/>
      </c>
      <c r="K229" s="26" t="str">
        <f aca="false">IF($D229="","",IFERROR(INDEX(LOT_PRODE,MATCH($D229,LOT_KEY,0)),"LOT NON REFERENCE"))</f>
        <v/>
      </c>
      <c r="L229" s="26" t="str">
        <f aca="false">IF($D229="","",IFERROR(INDEX(LOT_FOURNE,MATCH($D229,LOT_KEY,0)),""))</f>
        <v/>
      </c>
      <c r="M229" s="26" t="str">
        <f aca="false">IF($E229="","",IFERROR(INDEX(EMPL_CLASSE,MATCH($E229,EMPL_KEY,0)),"?"))</f>
        <v/>
      </c>
      <c r="N229" s="26" t="str">
        <f aca="false">IF($F229="","",IFERROR(INDEX(EMPL_CLASSE,MATCH($F229,EMPL_KEY,0)),"?"))</f>
        <v/>
      </c>
      <c r="O229" s="28" t="n">
        <f aca="false">IF($C229="",0,IF(OR($B229="",$D229=""),0,IF($C229="AJUSTEMENT",IF(OR(NOT(ISNUMBER($G229)),$G229=0,$F229="",$H229=""),0,1),IF(OR(NOT(ISNUMBER($G229)),$G229&lt;=0),0,IF($C229="RECEPTION",IF($F229="",0,1),IF($C229="CONSOMMATION",IF($E229="",0,1),IF(OR($E229="",$F229="",$E229=$F229),0,1)))))))</f>
        <v>0</v>
      </c>
      <c r="P229" s="27" t="str">
        <f aca="false">IF(OR($O229=0,$C229="RECEPTION"),"",IF($C229="AJUSTEMENT",IF($G229&gt;0,"",SUMIFS(MVT_BRUT,MVT_LOT,$D229,MVT_EMPL,$F229)-$G229),SUMIFS(MVT_BRUT,MVT_LOT,$D229,MVT_EMPL,$E229)+$G229))</f>
        <v/>
      </c>
      <c r="Q229" s="26" t="str">
        <f aca="false">IF($C229="","",IF($O229=0,"DONNEES MANQUANTES",IF($C229="RECEPTION","OK",IF(AND($C229="AJUSTEMENT",$G229&gt;0),"OK",IF($P229&lt;=0,"EMPLACEMENT INCOHERENT",IF(ABS($G229)&gt;$P229+0.001,"STOCK INSUFFISANT","OK"))))))</f>
        <v/>
      </c>
      <c r="R229" s="28" t="n">
        <f aca="false">IF($Q229="OK",1,0)</f>
        <v>0</v>
      </c>
      <c r="S229" s="26" t="str">
        <f aca="false">IF($C229="","",IF($O229=0,"A COMPLETER : "&amp;IF($B229="","DATE; ","")&amp;IF($D229="","LOT INTERNE; ","")&amp;IF(NOT(ISNUMBER($G229)),"QUANTITE; ",IF(AND($C229="AJUSTEMENT",$G229=0),"QUANTITE &lt;&gt; 0; ",IF(AND($C229&lt;&gt;"AJUSTEMENT",$G229&lt;=0),"QUANTITE &gt; 0; ","")))&amp;IF(AND($C229="AJUSTEMENT",$H229=""),"MOTIF; ","")&amp;IF(AND(OR($C229="TRANSFERT",$C229="CONSOMMATION"),$E229=""),"EMPL. SOURCE; ","")&amp;IF(AND($C229&lt;&gt;"CONSOMMATION",$F229=""),"EMPL. DESTINATION; ","")&amp;IF(AND($C229="TRANSFERT",$E229&lt;&gt;"",$E229=$F229),"SOURCE = DESTINATION; ",""),IF($Q229="EMPLACEMENT INCOHERENT","Le lot "&amp;$D229&amp;" n'existe pas sur cet emplacement (stock 0). Verifier l'emplacement.",IF($Q229="STOCK INSUFFISANT","Disponible avant operation : "&amp;TEXT($P229,"#,##0.00")&amp;" kg. Ligne NON comptee en stock.",IF(COUNTIFS($B$5:$B$304,$B229,$C$5:$C$304,$C229,$D$5:$D$304,$D229,$G$5:$G$304,$G229)&gt;1,"Doublon possible (meme date, type, lot et quantite).",IF($K229="LOT NON REFERENCE","Creer d'abord la fiche du lot dans l'onglet LOTS.",""))))))</f>
        <v/>
      </c>
    </row>
    <row r="230" customFormat="false" ht="15" hidden="false" customHeight="false" outlineLevel="0" collapsed="false">
      <c r="A230" s="26" t="str">
        <f aca="false">IF($C230="","","OP-"&amp;TEXT(ROW()-4,"000"))</f>
        <v/>
      </c>
      <c r="B230" s="25"/>
      <c r="C230" s="24"/>
      <c r="D230" s="24"/>
      <c r="E230" s="24"/>
      <c r="F230" s="24"/>
      <c r="G230" s="29"/>
      <c r="H230" s="24"/>
      <c r="I230" s="24"/>
      <c r="J230" s="26" t="str">
        <f aca="false">IF($D230="","",IFERROR(INDEX(LOT_EXTE,MATCH($D230,LOT_KEY,0)),""))</f>
        <v/>
      </c>
      <c r="K230" s="26" t="str">
        <f aca="false">IF($D230="","",IFERROR(INDEX(LOT_PRODE,MATCH($D230,LOT_KEY,0)),"LOT NON REFERENCE"))</f>
        <v/>
      </c>
      <c r="L230" s="26" t="str">
        <f aca="false">IF($D230="","",IFERROR(INDEX(LOT_FOURNE,MATCH($D230,LOT_KEY,0)),""))</f>
        <v/>
      </c>
      <c r="M230" s="26" t="str">
        <f aca="false">IF($E230="","",IFERROR(INDEX(EMPL_CLASSE,MATCH($E230,EMPL_KEY,0)),"?"))</f>
        <v/>
      </c>
      <c r="N230" s="26" t="str">
        <f aca="false">IF($F230="","",IFERROR(INDEX(EMPL_CLASSE,MATCH($F230,EMPL_KEY,0)),"?"))</f>
        <v/>
      </c>
      <c r="O230" s="28" t="n">
        <f aca="false">IF($C230="",0,IF(OR($B230="",$D230=""),0,IF($C230="AJUSTEMENT",IF(OR(NOT(ISNUMBER($G230)),$G230=0,$F230="",$H230=""),0,1),IF(OR(NOT(ISNUMBER($G230)),$G230&lt;=0),0,IF($C230="RECEPTION",IF($F230="",0,1),IF($C230="CONSOMMATION",IF($E230="",0,1),IF(OR($E230="",$F230="",$E230=$F230),0,1)))))))</f>
        <v>0</v>
      </c>
      <c r="P230" s="27" t="str">
        <f aca="false">IF(OR($O230=0,$C230="RECEPTION"),"",IF($C230="AJUSTEMENT",IF($G230&gt;0,"",SUMIFS(MVT_BRUT,MVT_LOT,$D230,MVT_EMPL,$F230)-$G230),SUMIFS(MVT_BRUT,MVT_LOT,$D230,MVT_EMPL,$E230)+$G230))</f>
        <v/>
      </c>
      <c r="Q230" s="26" t="str">
        <f aca="false">IF($C230="","",IF($O230=0,"DONNEES MANQUANTES",IF($C230="RECEPTION","OK",IF(AND($C230="AJUSTEMENT",$G230&gt;0),"OK",IF($P230&lt;=0,"EMPLACEMENT INCOHERENT",IF(ABS($G230)&gt;$P230+0.001,"STOCK INSUFFISANT","OK"))))))</f>
        <v/>
      </c>
      <c r="R230" s="28" t="n">
        <f aca="false">IF($Q230="OK",1,0)</f>
        <v>0</v>
      </c>
      <c r="S230" s="26" t="str">
        <f aca="false">IF($C230="","",IF($O230=0,"A COMPLETER : "&amp;IF($B230="","DATE; ","")&amp;IF($D230="","LOT INTERNE; ","")&amp;IF(NOT(ISNUMBER($G230)),"QUANTITE; ",IF(AND($C230="AJUSTEMENT",$G230=0),"QUANTITE &lt;&gt; 0; ",IF(AND($C230&lt;&gt;"AJUSTEMENT",$G230&lt;=0),"QUANTITE &gt; 0; ","")))&amp;IF(AND($C230="AJUSTEMENT",$H230=""),"MOTIF; ","")&amp;IF(AND(OR($C230="TRANSFERT",$C230="CONSOMMATION"),$E230=""),"EMPL. SOURCE; ","")&amp;IF(AND($C230&lt;&gt;"CONSOMMATION",$F230=""),"EMPL. DESTINATION; ","")&amp;IF(AND($C230="TRANSFERT",$E230&lt;&gt;"",$E230=$F230),"SOURCE = DESTINATION; ",""),IF($Q230="EMPLACEMENT INCOHERENT","Le lot "&amp;$D230&amp;" n'existe pas sur cet emplacement (stock 0). Verifier l'emplacement.",IF($Q230="STOCK INSUFFISANT","Disponible avant operation : "&amp;TEXT($P230,"#,##0.00")&amp;" kg. Ligne NON comptee en stock.",IF(COUNTIFS($B$5:$B$304,$B230,$C$5:$C$304,$C230,$D$5:$D$304,$D230,$G$5:$G$304,$G230)&gt;1,"Doublon possible (meme date, type, lot et quantite).",IF($K230="LOT NON REFERENCE","Creer d'abord la fiche du lot dans l'onglet LOTS.",""))))))</f>
        <v/>
      </c>
    </row>
    <row r="231" customFormat="false" ht="15" hidden="false" customHeight="false" outlineLevel="0" collapsed="false">
      <c r="A231" s="26" t="str">
        <f aca="false">IF($C231="","","OP-"&amp;TEXT(ROW()-4,"000"))</f>
        <v/>
      </c>
      <c r="B231" s="25"/>
      <c r="C231" s="24"/>
      <c r="D231" s="24"/>
      <c r="E231" s="24"/>
      <c r="F231" s="24"/>
      <c r="G231" s="29"/>
      <c r="H231" s="24"/>
      <c r="I231" s="24"/>
      <c r="J231" s="26" t="str">
        <f aca="false">IF($D231="","",IFERROR(INDEX(LOT_EXTE,MATCH($D231,LOT_KEY,0)),""))</f>
        <v/>
      </c>
      <c r="K231" s="26" t="str">
        <f aca="false">IF($D231="","",IFERROR(INDEX(LOT_PRODE,MATCH($D231,LOT_KEY,0)),"LOT NON REFERENCE"))</f>
        <v/>
      </c>
      <c r="L231" s="26" t="str">
        <f aca="false">IF($D231="","",IFERROR(INDEX(LOT_FOURNE,MATCH($D231,LOT_KEY,0)),""))</f>
        <v/>
      </c>
      <c r="M231" s="26" t="str">
        <f aca="false">IF($E231="","",IFERROR(INDEX(EMPL_CLASSE,MATCH($E231,EMPL_KEY,0)),"?"))</f>
        <v/>
      </c>
      <c r="N231" s="26" t="str">
        <f aca="false">IF($F231="","",IFERROR(INDEX(EMPL_CLASSE,MATCH($F231,EMPL_KEY,0)),"?"))</f>
        <v/>
      </c>
      <c r="O231" s="28" t="n">
        <f aca="false">IF($C231="",0,IF(OR($B231="",$D231=""),0,IF($C231="AJUSTEMENT",IF(OR(NOT(ISNUMBER($G231)),$G231=0,$F231="",$H231=""),0,1),IF(OR(NOT(ISNUMBER($G231)),$G231&lt;=0),0,IF($C231="RECEPTION",IF($F231="",0,1),IF($C231="CONSOMMATION",IF($E231="",0,1),IF(OR($E231="",$F231="",$E231=$F231),0,1)))))))</f>
        <v>0</v>
      </c>
      <c r="P231" s="27" t="str">
        <f aca="false">IF(OR($O231=0,$C231="RECEPTION"),"",IF($C231="AJUSTEMENT",IF($G231&gt;0,"",SUMIFS(MVT_BRUT,MVT_LOT,$D231,MVT_EMPL,$F231)-$G231),SUMIFS(MVT_BRUT,MVT_LOT,$D231,MVT_EMPL,$E231)+$G231))</f>
        <v/>
      </c>
      <c r="Q231" s="26" t="str">
        <f aca="false">IF($C231="","",IF($O231=0,"DONNEES MANQUANTES",IF($C231="RECEPTION","OK",IF(AND($C231="AJUSTEMENT",$G231&gt;0),"OK",IF($P231&lt;=0,"EMPLACEMENT INCOHERENT",IF(ABS($G231)&gt;$P231+0.001,"STOCK INSUFFISANT","OK"))))))</f>
        <v/>
      </c>
      <c r="R231" s="28" t="n">
        <f aca="false">IF($Q231="OK",1,0)</f>
        <v>0</v>
      </c>
      <c r="S231" s="26" t="str">
        <f aca="false">IF($C231="","",IF($O231=0,"A COMPLETER : "&amp;IF($B231="","DATE; ","")&amp;IF($D231="","LOT INTERNE; ","")&amp;IF(NOT(ISNUMBER($G231)),"QUANTITE; ",IF(AND($C231="AJUSTEMENT",$G231=0),"QUANTITE &lt;&gt; 0; ",IF(AND($C231&lt;&gt;"AJUSTEMENT",$G231&lt;=0),"QUANTITE &gt; 0; ","")))&amp;IF(AND($C231="AJUSTEMENT",$H231=""),"MOTIF; ","")&amp;IF(AND(OR($C231="TRANSFERT",$C231="CONSOMMATION"),$E231=""),"EMPL. SOURCE; ","")&amp;IF(AND($C231&lt;&gt;"CONSOMMATION",$F231=""),"EMPL. DESTINATION; ","")&amp;IF(AND($C231="TRANSFERT",$E231&lt;&gt;"",$E231=$F231),"SOURCE = DESTINATION; ",""),IF($Q231="EMPLACEMENT INCOHERENT","Le lot "&amp;$D231&amp;" n'existe pas sur cet emplacement (stock 0). Verifier l'emplacement.",IF($Q231="STOCK INSUFFISANT","Disponible avant operation : "&amp;TEXT($P231,"#,##0.00")&amp;" kg. Ligne NON comptee en stock.",IF(COUNTIFS($B$5:$B$304,$B231,$C$5:$C$304,$C231,$D$5:$D$304,$D231,$G$5:$G$304,$G231)&gt;1,"Doublon possible (meme date, type, lot et quantite).",IF($K231="LOT NON REFERENCE","Creer d'abord la fiche du lot dans l'onglet LOTS.",""))))))</f>
        <v/>
      </c>
    </row>
    <row r="232" customFormat="false" ht="15" hidden="false" customHeight="false" outlineLevel="0" collapsed="false">
      <c r="A232" s="26" t="str">
        <f aca="false">IF($C232="","","OP-"&amp;TEXT(ROW()-4,"000"))</f>
        <v/>
      </c>
      <c r="B232" s="25"/>
      <c r="C232" s="24"/>
      <c r="D232" s="24"/>
      <c r="E232" s="24"/>
      <c r="F232" s="24"/>
      <c r="G232" s="29"/>
      <c r="H232" s="24"/>
      <c r="I232" s="24"/>
      <c r="J232" s="26" t="str">
        <f aca="false">IF($D232="","",IFERROR(INDEX(LOT_EXTE,MATCH($D232,LOT_KEY,0)),""))</f>
        <v/>
      </c>
      <c r="K232" s="26" t="str">
        <f aca="false">IF($D232="","",IFERROR(INDEX(LOT_PRODE,MATCH($D232,LOT_KEY,0)),"LOT NON REFERENCE"))</f>
        <v/>
      </c>
      <c r="L232" s="26" t="str">
        <f aca="false">IF($D232="","",IFERROR(INDEX(LOT_FOURNE,MATCH($D232,LOT_KEY,0)),""))</f>
        <v/>
      </c>
      <c r="M232" s="26" t="str">
        <f aca="false">IF($E232="","",IFERROR(INDEX(EMPL_CLASSE,MATCH($E232,EMPL_KEY,0)),"?"))</f>
        <v/>
      </c>
      <c r="N232" s="26" t="str">
        <f aca="false">IF($F232="","",IFERROR(INDEX(EMPL_CLASSE,MATCH($F232,EMPL_KEY,0)),"?"))</f>
        <v/>
      </c>
      <c r="O232" s="28" t="n">
        <f aca="false">IF($C232="",0,IF(OR($B232="",$D232=""),0,IF($C232="AJUSTEMENT",IF(OR(NOT(ISNUMBER($G232)),$G232=0,$F232="",$H232=""),0,1),IF(OR(NOT(ISNUMBER($G232)),$G232&lt;=0),0,IF($C232="RECEPTION",IF($F232="",0,1),IF($C232="CONSOMMATION",IF($E232="",0,1),IF(OR($E232="",$F232="",$E232=$F232),0,1)))))))</f>
        <v>0</v>
      </c>
      <c r="P232" s="27" t="str">
        <f aca="false">IF(OR($O232=0,$C232="RECEPTION"),"",IF($C232="AJUSTEMENT",IF($G232&gt;0,"",SUMIFS(MVT_BRUT,MVT_LOT,$D232,MVT_EMPL,$F232)-$G232),SUMIFS(MVT_BRUT,MVT_LOT,$D232,MVT_EMPL,$E232)+$G232))</f>
        <v/>
      </c>
      <c r="Q232" s="26" t="str">
        <f aca="false">IF($C232="","",IF($O232=0,"DONNEES MANQUANTES",IF($C232="RECEPTION","OK",IF(AND($C232="AJUSTEMENT",$G232&gt;0),"OK",IF($P232&lt;=0,"EMPLACEMENT INCOHERENT",IF(ABS($G232)&gt;$P232+0.001,"STOCK INSUFFISANT","OK"))))))</f>
        <v/>
      </c>
      <c r="R232" s="28" t="n">
        <f aca="false">IF($Q232="OK",1,0)</f>
        <v>0</v>
      </c>
      <c r="S232" s="26" t="str">
        <f aca="false">IF($C232="","",IF($O232=0,"A COMPLETER : "&amp;IF($B232="","DATE; ","")&amp;IF($D232="","LOT INTERNE; ","")&amp;IF(NOT(ISNUMBER($G232)),"QUANTITE; ",IF(AND($C232="AJUSTEMENT",$G232=0),"QUANTITE &lt;&gt; 0; ",IF(AND($C232&lt;&gt;"AJUSTEMENT",$G232&lt;=0),"QUANTITE &gt; 0; ","")))&amp;IF(AND($C232="AJUSTEMENT",$H232=""),"MOTIF; ","")&amp;IF(AND(OR($C232="TRANSFERT",$C232="CONSOMMATION"),$E232=""),"EMPL. SOURCE; ","")&amp;IF(AND($C232&lt;&gt;"CONSOMMATION",$F232=""),"EMPL. DESTINATION; ","")&amp;IF(AND($C232="TRANSFERT",$E232&lt;&gt;"",$E232=$F232),"SOURCE = DESTINATION; ",""),IF($Q232="EMPLACEMENT INCOHERENT","Le lot "&amp;$D232&amp;" n'existe pas sur cet emplacement (stock 0). Verifier l'emplacement.",IF($Q232="STOCK INSUFFISANT","Disponible avant operation : "&amp;TEXT($P232,"#,##0.00")&amp;" kg. Ligne NON comptee en stock.",IF(COUNTIFS($B$5:$B$304,$B232,$C$5:$C$304,$C232,$D$5:$D$304,$D232,$G$5:$G$304,$G232)&gt;1,"Doublon possible (meme date, type, lot et quantite).",IF($K232="LOT NON REFERENCE","Creer d'abord la fiche du lot dans l'onglet LOTS.",""))))))</f>
        <v/>
      </c>
    </row>
    <row r="233" customFormat="false" ht="15" hidden="false" customHeight="false" outlineLevel="0" collapsed="false">
      <c r="A233" s="26" t="str">
        <f aca="false">IF($C233="","","OP-"&amp;TEXT(ROW()-4,"000"))</f>
        <v/>
      </c>
      <c r="B233" s="25"/>
      <c r="C233" s="24"/>
      <c r="D233" s="24"/>
      <c r="E233" s="24"/>
      <c r="F233" s="24"/>
      <c r="G233" s="29"/>
      <c r="H233" s="24"/>
      <c r="I233" s="24"/>
      <c r="J233" s="26" t="str">
        <f aca="false">IF($D233="","",IFERROR(INDEX(LOT_EXTE,MATCH($D233,LOT_KEY,0)),""))</f>
        <v/>
      </c>
      <c r="K233" s="26" t="str">
        <f aca="false">IF($D233="","",IFERROR(INDEX(LOT_PRODE,MATCH($D233,LOT_KEY,0)),"LOT NON REFERENCE"))</f>
        <v/>
      </c>
      <c r="L233" s="26" t="str">
        <f aca="false">IF($D233="","",IFERROR(INDEX(LOT_FOURNE,MATCH($D233,LOT_KEY,0)),""))</f>
        <v/>
      </c>
      <c r="M233" s="26" t="str">
        <f aca="false">IF($E233="","",IFERROR(INDEX(EMPL_CLASSE,MATCH($E233,EMPL_KEY,0)),"?"))</f>
        <v/>
      </c>
      <c r="N233" s="26" t="str">
        <f aca="false">IF($F233="","",IFERROR(INDEX(EMPL_CLASSE,MATCH($F233,EMPL_KEY,0)),"?"))</f>
        <v/>
      </c>
      <c r="O233" s="28" t="n">
        <f aca="false">IF($C233="",0,IF(OR($B233="",$D233=""),0,IF($C233="AJUSTEMENT",IF(OR(NOT(ISNUMBER($G233)),$G233=0,$F233="",$H233=""),0,1),IF(OR(NOT(ISNUMBER($G233)),$G233&lt;=0),0,IF($C233="RECEPTION",IF($F233="",0,1),IF($C233="CONSOMMATION",IF($E233="",0,1),IF(OR($E233="",$F233="",$E233=$F233),0,1)))))))</f>
        <v>0</v>
      </c>
      <c r="P233" s="27" t="str">
        <f aca="false">IF(OR($O233=0,$C233="RECEPTION"),"",IF($C233="AJUSTEMENT",IF($G233&gt;0,"",SUMIFS(MVT_BRUT,MVT_LOT,$D233,MVT_EMPL,$F233)-$G233),SUMIFS(MVT_BRUT,MVT_LOT,$D233,MVT_EMPL,$E233)+$G233))</f>
        <v/>
      </c>
      <c r="Q233" s="26" t="str">
        <f aca="false">IF($C233="","",IF($O233=0,"DONNEES MANQUANTES",IF($C233="RECEPTION","OK",IF(AND($C233="AJUSTEMENT",$G233&gt;0),"OK",IF($P233&lt;=0,"EMPLACEMENT INCOHERENT",IF(ABS($G233)&gt;$P233+0.001,"STOCK INSUFFISANT","OK"))))))</f>
        <v/>
      </c>
      <c r="R233" s="28" t="n">
        <f aca="false">IF($Q233="OK",1,0)</f>
        <v>0</v>
      </c>
      <c r="S233" s="26" t="str">
        <f aca="false">IF($C233="","",IF($O233=0,"A COMPLETER : "&amp;IF($B233="","DATE; ","")&amp;IF($D233="","LOT INTERNE; ","")&amp;IF(NOT(ISNUMBER($G233)),"QUANTITE; ",IF(AND($C233="AJUSTEMENT",$G233=0),"QUANTITE &lt;&gt; 0; ",IF(AND($C233&lt;&gt;"AJUSTEMENT",$G233&lt;=0),"QUANTITE &gt; 0; ","")))&amp;IF(AND($C233="AJUSTEMENT",$H233=""),"MOTIF; ","")&amp;IF(AND(OR($C233="TRANSFERT",$C233="CONSOMMATION"),$E233=""),"EMPL. SOURCE; ","")&amp;IF(AND($C233&lt;&gt;"CONSOMMATION",$F233=""),"EMPL. DESTINATION; ","")&amp;IF(AND($C233="TRANSFERT",$E233&lt;&gt;"",$E233=$F233),"SOURCE = DESTINATION; ",""),IF($Q233="EMPLACEMENT INCOHERENT","Le lot "&amp;$D233&amp;" n'existe pas sur cet emplacement (stock 0). Verifier l'emplacement.",IF($Q233="STOCK INSUFFISANT","Disponible avant operation : "&amp;TEXT($P233,"#,##0.00")&amp;" kg. Ligne NON comptee en stock.",IF(COUNTIFS($B$5:$B$304,$B233,$C$5:$C$304,$C233,$D$5:$D$304,$D233,$G$5:$G$304,$G233)&gt;1,"Doublon possible (meme date, type, lot et quantite).",IF($K233="LOT NON REFERENCE","Creer d'abord la fiche du lot dans l'onglet LOTS.",""))))))</f>
        <v/>
      </c>
    </row>
    <row r="234" customFormat="false" ht="15" hidden="false" customHeight="false" outlineLevel="0" collapsed="false">
      <c r="A234" s="26" t="str">
        <f aca="false">IF($C234="","","OP-"&amp;TEXT(ROW()-4,"000"))</f>
        <v/>
      </c>
      <c r="B234" s="25"/>
      <c r="C234" s="24"/>
      <c r="D234" s="24"/>
      <c r="E234" s="24"/>
      <c r="F234" s="24"/>
      <c r="G234" s="29"/>
      <c r="H234" s="24"/>
      <c r="I234" s="24"/>
      <c r="J234" s="26" t="str">
        <f aca="false">IF($D234="","",IFERROR(INDEX(LOT_EXTE,MATCH($D234,LOT_KEY,0)),""))</f>
        <v/>
      </c>
      <c r="K234" s="26" t="str">
        <f aca="false">IF($D234="","",IFERROR(INDEX(LOT_PRODE,MATCH($D234,LOT_KEY,0)),"LOT NON REFERENCE"))</f>
        <v/>
      </c>
      <c r="L234" s="26" t="str">
        <f aca="false">IF($D234="","",IFERROR(INDEX(LOT_FOURNE,MATCH($D234,LOT_KEY,0)),""))</f>
        <v/>
      </c>
      <c r="M234" s="26" t="str">
        <f aca="false">IF($E234="","",IFERROR(INDEX(EMPL_CLASSE,MATCH($E234,EMPL_KEY,0)),"?"))</f>
        <v/>
      </c>
      <c r="N234" s="26" t="str">
        <f aca="false">IF($F234="","",IFERROR(INDEX(EMPL_CLASSE,MATCH($F234,EMPL_KEY,0)),"?"))</f>
        <v/>
      </c>
      <c r="O234" s="28" t="n">
        <f aca="false">IF($C234="",0,IF(OR($B234="",$D234=""),0,IF($C234="AJUSTEMENT",IF(OR(NOT(ISNUMBER($G234)),$G234=0,$F234="",$H234=""),0,1),IF(OR(NOT(ISNUMBER($G234)),$G234&lt;=0),0,IF($C234="RECEPTION",IF($F234="",0,1),IF($C234="CONSOMMATION",IF($E234="",0,1),IF(OR($E234="",$F234="",$E234=$F234),0,1)))))))</f>
        <v>0</v>
      </c>
      <c r="P234" s="27" t="str">
        <f aca="false">IF(OR($O234=0,$C234="RECEPTION"),"",IF($C234="AJUSTEMENT",IF($G234&gt;0,"",SUMIFS(MVT_BRUT,MVT_LOT,$D234,MVT_EMPL,$F234)-$G234),SUMIFS(MVT_BRUT,MVT_LOT,$D234,MVT_EMPL,$E234)+$G234))</f>
        <v/>
      </c>
      <c r="Q234" s="26" t="str">
        <f aca="false">IF($C234="","",IF($O234=0,"DONNEES MANQUANTES",IF($C234="RECEPTION","OK",IF(AND($C234="AJUSTEMENT",$G234&gt;0),"OK",IF($P234&lt;=0,"EMPLACEMENT INCOHERENT",IF(ABS($G234)&gt;$P234+0.001,"STOCK INSUFFISANT","OK"))))))</f>
        <v/>
      </c>
      <c r="R234" s="28" t="n">
        <f aca="false">IF($Q234="OK",1,0)</f>
        <v>0</v>
      </c>
      <c r="S234" s="26" t="str">
        <f aca="false">IF($C234="","",IF($O234=0,"A COMPLETER : "&amp;IF($B234="","DATE; ","")&amp;IF($D234="","LOT INTERNE; ","")&amp;IF(NOT(ISNUMBER($G234)),"QUANTITE; ",IF(AND($C234="AJUSTEMENT",$G234=0),"QUANTITE &lt;&gt; 0; ",IF(AND($C234&lt;&gt;"AJUSTEMENT",$G234&lt;=0),"QUANTITE &gt; 0; ","")))&amp;IF(AND($C234="AJUSTEMENT",$H234=""),"MOTIF; ","")&amp;IF(AND(OR($C234="TRANSFERT",$C234="CONSOMMATION"),$E234=""),"EMPL. SOURCE; ","")&amp;IF(AND($C234&lt;&gt;"CONSOMMATION",$F234=""),"EMPL. DESTINATION; ","")&amp;IF(AND($C234="TRANSFERT",$E234&lt;&gt;"",$E234=$F234),"SOURCE = DESTINATION; ",""),IF($Q234="EMPLACEMENT INCOHERENT","Le lot "&amp;$D234&amp;" n'existe pas sur cet emplacement (stock 0). Verifier l'emplacement.",IF($Q234="STOCK INSUFFISANT","Disponible avant operation : "&amp;TEXT($P234,"#,##0.00")&amp;" kg. Ligne NON comptee en stock.",IF(COUNTIFS($B$5:$B$304,$B234,$C$5:$C$304,$C234,$D$5:$D$304,$D234,$G$5:$G$304,$G234)&gt;1,"Doublon possible (meme date, type, lot et quantite).",IF($K234="LOT NON REFERENCE","Creer d'abord la fiche du lot dans l'onglet LOTS.",""))))))</f>
        <v/>
      </c>
    </row>
    <row r="235" customFormat="false" ht="15" hidden="false" customHeight="false" outlineLevel="0" collapsed="false">
      <c r="A235" s="26" t="str">
        <f aca="false">IF($C235="","","OP-"&amp;TEXT(ROW()-4,"000"))</f>
        <v/>
      </c>
      <c r="B235" s="25"/>
      <c r="C235" s="24"/>
      <c r="D235" s="24"/>
      <c r="E235" s="24"/>
      <c r="F235" s="24"/>
      <c r="G235" s="29"/>
      <c r="H235" s="24"/>
      <c r="I235" s="24"/>
      <c r="J235" s="26" t="str">
        <f aca="false">IF($D235="","",IFERROR(INDEX(LOT_EXTE,MATCH($D235,LOT_KEY,0)),""))</f>
        <v/>
      </c>
      <c r="K235" s="26" t="str">
        <f aca="false">IF($D235="","",IFERROR(INDEX(LOT_PRODE,MATCH($D235,LOT_KEY,0)),"LOT NON REFERENCE"))</f>
        <v/>
      </c>
      <c r="L235" s="26" t="str">
        <f aca="false">IF($D235="","",IFERROR(INDEX(LOT_FOURNE,MATCH($D235,LOT_KEY,0)),""))</f>
        <v/>
      </c>
      <c r="M235" s="26" t="str">
        <f aca="false">IF($E235="","",IFERROR(INDEX(EMPL_CLASSE,MATCH($E235,EMPL_KEY,0)),"?"))</f>
        <v/>
      </c>
      <c r="N235" s="26" t="str">
        <f aca="false">IF($F235="","",IFERROR(INDEX(EMPL_CLASSE,MATCH($F235,EMPL_KEY,0)),"?"))</f>
        <v/>
      </c>
      <c r="O235" s="28" t="n">
        <f aca="false">IF($C235="",0,IF(OR($B235="",$D235=""),0,IF($C235="AJUSTEMENT",IF(OR(NOT(ISNUMBER($G235)),$G235=0,$F235="",$H235=""),0,1),IF(OR(NOT(ISNUMBER($G235)),$G235&lt;=0),0,IF($C235="RECEPTION",IF($F235="",0,1),IF($C235="CONSOMMATION",IF($E235="",0,1),IF(OR($E235="",$F235="",$E235=$F235),0,1)))))))</f>
        <v>0</v>
      </c>
      <c r="P235" s="27" t="str">
        <f aca="false">IF(OR($O235=0,$C235="RECEPTION"),"",IF($C235="AJUSTEMENT",IF($G235&gt;0,"",SUMIFS(MVT_BRUT,MVT_LOT,$D235,MVT_EMPL,$F235)-$G235),SUMIFS(MVT_BRUT,MVT_LOT,$D235,MVT_EMPL,$E235)+$G235))</f>
        <v/>
      </c>
      <c r="Q235" s="26" t="str">
        <f aca="false">IF($C235="","",IF($O235=0,"DONNEES MANQUANTES",IF($C235="RECEPTION","OK",IF(AND($C235="AJUSTEMENT",$G235&gt;0),"OK",IF($P235&lt;=0,"EMPLACEMENT INCOHERENT",IF(ABS($G235)&gt;$P235+0.001,"STOCK INSUFFISANT","OK"))))))</f>
        <v/>
      </c>
      <c r="R235" s="28" t="n">
        <f aca="false">IF($Q235="OK",1,0)</f>
        <v>0</v>
      </c>
      <c r="S235" s="26" t="str">
        <f aca="false">IF($C235="","",IF($O235=0,"A COMPLETER : "&amp;IF($B235="","DATE; ","")&amp;IF($D235="","LOT INTERNE; ","")&amp;IF(NOT(ISNUMBER($G235)),"QUANTITE; ",IF(AND($C235="AJUSTEMENT",$G235=0),"QUANTITE &lt;&gt; 0; ",IF(AND($C235&lt;&gt;"AJUSTEMENT",$G235&lt;=0),"QUANTITE &gt; 0; ","")))&amp;IF(AND($C235="AJUSTEMENT",$H235=""),"MOTIF; ","")&amp;IF(AND(OR($C235="TRANSFERT",$C235="CONSOMMATION"),$E235=""),"EMPL. SOURCE; ","")&amp;IF(AND($C235&lt;&gt;"CONSOMMATION",$F235=""),"EMPL. DESTINATION; ","")&amp;IF(AND($C235="TRANSFERT",$E235&lt;&gt;"",$E235=$F235),"SOURCE = DESTINATION; ",""),IF($Q235="EMPLACEMENT INCOHERENT","Le lot "&amp;$D235&amp;" n'existe pas sur cet emplacement (stock 0). Verifier l'emplacement.",IF($Q235="STOCK INSUFFISANT","Disponible avant operation : "&amp;TEXT($P235,"#,##0.00")&amp;" kg. Ligne NON comptee en stock.",IF(COUNTIFS($B$5:$B$304,$B235,$C$5:$C$304,$C235,$D$5:$D$304,$D235,$G$5:$G$304,$G235)&gt;1,"Doublon possible (meme date, type, lot et quantite).",IF($K235="LOT NON REFERENCE","Creer d'abord la fiche du lot dans l'onglet LOTS.",""))))))</f>
        <v/>
      </c>
    </row>
    <row r="236" customFormat="false" ht="15" hidden="false" customHeight="false" outlineLevel="0" collapsed="false">
      <c r="A236" s="26" t="str">
        <f aca="false">IF($C236="","","OP-"&amp;TEXT(ROW()-4,"000"))</f>
        <v/>
      </c>
      <c r="B236" s="25"/>
      <c r="C236" s="24"/>
      <c r="D236" s="24"/>
      <c r="E236" s="24"/>
      <c r="F236" s="24"/>
      <c r="G236" s="29"/>
      <c r="H236" s="24"/>
      <c r="I236" s="24"/>
      <c r="J236" s="26" t="str">
        <f aca="false">IF($D236="","",IFERROR(INDEX(LOT_EXTE,MATCH($D236,LOT_KEY,0)),""))</f>
        <v/>
      </c>
      <c r="K236" s="26" t="str">
        <f aca="false">IF($D236="","",IFERROR(INDEX(LOT_PRODE,MATCH($D236,LOT_KEY,0)),"LOT NON REFERENCE"))</f>
        <v/>
      </c>
      <c r="L236" s="26" t="str">
        <f aca="false">IF($D236="","",IFERROR(INDEX(LOT_FOURNE,MATCH($D236,LOT_KEY,0)),""))</f>
        <v/>
      </c>
      <c r="M236" s="26" t="str">
        <f aca="false">IF($E236="","",IFERROR(INDEX(EMPL_CLASSE,MATCH($E236,EMPL_KEY,0)),"?"))</f>
        <v/>
      </c>
      <c r="N236" s="26" t="str">
        <f aca="false">IF($F236="","",IFERROR(INDEX(EMPL_CLASSE,MATCH($F236,EMPL_KEY,0)),"?"))</f>
        <v/>
      </c>
      <c r="O236" s="28" t="n">
        <f aca="false">IF($C236="",0,IF(OR($B236="",$D236=""),0,IF($C236="AJUSTEMENT",IF(OR(NOT(ISNUMBER($G236)),$G236=0,$F236="",$H236=""),0,1),IF(OR(NOT(ISNUMBER($G236)),$G236&lt;=0),0,IF($C236="RECEPTION",IF($F236="",0,1),IF($C236="CONSOMMATION",IF($E236="",0,1),IF(OR($E236="",$F236="",$E236=$F236),0,1)))))))</f>
        <v>0</v>
      </c>
      <c r="P236" s="27" t="str">
        <f aca="false">IF(OR($O236=0,$C236="RECEPTION"),"",IF($C236="AJUSTEMENT",IF($G236&gt;0,"",SUMIFS(MVT_BRUT,MVT_LOT,$D236,MVT_EMPL,$F236)-$G236),SUMIFS(MVT_BRUT,MVT_LOT,$D236,MVT_EMPL,$E236)+$G236))</f>
        <v/>
      </c>
      <c r="Q236" s="26" t="str">
        <f aca="false">IF($C236="","",IF($O236=0,"DONNEES MANQUANTES",IF($C236="RECEPTION","OK",IF(AND($C236="AJUSTEMENT",$G236&gt;0),"OK",IF($P236&lt;=0,"EMPLACEMENT INCOHERENT",IF(ABS($G236)&gt;$P236+0.001,"STOCK INSUFFISANT","OK"))))))</f>
        <v/>
      </c>
      <c r="R236" s="28" t="n">
        <f aca="false">IF($Q236="OK",1,0)</f>
        <v>0</v>
      </c>
      <c r="S236" s="26" t="str">
        <f aca="false">IF($C236="","",IF($O236=0,"A COMPLETER : "&amp;IF($B236="","DATE; ","")&amp;IF($D236="","LOT INTERNE; ","")&amp;IF(NOT(ISNUMBER($G236)),"QUANTITE; ",IF(AND($C236="AJUSTEMENT",$G236=0),"QUANTITE &lt;&gt; 0; ",IF(AND($C236&lt;&gt;"AJUSTEMENT",$G236&lt;=0),"QUANTITE &gt; 0; ","")))&amp;IF(AND($C236="AJUSTEMENT",$H236=""),"MOTIF; ","")&amp;IF(AND(OR($C236="TRANSFERT",$C236="CONSOMMATION"),$E236=""),"EMPL. SOURCE; ","")&amp;IF(AND($C236&lt;&gt;"CONSOMMATION",$F236=""),"EMPL. DESTINATION; ","")&amp;IF(AND($C236="TRANSFERT",$E236&lt;&gt;"",$E236=$F236),"SOURCE = DESTINATION; ",""),IF($Q236="EMPLACEMENT INCOHERENT","Le lot "&amp;$D236&amp;" n'existe pas sur cet emplacement (stock 0). Verifier l'emplacement.",IF($Q236="STOCK INSUFFISANT","Disponible avant operation : "&amp;TEXT($P236,"#,##0.00")&amp;" kg. Ligne NON comptee en stock.",IF(COUNTIFS($B$5:$B$304,$B236,$C$5:$C$304,$C236,$D$5:$D$304,$D236,$G$5:$G$304,$G236)&gt;1,"Doublon possible (meme date, type, lot et quantite).",IF($K236="LOT NON REFERENCE","Creer d'abord la fiche du lot dans l'onglet LOTS.",""))))))</f>
        <v/>
      </c>
    </row>
    <row r="237" customFormat="false" ht="15" hidden="false" customHeight="false" outlineLevel="0" collapsed="false">
      <c r="A237" s="26" t="str">
        <f aca="false">IF($C237="","","OP-"&amp;TEXT(ROW()-4,"000"))</f>
        <v/>
      </c>
      <c r="B237" s="25"/>
      <c r="C237" s="24"/>
      <c r="D237" s="24"/>
      <c r="E237" s="24"/>
      <c r="F237" s="24"/>
      <c r="G237" s="29"/>
      <c r="H237" s="24"/>
      <c r="I237" s="24"/>
      <c r="J237" s="26" t="str">
        <f aca="false">IF($D237="","",IFERROR(INDEX(LOT_EXTE,MATCH($D237,LOT_KEY,0)),""))</f>
        <v/>
      </c>
      <c r="K237" s="26" t="str">
        <f aca="false">IF($D237="","",IFERROR(INDEX(LOT_PRODE,MATCH($D237,LOT_KEY,0)),"LOT NON REFERENCE"))</f>
        <v/>
      </c>
      <c r="L237" s="26" t="str">
        <f aca="false">IF($D237="","",IFERROR(INDEX(LOT_FOURNE,MATCH($D237,LOT_KEY,0)),""))</f>
        <v/>
      </c>
      <c r="M237" s="26" t="str">
        <f aca="false">IF($E237="","",IFERROR(INDEX(EMPL_CLASSE,MATCH($E237,EMPL_KEY,0)),"?"))</f>
        <v/>
      </c>
      <c r="N237" s="26" t="str">
        <f aca="false">IF($F237="","",IFERROR(INDEX(EMPL_CLASSE,MATCH($F237,EMPL_KEY,0)),"?"))</f>
        <v/>
      </c>
      <c r="O237" s="28" t="n">
        <f aca="false">IF($C237="",0,IF(OR($B237="",$D237=""),0,IF($C237="AJUSTEMENT",IF(OR(NOT(ISNUMBER($G237)),$G237=0,$F237="",$H237=""),0,1),IF(OR(NOT(ISNUMBER($G237)),$G237&lt;=0),0,IF($C237="RECEPTION",IF($F237="",0,1),IF($C237="CONSOMMATION",IF($E237="",0,1),IF(OR($E237="",$F237="",$E237=$F237),0,1)))))))</f>
        <v>0</v>
      </c>
      <c r="P237" s="27" t="str">
        <f aca="false">IF(OR($O237=0,$C237="RECEPTION"),"",IF($C237="AJUSTEMENT",IF($G237&gt;0,"",SUMIFS(MVT_BRUT,MVT_LOT,$D237,MVT_EMPL,$F237)-$G237),SUMIFS(MVT_BRUT,MVT_LOT,$D237,MVT_EMPL,$E237)+$G237))</f>
        <v/>
      </c>
      <c r="Q237" s="26" t="str">
        <f aca="false">IF($C237="","",IF($O237=0,"DONNEES MANQUANTES",IF($C237="RECEPTION","OK",IF(AND($C237="AJUSTEMENT",$G237&gt;0),"OK",IF($P237&lt;=0,"EMPLACEMENT INCOHERENT",IF(ABS($G237)&gt;$P237+0.001,"STOCK INSUFFISANT","OK"))))))</f>
        <v/>
      </c>
      <c r="R237" s="28" t="n">
        <f aca="false">IF($Q237="OK",1,0)</f>
        <v>0</v>
      </c>
      <c r="S237" s="26" t="str">
        <f aca="false">IF($C237="","",IF($O237=0,"A COMPLETER : "&amp;IF($B237="","DATE; ","")&amp;IF($D237="","LOT INTERNE; ","")&amp;IF(NOT(ISNUMBER($G237)),"QUANTITE; ",IF(AND($C237="AJUSTEMENT",$G237=0),"QUANTITE &lt;&gt; 0; ",IF(AND($C237&lt;&gt;"AJUSTEMENT",$G237&lt;=0),"QUANTITE &gt; 0; ","")))&amp;IF(AND($C237="AJUSTEMENT",$H237=""),"MOTIF; ","")&amp;IF(AND(OR($C237="TRANSFERT",$C237="CONSOMMATION"),$E237=""),"EMPL. SOURCE; ","")&amp;IF(AND($C237&lt;&gt;"CONSOMMATION",$F237=""),"EMPL. DESTINATION; ","")&amp;IF(AND($C237="TRANSFERT",$E237&lt;&gt;"",$E237=$F237),"SOURCE = DESTINATION; ",""),IF($Q237="EMPLACEMENT INCOHERENT","Le lot "&amp;$D237&amp;" n'existe pas sur cet emplacement (stock 0). Verifier l'emplacement.",IF($Q237="STOCK INSUFFISANT","Disponible avant operation : "&amp;TEXT($P237,"#,##0.00")&amp;" kg. Ligne NON comptee en stock.",IF(COUNTIFS($B$5:$B$304,$B237,$C$5:$C$304,$C237,$D$5:$D$304,$D237,$G$5:$G$304,$G237)&gt;1,"Doublon possible (meme date, type, lot et quantite).",IF($K237="LOT NON REFERENCE","Creer d'abord la fiche du lot dans l'onglet LOTS.",""))))))</f>
        <v/>
      </c>
    </row>
    <row r="238" customFormat="false" ht="15" hidden="false" customHeight="false" outlineLevel="0" collapsed="false">
      <c r="A238" s="26" t="str">
        <f aca="false">IF($C238="","","OP-"&amp;TEXT(ROW()-4,"000"))</f>
        <v/>
      </c>
      <c r="B238" s="25"/>
      <c r="C238" s="24"/>
      <c r="D238" s="24"/>
      <c r="E238" s="24"/>
      <c r="F238" s="24"/>
      <c r="G238" s="29"/>
      <c r="H238" s="24"/>
      <c r="I238" s="24"/>
      <c r="J238" s="26" t="str">
        <f aca="false">IF($D238="","",IFERROR(INDEX(LOT_EXTE,MATCH($D238,LOT_KEY,0)),""))</f>
        <v/>
      </c>
      <c r="K238" s="26" t="str">
        <f aca="false">IF($D238="","",IFERROR(INDEX(LOT_PRODE,MATCH($D238,LOT_KEY,0)),"LOT NON REFERENCE"))</f>
        <v/>
      </c>
      <c r="L238" s="26" t="str">
        <f aca="false">IF($D238="","",IFERROR(INDEX(LOT_FOURNE,MATCH($D238,LOT_KEY,0)),""))</f>
        <v/>
      </c>
      <c r="M238" s="26" t="str">
        <f aca="false">IF($E238="","",IFERROR(INDEX(EMPL_CLASSE,MATCH($E238,EMPL_KEY,0)),"?"))</f>
        <v/>
      </c>
      <c r="N238" s="26" t="str">
        <f aca="false">IF($F238="","",IFERROR(INDEX(EMPL_CLASSE,MATCH($F238,EMPL_KEY,0)),"?"))</f>
        <v/>
      </c>
      <c r="O238" s="28" t="n">
        <f aca="false">IF($C238="",0,IF(OR($B238="",$D238=""),0,IF($C238="AJUSTEMENT",IF(OR(NOT(ISNUMBER($G238)),$G238=0,$F238="",$H238=""),0,1),IF(OR(NOT(ISNUMBER($G238)),$G238&lt;=0),0,IF($C238="RECEPTION",IF($F238="",0,1),IF($C238="CONSOMMATION",IF($E238="",0,1),IF(OR($E238="",$F238="",$E238=$F238),0,1)))))))</f>
        <v>0</v>
      </c>
      <c r="P238" s="27" t="str">
        <f aca="false">IF(OR($O238=0,$C238="RECEPTION"),"",IF($C238="AJUSTEMENT",IF($G238&gt;0,"",SUMIFS(MVT_BRUT,MVT_LOT,$D238,MVT_EMPL,$F238)-$G238),SUMIFS(MVT_BRUT,MVT_LOT,$D238,MVT_EMPL,$E238)+$G238))</f>
        <v/>
      </c>
      <c r="Q238" s="26" t="str">
        <f aca="false">IF($C238="","",IF($O238=0,"DONNEES MANQUANTES",IF($C238="RECEPTION","OK",IF(AND($C238="AJUSTEMENT",$G238&gt;0),"OK",IF($P238&lt;=0,"EMPLACEMENT INCOHERENT",IF(ABS($G238)&gt;$P238+0.001,"STOCK INSUFFISANT","OK"))))))</f>
        <v/>
      </c>
      <c r="R238" s="28" t="n">
        <f aca="false">IF($Q238="OK",1,0)</f>
        <v>0</v>
      </c>
      <c r="S238" s="26" t="str">
        <f aca="false">IF($C238="","",IF($O238=0,"A COMPLETER : "&amp;IF($B238="","DATE; ","")&amp;IF($D238="","LOT INTERNE; ","")&amp;IF(NOT(ISNUMBER($G238)),"QUANTITE; ",IF(AND($C238="AJUSTEMENT",$G238=0),"QUANTITE &lt;&gt; 0; ",IF(AND($C238&lt;&gt;"AJUSTEMENT",$G238&lt;=0),"QUANTITE &gt; 0; ","")))&amp;IF(AND($C238="AJUSTEMENT",$H238=""),"MOTIF; ","")&amp;IF(AND(OR($C238="TRANSFERT",$C238="CONSOMMATION"),$E238=""),"EMPL. SOURCE; ","")&amp;IF(AND($C238&lt;&gt;"CONSOMMATION",$F238=""),"EMPL. DESTINATION; ","")&amp;IF(AND($C238="TRANSFERT",$E238&lt;&gt;"",$E238=$F238),"SOURCE = DESTINATION; ",""),IF($Q238="EMPLACEMENT INCOHERENT","Le lot "&amp;$D238&amp;" n'existe pas sur cet emplacement (stock 0). Verifier l'emplacement.",IF($Q238="STOCK INSUFFISANT","Disponible avant operation : "&amp;TEXT($P238,"#,##0.00")&amp;" kg. Ligne NON comptee en stock.",IF(COUNTIFS($B$5:$B$304,$B238,$C$5:$C$304,$C238,$D$5:$D$304,$D238,$G$5:$G$304,$G238)&gt;1,"Doublon possible (meme date, type, lot et quantite).",IF($K238="LOT NON REFERENCE","Creer d'abord la fiche du lot dans l'onglet LOTS.",""))))))</f>
        <v/>
      </c>
    </row>
    <row r="239" customFormat="false" ht="15" hidden="false" customHeight="false" outlineLevel="0" collapsed="false">
      <c r="A239" s="26" t="str">
        <f aca="false">IF($C239="","","OP-"&amp;TEXT(ROW()-4,"000"))</f>
        <v/>
      </c>
      <c r="B239" s="25"/>
      <c r="C239" s="24"/>
      <c r="D239" s="24"/>
      <c r="E239" s="24"/>
      <c r="F239" s="24"/>
      <c r="G239" s="29"/>
      <c r="H239" s="24"/>
      <c r="I239" s="24"/>
      <c r="J239" s="26" t="str">
        <f aca="false">IF($D239="","",IFERROR(INDEX(LOT_EXTE,MATCH($D239,LOT_KEY,0)),""))</f>
        <v/>
      </c>
      <c r="K239" s="26" t="str">
        <f aca="false">IF($D239="","",IFERROR(INDEX(LOT_PRODE,MATCH($D239,LOT_KEY,0)),"LOT NON REFERENCE"))</f>
        <v/>
      </c>
      <c r="L239" s="26" t="str">
        <f aca="false">IF($D239="","",IFERROR(INDEX(LOT_FOURNE,MATCH($D239,LOT_KEY,0)),""))</f>
        <v/>
      </c>
      <c r="M239" s="26" t="str">
        <f aca="false">IF($E239="","",IFERROR(INDEX(EMPL_CLASSE,MATCH($E239,EMPL_KEY,0)),"?"))</f>
        <v/>
      </c>
      <c r="N239" s="26" t="str">
        <f aca="false">IF($F239="","",IFERROR(INDEX(EMPL_CLASSE,MATCH($F239,EMPL_KEY,0)),"?"))</f>
        <v/>
      </c>
      <c r="O239" s="28" t="n">
        <f aca="false">IF($C239="",0,IF(OR($B239="",$D239=""),0,IF($C239="AJUSTEMENT",IF(OR(NOT(ISNUMBER($G239)),$G239=0,$F239="",$H239=""),0,1),IF(OR(NOT(ISNUMBER($G239)),$G239&lt;=0),0,IF($C239="RECEPTION",IF($F239="",0,1),IF($C239="CONSOMMATION",IF($E239="",0,1),IF(OR($E239="",$F239="",$E239=$F239),0,1)))))))</f>
        <v>0</v>
      </c>
      <c r="P239" s="27" t="str">
        <f aca="false">IF(OR($O239=0,$C239="RECEPTION"),"",IF($C239="AJUSTEMENT",IF($G239&gt;0,"",SUMIFS(MVT_BRUT,MVT_LOT,$D239,MVT_EMPL,$F239)-$G239),SUMIFS(MVT_BRUT,MVT_LOT,$D239,MVT_EMPL,$E239)+$G239))</f>
        <v/>
      </c>
      <c r="Q239" s="26" t="str">
        <f aca="false">IF($C239="","",IF($O239=0,"DONNEES MANQUANTES",IF($C239="RECEPTION","OK",IF(AND($C239="AJUSTEMENT",$G239&gt;0),"OK",IF($P239&lt;=0,"EMPLACEMENT INCOHERENT",IF(ABS($G239)&gt;$P239+0.001,"STOCK INSUFFISANT","OK"))))))</f>
        <v/>
      </c>
      <c r="R239" s="28" t="n">
        <f aca="false">IF($Q239="OK",1,0)</f>
        <v>0</v>
      </c>
      <c r="S239" s="26" t="str">
        <f aca="false">IF($C239="","",IF($O239=0,"A COMPLETER : "&amp;IF($B239="","DATE; ","")&amp;IF($D239="","LOT INTERNE; ","")&amp;IF(NOT(ISNUMBER($G239)),"QUANTITE; ",IF(AND($C239="AJUSTEMENT",$G239=0),"QUANTITE &lt;&gt; 0; ",IF(AND($C239&lt;&gt;"AJUSTEMENT",$G239&lt;=0),"QUANTITE &gt; 0; ","")))&amp;IF(AND($C239="AJUSTEMENT",$H239=""),"MOTIF; ","")&amp;IF(AND(OR($C239="TRANSFERT",$C239="CONSOMMATION"),$E239=""),"EMPL. SOURCE; ","")&amp;IF(AND($C239&lt;&gt;"CONSOMMATION",$F239=""),"EMPL. DESTINATION; ","")&amp;IF(AND($C239="TRANSFERT",$E239&lt;&gt;"",$E239=$F239),"SOURCE = DESTINATION; ",""),IF($Q239="EMPLACEMENT INCOHERENT","Le lot "&amp;$D239&amp;" n'existe pas sur cet emplacement (stock 0). Verifier l'emplacement.",IF($Q239="STOCK INSUFFISANT","Disponible avant operation : "&amp;TEXT($P239,"#,##0.00")&amp;" kg. Ligne NON comptee en stock.",IF(COUNTIFS($B$5:$B$304,$B239,$C$5:$C$304,$C239,$D$5:$D$304,$D239,$G$5:$G$304,$G239)&gt;1,"Doublon possible (meme date, type, lot et quantite).",IF($K239="LOT NON REFERENCE","Creer d'abord la fiche du lot dans l'onglet LOTS.",""))))))</f>
        <v/>
      </c>
    </row>
    <row r="240" customFormat="false" ht="15" hidden="false" customHeight="false" outlineLevel="0" collapsed="false">
      <c r="A240" s="26" t="str">
        <f aca="false">IF($C240="","","OP-"&amp;TEXT(ROW()-4,"000"))</f>
        <v/>
      </c>
      <c r="B240" s="25"/>
      <c r="C240" s="24"/>
      <c r="D240" s="24"/>
      <c r="E240" s="24"/>
      <c r="F240" s="24"/>
      <c r="G240" s="29"/>
      <c r="H240" s="24"/>
      <c r="I240" s="24"/>
      <c r="J240" s="26" t="str">
        <f aca="false">IF($D240="","",IFERROR(INDEX(LOT_EXTE,MATCH($D240,LOT_KEY,0)),""))</f>
        <v/>
      </c>
      <c r="K240" s="26" t="str">
        <f aca="false">IF($D240="","",IFERROR(INDEX(LOT_PRODE,MATCH($D240,LOT_KEY,0)),"LOT NON REFERENCE"))</f>
        <v/>
      </c>
      <c r="L240" s="26" t="str">
        <f aca="false">IF($D240="","",IFERROR(INDEX(LOT_FOURNE,MATCH($D240,LOT_KEY,0)),""))</f>
        <v/>
      </c>
      <c r="M240" s="26" t="str">
        <f aca="false">IF($E240="","",IFERROR(INDEX(EMPL_CLASSE,MATCH($E240,EMPL_KEY,0)),"?"))</f>
        <v/>
      </c>
      <c r="N240" s="26" t="str">
        <f aca="false">IF($F240="","",IFERROR(INDEX(EMPL_CLASSE,MATCH($F240,EMPL_KEY,0)),"?"))</f>
        <v/>
      </c>
      <c r="O240" s="28" t="n">
        <f aca="false">IF($C240="",0,IF(OR($B240="",$D240=""),0,IF($C240="AJUSTEMENT",IF(OR(NOT(ISNUMBER($G240)),$G240=0,$F240="",$H240=""),0,1),IF(OR(NOT(ISNUMBER($G240)),$G240&lt;=0),0,IF($C240="RECEPTION",IF($F240="",0,1),IF($C240="CONSOMMATION",IF($E240="",0,1),IF(OR($E240="",$F240="",$E240=$F240),0,1)))))))</f>
        <v>0</v>
      </c>
      <c r="P240" s="27" t="str">
        <f aca="false">IF(OR($O240=0,$C240="RECEPTION"),"",IF($C240="AJUSTEMENT",IF($G240&gt;0,"",SUMIFS(MVT_BRUT,MVT_LOT,$D240,MVT_EMPL,$F240)-$G240),SUMIFS(MVT_BRUT,MVT_LOT,$D240,MVT_EMPL,$E240)+$G240))</f>
        <v/>
      </c>
      <c r="Q240" s="26" t="str">
        <f aca="false">IF($C240="","",IF($O240=0,"DONNEES MANQUANTES",IF($C240="RECEPTION","OK",IF(AND($C240="AJUSTEMENT",$G240&gt;0),"OK",IF($P240&lt;=0,"EMPLACEMENT INCOHERENT",IF(ABS($G240)&gt;$P240+0.001,"STOCK INSUFFISANT","OK"))))))</f>
        <v/>
      </c>
      <c r="R240" s="28" t="n">
        <f aca="false">IF($Q240="OK",1,0)</f>
        <v>0</v>
      </c>
      <c r="S240" s="26" t="str">
        <f aca="false">IF($C240="","",IF($O240=0,"A COMPLETER : "&amp;IF($B240="","DATE; ","")&amp;IF($D240="","LOT INTERNE; ","")&amp;IF(NOT(ISNUMBER($G240)),"QUANTITE; ",IF(AND($C240="AJUSTEMENT",$G240=0),"QUANTITE &lt;&gt; 0; ",IF(AND($C240&lt;&gt;"AJUSTEMENT",$G240&lt;=0),"QUANTITE &gt; 0; ","")))&amp;IF(AND($C240="AJUSTEMENT",$H240=""),"MOTIF; ","")&amp;IF(AND(OR($C240="TRANSFERT",$C240="CONSOMMATION"),$E240=""),"EMPL. SOURCE; ","")&amp;IF(AND($C240&lt;&gt;"CONSOMMATION",$F240=""),"EMPL. DESTINATION; ","")&amp;IF(AND($C240="TRANSFERT",$E240&lt;&gt;"",$E240=$F240),"SOURCE = DESTINATION; ",""),IF($Q240="EMPLACEMENT INCOHERENT","Le lot "&amp;$D240&amp;" n'existe pas sur cet emplacement (stock 0). Verifier l'emplacement.",IF($Q240="STOCK INSUFFISANT","Disponible avant operation : "&amp;TEXT($P240,"#,##0.00")&amp;" kg. Ligne NON comptee en stock.",IF(COUNTIFS($B$5:$B$304,$B240,$C$5:$C$304,$C240,$D$5:$D$304,$D240,$G$5:$G$304,$G240)&gt;1,"Doublon possible (meme date, type, lot et quantite).",IF($K240="LOT NON REFERENCE","Creer d'abord la fiche du lot dans l'onglet LOTS.",""))))))</f>
        <v/>
      </c>
    </row>
    <row r="241" customFormat="false" ht="15" hidden="false" customHeight="false" outlineLevel="0" collapsed="false">
      <c r="A241" s="26" t="str">
        <f aca="false">IF($C241="","","OP-"&amp;TEXT(ROW()-4,"000"))</f>
        <v/>
      </c>
      <c r="B241" s="25"/>
      <c r="C241" s="24"/>
      <c r="D241" s="24"/>
      <c r="E241" s="24"/>
      <c r="F241" s="24"/>
      <c r="G241" s="29"/>
      <c r="H241" s="24"/>
      <c r="I241" s="24"/>
      <c r="J241" s="26" t="str">
        <f aca="false">IF($D241="","",IFERROR(INDEX(LOT_EXTE,MATCH($D241,LOT_KEY,0)),""))</f>
        <v/>
      </c>
      <c r="K241" s="26" t="str">
        <f aca="false">IF($D241="","",IFERROR(INDEX(LOT_PRODE,MATCH($D241,LOT_KEY,0)),"LOT NON REFERENCE"))</f>
        <v/>
      </c>
      <c r="L241" s="26" t="str">
        <f aca="false">IF($D241="","",IFERROR(INDEX(LOT_FOURNE,MATCH($D241,LOT_KEY,0)),""))</f>
        <v/>
      </c>
      <c r="M241" s="26" t="str">
        <f aca="false">IF($E241="","",IFERROR(INDEX(EMPL_CLASSE,MATCH($E241,EMPL_KEY,0)),"?"))</f>
        <v/>
      </c>
      <c r="N241" s="26" t="str">
        <f aca="false">IF($F241="","",IFERROR(INDEX(EMPL_CLASSE,MATCH($F241,EMPL_KEY,0)),"?"))</f>
        <v/>
      </c>
      <c r="O241" s="28" t="n">
        <f aca="false">IF($C241="",0,IF(OR($B241="",$D241=""),0,IF($C241="AJUSTEMENT",IF(OR(NOT(ISNUMBER($G241)),$G241=0,$F241="",$H241=""),0,1),IF(OR(NOT(ISNUMBER($G241)),$G241&lt;=0),0,IF($C241="RECEPTION",IF($F241="",0,1),IF($C241="CONSOMMATION",IF($E241="",0,1),IF(OR($E241="",$F241="",$E241=$F241),0,1)))))))</f>
        <v>0</v>
      </c>
      <c r="P241" s="27" t="str">
        <f aca="false">IF(OR($O241=0,$C241="RECEPTION"),"",IF($C241="AJUSTEMENT",IF($G241&gt;0,"",SUMIFS(MVT_BRUT,MVT_LOT,$D241,MVT_EMPL,$F241)-$G241),SUMIFS(MVT_BRUT,MVT_LOT,$D241,MVT_EMPL,$E241)+$G241))</f>
        <v/>
      </c>
      <c r="Q241" s="26" t="str">
        <f aca="false">IF($C241="","",IF($O241=0,"DONNEES MANQUANTES",IF($C241="RECEPTION","OK",IF(AND($C241="AJUSTEMENT",$G241&gt;0),"OK",IF($P241&lt;=0,"EMPLACEMENT INCOHERENT",IF(ABS($G241)&gt;$P241+0.001,"STOCK INSUFFISANT","OK"))))))</f>
        <v/>
      </c>
      <c r="R241" s="28" t="n">
        <f aca="false">IF($Q241="OK",1,0)</f>
        <v>0</v>
      </c>
      <c r="S241" s="26" t="str">
        <f aca="false">IF($C241="","",IF($O241=0,"A COMPLETER : "&amp;IF($B241="","DATE; ","")&amp;IF($D241="","LOT INTERNE; ","")&amp;IF(NOT(ISNUMBER($G241)),"QUANTITE; ",IF(AND($C241="AJUSTEMENT",$G241=0),"QUANTITE &lt;&gt; 0; ",IF(AND($C241&lt;&gt;"AJUSTEMENT",$G241&lt;=0),"QUANTITE &gt; 0; ","")))&amp;IF(AND($C241="AJUSTEMENT",$H241=""),"MOTIF; ","")&amp;IF(AND(OR($C241="TRANSFERT",$C241="CONSOMMATION"),$E241=""),"EMPL. SOURCE; ","")&amp;IF(AND($C241&lt;&gt;"CONSOMMATION",$F241=""),"EMPL. DESTINATION; ","")&amp;IF(AND($C241="TRANSFERT",$E241&lt;&gt;"",$E241=$F241),"SOURCE = DESTINATION; ",""),IF($Q241="EMPLACEMENT INCOHERENT","Le lot "&amp;$D241&amp;" n'existe pas sur cet emplacement (stock 0). Verifier l'emplacement.",IF($Q241="STOCK INSUFFISANT","Disponible avant operation : "&amp;TEXT($P241,"#,##0.00")&amp;" kg. Ligne NON comptee en stock.",IF(COUNTIFS($B$5:$B$304,$B241,$C$5:$C$304,$C241,$D$5:$D$304,$D241,$G$5:$G$304,$G241)&gt;1,"Doublon possible (meme date, type, lot et quantite).",IF($K241="LOT NON REFERENCE","Creer d'abord la fiche du lot dans l'onglet LOTS.",""))))))</f>
        <v/>
      </c>
    </row>
    <row r="242" customFormat="false" ht="15" hidden="false" customHeight="false" outlineLevel="0" collapsed="false">
      <c r="A242" s="26" t="str">
        <f aca="false">IF($C242="","","OP-"&amp;TEXT(ROW()-4,"000"))</f>
        <v/>
      </c>
      <c r="B242" s="25"/>
      <c r="C242" s="24"/>
      <c r="D242" s="24"/>
      <c r="E242" s="24"/>
      <c r="F242" s="24"/>
      <c r="G242" s="29"/>
      <c r="H242" s="24"/>
      <c r="I242" s="24"/>
      <c r="J242" s="26" t="str">
        <f aca="false">IF($D242="","",IFERROR(INDEX(LOT_EXTE,MATCH($D242,LOT_KEY,0)),""))</f>
        <v/>
      </c>
      <c r="K242" s="26" t="str">
        <f aca="false">IF($D242="","",IFERROR(INDEX(LOT_PRODE,MATCH($D242,LOT_KEY,0)),"LOT NON REFERENCE"))</f>
        <v/>
      </c>
      <c r="L242" s="26" t="str">
        <f aca="false">IF($D242="","",IFERROR(INDEX(LOT_FOURNE,MATCH($D242,LOT_KEY,0)),""))</f>
        <v/>
      </c>
      <c r="M242" s="26" t="str">
        <f aca="false">IF($E242="","",IFERROR(INDEX(EMPL_CLASSE,MATCH($E242,EMPL_KEY,0)),"?"))</f>
        <v/>
      </c>
      <c r="N242" s="26" t="str">
        <f aca="false">IF($F242="","",IFERROR(INDEX(EMPL_CLASSE,MATCH($F242,EMPL_KEY,0)),"?"))</f>
        <v/>
      </c>
      <c r="O242" s="28" t="n">
        <f aca="false">IF($C242="",0,IF(OR($B242="",$D242=""),0,IF($C242="AJUSTEMENT",IF(OR(NOT(ISNUMBER($G242)),$G242=0,$F242="",$H242=""),0,1),IF(OR(NOT(ISNUMBER($G242)),$G242&lt;=0),0,IF($C242="RECEPTION",IF($F242="",0,1),IF($C242="CONSOMMATION",IF($E242="",0,1),IF(OR($E242="",$F242="",$E242=$F242),0,1)))))))</f>
        <v>0</v>
      </c>
      <c r="P242" s="27" t="str">
        <f aca="false">IF(OR($O242=0,$C242="RECEPTION"),"",IF($C242="AJUSTEMENT",IF($G242&gt;0,"",SUMIFS(MVT_BRUT,MVT_LOT,$D242,MVT_EMPL,$F242)-$G242),SUMIFS(MVT_BRUT,MVT_LOT,$D242,MVT_EMPL,$E242)+$G242))</f>
        <v/>
      </c>
      <c r="Q242" s="26" t="str">
        <f aca="false">IF($C242="","",IF($O242=0,"DONNEES MANQUANTES",IF($C242="RECEPTION","OK",IF(AND($C242="AJUSTEMENT",$G242&gt;0),"OK",IF($P242&lt;=0,"EMPLACEMENT INCOHERENT",IF(ABS($G242)&gt;$P242+0.001,"STOCK INSUFFISANT","OK"))))))</f>
        <v/>
      </c>
      <c r="R242" s="28" t="n">
        <f aca="false">IF($Q242="OK",1,0)</f>
        <v>0</v>
      </c>
      <c r="S242" s="26" t="str">
        <f aca="false">IF($C242="","",IF($O242=0,"A COMPLETER : "&amp;IF($B242="","DATE; ","")&amp;IF($D242="","LOT INTERNE; ","")&amp;IF(NOT(ISNUMBER($G242)),"QUANTITE; ",IF(AND($C242="AJUSTEMENT",$G242=0),"QUANTITE &lt;&gt; 0; ",IF(AND($C242&lt;&gt;"AJUSTEMENT",$G242&lt;=0),"QUANTITE &gt; 0; ","")))&amp;IF(AND($C242="AJUSTEMENT",$H242=""),"MOTIF; ","")&amp;IF(AND(OR($C242="TRANSFERT",$C242="CONSOMMATION"),$E242=""),"EMPL. SOURCE; ","")&amp;IF(AND($C242&lt;&gt;"CONSOMMATION",$F242=""),"EMPL. DESTINATION; ","")&amp;IF(AND($C242="TRANSFERT",$E242&lt;&gt;"",$E242=$F242),"SOURCE = DESTINATION; ",""),IF($Q242="EMPLACEMENT INCOHERENT","Le lot "&amp;$D242&amp;" n'existe pas sur cet emplacement (stock 0). Verifier l'emplacement.",IF($Q242="STOCK INSUFFISANT","Disponible avant operation : "&amp;TEXT($P242,"#,##0.00")&amp;" kg. Ligne NON comptee en stock.",IF(COUNTIFS($B$5:$B$304,$B242,$C$5:$C$304,$C242,$D$5:$D$304,$D242,$G$5:$G$304,$G242)&gt;1,"Doublon possible (meme date, type, lot et quantite).",IF($K242="LOT NON REFERENCE","Creer d'abord la fiche du lot dans l'onglet LOTS.",""))))))</f>
        <v/>
      </c>
    </row>
    <row r="243" customFormat="false" ht="15" hidden="false" customHeight="false" outlineLevel="0" collapsed="false">
      <c r="A243" s="26" t="str">
        <f aca="false">IF($C243="","","OP-"&amp;TEXT(ROW()-4,"000"))</f>
        <v/>
      </c>
      <c r="B243" s="25"/>
      <c r="C243" s="24"/>
      <c r="D243" s="24"/>
      <c r="E243" s="24"/>
      <c r="F243" s="24"/>
      <c r="G243" s="29"/>
      <c r="H243" s="24"/>
      <c r="I243" s="24"/>
      <c r="J243" s="26" t="str">
        <f aca="false">IF($D243="","",IFERROR(INDEX(LOT_EXTE,MATCH($D243,LOT_KEY,0)),""))</f>
        <v/>
      </c>
      <c r="K243" s="26" t="str">
        <f aca="false">IF($D243="","",IFERROR(INDEX(LOT_PRODE,MATCH($D243,LOT_KEY,0)),"LOT NON REFERENCE"))</f>
        <v/>
      </c>
      <c r="L243" s="26" t="str">
        <f aca="false">IF($D243="","",IFERROR(INDEX(LOT_FOURNE,MATCH($D243,LOT_KEY,0)),""))</f>
        <v/>
      </c>
      <c r="M243" s="26" t="str">
        <f aca="false">IF($E243="","",IFERROR(INDEX(EMPL_CLASSE,MATCH($E243,EMPL_KEY,0)),"?"))</f>
        <v/>
      </c>
      <c r="N243" s="26" t="str">
        <f aca="false">IF($F243="","",IFERROR(INDEX(EMPL_CLASSE,MATCH($F243,EMPL_KEY,0)),"?"))</f>
        <v/>
      </c>
      <c r="O243" s="28" t="n">
        <f aca="false">IF($C243="",0,IF(OR($B243="",$D243=""),0,IF($C243="AJUSTEMENT",IF(OR(NOT(ISNUMBER($G243)),$G243=0,$F243="",$H243=""),0,1),IF(OR(NOT(ISNUMBER($G243)),$G243&lt;=0),0,IF($C243="RECEPTION",IF($F243="",0,1),IF($C243="CONSOMMATION",IF($E243="",0,1),IF(OR($E243="",$F243="",$E243=$F243),0,1)))))))</f>
        <v>0</v>
      </c>
      <c r="P243" s="27" t="str">
        <f aca="false">IF(OR($O243=0,$C243="RECEPTION"),"",IF($C243="AJUSTEMENT",IF($G243&gt;0,"",SUMIFS(MVT_BRUT,MVT_LOT,$D243,MVT_EMPL,$F243)-$G243),SUMIFS(MVT_BRUT,MVT_LOT,$D243,MVT_EMPL,$E243)+$G243))</f>
        <v/>
      </c>
      <c r="Q243" s="26" t="str">
        <f aca="false">IF($C243="","",IF($O243=0,"DONNEES MANQUANTES",IF($C243="RECEPTION","OK",IF(AND($C243="AJUSTEMENT",$G243&gt;0),"OK",IF($P243&lt;=0,"EMPLACEMENT INCOHERENT",IF(ABS($G243)&gt;$P243+0.001,"STOCK INSUFFISANT","OK"))))))</f>
        <v/>
      </c>
      <c r="R243" s="28" t="n">
        <f aca="false">IF($Q243="OK",1,0)</f>
        <v>0</v>
      </c>
      <c r="S243" s="26" t="str">
        <f aca="false">IF($C243="","",IF($O243=0,"A COMPLETER : "&amp;IF($B243="","DATE; ","")&amp;IF($D243="","LOT INTERNE; ","")&amp;IF(NOT(ISNUMBER($G243)),"QUANTITE; ",IF(AND($C243="AJUSTEMENT",$G243=0),"QUANTITE &lt;&gt; 0; ",IF(AND($C243&lt;&gt;"AJUSTEMENT",$G243&lt;=0),"QUANTITE &gt; 0; ","")))&amp;IF(AND($C243="AJUSTEMENT",$H243=""),"MOTIF; ","")&amp;IF(AND(OR($C243="TRANSFERT",$C243="CONSOMMATION"),$E243=""),"EMPL. SOURCE; ","")&amp;IF(AND($C243&lt;&gt;"CONSOMMATION",$F243=""),"EMPL. DESTINATION; ","")&amp;IF(AND($C243="TRANSFERT",$E243&lt;&gt;"",$E243=$F243),"SOURCE = DESTINATION; ",""),IF($Q243="EMPLACEMENT INCOHERENT","Le lot "&amp;$D243&amp;" n'existe pas sur cet emplacement (stock 0). Verifier l'emplacement.",IF($Q243="STOCK INSUFFISANT","Disponible avant operation : "&amp;TEXT($P243,"#,##0.00")&amp;" kg. Ligne NON comptee en stock.",IF(COUNTIFS($B$5:$B$304,$B243,$C$5:$C$304,$C243,$D$5:$D$304,$D243,$G$5:$G$304,$G243)&gt;1,"Doublon possible (meme date, type, lot et quantite).",IF($K243="LOT NON REFERENCE","Creer d'abord la fiche du lot dans l'onglet LOTS.",""))))))</f>
        <v/>
      </c>
    </row>
    <row r="244" customFormat="false" ht="15" hidden="false" customHeight="false" outlineLevel="0" collapsed="false">
      <c r="A244" s="26" t="str">
        <f aca="false">IF($C244="","","OP-"&amp;TEXT(ROW()-4,"000"))</f>
        <v/>
      </c>
      <c r="B244" s="25"/>
      <c r="C244" s="24"/>
      <c r="D244" s="24"/>
      <c r="E244" s="24"/>
      <c r="F244" s="24"/>
      <c r="G244" s="29"/>
      <c r="H244" s="24"/>
      <c r="I244" s="24"/>
      <c r="J244" s="26" t="str">
        <f aca="false">IF($D244="","",IFERROR(INDEX(LOT_EXTE,MATCH($D244,LOT_KEY,0)),""))</f>
        <v/>
      </c>
      <c r="K244" s="26" t="str">
        <f aca="false">IF($D244="","",IFERROR(INDEX(LOT_PRODE,MATCH($D244,LOT_KEY,0)),"LOT NON REFERENCE"))</f>
        <v/>
      </c>
      <c r="L244" s="26" t="str">
        <f aca="false">IF($D244="","",IFERROR(INDEX(LOT_FOURNE,MATCH($D244,LOT_KEY,0)),""))</f>
        <v/>
      </c>
      <c r="M244" s="26" t="str">
        <f aca="false">IF($E244="","",IFERROR(INDEX(EMPL_CLASSE,MATCH($E244,EMPL_KEY,0)),"?"))</f>
        <v/>
      </c>
      <c r="N244" s="26" t="str">
        <f aca="false">IF($F244="","",IFERROR(INDEX(EMPL_CLASSE,MATCH($F244,EMPL_KEY,0)),"?"))</f>
        <v/>
      </c>
      <c r="O244" s="28" t="n">
        <f aca="false">IF($C244="",0,IF(OR($B244="",$D244=""),0,IF($C244="AJUSTEMENT",IF(OR(NOT(ISNUMBER($G244)),$G244=0,$F244="",$H244=""),0,1),IF(OR(NOT(ISNUMBER($G244)),$G244&lt;=0),0,IF($C244="RECEPTION",IF($F244="",0,1),IF($C244="CONSOMMATION",IF($E244="",0,1),IF(OR($E244="",$F244="",$E244=$F244),0,1)))))))</f>
        <v>0</v>
      </c>
      <c r="P244" s="27" t="str">
        <f aca="false">IF(OR($O244=0,$C244="RECEPTION"),"",IF($C244="AJUSTEMENT",IF($G244&gt;0,"",SUMIFS(MVT_BRUT,MVT_LOT,$D244,MVT_EMPL,$F244)-$G244),SUMIFS(MVT_BRUT,MVT_LOT,$D244,MVT_EMPL,$E244)+$G244))</f>
        <v/>
      </c>
      <c r="Q244" s="26" t="str">
        <f aca="false">IF($C244="","",IF($O244=0,"DONNEES MANQUANTES",IF($C244="RECEPTION","OK",IF(AND($C244="AJUSTEMENT",$G244&gt;0),"OK",IF($P244&lt;=0,"EMPLACEMENT INCOHERENT",IF(ABS($G244)&gt;$P244+0.001,"STOCK INSUFFISANT","OK"))))))</f>
        <v/>
      </c>
      <c r="R244" s="28" t="n">
        <f aca="false">IF($Q244="OK",1,0)</f>
        <v>0</v>
      </c>
      <c r="S244" s="26" t="str">
        <f aca="false">IF($C244="","",IF($O244=0,"A COMPLETER : "&amp;IF($B244="","DATE; ","")&amp;IF($D244="","LOT INTERNE; ","")&amp;IF(NOT(ISNUMBER($G244)),"QUANTITE; ",IF(AND($C244="AJUSTEMENT",$G244=0),"QUANTITE &lt;&gt; 0; ",IF(AND($C244&lt;&gt;"AJUSTEMENT",$G244&lt;=0),"QUANTITE &gt; 0; ","")))&amp;IF(AND($C244="AJUSTEMENT",$H244=""),"MOTIF; ","")&amp;IF(AND(OR($C244="TRANSFERT",$C244="CONSOMMATION"),$E244=""),"EMPL. SOURCE; ","")&amp;IF(AND($C244&lt;&gt;"CONSOMMATION",$F244=""),"EMPL. DESTINATION; ","")&amp;IF(AND($C244="TRANSFERT",$E244&lt;&gt;"",$E244=$F244),"SOURCE = DESTINATION; ",""),IF($Q244="EMPLACEMENT INCOHERENT","Le lot "&amp;$D244&amp;" n'existe pas sur cet emplacement (stock 0). Verifier l'emplacement.",IF($Q244="STOCK INSUFFISANT","Disponible avant operation : "&amp;TEXT($P244,"#,##0.00")&amp;" kg. Ligne NON comptee en stock.",IF(COUNTIFS($B$5:$B$304,$B244,$C$5:$C$304,$C244,$D$5:$D$304,$D244,$G$5:$G$304,$G244)&gt;1,"Doublon possible (meme date, type, lot et quantite).",IF($K244="LOT NON REFERENCE","Creer d'abord la fiche du lot dans l'onglet LOTS.",""))))))</f>
        <v/>
      </c>
    </row>
    <row r="245" customFormat="false" ht="15" hidden="false" customHeight="false" outlineLevel="0" collapsed="false">
      <c r="A245" s="26" t="str">
        <f aca="false">IF($C245="","","OP-"&amp;TEXT(ROW()-4,"000"))</f>
        <v/>
      </c>
      <c r="B245" s="25"/>
      <c r="C245" s="24"/>
      <c r="D245" s="24"/>
      <c r="E245" s="24"/>
      <c r="F245" s="24"/>
      <c r="G245" s="29"/>
      <c r="H245" s="24"/>
      <c r="I245" s="24"/>
      <c r="J245" s="26" t="str">
        <f aca="false">IF($D245="","",IFERROR(INDEX(LOT_EXTE,MATCH($D245,LOT_KEY,0)),""))</f>
        <v/>
      </c>
      <c r="K245" s="26" t="str">
        <f aca="false">IF($D245="","",IFERROR(INDEX(LOT_PRODE,MATCH($D245,LOT_KEY,0)),"LOT NON REFERENCE"))</f>
        <v/>
      </c>
      <c r="L245" s="26" t="str">
        <f aca="false">IF($D245="","",IFERROR(INDEX(LOT_FOURNE,MATCH($D245,LOT_KEY,0)),""))</f>
        <v/>
      </c>
      <c r="M245" s="26" t="str">
        <f aca="false">IF($E245="","",IFERROR(INDEX(EMPL_CLASSE,MATCH($E245,EMPL_KEY,0)),"?"))</f>
        <v/>
      </c>
      <c r="N245" s="26" t="str">
        <f aca="false">IF($F245="","",IFERROR(INDEX(EMPL_CLASSE,MATCH($F245,EMPL_KEY,0)),"?"))</f>
        <v/>
      </c>
      <c r="O245" s="28" t="n">
        <f aca="false">IF($C245="",0,IF(OR($B245="",$D245=""),0,IF($C245="AJUSTEMENT",IF(OR(NOT(ISNUMBER($G245)),$G245=0,$F245="",$H245=""),0,1),IF(OR(NOT(ISNUMBER($G245)),$G245&lt;=0),0,IF($C245="RECEPTION",IF($F245="",0,1),IF($C245="CONSOMMATION",IF($E245="",0,1),IF(OR($E245="",$F245="",$E245=$F245),0,1)))))))</f>
        <v>0</v>
      </c>
      <c r="P245" s="27" t="str">
        <f aca="false">IF(OR($O245=0,$C245="RECEPTION"),"",IF($C245="AJUSTEMENT",IF($G245&gt;0,"",SUMIFS(MVT_BRUT,MVT_LOT,$D245,MVT_EMPL,$F245)-$G245),SUMIFS(MVT_BRUT,MVT_LOT,$D245,MVT_EMPL,$E245)+$G245))</f>
        <v/>
      </c>
      <c r="Q245" s="26" t="str">
        <f aca="false">IF($C245="","",IF($O245=0,"DONNEES MANQUANTES",IF($C245="RECEPTION","OK",IF(AND($C245="AJUSTEMENT",$G245&gt;0),"OK",IF($P245&lt;=0,"EMPLACEMENT INCOHERENT",IF(ABS($G245)&gt;$P245+0.001,"STOCK INSUFFISANT","OK"))))))</f>
        <v/>
      </c>
      <c r="R245" s="28" t="n">
        <f aca="false">IF($Q245="OK",1,0)</f>
        <v>0</v>
      </c>
      <c r="S245" s="26" t="str">
        <f aca="false">IF($C245="","",IF($O245=0,"A COMPLETER : "&amp;IF($B245="","DATE; ","")&amp;IF($D245="","LOT INTERNE; ","")&amp;IF(NOT(ISNUMBER($G245)),"QUANTITE; ",IF(AND($C245="AJUSTEMENT",$G245=0),"QUANTITE &lt;&gt; 0; ",IF(AND($C245&lt;&gt;"AJUSTEMENT",$G245&lt;=0),"QUANTITE &gt; 0; ","")))&amp;IF(AND($C245="AJUSTEMENT",$H245=""),"MOTIF; ","")&amp;IF(AND(OR($C245="TRANSFERT",$C245="CONSOMMATION"),$E245=""),"EMPL. SOURCE; ","")&amp;IF(AND($C245&lt;&gt;"CONSOMMATION",$F245=""),"EMPL. DESTINATION; ","")&amp;IF(AND($C245="TRANSFERT",$E245&lt;&gt;"",$E245=$F245),"SOURCE = DESTINATION; ",""),IF($Q245="EMPLACEMENT INCOHERENT","Le lot "&amp;$D245&amp;" n'existe pas sur cet emplacement (stock 0). Verifier l'emplacement.",IF($Q245="STOCK INSUFFISANT","Disponible avant operation : "&amp;TEXT($P245,"#,##0.00")&amp;" kg. Ligne NON comptee en stock.",IF(COUNTIFS($B$5:$B$304,$B245,$C$5:$C$304,$C245,$D$5:$D$304,$D245,$G$5:$G$304,$G245)&gt;1,"Doublon possible (meme date, type, lot et quantite).",IF($K245="LOT NON REFERENCE","Creer d'abord la fiche du lot dans l'onglet LOTS.",""))))))</f>
        <v/>
      </c>
    </row>
    <row r="246" customFormat="false" ht="15" hidden="false" customHeight="false" outlineLevel="0" collapsed="false">
      <c r="A246" s="26" t="str">
        <f aca="false">IF($C246="","","OP-"&amp;TEXT(ROW()-4,"000"))</f>
        <v/>
      </c>
      <c r="B246" s="25"/>
      <c r="C246" s="24"/>
      <c r="D246" s="24"/>
      <c r="E246" s="24"/>
      <c r="F246" s="24"/>
      <c r="G246" s="29"/>
      <c r="H246" s="24"/>
      <c r="I246" s="24"/>
      <c r="J246" s="26" t="str">
        <f aca="false">IF($D246="","",IFERROR(INDEX(LOT_EXTE,MATCH($D246,LOT_KEY,0)),""))</f>
        <v/>
      </c>
      <c r="K246" s="26" t="str">
        <f aca="false">IF($D246="","",IFERROR(INDEX(LOT_PRODE,MATCH($D246,LOT_KEY,0)),"LOT NON REFERENCE"))</f>
        <v/>
      </c>
      <c r="L246" s="26" t="str">
        <f aca="false">IF($D246="","",IFERROR(INDEX(LOT_FOURNE,MATCH($D246,LOT_KEY,0)),""))</f>
        <v/>
      </c>
      <c r="M246" s="26" t="str">
        <f aca="false">IF($E246="","",IFERROR(INDEX(EMPL_CLASSE,MATCH($E246,EMPL_KEY,0)),"?"))</f>
        <v/>
      </c>
      <c r="N246" s="26" t="str">
        <f aca="false">IF($F246="","",IFERROR(INDEX(EMPL_CLASSE,MATCH($F246,EMPL_KEY,0)),"?"))</f>
        <v/>
      </c>
      <c r="O246" s="28" t="n">
        <f aca="false">IF($C246="",0,IF(OR($B246="",$D246=""),0,IF($C246="AJUSTEMENT",IF(OR(NOT(ISNUMBER($G246)),$G246=0,$F246="",$H246=""),0,1),IF(OR(NOT(ISNUMBER($G246)),$G246&lt;=0),0,IF($C246="RECEPTION",IF($F246="",0,1),IF($C246="CONSOMMATION",IF($E246="",0,1),IF(OR($E246="",$F246="",$E246=$F246),0,1)))))))</f>
        <v>0</v>
      </c>
      <c r="P246" s="27" t="str">
        <f aca="false">IF(OR($O246=0,$C246="RECEPTION"),"",IF($C246="AJUSTEMENT",IF($G246&gt;0,"",SUMIFS(MVT_BRUT,MVT_LOT,$D246,MVT_EMPL,$F246)-$G246),SUMIFS(MVT_BRUT,MVT_LOT,$D246,MVT_EMPL,$E246)+$G246))</f>
        <v/>
      </c>
      <c r="Q246" s="26" t="str">
        <f aca="false">IF($C246="","",IF($O246=0,"DONNEES MANQUANTES",IF($C246="RECEPTION","OK",IF(AND($C246="AJUSTEMENT",$G246&gt;0),"OK",IF($P246&lt;=0,"EMPLACEMENT INCOHERENT",IF(ABS($G246)&gt;$P246+0.001,"STOCK INSUFFISANT","OK"))))))</f>
        <v/>
      </c>
      <c r="R246" s="28" t="n">
        <f aca="false">IF($Q246="OK",1,0)</f>
        <v>0</v>
      </c>
      <c r="S246" s="26" t="str">
        <f aca="false">IF($C246="","",IF($O246=0,"A COMPLETER : "&amp;IF($B246="","DATE; ","")&amp;IF($D246="","LOT INTERNE; ","")&amp;IF(NOT(ISNUMBER($G246)),"QUANTITE; ",IF(AND($C246="AJUSTEMENT",$G246=0),"QUANTITE &lt;&gt; 0; ",IF(AND($C246&lt;&gt;"AJUSTEMENT",$G246&lt;=0),"QUANTITE &gt; 0; ","")))&amp;IF(AND($C246="AJUSTEMENT",$H246=""),"MOTIF; ","")&amp;IF(AND(OR($C246="TRANSFERT",$C246="CONSOMMATION"),$E246=""),"EMPL. SOURCE; ","")&amp;IF(AND($C246&lt;&gt;"CONSOMMATION",$F246=""),"EMPL. DESTINATION; ","")&amp;IF(AND($C246="TRANSFERT",$E246&lt;&gt;"",$E246=$F246),"SOURCE = DESTINATION; ",""),IF($Q246="EMPLACEMENT INCOHERENT","Le lot "&amp;$D246&amp;" n'existe pas sur cet emplacement (stock 0). Verifier l'emplacement.",IF($Q246="STOCK INSUFFISANT","Disponible avant operation : "&amp;TEXT($P246,"#,##0.00")&amp;" kg. Ligne NON comptee en stock.",IF(COUNTIFS($B$5:$B$304,$B246,$C$5:$C$304,$C246,$D$5:$D$304,$D246,$G$5:$G$304,$G246)&gt;1,"Doublon possible (meme date, type, lot et quantite).",IF($K246="LOT NON REFERENCE","Creer d'abord la fiche du lot dans l'onglet LOTS.",""))))))</f>
        <v/>
      </c>
    </row>
    <row r="247" customFormat="false" ht="15" hidden="false" customHeight="false" outlineLevel="0" collapsed="false">
      <c r="A247" s="26" t="str">
        <f aca="false">IF($C247="","","OP-"&amp;TEXT(ROW()-4,"000"))</f>
        <v/>
      </c>
      <c r="B247" s="25"/>
      <c r="C247" s="24"/>
      <c r="D247" s="24"/>
      <c r="E247" s="24"/>
      <c r="F247" s="24"/>
      <c r="G247" s="29"/>
      <c r="H247" s="24"/>
      <c r="I247" s="24"/>
      <c r="J247" s="26" t="str">
        <f aca="false">IF($D247="","",IFERROR(INDEX(LOT_EXTE,MATCH($D247,LOT_KEY,0)),""))</f>
        <v/>
      </c>
      <c r="K247" s="26" t="str">
        <f aca="false">IF($D247="","",IFERROR(INDEX(LOT_PRODE,MATCH($D247,LOT_KEY,0)),"LOT NON REFERENCE"))</f>
        <v/>
      </c>
      <c r="L247" s="26" t="str">
        <f aca="false">IF($D247="","",IFERROR(INDEX(LOT_FOURNE,MATCH($D247,LOT_KEY,0)),""))</f>
        <v/>
      </c>
      <c r="M247" s="26" t="str">
        <f aca="false">IF($E247="","",IFERROR(INDEX(EMPL_CLASSE,MATCH($E247,EMPL_KEY,0)),"?"))</f>
        <v/>
      </c>
      <c r="N247" s="26" t="str">
        <f aca="false">IF($F247="","",IFERROR(INDEX(EMPL_CLASSE,MATCH($F247,EMPL_KEY,0)),"?"))</f>
        <v/>
      </c>
      <c r="O247" s="28" t="n">
        <f aca="false">IF($C247="",0,IF(OR($B247="",$D247=""),0,IF($C247="AJUSTEMENT",IF(OR(NOT(ISNUMBER($G247)),$G247=0,$F247="",$H247=""),0,1),IF(OR(NOT(ISNUMBER($G247)),$G247&lt;=0),0,IF($C247="RECEPTION",IF($F247="",0,1),IF($C247="CONSOMMATION",IF($E247="",0,1),IF(OR($E247="",$F247="",$E247=$F247),0,1)))))))</f>
        <v>0</v>
      </c>
      <c r="P247" s="27" t="str">
        <f aca="false">IF(OR($O247=0,$C247="RECEPTION"),"",IF($C247="AJUSTEMENT",IF($G247&gt;0,"",SUMIFS(MVT_BRUT,MVT_LOT,$D247,MVT_EMPL,$F247)-$G247),SUMIFS(MVT_BRUT,MVT_LOT,$D247,MVT_EMPL,$E247)+$G247))</f>
        <v/>
      </c>
      <c r="Q247" s="26" t="str">
        <f aca="false">IF($C247="","",IF($O247=0,"DONNEES MANQUANTES",IF($C247="RECEPTION","OK",IF(AND($C247="AJUSTEMENT",$G247&gt;0),"OK",IF($P247&lt;=0,"EMPLACEMENT INCOHERENT",IF(ABS($G247)&gt;$P247+0.001,"STOCK INSUFFISANT","OK"))))))</f>
        <v/>
      </c>
      <c r="R247" s="28" t="n">
        <f aca="false">IF($Q247="OK",1,0)</f>
        <v>0</v>
      </c>
      <c r="S247" s="26" t="str">
        <f aca="false">IF($C247="","",IF($O247=0,"A COMPLETER : "&amp;IF($B247="","DATE; ","")&amp;IF($D247="","LOT INTERNE; ","")&amp;IF(NOT(ISNUMBER($G247)),"QUANTITE; ",IF(AND($C247="AJUSTEMENT",$G247=0),"QUANTITE &lt;&gt; 0; ",IF(AND($C247&lt;&gt;"AJUSTEMENT",$G247&lt;=0),"QUANTITE &gt; 0; ","")))&amp;IF(AND($C247="AJUSTEMENT",$H247=""),"MOTIF; ","")&amp;IF(AND(OR($C247="TRANSFERT",$C247="CONSOMMATION"),$E247=""),"EMPL. SOURCE; ","")&amp;IF(AND($C247&lt;&gt;"CONSOMMATION",$F247=""),"EMPL. DESTINATION; ","")&amp;IF(AND($C247="TRANSFERT",$E247&lt;&gt;"",$E247=$F247),"SOURCE = DESTINATION; ",""),IF($Q247="EMPLACEMENT INCOHERENT","Le lot "&amp;$D247&amp;" n'existe pas sur cet emplacement (stock 0). Verifier l'emplacement.",IF($Q247="STOCK INSUFFISANT","Disponible avant operation : "&amp;TEXT($P247,"#,##0.00")&amp;" kg. Ligne NON comptee en stock.",IF(COUNTIFS($B$5:$B$304,$B247,$C$5:$C$304,$C247,$D$5:$D$304,$D247,$G$5:$G$304,$G247)&gt;1,"Doublon possible (meme date, type, lot et quantite).",IF($K247="LOT NON REFERENCE","Creer d'abord la fiche du lot dans l'onglet LOTS.",""))))))</f>
        <v/>
      </c>
    </row>
    <row r="248" customFormat="false" ht="15" hidden="false" customHeight="false" outlineLevel="0" collapsed="false">
      <c r="A248" s="26" t="str">
        <f aca="false">IF($C248="","","OP-"&amp;TEXT(ROW()-4,"000"))</f>
        <v/>
      </c>
      <c r="B248" s="25"/>
      <c r="C248" s="24"/>
      <c r="D248" s="24"/>
      <c r="E248" s="24"/>
      <c r="F248" s="24"/>
      <c r="G248" s="29"/>
      <c r="H248" s="24"/>
      <c r="I248" s="24"/>
      <c r="J248" s="26" t="str">
        <f aca="false">IF($D248="","",IFERROR(INDEX(LOT_EXTE,MATCH($D248,LOT_KEY,0)),""))</f>
        <v/>
      </c>
      <c r="K248" s="26" t="str">
        <f aca="false">IF($D248="","",IFERROR(INDEX(LOT_PRODE,MATCH($D248,LOT_KEY,0)),"LOT NON REFERENCE"))</f>
        <v/>
      </c>
      <c r="L248" s="26" t="str">
        <f aca="false">IF($D248="","",IFERROR(INDEX(LOT_FOURNE,MATCH($D248,LOT_KEY,0)),""))</f>
        <v/>
      </c>
      <c r="M248" s="26" t="str">
        <f aca="false">IF($E248="","",IFERROR(INDEX(EMPL_CLASSE,MATCH($E248,EMPL_KEY,0)),"?"))</f>
        <v/>
      </c>
      <c r="N248" s="26" t="str">
        <f aca="false">IF($F248="","",IFERROR(INDEX(EMPL_CLASSE,MATCH($F248,EMPL_KEY,0)),"?"))</f>
        <v/>
      </c>
      <c r="O248" s="28" t="n">
        <f aca="false">IF($C248="",0,IF(OR($B248="",$D248=""),0,IF($C248="AJUSTEMENT",IF(OR(NOT(ISNUMBER($G248)),$G248=0,$F248="",$H248=""),0,1),IF(OR(NOT(ISNUMBER($G248)),$G248&lt;=0),0,IF($C248="RECEPTION",IF($F248="",0,1),IF($C248="CONSOMMATION",IF($E248="",0,1),IF(OR($E248="",$F248="",$E248=$F248),0,1)))))))</f>
        <v>0</v>
      </c>
      <c r="P248" s="27" t="str">
        <f aca="false">IF(OR($O248=0,$C248="RECEPTION"),"",IF($C248="AJUSTEMENT",IF($G248&gt;0,"",SUMIFS(MVT_BRUT,MVT_LOT,$D248,MVT_EMPL,$F248)-$G248),SUMIFS(MVT_BRUT,MVT_LOT,$D248,MVT_EMPL,$E248)+$G248))</f>
        <v/>
      </c>
      <c r="Q248" s="26" t="str">
        <f aca="false">IF($C248="","",IF($O248=0,"DONNEES MANQUANTES",IF($C248="RECEPTION","OK",IF(AND($C248="AJUSTEMENT",$G248&gt;0),"OK",IF($P248&lt;=0,"EMPLACEMENT INCOHERENT",IF(ABS($G248)&gt;$P248+0.001,"STOCK INSUFFISANT","OK"))))))</f>
        <v/>
      </c>
      <c r="R248" s="28" t="n">
        <f aca="false">IF($Q248="OK",1,0)</f>
        <v>0</v>
      </c>
      <c r="S248" s="26" t="str">
        <f aca="false">IF($C248="","",IF($O248=0,"A COMPLETER : "&amp;IF($B248="","DATE; ","")&amp;IF($D248="","LOT INTERNE; ","")&amp;IF(NOT(ISNUMBER($G248)),"QUANTITE; ",IF(AND($C248="AJUSTEMENT",$G248=0),"QUANTITE &lt;&gt; 0; ",IF(AND($C248&lt;&gt;"AJUSTEMENT",$G248&lt;=0),"QUANTITE &gt; 0; ","")))&amp;IF(AND($C248="AJUSTEMENT",$H248=""),"MOTIF; ","")&amp;IF(AND(OR($C248="TRANSFERT",$C248="CONSOMMATION"),$E248=""),"EMPL. SOURCE; ","")&amp;IF(AND($C248&lt;&gt;"CONSOMMATION",$F248=""),"EMPL. DESTINATION; ","")&amp;IF(AND($C248="TRANSFERT",$E248&lt;&gt;"",$E248=$F248),"SOURCE = DESTINATION; ",""),IF($Q248="EMPLACEMENT INCOHERENT","Le lot "&amp;$D248&amp;" n'existe pas sur cet emplacement (stock 0). Verifier l'emplacement.",IF($Q248="STOCK INSUFFISANT","Disponible avant operation : "&amp;TEXT($P248,"#,##0.00")&amp;" kg. Ligne NON comptee en stock.",IF(COUNTIFS($B$5:$B$304,$B248,$C$5:$C$304,$C248,$D$5:$D$304,$D248,$G$5:$G$304,$G248)&gt;1,"Doublon possible (meme date, type, lot et quantite).",IF($K248="LOT NON REFERENCE","Creer d'abord la fiche du lot dans l'onglet LOTS.",""))))))</f>
        <v/>
      </c>
    </row>
    <row r="249" customFormat="false" ht="15" hidden="false" customHeight="false" outlineLevel="0" collapsed="false">
      <c r="A249" s="26" t="str">
        <f aca="false">IF($C249="","","OP-"&amp;TEXT(ROW()-4,"000"))</f>
        <v/>
      </c>
      <c r="B249" s="25"/>
      <c r="C249" s="24"/>
      <c r="D249" s="24"/>
      <c r="E249" s="24"/>
      <c r="F249" s="24"/>
      <c r="G249" s="29"/>
      <c r="H249" s="24"/>
      <c r="I249" s="24"/>
      <c r="J249" s="26" t="str">
        <f aca="false">IF($D249="","",IFERROR(INDEX(LOT_EXTE,MATCH($D249,LOT_KEY,0)),""))</f>
        <v/>
      </c>
      <c r="K249" s="26" t="str">
        <f aca="false">IF($D249="","",IFERROR(INDEX(LOT_PRODE,MATCH($D249,LOT_KEY,0)),"LOT NON REFERENCE"))</f>
        <v/>
      </c>
      <c r="L249" s="26" t="str">
        <f aca="false">IF($D249="","",IFERROR(INDEX(LOT_FOURNE,MATCH($D249,LOT_KEY,0)),""))</f>
        <v/>
      </c>
      <c r="M249" s="26" t="str">
        <f aca="false">IF($E249="","",IFERROR(INDEX(EMPL_CLASSE,MATCH($E249,EMPL_KEY,0)),"?"))</f>
        <v/>
      </c>
      <c r="N249" s="26" t="str">
        <f aca="false">IF($F249="","",IFERROR(INDEX(EMPL_CLASSE,MATCH($F249,EMPL_KEY,0)),"?"))</f>
        <v/>
      </c>
      <c r="O249" s="28" t="n">
        <f aca="false">IF($C249="",0,IF(OR($B249="",$D249=""),0,IF($C249="AJUSTEMENT",IF(OR(NOT(ISNUMBER($G249)),$G249=0,$F249="",$H249=""),0,1),IF(OR(NOT(ISNUMBER($G249)),$G249&lt;=0),0,IF($C249="RECEPTION",IF($F249="",0,1),IF($C249="CONSOMMATION",IF($E249="",0,1),IF(OR($E249="",$F249="",$E249=$F249),0,1)))))))</f>
        <v>0</v>
      </c>
      <c r="P249" s="27" t="str">
        <f aca="false">IF(OR($O249=0,$C249="RECEPTION"),"",IF($C249="AJUSTEMENT",IF($G249&gt;0,"",SUMIFS(MVT_BRUT,MVT_LOT,$D249,MVT_EMPL,$F249)-$G249),SUMIFS(MVT_BRUT,MVT_LOT,$D249,MVT_EMPL,$E249)+$G249))</f>
        <v/>
      </c>
      <c r="Q249" s="26" t="str">
        <f aca="false">IF($C249="","",IF($O249=0,"DONNEES MANQUANTES",IF($C249="RECEPTION","OK",IF(AND($C249="AJUSTEMENT",$G249&gt;0),"OK",IF($P249&lt;=0,"EMPLACEMENT INCOHERENT",IF(ABS($G249)&gt;$P249+0.001,"STOCK INSUFFISANT","OK"))))))</f>
        <v/>
      </c>
      <c r="R249" s="28" t="n">
        <f aca="false">IF($Q249="OK",1,0)</f>
        <v>0</v>
      </c>
      <c r="S249" s="26" t="str">
        <f aca="false">IF($C249="","",IF($O249=0,"A COMPLETER : "&amp;IF($B249="","DATE; ","")&amp;IF($D249="","LOT INTERNE; ","")&amp;IF(NOT(ISNUMBER($G249)),"QUANTITE; ",IF(AND($C249="AJUSTEMENT",$G249=0),"QUANTITE &lt;&gt; 0; ",IF(AND($C249&lt;&gt;"AJUSTEMENT",$G249&lt;=0),"QUANTITE &gt; 0; ","")))&amp;IF(AND($C249="AJUSTEMENT",$H249=""),"MOTIF; ","")&amp;IF(AND(OR($C249="TRANSFERT",$C249="CONSOMMATION"),$E249=""),"EMPL. SOURCE; ","")&amp;IF(AND($C249&lt;&gt;"CONSOMMATION",$F249=""),"EMPL. DESTINATION; ","")&amp;IF(AND($C249="TRANSFERT",$E249&lt;&gt;"",$E249=$F249),"SOURCE = DESTINATION; ",""),IF($Q249="EMPLACEMENT INCOHERENT","Le lot "&amp;$D249&amp;" n'existe pas sur cet emplacement (stock 0). Verifier l'emplacement.",IF($Q249="STOCK INSUFFISANT","Disponible avant operation : "&amp;TEXT($P249,"#,##0.00")&amp;" kg. Ligne NON comptee en stock.",IF(COUNTIFS($B$5:$B$304,$B249,$C$5:$C$304,$C249,$D$5:$D$304,$D249,$G$5:$G$304,$G249)&gt;1,"Doublon possible (meme date, type, lot et quantite).",IF($K249="LOT NON REFERENCE","Creer d'abord la fiche du lot dans l'onglet LOTS.",""))))))</f>
        <v/>
      </c>
    </row>
    <row r="250" customFormat="false" ht="15" hidden="false" customHeight="false" outlineLevel="0" collapsed="false">
      <c r="A250" s="26" t="str">
        <f aca="false">IF($C250="","","OP-"&amp;TEXT(ROW()-4,"000"))</f>
        <v/>
      </c>
      <c r="B250" s="25"/>
      <c r="C250" s="24"/>
      <c r="D250" s="24"/>
      <c r="E250" s="24"/>
      <c r="F250" s="24"/>
      <c r="G250" s="29"/>
      <c r="H250" s="24"/>
      <c r="I250" s="24"/>
      <c r="J250" s="26" t="str">
        <f aca="false">IF($D250="","",IFERROR(INDEX(LOT_EXTE,MATCH($D250,LOT_KEY,0)),""))</f>
        <v/>
      </c>
      <c r="K250" s="26" t="str">
        <f aca="false">IF($D250="","",IFERROR(INDEX(LOT_PRODE,MATCH($D250,LOT_KEY,0)),"LOT NON REFERENCE"))</f>
        <v/>
      </c>
      <c r="L250" s="26" t="str">
        <f aca="false">IF($D250="","",IFERROR(INDEX(LOT_FOURNE,MATCH($D250,LOT_KEY,0)),""))</f>
        <v/>
      </c>
      <c r="M250" s="26" t="str">
        <f aca="false">IF($E250="","",IFERROR(INDEX(EMPL_CLASSE,MATCH($E250,EMPL_KEY,0)),"?"))</f>
        <v/>
      </c>
      <c r="N250" s="26" t="str">
        <f aca="false">IF($F250="","",IFERROR(INDEX(EMPL_CLASSE,MATCH($F250,EMPL_KEY,0)),"?"))</f>
        <v/>
      </c>
      <c r="O250" s="28" t="n">
        <f aca="false">IF($C250="",0,IF(OR($B250="",$D250=""),0,IF($C250="AJUSTEMENT",IF(OR(NOT(ISNUMBER($G250)),$G250=0,$F250="",$H250=""),0,1),IF(OR(NOT(ISNUMBER($G250)),$G250&lt;=0),0,IF($C250="RECEPTION",IF($F250="",0,1),IF($C250="CONSOMMATION",IF($E250="",0,1),IF(OR($E250="",$F250="",$E250=$F250),0,1)))))))</f>
        <v>0</v>
      </c>
      <c r="P250" s="27" t="str">
        <f aca="false">IF(OR($O250=0,$C250="RECEPTION"),"",IF($C250="AJUSTEMENT",IF($G250&gt;0,"",SUMIFS(MVT_BRUT,MVT_LOT,$D250,MVT_EMPL,$F250)-$G250),SUMIFS(MVT_BRUT,MVT_LOT,$D250,MVT_EMPL,$E250)+$G250))</f>
        <v/>
      </c>
      <c r="Q250" s="26" t="str">
        <f aca="false">IF($C250="","",IF($O250=0,"DONNEES MANQUANTES",IF($C250="RECEPTION","OK",IF(AND($C250="AJUSTEMENT",$G250&gt;0),"OK",IF($P250&lt;=0,"EMPLACEMENT INCOHERENT",IF(ABS($G250)&gt;$P250+0.001,"STOCK INSUFFISANT","OK"))))))</f>
        <v/>
      </c>
      <c r="R250" s="28" t="n">
        <f aca="false">IF($Q250="OK",1,0)</f>
        <v>0</v>
      </c>
      <c r="S250" s="26" t="str">
        <f aca="false">IF($C250="","",IF($O250=0,"A COMPLETER : "&amp;IF($B250="","DATE; ","")&amp;IF($D250="","LOT INTERNE; ","")&amp;IF(NOT(ISNUMBER($G250)),"QUANTITE; ",IF(AND($C250="AJUSTEMENT",$G250=0),"QUANTITE &lt;&gt; 0; ",IF(AND($C250&lt;&gt;"AJUSTEMENT",$G250&lt;=0),"QUANTITE &gt; 0; ","")))&amp;IF(AND($C250="AJUSTEMENT",$H250=""),"MOTIF; ","")&amp;IF(AND(OR($C250="TRANSFERT",$C250="CONSOMMATION"),$E250=""),"EMPL. SOURCE; ","")&amp;IF(AND($C250&lt;&gt;"CONSOMMATION",$F250=""),"EMPL. DESTINATION; ","")&amp;IF(AND($C250="TRANSFERT",$E250&lt;&gt;"",$E250=$F250),"SOURCE = DESTINATION; ",""),IF($Q250="EMPLACEMENT INCOHERENT","Le lot "&amp;$D250&amp;" n'existe pas sur cet emplacement (stock 0). Verifier l'emplacement.",IF($Q250="STOCK INSUFFISANT","Disponible avant operation : "&amp;TEXT($P250,"#,##0.00")&amp;" kg. Ligne NON comptee en stock.",IF(COUNTIFS($B$5:$B$304,$B250,$C$5:$C$304,$C250,$D$5:$D$304,$D250,$G$5:$G$304,$G250)&gt;1,"Doublon possible (meme date, type, lot et quantite).",IF($K250="LOT NON REFERENCE","Creer d'abord la fiche du lot dans l'onglet LOTS.",""))))))</f>
        <v/>
      </c>
    </row>
    <row r="251" customFormat="false" ht="15" hidden="false" customHeight="false" outlineLevel="0" collapsed="false">
      <c r="A251" s="26" t="str">
        <f aca="false">IF($C251="","","OP-"&amp;TEXT(ROW()-4,"000"))</f>
        <v/>
      </c>
      <c r="B251" s="25"/>
      <c r="C251" s="24"/>
      <c r="D251" s="24"/>
      <c r="E251" s="24"/>
      <c r="F251" s="24"/>
      <c r="G251" s="29"/>
      <c r="H251" s="24"/>
      <c r="I251" s="24"/>
      <c r="J251" s="26" t="str">
        <f aca="false">IF($D251="","",IFERROR(INDEX(LOT_EXTE,MATCH($D251,LOT_KEY,0)),""))</f>
        <v/>
      </c>
      <c r="K251" s="26" t="str">
        <f aca="false">IF($D251="","",IFERROR(INDEX(LOT_PRODE,MATCH($D251,LOT_KEY,0)),"LOT NON REFERENCE"))</f>
        <v/>
      </c>
      <c r="L251" s="26" t="str">
        <f aca="false">IF($D251="","",IFERROR(INDEX(LOT_FOURNE,MATCH($D251,LOT_KEY,0)),""))</f>
        <v/>
      </c>
      <c r="M251" s="26" t="str">
        <f aca="false">IF($E251="","",IFERROR(INDEX(EMPL_CLASSE,MATCH($E251,EMPL_KEY,0)),"?"))</f>
        <v/>
      </c>
      <c r="N251" s="26" t="str">
        <f aca="false">IF($F251="","",IFERROR(INDEX(EMPL_CLASSE,MATCH($F251,EMPL_KEY,0)),"?"))</f>
        <v/>
      </c>
      <c r="O251" s="28" t="n">
        <f aca="false">IF($C251="",0,IF(OR($B251="",$D251=""),0,IF($C251="AJUSTEMENT",IF(OR(NOT(ISNUMBER($G251)),$G251=0,$F251="",$H251=""),0,1),IF(OR(NOT(ISNUMBER($G251)),$G251&lt;=0),0,IF($C251="RECEPTION",IF($F251="",0,1),IF($C251="CONSOMMATION",IF($E251="",0,1),IF(OR($E251="",$F251="",$E251=$F251),0,1)))))))</f>
        <v>0</v>
      </c>
      <c r="P251" s="27" t="str">
        <f aca="false">IF(OR($O251=0,$C251="RECEPTION"),"",IF($C251="AJUSTEMENT",IF($G251&gt;0,"",SUMIFS(MVT_BRUT,MVT_LOT,$D251,MVT_EMPL,$F251)-$G251),SUMIFS(MVT_BRUT,MVT_LOT,$D251,MVT_EMPL,$E251)+$G251))</f>
        <v/>
      </c>
      <c r="Q251" s="26" t="str">
        <f aca="false">IF($C251="","",IF($O251=0,"DONNEES MANQUANTES",IF($C251="RECEPTION","OK",IF(AND($C251="AJUSTEMENT",$G251&gt;0),"OK",IF($P251&lt;=0,"EMPLACEMENT INCOHERENT",IF(ABS($G251)&gt;$P251+0.001,"STOCK INSUFFISANT","OK"))))))</f>
        <v/>
      </c>
      <c r="R251" s="28" t="n">
        <f aca="false">IF($Q251="OK",1,0)</f>
        <v>0</v>
      </c>
      <c r="S251" s="26" t="str">
        <f aca="false">IF($C251="","",IF($O251=0,"A COMPLETER : "&amp;IF($B251="","DATE; ","")&amp;IF($D251="","LOT INTERNE; ","")&amp;IF(NOT(ISNUMBER($G251)),"QUANTITE; ",IF(AND($C251="AJUSTEMENT",$G251=0),"QUANTITE &lt;&gt; 0; ",IF(AND($C251&lt;&gt;"AJUSTEMENT",$G251&lt;=0),"QUANTITE &gt; 0; ","")))&amp;IF(AND($C251="AJUSTEMENT",$H251=""),"MOTIF; ","")&amp;IF(AND(OR($C251="TRANSFERT",$C251="CONSOMMATION"),$E251=""),"EMPL. SOURCE; ","")&amp;IF(AND($C251&lt;&gt;"CONSOMMATION",$F251=""),"EMPL. DESTINATION; ","")&amp;IF(AND($C251="TRANSFERT",$E251&lt;&gt;"",$E251=$F251),"SOURCE = DESTINATION; ",""),IF($Q251="EMPLACEMENT INCOHERENT","Le lot "&amp;$D251&amp;" n'existe pas sur cet emplacement (stock 0). Verifier l'emplacement.",IF($Q251="STOCK INSUFFISANT","Disponible avant operation : "&amp;TEXT($P251,"#,##0.00")&amp;" kg. Ligne NON comptee en stock.",IF(COUNTIFS($B$5:$B$304,$B251,$C$5:$C$304,$C251,$D$5:$D$304,$D251,$G$5:$G$304,$G251)&gt;1,"Doublon possible (meme date, type, lot et quantite).",IF($K251="LOT NON REFERENCE","Creer d'abord la fiche du lot dans l'onglet LOTS.",""))))))</f>
        <v/>
      </c>
    </row>
    <row r="252" customFormat="false" ht="15" hidden="false" customHeight="false" outlineLevel="0" collapsed="false">
      <c r="A252" s="26" t="str">
        <f aca="false">IF($C252="","","OP-"&amp;TEXT(ROW()-4,"000"))</f>
        <v/>
      </c>
      <c r="B252" s="25"/>
      <c r="C252" s="24"/>
      <c r="D252" s="24"/>
      <c r="E252" s="24"/>
      <c r="F252" s="24"/>
      <c r="G252" s="29"/>
      <c r="H252" s="24"/>
      <c r="I252" s="24"/>
      <c r="J252" s="26" t="str">
        <f aca="false">IF($D252="","",IFERROR(INDEX(LOT_EXTE,MATCH($D252,LOT_KEY,0)),""))</f>
        <v/>
      </c>
      <c r="K252" s="26" t="str">
        <f aca="false">IF($D252="","",IFERROR(INDEX(LOT_PRODE,MATCH($D252,LOT_KEY,0)),"LOT NON REFERENCE"))</f>
        <v/>
      </c>
      <c r="L252" s="26" t="str">
        <f aca="false">IF($D252="","",IFERROR(INDEX(LOT_FOURNE,MATCH($D252,LOT_KEY,0)),""))</f>
        <v/>
      </c>
      <c r="M252" s="26" t="str">
        <f aca="false">IF($E252="","",IFERROR(INDEX(EMPL_CLASSE,MATCH($E252,EMPL_KEY,0)),"?"))</f>
        <v/>
      </c>
      <c r="N252" s="26" t="str">
        <f aca="false">IF($F252="","",IFERROR(INDEX(EMPL_CLASSE,MATCH($F252,EMPL_KEY,0)),"?"))</f>
        <v/>
      </c>
      <c r="O252" s="28" t="n">
        <f aca="false">IF($C252="",0,IF(OR($B252="",$D252=""),0,IF($C252="AJUSTEMENT",IF(OR(NOT(ISNUMBER($G252)),$G252=0,$F252="",$H252=""),0,1),IF(OR(NOT(ISNUMBER($G252)),$G252&lt;=0),0,IF($C252="RECEPTION",IF($F252="",0,1),IF($C252="CONSOMMATION",IF($E252="",0,1),IF(OR($E252="",$F252="",$E252=$F252),0,1)))))))</f>
        <v>0</v>
      </c>
      <c r="P252" s="27" t="str">
        <f aca="false">IF(OR($O252=0,$C252="RECEPTION"),"",IF($C252="AJUSTEMENT",IF($G252&gt;0,"",SUMIFS(MVT_BRUT,MVT_LOT,$D252,MVT_EMPL,$F252)-$G252),SUMIFS(MVT_BRUT,MVT_LOT,$D252,MVT_EMPL,$E252)+$G252))</f>
        <v/>
      </c>
      <c r="Q252" s="26" t="str">
        <f aca="false">IF($C252="","",IF($O252=0,"DONNEES MANQUANTES",IF($C252="RECEPTION","OK",IF(AND($C252="AJUSTEMENT",$G252&gt;0),"OK",IF($P252&lt;=0,"EMPLACEMENT INCOHERENT",IF(ABS($G252)&gt;$P252+0.001,"STOCK INSUFFISANT","OK"))))))</f>
        <v/>
      </c>
      <c r="R252" s="28" t="n">
        <f aca="false">IF($Q252="OK",1,0)</f>
        <v>0</v>
      </c>
      <c r="S252" s="26" t="str">
        <f aca="false">IF($C252="","",IF($O252=0,"A COMPLETER : "&amp;IF($B252="","DATE; ","")&amp;IF($D252="","LOT INTERNE; ","")&amp;IF(NOT(ISNUMBER($G252)),"QUANTITE; ",IF(AND($C252="AJUSTEMENT",$G252=0),"QUANTITE &lt;&gt; 0; ",IF(AND($C252&lt;&gt;"AJUSTEMENT",$G252&lt;=0),"QUANTITE &gt; 0; ","")))&amp;IF(AND($C252="AJUSTEMENT",$H252=""),"MOTIF; ","")&amp;IF(AND(OR($C252="TRANSFERT",$C252="CONSOMMATION"),$E252=""),"EMPL. SOURCE; ","")&amp;IF(AND($C252&lt;&gt;"CONSOMMATION",$F252=""),"EMPL. DESTINATION; ","")&amp;IF(AND($C252="TRANSFERT",$E252&lt;&gt;"",$E252=$F252),"SOURCE = DESTINATION; ",""),IF($Q252="EMPLACEMENT INCOHERENT","Le lot "&amp;$D252&amp;" n'existe pas sur cet emplacement (stock 0). Verifier l'emplacement.",IF($Q252="STOCK INSUFFISANT","Disponible avant operation : "&amp;TEXT($P252,"#,##0.00")&amp;" kg. Ligne NON comptee en stock.",IF(COUNTIFS($B$5:$B$304,$B252,$C$5:$C$304,$C252,$D$5:$D$304,$D252,$G$5:$G$304,$G252)&gt;1,"Doublon possible (meme date, type, lot et quantite).",IF($K252="LOT NON REFERENCE","Creer d'abord la fiche du lot dans l'onglet LOTS.",""))))))</f>
        <v/>
      </c>
    </row>
    <row r="253" customFormat="false" ht="15" hidden="false" customHeight="false" outlineLevel="0" collapsed="false">
      <c r="A253" s="26" t="str">
        <f aca="false">IF($C253="","","OP-"&amp;TEXT(ROW()-4,"000"))</f>
        <v/>
      </c>
      <c r="B253" s="25"/>
      <c r="C253" s="24"/>
      <c r="D253" s="24"/>
      <c r="E253" s="24"/>
      <c r="F253" s="24"/>
      <c r="G253" s="29"/>
      <c r="H253" s="24"/>
      <c r="I253" s="24"/>
      <c r="J253" s="26" t="str">
        <f aca="false">IF($D253="","",IFERROR(INDEX(LOT_EXTE,MATCH($D253,LOT_KEY,0)),""))</f>
        <v/>
      </c>
      <c r="K253" s="26" t="str">
        <f aca="false">IF($D253="","",IFERROR(INDEX(LOT_PRODE,MATCH($D253,LOT_KEY,0)),"LOT NON REFERENCE"))</f>
        <v/>
      </c>
      <c r="L253" s="26" t="str">
        <f aca="false">IF($D253="","",IFERROR(INDEX(LOT_FOURNE,MATCH($D253,LOT_KEY,0)),""))</f>
        <v/>
      </c>
      <c r="M253" s="26" t="str">
        <f aca="false">IF($E253="","",IFERROR(INDEX(EMPL_CLASSE,MATCH($E253,EMPL_KEY,0)),"?"))</f>
        <v/>
      </c>
      <c r="N253" s="26" t="str">
        <f aca="false">IF($F253="","",IFERROR(INDEX(EMPL_CLASSE,MATCH($F253,EMPL_KEY,0)),"?"))</f>
        <v/>
      </c>
      <c r="O253" s="28" t="n">
        <f aca="false">IF($C253="",0,IF(OR($B253="",$D253=""),0,IF($C253="AJUSTEMENT",IF(OR(NOT(ISNUMBER($G253)),$G253=0,$F253="",$H253=""),0,1),IF(OR(NOT(ISNUMBER($G253)),$G253&lt;=0),0,IF($C253="RECEPTION",IF($F253="",0,1),IF($C253="CONSOMMATION",IF($E253="",0,1),IF(OR($E253="",$F253="",$E253=$F253),0,1)))))))</f>
        <v>0</v>
      </c>
      <c r="P253" s="27" t="str">
        <f aca="false">IF(OR($O253=0,$C253="RECEPTION"),"",IF($C253="AJUSTEMENT",IF($G253&gt;0,"",SUMIFS(MVT_BRUT,MVT_LOT,$D253,MVT_EMPL,$F253)-$G253),SUMIFS(MVT_BRUT,MVT_LOT,$D253,MVT_EMPL,$E253)+$G253))</f>
        <v/>
      </c>
      <c r="Q253" s="26" t="str">
        <f aca="false">IF($C253="","",IF($O253=0,"DONNEES MANQUANTES",IF($C253="RECEPTION","OK",IF(AND($C253="AJUSTEMENT",$G253&gt;0),"OK",IF($P253&lt;=0,"EMPLACEMENT INCOHERENT",IF(ABS($G253)&gt;$P253+0.001,"STOCK INSUFFISANT","OK"))))))</f>
        <v/>
      </c>
      <c r="R253" s="28" t="n">
        <f aca="false">IF($Q253="OK",1,0)</f>
        <v>0</v>
      </c>
      <c r="S253" s="26" t="str">
        <f aca="false">IF($C253="","",IF($O253=0,"A COMPLETER : "&amp;IF($B253="","DATE; ","")&amp;IF($D253="","LOT INTERNE; ","")&amp;IF(NOT(ISNUMBER($G253)),"QUANTITE; ",IF(AND($C253="AJUSTEMENT",$G253=0),"QUANTITE &lt;&gt; 0; ",IF(AND($C253&lt;&gt;"AJUSTEMENT",$G253&lt;=0),"QUANTITE &gt; 0; ","")))&amp;IF(AND($C253="AJUSTEMENT",$H253=""),"MOTIF; ","")&amp;IF(AND(OR($C253="TRANSFERT",$C253="CONSOMMATION"),$E253=""),"EMPL. SOURCE; ","")&amp;IF(AND($C253&lt;&gt;"CONSOMMATION",$F253=""),"EMPL. DESTINATION; ","")&amp;IF(AND($C253="TRANSFERT",$E253&lt;&gt;"",$E253=$F253),"SOURCE = DESTINATION; ",""),IF($Q253="EMPLACEMENT INCOHERENT","Le lot "&amp;$D253&amp;" n'existe pas sur cet emplacement (stock 0). Verifier l'emplacement.",IF($Q253="STOCK INSUFFISANT","Disponible avant operation : "&amp;TEXT($P253,"#,##0.00")&amp;" kg. Ligne NON comptee en stock.",IF(COUNTIFS($B$5:$B$304,$B253,$C$5:$C$304,$C253,$D$5:$D$304,$D253,$G$5:$G$304,$G253)&gt;1,"Doublon possible (meme date, type, lot et quantite).",IF($K253="LOT NON REFERENCE","Creer d'abord la fiche du lot dans l'onglet LOTS.",""))))))</f>
        <v/>
      </c>
    </row>
    <row r="254" customFormat="false" ht="15" hidden="false" customHeight="false" outlineLevel="0" collapsed="false">
      <c r="A254" s="26" t="str">
        <f aca="false">IF($C254="","","OP-"&amp;TEXT(ROW()-4,"000"))</f>
        <v/>
      </c>
      <c r="B254" s="25"/>
      <c r="C254" s="24"/>
      <c r="D254" s="24"/>
      <c r="E254" s="24"/>
      <c r="F254" s="24"/>
      <c r="G254" s="29"/>
      <c r="H254" s="24"/>
      <c r="I254" s="24"/>
      <c r="J254" s="26" t="str">
        <f aca="false">IF($D254="","",IFERROR(INDEX(LOT_EXTE,MATCH($D254,LOT_KEY,0)),""))</f>
        <v/>
      </c>
      <c r="K254" s="26" t="str">
        <f aca="false">IF($D254="","",IFERROR(INDEX(LOT_PRODE,MATCH($D254,LOT_KEY,0)),"LOT NON REFERENCE"))</f>
        <v/>
      </c>
      <c r="L254" s="26" t="str">
        <f aca="false">IF($D254="","",IFERROR(INDEX(LOT_FOURNE,MATCH($D254,LOT_KEY,0)),""))</f>
        <v/>
      </c>
      <c r="M254" s="26" t="str">
        <f aca="false">IF($E254="","",IFERROR(INDEX(EMPL_CLASSE,MATCH($E254,EMPL_KEY,0)),"?"))</f>
        <v/>
      </c>
      <c r="N254" s="26" t="str">
        <f aca="false">IF($F254="","",IFERROR(INDEX(EMPL_CLASSE,MATCH($F254,EMPL_KEY,0)),"?"))</f>
        <v/>
      </c>
      <c r="O254" s="28" t="n">
        <f aca="false">IF($C254="",0,IF(OR($B254="",$D254=""),0,IF($C254="AJUSTEMENT",IF(OR(NOT(ISNUMBER($G254)),$G254=0,$F254="",$H254=""),0,1),IF(OR(NOT(ISNUMBER($G254)),$G254&lt;=0),0,IF($C254="RECEPTION",IF($F254="",0,1),IF($C254="CONSOMMATION",IF($E254="",0,1),IF(OR($E254="",$F254="",$E254=$F254),0,1)))))))</f>
        <v>0</v>
      </c>
      <c r="P254" s="27" t="str">
        <f aca="false">IF(OR($O254=0,$C254="RECEPTION"),"",IF($C254="AJUSTEMENT",IF($G254&gt;0,"",SUMIFS(MVT_BRUT,MVT_LOT,$D254,MVT_EMPL,$F254)-$G254),SUMIFS(MVT_BRUT,MVT_LOT,$D254,MVT_EMPL,$E254)+$G254))</f>
        <v/>
      </c>
      <c r="Q254" s="26" t="str">
        <f aca="false">IF($C254="","",IF($O254=0,"DONNEES MANQUANTES",IF($C254="RECEPTION","OK",IF(AND($C254="AJUSTEMENT",$G254&gt;0),"OK",IF($P254&lt;=0,"EMPLACEMENT INCOHERENT",IF(ABS($G254)&gt;$P254+0.001,"STOCK INSUFFISANT","OK"))))))</f>
        <v/>
      </c>
      <c r="R254" s="28" t="n">
        <f aca="false">IF($Q254="OK",1,0)</f>
        <v>0</v>
      </c>
      <c r="S254" s="26" t="str">
        <f aca="false">IF($C254="","",IF($O254=0,"A COMPLETER : "&amp;IF($B254="","DATE; ","")&amp;IF($D254="","LOT INTERNE; ","")&amp;IF(NOT(ISNUMBER($G254)),"QUANTITE; ",IF(AND($C254="AJUSTEMENT",$G254=0),"QUANTITE &lt;&gt; 0; ",IF(AND($C254&lt;&gt;"AJUSTEMENT",$G254&lt;=0),"QUANTITE &gt; 0; ","")))&amp;IF(AND($C254="AJUSTEMENT",$H254=""),"MOTIF; ","")&amp;IF(AND(OR($C254="TRANSFERT",$C254="CONSOMMATION"),$E254=""),"EMPL. SOURCE; ","")&amp;IF(AND($C254&lt;&gt;"CONSOMMATION",$F254=""),"EMPL. DESTINATION; ","")&amp;IF(AND($C254="TRANSFERT",$E254&lt;&gt;"",$E254=$F254),"SOURCE = DESTINATION; ",""),IF($Q254="EMPLACEMENT INCOHERENT","Le lot "&amp;$D254&amp;" n'existe pas sur cet emplacement (stock 0). Verifier l'emplacement.",IF($Q254="STOCK INSUFFISANT","Disponible avant operation : "&amp;TEXT($P254,"#,##0.00")&amp;" kg. Ligne NON comptee en stock.",IF(COUNTIFS($B$5:$B$304,$B254,$C$5:$C$304,$C254,$D$5:$D$304,$D254,$G$5:$G$304,$G254)&gt;1,"Doublon possible (meme date, type, lot et quantite).",IF($K254="LOT NON REFERENCE","Creer d'abord la fiche du lot dans l'onglet LOTS.",""))))))</f>
        <v/>
      </c>
    </row>
    <row r="255" customFormat="false" ht="15" hidden="false" customHeight="false" outlineLevel="0" collapsed="false">
      <c r="A255" s="26" t="str">
        <f aca="false">IF($C255="","","OP-"&amp;TEXT(ROW()-4,"000"))</f>
        <v/>
      </c>
      <c r="B255" s="25"/>
      <c r="C255" s="24"/>
      <c r="D255" s="24"/>
      <c r="E255" s="24"/>
      <c r="F255" s="24"/>
      <c r="G255" s="29"/>
      <c r="H255" s="24"/>
      <c r="I255" s="24"/>
      <c r="J255" s="26" t="str">
        <f aca="false">IF($D255="","",IFERROR(INDEX(LOT_EXTE,MATCH($D255,LOT_KEY,0)),""))</f>
        <v/>
      </c>
      <c r="K255" s="26" t="str">
        <f aca="false">IF($D255="","",IFERROR(INDEX(LOT_PRODE,MATCH($D255,LOT_KEY,0)),"LOT NON REFERENCE"))</f>
        <v/>
      </c>
      <c r="L255" s="26" t="str">
        <f aca="false">IF($D255="","",IFERROR(INDEX(LOT_FOURNE,MATCH($D255,LOT_KEY,0)),""))</f>
        <v/>
      </c>
      <c r="M255" s="26" t="str">
        <f aca="false">IF($E255="","",IFERROR(INDEX(EMPL_CLASSE,MATCH($E255,EMPL_KEY,0)),"?"))</f>
        <v/>
      </c>
      <c r="N255" s="26" t="str">
        <f aca="false">IF($F255="","",IFERROR(INDEX(EMPL_CLASSE,MATCH($F255,EMPL_KEY,0)),"?"))</f>
        <v/>
      </c>
      <c r="O255" s="28" t="n">
        <f aca="false">IF($C255="",0,IF(OR($B255="",$D255=""),0,IF($C255="AJUSTEMENT",IF(OR(NOT(ISNUMBER($G255)),$G255=0,$F255="",$H255=""),0,1),IF(OR(NOT(ISNUMBER($G255)),$G255&lt;=0),0,IF($C255="RECEPTION",IF($F255="",0,1),IF($C255="CONSOMMATION",IF($E255="",0,1),IF(OR($E255="",$F255="",$E255=$F255),0,1)))))))</f>
        <v>0</v>
      </c>
      <c r="P255" s="27" t="str">
        <f aca="false">IF(OR($O255=0,$C255="RECEPTION"),"",IF($C255="AJUSTEMENT",IF($G255&gt;0,"",SUMIFS(MVT_BRUT,MVT_LOT,$D255,MVT_EMPL,$F255)-$G255),SUMIFS(MVT_BRUT,MVT_LOT,$D255,MVT_EMPL,$E255)+$G255))</f>
        <v/>
      </c>
      <c r="Q255" s="26" t="str">
        <f aca="false">IF($C255="","",IF($O255=0,"DONNEES MANQUANTES",IF($C255="RECEPTION","OK",IF(AND($C255="AJUSTEMENT",$G255&gt;0),"OK",IF($P255&lt;=0,"EMPLACEMENT INCOHERENT",IF(ABS($G255)&gt;$P255+0.001,"STOCK INSUFFISANT","OK"))))))</f>
        <v/>
      </c>
      <c r="R255" s="28" t="n">
        <f aca="false">IF($Q255="OK",1,0)</f>
        <v>0</v>
      </c>
      <c r="S255" s="26" t="str">
        <f aca="false">IF($C255="","",IF($O255=0,"A COMPLETER : "&amp;IF($B255="","DATE; ","")&amp;IF($D255="","LOT INTERNE; ","")&amp;IF(NOT(ISNUMBER($G255)),"QUANTITE; ",IF(AND($C255="AJUSTEMENT",$G255=0),"QUANTITE &lt;&gt; 0; ",IF(AND($C255&lt;&gt;"AJUSTEMENT",$G255&lt;=0),"QUANTITE &gt; 0; ","")))&amp;IF(AND($C255="AJUSTEMENT",$H255=""),"MOTIF; ","")&amp;IF(AND(OR($C255="TRANSFERT",$C255="CONSOMMATION"),$E255=""),"EMPL. SOURCE; ","")&amp;IF(AND($C255&lt;&gt;"CONSOMMATION",$F255=""),"EMPL. DESTINATION; ","")&amp;IF(AND($C255="TRANSFERT",$E255&lt;&gt;"",$E255=$F255),"SOURCE = DESTINATION; ",""),IF($Q255="EMPLACEMENT INCOHERENT","Le lot "&amp;$D255&amp;" n'existe pas sur cet emplacement (stock 0). Verifier l'emplacement.",IF($Q255="STOCK INSUFFISANT","Disponible avant operation : "&amp;TEXT($P255,"#,##0.00")&amp;" kg. Ligne NON comptee en stock.",IF(COUNTIFS($B$5:$B$304,$B255,$C$5:$C$304,$C255,$D$5:$D$304,$D255,$G$5:$G$304,$G255)&gt;1,"Doublon possible (meme date, type, lot et quantite).",IF($K255="LOT NON REFERENCE","Creer d'abord la fiche du lot dans l'onglet LOTS.",""))))))</f>
        <v/>
      </c>
    </row>
    <row r="256" customFormat="false" ht="15" hidden="false" customHeight="false" outlineLevel="0" collapsed="false">
      <c r="A256" s="26" t="str">
        <f aca="false">IF($C256="","","OP-"&amp;TEXT(ROW()-4,"000"))</f>
        <v/>
      </c>
      <c r="B256" s="25"/>
      <c r="C256" s="24"/>
      <c r="D256" s="24"/>
      <c r="E256" s="24"/>
      <c r="F256" s="24"/>
      <c r="G256" s="29"/>
      <c r="H256" s="24"/>
      <c r="I256" s="24"/>
      <c r="J256" s="26" t="str">
        <f aca="false">IF($D256="","",IFERROR(INDEX(LOT_EXTE,MATCH($D256,LOT_KEY,0)),""))</f>
        <v/>
      </c>
      <c r="K256" s="26" t="str">
        <f aca="false">IF($D256="","",IFERROR(INDEX(LOT_PRODE,MATCH($D256,LOT_KEY,0)),"LOT NON REFERENCE"))</f>
        <v/>
      </c>
      <c r="L256" s="26" t="str">
        <f aca="false">IF($D256="","",IFERROR(INDEX(LOT_FOURNE,MATCH($D256,LOT_KEY,0)),""))</f>
        <v/>
      </c>
      <c r="M256" s="26" t="str">
        <f aca="false">IF($E256="","",IFERROR(INDEX(EMPL_CLASSE,MATCH($E256,EMPL_KEY,0)),"?"))</f>
        <v/>
      </c>
      <c r="N256" s="26" t="str">
        <f aca="false">IF($F256="","",IFERROR(INDEX(EMPL_CLASSE,MATCH($F256,EMPL_KEY,0)),"?"))</f>
        <v/>
      </c>
      <c r="O256" s="28" t="n">
        <f aca="false">IF($C256="",0,IF(OR($B256="",$D256=""),0,IF($C256="AJUSTEMENT",IF(OR(NOT(ISNUMBER($G256)),$G256=0,$F256="",$H256=""),0,1),IF(OR(NOT(ISNUMBER($G256)),$G256&lt;=0),0,IF($C256="RECEPTION",IF($F256="",0,1),IF($C256="CONSOMMATION",IF($E256="",0,1),IF(OR($E256="",$F256="",$E256=$F256),0,1)))))))</f>
        <v>0</v>
      </c>
      <c r="P256" s="27" t="str">
        <f aca="false">IF(OR($O256=0,$C256="RECEPTION"),"",IF($C256="AJUSTEMENT",IF($G256&gt;0,"",SUMIFS(MVT_BRUT,MVT_LOT,$D256,MVT_EMPL,$F256)-$G256),SUMIFS(MVT_BRUT,MVT_LOT,$D256,MVT_EMPL,$E256)+$G256))</f>
        <v/>
      </c>
      <c r="Q256" s="26" t="str">
        <f aca="false">IF($C256="","",IF($O256=0,"DONNEES MANQUANTES",IF($C256="RECEPTION","OK",IF(AND($C256="AJUSTEMENT",$G256&gt;0),"OK",IF($P256&lt;=0,"EMPLACEMENT INCOHERENT",IF(ABS($G256)&gt;$P256+0.001,"STOCK INSUFFISANT","OK"))))))</f>
        <v/>
      </c>
      <c r="R256" s="28" t="n">
        <f aca="false">IF($Q256="OK",1,0)</f>
        <v>0</v>
      </c>
      <c r="S256" s="26" t="str">
        <f aca="false">IF($C256="","",IF($O256=0,"A COMPLETER : "&amp;IF($B256="","DATE; ","")&amp;IF($D256="","LOT INTERNE; ","")&amp;IF(NOT(ISNUMBER($G256)),"QUANTITE; ",IF(AND($C256="AJUSTEMENT",$G256=0),"QUANTITE &lt;&gt; 0; ",IF(AND($C256&lt;&gt;"AJUSTEMENT",$G256&lt;=0),"QUANTITE &gt; 0; ","")))&amp;IF(AND($C256="AJUSTEMENT",$H256=""),"MOTIF; ","")&amp;IF(AND(OR($C256="TRANSFERT",$C256="CONSOMMATION"),$E256=""),"EMPL. SOURCE; ","")&amp;IF(AND($C256&lt;&gt;"CONSOMMATION",$F256=""),"EMPL. DESTINATION; ","")&amp;IF(AND($C256="TRANSFERT",$E256&lt;&gt;"",$E256=$F256),"SOURCE = DESTINATION; ",""),IF($Q256="EMPLACEMENT INCOHERENT","Le lot "&amp;$D256&amp;" n'existe pas sur cet emplacement (stock 0). Verifier l'emplacement.",IF($Q256="STOCK INSUFFISANT","Disponible avant operation : "&amp;TEXT($P256,"#,##0.00")&amp;" kg. Ligne NON comptee en stock.",IF(COUNTIFS($B$5:$B$304,$B256,$C$5:$C$304,$C256,$D$5:$D$304,$D256,$G$5:$G$304,$G256)&gt;1,"Doublon possible (meme date, type, lot et quantite).",IF($K256="LOT NON REFERENCE","Creer d'abord la fiche du lot dans l'onglet LOTS.",""))))))</f>
        <v/>
      </c>
    </row>
    <row r="257" customFormat="false" ht="15" hidden="false" customHeight="false" outlineLevel="0" collapsed="false">
      <c r="A257" s="26" t="str">
        <f aca="false">IF($C257="","","OP-"&amp;TEXT(ROW()-4,"000"))</f>
        <v/>
      </c>
      <c r="B257" s="25"/>
      <c r="C257" s="24"/>
      <c r="D257" s="24"/>
      <c r="E257" s="24"/>
      <c r="F257" s="24"/>
      <c r="G257" s="29"/>
      <c r="H257" s="24"/>
      <c r="I257" s="24"/>
      <c r="J257" s="26" t="str">
        <f aca="false">IF($D257="","",IFERROR(INDEX(LOT_EXTE,MATCH($D257,LOT_KEY,0)),""))</f>
        <v/>
      </c>
      <c r="K257" s="26" t="str">
        <f aca="false">IF($D257="","",IFERROR(INDEX(LOT_PRODE,MATCH($D257,LOT_KEY,0)),"LOT NON REFERENCE"))</f>
        <v/>
      </c>
      <c r="L257" s="26" t="str">
        <f aca="false">IF($D257="","",IFERROR(INDEX(LOT_FOURNE,MATCH($D257,LOT_KEY,0)),""))</f>
        <v/>
      </c>
      <c r="M257" s="26" t="str">
        <f aca="false">IF($E257="","",IFERROR(INDEX(EMPL_CLASSE,MATCH($E257,EMPL_KEY,0)),"?"))</f>
        <v/>
      </c>
      <c r="N257" s="26" t="str">
        <f aca="false">IF($F257="","",IFERROR(INDEX(EMPL_CLASSE,MATCH($F257,EMPL_KEY,0)),"?"))</f>
        <v/>
      </c>
      <c r="O257" s="28" t="n">
        <f aca="false">IF($C257="",0,IF(OR($B257="",$D257=""),0,IF($C257="AJUSTEMENT",IF(OR(NOT(ISNUMBER($G257)),$G257=0,$F257="",$H257=""),0,1),IF(OR(NOT(ISNUMBER($G257)),$G257&lt;=0),0,IF($C257="RECEPTION",IF($F257="",0,1),IF($C257="CONSOMMATION",IF($E257="",0,1),IF(OR($E257="",$F257="",$E257=$F257),0,1)))))))</f>
        <v>0</v>
      </c>
      <c r="P257" s="27" t="str">
        <f aca="false">IF(OR($O257=0,$C257="RECEPTION"),"",IF($C257="AJUSTEMENT",IF($G257&gt;0,"",SUMIFS(MVT_BRUT,MVT_LOT,$D257,MVT_EMPL,$F257)-$G257),SUMIFS(MVT_BRUT,MVT_LOT,$D257,MVT_EMPL,$E257)+$G257))</f>
        <v/>
      </c>
      <c r="Q257" s="26" t="str">
        <f aca="false">IF($C257="","",IF($O257=0,"DONNEES MANQUANTES",IF($C257="RECEPTION","OK",IF(AND($C257="AJUSTEMENT",$G257&gt;0),"OK",IF($P257&lt;=0,"EMPLACEMENT INCOHERENT",IF(ABS($G257)&gt;$P257+0.001,"STOCK INSUFFISANT","OK"))))))</f>
        <v/>
      </c>
      <c r="R257" s="28" t="n">
        <f aca="false">IF($Q257="OK",1,0)</f>
        <v>0</v>
      </c>
      <c r="S257" s="26" t="str">
        <f aca="false">IF($C257="","",IF($O257=0,"A COMPLETER : "&amp;IF($B257="","DATE; ","")&amp;IF($D257="","LOT INTERNE; ","")&amp;IF(NOT(ISNUMBER($G257)),"QUANTITE; ",IF(AND($C257="AJUSTEMENT",$G257=0),"QUANTITE &lt;&gt; 0; ",IF(AND($C257&lt;&gt;"AJUSTEMENT",$G257&lt;=0),"QUANTITE &gt; 0; ","")))&amp;IF(AND($C257="AJUSTEMENT",$H257=""),"MOTIF; ","")&amp;IF(AND(OR($C257="TRANSFERT",$C257="CONSOMMATION"),$E257=""),"EMPL. SOURCE; ","")&amp;IF(AND($C257&lt;&gt;"CONSOMMATION",$F257=""),"EMPL. DESTINATION; ","")&amp;IF(AND($C257="TRANSFERT",$E257&lt;&gt;"",$E257=$F257),"SOURCE = DESTINATION; ",""),IF($Q257="EMPLACEMENT INCOHERENT","Le lot "&amp;$D257&amp;" n'existe pas sur cet emplacement (stock 0). Verifier l'emplacement.",IF($Q257="STOCK INSUFFISANT","Disponible avant operation : "&amp;TEXT($P257,"#,##0.00")&amp;" kg. Ligne NON comptee en stock.",IF(COUNTIFS($B$5:$B$304,$B257,$C$5:$C$304,$C257,$D$5:$D$304,$D257,$G$5:$G$304,$G257)&gt;1,"Doublon possible (meme date, type, lot et quantite).",IF($K257="LOT NON REFERENCE","Creer d'abord la fiche du lot dans l'onglet LOTS.",""))))))</f>
        <v/>
      </c>
    </row>
    <row r="258" customFormat="false" ht="15" hidden="false" customHeight="false" outlineLevel="0" collapsed="false">
      <c r="A258" s="26" t="str">
        <f aca="false">IF($C258="","","OP-"&amp;TEXT(ROW()-4,"000"))</f>
        <v/>
      </c>
      <c r="B258" s="25"/>
      <c r="C258" s="24"/>
      <c r="D258" s="24"/>
      <c r="E258" s="24"/>
      <c r="F258" s="24"/>
      <c r="G258" s="29"/>
      <c r="H258" s="24"/>
      <c r="I258" s="24"/>
      <c r="J258" s="26" t="str">
        <f aca="false">IF($D258="","",IFERROR(INDEX(LOT_EXTE,MATCH($D258,LOT_KEY,0)),""))</f>
        <v/>
      </c>
      <c r="K258" s="26" t="str">
        <f aca="false">IF($D258="","",IFERROR(INDEX(LOT_PRODE,MATCH($D258,LOT_KEY,0)),"LOT NON REFERENCE"))</f>
        <v/>
      </c>
      <c r="L258" s="26" t="str">
        <f aca="false">IF($D258="","",IFERROR(INDEX(LOT_FOURNE,MATCH($D258,LOT_KEY,0)),""))</f>
        <v/>
      </c>
      <c r="M258" s="26" t="str">
        <f aca="false">IF($E258="","",IFERROR(INDEX(EMPL_CLASSE,MATCH($E258,EMPL_KEY,0)),"?"))</f>
        <v/>
      </c>
      <c r="N258" s="26" t="str">
        <f aca="false">IF($F258="","",IFERROR(INDEX(EMPL_CLASSE,MATCH($F258,EMPL_KEY,0)),"?"))</f>
        <v/>
      </c>
      <c r="O258" s="28" t="n">
        <f aca="false">IF($C258="",0,IF(OR($B258="",$D258=""),0,IF($C258="AJUSTEMENT",IF(OR(NOT(ISNUMBER($G258)),$G258=0,$F258="",$H258=""),0,1),IF(OR(NOT(ISNUMBER($G258)),$G258&lt;=0),0,IF($C258="RECEPTION",IF($F258="",0,1),IF($C258="CONSOMMATION",IF($E258="",0,1),IF(OR($E258="",$F258="",$E258=$F258),0,1)))))))</f>
        <v>0</v>
      </c>
      <c r="P258" s="27" t="str">
        <f aca="false">IF(OR($O258=0,$C258="RECEPTION"),"",IF($C258="AJUSTEMENT",IF($G258&gt;0,"",SUMIFS(MVT_BRUT,MVT_LOT,$D258,MVT_EMPL,$F258)-$G258),SUMIFS(MVT_BRUT,MVT_LOT,$D258,MVT_EMPL,$E258)+$G258))</f>
        <v/>
      </c>
      <c r="Q258" s="26" t="str">
        <f aca="false">IF($C258="","",IF($O258=0,"DONNEES MANQUANTES",IF($C258="RECEPTION","OK",IF(AND($C258="AJUSTEMENT",$G258&gt;0),"OK",IF($P258&lt;=0,"EMPLACEMENT INCOHERENT",IF(ABS($G258)&gt;$P258+0.001,"STOCK INSUFFISANT","OK"))))))</f>
        <v/>
      </c>
      <c r="R258" s="28" t="n">
        <f aca="false">IF($Q258="OK",1,0)</f>
        <v>0</v>
      </c>
      <c r="S258" s="26" t="str">
        <f aca="false">IF($C258="","",IF($O258=0,"A COMPLETER : "&amp;IF($B258="","DATE; ","")&amp;IF($D258="","LOT INTERNE; ","")&amp;IF(NOT(ISNUMBER($G258)),"QUANTITE; ",IF(AND($C258="AJUSTEMENT",$G258=0),"QUANTITE &lt;&gt; 0; ",IF(AND($C258&lt;&gt;"AJUSTEMENT",$G258&lt;=0),"QUANTITE &gt; 0; ","")))&amp;IF(AND($C258="AJUSTEMENT",$H258=""),"MOTIF; ","")&amp;IF(AND(OR($C258="TRANSFERT",$C258="CONSOMMATION"),$E258=""),"EMPL. SOURCE; ","")&amp;IF(AND($C258&lt;&gt;"CONSOMMATION",$F258=""),"EMPL. DESTINATION; ","")&amp;IF(AND($C258="TRANSFERT",$E258&lt;&gt;"",$E258=$F258),"SOURCE = DESTINATION; ",""),IF($Q258="EMPLACEMENT INCOHERENT","Le lot "&amp;$D258&amp;" n'existe pas sur cet emplacement (stock 0). Verifier l'emplacement.",IF($Q258="STOCK INSUFFISANT","Disponible avant operation : "&amp;TEXT($P258,"#,##0.00")&amp;" kg. Ligne NON comptee en stock.",IF(COUNTIFS($B$5:$B$304,$B258,$C$5:$C$304,$C258,$D$5:$D$304,$D258,$G$5:$G$304,$G258)&gt;1,"Doublon possible (meme date, type, lot et quantite).",IF($K258="LOT NON REFERENCE","Creer d'abord la fiche du lot dans l'onglet LOTS.",""))))))</f>
        <v/>
      </c>
    </row>
    <row r="259" customFormat="false" ht="15" hidden="false" customHeight="false" outlineLevel="0" collapsed="false">
      <c r="A259" s="26" t="str">
        <f aca="false">IF($C259="","","OP-"&amp;TEXT(ROW()-4,"000"))</f>
        <v/>
      </c>
      <c r="B259" s="25"/>
      <c r="C259" s="24"/>
      <c r="D259" s="24"/>
      <c r="E259" s="24"/>
      <c r="F259" s="24"/>
      <c r="G259" s="29"/>
      <c r="H259" s="24"/>
      <c r="I259" s="24"/>
      <c r="J259" s="26" t="str">
        <f aca="false">IF($D259="","",IFERROR(INDEX(LOT_EXTE,MATCH($D259,LOT_KEY,0)),""))</f>
        <v/>
      </c>
      <c r="K259" s="26" t="str">
        <f aca="false">IF($D259="","",IFERROR(INDEX(LOT_PRODE,MATCH($D259,LOT_KEY,0)),"LOT NON REFERENCE"))</f>
        <v/>
      </c>
      <c r="L259" s="26" t="str">
        <f aca="false">IF($D259="","",IFERROR(INDEX(LOT_FOURNE,MATCH($D259,LOT_KEY,0)),""))</f>
        <v/>
      </c>
      <c r="M259" s="26" t="str">
        <f aca="false">IF($E259="","",IFERROR(INDEX(EMPL_CLASSE,MATCH($E259,EMPL_KEY,0)),"?"))</f>
        <v/>
      </c>
      <c r="N259" s="26" t="str">
        <f aca="false">IF($F259="","",IFERROR(INDEX(EMPL_CLASSE,MATCH($F259,EMPL_KEY,0)),"?"))</f>
        <v/>
      </c>
      <c r="O259" s="28" t="n">
        <f aca="false">IF($C259="",0,IF(OR($B259="",$D259=""),0,IF($C259="AJUSTEMENT",IF(OR(NOT(ISNUMBER($G259)),$G259=0,$F259="",$H259=""),0,1),IF(OR(NOT(ISNUMBER($G259)),$G259&lt;=0),0,IF($C259="RECEPTION",IF($F259="",0,1),IF($C259="CONSOMMATION",IF($E259="",0,1),IF(OR($E259="",$F259="",$E259=$F259),0,1)))))))</f>
        <v>0</v>
      </c>
      <c r="P259" s="27" t="str">
        <f aca="false">IF(OR($O259=0,$C259="RECEPTION"),"",IF($C259="AJUSTEMENT",IF($G259&gt;0,"",SUMIFS(MVT_BRUT,MVT_LOT,$D259,MVT_EMPL,$F259)-$G259),SUMIFS(MVT_BRUT,MVT_LOT,$D259,MVT_EMPL,$E259)+$G259))</f>
        <v/>
      </c>
      <c r="Q259" s="26" t="str">
        <f aca="false">IF($C259="","",IF($O259=0,"DONNEES MANQUANTES",IF($C259="RECEPTION","OK",IF(AND($C259="AJUSTEMENT",$G259&gt;0),"OK",IF($P259&lt;=0,"EMPLACEMENT INCOHERENT",IF(ABS($G259)&gt;$P259+0.001,"STOCK INSUFFISANT","OK"))))))</f>
        <v/>
      </c>
      <c r="R259" s="28" t="n">
        <f aca="false">IF($Q259="OK",1,0)</f>
        <v>0</v>
      </c>
      <c r="S259" s="26" t="str">
        <f aca="false">IF($C259="","",IF($O259=0,"A COMPLETER : "&amp;IF($B259="","DATE; ","")&amp;IF($D259="","LOT INTERNE; ","")&amp;IF(NOT(ISNUMBER($G259)),"QUANTITE; ",IF(AND($C259="AJUSTEMENT",$G259=0),"QUANTITE &lt;&gt; 0; ",IF(AND($C259&lt;&gt;"AJUSTEMENT",$G259&lt;=0),"QUANTITE &gt; 0; ","")))&amp;IF(AND($C259="AJUSTEMENT",$H259=""),"MOTIF; ","")&amp;IF(AND(OR($C259="TRANSFERT",$C259="CONSOMMATION"),$E259=""),"EMPL. SOURCE; ","")&amp;IF(AND($C259&lt;&gt;"CONSOMMATION",$F259=""),"EMPL. DESTINATION; ","")&amp;IF(AND($C259="TRANSFERT",$E259&lt;&gt;"",$E259=$F259),"SOURCE = DESTINATION; ",""),IF($Q259="EMPLACEMENT INCOHERENT","Le lot "&amp;$D259&amp;" n'existe pas sur cet emplacement (stock 0). Verifier l'emplacement.",IF($Q259="STOCK INSUFFISANT","Disponible avant operation : "&amp;TEXT($P259,"#,##0.00")&amp;" kg. Ligne NON comptee en stock.",IF(COUNTIFS($B$5:$B$304,$B259,$C$5:$C$304,$C259,$D$5:$D$304,$D259,$G$5:$G$304,$G259)&gt;1,"Doublon possible (meme date, type, lot et quantite).",IF($K259="LOT NON REFERENCE","Creer d'abord la fiche du lot dans l'onglet LOTS.",""))))))</f>
        <v/>
      </c>
    </row>
    <row r="260" customFormat="false" ht="15" hidden="false" customHeight="false" outlineLevel="0" collapsed="false">
      <c r="A260" s="26" t="str">
        <f aca="false">IF($C260="","","OP-"&amp;TEXT(ROW()-4,"000"))</f>
        <v/>
      </c>
      <c r="B260" s="25"/>
      <c r="C260" s="24"/>
      <c r="D260" s="24"/>
      <c r="E260" s="24"/>
      <c r="F260" s="24"/>
      <c r="G260" s="29"/>
      <c r="H260" s="24"/>
      <c r="I260" s="24"/>
      <c r="J260" s="26" t="str">
        <f aca="false">IF($D260="","",IFERROR(INDEX(LOT_EXTE,MATCH($D260,LOT_KEY,0)),""))</f>
        <v/>
      </c>
      <c r="K260" s="26" t="str">
        <f aca="false">IF($D260="","",IFERROR(INDEX(LOT_PRODE,MATCH($D260,LOT_KEY,0)),"LOT NON REFERENCE"))</f>
        <v/>
      </c>
      <c r="L260" s="26" t="str">
        <f aca="false">IF($D260="","",IFERROR(INDEX(LOT_FOURNE,MATCH($D260,LOT_KEY,0)),""))</f>
        <v/>
      </c>
      <c r="M260" s="26" t="str">
        <f aca="false">IF($E260="","",IFERROR(INDEX(EMPL_CLASSE,MATCH($E260,EMPL_KEY,0)),"?"))</f>
        <v/>
      </c>
      <c r="N260" s="26" t="str">
        <f aca="false">IF($F260="","",IFERROR(INDEX(EMPL_CLASSE,MATCH($F260,EMPL_KEY,0)),"?"))</f>
        <v/>
      </c>
      <c r="O260" s="28" t="n">
        <f aca="false">IF($C260="",0,IF(OR($B260="",$D260=""),0,IF($C260="AJUSTEMENT",IF(OR(NOT(ISNUMBER($G260)),$G260=0,$F260="",$H260=""),0,1),IF(OR(NOT(ISNUMBER($G260)),$G260&lt;=0),0,IF($C260="RECEPTION",IF($F260="",0,1),IF($C260="CONSOMMATION",IF($E260="",0,1),IF(OR($E260="",$F260="",$E260=$F260),0,1)))))))</f>
        <v>0</v>
      </c>
      <c r="P260" s="27" t="str">
        <f aca="false">IF(OR($O260=0,$C260="RECEPTION"),"",IF($C260="AJUSTEMENT",IF($G260&gt;0,"",SUMIFS(MVT_BRUT,MVT_LOT,$D260,MVT_EMPL,$F260)-$G260),SUMIFS(MVT_BRUT,MVT_LOT,$D260,MVT_EMPL,$E260)+$G260))</f>
        <v/>
      </c>
      <c r="Q260" s="26" t="str">
        <f aca="false">IF($C260="","",IF($O260=0,"DONNEES MANQUANTES",IF($C260="RECEPTION","OK",IF(AND($C260="AJUSTEMENT",$G260&gt;0),"OK",IF($P260&lt;=0,"EMPLACEMENT INCOHERENT",IF(ABS($G260)&gt;$P260+0.001,"STOCK INSUFFISANT","OK"))))))</f>
        <v/>
      </c>
      <c r="R260" s="28" t="n">
        <f aca="false">IF($Q260="OK",1,0)</f>
        <v>0</v>
      </c>
      <c r="S260" s="26" t="str">
        <f aca="false">IF($C260="","",IF($O260=0,"A COMPLETER : "&amp;IF($B260="","DATE; ","")&amp;IF($D260="","LOT INTERNE; ","")&amp;IF(NOT(ISNUMBER($G260)),"QUANTITE; ",IF(AND($C260="AJUSTEMENT",$G260=0),"QUANTITE &lt;&gt; 0; ",IF(AND($C260&lt;&gt;"AJUSTEMENT",$G260&lt;=0),"QUANTITE &gt; 0; ","")))&amp;IF(AND($C260="AJUSTEMENT",$H260=""),"MOTIF; ","")&amp;IF(AND(OR($C260="TRANSFERT",$C260="CONSOMMATION"),$E260=""),"EMPL. SOURCE; ","")&amp;IF(AND($C260&lt;&gt;"CONSOMMATION",$F260=""),"EMPL. DESTINATION; ","")&amp;IF(AND($C260="TRANSFERT",$E260&lt;&gt;"",$E260=$F260),"SOURCE = DESTINATION; ",""),IF($Q260="EMPLACEMENT INCOHERENT","Le lot "&amp;$D260&amp;" n'existe pas sur cet emplacement (stock 0). Verifier l'emplacement.",IF($Q260="STOCK INSUFFISANT","Disponible avant operation : "&amp;TEXT($P260,"#,##0.00")&amp;" kg. Ligne NON comptee en stock.",IF(COUNTIFS($B$5:$B$304,$B260,$C$5:$C$304,$C260,$D$5:$D$304,$D260,$G$5:$G$304,$G260)&gt;1,"Doublon possible (meme date, type, lot et quantite).",IF($K260="LOT NON REFERENCE","Creer d'abord la fiche du lot dans l'onglet LOTS.",""))))))</f>
        <v/>
      </c>
    </row>
    <row r="261" customFormat="false" ht="15" hidden="false" customHeight="false" outlineLevel="0" collapsed="false">
      <c r="A261" s="26" t="str">
        <f aca="false">IF($C261="","","OP-"&amp;TEXT(ROW()-4,"000"))</f>
        <v/>
      </c>
      <c r="B261" s="25"/>
      <c r="C261" s="24"/>
      <c r="D261" s="24"/>
      <c r="E261" s="24"/>
      <c r="F261" s="24"/>
      <c r="G261" s="29"/>
      <c r="H261" s="24"/>
      <c r="I261" s="24"/>
      <c r="J261" s="26" t="str">
        <f aca="false">IF($D261="","",IFERROR(INDEX(LOT_EXTE,MATCH($D261,LOT_KEY,0)),""))</f>
        <v/>
      </c>
      <c r="K261" s="26" t="str">
        <f aca="false">IF($D261="","",IFERROR(INDEX(LOT_PRODE,MATCH($D261,LOT_KEY,0)),"LOT NON REFERENCE"))</f>
        <v/>
      </c>
      <c r="L261" s="26" t="str">
        <f aca="false">IF($D261="","",IFERROR(INDEX(LOT_FOURNE,MATCH($D261,LOT_KEY,0)),""))</f>
        <v/>
      </c>
      <c r="M261" s="26" t="str">
        <f aca="false">IF($E261="","",IFERROR(INDEX(EMPL_CLASSE,MATCH($E261,EMPL_KEY,0)),"?"))</f>
        <v/>
      </c>
      <c r="N261" s="26" t="str">
        <f aca="false">IF($F261="","",IFERROR(INDEX(EMPL_CLASSE,MATCH($F261,EMPL_KEY,0)),"?"))</f>
        <v/>
      </c>
      <c r="O261" s="28" t="n">
        <f aca="false">IF($C261="",0,IF(OR($B261="",$D261=""),0,IF($C261="AJUSTEMENT",IF(OR(NOT(ISNUMBER($G261)),$G261=0,$F261="",$H261=""),0,1),IF(OR(NOT(ISNUMBER($G261)),$G261&lt;=0),0,IF($C261="RECEPTION",IF($F261="",0,1),IF($C261="CONSOMMATION",IF($E261="",0,1),IF(OR($E261="",$F261="",$E261=$F261),0,1)))))))</f>
        <v>0</v>
      </c>
      <c r="P261" s="27" t="str">
        <f aca="false">IF(OR($O261=0,$C261="RECEPTION"),"",IF($C261="AJUSTEMENT",IF($G261&gt;0,"",SUMIFS(MVT_BRUT,MVT_LOT,$D261,MVT_EMPL,$F261)-$G261),SUMIFS(MVT_BRUT,MVT_LOT,$D261,MVT_EMPL,$E261)+$G261))</f>
        <v/>
      </c>
      <c r="Q261" s="26" t="str">
        <f aca="false">IF($C261="","",IF($O261=0,"DONNEES MANQUANTES",IF($C261="RECEPTION","OK",IF(AND($C261="AJUSTEMENT",$G261&gt;0),"OK",IF($P261&lt;=0,"EMPLACEMENT INCOHERENT",IF(ABS($G261)&gt;$P261+0.001,"STOCK INSUFFISANT","OK"))))))</f>
        <v/>
      </c>
      <c r="R261" s="28" t="n">
        <f aca="false">IF($Q261="OK",1,0)</f>
        <v>0</v>
      </c>
      <c r="S261" s="26" t="str">
        <f aca="false">IF($C261="","",IF($O261=0,"A COMPLETER : "&amp;IF($B261="","DATE; ","")&amp;IF($D261="","LOT INTERNE; ","")&amp;IF(NOT(ISNUMBER($G261)),"QUANTITE; ",IF(AND($C261="AJUSTEMENT",$G261=0),"QUANTITE &lt;&gt; 0; ",IF(AND($C261&lt;&gt;"AJUSTEMENT",$G261&lt;=0),"QUANTITE &gt; 0; ","")))&amp;IF(AND($C261="AJUSTEMENT",$H261=""),"MOTIF; ","")&amp;IF(AND(OR($C261="TRANSFERT",$C261="CONSOMMATION"),$E261=""),"EMPL. SOURCE; ","")&amp;IF(AND($C261&lt;&gt;"CONSOMMATION",$F261=""),"EMPL. DESTINATION; ","")&amp;IF(AND($C261="TRANSFERT",$E261&lt;&gt;"",$E261=$F261),"SOURCE = DESTINATION; ",""),IF($Q261="EMPLACEMENT INCOHERENT","Le lot "&amp;$D261&amp;" n'existe pas sur cet emplacement (stock 0). Verifier l'emplacement.",IF($Q261="STOCK INSUFFISANT","Disponible avant operation : "&amp;TEXT($P261,"#,##0.00")&amp;" kg. Ligne NON comptee en stock.",IF(COUNTIFS($B$5:$B$304,$B261,$C$5:$C$304,$C261,$D$5:$D$304,$D261,$G$5:$G$304,$G261)&gt;1,"Doublon possible (meme date, type, lot et quantite).",IF($K261="LOT NON REFERENCE","Creer d'abord la fiche du lot dans l'onglet LOTS.",""))))))</f>
        <v/>
      </c>
    </row>
    <row r="262" customFormat="false" ht="15" hidden="false" customHeight="false" outlineLevel="0" collapsed="false">
      <c r="A262" s="26" t="str">
        <f aca="false">IF($C262="","","OP-"&amp;TEXT(ROW()-4,"000"))</f>
        <v/>
      </c>
      <c r="B262" s="25"/>
      <c r="C262" s="24"/>
      <c r="D262" s="24"/>
      <c r="E262" s="24"/>
      <c r="F262" s="24"/>
      <c r="G262" s="29"/>
      <c r="H262" s="24"/>
      <c r="I262" s="24"/>
      <c r="J262" s="26" t="str">
        <f aca="false">IF($D262="","",IFERROR(INDEX(LOT_EXTE,MATCH($D262,LOT_KEY,0)),""))</f>
        <v/>
      </c>
      <c r="K262" s="26" t="str">
        <f aca="false">IF($D262="","",IFERROR(INDEX(LOT_PRODE,MATCH($D262,LOT_KEY,0)),"LOT NON REFERENCE"))</f>
        <v/>
      </c>
      <c r="L262" s="26" t="str">
        <f aca="false">IF($D262="","",IFERROR(INDEX(LOT_FOURNE,MATCH($D262,LOT_KEY,0)),""))</f>
        <v/>
      </c>
      <c r="M262" s="26" t="str">
        <f aca="false">IF($E262="","",IFERROR(INDEX(EMPL_CLASSE,MATCH($E262,EMPL_KEY,0)),"?"))</f>
        <v/>
      </c>
      <c r="N262" s="26" t="str">
        <f aca="false">IF($F262="","",IFERROR(INDEX(EMPL_CLASSE,MATCH($F262,EMPL_KEY,0)),"?"))</f>
        <v/>
      </c>
      <c r="O262" s="28" t="n">
        <f aca="false">IF($C262="",0,IF(OR($B262="",$D262=""),0,IF($C262="AJUSTEMENT",IF(OR(NOT(ISNUMBER($G262)),$G262=0,$F262="",$H262=""),0,1),IF(OR(NOT(ISNUMBER($G262)),$G262&lt;=0),0,IF($C262="RECEPTION",IF($F262="",0,1),IF($C262="CONSOMMATION",IF($E262="",0,1),IF(OR($E262="",$F262="",$E262=$F262),0,1)))))))</f>
        <v>0</v>
      </c>
      <c r="P262" s="27" t="str">
        <f aca="false">IF(OR($O262=0,$C262="RECEPTION"),"",IF($C262="AJUSTEMENT",IF($G262&gt;0,"",SUMIFS(MVT_BRUT,MVT_LOT,$D262,MVT_EMPL,$F262)-$G262),SUMIFS(MVT_BRUT,MVT_LOT,$D262,MVT_EMPL,$E262)+$G262))</f>
        <v/>
      </c>
      <c r="Q262" s="26" t="str">
        <f aca="false">IF($C262="","",IF($O262=0,"DONNEES MANQUANTES",IF($C262="RECEPTION","OK",IF(AND($C262="AJUSTEMENT",$G262&gt;0),"OK",IF($P262&lt;=0,"EMPLACEMENT INCOHERENT",IF(ABS($G262)&gt;$P262+0.001,"STOCK INSUFFISANT","OK"))))))</f>
        <v/>
      </c>
      <c r="R262" s="28" t="n">
        <f aca="false">IF($Q262="OK",1,0)</f>
        <v>0</v>
      </c>
      <c r="S262" s="26" t="str">
        <f aca="false">IF($C262="","",IF($O262=0,"A COMPLETER : "&amp;IF($B262="","DATE; ","")&amp;IF($D262="","LOT INTERNE; ","")&amp;IF(NOT(ISNUMBER($G262)),"QUANTITE; ",IF(AND($C262="AJUSTEMENT",$G262=0),"QUANTITE &lt;&gt; 0; ",IF(AND($C262&lt;&gt;"AJUSTEMENT",$G262&lt;=0),"QUANTITE &gt; 0; ","")))&amp;IF(AND($C262="AJUSTEMENT",$H262=""),"MOTIF; ","")&amp;IF(AND(OR($C262="TRANSFERT",$C262="CONSOMMATION"),$E262=""),"EMPL. SOURCE; ","")&amp;IF(AND($C262&lt;&gt;"CONSOMMATION",$F262=""),"EMPL. DESTINATION; ","")&amp;IF(AND($C262="TRANSFERT",$E262&lt;&gt;"",$E262=$F262),"SOURCE = DESTINATION; ",""),IF($Q262="EMPLACEMENT INCOHERENT","Le lot "&amp;$D262&amp;" n'existe pas sur cet emplacement (stock 0). Verifier l'emplacement.",IF($Q262="STOCK INSUFFISANT","Disponible avant operation : "&amp;TEXT($P262,"#,##0.00")&amp;" kg. Ligne NON comptee en stock.",IF(COUNTIFS($B$5:$B$304,$B262,$C$5:$C$304,$C262,$D$5:$D$304,$D262,$G$5:$G$304,$G262)&gt;1,"Doublon possible (meme date, type, lot et quantite).",IF($K262="LOT NON REFERENCE","Creer d'abord la fiche du lot dans l'onglet LOTS.",""))))))</f>
        <v/>
      </c>
    </row>
    <row r="263" customFormat="false" ht="15" hidden="false" customHeight="false" outlineLevel="0" collapsed="false">
      <c r="A263" s="26" t="str">
        <f aca="false">IF($C263="","","OP-"&amp;TEXT(ROW()-4,"000"))</f>
        <v/>
      </c>
      <c r="B263" s="25"/>
      <c r="C263" s="24"/>
      <c r="D263" s="24"/>
      <c r="E263" s="24"/>
      <c r="F263" s="24"/>
      <c r="G263" s="29"/>
      <c r="H263" s="24"/>
      <c r="I263" s="24"/>
      <c r="J263" s="26" t="str">
        <f aca="false">IF($D263="","",IFERROR(INDEX(LOT_EXTE,MATCH($D263,LOT_KEY,0)),""))</f>
        <v/>
      </c>
      <c r="K263" s="26" t="str">
        <f aca="false">IF($D263="","",IFERROR(INDEX(LOT_PRODE,MATCH($D263,LOT_KEY,0)),"LOT NON REFERENCE"))</f>
        <v/>
      </c>
      <c r="L263" s="26" t="str">
        <f aca="false">IF($D263="","",IFERROR(INDEX(LOT_FOURNE,MATCH($D263,LOT_KEY,0)),""))</f>
        <v/>
      </c>
      <c r="M263" s="26" t="str">
        <f aca="false">IF($E263="","",IFERROR(INDEX(EMPL_CLASSE,MATCH($E263,EMPL_KEY,0)),"?"))</f>
        <v/>
      </c>
      <c r="N263" s="26" t="str">
        <f aca="false">IF($F263="","",IFERROR(INDEX(EMPL_CLASSE,MATCH($F263,EMPL_KEY,0)),"?"))</f>
        <v/>
      </c>
      <c r="O263" s="28" t="n">
        <f aca="false">IF($C263="",0,IF(OR($B263="",$D263=""),0,IF($C263="AJUSTEMENT",IF(OR(NOT(ISNUMBER($G263)),$G263=0,$F263="",$H263=""),0,1),IF(OR(NOT(ISNUMBER($G263)),$G263&lt;=0),0,IF($C263="RECEPTION",IF($F263="",0,1),IF($C263="CONSOMMATION",IF($E263="",0,1),IF(OR($E263="",$F263="",$E263=$F263),0,1)))))))</f>
        <v>0</v>
      </c>
      <c r="P263" s="27" t="str">
        <f aca="false">IF(OR($O263=0,$C263="RECEPTION"),"",IF($C263="AJUSTEMENT",IF($G263&gt;0,"",SUMIFS(MVT_BRUT,MVT_LOT,$D263,MVT_EMPL,$F263)-$G263),SUMIFS(MVT_BRUT,MVT_LOT,$D263,MVT_EMPL,$E263)+$G263))</f>
        <v/>
      </c>
      <c r="Q263" s="26" t="str">
        <f aca="false">IF($C263="","",IF($O263=0,"DONNEES MANQUANTES",IF($C263="RECEPTION","OK",IF(AND($C263="AJUSTEMENT",$G263&gt;0),"OK",IF($P263&lt;=0,"EMPLACEMENT INCOHERENT",IF(ABS($G263)&gt;$P263+0.001,"STOCK INSUFFISANT","OK"))))))</f>
        <v/>
      </c>
      <c r="R263" s="28" t="n">
        <f aca="false">IF($Q263="OK",1,0)</f>
        <v>0</v>
      </c>
      <c r="S263" s="26" t="str">
        <f aca="false">IF($C263="","",IF($O263=0,"A COMPLETER : "&amp;IF($B263="","DATE; ","")&amp;IF($D263="","LOT INTERNE; ","")&amp;IF(NOT(ISNUMBER($G263)),"QUANTITE; ",IF(AND($C263="AJUSTEMENT",$G263=0),"QUANTITE &lt;&gt; 0; ",IF(AND($C263&lt;&gt;"AJUSTEMENT",$G263&lt;=0),"QUANTITE &gt; 0; ","")))&amp;IF(AND($C263="AJUSTEMENT",$H263=""),"MOTIF; ","")&amp;IF(AND(OR($C263="TRANSFERT",$C263="CONSOMMATION"),$E263=""),"EMPL. SOURCE; ","")&amp;IF(AND($C263&lt;&gt;"CONSOMMATION",$F263=""),"EMPL. DESTINATION; ","")&amp;IF(AND($C263="TRANSFERT",$E263&lt;&gt;"",$E263=$F263),"SOURCE = DESTINATION; ",""),IF($Q263="EMPLACEMENT INCOHERENT","Le lot "&amp;$D263&amp;" n'existe pas sur cet emplacement (stock 0). Verifier l'emplacement.",IF($Q263="STOCK INSUFFISANT","Disponible avant operation : "&amp;TEXT($P263,"#,##0.00")&amp;" kg. Ligne NON comptee en stock.",IF(COUNTIFS($B$5:$B$304,$B263,$C$5:$C$304,$C263,$D$5:$D$304,$D263,$G$5:$G$304,$G263)&gt;1,"Doublon possible (meme date, type, lot et quantite).",IF($K263="LOT NON REFERENCE","Creer d'abord la fiche du lot dans l'onglet LOTS.",""))))))</f>
        <v/>
      </c>
    </row>
    <row r="264" customFormat="false" ht="15" hidden="false" customHeight="false" outlineLevel="0" collapsed="false">
      <c r="A264" s="26" t="str">
        <f aca="false">IF($C264="","","OP-"&amp;TEXT(ROW()-4,"000"))</f>
        <v/>
      </c>
      <c r="B264" s="25"/>
      <c r="C264" s="24"/>
      <c r="D264" s="24"/>
      <c r="E264" s="24"/>
      <c r="F264" s="24"/>
      <c r="G264" s="29"/>
      <c r="H264" s="24"/>
      <c r="I264" s="24"/>
      <c r="J264" s="26" t="str">
        <f aca="false">IF($D264="","",IFERROR(INDEX(LOT_EXTE,MATCH($D264,LOT_KEY,0)),""))</f>
        <v/>
      </c>
      <c r="K264" s="26" t="str">
        <f aca="false">IF($D264="","",IFERROR(INDEX(LOT_PRODE,MATCH($D264,LOT_KEY,0)),"LOT NON REFERENCE"))</f>
        <v/>
      </c>
      <c r="L264" s="26" t="str">
        <f aca="false">IF($D264="","",IFERROR(INDEX(LOT_FOURNE,MATCH($D264,LOT_KEY,0)),""))</f>
        <v/>
      </c>
      <c r="M264" s="26" t="str">
        <f aca="false">IF($E264="","",IFERROR(INDEX(EMPL_CLASSE,MATCH($E264,EMPL_KEY,0)),"?"))</f>
        <v/>
      </c>
      <c r="N264" s="26" t="str">
        <f aca="false">IF($F264="","",IFERROR(INDEX(EMPL_CLASSE,MATCH($F264,EMPL_KEY,0)),"?"))</f>
        <v/>
      </c>
      <c r="O264" s="28" t="n">
        <f aca="false">IF($C264="",0,IF(OR($B264="",$D264=""),0,IF($C264="AJUSTEMENT",IF(OR(NOT(ISNUMBER($G264)),$G264=0,$F264="",$H264=""),0,1),IF(OR(NOT(ISNUMBER($G264)),$G264&lt;=0),0,IF($C264="RECEPTION",IF($F264="",0,1),IF($C264="CONSOMMATION",IF($E264="",0,1),IF(OR($E264="",$F264="",$E264=$F264),0,1)))))))</f>
        <v>0</v>
      </c>
      <c r="P264" s="27" t="str">
        <f aca="false">IF(OR($O264=0,$C264="RECEPTION"),"",IF($C264="AJUSTEMENT",IF($G264&gt;0,"",SUMIFS(MVT_BRUT,MVT_LOT,$D264,MVT_EMPL,$F264)-$G264),SUMIFS(MVT_BRUT,MVT_LOT,$D264,MVT_EMPL,$E264)+$G264))</f>
        <v/>
      </c>
      <c r="Q264" s="26" t="str">
        <f aca="false">IF($C264="","",IF($O264=0,"DONNEES MANQUANTES",IF($C264="RECEPTION","OK",IF(AND($C264="AJUSTEMENT",$G264&gt;0),"OK",IF($P264&lt;=0,"EMPLACEMENT INCOHERENT",IF(ABS($G264)&gt;$P264+0.001,"STOCK INSUFFISANT","OK"))))))</f>
        <v/>
      </c>
      <c r="R264" s="28" t="n">
        <f aca="false">IF($Q264="OK",1,0)</f>
        <v>0</v>
      </c>
      <c r="S264" s="26" t="str">
        <f aca="false">IF($C264="","",IF($O264=0,"A COMPLETER : "&amp;IF($B264="","DATE; ","")&amp;IF($D264="","LOT INTERNE; ","")&amp;IF(NOT(ISNUMBER($G264)),"QUANTITE; ",IF(AND($C264="AJUSTEMENT",$G264=0),"QUANTITE &lt;&gt; 0; ",IF(AND($C264&lt;&gt;"AJUSTEMENT",$G264&lt;=0),"QUANTITE &gt; 0; ","")))&amp;IF(AND($C264="AJUSTEMENT",$H264=""),"MOTIF; ","")&amp;IF(AND(OR($C264="TRANSFERT",$C264="CONSOMMATION"),$E264=""),"EMPL. SOURCE; ","")&amp;IF(AND($C264&lt;&gt;"CONSOMMATION",$F264=""),"EMPL. DESTINATION; ","")&amp;IF(AND($C264="TRANSFERT",$E264&lt;&gt;"",$E264=$F264),"SOURCE = DESTINATION; ",""),IF($Q264="EMPLACEMENT INCOHERENT","Le lot "&amp;$D264&amp;" n'existe pas sur cet emplacement (stock 0). Verifier l'emplacement.",IF($Q264="STOCK INSUFFISANT","Disponible avant operation : "&amp;TEXT($P264,"#,##0.00")&amp;" kg. Ligne NON comptee en stock.",IF(COUNTIFS($B$5:$B$304,$B264,$C$5:$C$304,$C264,$D$5:$D$304,$D264,$G$5:$G$304,$G264)&gt;1,"Doublon possible (meme date, type, lot et quantite).",IF($K264="LOT NON REFERENCE","Creer d'abord la fiche du lot dans l'onglet LOTS.",""))))))</f>
        <v/>
      </c>
    </row>
    <row r="265" customFormat="false" ht="15" hidden="false" customHeight="false" outlineLevel="0" collapsed="false">
      <c r="A265" s="26" t="str">
        <f aca="false">IF($C265="","","OP-"&amp;TEXT(ROW()-4,"000"))</f>
        <v/>
      </c>
      <c r="B265" s="25"/>
      <c r="C265" s="24"/>
      <c r="D265" s="24"/>
      <c r="E265" s="24"/>
      <c r="F265" s="24"/>
      <c r="G265" s="29"/>
      <c r="H265" s="24"/>
      <c r="I265" s="24"/>
      <c r="J265" s="26" t="str">
        <f aca="false">IF($D265="","",IFERROR(INDEX(LOT_EXTE,MATCH($D265,LOT_KEY,0)),""))</f>
        <v/>
      </c>
      <c r="K265" s="26" t="str">
        <f aca="false">IF($D265="","",IFERROR(INDEX(LOT_PRODE,MATCH($D265,LOT_KEY,0)),"LOT NON REFERENCE"))</f>
        <v/>
      </c>
      <c r="L265" s="26" t="str">
        <f aca="false">IF($D265="","",IFERROR(INDEX(LOT_FOURNE,MATCH($D265,LOT_KEY,0)),""))</f>
        <v/>
      </c>
      <c r="M265" s="26" t="str">
        <f aca="false">IF($E265="","",IFERROR(INDEX(EMPL_CLASSE,MATCH($E265,EMPL_KEY,0)),"?"))</f>
        <v/>
      </c>
      <c r="N265" s="26" t="str">
        <f aca="false">IF($F265="","",IFERROR(INDEX(EMPL_CLASSE,MATCH($F265,EMPL_KEY,0)),"?"))</f>
        <v/>
      </c>
      <c r="O265" s="28" t="n">
        <f aca="false">IF($C265="",0,IF(OR($B265="",$D265=""),0,IF($C265="AJUSTEMENT",IF(OR(NOT(ISNUMBER($G265)),$G265=0,$F265="",$H265=""),0,1),IF(OR(NOT(ISNUMBER($G265)),$G265&lt;=0),0,IF($C265="RECEPTION",IF($F265="",0,1),IF($C265="CONSOMMATION",IF($E265="",0,1),IF(OR($E265="",$F265="",$E265=$F265),0,1)))))))</f>
        <v>0</v>
      </c>
      <c r="P265" s="27" t="str">
        <f aca="false">IF(OR($O265=0,$C265="RECEPTION"),"",IF($C265="AJUSTEMENT",IF($G265&gt;0,"",SUMIFS(MVT_BRUT,MVT_LOT,$D265,MVT_EMPL,$F265)-$G265),SUMIFS(MVT_BRUT,MVT_LOT,$D265,MVT_EMPL,$E265)+$G265))</f>
        <v/>
      </c>
      <c r="Q265" s="26" t="str">
        <f aca="false">IF($C265="","",IF($O265=0,"DONNEES MANQUANTES",IF($C265="RECEPTION","OK",IF(AND($C265="AJUSTEMENT",$G265&gt;0),"OK",IF($P265&lt;=0,"EMPLACEMENT INCOHERENT",IF(ABS($G265)&gt;$P265+0.001,"STOCK INSUFFISANT","OK"))))))</f>
        <v/>
      </c>
      <c r="R265" s="28" t="n">
        <f aca="false">IF($Q265="OK",1,0)</f>
        <v>0</v>
      </c>
      <c r="S265" s="26" t="str">
        <f aca="false">IF($C265="","",IF($O265=0,"A COMPLETER : "&amp;IF($B265="","DATE; ","")&amp;IF($D265="","LOT INTERNE; ","")&amp;IF(NOT(ISNUMBER($G265)),"QUANTITE; ",IF(AND($C265="AJUSTEMENT",$G265=0),"QUANTITE &lt;&gt; 0; ",IF(AND($C265&lt;&gt;"AJUSTEMENT",$G265&lt;=0),"QUANTITE &gt; 0; ","")))&amp;IF(AND($C265="AJUSTEMENT",$H265=""),"MOTIF; ","")&amp;IF(AND(OR($C265="TRANSFERT",$C265="CONSOMMATION"),$E265=""),"EMPL. SOURCE; ","")&amp;IF(AND($C265&lt;&gt;"CONSOMMATION",$F265=""),"EMPL. DESTINATION; ","")&amp;IF(AND($C265="TRANSFERT",$E265&lt;&gt;"",$E265=$F265),"SOURCE = DESTINATION; ",""),IF($Q265="EMPLACEMENT INCOHERENT","Le lot "&amp;$D265&amp;" n'existe pas sur cet emplacement (stock 0). Verifier l'emplacement.",IF($Q265="STOCK INSUFFISANT","Disponible avant operation : "&amp;TEXT($P265,"#,##0.00")&amp;" kg. Ligne NON comptee en stock.",IF(COUNTIFS($B$5:$B$304,$B265,$C$5:$C$304,$C265,$D$5:$D$304,$D265,$G$5:$G$304,$G265)&gt;1,"Doublon possible (meme date, type, lot et quantite).",IF($K265="LOT NON REFERENCE","Creer d'abord la fiche du lot dans l'onglet LOTS.",""))))))</f>
        <v/>
      </c>
    </row>
    <row r="266" customFormat="false" ht="15" hidden="false" customHeight="false" outlineLevel="0" collapsed="false">
      <c r="A266" s="26" t="str">
        <f aca="false">IF($C266="","","OP-"&amp;TEXT(ROW()-4,"000"))</f>
        <v/>
      </c>
      <c r="B266" s="25"/>
      <c r="C266" s="24"/>
      <c r="D266" s="24"/>
      <c r="E266" s="24"/>
      <c r="F266" s="24"/>
      <c r="G266" s="29"/>
      <c r="H266" s="24"/>
      <c r="I266" s="24"/>
      <c r="J266" s="26" t="str">
        <f aca="false">IF($D266="","",IFERROR(INDEX(LOT_EXTE,MATCH($D266,LOT_KEY,0)),""))</f>
        <v/>
      </c>
      <c r="K266" s="26" t="str">
        <f aca="false">IF($D266="","",IFERROR(INDEX(LOT_PRODE,MATCH($D266,LOT_KEY,0)),"LOT NON REFERENCE"))</f>
        <v/>
      </c>
      <c r="L266" s="26" t="str">
        <f aca="false">IF($D266="","",IFERROR(INDEX(LOT_FOURNE,MATCH($D266,LOT_KEY,0)),""))</f>
        <v/>
      </c>
      <c r="M266" s="26" t="str">
        <f aca="false">IF($E266="","",IFERROR(INDEX(EMPL_CLASSE,MATCH($E266,EMPL_KEY,0)),"?"))</f>
        <v/>
      </c>
      <c r="N266" s="26" t="str">
        <f aca="false">IF($F266="","",IFERROR(INDEX(EMPL_CLASSE,MATCH($F266,EMPL_KEY,0)),"?"))</f>
        <v/>
      </c>
      <c r="O266" s="28" t="n">
        <f aca="false">IF($C266="",0,IF(OR($B266="",$D266=""),0,IF($C266="AJUSTEMENT",IF(OR(NOT(ISNUMBER($G266)),$G266=0,$F266="",$H266=""),0,1),IF(OR(NOT(ISNUMBER($G266)),$G266&lt;=0),0,IF($C266="RECEPTION",IF($F266="",0,1),IF($C266="CONSOMMATION",IF($E266="",0,1),IF(OR($E266="",$F266="",$E266=$F266),0,1)))))))</f>
        <v>0</v>
      </c>
      <c r="P266" s="27" t="str">
        <f aca="false">IF(OR($O266=0,$C266="RECEPTION"),"",IF($C266="AJUSTEMENT",IF($G266&gt;0,"",SUMIFS(MVT_BRUT,MVT_LOT,$D266,MVT_EMPL,$F266)-$G266),SUMIFS(MVT_BRUT,MVT_LOT,$D266,MVT_EMPL,$E266)+$G266))</f>
        <v/>
      </c>
      <c r="Q266" s="26" t="str">
        <f aca="false">IF($C266="","",IF($O266=0,"DONNEES MANQUANTES",IF($C266="RECEPTION","OK",IF(AND($C266="AJUSTEMENT",$G266&gt;0),"OK",IF($P266&lt;=0,"EMPLACEMENT INCOHERENT",IF(ABS($G266)&gt;$P266+0.001,"STOCK INSUFFISANT","OK"))))))</f>
        <v/>
      </c>
      <c r="R266" s="28" t="n">
        <f aca="false">IF($Q266="OK",1,0)</f>
        <v>0</v>
      </c>
      <c r="S266" s="26" t="str">
        <f aca="false">IF($C266="","",IF($O266=0,"A COMPLETER : "&amp;IF($B266="","DATE; ","")&amp;IF($D266="","LOT INTERNE; ","")&amp;IF(NOT(ISNUMBER($G266)),"QUANTITE; ",IF(AND($C266="AJUSTEMENT",$G266=0),"QUANTITE &lt;&gt; 0; ",IF(AND($C266&lt;&gt;"AJUSTEMENT",$G266&lt;=0),"QUANTITE &gt; 0; ","")))&amp;IF(AND($C266="AJUSTEMENT",$H266=""),"MOTIF; ","")&amp;IF(AND(OR($C266="TRANSFERT",$C266="CONSOMMATION"),$E266=""),"EMPL. SOURCE; ","")&amp;IF(AND($C266&lt;&gt;"CONSOMMATION",$F266=""),"EMPL. DESTINATION; ","")&amp;IF(AND($C266="TRANSFERT",$E266&lt;&gt;"",$E266=$F266),"SOURCE = DESTINATION; ",""),IF($Q266="EMPLACEMENT INCOHERENT","Le lot "&amp;$D266&amp;" n'existe pas sur cet emplacement (stock 0). Verifier l'emplacement.",IF($Q266="STOCK INSUFFISANT","Disponible avant operation : "&amp;TEXT($P266,"#,##0.00")&amp;" kg. Ligne NON comptee en stock.",IF(COUNTIFS($B$5:$B$304,$B266,$C$5:$C$304,$C266,$D$5:$D$304,$D266,$G$5:$G$304,$G266)&gt;1,"Doublon possible (meme date, type, lot et quantite).",IF($K266="LOT NON REFERENCE","Creer d'abord la fiche du lot dans l'onglet LOTS.",""))))))</f>
        <v/>
      </c>
    </row>
    <row r="267" customFormat="false" ht="15" hidden="false" customHeight="false" outlineLevel="0" collapsed="false">
      <c r="A267" s="26" t="str">
        <f aca="false">IF($C267="","","OP-"&amp;TEXT(ROW()-4,"000"))</f>
        <v/>
      </c>
      <c r="B267" s="25"/>
      <c r="C267" s="24"/>
      <c r="D267" s="24"/>
      <c r="E267" s="24"/>
      <c r="F267" s="24"/>
      <c r="G267" s="29"/>
      <c r="H267" s="24"/>
      <c r="I267" s="24"/>
      <c r="J267" s="26" t="str">
        <f aca="false">IF($D267="","",IFERROR(INDEX(LOT_EXTE,MATCH($D267,LOT_KEY,0)),""))</f>
        <v/>
      </c>
      <c r="K267" s="26" t="str">
        <f aca="false">IF($D267="","",IFERROR(INDEX(LOT_PRODE,MATCH($D267,LOT_KEY,0)),"LOT NON REFERENCE"))</f>
        <v/>
      </c>
      <c r="L267" s="26" t="str">
        <f aca="false">IF($D267="","",IFERROR(INDEX(LOT_FOURNE,MATCH($D267,LOT_KEY,0)),""))</f>
        <v/>
      </c>
      <c r="M267" s="26" t="str">
        <f aca="false">IF($E267="","",IFERROR(INDEX(EMPL_CLASSE,MATCH($E267,EMPL_KEY,0)),"?"))</f>
        <v/>
      </c>
      <c r="N267" s="26" t="str">
        <f aca="false">IF($F267="","",IFERROR(INDEX(EMPL_CLASSE,MATCH($F267,EMPL_KEY,0)),"?"))</f>
        <v/>
      </c>
      <c r="O267" s="28" t="n">
        <f aca="false">IF($C267="",0,IF(OR($B267="",$D267=""),0,IF($C267="AJUSTEMENT",IF(OR(NOT(ISNUMBER($G267)),$G267=0,$F267="",$H267=""),0,1),IF(OR(NOT(ISNUMBER($G267)),$G267&lt;=0),0,IF($C267="RECEPTION",IF($F267="",0,1),IF($C267="CONSOMMATION",IF($E267="",0,1),IF(OR($E267="",$F267="",$E267=$F267),0,1)))))))</f>
        <v>0</v>
      </c>
      <c r="P267" s="27" t="str">
        <f aca="false">IF(OR($O267=0,$C267="RECEPTION"),"",IF($C267="AJUSTEMENT",IF($G267&gt;0,"",SUMIFS(MVT_BRUT,MVT_LOT,$D267,MVT_EMPL,$F267)-$G267),SUMIFS(MVT_BRUT,MVT_LOT,$D267,MVT_EMPL,$E267)+$G267))</f>
        <v/>
      </c>
      <c r="Q267" s="26" t="str">
        <f aca="false">IF($C267="","",IF($O267=0,"DONNEES MANQUANTES",IF($C267="RECEPTION","OK",IF(AND($C267="AJUSTEMENT",$G267&gt;0),"OK",IF($P267&lt;=0,"EMPLACEMENT INCOHERENT",IF(ABS($G267)&gt;$P267+0.001,"STOCK INSUFFISANT","OK"))))))</f>
        <v/>
      </c>
      <c r="R267" s="28" t="n">
        <f aca="false">IF($Q267="OK",1,0)</f>
        <v>0</v>
      </c>
      <c r="S267" s="26" t="str">
        <f aca="false">IF($C267="","",IF($O267=0,"A COMPLETER : "&amp;IF($B267="","DATE; ","")&amp;IF($D267="","LOT INTERNE; ","")&amp;IF(NOT(ISNUMBER($G267)),"QUANTITE; ",IF(AND($C267="AJUSTEMENT",$G267=0),"QUANTITE &lt;&gt; 0; ",IF(AND($C267&lt;&gt;"AJUSTEMENT",$G267&lt;=0),"QUANTITE &gt; 0; ","")))&amp;IF(AND($C267="AJUSTEMENT",$H267=""),"MOTIF; ","")&amp;IF(AND(OR($C267="TRANSFERT",$C267="CONSOMMATION"),$E267=""),"EMPL. SOURCE; ","")&amp;IF(AND($C267&lt;&gt;"CONSOMMATION",$F267=""),"EMPL. DESTINATION; ","")&amp;IF(AND($C267="TRANSFERT",$E267&lt;&gt;"",$E267=$F267),"SOURCE = DESTINATION; ",""),IF($Q267="EMPLACEMENT INCOHERENT","Le lot "&amp;$D267&amp;" n'existe pas sur cet emplacement (stock 0). Verifier l'emplacement.",IF($Q267="STOCK INSUFFISANT","Disponible avant operation : "&amp;TEXT($P267,"#,##0.00")&amp;" kg. Ligne NON comptee en stock.",IF(COUNTIFS($B$5:$B$304,$B267,$C$5:$C$304,$C267,$D$5:$D$304,$D267,$G$5:$G$304,$G267)&gt;1,"Doublon possible (meme date, type, lot et quantite).",IF($K267="LOT NON REFERENCE","Creer d'abord la fiche du lot dans l'onglet LOTS.",""))))))</f>
        <v/>
      </c>
    </row>
    <row r="268" customFormat="false" ht="15" hidden="false" customHeight="false" outlineLevel="0" collapsed="false">
      <c r="A268" s="26" t="str">
        <f aca="false">IF($C268="","","OP-"&amp;TEXT(ROW()-4,"000"))</f>
        <v/>
      </c>
      <c r="B268" s="25"/>
      <c r="C268" s="24"/>
      <c r="D268" s="24"/>
      <c r="E268" s="24"/>
      <c r="F268" s="24"/>
      <c r="G268" s="29"/>
      <c r="H268" s="24"/>
      <c r="I268" s="24"/>
      <c r="J268" s="26" t="str">
        <f aca="false">IF($D268="","",IFERROR(INDEX(LOT_EXTE,MATCH($D268,LOT_KEY,0)),""))</f>
        <v/>
      </c>
      <c r="K268" s="26" t="str">
        <f aca="false">IF($D268="","",IFERROR(INDEX(LOT_PRODE,MATCH($D268,LOT_KEY,0)),"LOT NON REFERENCE"))</f>
        <v/>
      </c>
      <c r="L268" s="26" t="str">
        <f aca="false">IF($D268="","",IFERROR(INDEX(LOT_FOURNE,MATCH($D268,LOT_KEY,0)),""))</f>
        <v/>
      </c>
      <c r="M268" s="26" t="str">
        <f aca="false">IF($E268="","",IFERROR(INDEX(EMPL_CLASSE,MATCH($E268,EMPL_KEY,0)),"?"))</f>
        <v/>
      </c>
      <c r="N268" s="26" t="str">
        <f aca="false">IF($F268="","",IFERROR(INDEX(EMPL_CLASSE,MATCH($F268,EMPL_KEY,0)),"?"))</f>
        <v/>
      </c>
      <c r="O268" s="28" t="n">
        <f aca="false">IF($C268="",0,IF(OR($B268="",$D268=""),0,IF($C268="AJUSTEMENT",IF(OR(NOT(ISNUMBER($G268)),$G268=0,$F268="",$H268=""),0,1),IF(OR(NOT(ISNUMBER($G268)),$G268&lt;=0),0,IF($C268="RECEPTION",IF($F268="",0,1),IF($C268="CONSOMMATION",IF($E268="",0,1),IF(OR($E268="",$F268="",$E268=$F268),0,1)))))))</f>
        <v>0</v>
      </c>
      <c r="P268" s="27" t="str">
        <f aca="false">IF(OR($O268=0,$C268="RECEPTION"),"",IF($C268="AJUSTEMENT",IF($G268&gt;0,"",SUMIFS(MVT_BRUT,MVT_LOT,$D268,MVT_EMPL,$F268)-$G268),SUMIFS(MVT_BRUT,MVT_LOT,$D268,MVT_EMPL,$E268)+$G268))</f>
        <v/>
      </c>
      <c r="Q268" s="26" t="str">
        <f aca="false">IF($C268="","",IF($O268=0,"DONNEES MANQUANTES",IF($C268="RECEPTION","OK",IF(AND($C268="AJUSTEMENT",$G268&gt;0),"OK",IF($P268&lt;=0,"EMPLACEMENT INCOHERENT",IF(ABS($G268)&gt;$P268+0.001,"STOCK INSUFFISANT","OK"))))))</f>
        <v/>
      </c>
      <c r="R268" s="28" t="n">
        <f aca="false">IF($Q268="OK",1,0)</f>
        <v>0</v>
      </c>
      <c r="S268" s="26" t="str">
        <f aca="false">IF($C268="","",IF($O268=0,"A COMPLETER : "&amp;IF($B268="","DATE; ","")&amp;IF($D268="","LOT INTERNE; ","")&amp;IF(NOT(ISNUMBER($G268)),"QUANTITE; ",IF(AND($C268="AJUSTEMENT",$G268=0),"QUANTITE &lt;&gt; 0; ",IF(AND($C268&lt;&gt;"AJUSTEMENT",$G268&lt;=0),"QUANTITE &gt; 0; ","")))&amp;IF(AND($C268="AJUSTEMENT",$H268=""),"MOTIF; ","")&amp;IF(AND(OR($C268="TRANSFERT",$C268="CONSOMMATION"),$E268=""),"EMPL. SOURCE; ","")&amp;IF(AND($C268&lt;&gt;"CONSOMMATION",$F268=""),"EMPL. DESTINATION; ","")&amp;IF(AND($C268="TRANSFERT",$E268&lt;&gt;"",$E268=$F268),"SOURCE = DESTINATION; ",""),IF($Q268="EMPLACEMENT INCOHERENT","Le lot "&amp;$D268&amp;" n'existe pas sur cet emplacement (stock 0). Verifier l'emplacement.",IF($Q268="STOCK INSUFFISANT","Disponible avant operation : "&amp;TEXT($P268,"#,##0.00")&amp;" kg. Ligne NON comptee en stock.",IF(COUNTIFS($B$5:$B$304,$B268,$C$5:$C$304,$C268,$D$5:$D$304,$D268,$G$5:$G$304,$G268)&gt;1,"Doublon possible (meme date, type, lot et quantite).",IF($K268="LOT NON REFERENCE","Creer d'abord la fiche du lot dans l'onglet LOTS.",""))))))</f>
        <v/>
      </c>
    </row>
    <row r="269" customFormat="false" ht="15" hidden="false" customHeight="false" outlineLevel="0" collapsed="false">
      <c r="A269" s="26" t="str">
        <f aca="false">IF($C269="","","OP-"&amp;TEXT(ROW()-4,"000"))</f>
        <v/>
      </c>
      <c r="B269" s="25"/>
      <c r="C269" s="24"/>
      <c r="D269" s="24"/>
      <c r="E269" s="24"/>
      <c r="F269" s="24"/>
      <c r="G269" s="29"/>
      <c r="H269" s="24"/>
      <c r="I269" s="24"/>
      <c r="J269" s="26" t="str">
        <f aca="false">IF($D269="","",IFERROR(INDEX(LOT_EXTE,MATCH($D269,LOT_KEY,0)),""))</f>
        <v/>
      </c>
      <c r="K269" s="26" t="str">
        <f aca="false">IF($D269="","",IFERROR(INDEX(LOT_PRODE,MATCH($D269,LOT_KEY,0)),"LOT NON REFERENCE"))</f>
        <v/>
      </c>
      <c r="L269" s="26" t="str">
        <f aca="false">IF($D269="","",IFERROR(INDEX(LOT_FOURNE,MATCH($D269,LOT_KEY,0)),""))</f>
        <v/>
      </c>
      <c r="M269" s="26" t="str">
        <f aca="false">IF($E269="","",IFERROR(INDEX(EMPL_CLASSE,MATCH($E269,EMPL_KEY,0)),"?"))</f>
        <v/>
      </c>
      <c r="N269" s="26" t="str">
        <f aca="false">IF($F269="","",IFERROR(INDEX(EMPL_CLASSE,MATCH($F269,EMPL_KEY,0)),"?"))</f>
        <v/>
      </c>
      <c r="O269" s="28" t="n">
        <f aca="false">IF($C269="",0,IF(OR($B269="",$D269=""),0,IF($C269="AJUSTEMENT",IF(OR(NOT(ISNUMBER($G269)),$G269=0,$F269="",$H269=""),0,1),IF(OR(NOT(ISNUMBER($G269)),$G269&lt;=0),0,IF($C269="RECEPTION",IF($F269="",0,1),IF($C269="CONSOMMATION",IF($E269="",0,1),IF(OR($E269="",$F269="",$E269=$F269),0,1)))))))</f>
        <v>0</v>
      </c>
      <c r="P269" s="27" t="str">
        <f aca="false">IF(OR($O269=0,$C269="RECEPTION"),"",IF($C269="AJUSTEMENT",IF($G269&gt;0,"",SUMIFS(MVT_BRUT,MVT_LOT,$D269,MVT_EMPL,$F269)-$G269),SUMIFS(MVT_BRUT,MVT_LOT,$D269,MVT_EMPL,$E269)+$G269))</f>
        <v/>
      </c>
      <c r="Q269" s="26" t="str">
        <f aca="false">IF($C269="","",IF($O269=0,"DONNEES MANQUANTES",IF($C269="RECEPTION","OK",IF(AND($C269="AJUSTEMENT",$G269&gt;0),"OK",IF($P269&lt;=0,"EMPLACEMENT INCOHERENT",IF(ABS($G269)&gt;$P269+0.001,"STOCK INSUFFISANT","OK"))))))</f>
        <v/>
      </c>
      <c r="R269" s="28" t="n">
        <f aca="false">IF($Q269="OK",1,0)</f>
        <v>0</v>
      </c>
      <c r="S269" s="26" t="str">
        <f aca="false">IF($C269="","",IF($O269=0,"A COMPLETER : "&amp;IF($B269="","DATE; ","")&amp;IF($D269="","LOT INTERNE; ","")&amp;IF(NOT(ISNUMBER($G269)),"QUANTITE; ",IF(AND($C269="AJUSTEMENT",$G269=0),"QUANTITE &lt;&gt; 0; ",IF(AND($C269&lt;&gt;"AJUSTEMENT",$G269&lt;=0),"QUANTITE &gt; 0; ","")))&amp;IF(AND($C269="AJUSTEMENT",$H269=""),"MOTIF; ","")&amp;IF(AND(OR($C269="TRANSFERT",$C269="CONSOMMATION"),$E269=""),"EMPL. SOURCE; ","")&amp;IF(AND($C269&lt;&gt;"CONSOMMATION",$F269=""),"EMPL. DESTINATION; ","")&amp;IF(AND($C269="TRANSFERT",$E269&lt;&gt;"",$E269=$F269),"SOURCE = DESTINATION; ",""),IF($Q269="EMPLACEMENT INCOHERENT","Le lot "&amp;$D269&amp;" n'existe pas sur cet emplacement (stock 0). Verifier l'emplacement.",IF($Q269="STOCK INSUFFISANT","Disponible avant operation : "&amp;TEXT($P269,"#,##0.00")&amp;" kg. Ligne NON comptee en stock.",IF(COUNTIFS($B$5:$B$304,$B269,$C$5:$C$304,$C269,$D$5:$D$304,$D269,$G$5:$G$304,$G269)&gt;1,"Doublon possible (meme date, type, lot et quantite).",IF($K269="LOT NON REFERENCE","Creer d'abord la fiche du lot dans l'onglet LOTS.",""))))))</f>
        <v/>
      </c>
    </row>
    <row r="270" customFormat="false" ht="15" hidden="false" customHeight="false" outlineLevel="0" collapsed="false">
      <c r="A270" s="26" t="str">
        <f aca="false">IF($C270="","","OP-"&amp;TEXT(ROW()-4,"000"))</f>
        <v/>
      </c>
      <c r="B270" s="25"/>
      <c r="C270" s="24"/>
      <c r="D270" s="24"/>
      <c r="E270" s="24"/>
      <c r="F270" s="24"/>
      <c r="G270" s="29"/>
      <c r="H270" s="24"/>
      <c r="I270" s="24"/>
      <c r="J270" s="26" t="str">
        <f aca="false">IF($D270="","",IFERROR(INDEX(LOT_EXTE,MATCH($D270,LOT_KEY,0)),""))</f>
        <v/>
      </c>
      <c r="K270" s="26" t="str">
        <f aca="false">IF($D270="","",IFERROR(INDEX(LOT_PRODE,MATCH($D270,LOT_KEY,0)),"LOT NON REFERENCE"))</f>
        <v/>
      </c>
      <c r="L270" s="26" t="str">
        <f aca="false">IF($D270="","",IFERROR(INDEX(LOT_FOURNE,MATCH($D270,LOT_KEY,0)),""))</f>
        <v/>
      </c>
      <c r="M270" s="26" t="str">
        <f aca="false">IF($E270="","",IFERROR(INDEX(EMPL_CLASSE,MATCH($E270,EMPL_KEY,0)),"?"))</f>
        <v/>
      </c>
      <c r="N270" s="26" t="str">
        <f aca="false">IF($F270="","",IFERROR(INDEX(EMPL_CLASSE,MATCH($F270,EMPL_KEY,0)),"?"))</f>
        <v/>
      </c>
      <c r="O270" s="28" t="n">
        <f aca="false">IF($C270="",0,IF(OR($B270="",$D270=""),0,IF($C270="AJUSTEMENT",IF(OR(NOT(ISNUMBER($G270)),$G270=0,$F270="",$H270=""),0,1),IF(OR(NOT(ISNUMBER($G270)),$G270&lt;=0),0,IF($C270="RECEPTION",IF($F270="",0,1),IF($C270="CONSOMMATION",IF($E270="",0,1),IF(OR($E270="",$F270="",$E270=$F270),0,1)))))))</f>
        <v>0</v>
      </c>
      <c r="P270" s="27" t="str">
        <f aca="false">IF(OR($O270=0,$C270="RECEPTION"),"",IF($C270="AJUSTEMENT",IF($G270&gt;0,"",SUMIFS(MVT_BRUT,MVT_LOT,$D270,MVT_EMPL,$F270)-$G270),SUMIFS(MVT_BRUT,MVT_LOT,$D270,MVT_EMPL,$E270)+$G270))</f>
        <v/>
      </c>
      <c r="Q270" s="26" t="str">
        <f aca="false">IF($C270="","",IF($O270=0,"DONNEES MANQUANTES",IF($C270="RECEPTION","OK",IF(AND($C270="AJUSTEMENT",$G270&gt;0),"OK",IF($P270&lt;=0,"EMPLACEMENT INCOHERENT",IF(ABS($G270)&gt;$P270+0.001,"STOCK INSUFFISANT","OK"))))))</f>
        <v/>
      </c>
      <c r="R270" s="28" t="n">
        <f aca="false">IF($Q270="OK",1,0)</f>
        <v>0</v>
      </c>
      <c r="S270" s="26" t="str">
        <f aca="false">IF($C270="","",IF($O270=0,"A COMPLETER : "&amp;IF($B270="","DATE; ","")&amp;IF($D270="","LOT INTERNE; ","")&amp;IF(NOT(ISNUMBER($G270)),"QUANTITE; ",IF(AND($C270="AJUSTEMENT",$G270=0),"QUANTITE &lt;&gt; 0; ",IF(AND($C270&lt;&gt;"AJUSTEMENT",$G270&lt;=0),"QUANTITE &gt; 0; ","")))&amp;IF(AND($C270="AJUSTEMENT",$H270=""),"MOTIF; ","")&amp;IF(AND(OR($C270="TRANSFERT",$C270="CONSOMMATION"),$E270=""),"EMPL. SOURCE; ","")&amp;IF(AND($C270&lt;&gt;"CONSOMMATION",$F270=""),"EMPL. DESTINATION; ","")&amp;IF(AND($C270="TRANSFERT",$E270&lt;&gt;"",$E270=$F270),"SOURCE = DESTINATION; ",""),IF($Q270="EMPLACEMENT INCOHERENT","Le lot "&amp;$D270&amp;" n'existe pas sur cet emplacement (stock 0). Verifier l'emplacement.",IF($Q270="STOCK INSUFFISANT","Disponible avant operation : "&amp;TEXT($P270,"#,##0.00")&amp;" kg. Ligne NON comptee en stock.",IF(COUNTIFS($B$5:$B$304,$B270,$C$5:$C$304,$C270,$D$5:$D$304,$D270,$G$5:$G$304,$G270)&gt;1,"Doublon possible (meme date, type, lot et quantite).",IF($K270="LOT NON REFERENCE","Creer d'abord la fiche du lot dans l'onglet LOTS.",""))))))</f>
        <v/>
      </c>
    </row>
    <row r="271" customFormat="false" ht="15" hidden="false" customHeight="false" outlineLevel="0" collapsed="false">
      <c r="A271" s="26" t="str">
        <f aca="false">IF($C271="","","OP-"&amp;TEXT(ROW()-4,"000"))</f>
        <v/>
      </c>
      <c r="B271" s="25"/>
      <c r="C271" s="24"/>
      <c r="D271" s="24"/>
      <c r="E271" s="24"/>
      <c r="F271" s="24"/>
      <c r="G271" s="29"/>
      <c r="H271" s="24"/>
      <c r="I271" s="24"/>
      <c r="J271" s="26" t="str">
        <f aca="false">IF($D271="","",IFERROR(INDEX(LOT_EXTE,MATCH($D271,LOT_KEY,0)),""))</f>
        <v/>
      </c>
      <c r="K271" s="26" t="str">
        <f aca="false">IF($D271="","",IFERROR(INDEX(LOT_PRODE,MATCH($D271,LOT_KEY,0)),"LOT NON REFERENCE"))</f>
        <v/>
      </c>
      <c r="L271" s="26" t="str">
        <f aca="false">IF($D271="","",IFERROR(INDEX(LOT_FOURNE,MATCH($D271,LOT_KEY,0)),""))</f>
        <v/>
      </c>
      <c r="M271" s="26" t="str">
        <f aca="false">IF($E271="","",IFERROR(INDEX(EMPL_CLASSE,MATCH($E271,EMPL_KEY,0)),"?"))</f>
        <v/>
      </c>
      <c r="N271" s="26" t="str">
        <f aca="false">IF($F271="","",IFERROR(INDEX(EMPL_CLASSE,MATCH($F271,EMPL_KEY,0)),"?"))</f>
        <v/>
      </c>
      <c r="O271" s="28" t="n">
        <f aca="false">IF($C271="",0,IF(OR($B271="",$D271=""),0,IF($C271="AJUSTEMENT",IF(OR(NOT(ISNUMBER($G271)),$G271=0,$F271="",$H271=""),0,1),IF(OR(NOT(ISNUMBER($G271)),$G271&lt;=0),0,IF($C271="RECEPTION",IF($F271="",0,1),IF($C271="CONSOMMATION",IF($E271="",0,1),IF(OR($E271="",$F271="",$E271=$F271),0,1)))))))</f>
        <v>0</v>
      </c>
      <c r="P271" s="27" t="str">
        <f aca="false">IF(OR($O271=0,$C271="RECEPTION"),"",IF($C271="AJUSTEMENT",IF($G271&gt;0,"",SUMIFS(MVT_BRUT,MVT_LOT,$D271,MVT_EMPL,$F271)-$G271),SUMIFS(MVT_BRUT,MVT_LOT,$D271,MVT_EMPL,$E271)+$G271))</f>
        <v/>
      </c>
      <c r="Q271" s="26" t="str">
        <f aca="false">IF($C271="","",IF($O271=0,"DONNEES MANQUANTES",IF($C271="RECEPTION","OK",IF(AND($C271="AJUSTEMENT",$G271&gt;0),"OK",IF($P271&lt;=0,"EMPLACEMENT INCOHERENT",IF(ABS($G271)&gt;$P271+0.001,"STOCK INSUFFISANT","OK"))))))</f>
        <v/>
      </c>
      <c r="R271" s="28" t="n">
        <f aca="false">IF($Q271="OK",1,0)</f>
        <v>0</v>
      </c>
      <c r="S271" s="26" t="str">
        <f aca="false">IF($C271="","",IF($O271=0,"A COMPLETER : "&amp;IF($B271="","DATE; ","")&amp;IF($D271="","LOT INTERNE; ","")&amp;IF(NOT(ISNUMBER($G271)),"QUANTITE; ",IF(AND($C271="AJUSTEMENT",$G271=0),"QUANTITE &lt;&gt; 0; ",IF(AND($C271&lt;&gt;"AJUSTEMENT",$G271&lt;=0),"QUANTITE &gt; 0; ","")))&amp;IF(AND($C271="AJUSTEMENT",$H271=""),"MOTIF; ","")&amp;IF(AND(OR($C271="TRANSFERT",$C271="CONSOMMATION"),$E271=""),"EMPL. SOURCE; ","")&amp;IF(AND($C271&lt;&gt;"CONSOMMATION",$F271=""),"EMPL. DESTINATION; ","")&amp;IF(AND($C271="TRANSFERT",$E271&lt;&gt;"",$E271=$F271),"SOURCE = DESTINATION; ",""),IF($Q271="EMPLACEMENT INCOHERENT","Le lot "&amp;$D271&amp;" n'existe pas sur cet emplacement (stock 0). Verifier l'emplacement.",IF($Q271="STOCK INSUFFISANT","Disponible avant operation : "&amp;TEXT($P271,"#,##0.00")&amp;" kg. Ligne NON comptee en stock.",IF(COUNTIFS($B$5:$B$304,$B271,$C$5:$C$304,$C271,$D$5:$D$304,$D271,$G$5:$G$304,$G271)&gt;1,"Doublon possible (meme date, type, lot et quantite).",IF($K271="LOT NON REFERENCE","Creer d'abord la fiche du lot dans l'onglet LOTS.",""))))))</f>
        <v/>
      </c>
    </row>
    <row r="272" customFormat="false" ht="15" hidden="false" customHeight="false" outlineLevel="0" collapsed="false">
      <c r="A272" s="26" t="str">
        <f aca="false">IF($C272="","","OP-"&amp;TEXT(ROW()-4,"000"))</f>
        <v/>
      </c>
      <c r="B272" s="25"/>
      <c r="C272" s="24"/>
      <c r="D272" s="24"/>
      <c r="E272" s="24"/>
      <c r="F272" s="24"/>
      <c r="G272" s="29"/>
      <c r="H272" s="24"/>
      <c r="I272" s="24"/>
      <c r="J272" s="26" t="str">
        <f aca="false">IF($D272="","",IFERROR(INDEX(LOT_EXTE,MATCH($D272,LOT_KEY,0)),""))</f>
        <v/>
      </c>
      <c r="K272" s="26" t="str">
        <f aca="false">IF($D272="","",IFERROR(INDEX(LOT_PRODE,MATCH($D272,LOT_KEY,0)),"LOT NON REFERENCE"))</f>
        <v/>
      </c>
      <c r="L272" s="26" t="str">
        <f aca="false">IF($D272="","",IFERROR(INDEX(LOT_FOURNE,MATCH($D272,LOT_KEY,0)),""))</f>
        <v/>
      </c>
      <c r="M272" s="26" t="str">
        <f aca="false">IF($E272="","",IFERROR(INDEX(EMPL_CLASSE,MATCH($E272,EMPL_KEY,0)),"?"))</f>
        <v/>
      </c>
      <c r="N272" s="26" t="str">
        <f aca="false">IF($F272="","",IFERROR(INDEX(EMPL_CLASSE,MATCH($F272,EMPL_KEY,0)),"?"))</f>
        <v/>
      </c>
      <c r="O272" s="28" t="n">
        <f aca="false">IF($C272="",0,IF(OR($B272="",$D272=""),0,IF($C272="AJUSTEMENT",IF(OR(NOT(ISNUMBER($G272)),$G272=0,$F272="",$H272=""),0,1),IF(OR(NOT(ISNUMBER($G272)),$G272&lt;=0),0,IF($C272="RECEPTION",IF($F272="",0,1),IF($C272="CONSOMMATION",IF($E272="",0,1),IF(OR($E272="",$F272="",$E272=$F272),0,1)))))))</f>
        <v>0</v>
      </c>
      <c r="P272" s="27" t="str">
        <f aca="false">IF(OR($O272=0,$C272="RECEPTION"),"",IF($C272="AJUSTEMENT",IF($G272&gt;0,"",SUMIFS(MVT_BRUT,MVT_LOT,$D272,MVT_EMPL,$F272)-$G272),SUMIFS(MVT_BRUT,MVT_LOT,$D272,MVT_EMPL,$E272)+$G272))</f>
        <v/>
      </c>
      <c r="Q272" s="26" t="str">
        <f aca="false">IF($C272="","",IF($O272=0,"DONNEES MANQUANTES",IF($C272="RECEPTION","OK",IF(AND($C272="AJUSTEMENT",$G272&gt;0),"OK",IF($P272&lt;=0,"EMPLACEMENT INCOHERENT",IF(ABS($G272)&gt;$P272+0.001,"STOCK INSUFFISANT","OK"))))))</f>
        <v/>
      </c>
      <c r="R272" s="28" t="n">
        <f aca="false">IF($Q272="OK",1,0)</f>
        <v>0</v>
      </c>
      <c r="S272" s="26" t="str">
        <f aca="false">IF($C272="","",IF($O272=0,"A COMPLETER : "&amp;IF($B272="","DATE; ","")&amp;IF($D272="","LOT INTERNE; ","")&amp;IF(NOT(ISNUMBER($G272)),"QUANTITE; ",IF(AND($C272="AJUSTEMENT",$G272=0),"QUANTITE &lt;&gt; 0; ",IF(AND($C272&lt;&gt;"AJUSTEMENT",$G272&lt;=0),"QUANTITE &gt; 0; ","")))&amp;IF(AND($C272="AJUSTEMENT",$H272=""),"MOTIF; ","")&amp;IF(AND(OR($C272="TRANSFERT",$C272="CONSOMMATION"),$E272=""),"EMPL. SOURCE; ","")&amp;IF(AND($C272&lt;&gt;"CONSOMMATION",$F272=""),"EMPL. DESTINATION; ","")&amp;IF(AND($C272="TRANSFERT",$E272&lt;&gt;"",$E272=$F272),"SOURCE = DESTINATION; ",""),IF($Q272="EMPLACEMENT INCOHERENT","Le lot "&amp;$D272&amp;" n'existe pas sur cet emplacement (stock 0). Verifier l'emplacement.",IF($Q272="STOCK INSUFFISANT","Disponible avant operation : "&amp;TEXT($P272,"#,##0.00")&amp;" kg. Ligne NON comptee en stock.",IF(COUNTIFS($B$5:$B$304,$B272,$C$5:$C$304,$C272,$D$5:$D$304,$D272,$G$5:$G$304,$G272)&gt;1,"Doublon possible (meme date, type, lot et quantite).",IF($K272="LOT NON REFERENCE","Creer d'abord la fiche du lot dans l'onglet LOTS.",""))))))</f>
        <v/>
      </c>
    </row>
    <row r="273" customFormat="false" ht="15" hidden="false" customHeight="false" outlineLevel="0" collapsed="false">
      <c r="A273" s="26" t="str">
        <f aca="false">IF($C273="","","OP-"&amp;TEXT(ROW()-4,"000"))</f>
        <v/>
      </c>
      <c r="B273" s="25"/>
      <c r="C273" s="24"/>
      <c r="D273" s="24"/>
      <c r="E273" s="24"/>
      <c r="F273" s="24"/>
      <c r="G273" s="29"/>
      <c r="H273" s="24"/>
      <c r="I273" s="24"/>
      <c r="J273" s="26" t="str">
        <f aca="false">IF($D273="","",IFERROR(INDEX(LOT_EXTE,MATCH($D273,LOT_KEY,0)),""))</f>
        <v/>
      </c>
      <c r="K273" s="26" t="str">
        <f aca="false">IF($D273="","",IFERROR(INDEX(LOT_PRODE,MATCH($D273,LOT_KEY,0)),"LOT NON REFERENCE"))</f>
        <v/>
      </c>
      <c r="L273" s="26" t="str">
        <f aca="false">IF($D273="","",IFERROR(INDEX(LOT_FOURNE,MATCH($D273,LOT_KEY,0)),""))</f>
        <v/>
      </c>
      <c r="M273" s="26" t="str">
        <f aca="false">IF($E273="","",IFERROR(INDEX(EMPL_CLASSE,MATCH($E273,EMPL_KEY,0)),"?"))</f>
        <v/>
      </c>
      <c r="N273" s="26" t="str">
        <f aca="false">IF($F273="","",IFERROR(INDEX(EMPL_CLASSE,MATCH($F273,EMPL_KEY,0)),"?"))</f>
        <v/>
      </c>
      <c r="O273" s="28" t="n">
        <f aca="false">IF($C273="",0,IF(OR($B273="",$D273=""),0,IF($C273="AJUSTEMENT",IF(OR(NOT(ISNUMBER($G273)),$G273=0,$F273="",$H273=""),0,1),IF(OR(NOT(ISNUMBER($G273)),$G273&lt;=0),0,IF($C273="RECEPTION",IF($F273="",0,1),IF($C273="CONSOMMATION",IF($E273="",0,1),IF(OR($E273="",$F273="",$E273=$F273),0,1)))))))</f>
        <v>0</v>
      </c>
      <c r="P273" s="27" t="str">
        <f aca="false">IF(OR($O273=0,$C273="RECEPTION"),"",IF($C273="AJUSTEMENT",IF($G273&gt;0,"",SUMIFS(MVT_BRUT,MVT_LOT,$D273,MVT_EMPL,$F273)-$G273),SUMIFS(MVT_BRUT,MVT_LOT,$D273,MVT_EMPL,$E273)+$G273))</f>
        <v/>
      </c>
      <c r="Q273" s="26" t="str">
        <f aca="false">IF($C273="","",IF($O273=0,"DONNEES MANQUANTES",IF($C273="RECEPTION","OK",IF(AND($C273="AJUSTEMENT",$G273&gt;0),"OK",IF($P273&lt;=0,"EMPLACEMENT INCOHERENT",IF(ABS($G273)&gt;$P273+0.001,"STOCK INSUFFISANT","OK"))))))</f>
        <v/>
      </c>
      <c r="R273" s="28" t="n">
        <f aca="false">IF($Q273="OK",1,0)</f>
        <v>0</v>
      </c>
      <c r="S273" s="26" t="str">
        <f aca="false">IF($C273="","",IF($O273=0,"A COMPLETER : "&amp;IF($B273="","DATE; ","")&amp;IF($D273="","LOT INTERNE; ","")&amp;IF(NOT(ISNUMBER($G273)),"QUANTITE; ",IF(AND($C273="AJUSTEMENT",$G273=0),"QUANTITE &lt;&gt; 0; ",IF(AND($C273&lt;&gt;"AJUSTEMENT",$G273&lt;=0),"QUANTITE &gt; 0; ","")))&amp;IF(AND($C273="AJUSTEMENT",$H273=""),"MOTIF; ","")&amp;IF(AND(OR($C273="TRANSFERT",$C273="CONSOMMATION"),$E273=""),"EMPL. SOURCE; ","")&amp;IF(AND($C273&lt;&gt;"CONSOMMATION",$F273=""),"EMPL. DESTINATION; ","")&amp;IF(AND($C273="TRANSFERT",$E273&lt;&gt;"",$E273=$F273),"SOURCE = DESTINATION; ",""),IF($Q273="EMPLACEMENT INCOHERENT","Le lot "&amp;$D273&amp;" n'existe pas sur cet emplacement (stock 0). Verifier l'emplacement.",IF($Q273="STOCK INSUFFISANT","Disponible avant operation : "&amp;TEXT($P273,"#,##0.00")&amp;" kg. Ligne NON comptee en stock.",IF(COUNTIFS($B$5:$B$304,$B273,$C$5:$C$304,$C273,$D$5:$D$304,$D273,$G$5:$G$304,$G273)&gt;1,"Doublon possible (meme date, type, lot et quantite).",IF($K273="LOT NON REFERENCE","Creer d'abord la fiche du lot dans l'onglet LOTS.",""))))))</f>
        <v/>
      </c>
    </row>
    <row r="274" customFormat="false" ht="15" hidden="false" customHeight="false" outlineLevel="0" collapsed="false">
      <c r="A274" s="26" t="str">
        <f aca="false">IF($C274="","","OP-"&amp;TEXT(ROW()-4,"000"))</f>
        <v/>
      </c>
      <c r="B274" s="25"/>
      <c r="C274" s="24"/>
      <c r="D274" s="24"/>
      <c r="E274" s="24"/>
      <c r="F274" s="24"/>
      <c r="G274" s="29"/>
      <c r="H274" s="24"/>
      <c r="I274" s="24"/>
      <c r="J274" s="26" t="str">
        <f aca="false">IF($D274="","",IFERROR(INDEX(LOT_EXTE,MATCH($D274,LOT_KEY,0)),""))</f>
        <v/>
      </c>
      <c r="K274" s="26" t="str">
        <f aca="false">IF($D274="","",IFERROR(INDEX(LOT_PRODE,MATCH($D274,LOT_KEY,0)),"LOT NON REFERENCE"))</f>
        <v/>
      </c>
      <c r="L274" s="26" t="str">
        <f aca="false">IF($D274="","",IFERROR(INDEX(LOT_FOURNE,MATCH($D274,LOT_KEY,0)),""))</f>
        <v/>
      </c>
      <c r="M274" s="26" t="str">
        <f aca="false">IF($E274="","",IFERROR(INDEX(EMPL_CLASSE,MATCH($E274,EMPL_KEY,0)),"?"))</f>
        <v/>
      </c>
      <c r="N274" s="26" t="str">
        <f aca="false">IF($F274="","",IFERROR(INDEX(EMPL_CLASSE,MATCH($F274,EMPL_KEY,0)),"?"))</f>
        <v/>
      </c>
      <c r="O274" s="28" t="n">
        <f aca="false">IF($C274="",0,IF(OR($B274="",$D274=""),0,IF($C274="AJUSTEMENT",IF(OR(NOT(ISNUMBER($G274)),$G274=0,$F274="",$H274=""),0,1),IF(OR(NOT(ISNUMBER($G274)),$G274&lt;=0),0,IF($C274="RECEPTION",IF($F274="",0,1),IF($C274="CONSOMMATION",IF($E274="",0,1),IF(OR($E274="",$F274="",$E274=$F274),0,1)))))))</f>
        <v>0</v>
      </c>
      <c r="P274" s="27" t="str">
        <f aca="false">IF(OR($O274=0,$C274="RECEPTION"),"",IF($C274="AJUSTEMENT",IF($G274&gt;0,"",SUMIFS(MVT_BRUT,MVT_LOT,$D274,MVT_EMPL,$F274)-$G274),SUMIFS(MVT_BRUT,MVT_LOT,$D274,MVT_EMPL,$E274)+$G274))</f>
        <v/>
      </c>
      <c r="Q274" s="26" t="str">
        <f aca="false">IF($C274="","",IF($O274=0,"DONNEES MANQUANTES",IF($C274="RECEPTION","OK",IF(AND($C274="AJUSTEMENT",$G274&gt;0),"OK",IF($P274&lt;=0,"EMPLACEMENT INCOHERENT",IF(ABS($G274)&gt;$P274+0.001,"STOCK INSUFFISANT","OK"))))))</f>
        <v/>
      </c>
      <c r="R274" s="28" t="n">
        <f aca="false">IF($Q274="OK",1,0)</f>
        <v>0</v>
      </c>
      <c r="S274" s="26" t="str">
        <f aca="false">IF($C274="","",IF($O274=0,"A COMPLETER : "&amp;IF($B274="","DATE; ","")&amp;IF($D274="","LOT INTERNE; ","")&amp;IF(NOT(ISNUMBER($G274)),"QUANTITE; ",IF(AND($C274="AJUSTEMENT",$G274=0),"QUANTITE &lt;&gt; 0; ",IF(AND($C274&lt;&gt;"AJUSTEMENT",$G274&lt;=0),"QUANTITE &gt; 0; ","")))&amp;IF(AND($C274="AJUSTEMENT",$H274=""),"MOTIF; ","")&amp;IF(AND(OR($C274="TRANSFERT",$C274="CONSOMMATION"),$E274=""),"EMPL. SOURCE; ","")&amp;IF(AND($C274&lt;&gt;"CONSOMMATION",$F274=""),"EMPL. DESTINATION; ","")&amp;IF(AND($C274="TRANSFERT",$E274&lt;&gt;"",$E274=$F274),"SOURCE = DESTINATION; ",""),IF($Q274="EMPLACEMENT INCOHERENT","Le lot "&amp;$D274&amp;" n'existe pas sur cet emplacement (stock 0). Verifier l'emplacement.",IF($Q274="STOCK INSUFFISANT","Disponible avant operation : "&amp;TEXT($P274,"#,##0.00")&amp;" kg. Ligne NON comptee en stock.",IF(COUNTIFS($B$5:$B$304,$B274,$C$5:$C$304,$C274,$D$5:$D$304,$D274,$G$5:$G$304,$G274)&gt;1,"Doublon possible (meme date, type, lot et quantite).",IF($K274="LOT NON REFERENCE","Creer d'abord la fiche du lot dans l'onglet LOTS.",""))))))</f>
        <v/>
      </c>
    </row>
    <row r="275" customFormat="false" ht="15" hidden="false" customHeight="false" outlineLevel="0" collapsed="false">
      <c r="A275" s="26" t="str">
        <f aca="false">IF($C275="","","OP-"&amp;TEXT(ROW()-4,"000"))</f>
        <v/>
      </c>
      <c r="B275" s="25"/>
      <c r="C275" s="24"/>
      <c r="D275" s="24"/>
      <c r="E275" s="24"/>
      <c r="F275" s="24"/>
      <c r="G275" s="29"/>
      <c r="H275" s="24"/>
      <c r="I275" s="24"/>
      <c r="J275" s="26" t="str">
        <f aca="false">IF($D275="","",IFERROR(INDEX(LOT_EXTE,MATCH($D275,LOT_KEY,0)),""))</f>
        <v/>
      </c>
      <c r="K275" s="26" t="str">
        <f aca="false">IF($D275="","",IFERROR(INDEX(LOT_PRODE,MATCH($D275,LOT_KEY,0)),"LOT NON REFERENCE"))</f>
        <v/>
      </c>
      <c r="L275" s="26" t="str">
        <f aca="false">IF($D275="","",IFERROR(INDEX(LOT_FOURNE,MATCH($D275,LOT_KEY,0)),""))</f>
        <v/>
      </c>
      <c r="M275" s="26" t="str">
        <f aca="false">IF($E275="","",IFERROR(INDEX(EMPL_CLASSE,MATCH($E275,EMPL_KEY,0)),"?"))</f>
        <v/>
      </c>
      <c r="N275" s="26" t="str">
        <f aca="false">IF($F275="","",IFERROR(INDEX(EMPL_CLASSE,MATCH($F275,EMPL_KEY,0)),"?"))</f>
        <v/>
      </c>
      <c r="O275" s="28" t="n">
        <f aca="false">IF($C275="",0,IF(OR($B275="",$D275=""),0,IF($C275="AJUSTEMENT",IF(OR(NOT(ISNUMBER($G275)),$G275=0,$F275="",$H275=""),0,1),IF(OR(NOT(ISNUMBER($G275)),$G275&lt;=0),0,IF($C275="RECEPTION",IF($F275="",0,1),IF($C275="CONSOMMATION",IF($E275="",0,1),IF(OR($E275="",$F275="",$E275=$F275),0,1)))))))</f>
        <v>0</v>
      </c>
      <c r="P275" s="27" t="str">
        <f aca="false">IF(OR($O275=0,$C275="RECEPTION"),"",IF($C275="AJUSTEMENT",IF($G275&gt;0,"",SUMIFS(MVT_BRUT,MVT_LOT,$D275,MVT_EMPL,$F275)-$G275),SUMIFS(MVT_BRUT,MVT_LOT,$D275,MVT_EMPL,$E275)+$G275))</f>
        <v/>
      </c>
      <c r="Q275" s="26" t="str">
        <f aca="false">IF($C275="","",IF($O275=0,"DONNEES MANQUANTES",IF($C275="RECEPTION","OK",IF(AND($C275="AJUSTEMENT",$G275&gt;0),"OK",IF($P275&lt;=0,"EMPLACEMENT INCOHERENT",IF(ABS($G275)&gt;$P275+0.001,"STOCK INSUFFISANT","OK"))))))</f>
        <v/>
      </c>
      <c r="R275" s="28" t="n">
        <f aca="false">IF($Q275="OK",1,0)</f>
        <v>0</v>
      </c>
      <c r="S275" s="26" t="str">
        <f aca="false">IF($C275="","",IF($O275=0,"A COMPLETER : "&amp;IF($B275="","DATE; ","")&amp;IF($D275="","LOT INTERNE; ","")&amp;IF(NOT(ISNUMBER($G275)),"QUANTITE; ",IF(AND($C275="AJUSTEMENT",$G275=0),"QUANTITE &lt;&gt; 0; ",IF(AND($C275&lt;&gt;"AJUSTEMENT",$G275&lt;=0),"QUANTITE &gt; 0; ","")))&amp;IF(AND($C275="AJUSTEMENT",$H275=""),"MOTIF; ","")&amp;IF(AND(OR($C275="TRANSFERT",$C275="CONSOMMATION"),$E275=""),"EMPL. SOURCE; ","")&amp;IF(AND($C275&lt;&gt;"CONSOMMATION",$F275=""),"EMPL. DESTINATION; ","")&amp;IF(AND($C275="TRANSFERT",$E275&lt;&gt;"",$E275=$F275),"SOURCE = DESTINATION; ",""),IF($Q275="EMPLACEMENT INCOHERENT","Le lot "&amp;$D275&amp;" n'existe pas sur cet emplacement (stock 0). Verifier l'emplacement.",IF($Q275="STOCK INSUFFISANT","Disponible avant operation : "&amp;TEXT($P275,"#,##0.00")&amp;" kg. Ligne NON comptee en stock.",IF(COUNTIFS($B$5:$B$304,$B275,$C$5:$C$304,$C275,$D$5:$D$304,$D275,$G$5:$G$304,$G275)&gt;1,"Doublon possible (meme date, type, lot et quantite).",IF($K275="LOT NON REFERENCE","Creer d'abord la fiche du lot dans l'onglet LOTS.",""))))))</f>
        <v/>
      </c>
    </row>
    <row r="276" customFormat="false" ht="15" hidden="false" customHeight="false" outlineLevel="0" collapsed="false">
      <c r="A276" s="26" t="str">
        <f aca="false">IF($C276="","","OP-"&amp;TEXT(ROW()-4,"000"))</f>
        <v/>
      </c>
      <c r="B276" s="25"/>
      <c r="C276" s="24"/>
      <c r="D276" s="24"/>
      <c r="E276" s="24"/>
      <c r="F276" s="24"/>
      <c r="G276" s="29"/>
      <c r="H276" s="24"/>
      <c r="I276" s="24"/>
      <c r="J276" s="26" t="str">
        <f aca="false">IF($D276="","",IFERROR(INDEX(LOT_EXTE,MATCH($D276,LOT_KEY,0)),""))</f>
        <v/>
      </c>
      <c r="K276" s="26" t="str">
        <f aca="false">IF($D276="","",IFERROR(INDEX(LOT_PRODE,MATCH($D276,LOT_KEY,0)),"LOT NON REFERENCE"))</f>
        <v/>
      </c>
      <c r="L276" s="26" t="str">
        <f aca="false">IF($D276="","",IFERROR(INDEX(LOT_FOURNE,MATCH($D276,LOT_KEY,0)),""))</f>
        <v/>
      </c>
      <c r="M276" s="26" t="str">
        <f aca="false">IF($E276="","",IFERROR(INDEX(EMPL_CLASSE,MATCH($E276,EMPL_KEY,0)),"?"))</f>
        <v/>
      </c>
      <c r="N276" s="26" t="str">
        <f aca="false">IF($F276="","",IFERROR(INDEX(EMPL_CLASSE,MATCH($F276,EMPL_KEY,0)),"?"))</f>
        <v/>
      </c>
      <c r="O276" s="28" t="n">
        <f aca="false">IF($C276="",0,IF(OR($B276="",$D276=""),0,IF($C276="AJUSTEMENT",IF(OR(NOT(ISNUMBER($G276)),$G276=0,$F276="",$H276=""),0,1),IF(OR(NOT(ISNUMBER($G276)),$G276&lt;=0),0,IF($C276="RECEPTION",IF($F276="",0,1),IF($C276="CONSOMMATION",IF($E276="",0,1),IF(OR($E276="",$F276="",$E276=$F276),0,1)))))))</f>
        <v>0</v>
      </c>
      <c r="P276" s="27" t="str">
        <f aca="false">IF(OR($O276=0,$C276="RECEPTION"),"",IF($C276="AJUSTEMENT",IF($G276&gt;0,"",SUMIFS(MVT_BRUT,MVT_LOT,$D276,MVT_EMPL,$F276)-$G276),SUMIFS(MVT_BRUT,MVT_LOT,$D276,MVT_EMPL,$E276)+$G276))</f>
        <v/>
      </c>
      <c r="Q276" s="26" t="str">
        <f aca="false">IF($C276="","",IF($O276=0,"DONNEES MANQUANTES",IF($C276="RECEPTION","OK",IF(AND($C276="AJUSTEMENT",$G276&gt;0),"OK",IF($P276&lt;=0,"EMPLACEMENT INCOHERENT",IF(ABS($G276)&gt;$P276+0.001,"STOCK INSUFFISANT","OK"))))))</f>
        <v/>
      </c>
      <c r="R276" s="28" t="n">
        <f aca="false">IF($Q276="OK",1,0)</f>
        <v>0</v>
      </c>
      <c r="S276" s="26" t="str">
        <f aca="false">IF($C276="","",IF($O276=0,"A COMPLETER : "&amp;IF($B276="","DATE; ","")&amp;IF($D276="","LOT INTERNE; ","")&amp;IF(NOT(ISNUMBER($G276)),"QUANTITE; ",IF(AND($C276="AJUSTEMENT",$G276=0),"QUANTITE &lt;&gt; 0; ",IF(AND($C276&lt;&gt;"AJUSTEMENT",$G276&lt;=0),"QUANTITE &gt; 0; ","")))&amp;IF(AND($C276="AJUSTEMENT",$H276=""),"MOTIF; ","")&amp;IF(AND(OR($C276="TRANSFERT",$C276="CONSOMMATION"),$E276=""),"EMPL. SOURCE; ","")&amp;IF(AND($C276&lt;&gt;"CONSOMMATION",$F276=""),"EMPL. DESTINATION; ","")&amp;IF(AND($C276="TRANSFERT",$E276&lt;&gt;"",$E276=$F276),"SOURCE = DESTINATION; ",""),IF($Q276="EMPLACEMENT INCOHERENT","Le lot "&amp;$D276&amp;" n'existe pas sur cet emplacement (stock 0). Verifier l'emplacement.",IF($Q276="STOCK INSUFFISANT","Disponible avant operation : "&amp;TEXT($P276,"#,##0.00")&amp;" kg. Ligne NON comptee en stock.",IF(COUNTIFS($B$5:$B$304,$B276,$C$5:$C$304,$C276,$D$5:$D$304,$D276,$G$5:$G$304,$G276)&gt;1,"Doublon possible (meme date, type, lot et quantite).",IF($K276="LOT NON REFERENCE","Creer d'abord la fiche du lot dans l'onglet LOTS.",""))))))</f>
        <v/>
      </c>
    </row>
    <row r="277" customFormat="false" ht="15" hidden="false" customHeight="false" outlineLevel="0" collapsed="false">
      <c r="A277" s="26" t="str">
        <f aca="false">IF($C277="","","OP-"&amp;TEXT(ROW()-4,"000"))</f>
        <v/>
      </c>
      <c r="B277" s="25"/>
      <c r="C277" s="24"/>
      <c r="D277" s="24"/>
      <c r="E277" s="24"/>
      <c r="F277" s="24"/>
      <c r="G277" s="29"/>
      <c r="H277" s="24"/>
      <c r="I277" s="24"/>
      <c r="J277" s="26" t="str">
        <f aca="false">IF($D277="","",IFERROR(INDEX(LOT_EXTE,MATCH($D277,LOT_KEY,0)),""))</f>
        <v/>
      </c>
      <c r="K277" s="26" t="str">
        <f aca="false">IF($D277="","",IFERROR(INDEX(LOT_PRODE,MATCH($D277,LOT_KEY,0)),"LOT NON REFERENCE"))</f>
        <v/>
      </c>
      <c r="L277" s="26" t="str">
        <f aca="false">IF($D277="","",IFERROR(INDEX(LOT_FOURNE,MATCH($D277,LOT_KEY,0)),""))</f>
        <v/>
      </c>
      <c r="M277" s="26" t="str">
        <f aca="false">IF($E277="","",IFERROR(INDEX(EMPL_CLASSE,MATCH($E277,EMPL_KEY,0)),"?"))</f>
        <v/>
      </c>
      <c r="N277" s="26" t="str">
        <f aca="false">IF($F277="","",IFERROR(INDEX(EMPL_CLASSE,MATCH($F277,EMPL_KEY,0)),"?"))</f>
        <v/>
      </c>
      <c r="O277" s="28" t="n">
        <f aca="false">IF($C277="",0,IF(OR($B277="",$D277=""),0,IF($C277="AJUSTEMENT",IF(OR(NOT(ISNUMBER($G277)),$G277=0,$F277="",$H277=""),0,1),IF(OR(NOT(ISNUMBER($G277)),$G277&lt;=0),0,IF($C277="RECEPTION",IF($F277="",0,1),IF($C277="CONSOMMATION",IF($E277="",0,1),IF(OR($E277="",$F277="",$E277=$F277),0,1)))))))</f>
        <v>0</v>
      </c>
      <c r="P277" s="27" t="str">
        <f aca="false">IF(OR($O277=0,$C277="RECEPTION"),"",IF($C277="AJUSTEMENT",IF($G277&gt;0,"",SUMIFS(MVT_BRUT,MVT_LOT,$D277,MVT_EMPL,$F277)-$G277),SUMIFS(MVT_BRUT,MVT_LOT,$D277,MVT_EMPL,$E277)+$G277))</f>
        <v/>
      </c>
      <c r="Q277" s="26" t="str">
        <f aca="false">IF($C277="","",IF($O277=0,"DONNEES MANQUANTES",IF($C277="RECEPTION","OK",IF(AND($C277="AJUSTEMENT",$G277&gt;0),"OK",IF($P277&lt;=0,"EMPLACEMENT INCOHERENT",IF(ABS($G277)&gt;$P277+0.001,"STOCK INSUFFISANT","OK"))))))</f>
        <v/>
      </c>
      <c r="R277" s="28" t="n">
        <f aca="false">IF($Q277="OK",1,0)</f>
        <v>0</v>
      </c>
      <c r="S277" s="26" t="str">
        <f aca="false">IF($C277="","",IF($O277=0,"A COMPLETER : "&amp;IF($B277="","DATE; ","")&amp;IF($D277="","LOT INTERNE; ","")&amp;IF(NOT(ISNUMBER($G277)),"QUANTITE; ",IF(AND($C277="AJUSTEMENT",$G277=0),"QUANTITE &lt;&gt; 0; ",IF(AND($C277&lt;&gt;"AJUSTEMENT",$G277&lt;=0),"QUANTITE &gt; 0; ","")))&amp;IF(AND($C277="AJUSTEMENT",$H277=""),"MOTIF; ","")&amp;IF(AND(OR($C277="TRANSFERT",$C277="CONSOMMATION"),$E277=""),"EMPL. SOURCE; ","")&amp;IF(AND($C277&lt;&gt;"CONSOMMATION",$F277=""),"EMPL. DESTINATION; ","")&amp;IF(AND($C277="TRANSFERT",$E277&lt;&gt;"",$E277=$F277),"SOURCE = DESTINATION; ",""),IF($Q277="EMPLACEMENT INCOHERENT","Le lot "&amp;$D277&amp;" n'existe pas sur cet emplacement (stock 0). Verifier l'emplacement.",IF($Q277="STOCK INSUFFISANT","Disponible avant operation : "&amp;TEXT($P277,"#,##0.00")&amp;" kg. Ligne NON comptee en stock.",IF(COUNTIFS($B$5:$B$304,$B277,$C$5:$C$304,$C277,$D$5:$D$304,$D277,$G$5:$G$304,$G277)&gt;1,"Doublon possible (meme date, type, lot et quantite).",IF($K277="LOT NON REFERENCE","Creer d'abord la fiche du lot dans l'onglet LOTS.",""))))))</f>
        <v/>
      </c>
    </row>
    <row r="278" customFormat="false" ht="15" hidden="false" customHeight="false" outlineLevel="0" collapsed="false">
      <c r="A278" s="26" t="str">
        <f aca="false">IF($C278="","","OP-"&amp;TEXT(ROW()-4,"000"))</f>
        <v/>
      </c>
      <c r="B278" s="25"/>
      <c r="C278" s="24"/>
      <c r="D278" s="24"/>
      <c r="E278" s="24"/>
      <c r="F278" s="24"/>
      <c r="G278" s="29"/>
      <c r="H278" s="24"/>
      <c r="I278" s="24"/>
      <c r="J278" s="26" t="str">
        <f aca="false">IF($D278="","",IFERROR(INDEX(LOT_EXTE,MATCH($D278,LOT_KEY,0)),""))</f>
        <v/>
      </c>
      <c r="K278" s="26" t="str">
        <f aca="false">IF($D278="","",IFERROR(INDEX(LOT_PRODE,MATCH($D278,LOT_KEY,0)),"LOT NON REFERENCE"))</f>
        <v/>
      </c>
      <c r="L278" s="26" t="str">
        <f aca="false">IF($D278="","",IFERROR(INDEX(LOT_FOURNE,MATCH($D278,LOT_KEY,0)),""))</f>
        <v/>
      </c>
      <c r="M278" s="26" t="str">
        <f aca="false">IF($E278="","",IFERROR(INDEX(EMPL_CLASSE,MATCH($E278,EMPL_KEY,0)),"?"))</f>
        <v/>
      </c>
      <c r="N278" s="26" t="str">
        <f aca="false">IF($F278="","",IFERROR(INDEX(EMPL_CLASSE,MATCH($F278,EMPL_KEY,0)),"?"))</f>
        <v/>
      </c>
      <c r="O278" s="28" t="n">
        <f aca="false">IF($C278="",0,IF(OR($B278="",$D278=""),0,IF($C278="AJUSTEMENT",IF(OR(NOT(ISNUMBER($G278)),$G278=0,$F278="",$H278=""),0,1),IF(OR(NOT(ISNUMBER($G278)),$G278&lt;=0),0,IF($C278="RECEPTION",IF($F278="",0,1),IF($C278="CONSOMMATION",IF($E278="",0,1),IF(OR($E278="",$F278="",$E278=$F278),0,1)))))))</f>
        <v>0</v>
      </c>
      <c r="P278" s="27" t="str">
        <f aca="false">IF(OR($O278=0,$C278="RECEPTION"),"",IF($C278="AJUSTEMENT",IF($G278&gt;0,"",SUMIFS(MVT_BRUT,MVT_LOT,$D278,MVT_EMPL,$F278)-$G278),SUMIFS(MVT_BRUT,MVT_LOT,$D278,MVT_EMPL,$E278)+$G278))</f>
        <v/>
      </c>
      <c r="Q278" s="26" t="str">
        <f aca="false">IF($C278="","",IF($O278=0,"DONNEES MANQUANTES",IF($C278="RECEPTION","OK",IF(AND($C278="AJUSTEMENT",$G278&gt;0),"OK",IF($P278&lt;=0,"EMPLACEMENT INCOHERENT",IF(ABS($G278)&gt;$P278+0.001,"STOCK INSUFFISANT","OK"))))))</f>
        <v/>
      </c>
      <c r="R278" s="28" t="n">
        <f aca="false">IF($Q278="OK",1,0)</f>
        <v>0</v>
      </c>
      <c r="S278" s="26" t="str">
        <f aca="false">IF($C278="","",IF($O278=0,"A COMPLETER : "&amp;IF($B278="","DATE; ","")&amp;IF($D278="","LOT INTERNE; ","")&amp;IF(NOT(ISNUMBER($G278)),"QUANTITE; ",IF(AND($C278="AJUSTEMENT",$G278=0),"QUANTITE &lt;&gt; 0; ",IF(AND($C278&lt;&gt;"AJUSTEMENT",$G278&lt;=0),"QUANTITE &gt; 0; ","")))&amp;IF(AND($C278="AJUSTEMENT",$H278=""),"MOTIF; ","")&amp;IF(AND(OR($C278="TRANSFERT",$C278="CONSOMMATION"),$E278=""),"EMPL. SOURCE; ","")&amp;IF(AND($C278&lt;&gt;"CONSOMMATION",$F278=""),"EMPL. DESTINATION; ","")&amp;IF(AND($C278="TRANSFERT",$E278&lt;&gt;"",$E278=$F278),"SOURCE = DESTINATION; ",""),IF($Q278="EMPLACEMENT INCOHERENT","Le lot "&amp;$D278&amp;" n'existe pas sur cet emplacement (stock 0). Verifier l'emplacement.",IF($Q278="STOCK INSUFFISANT","Disponible avant operation : "&amp;TEXT($P278,"#,##0.00")&amp;" kg. Ligne NON comptee en stock.",IF(COUNTIFS($B$5:$B$304,$B278,$C$5:$C$304,$C278,$D$5:$D$304,$D278,$G$5:$G$304,$G278)&gt;1,"Doublon possible (meme date, type, lot et quantite).",IF($K278="LOT NON REFERENCE","Creer d'abord la fiche du lot dans l'onglet LOTS.",""))))))</f>
        <v/>
      </c>
    </row>
    <row r="279" customFormat="false" ht="15" hidden="false" customHeight="false" outlineLevel="0" collapsed="false">
      <c r="A279" s="26" t="str">
        <f aca="false">IF($C279="","","OP-"&amp;TEXT(ROW()-4,"000"))</f>
        <v/>
      </c>
      <c r="B279" s="25"/>
      <c r="C279" s="24"/>
      <c r="D279" s="24"/>
      <c r="E279" s="24"/>
      <c r="F279" s="24"/>
      <c r="G279" s="29"/>
      <c r="H279" s="24"/>
      <c r="I279" s="24"/>
      <c r="J279" s="26" t="str">
        <f aca="false">IF($D279="","",IFERROR(INDEX(LOT_EXTE,MATCH($D279,LOT_KEY,0)),""))</f>
        <v/>
      </c>
      <c r="K279" s="26" t="str">
        <f aca="false">IF($D279="","",IFERROR(INDEX(LOT_PRODE,MATCH($D279,LOT_KEY,0)),"LOT NON REFERENCE"))</f>
        <v/>
      </c>
      <c r="L279" s="26" t="str">
        <f aca="false">IF($D279="","",IFERROR(INDEX(LOT_FOURNE,MATCH($D279,LOT_KEY,0)),""))</f>
        <v/>
      </c>
      <c r="M279" s="26" t="str">
        <f aca="false">IF($E279="","",IFERROR(INDEX(EMPL_CLASSE,MATCH($E279,EMPL_KEY,0)),"?"))</f>
        <v/>
      </c>
      <c r="N279" s="26" t="str">
        <f aca="false">IF($F279="","",IFERROR(INDEX(EMPL_CLASSE,MATCH($F279,EMPL_KEY,0)),"?"))</f>
        <v/>
      </c>
      <c r="O279" s="28" t="n">
        <f aca="false">IF($C279="",0,IF(OR($B279="",$D279=""),0,IF($C279="AJUSTEMENT",IF(OR(NOT(ISNUMBER($G279)),$G279=0,$F279="",$H279=""),0,1),IF(OR(NOT(ISNUMBER($G279)),$G279&lt;=0),0,IF($C279="RECEPTION",IF($F279="",0,1),IF($C279="CONSOMMATION",IF($E279="",0,1),IF(OR($E279="",$F279="",$E279=$F279),0,1)))))))</f>
        <v>0</v>
      </c>
      <c r="P279" s="27" t="str">
        <f aca="false">IF(OR($O279=0,$C279="RECEPTION"),"",IF($C279="AJUSTEMENT",IF($G279&gt;0,"",SUMIFS(MVT_BRUT,MVT_LOT,$D279,MVT_EMPL,$F279)-$G279),SUMIFS(MVT_BRUT,MVT_LOT,$D279,MVT_EMPL,$E279)+$G279))</f>
        <v/>
      </c>
      <c r="Q279" s="26" t="str">
        <f aca="false">IF($C279="","",IF($O279=0,"DONNEES MANQUANTES",IF($C279="RECEPTION","OK",IF(AND($C279="AJUSTEMENT",$G279&gt;0),"OK",IF($P279&lt;=0,"EMPLACEMENT INCOHERENT",IF(ABS($G279)&gt;$P279+0.001,"STOCK INSUFFISANT","OK"))))))</f>
        <v/>
      </c>
      <c r="R279" s="28" t="n">
        <f aca="false">IF($Q279="OK",1,0)</f>
        <v>0</v>
      </c>
      <c r="S279" s="26" t="str">
        <f aca="false">IF($C279="","",IF($O279=0,"A COMPLETER : "&amp;IF($B279="","DATE; ","")&amp;IF($D279="","LOT INTERNE; ","")&amp;IF(NOT(ISNUMBER($G279)),"QUANTITE; ",IF(AND($C279="AJUSTEMENT",$G279=0),"QUANTITE &lt;&gt; 0; ",IF(AND($C279&lt;&gt;"AJUSTEMENT",$G279&lt;=0),"QUANTITE &gt; 0; ","")))&amp;IF(AND($C279="AJUSTEMENT",$H279=""),"MOTIF; ","")&amp;IF(AND(OR($C279="TRANSFERT",$C279="CONSOMMATION"),$E279=""),"EMPL. SOURCE; ","")&amp;IF(AND($C279&lt;&gt;"CONSOMMATION",$F279=""),"EMPL. DESTINATION; ","")&amp;IF(AND($C279="TRANSFERT",$E279&lt;&gt;"",$E279=$F279),"SOURCE = DESTINATION; ",""),IF($Q279="EMPLACEMENT INCOHERENT","Le lot "&amp;$D279&amp;" n'existe pas sur cet emplacement (stock 0). Verifier l'emplacement.",IF($Q279="STOCK INSUFFISANT","Disponible avant operation : "&amp;TEXT($P279,"#,##0.00")&amp;" kg. Ligne NON comptee en stock.",IF(COUNTIFS($B$5:$B$304,$B279,$C$5:$C$304,$C279,$D$5:$D$304,$D279,$G$5:$G$304,$G279)&gt;1,"Doublon possible (meme date, type, lot et quantite).",IF($K279="LOT NON REFERENCE","Creer d'abord la fiche du lot dans l'onglet LOTS.",""))))))</f>
        <v/>
      </c>
    </row>
    <row r="280" customFormat="false" ht="15" hidden="false" customHeight="false" outlineLevel="0" collapsed="false">
      <c r="A280" s="26" t="str">
        <f aca="false">IF($C280="","","OP-"&amp;TEXT(ROW()-4,"000"))</f>
        <v/>
      </c>
      <c r="B280" s="25"/>
      <c r="C280" s="24"/>
      <c r="D280" s="24"/>
      <c r="E280" s="24"/>
      <c r="F280" s="24"/>
      <c r="G280" s="29"/>
      <c r="H280" s="24"/>
      <c r="I280" s="24"/>
      <c r="J280" s="26" t="str">
        <f aca="false">IF($D280="","",IFERROR(INDEX(LOT_EXTE,MATCH($D280,LOT_KEY,0)),""))</f>
        <v/>
      </c>
      <c r="K280" s="26" t="str">
        <f aca="false">IF($D280="","",IFERROR(INDEX(LOT_PRODE,MATCH($D280,LOT_KEY,0)),"LOT NON REFERENCE"))</f>
        <v/>
      </c>
      <c r="L280" s="26" t="str">
        <f aca="false">IF($D280="","",IFERROR(INDEX(LOT_FOURNE,MATCH($D280,LOT_KEY,0)),""))</f>
        <v/>
      </c>
      <c r="M280" s="26" t="str">
        <f aca="false">IF($E280="","",IFERROR(INDEX(EMPL_CLASSE,MATCH($E280,EMPL_KEY,0)),"?"))</f>
        <v/>
      </c>
      <c r="N280" s="26" t="str">
        <f aca="false">IF($F280="","",IFERROR(INDEX(EMPL_CLASSE,MATCH($F280,EMPL_KEY,0)),"?"))</f>
        <v/>
      </c>
      <c r="O280" s="28" t="n">
        <f aca="false">IF($C280="",0,IF(OR($B280="",$D280=""),0,IF($C280="AJUSTEMENT",IF(OR(NOT(ISNUMBER($G280)),$G280=0,$F280="",$H280=""),0,1),IF(OR(NOT(ISNUMBER($G280)),$G280&lt;=0),0,IF($C280="RECEPTION",IF($F280="",0,1),IF($C280="CONSOMMATION",IF($E280="",0,1),IF(OR($E280="",$F280="",$E280=$F280),0,1)))))))</f>
        <v>0</v>
      </c>
      <c r="P280" s="27" t="str">
        <f aca="false">IF(OR($O280=0,$C280="RECEPTION"),"",IF($C280="AJUSTEMENT",IF($G280&gt;0,"",SUMIFS(MVT_BRUT,MVT_LOT,$D280,MVT_EMPL,$F280)-$G280),SUMIFS(MVT_BRUT,MVT_LOT,$D280,MVT_EMPL,$E280)+$G280))</f>
        <v/>
      </c>
      <c r="Q280" s="26" t="str">
        <f aca="false">IF($C280="","",IF($O280=0,"DONNEES MANQUANTES",IF($C280="RECEPTION","OK",IF(AND($C280="AJUSTEMENT",$G280&gt;0),"OK",IF($P280&lt;=0,"EMPLACEMENT INCOHERENT",IF(ABS($G280)&gt;$P280+0.001,"STOCK INSUFFISANT","OK"))))))</f>
        <v/>
      </c>
      <c r="R280" s="28" t="n">
        <f aca="false">IF($Q280="OK",1,0)</f>
        <v>0</v>
      </c>
      <c r="S280" s="26" t="str">
        <f aca="false">IF($C280="","",IF($O280=0,"A COMPLETER : "&amp;IF($B280="","DATE; ","")&amp;IF($D280="","LOT INTERNE; ","")&amp;IF(NOT(ISNUMBER($G280)),"QUANTITE; ",IF(AND($C280="AJUSTEMENT",$G280=0),"QUANTITE &lt;&gt; 0; ",IF(AND($C280&lt;&gt;"AJUSTEMENT",$G280&lt;=0),"QUANTITE &gt; 0; ","")))&amp;IF(AND($C280="AJUSTEMENT",$H280=""),"MOTIF; ","")&amp;IF(AND(OR($C280="TRANSFERT",$C280="CONSOMMATION"),$E280=""),"EMPL. SOURCE; ","")&amp;IF(AND($C280&lt;&gt;"CONSOMMATION",$F280=""),"EMPL. DESTINATION; ","")&amp;IF(AND($C280="TRANSFERT",$E280&lt;&gt;"",$E280=$F280),"SOURCE = DESTINATION; ",""),IF($Q280="EMPLACEMENT INCOHERENT","Le lot "&amp;$D280&amp;" n'existe pas sur cet emplacement (stock 0). Verifier l'emplacement.",IF($Q280="STOCK INSUFFISANT","Disponible avant operation : "&amp;TEXT($P280,"#,##0.00")&amp;" kg. Ligne NON comptee en stock.",IF(COUNTIFS($B$5:$B$304,$B280,$C$5:$C$304,$C280,$D$5:$D$304,$D280,$G$5:$G$304,$G280)&gt;1,"Doublon possible (meme date, type, lot et quantite).",IF($K280="LOT NON REFERENCE","Creer d'abord la fiche du lot dans l'onglet LOTS.",""))))))</f>
        <v/>
      </c>
    </row>
    <row r="281" customFormat="false" ht="15" hidden="false" customHeight="false" outlineLevel="0" collapsed="false">
      <c r="A281" s="26" t="str">
        <f aca="false">IF($C281="","","OP-"&amp;TEXT(ROW()-4,"000"))</f>
        <v/>
      </c>
      <c r="B281" s="25"/>
      <c r="C281" s="24"/>
      <c r="D281" s="24"/>
      <c r="E281" s="24"/>
      <c r="F281" s="24"/>
      <c r="G281" s="29"/>
      <c r="H281" s="24"/>
      <c r="I281" s="24"/>
      <c r="J281" s="26" t="str">
        <f aca="false">IF($D281="","",IFERROR(INDEX(LOT_EXTE,MATCH($D281,LOT_KEY,0)),""))</f>
        <v/>
      </c>
      <c r="K281" s="26" t="str">
        <f aca="false">IF($D281="","",IFERROR(INDEX(LOT_PRODE,MATCH($D281,LOT_KEY,0)),"LOT NON REFERENCE"))</f>
        <v/>
      </c>
      <c r="L281" s="26" t="str">
        <f aca="false">IF($D281="","",IFERROR(INDEX(LOT_FOURNE,MATCH($D281,LOT_KEY,0)),""))</f>
        <v/>
      </c>
      <c r="M281" s="26" t="str">
        <f aca="false">IF($E281="","",IFERROR(INDEX(EMPL_CLASSE,MATCH($E281,EMPL_KEY,0)),"?"))</f>
        <v/>
      </c>
      <c r="N281" s="26" t="str">
        <f aca="false">IF($F281="","",IFERROR(INDEX(EMPL_CLASSE,MATCH($F281,EMPL_KEY,0)),"?"))</f>
        <v/>
      </c>
      <c r="O281" s="28" t="n">
        <f aca="false">IF($C281="",0,IF(OR($B281="",$D281=""),0,IF($C281="AJUSTEMENT",IF(OR(NOT(ISNUMBER($G281)),$G281=0,$F281="",$H281=""),0,1),IF(OR(NOT(ISNUMBER($G281)),$G281&lt;=0),0,IF($C281="RECEPTION",IF($F281="",0,1),IF($C281="CONSOMMATION",IF($E281="",0,1),IF(OR($E281="",$F281="",$E281=$F281),0,1)))))))</f>
        <v>0</v>
      </c>
      <c r="P281" s="27" t="str">
        <f aca="false">IF(OR($O281=0,$C281="RECEPTION"),"",IF($C281="AJUSTEMENT",IF($G281&gt;0,"",SUMIFS(MVT_BRUT,MVT_LOT,$D281,MVT_EMPL,$F281)-$G281),SUMIFS(MVT_BRUT,MVT_LOT,$D281,MVT_EMPL,$E281)+$G281))</f>
        <v/>
      </c>
      <c r="Q281" s="26" t="str">
        <f aca="false">IF($C281="","",IF($O281=0,"DONNEES MANQUANTES",IF($C281="RECEPTION","OK",IF(AND($C281="AJUSTEMENT",$G281&gt;0),"OK",IF($P281&lt;=0,"EMPLACEMENT INCOHERENT",IF(ABS($G281)&gt;$P281+0.001,"STOCK INSUFFISANT","OK"))))))</f>
        <v/>
      </c>
      <c r="R281" s="28" t="n">
        <f aca="false">IF($Q281="OK",1,0)</f>
        <v>0</v>
      </c>
      <c r="S281" s="26" t="str">
        <f aca="false">IF($C281="","",IF($O281=0,"A COMPLETER : "&amp;IF($B281="","DATE; ","")&amp;IF($D281="","LOT INTERNE; ","")&amp;IF(NOT(ISNUMBER($G281)),"QUANTITE; ",IF(AND($C281="AJUSTEMENT",$G281=0),"QUANTITE &lt;&gt; 0; ",IF(AND($C281&lt;&gt;"AJUSTEMENT",$G281&lt;=0),"QUANTITE &gt; 0; ","")))&amp;IF(AND($C281="AJUSTEMENT",$H281=""),"MOTIF; ","")&amp;IF(AND(OR($C281="TRANSFERT",$C281="CONSOMMATION"),$E281=""),"EMPL. SOURCE; ","")&amp;IF(AND($C281&lt;&gt;"CONSOMMATION",$F281=""),"EMPL. DESTINATION; ","")&amp;IF(AND($C281="TRANSFERT",$E281&lt;&gt;"",$E281=$F281),"SOURCE = DESTINATION; ",""),IF($Q281="EMPLACEMENT INCOHERENT","Le lot "&amp;$D281&amp;" n'existe pas sur cet emplacement (stock 0). Verifier l'emplacement.",IF($Q281="STOCK INSUFFISANT","Disponible avant operation : "&amp;TEXT($P281,"#,##0.00")&amp;" kg. Ligne NON comptee en stock.",IF(COUNTIFS($B$5:$B$304,$B281,$C$5:$C$304,$C281,$D$5:$D$304,$D281,$G$5:$G$304,$G281)&gt;1,"Doublon possible (meme date, type, lot et quantite).",IF($K281="LOT NON REFERENCE","Creer d'abord la fiche du lot dans l'onglet LOTS.",""))))))</f>
        <v/>
      </c>
    </row>
    <row r="282" customFormat="false" ht="15" hidden="false" customHeight="false" outlineLevel="0" collapsed="false">
      <c r="A282" s="26" t="str">
        <f aca="false">IF($C282="","","OP-"&amp;TEXT(ROW()-4,"000"))</f>
        <v/>
      </c>
      <c r="B282" s="25"/>
      <c r="C282" s="24"/>
      <c r="D282" s="24"/>
      <c r="E282" s="24"/>
      <c r="F282" s="24"/>
      <c r="G282" s="29"/>
      <c r="H282" s="24"/>
      <c r="I282" s="24"/>
      <c r="J282" s="26" t="str">
        <f aca="false">IF($D282="","",IFERROR(INDEX(LOT_EXTE,MATCH($D282,LOT_KEY,0)),""))</f>
        <v/>
      </c>
      <c r="K282" s="26" t="str">
        <f aca="false">IF($D282="","",IFERROR(INDEX(LOT_PRODE,MATCH($D282,LOT_KEY,0)),"LOT NON REFERENCE"))</f>
        <v/>
      </c>
      <c r="L282" s="26" t="str">
        <f aca="false">IF($D282="","",IFERROR(INDEX(LOT_FOURNE,MATCH($D282,LOT_KEY,0)),""))</f>
        <v/>
      </c>
      <c r="M282" s="26" t="str">
        <f aca="false">IF($E282="","",IFERROR(INDEX(EMPL_CLASSE,MATCH($E282,EMPL_KEY,0)),"?"))</f>
        <v/>
      </c>
      <c r="N282" s="26" t="str">
        <f aca="false">IF($F282="","",IFERROR(INDEX(EMPL_CLASSE,MATCH($F282,EMPL_KEY,0)),"?"))</f>
        <v/>
      </c>
      <c r="O282" s="28" t="n">
        <f aca="false">IF($C282="",0,IF(OR($B282="",$D282=""),0,IF($C282="AJUSTEMENT",IF(OR(NOT(ISNUMBER($G282)),$G282=0,$F282="",$H282=""),0,1),IF(OR(NOT(ISNUMBER($G282)),$G282&lt;=0),0,IF($C282="RECEPTION",IF($F282="",0,1),IF($C282="CONSOMMATION",IF($E282="",0,1),IF(OR($E282="",$F282="",$E282=$F282),0,1)))))))</f>
        <v>0</v>
      </c>
      <c r="P282" s="27" t="str">
        <f aca="false">IF(OR($O282=0,$C282="RECEPTION"),"",IF($C282="AJUSTEMENT",IF($G282&gt;0,"",SUMIFS(MVT_BRUT,MVT_LOT,$D282,MVT_EMPL,$F282)-$G282),SUMIFS(MVT_BRUT,MVT_LOT,$D282,MVT_EMPL,$E282)+$G282))</f>
        <v/>
      </c>
      <c r="Q282" s="26" t="str">
        <f aca="false">IF($C282="","",IF($O282=0,"DONNEES MANQUANTES",IF($C282="RECEPTION","OK",IF(AND($C282="AJUSTEMENT",$G282&gt;0),"OK",IF($P282&lt;=0,"EMPLACEMENT INCOHERENT",IF(ABS($G282)&gt;$P282+0.001,"STOCK INSUFFISANT","OK"))))))</f>
        <v/>
      </c>
      <c r="R282" s="28" t="n">
        <f aca="false">IF($Q282="OK",1,0)</f>
        <v>0</v>
      </c>
      <c r="S282" s="26" t="str">
        <f aca="false">IF($C282="","",IF($O282=0,"A COMPLETER : "&amp;IF($B282="","DATE; ","")&amp;IF($D282="","LOT INTERNE; ","")&amp;IF(NOT(ISNUMBER($G282)),"QUANTITE; ",IF(AND($C282="AJUSTEMENT",$G282=0),"QUANTITE &lt;&gt; 0; ",IF(AND($C282&lt;&gt;"AJUSTEMENT",$G282&lt;=0),"QUANTITE &gt; 0; ","")))&amp;IF(AND($C282="AJUSTEMENT",$H282=""),"MOTIF; ","")&amp;IF(AND(OR($C282="TRANSFERT",$C282="CONSOMMATION"),$E282=""),"EMPL. SOURCE; ","")&amp;IF(AND($C282&lt;&gt;"CONSOMMATION",$F282=""),"EMPL. DESTINATION; ","")&amp;IF(AND($C282="TRANSFERT",$E282&lt;&gt;"",$E282=$F282),"SOURCE = DESTINATION; ",""),IF($Q282="EMPLACEMENT INCOHERENT","Le lot "&amp;$D282&amp;" n'existe pas sur cet emplacement (stock 0). Verifier l'emplacement.",IF($Q282="STOCK INSUFFISANT","Disponible avant operation : "&amp;TEXT($P282,"#,##0.00")&amp;" kg. Ligne NON comptee en stock.",IF(COUNTIFS($B$5:$B$304,$B282,$C$5:$C$304,$C282,$D$5:$D$304,$D282,$G$5:$G$304,$G282)&gt;1,"Doublon possible (meme date, type, lot et quantite).",IF($K282="LOT NON REFERENCE","Creer d'abord la fiche du lot dans l'onglet LOTS.",""))))))</f>
        <v/>
      </c>
    </row>
    <row r="283" customFormat="false" ht="15" hidden="false" customHeight="false" outlineLevel="0" collapsed="false">
      <c r="A283" s="26" t="str">
        <f aca="false">IF($C283="","","OP-"&amp;TEXT(ROW()-4,"000"))</f>
        <v/>
      </c>
      <c r="B283" s="25"/>
      <c r="C283" s="24"/>
      <c r="D283" s="24"/>
      <c r="E283" s="24"/>
      <c r="F283" s="24"/>
      <c r="G283" s="29"/>
      <c r="H283" s="24"/>
      <c r="I283" s="24"/>
      <c r="J283" s="26" t="str">
        <f aca="false">IF($D283="","",IFERROR(INDEX(LOT_EXTE,MATCH($D283,LOT_KEY,0)),""))</f>
        <v/>
      </c>
      <c r="K283" s="26" t="str">
        <f aca="false">IF($D283="","",IFERROR(INDEX(LOT_PRODE,MATCH($D283,LOT_KEY,0)),"LOT NON REFERENCE"))</f>
        <v/>
      </c>
      <c r="L283" s="26" t="str">
        <f aca="false">IF($D283="","",IFERROR(INDEX(LOT_FOURNE,MATCH($D283,LOT_KEY,0)),""))</f>
        <v/>
      </c>
      <c r="M283" s="26" t="str">
        <f aca="false">IF($E283="","",IFERROR(INDEX(EMPL_CLASSE,MATCH($E283,EMPL_KEY,0)),"?"))</f>
        <v/>
      </c>
      <c r="N283" s="26" t="str">
        <f aca="false">IF($F283="","",IFERROR(INDEX(EMPL_CLASSE,MATCH($F283,EMPL_KEY,0)),"?"))</f>
        <v/>
      </c>
      <c r="O283" s="28" t="n">
        <f aca="false">IF($C283="",0,IF(OR($B283="",$D283=""),0,IF($C283="AJUSTEMENT",IF(OR(NOT(ISNUMBER($G283)),$G283=0,$F283="",$H283=""),0,1),IF(OR(NOT(ISNUMBER($G283)),$G283&lt;=0),0,IF($C283="RECEPTION",IF($F283="",0,1),IF($C283="CONSOMMATION",IF($E283="",0,1),IF(OR($E283="",$F283="",$E283=$F283),0,1)))))))</f>
        <v>0</v>
      </c>
      <c r="P283" s="27" t="str">
        <f aca="false">IF(OR($O283=0,$C283="RECEPTION"),"",IF($C283="AJUSTEMENT",IF($G283&gt;0,"",SUMIFS(MVT_BRUT,MVT_LOT,$D283,MVT_EMPL,$F283)-$G283),SUMIFS(MVT_BRUT,MVT_LOT,$D283,MVT_EMPL,$E283)+$G283))</f>
        <v/>
      </c>
      <c r="Q283" s="26" t="str">
        <f aca="false">IF($C283="","",IF($O283=0,"DONNEES MANQUANTES",IF($C283="RECEPTION","OK",IF(AND($C283="AJUSTEMENT",$G283&gt;0),"OK",IF($P283&lt;=0,"EMPLACEMENT INCOHERENT",IF(ABS($G283)&gt;$P283+0.001,"STOCK INSUFFISANT","OK"))))))</f>
        <v/>
      </c>
      <c r="R283" s="28" t="n">
        <f aca="false">IF($Q283="OK",1,0)</f>
        <v>0</v>
      </c>
      <c r="S283" s="26" t="str">
        <f aca="false">IF($C283="","",IF($O283=0,"A COMPLETER : "&amp;IF($B283="","DATE; ","")&amp;IF($D283="","LOT INTERNE; ","")&amp;IF(NOT(ISNUMBER($G283)),"QUANTITE; ",IF(AND($C283="AJUSTEMENT",$G283=0),"QUANTITE &lt;&gt; 0; ",IF(AND($C283&lt;&gt;"AJUSTEMENT",$G283&lt;=0),"QUANTITE &gt; 0; ","")))&amp;IF(AND($C283="AJUSTEMENT",$H283=""),"MOTIF; ","")&amp;IF(AND(OR($C283="TRANSFERT",$C283="CONSOMMATION"),$E283=""),"EMPL. SOURCE; ","")&amp;IF(AND($C283&lt;&gt;"CONSOMMATION",$F283=""),"EMPL. DESTINATION; ","")&amp;IF(AND($C283="TRANSFERT",$E283&lt;&gt;"",$E283=$F283),"SOURCE = DESTINATION; ",""),IF($Q283="EMPLACEMENT INCOHERENT","Le lot "&amp;$D283&amp;" n'existe pas sur cet emplacement (stock 0). Verifier l'emplacement.",IF($Q283="STOCK INSUFFISANT","Disponible avant operation : "&amp;TEXT($P283,"#,##0.00")&amp;" kg. Ligne NON comptee en stock.",IF(COUNTIFS($B$5:$B$304,$B283,$C$5:$C$304,$C283,$D$5:$D$304,$D283,$G$5:$G$304,$G283)&gt;1,"Doublon possible (meme date, type, lot et quantite).",IF($K283="LOT NON REFERENCE","Creer d'abord la fiche du lot dans l'onglet LOTS.",""))))))</f>
        <v/>
      </c>
    </row>
    <row r="284" customFormat="false" ht="15" hidden="false" customHeight="false" outlineLevel="0" collapsed="false">
      <c r="A284" s="26" t="str">
        <f aca="false">IF($C284="","","OP-"&amp;TEXT(ROW()-4,"000"))</f>
        <v/>
      </c>
      <c r="B284" s="25"/>
      <c r="C284" s="24"/>
      <c r="D284" s="24"/>
      <c r="E284" s="24"/>
      <c r="F284" s="24"/>
      <c r="G284" s="29"/>
      <c r="H284" s="24"/>
      <c r="I284" s="24"/>
      <c r="J284" s="26" t="str">
        <f aca="false">IF($D284="","",IFERROR(INDEX(LOT_EXTE,MATCH($D284,LOT_KEY,0)),""))</f>
        <v/>
      </c>
      <c r="K284" s="26" t="str">
        <f aca="false">IF($D284="","",IFERROR(INDEX(LOT_PRODE,MATCH($D284,LOT_KEY,0)),"LOT NON REFERENCE"))</f>
        <v/>
      </c>
      <c r="L284" s="26" t="str">
        <f aca="false">IF($D284="","",IFERROR(INDEX(LOT_FOURNE,MATCH($D284,LOT_KEY,0)),""))</f>
        <v/>
      </c>
      <c r="M284" s="26" t="str">
        <f aca="false">IF($E284="","",IFERROR(INDEX(EMPL_CLASSE,MATCH($E284,EMPL_KEY,0)),"?"))</f>
        <v/>
      </c>
      <c r="N284" s="26" t="str">
        <f aca="false">IF($F284="","",IFERROR(INDEX(EMPL_CLASSE,MATCH($F284,EMPL_KEY,0)),"?"))</f>
        <v/>
      </c>
      <c r="O284" s="28" t="n">
        <f aca="false">IF($C284="",0,IF(OR($B284="",$D284=""),0,IF($C284="AJUSTEMENT",IF(OR(NOT(ISNUMBER($G284)),$G284=0,$F284="",$H284=""),0,1),IF(OR(NOT(ISNUMBER($G284)),$G284&lt;=0),0,IF($C284="RECEPTION",IF($F284="",0,1),IF($C284="CONSOMMATION",IF($E284="",0,1),IF(OR($E284="",$F284="",$E284=$F284),0,1)))))))</f>
        <v>0</v>
      </c>
      <c r="P284" s="27" t="str">
        <f aca="false">IF(OR($O284=0,$C284="RECEPTION"),"",IF($C284="AJUSTEMENT",IF($G284&gt;0,"",SUMIFS(MVT_BRUT,MVT_LOT,$D284,MVT_EMPL,$F284)-$G284),SUMIFS(MVT_BRUT,MVT_LOT,$D284,MVT_EMPL,$E284)+$G284))</f>
        <v/>
      </c>
      <c r="Q284" s="26" t="str">
        <f aca="false">IF($C284="","",IF($O284=0,"DONNEES MANQUANTES",IF($C284="RECEPTION","OK",IF(AND($C284="AJUSTEMENT",$G284&gt;0),"OK",IF($P284&lt;=0,"EMPLACEMENT INCOHERENT",IF(ABS($G284)&gt;$P284+0.001,"STOCK INSUFFISANT","OK"))))))</f>
        <v/>
      </c>
      <c r="R284" s="28" t="n">
        <f aca="false">IF($Q284="OK",1,0)</f>
        <v>0</v>
      </c>
      <c r="S284" s="26" t="str">
        <f aca="false">IF($C284="","",IF($O284=0,"A COMPLETER : "&amp;IF($B284="","DATE; ","")&amp;IF($D284="","LOT INTERNE; ","")&amp;IF(NOT(ISNUMBER($G284)),"QUANTITE; ",IF(AND($C284="AJUSTEMENT",$G284=0),"QUANTITE &lt;&gt; 0; ",IF(AND($C284&lt;&gt;"AJUSTEMENT",$G284&lt;=0),"QUANTITE &gt; 0; ","")))&amp;IF(AND($C284="AJUSTEMENT",$H284=""),"MOTIF; ","")&amp;IF(AND(OR($C284="TRANSFERT",$C284="CONSOMMATION"),$E284=""),"EMPL. SOURCE; ","")&amp;IF(AND($C284&lt;&gt;"CONSOMMATION",$F284=""),"EMPL. DESTINATION; ","")&amp;IF(AND($C284="TRANSFERT",$E284&lt;&gt;"",$E284=$F284),"SOURCE = DESTINATION; ",""),IF($Q284="EMPLACEMENT INCOHERENT","Le lot "&amp;$D284&amp;" n'existe pas sur cet emplacement (stock 0). Verifier l'emplacement.",IF($Q284="STOCK INSUFFISANT","Disponible avant operation : "&amp;TEXT($P284,"#,##0.00")&amp;" kg. Ligne NON comptee en stock.",IF(COUNTIFS($B$5:$B$304,$B284,$C$5:$C$304,$C284,$D$5:$D$304,$D284,$G$5:$G$304,$G284)&gt;1,"Doublon possible (meme date, type, lot et quantite).",IF($K284="LOT NON REFERENCE","Creer d'abord la fiche du lot dans l'onglet LOTS.",""))))))</f>
        <v/>
      </c>
    </row>
    <row r="285" customFormat="false" ht="15" hidden="false" customHeight="false" outlineLevel="0" collapsed="false">
      <c r="A285" s="26" t="str">
        <f aca="false">IF($C285="","","OP-"&amp;TEXT(ROW()-4,"000"))</f>
        <v/>
      </c>
      <c r="B285" s="25"/>
      <c r="C285" s="24"/>
      <c r="D285" s="24"/>
      <c r="E285" s="24"/>
      <c r="F285" s="24"/>
      <c r="G285" s="29"/>
      <c r="H285" s="24"/>
      <c r="I285" s="24"/>
      <c r="J285" s="26" t="str">
        <f aca="false">IF($D285="","",IFERROR(INDEX(LOT_EXTE,MATCH($D285,LOT_KEY,0)),""))</f>
        <v/>
      </c>
      <c r="K285" s="26" t="str">
        <f aca="false">IF($D285="","",IFERROR(INDEX(LOT_PRODE,MATCH($D285,LOT_KEY,0)),"LOT NON REFERENCE"))</f>
        <v/>
      </c>
      <c r="L285" s="26" t="str">
        <f aca="false">IF($D285="","",IFERROR(INDEX(LOT_FOURNE,MATCH($D285,LOT_KEY,0)),""))</f>
        <v/>
      </c>
      <c r="M285" s="26" t="str">
        <f aca="false">IF($E285="","",IFERROR(INDEX(EMPL_CLASSE,MATCH($E285,EMPL_KEY,0)),"?"))</f>
        <v/>
      </c>
      <c r="N285" s="26" t="str">
        <f aca="false">IF($F285="","",IFERROR(INDEX(EMPL_CLASSE,MATCH($F285,EMPL_KEY,0)),"?"))</f>
        <v/>
      </c>
      <c r="O285" s="28" t="n">
        <f aca="false">IF($C285="",0,IF(OR($B285="",$D285=""),0,IF($C285="AJUSTEMENT",IF(OR(NOT(ISNUMBER($G285)),$G285=0,$F285="",$H285=""),0,1),IF(OR(NOT(ISNUMBER($G285)),$G285&lt;=0),0,IF($C285="RECEPTION",IF($F285="",0,1),IF($C285="CONSOMMATION",IF($E285="",0,1),IF(OR($E285="",$F285="",$E285=$F285),0,1)))))))</f>
        <v>0</v>
      </c>
      <c r="P285" s="27" t="str">
        <f aca="false">IF(OR($O285=0,$C285="RECEPTION"),"",IF($C285="AJUSTEMENT",IF($G285&gt;0,"",SUMIFS(MVT_BRUT,MVT_LOT,$D285,MVT_EMPL,$F285)-$G285),SUMIFS(MVT_BRUT,MVT_LOT,$D285,MVT_EMPL,$E285)+$G285))</f>
        <v/>
      </c>
      <c r="Q285" s="26" t="str">
        <f aca="false">IF($C285="","",IF($O285=0,"DONNEES MANQUANTES",IF($C285="RECEPTION","OK",IF(AND($C285="AJUSTEMENT",$G285&gt;0),"OK",IF($P285&lt;=0,"EMPLACEMENT INCOHERENT",IF(ABS($G285)&gt;$P285+0.001,"STOCK INSUFFISANT","OK"))))))</f>
        <v/>
      </c>
      <c r="R285" s="28" t="n">
        <f aca="false">IF($Q285="OK",1,0)</f>
        <v>0</v>
      </c>
      <c r="S285" s="26" t="str">
        <f aca="false">IF($C285="","",IF($O285=0,"A COMPLETER : "&amp;IF($B285="","DATE; ","")&amp;IF($D285="","LOT INTERNE; ","")&amp;IF(NOT(ISNUMBER($G285)),"QUANTITE; ",IF(AND($C285="AJUSTEMENT",$G285=0),"QUANTITE &lt;&gt; 0; ",IF(AND($C285&lt;&gt;"AJUSTEMENT",$G285&lt;=0),"QUANTITE &gt; 0; ","")))&amp;IF(AND($C285="AJUSTEMENT",$H285=""),"MOTIF; ","")&amp;IF(AND(OR($C285="TRANSFERT",$C285="CONSOMMATION"),$E285=""),"EMPL. SOURCE; ","")&amp;IF(AND($C285&lt;&gt;"CONSOMMATION",$F285=""),"EMPL. DESTINATION; ","")&amp;IF(AND($C285="TRANSFERT",$E285&lt;&gt;"",$E285=$F285),"SOURCE = DESTINATION; ",""),IF($Q285="EMPLACEMENT INCOHERENT","Le lot "&amp;$D285&amp;" n'existe pas sur cet emplacement (stock 0). Verifier l'emplacement.",IF($Q285="STOCK INSUFFISANT","Disponible avant operation : "&amp;TEXT($P285,"#,##0.00")&amp;" kg. Ligne NON comptee en stock.",IF(COUNTIFS($B$5:$B$304,$B285,$C$5:$C$304,$C285,$D$5:$D$304,$D285,$G$5:$G$304,$G285)&gt;1,"Doublon possible (meme date, type, lot et quantite).",IF($K285="LOT NON REFERENCE","Creer d'abord la fiche du lot dans l'onglet LOTS.",""))))))</f>
        <v/>
      </c>
    </row>
    <row r="286" customFormat="false" ht="15" hidden="false" customHeight="false" outlineLevel="0" collapsed="false">
      <c r="A286" s="26" t="str">
        <f aca="false">IF($C286="","","OP-"&amp;TEXT(ROW()-4,"000"))</f>
        <v/>
      </c>
      <c r="B286" s="25"/>
      <c r="C286" s="24"/>
      <c r="D286" s="24"/>
      <c r="E286" s="24"/>
      <c r="F286" s="24"/>
      <c r="G286" s="29"/>
      <c r="H286" s="24"/>
      <c r="I286" s="24"/>
      <c r="J286" s="26" t="str">
        <f aca="false">IF($D286="","",IFERROR(INDEX(LOT_EXTE,MATCH($D286,LOT_KEY,0)),""))</f>
        <v/>
      </c>
      <c r="K286" s="26" t="str">
        <f aca="false">IF($D286="","",IFERROR(INDEX(LOT_PRODE,MATCH($D286,LOT_KEY,0)),"LOT NON REFERENCE"))</f>
        <v/>
      </c>
      <c r="L286" s="26" t="str">
        <f aca="false">IF($D286="","",IFERROR(INDEX(LOT_FOURNE,MATCH($D286,LOT_KEY,0)),""))</f>
        <v/>
      </c>
      <c r="M286" s="26" t="str">
        <f aca="false">IF($E286="","",IFERROR(INDEX(EMPL_CLASSE,MATCH($E286,EMPL_KEY,0)),"?"))</f>
        <v/>
      </c>
      <c r="N286" s="26" t="str">
        <f aca="false">IF($F286="","",IFERROR(INDEX(EMPL_CLASSE,MATCH($F286,EMPL_KEY,0)),"?"))</f>
        <v/>
      </c>
      <c r="O286" s="28" t="n">
        <f aca="false">IF($C286="",0,IF(OR($B286="",$D286=""),0,IF($C286="AJUSTEMENT",IF(OR(NOT(ISNUMBER($G286)),$G286=0,$F286="",$H286=""),0,1),IF(OR(NOT(ISNUMBER($G286)),$G286&lt;=0),0,IF($C286="RECEPTION",IF($F286="",0,1),IF($C286="CONSOMMATION",IF($E286="",0,1),IF(OR($E286="",$F286="",$E286=$F286),0,1)))))))</f>
        <v>0</v>
      </c>
      <c r="P286" s="27" t="str">
        <f aca="false">IF(OR($O286=0,$C286="RECEPTION"),"",IF($C286="AJUSTEMENT",IF($G286&gt;0,"",SUMIFS(MVT_BRUT,MVT_LOT,$D286,MVT_EMPL,$F286)-$G286),SUMIFS(MVT_BRUT,MVT_LOT,$D286,MVT_EMPL,$E286)+$G286))</f>
        <v/>
      </c>
      <c r="Q286" s="26" t="str">
        <f aca="false">IF($C286="","",IF($O286=0,"DONNEES MANQUANTES",IF($C286="RECEPTION","OK",IF(AND($C286="AJUSTEMENT",$G286&gt;0),"OK",IF($P286&lt;=0,"EMPLACEMENT INCOHERENT",IF(ABS($G286)&gt;$P286+0.001,"STOCK INSUFFISANT","OK"))))))</f>
        <v/>
      </c>
      <c r="R286" s="28" t="n">
        <f aca="false">IF($Q286="OK",1,0)</f>
        <v>0</v>
      </c>
      <c r="S286" s="26" t="str">
        <f aca="false">IF($C286="","",IF($O286=0,"A COMPLETER : "&amp;IF($B286="","DATE; ","")&amp;IF($D286="","LOT INTERNE; ","")&amp;IF(NOT(ISNUMBER($G286)),"QUANTITE; ",IF(AND($C286="AJUSTEMENT",$G286=0),"QUANTITE &lt;&gt; 0; ",IF(AND($C286&lt;&gt;"AJUSTEMENT",$G286&lt;=0),"QUANTITE &gt; 0; ","")))&amp;IF(AND($C286="AJUSTEMENT",$H286=""),"MOTIF; ","")&amp;IF(AND(OR($C286="TRANSFERT",$C286="CONSOMMATION"),$E286=""),"EMPL. SOURCE; ","")&amp;IF(AND($C286&lt;&gt;"CONSOMMATION",$F286=""),"EMPL. DESTINATION; ","")&amp;IF(AND($C286="TRANSFERT",$E286&lt;&gt;"",$E286=$F286),"SOURCE = DESTINATION; ",""),IF($Q286="EMPLACEMENT INCOHERENT","Le lot "&amp;$D286&amp;" n'existe pas sur cet emplacement (stock 0). Verifier l'emplacement.",IF($Q286="STOCK INSUFFISANT","Disponible avant operation : "&amp;TEXT($P286,"#,##0.00")&amp;" kg. Ligne NON comptee en stock.",IF(COUNTIFS($B$5:$B$304,$B286,$C$5:$C$304,$C286,$D$5:$D$304,$D286,$G$5:$G$304,$G286)&gt;1,"Doublon possible (meme date, type, lot et quantite).",IF($K286="LOT NON REFERENCE","Creer d'abord la fiche du lot dans l'onglet LOTS.",""))))))</f>
        <v/>
      </c>
    </row>
    <row r="287" customFormat="false" ht="15" hidden="false" customHeight="false" outlineLevel="0" collapsed="false">
      <c r="A287" s="26" t="str">
        <f aca="false">IF($C287="","","OP-"&amp;TEXT(ROW()-4,"000"))</f>
        <v/>
      </c>
      <c r="B287" s="25"/>
      <c r="C287" s="24"/>
      <c r="D287" s="24"/>
      <c r="E287" s="24"/>
      <c r="F287" s="24"/>
      <c r="G287" s="29"/>
      <c r="H287" s="24"/>
      <c r="I287" s="24"/>
      <c r="J287" s="26" t="str">
        <f aca="false">IF($D287="","",IFERROR(INDEX(LOT_EXTE,MATCH($D287,LOT_KEY,0)),""))</f>
        <v/>
      </c>
      <c r="K287" s="26" t="str">
        <f aca="false">IF($D287="","",IFERROR(INDEX(LOT_PRODE,MATCH($D287,LOT_KEY,0)),"LOT NON REFERENCE"))</f>
        <v/>
      </c>
      <c r="L287" s="26" t="str">
        <f aca="false">IF($D287="","",IFERROR(INDEX(LOT_FOURNE,MATCH($D287,LOT_KEY,0)),""))</f>
        <v/>
      </c>
      <c r="M287" s="26" t="str">
        <f aca="false">IF($E287="","",IFERROR(INDEX(EMPL_CLASSE,MATCH($E287,EMPL_KEY,0)),"?"))</f>
        <v/>
      </c>
      <c r="N287" s="26" t="str">
        <f aca="false">IF($F287="","",IFERROR(INDEX(EMPL_CLASSE,MATCH($F287,EMPL_KEY,0)),"?"))</f>
        <v/>
      </c>
      <c r="O287" s="28" t="n">
        <f aca="false">IF($C287="",0,IF(OR($B287="",$D287=""),0,IF($C287="AJUSTEMENT",IF(OR(NOT(ISNUMBER($G287)),$G287=0,$F287="",$H287=""),0,1),IF(OR(NOT(ISNUMBER($G287)),$G287&lt;=0),0,IF($C287="RECEPTION",IF($F287="",0,1),IF($C287="CONSOMMATION",IF($E287="",0,1),IF(OR($E287="",$F287="",$E287=$F287),0,1)))))))</f>
        <v>0</v>
      </c>
      <c r="P287" s="27" t="str">
        <f aca="false">IF(OR($O287=0,$C287="RECEPTION"),"",IF($C287="AJUSTEMENT",IF($G287&gt;0,"",SUMIFS(MVT_BRUT,MVT_LOT,$D287,MVT_EMPL,$F287)-$G287),SUMIFS(MVT_BRUT,MVT_LOT,$D287,MVT_EMPL,$E287)+$G287))</f>
        <v/>
      </c>
      <c r="Q287" s="26" t="str">
        <f aca="false">IF($C287="","",IF($O287=0,"DONNEES MANQUANTES",IF($C287="RECEPTION","OK",IF(AND($C287="AJUSTEMENT",$G287&gt;0),"OK",IF($P287&lt;=0,"EMPLACEMENT INCOHERENT",IF(ABS($G287)&gt;$P287+0.001,"STOCK INSUFFISANT","OK"))))))</f>
        <v/>
      </c>
      <c r="R287" s="28" t="n">
        <f aca="false">IF($Q287="OK",1,0)</f>
        <v>0</v>
      </c>
      <c r="S287" s="26" t="str">
        <f aca="false">IF($C287="","",IF($O287=0,"A COMPLETER : "&amp;IF($B287="","DATE; ","")&amp;IF($D287="","LOT INTERNE; ","")&amp;IF(NOT(ISNUMBER($G287)),"QUANTITE; ",IF(AND($C287="AJUSTEMENT",$G287=0),"QUANTITE &lt;&gt; 0; ",IF(AND($C287&lt;&gt;"AJUSTEMENT",$G287&lt;=0),"QUANTITE &gt; 0; ","")))&amp;IF(AND($C287="AJUSTEMENT",$H287=""),"MOTIF; ","")&amp;IF(AND(OR($C287="TRANSFERT",$C287="CONSOMMATION"),$E287=""),"EMPL. SOURCE; ","")&amp;IF(AND($C287&lt;&gt;"CONSOMMATION",$F287=""),"EMPL. DESTINATION; ","")&amp;IF(AND($C287="TRANSFERT",$E287&lt;&gt;"",$E287=$F287),"SOURCE = DESTINATION; ",""),IF($Q287="EMPLACEMENT INCOHERENT","Le lot "&amp;$D287&amp;" n'existe pas sur cet emplacement (stock 0). Verifier l'emplacement.",IF($Q287="STOCK INSUFFISANT","Disponible avant operation : "&amp;TEXT($P287,"#,##0.00")&amp;" kg. Ligne NON comptee en stock.",IF(COUNTIFS($B$5:$B$304,$B287,$C$5:$C$304,$C287,$D$5:$D$304,$D287,$G$5:$G$304,$G287)&gt;1,"Doublon possible (meme date, type, lot et quantite).",IF($K287="LOT NON REFERENCE","Creer d'abord la fiche du lot dans l'onglet LOTS.",""))))))</f>
        <v/>
      </c>
    </row>
    <row r="288" customFormat="false" ht="15" hidden="false" customHeight="false" outlineLevel="0" collapsed="false">
      <c r="A288" s="26" t="str">
        <f aca="false">IF($C288="","","OP-"&amp;TEXT(ROW()-4,"000"))</f>
        <v/>
      </c>
      <c r="B288" s="25"/>
      <c r="C288" s="24"/>
      <c r="D288" s="24"/>
      <c r="E288" s="24"/>
      <c r="F288" s="24"/>
      <c r="G288" s="29"/>
      <c r="H288" s="24"/>
      <c r="I288" s="24"/>
      <c r="J288" s="26" t="str">
        <f aca="false">IF($D288="","",IFERROR(INDEX(LOT_EXTE,MATCH($D288,LOT_KEY,0)),""))</f>
        <v/>
      </c>
      <c r="K288" s="26" t="str">
        <f aca="false">IF($D288="","",IFERROR(INDEX(LOT_PRODE,MATCH($D288,LOT_KEY,0)),"LOT NON REFERENCE"))</f>
        <v/>
      </c>
      <c r="L288" s="26" t="str">
        <f aca="false">IF($D288="","",IFERROR(INDEX(LOT_FOURNE,MATCH($D288,LOT_KEY,0)),""))</f>
        <v/>
      </c>
      <c r="M288" s="26" t="str">
        <f aca="false">IF($E288="","",IFERROR(INDEX(EMPL_CLASSE,MATCH($E288,EMPL_KEY,0)),"?"))</f>
        <v/>
      </c>
      <c r="N288" s="26" t="str">
        <f aca="false">IF($F288="","",IFERROR(INDEX(EMPL_CLASSE,MATCH($F288,EMPL_KEY,0)),"?"))</f>
        <v/>
      </c>
      <c r="O288" s="28" t="n">
        <f aca="false">IF($C288="",0,IF(OR($B288="",$D288=""),0,IF($C288="AJUSTEMENT",IF(OR(NOT(ISNUMBER($G288)),$G288=0,$F288="",$H288=""),0,1),IF(OR(NOT(ISNUMBER($G288)),$G288&lt;=0),0,IF($C288="RECEPTION",IF($F288="",0,1),IF($C288="CONSOMMATION",IF($E288="",0,1),IF(OR($E288="",$F288="",$E288=$F288),0,1)))))))</f>
        <v>0</v>
      </c>
      <c r="P288" s="27" t="str">
        <f aca="false">IF(OR($O288=0,$C288="RECEPTION"),"",IF($C288="AJUSTEMENT",IF($G288&gt;0,"",SUMIFS(MVT_BRUT,MVT_LOT,$D288,MVT_EMPL,$F288)-$G288),SUMIFS(MVT_BRUT,MVT_LOT,$D288,MVT_EMPL,$E288)+$G288))</f>
        <v/>
      </c>
      <c r="Q288" s="26" t="str">
        <f aca="false">IF($C288="","",IF($O288=0,"DONNEES MANQUANTES",IF($C288="RECEPTION","OK",IF(AND($C288="AJUSTEMENT",$G288&gt;0),"OK",IF($P288&lt;=0,"EMPLACEMENT INCOHERENT",IF(ABS($G288)&gt;$P288+0.001,"STOCK INSUFFISANT","OK"))))))</f>
        <v/>
      </c>
      <c r="R288" s="28" t="n">
        <f aca="false">IF($Q288="OK",1,0)</f>
        <v>0</v>
      </c>
      <c r="S288" s="26" t="str">
        <f aca="false">IF($C288="","",IF($O288=0,"A COMPLETER : "&amp;IF($B288="","DATE; ","")&amp;IF($D288="","LOT INTERNE; ","")&amp;IF(NOT(ISNUMBER($G288)),"QUANTITE; ",IF(AND($C288="AJUSTEMENT",$G288=0),"QUANTITE &lt;&gt; 0; ",IF(AND($C288&lt;&gt;"AJUSTEMENT",$G288&lt;=0),"QUANTITE &gt; 0; ","")))&amp;IF(AND($C288="AJUSTEMENT",$H288=""),"MOTIF; ","")&amp;IF(AND(OR($C288="TRANSFERT",$C288="CONSOMMATION"),$E288=""),"EMPL. SOURCE; ","")&amp;IF(AND($C288&lt;&gt;"CONSOMMATION",$F288=""),"EMPL. DESTINATION; ","")&amp;IF(AND($C288="TRANSFERT",$E288&lt;&gt;"",$E288=$F288),"SOURCE = DESTINATION; ",""),IF($Q288="EMPLACEMENT INCOHERENT","Le lot "&amp;$D288&amp;" n'existe pas sur cet emplacement (stock 0). Verifier l'emplacement.",IF($Q288="STOCK INSUFFISANT","Disponible avant operation : "&amp;TEXT($P288,"#,##0.00")&amp;" kg. Ligne NON comptee en stock.",IF(COUNTIFS($B$5:$B$304,$B288,$C$5:$C$304,$C288,$D$5:$D$304,$D288,$G$5:$G$304,$G288)&gt;1,"Doublon possible (meme date, type, lot et quantite).",IF($K288="LOT NON REFERENCE","Creer d'abord la fiche du lot dans l'onglet LOTS.",""))))))</f>
        <v/>
      </c>
    </row>
    <row r="289" customFormat="false" ht="15" hidden="false" customHeight="false" outlineLevel="0" collapsed="false">
      <c r="A289" s="26" t="str">
        <f aca="false">IF($C289="","","OP-"&amp;TEXT(ROW()-4,"000"))</f>
        <v/>
      </c>
      <c r="B289" s="25"/>
      <c r="C289" s="24"/>
      <c r="D289" s="24"/>
      <c r="E289" s="24"/>
      <c r="F289" s="24"/>
      <c r="G289" s="29"/>
      <c r="H289" s="24"/>
      <c r="I289" s="24"/>
      <c r="J289" s="26" t="str">
        <f aca="false">IF($D289="","",IFERROR(INDEX(LOT_EXTE,MATCH($D289,LOT_KEY,0)),""))</f>
        <v/>
      </c>
      <c r="K289" s="26" t="str">
        <f aca="false">IF($D289="","",IFERROR(INDEX(LOT_PRODE,MATCH($D289,LOT_KEY,0)),"LOT NON REFERENCE"))</f>
        <v/>
      </c>
      <c r="L289" s="26" t="str">
        <f aca="false">IF($D289="","",IFERROR(INDEX(LOT_FOURNE,MATCH($D289,LOT_KEY,0)),""))</f>
        <v/>
      </c>
      <c r="M289" s="26" t="str">
        <f aca="false">IF($E289="","",IFERROR(INDEX(EMPL_CLASSE,MATCH($E289,EMPL_KEY,0)),"?"))</f>
        <v/>
      </c>
      <c r="N289" s="26" t="str">
        <f aca="false">IF($F289="","",IFERROR(INDEX(EMPL_CLASSE,MATCH($F289,EMPL_KEY,0)),"?"))</f>
        <v/>
      </c>
      <c r="O289" s="28" t="n">
        <f aca="false">IF($C289="",0,IF(OR($B289="",$D289=""),0,IF($C289="AJUSTEMENT",IF(OR(NOT(ISNUMBER($G289)),$G289=0,$F289="",$H289=""),0,1),IF(OR(NOT(ISNUMBER($G289)),$G289&lt;=0),0,IF($C289="RECEPTION",IF($F289="",0,1),IF($C289="CONSOMMATION",IF($E289="",0,1),IF(OR($E289="",$F289="",$E289=$F289),0,1)))))))</f>
        <v>0</v>
      </c>
      <c r="P289" s="27" t="str">
        <f aca="false">IF(OR($O289=0,$C289="RECEPTION"),"",IF($C289="AJUSTEMENT",IF($G289&gt;0,"",SUMIFS(MVT_BRUT,MVT_LOT,$D289,MVT_EMPL,$F289)-$G289),SUMIFS(MVT_BRUT,MVT_LOT,$D289,MVT_EMPL,$E289)+$G289))</f>
        <v/>
      </c>
      <c r="Q289" s="26" t="str">
        <f aca="false">IF($C289="","",IF($O289=0,"DONNEES MANQUANTES",IF($C289="RECEPTION","OK",IF(AND($C289="AJUSTEMENT",$G289&gt;0),"OK",IF($P289&lt;=0,"EMPLACEMENT INCOHERENT",IF(ABS($G289)&gt;$P289+0.001,"STOCK INSUFFISANT","OK"))))))</f>
        <v/>
      </c>
      <c r="R289" s="28" t="n">
        <f aca="false">IF($Q289="OK",1,0)</f>
        <v>0</v>
      </c>
      <c r="S289" s="26" t="str">
        <f aca="false">IF($C289="","",IF($O289=0,"A COMPLETER : "&amp;IF($B289="","DATE; ","")&amp;IF($D289="","LOT INTERNE; ","")&amp;IF(NOT(ISNUMBER($G289)),"QUANTITE; ",IF(AND($C289="AJUSTEMENT",$G289=0),"QUANTITE &lt;&gt; 0; ",IF(AND($C289&lt;&gt;"AJUSTEMENT",$G289&lt;=0),"QUANTITE &gt; 0; ","")))&amp;IF(AND($C289="AJUSTEMENT",$H289=""),"MOTIF; ","")&amp;IF(AND(OR($C289="TRANSFERT",$C289="CONSOMMATION"),$E289=""),"EMPL. SOURCE; ","")&amp;IF(AND($C289&lt;&gt;"CONSOMMATION",$F289=""),"EMPL. DESTINATION; ","")&amp;IF(AND($C289="TRANSFERT",$E289&lt;&gt;"",$E289=$F289),"SOURCE = DESTINATION; ",""),IF($Q289="EMPLACEMENT INCOHERENT","Le lot "&amp;$D289&amp;" n'existe pas sur cet emplacement (stock 0). Verifier l'emplacement.",IF($Q289="STOCK INSUFFISANT","Disponible avant operation : "&amp;TEXT($P289,"#,##0.00")&amp;" kg. Ligne NON comptee en stock.",IF(COUNTIFS($B$5:$B$304,$B289,$C$5:$C$304,$C289,$D$5:$D$304,$D289,$G$5:$G$304,$G289)&gt;1,"Doublon possible (meme date, type, lot et quantite).",IF($K289="LOT NON REFERENCE","Creer d'abord la fiche du lot dans l'onglet LOTS.",""))))))</f>
        <v/>
      </c>
    </row>
    <row r="290" customFormat="false" ht="15" hidden="false" customHeight="false" outlineLevel="0" collapsed="false">
      <c r="A290" s="26" t="str">
        <f aca="false">IF($C290="","","OP-"&amp;TEXT(ROW()-4,"000"))</f>
        <v/>
      </c>
      <c r="B290" s="25"/>
      <c r="C290" s="24"/>
      <c r="D290" s="24"/>
      <c r="E290" s="24"/>
      <c r="F290" s="24"/>
      <c r="G290" s="29"/>
      <c r="H290" s="24"/>
      <c r="I290" s="24"/>
      <c r="J290" s="26" t="str">
        <f aca="false">IF($D290="","",IFERROR(INDEX(LOT_EXTE,MATCH($D290,LOT_KEY,0)),""))</f>
        <v/>
      </c>
      <c r="K290" s="26" t="str">
        <f aca="false">IF($D290="","",IFERROR(INDEX(LOT_PRODE,MATCH($D290,LOT_KEY,0)),"LOT NON REFERENCE"))</f>
        <v/>
      </c>
      <c r="L290" s="26" t="str">
        <f aca="false">IF($D290="","",IFERROR(INDEX(LOT_FOURNE,MATCH($D290,LOT_KEY,0)),""))</f>
        <v/>
      </c>
      <c r="M290" s="26" t="str">
        <f aca="false">IF($E290="","",IFERROR(INDEX(EMPL_CLASSE,MATCH($E290,EMPL_KEY,0)),"?"))</f>
        <v/>
      </c>
      <c r="N290" s="26" t="str">
        <f aca="false">IF($F290="","",IFERROR(INDEX(EMPL_CLASSE,MATCH($F290,EMPL_KEY,0)),"?"))</f>
        <v/>
      </c>
      <c r="O290" s="28" t="n">
        <f aca="false">IF($C290="",0,IF(OR($B290="",$D290=""),0,IF($C290="AJUSTEMENT",IF(OR(NOT(ISNUMBER($G290)),$G290=0,$F290="",$H290=""),0,1),IF(OR(NOT(ISNUMBER($G290)),$G290&lt;=0),0,IF($C290="RECEPTION",IF($F290="",0,1),IF($C290="CONSOMMATION",IF($E290="",0,1),IF(OR($E290="",$F290="",$E290=$F290),0,1)))))))</f>
        <v>0</v>
      </c>
      <c r="P290" s="27" t="str">
        <f aca="false">IF(OR($O290=0,$C290="RECEPTION"),"",IF($C290="AJUSTEMENT",IF($G290&gt;0,"",SUMIFS(MVT_BRUT,MVT_LOT,$D290,MVT_EMPL,$F290)-$G290),SUMIFS(MVT_BRUT,MVT_LOT,$D290,MVT_EMPL,$E290)+$G290))</f>
        <v/>
      </c>
      <c r="Q290" s="26" t="str">
        <f aca="false">IF($C290="","",IF($O290=0,"DONNEES MANQUANTES",IF($C290="RECEPTION","OK",IF(AND($C290="AJUSTEMENT",$G290&gt;0),"OK",IF($P290&lt;=0,"EMPLACEMENT INCOHERENT",IF(ABS($G290)&gt;$P290+0.001,"STOCK INSUFFISANT","OK"))))))</f>
        <v/>
      </c>
      <c r="R290" s="28" t="n">
        <f aca="false">IF($Q290="OK",1,0)</f>
        <v>0</v>
      </c>
      <c r="S290" s="26" t="str">
        <f aca="false">IF($C290="","",IF($O290=0,"A COMPLETER : "&amp;IF($B290="","DATE; ","")&amp;IF($D290="","LOT INTERNE; ","")&amp;IF(NOT(ISNUMBER($G290)),"QUANTITE; ",IF(AND($C290="AJUSTEMENT",$G290=0),"QUANTITE &lt;&gt; 0; ",IF(AND($C290&lt;&gt;"AJUSTEMENT",$G290&lt;=0),"QUANTITE &gt; 0; ","")))&amp;IF(AND($C290="AJUSTEMENT",$H290=""),"MOTIF; ","")&amp;IF(AND(OR($C290="TRANSFERT",$C290="CONSOMMATION"),$E290=""),"EMPL. SOURCE; ","")&amp;IF(AND($C290&lt;&gt;"CONSOMMATION",$F290=""),"EMPL. DESTINATION; ","")&amp;IF(AND($C290="TRANSFERT",$E290&lt;&gt;"",$E290=$F290),"SOURCE = DESTINATION; ",""),IF($Q290="EMPLACEMENT INCOHERENT","Le lot "&amp;$D290&amp;" n'existe pas sur cet emplacement (stock 0). Verifier l'emplacement.",IF($Q290="STOCK INSUFFISANT","Disponible avant operation : "&amp;TEXT($P290,"#,##0.00")&amp;" kg. Ligne NON comptee en stock.",IF(COUNTIFS($B$5:$B$304,$B290,$C$5:$C$304,$C290,$D$5:$D$304,$D290,$G$5:$G$304,$G290)&gt;1,"Doublon possible (meme date, type, lot et quantite).",IF($K290="LOT NON REFERENCE","Creer d'abord la fiche du lot dans l'onglet LOTS.",""))))))</f>
        <v/>
      </c>
    </row>
    <row r="291" customFormat="false" ht="15" hidden="false" customHeight="false" outlineLevel="0" collapsed="false">
      <c r="A291" s="26" t="str">
        <f aca="false">IF($C291="","","OP-"&amp;TEXT(ROW()-4,"000"))</f>
        <v/>
      </c>
      <c r="B291" s="25"/>
      <c r="C291" s="24"/>
      <c r="D291" s="24"/>
      <c r="E291" s="24"/>
      <c r="F291" s="24"/>
      <c r="G291" s="29"/>
      <c r="H291" s="24"/>
      <c r="I291" s="24"/>
      <c r="J291" s="26" t="str">
        <f aca="false">IF($D291="","",IFERROR(INDEX(LOT_EXTE,MATCH($D291,LOT_KEY,0)),""))</f>
        <v/>
      </c>
      <c r="K291" s="26" t="str">
        <f aca="false">IF($D291="","",IFERROR(INDEX(LOT_PRODE,MATCH($D291,LOT_KEY,0)),"LOT NON REFERENCE"))</f>
        <v/>
      </c>
      <c r="L291" s="26" t="str">
        <f aca="false">IF($D291="","",IFERROR(INDEX(LOT_FOURNE,MATCH($D291,LOT_KEY,0)),""))</f>
        <v/>
      </c>
      <c r="M291" s="26" t="str">
        <f aca="false">IF($E291="","",IFERROR(INDEX(EMPL_CLASSE,MATCH($E291,EMPL_KEY,0)),"?"))</f>
        <v/>
      </c>
      <c r="N291" s="26" t="str">
        <f aca="false">IF($F291="","",IFERROR(INDEX(EMPL_CLASSE,MATCH($F291,EMPL_KEY,0)),"?"))</f>
        <v/>
      </c>
      <c r="O291" s="28" t="n">
        <f aca="false">IF($C291="",0,IF(OR($B291="",$D291=""),0,IF($C291="AJUSTEMENT",IF(OR(NOT(ISNUMBER($G291)),$G291=0,$F291="",$H291=""),0,1),IF(OR(NOT(ISNUMBER($G291)),$G291&lt;=0),0,IF($C291="RECEPTION",IF($F291="",0,1),IF($C291="CONSOMMATION",IF($E291="",0,1),IF(OR($E291="",$F291="",$E291=$F291),0,1)))))))</f>
        <v>0</v>
      </c>
      <c r="P291" s="27" t="str">
        <f aca="false">IF(OR($O291=0,$C291="RECEPTION"),"",IF($C291="AJUSTEMENT",IF($G291&gt;0,"",SUMIFS(MVT_BRUT,MVT_LOT,$D291,MVT_EMPL,$F291)-$G291),SUMIFS(MVT_BRUT,MVT_LOT,$D291,MVT_EMPL,$E291)+$G291))</f>
        <v/>
      </c>
      <c r="Q291" s="26" t="str">
        <f aca="false">IF($C291="","",IF($O291=0,"DONNEES MANQUANTES",IF($C291="RECEPTION","OK",IF(AND($C291="AJUSTEMENT",$G291&gt;0),"OK",IF($P291&lt;=0,"EMPLACEMENT INCOHERENT",IF(ABS($G291)&gt;$P291+0.001,"STOCK INSUFFISANT","OK"))))))</f>
        <v/>
      </c>
      <c r="R291" s="28" t="n">
        <f aca="false">IF($Q291="OK",1,0)</f>
        <v>0</v>
      </c>
      <c r="S291" s="26" t="str">
        <f aca="false">IF($C291="","",IF($O291=0,"A COMPLETER : "&amp;IF($B291="","DATE; ","")&amp;IF($D291="","LOT INTERNE; ","")&amp;IF(NOT(ISNUMBER($G291)),"QUANTITE; ",IF(AND($C291="AJUSTEMENT",$G291=0),"QUANTITE &lt;&gt; 0; ",IF(AND($C291&lt;&gt;"AJUSTEMENT",$G291&lt;=0),"QUANTITE &gt; 0; ","")))&amp;IF(AND($C291="AJUSTEMENT",$H291=""),"MOTIF; ","")&amp;IF(AND(OR($C291="TRANSFERT",$C291="CONSOMMATION"),$E291=""),"EMPL. SOURCE; ","")&amp;IF(AND($C291&lt;&gt;"CONSOMMATION",$F291=""),"EMPL. DESTINATION; ","")&amp;IF(AND($C291="TRANSFERT",$E291&lt;&gt;"",$E291=$F291),"SOURCE = DESTINATION; ",""),IF($Q291="EMPLACEMENT INCOHERENT","Le lot "&amp;$D291&amp;" n'existe pas sur cet emplacement (stock 0). Verifier l'emplacement.",IF($Q291="STOCK INSUFFISANT","Disponible avant operation : "&amp;TEXT($P291,"#,##0.00")&amp;" kg. Ligne NON comptee en stock.",IF(COUNTIFS($B$5:$B$304,$B291,$C$5:$C$304,$C291,$D$5:$D$304,$D291,$G$5:$G$304,$G291)&gt;1,"Doublon possible (meme date, type, lot et quantite).",IF($K291="LOT NON REFERENCE","Creer d'abord la fiche du lot dans l'onglet LOTS.",""))))))</f>
        <v/>
      </c>
    </row>
    <row r="292" customFormat="false" ht="15" hidden="false" customHeight="false" outlineLevel="0" collapsed="false">
      <c r="A292" s="26" t="str">
        <f aca="false">IF($C292="","","OP-"&amp;TEXT(ROW()-4,"000"))</f>
        <v/>
      </c>
      <c r="B292" s="25"/>
      <c r="C292" s="24"/>
      <c r="D292" s="24"/>
      <c r="E292" s="24"/>
      <c r="F292" s="24"/>
      <c r="G292" s="29"/>
      <c r="H292" s="24"/>
      <c r="I292" s="24"/>
      <c r="J292" s="26" t="str">
        <f aca="false">IF($D292="","",IFERROR(INDEX(LOT_EXTE,MATCH($D292,LOT_KEY,0)),""))</f>
        <v/>
      </c>
      <c r="K292" s="26" t="str">
        <f aca="false">IF($D292="","",IFERROR(INDEX(LOT_PRODE,MATCH($D292,LOT_KEY,0)),"LOT NON REFERENCE"))</f>
        <v/>
      </c>
      <c r="L292" s="26" t="str">
        <f aca="false">IF($D292="","",IFERROR(INDEX(LOT_FOURNE,MATCH($D292,LOT_KEY,0)),""))</f>
        <v/>
      </c>
      <c r="M292" s="26" t="str">
        <f aca="false">IF($E292="","",IFERROR(INDEX(EMPL_CLASSE,MATCH($E292,EMPL_KEY,0)),"?"))</f>
        <v/>
      </c>
      <c r="N292" s="26" t="str">
        <f aca="false">IF($F292="","",IFERROR(INDEX(EMPL_CLASSE,MATCH($F292,EMPL_KEY,0)),"?"))</f>
        <v/>
      </c>
      <c r="O292" s="28" t="n">
        <f aca="false">IF($C292="",0,IF(OR($B292="",$D292=""),0,IF($C292="AJUSTEMENT",IF(OR(NOT(ISNUMBER($G292)),$G292=0,$F292="",$H292=""),0,1),IF(OR(NOT(ISNUMBER($G292)),$G292&lt;=0),0,IF($C292="RECEPTION",IF($F292="",0,1),IF($C292="CONSOMMATION",IF($E292="",0,1),IF(OR($E292="",$F292="",$E292=$F292),0,1)))))))</f>
        <v>0</v>
      </c>
      <c r="P292" s="27" t="str">
        <f aca="false">IF(OR($O292=0,$C292="RECEPTION"),"",IF($C292="AJUSTEMENT",IF($G292&gt;0,"",SUMIFS(MVT_BRUT,MVT_LOT,$D292,MVT_EMPL,$F292)-$G292),SUMIFS(MVT_BRUT,MVT_LOT,$D292,MVT_EMPL,$E292)+$G292))</f>
        <v/>
      </c>
      <c r="Q292" s="26" t="str">
        <f aca="false">IF($C292="","",IF($O292=0,"DONNEES MANQUANTES",IF($C292="RECEPTION","OK",IF(AND($C292="AJUSTEMENT",$G292&gt;0),"OK",IF($P292&lt;=0,"EMPLACEMENT INCOHERENT",IF(ABS($G292)&gt;$P292+0.001,"STOCK INSUFFISANT","OK"))))))</f>
        <v/>
      </c>
      <c r="R292" s="28" t="n">
        <f aca="false">IF($Q292="OK",1,0)</f>
        <v>0</v>
      </c>
      <c r="S292" s="26" t="str">
        <f aca="false">IF($C292="","",IF($O292=0,"A COMPLETER : "&amp;IF($B292="","DATE; ","")&amp;IF($D292="","LOT INTERNE; ","")&amp;IF(NOT(ISNUMBER($G292)),"QUANTITE; ",IF(AND($C292="AJUSTEMENT",$G292=0),"QUANTITE &lt;&gt; 0; ",IF(AND($C292&lt;&gt;"AJUSTEMENT",$G292&lt;=0),"QUANTITE &gt; 0; ","")))&amp;IF(AND($C292="AJUSTEMENT",$H292=""),"MOTIF; ","")&amp;IF(AND(OR($C292="TRANSFERT",$C292="CONSOMMATION"),$E292=""),"EMPL. SOURCE; ","")&amp;IF(AND($C292&lt;&gt;"CONSOMMATION",$F292=""),"EMPL. DESTINATION; ","")&amp;IF(AND($C292="TRANSFERT",$E292&lt;&gt;"",$E292=$F292),"SOURCE = DESTINATION; ",""),IF($Q292="EMPLACEMENT INCOHERENT","Le lot "&amp;$D292&amp;" n'existe pas sur cet emplacement (stock 0). Verifier l'emplacement.",IF($Q292="STOCK INSUFFISANT","Disponible avant operation : "&amp;TEXT($P292,"#,##0.00")&amp;" kg. Ligne NON comptee en stock.",IF(COUNTIFS($B$5:$B$304,$B292,$C$5:$C$304,$C292,$D$5:$D$304,$D292,$G$5:$G$304,$G292)&gt;1,"Doublon possible (meme date, type, lot et quantite).",IF($K292="LOT NON REFERENCE","Creer d'abord la fiche du lot dans l'onglet LOTS.",""))))))</f>
        <v/>
      </c>
    </row>
    <row r="293" customFormat="false" ht="15" hidden="false" customHeight="false" outlineLevel="0" collapsed="false">
      <c r="A293" s="26" t="str">
        <f aca="false">IF($C293="","","OP-"&amp;TEXT(ROW()-4,"000"))</f>
        <v/>
      </c>
      <c r="B293" s="25"/>
      <c r="C293" s="24"/>
      <c r="D293" s="24"/>
      <c r="E293" s="24"/>
      <c r="F293" s="24"/>
      <c r="G293" s="29"/>
      <c r="H293" s="24"/>
      <c r="I293" s="24"/>
      <c r="J293" s="26" t="str">
        <f aca="false">IF($D293="","",IFERROR(INDEX(LOT_EXTE,MATCH($D293,LOT_KEY,0)),""))</f>
        <v/>
      </c>
      <c r="K293" s="26" t="str">
        <f aca="false">IF($D293="","",IFERROR(INDEX(LOT_PRODE,MATCH($D293,LOT_KEY,0)),"LOT NON REFERENCE"))</f>
        <v/>
      </c>
      <c r="L293" s="26" t="str">
        <f aca="false">IF($D293="","",IFERROR(INDEX(LOT_FOURNE,MATCH($D293,LOT_KEY,0)),""))</f>
        <v/>
      </c>
      <c r="M293" s="26" t="str">
        <f aca="false">IF($E293="","",IFERROR(INDEX(EMPL_CLASSE,MATCH($E293,EMPL_KEY,0)),"?"))</f>
        <v/>
      </c>
      <c r="N293" s="26" t="str">
        <f aca="false">IF($F293="","",IFERROR(INDEX(EMPL_CLASSE,MATCH($F293,EMPL_KEY,0)),"?"))</f>
        <v/>
      </c>
      <c r="O293" s="28" t="n">
        <f aca="false">IF($C293="",0,IF(OR($B293="",$D293=""),0,IF($C293="AJUSTEMENT",IF(OR(NOT(ISNUMBER($G293)),$G293=0,$F293="",$H293=""),0,1),IF(OR(NOT(ISNUMBER($G293)),$G293&lt;=0),0,IF($C293="RECEPTION",IF($F293="",0,1),IF($C293="CONSOMMATION",IF($E293="",0,1),IF(OR($E293="",$F293="",$E293=$F293),0,1)))))))</f>
        <v>0</v>
      </c>
      <c r="P293" s="27" t="str">
        <f aca="false">IF(OR($O293=0,$C293="RECEPTION"),"",IF($C293="AJUSTEMENT",IF($G293&gt;0,"",SUMIFS(MVT_BRUT,MVT_LOT,$D293,MVT_EMPL,$F293)-$G293),SUMIFS(MVT_BRUT,MVT_LOT,$D293,MVT_EMPL,$E293)+$G293))</f>
        <v/>
      </c>
      <c r="Q293" s="26" t="str">
        <f aca="false">IF($C293="","",IF($O293=0,"DONNEES MANQUANTES",IF($C293="RECEPTION","OK",IF(AND($C293="AJUSTEMENT",$G293&gt;0),"OK",IF($P293&lt;=0,"EMPLACEMENT INCOHERENT",IF(ABS($G293)&gt;$P293+0.001,"STOCK INSUFFISANT","OK"))))))</f>
        <v/>
      </c>
      <c r="R293" s="28" t="n">
        <f aca="false">IF($Q293="OK",1,0)</f>
        <v>0</v>
      </c>
      <c r="S293" s="26" t="str">
        <f aca="false">IF($C293="","",IF($O293=0,"A COMPLETER : "&amp;IF($B293="","DATE; ","")&amp;IF($D293="","LOT INTERNE; ","")&amp;IF(NOT(ISNUMBER($G293)),"QUANTITE; ",IF(AND($C293="AJUSTEMENT",$G293=0),"QUANTITE &lt;&gt; 0; ",IF(AND($C293&lt;&gt;"AJUSTEMENT",$G293&lt;=0),"QUANTITE &gt; 0; ","")))&amp;IF(AND($C293="AJUSTEMENT",$H293=""),"MOTIF; ","")&amp;IF(AND(OR($C293="TRANSFERT",$C293="CONSOMMATION"),$E293=""),"EMPL. SOURCE; ","")&amp;IF(AND($C293&lt;&gt;"CONSOMMATION",$F293=""),"EMPL. DESTINATION; ","")&amp;IF(AND($C293="TRANSFERT",$E293&lt;&gt;"",$E293=$F293),"SOURCE = DESTINATION; ",""),IF($Q293="EMPLACEMENT INCOHERENT","Le lot "&amp;$D293&amp;" n'existe pas sur cet emplacement (stock 0). Verifier l'emplacement.",IF($Q293="STOCK INSUFFISANT","Disponible avant operation : "&amp;TEXT($P293,"#,##0.00")&amp;" kg. Ligne NON comptee en stock.",IF(COUNTIFS($B$5:$B$304,$B293,$C$5:$C$304,$C293,$D$5:$D$304,$D293,$G$5:$G$304,$G293)&gt;1,"Doublon possible (meme date, type, lot et quantite).",IF($K293="LOT NON REFERENCE","Creer d'abord la fiche du lot dans l'onglet LOTS.",""))))))</f>
        <v/>
      </c>
    </row>
    <row r="294" customFormat="false" ht="15" hidden="false" customHeight="false" outlineLevel="0" collapsed="false">
      <c r="A294" s="26" t="str">
        <f aca="false">IF($C294="","","OP-"&amp;TEXT(ROW()-4,"000"))</f>
        <v/>
      </c>
      <c r="B294" s="25"/>
      <c r="C294" s="24"/>
      <c r="D294" s="24"/>
      <c r="E294" s="24"/>
      <c r="F294" s="24"/>
      <c r="G294" s="29"/>
      <c r="H294" s="24"/>
      <c r="I294" s="24"/>
      <c r="J294" s="26" t="str">
        <f aca="false">IF($D294="","",IFERROR(INDEX(LOT_EXTE,MATCH($D294,LOT_KEY,0)),""))</f>
        <v/>
      </c>
      <c r="K294" s="26" t="str">
        <f aca="false">IF($D294="","",IFERROR(INDEX(LOT_PRODE,MATCH($D294,LOT_KEY,0)),"LOT NON REFERENCE"))</f>
        <v/>
      </c>
      <c r="L294" s="26" t="str">
        <f aca="false">IF($D294="","",IFERROR(INDEX(LOT_FOURNE,MATCH($D294,LOT_KEY,0)),""))</f>
        <v/>
      </c>
      <c r="M294" s="26" t="str">
        <f aca="false">IF($E294="","",IFERROR(INDEX(EMPL_CLASSE,MATCH($E294,EMPL_KEY,0)),"?"))</f>
        <v/>
      </c>
      <c r="N294" s="26" t="str">
        <f aca="false">IF($F294="","",IFERROR(INDEX(EMPL_CLASSE,MATCH($F294,EMPL_KEY,0)),"?"))</f>
        <v/>
      </c>
      <c r="O294" s="28" t="n">
        <f aca="false">IF($C294="",0,IF(OR($B294="",$D294=""),0,IF($C294="AJUSTEMENT",IF(OR(NOT(ISNUMBER($G294)),$G294=0,$F294="",$H294=""),0,1),IF(OR(NOT(ISNUMBER($G294)),$G294&lt;=0),0,IF($C294="RECEPTION",IF($F294="",0,1),IF($C294="CONSOMMATION",IF($E294="",0,1),IF(OR($E294="",$F294="",$E294=$F294),0,1)))))))</f>
        <v>0</v>
      </c>
      <c r="P294" s="27" t="str">
        <f aca="false">IF(OR($O294=0,$C294="RECEPTION"),"",IF($C294="AJUSTEMENT",IF($G294&gt;0,"",SUMIFS(MVT_BRUT,MVT_LOT,$D294,MVT_EMPL,$F294)-$G294),SUMIFS(MVT_BRUT,MVT_LOT,$D294,MVT_EMPL,$E294)+$G294))</f>
        <v/>
      </c>
      <c r="Q294" s="26" t="str">
        <f aca="false">IF($C294="","",IF($O294=0,"DONNEES MANQUANTES",IF($C294="RECEPTION","OK",IF(AND($C294="AJUSTEMENT",$G294&gt;0),"OK",IF($P294&lt;=0,"EMPLACEMENT INCOHERENT",IF(ABS($G294)&gt;$P294+0.001,"STOCK INSUFFISANT","OK"))))))</f>
        <v/>
      </c>
      <c r="R294" s="28" t="n">
        <f aca="false">IF($Q294="OK",1,0)</f>
        <v>0</v>
      </c>
      <c r="S294" s="26" t="str">
        <f aca="false">IF($C294="","",IF($O294=0,"A COMPLETER : "&amp;IF($B294="","DATE; ","")&amp;IF($D294="","LOT INTERNE; ","")&amp;IF(NOT(ISNUMBER($G294)),"QUANTITE; ",IF(AND($C294="AJUSTEMENT",$G294=0),"QUANTITE &lt;&gt; 0; ",IF(AND($C294&lt;&gt;"AJUSTEMENT",$G294&lt;=0),"QUANTITE &gt; 0; ","")))&amp;IF(AND($C294="AJUSTEMENT",$H294=""),"MOTIF; ","")&amp;IF(AND(OR($C294="TRANSFERT",$C294="CONSOMMATION"),$E294=""),"EMPL. SOURCE; ","")&amp;IF(AND($C294&lt;&gt;"CONSOMMATION",$F294=""),"EMPL. DESTINATION; ","")&amp;IF(AND($C294="TRANSFERT",$E294&lt;&gt;"",$E294=$F294),"SOURCE = DESTINATION; ",""),IF($Q294="EMPLACEMENT INCOHERENT","Le lot "&amp;$D294&amp;" n'existe pas sur cet emplacement (stock 0). Verifier l'emplacement.",IF($Q294="STOCK INSUFFISANT","Disponible avant operation : "&amp;TEXT($P294,"#,##0.00")&amp;" kg. Ligne NON comptee en stock.",IF(COUNTIFS($B$5:$B$304,$B294,$C$5:$C$304,$C294,$D$5:$D$304,$D294,$G$5:$G$304,$G294)&gt;1,"Doublon possible (meme date, type, lot et quantite).",IF($K294="LOT NON REFERENCE","Creer d'abord la fiche du lot dans l'onglet LOTS.",""))))))</f>
        <v/>
      </c>
    </row>
    <row r="295" customFormat="false" ht="15" hidden="false" customHeight="false" outlineLevel="0" collapsed="false">
      <c r="A295" s="26" t="str">
        <f aca="false">IF($C295="","","OP-"&amp;TEXT(ROW()-4,"000"))</f>
        <v/>
      </c>
      <c r="B295" s="25"/>
      <c r="C295" s="24"/>
      <c r="D295" s="24"/>
      <c r="E295" s="24"/>
      <c r="F295" s="24"/>
      <c r="G295" s="29"/>
      <c r="H295" s="24"/>
      <c r="I295" s="24"/>
      <c r="J295" s="26" t="str">
        <f aca="false">IF($D295="","",IFERROR(INDEX(LOT_EXTE,MATCH($D295,LOT_KEY,0)),""))</f>
        <v/>
      </c>
      <c r="K295" s="26" t="str">
        <f aca="false">IF($D295="","",IFERROR(INDEX(LOT_PRODE,MATCH($D295,LOT_KEY,0)),"LOT NON REFERENCE"))</f>
        <v/>
      </c>
      <c r="L295" s="26" t="str">
        <f aca="false">IF($D295="","",IFERROR(INDEX(LOT_FOURNE,MATCH($D295,LOT_KEY,0)),""))</f>
        <v/>
      </c>
      <c r="M295" s="26" t="str">
        <f aca="false">IF($E295="","",IFERROR(INDEX(EMPL_CLASSE,MATCH($E295,EMPL_KEY,0)),"?"))</f>
        <v/>
      </c>
      <c r="N295" s="26" t="str">
        <f aca="false">IF($F295="","",IFERROR(INDEX(EMPL_CLASSE,MATCH($F295,EMPL_KEY,0)),"?"))</f>
        <v/>
      </c>
      <c r="O295" s="28" t="n">
        <f aca="false">IF($C295="",0,IF(OR($B295="",$D295=""),0,IF($C295="AJUSTEMENT",IF(OR(NOT(ISNUMBER($G295)),$G295=0,$F295="",$H295=""),0,1),IF(OR(NOT(ISNUMBER($G295)),$G295&lt;=0),0,IF($C295="RECEPTION",IF($F295="",0,1),IF($C295="CONSOMMATION",IF($E295="",0,1),IF(OR($E295="",$F295="",$E295=$F295),0,1)))))))</f>
        <v>0</v>
      </c>
      <c r="P295" s="27" t="str">
        <f aca="false">IF(OR($O295=0,$C295="RECEPTION"),"",IF($C295="AJUSTEMENT",IF($G295&gt;0,"",SUMIFS(MVT_BRUT,MVT_LOT,$D295,MVT_EMPL,$F295)-$G295),SUMIFS(MVT_BRUT,MVT_LOT,$D295,MVT_EMPL,$E295)+$G295))</f>
        <v/>
      </c>
      <c r="Q295" s="26" t="str">
        <f aca="false">IF($C295="","",IF($O295=0,"DONNEES MANQUANTES",IF($C295="RECEPTION","OK",IF(AND($C295="AJUSTEMENT",$G295&gt;0),"OK",IF($P295&lt;=0,"EMPLACEMENT INCOHERENT",IF(ABS($G295)&gt;$P295+0.001,"STOCK INSUFFISANT","OK"))))))</f>
        <v/>
      </c>
      <c r="R295" s="28" t="n">
        <f aca="false">IF($Q295="OK",1,0)</f>
        <v>0</v>
      </c>
      <c r="S295" s="26" t="str">
        <f aca="false">IF($C295="","",IF($O295=0,"A COMPLETER : "&amp;IF($B295="","DATE; ","")&amp;IF($D295="","LOT INTERNE; ","")&amp;IF(NOT(ISNUMBER($G295)),"QUANTITE; ",IF(AND($C295="AJUSTEMENT",$G295=0),"QUANTITE &lt;&gt; 0; ",IF(AND($C295&lt;&gt;"AJUSTEMENT",$G295&lt;=0),"QUANTITE &gt; 0; ","")))&amp;IF(AND($C295="AJUSTEMENT",$H295=""),"MOTIF; ","")&amp;IF(AND(OR($C295="TRANSFERT",$C295="CONSOMMATION"),$E295=""),"EMPL. SOURCE; ","")&amp;IF(AND($C295&lt;&gt;"CONSOMMATION",$F295=""),"EMPL. DESTINATION; ","")&amp;IF(AND($C295="TRANSFERT",$E295&lt;&gt;"",$E295=$F295),"SOURCE = DESTINATION; ",""),IF($Q295="EMPLACEMENT INCOHERENT","Le lot "&amp;$D295&amp;" n'existe pas sur cet emplacement (stock 0). Verifier l'emplacement.",IF($Q295="STOCK INSUFFISANT","Disponible avant operation : "&amp;TEXT($P295,"#,##0.00")&amp;" kg. Ligne NON comptee en stock.",IF(COUNTIFS($B$5:$B$304,$B295,$C$5:$C$304,$C295,$D$5:$D$304,$D295,$G$5:$G$304,$G295)&gt;1,"Doublon possible (meme date, type, lot et quantite).",IF($K295="LOT NON REFERENCE","Creer d'abord la fiche du lot dans l'onglet LOTS.",""))))))</f>
        <v/>
      </c>
    </row>
    <row r="296" customFormat="false" ht="15" hidden="false" customHeight="false" outlineLevel="0" collapsed="false">
      <c r="A296" s="26" t="str">
        <f aca="false">IF($C296="","","OP-"&amp;TEXT(ROW()-4,"000"))</f>
        <v/>
      </c>
      <c r="B296" s="25"/>
      <c r="C296" s="24"/>
      <c r="D296" s="24"/>
      <c r="E296" s="24"/>
      <c r="F296" s="24"/>
      <c r="G296" s="29"/>
      <c r="H296" s="24"/>
      <c r="I296" s="24"/>
      <c r="J296" s="26" t="str">
        <f aca="false">IF($D296="","",IFERROR(INDEX(LOT_EXTE,MATCH($D296,LOT_KEY,0)),""))</f>
        <v/>
      </c>
      <c r="K296" s="26" t="str">
        <f aca="false">IF($D296="","",IFERROR(INDEX(LOT_PRODE,MATCH($D296,LOT_KEY,0)),"LOT NON REFERENCE"))</f>
        <v/>
      </c>
      <c r="L296" s="26" t="str">
        <f aca="false">IF($D296="","",IFERROR(INDEX(LOT_FOURNE,MATCH($D296,LOT_KEY,0)),""))</f>
        <v/>
      </c>
      <c r="M296" s="26" t="str">
        <f aca="false">IF($E296="","",IFERROR(INDEX(EMPL_CLASSE,MATCH($E296,EMPL_KEY,0)),"?"))</f>
        <v/>
      </c>
      <c r="N296" s="26" t="str">
        <f aca="false">IF($F296="","",IFERROR(INDEX(EMPL_CLASSE,MATCH($F296,EMPL_KEY,0)),"?"))</f>
        <v/>
      </c>
      <c r="O296" s="28" t="n">
        <f aca="false">IF($C296="",0,IF(OR($B296="",$D296=""),0,IF($C296="AJUSTEMENT",IF(OR(NOT(ISNUMBER($G296)),$G296=0,$F296="",$H296=""),0,1),IF(OR(NOT(ISNUMBER($G296)),$G296&lt;=0),0,IF($C296="RECEPTION",IF($F296="",0,1),IF($C296="CONSOMMATION",IF($E296="",0,1),IF(OR($E296="",$F296="",$E296=$F296),0,1)))))))</f>
        <v>0</v>
      </c>
      <c r="P296" s="27" t="str">
        <f aca="false">IF(OR($O296=0,$C296="RECEPTION"),"",IF($C296="AJUSTEMENT",IF($G296&gt;0,"",SUMIFS(MVT_BRUT,MVT_LOT,$D296,MVT_EMPL,$F296)-$G296),SUMIFS(MVT_BRUT,MVT_LOT,$D296,MVT_EMPL,$E296)+$G296))</f>
        <v/>
      </c>
      <c r="Q296" s="26" t="str">
        <f aca="false">IF($C296="","",IF($O296=0,"DONNEES MANQUANTES",IF($C296="RECEPTION","OK",IF(AND($C296="AJUSTEMENT",$G296&gt;0),"OK",IF($P296&lt;=0,"EMPLACEMENT INCOHERENT",IF(ABS($G296)&gt;$P296+0.001,"STOCK INSUFFISANT","OK"))))))</f>
        <v/>
      </c>
      <c r="R296" s="28" t="n">
        <f aca="false">IF($Q296="OK",1,0)</f>
        <v>0</v>
      </c>
      <c r="S296" s="26" t="str">
        <f aca="false">IF($C296="","",IF($O296=0,"A COMPLETER : "&amp;IF($B296="","DATE; ","")&amp;IF($D296="","LOT INTERNE; ","")&amp;IF(NOT(ISNUMBER($G296)),"QUANTITE; ",IF(AND($C296="AJUSTEMENT",$G296=0),"QUANTITE &lt;&gt; 0; ",IF(AND($C296&lt;&gt;"AJUSTEMENT",$G296&lt;=0),"QUANTITE &gt; 0; ","")))&amp;IF(AND($C296="AJUSTEMENT",$H296=""),"MOTIF; ","")&amp;IF(AND(OR($C296="TRANSFERT",$C296="CONSOMMATION"),$E296=""),"EMPL. SOURCE; ","")&amp;IF(AND($C296&lt;&gt;"CONSOMMATION",$F296=""),"EMPL. DESTINATION; ","")&amp;IF(AND($C296="TRANSFERT",$E296&lt;&gt;"",$E296=$F296),"SOURCE = DESTINATION; ",""),IF($Q296="EMPLACEMENT INCOHERENT","Le lot "&amp;$D296&amp;" n'existe pas sur cet emplacement (stock 0). Verifier l'emplacement.",IF($Q296="STOCK INSUFFISANT","Disponible avant operation : "&amp;TEXT($P296,"#,##0.00")&amp;" kg. Ligne NON comptee en stock.",IF(COUNTIFS($B$5:$B$304,$B296,$C$5:$C$304,$C296,$D$5:$D$304,$D296,$G$5:$G$304,$G296)&gt;1,"Doublon possible (meme date, type, lot et quantite).",IF($K296="LOT NON REFERENCE","Creer d'abord la fiche du lot dans l'onglet LOTS.",""))))))</f>
        <v/>
      </c>
    </row>
    <row r="297" customFormat="false" ht="15" hidden="false" customHeight="false" outlineLevel="0" collapsed="false">
      <c r="A297" s="26" t="str">
        <f aca="false">IF($C297="","","OP-"&amp;TEXT(ROW()-4,"000"))</f>
        <v/>
      </c>
      <c r="B297" s="25"/>
      <c r="C297" s="24"/>
      <c r="D297" s="24"/>
      <c r="E297" s="24"/>
      <c r="F297" s="24"/>
      <c r="G297" s="29"/>
      <c r="H297" s="24"/>
      <c r="I297" s="24"/>
      <c r="J297" s="26" t="str">
        <f aca="false">IF($D297="","",IFERROR(INDEX(LOT_EXTE,MATCH($D297,LOT_KEY,0)),""))</f>
        <v/>
      </c>
      <c r="K297" s="26" t="str">
        <f aca="false">IF($D297="","",IFERROR(INDEX(LOT_PRODE,MATCH($D297,LOT_KEY,0)),"LOT NON REFERENCE"))</f>
        <v/>
      </c>
      <c r="L297" s="26" t="str">
        <f aca="false">IF($D297="","",IFERROR(INDEX(LOT_FOURNE,MATCH($D297,LOT_KEY,0)),""))</f>
        <v/>
      </c>
      <c r="M297" s="26" t="str">
        <f aca="false">IF($E297="","",IFERROR(INDEX(EMPL_CLASSE,MATCH($E297,EMPL_KEY,0)),"?"))</f>
        <v/>
      </c>
      <c r="N297" s="26" t="str">
        <f aca="false">IF($F297="","",IFERROR(INDEX(EMPL_CLASSE,MATCH($F297,EMPL_KEY,0)),"?"))</f>
        <v/>
      </c>
      <c r="O297" s="28" t="n">
        <f aca="false">IF($C297="",0,IF(OR($B297="",$D297=""),0,IF($C297="AJUSTEMENT",IF(OR(NOT(ISNUMBER($G297)),$G297=0,$F297="",$H297=""),0,1),IF(OR(NOT(ISNUMBER($G297)),$G297&lt;=0),0,IF($C297="RECEPTION",IF($F297="",0,1),IF($C297="CONSOMMATION",IF($E297="",0,1),IF(OR($E297="",$F297="",$E297=$F297),0,1)))))))</f>
        <v>0</v>
      </c>
      <c r="P297" s="27" t="str">
        <f aca="false">IF(OR($O297=0,$C297="RECEPTION"),"",IF($C297="AJUSTEMENT",IF($G297&gt;0,"",SUMIFS(MVT_BRUT,MVT_LOT,$D297,MVT_EMPL,$F297)-$G297),SUMIFS(MVT_BRUT,MVT_LOT,$D297,MVT_EMPL,$E297)+$G297))</f>
        <v/>
      </c>
      <c r="Q297" s="26" t="str">
        <f aca="false">IF($C297="","",IF($O297=0,"DONNEES MANQUANTES",IF($C297="RECEPTION","OK",IF(AND($C297="AJUSTEMENT",$G297&gt;0),"OK",IF($P297&lt;=0,"EMPLACEMENT INCOHERENT",IF(ABS($G297)&gt;$P297+0.001,"STOCK INSUFFISANT","OK"))))))</f>
        <v/>
      </c>
      <c r="R297" s="28" t="n">
        <f aca="false">IF($Q297="OK",1,0)</f>
        <v>0</v>
      </c>
      <c r="S297" s="26" t="str">
        <f aca="false">IF($C297="","",IF($O297=0,"A COMPLETER : "&amp;IF($B297="","DATE; ","")&amp;IF($D297="","LOT INTERNE; ","")&amp;IF(NOT(ISNUMBER($G297)),"QUANTITE; ",IF(AND($C297="AJUSTEMENT",$G297=0),"QUANTITE &lt;&gt; 0; ",IF(AND($C297&lt;&gt;"AJUSTEMENT",$G297&lt;=0),"QUANTITE &gt; 0; ","")))&amp;IF(AND($C297="AJUSTEMENT",$H297=""),"MOTIF; ","")&amp;IF(AND(OR($C297="TRANSFERT",$C297="CONSOMMATION"),$E297=""),"EMPL. SOURCE; ","")&amp;IF(AND($C297&lt;&gt;"CONSOMMATION",$F297=""),"EMPL. DESTINATION; ","")&amp;IF(AND($C297="TRANSFERT",$E297&lt;&gt;"",$E297=$F297),"SOURCE = DESTINATION; ",""),IF($Q297="EMPLACEMENT INCOHERENT","Le lot "&amp;$D297&amp;" n'existe pas sur cet emplacement (stock 0). Verifier l'emplacement.",IF($Q297="STOCK INSUFFISANT","Disponible avant operation : "&amp;TEXT($P297,"#,##0.00")&amp;" kg. Ligne NON comptee en stock.",IF(COUNTIFS($B$5:$B$304,$B297,$C$5:$C$304,$C297,$D$5:$D$304,$D297,$G$5:$G$304,$G297)&gt;1,"Doublon possible (meme date, type, lot et quantite).",IF($K297="LOT NON REFERENCE","Creer d'abord la fiche du lot dans l'onglet LOTS.",""))))))</f>
        <v/>
      </c>
    </row>
    <row r="298" customFormat="false" ht="15" hidden="false" customHeight="false" outlineLevel="0" collapsed="false">
      <c r="A298" s="26" t="str">
        <f aca="false">IF($C298="","","OP-"&amp;TEXT(ROW()-4,"000"))</f>
        <v/>
      </c>
      <c r="B298" s="25"/>
      <c r="C298" s="24"/>
      <c r="D298" s="24"/>
      <c r="E298" s="24"/>
      <c r="F298" s="24"/>
      <c r="G298" s="29"/>
      <c r="H298" s="24"/>
      <c r="I298" s="24"/>
      <c r="J298" s="26" t="str">
        <f aca="false">IF($D298="","",IFERROR(INDEX(LOT_EXTE,MATCH($D298,LOT_KEY,0)),""))</f>
        <v/>
      </c>
      <c r="K298" s="26" t="str">
        <f aca="false">IF($D298="","",IFERROR(INDEX(LOT_PRODE,MATCH($D298,LOT_KEY,0)),"LOT NON REFERENCE"))</f>
        <v/>
      </c>
      <c r="L298" s="26" t="str">
        <f aca="false">IF($D298="","",IFERROR(INDEX(LOT_FOURNE,MATCH($D298,LOT_KEY,0)),""))</f>
        <v/>
      </c>
      <c r="M298" s="26" t="str">
        <f aca="false">IF($E298="","",IFERROR(INDEX(EMPL_CLASSE,MATCH($E298,EMPL_KEY,0)),"?"))</f>
        <v/>
      </c>
      <c r="N298" s="26" t="str">
        <f aca="false">IF($F298="","",IFERROR(INDEX(EMPL_CLASSE,MATCH($F298,EMPL_KEY,0)),"?"))</f>
        <v/>
      </c>
      <c r="O298" s="28" t="n">
        <f aca="false">IF($C298="",0,IF(OR($B298="",$D298=""),0,IF($C298="AJUSTEMENT",IF(OR(NOT(ISNUMBER($G298)),$G298=0,$F298="",$H298=""),0,1),IF(OR(NOT(ISNUMBER($G298)),$G298&lt;=0),0,IF($C298="RECEPTION",IF($F298="",0,1),IF($C298="CONSOMMATION",IF($E298="",0,1),IF(OR($E298="",$F298="",$E298=$F298),0,1)))))))</f>
        <v>0</v>
      </c>
      <c r="P298" s="27" t="str">
        <f aca="false">IF(OR($O298=0,$C298="RECEPTION"),"",IF($C298="AJUSTEMENT",IF($G298&gt;0,"",SUMIFS(MVT_BRUT,MVT_LOT,$D298,MVT_EMPL,$F298)-$G298),SUMIFS(MVT_BRUT,MVT_LOT,$D298,MVT_EMPL,$E298)+$G298))</f>
        <v/>
      </c>
      <c r="Q298" s="26" t="str">
        <f aca="false">IF($C298="","",IF($O298=0,"DONNEES MANQUANTES",IF($C298="RECEPTION","OK",IF(AND($C298="AJUSTEMENT",$G298&gt;0),"OK",IF($P298&lt;=0,"EMPLACEMENT INCOHERENT",IF(ABS($G298)&gt;$P298+0.001,"STOCK INSUFFISANT","OK"))))))</f>
        <v/>
      </c>
      <c r="R298" s="28" t="n">
        <f aca="false">IF($Q298="OK",1,0)</f>
        <v>0</v>
      </c>
      <c r="S298" s="26" t="str">
        <f aca="false">IF($C298="","",IF($O298=0,"A COMPLETER : "&amp;IF($B298="","DATE; ","")&amp;IF($D298="","LOT INTERNE; ","")&amp;IF(NOT(ISNUMBER($G298)),"QUANTITE; ",IF(AND($C298="AJUSTEMENT",$G298=0),"QUANTITE &lt;&gt; 0; ",IF(AND($C298&lt;&gt;"AJUSTEMENT",$G298&lt;=0),"QUANTITE &gt; 0; ","")))&amp;IF(AND($C298="AJUSTEMENT",$H298=""),"MOTIF; ","")&amp;IF(AND(OR($C298="TRANSFERT",$C298="CONSOMMATION"),$E298=""),"EMPL. SOURCE; ","")&amp;IF(AND($C298&lt;&gt;"CONSOMMATION",$F298=""),"EMPL. DESTINATION; ","")&amp;IF(AND($C298="TRANSFERT",$E298&lt;&gt;"",$E298=$F298),"SOURCE = DESTINATION; ",""),IF($Q298="EMPLACEMENT INCOHERENT","Le lot "&amp;$D298&amp;" n'existe pas sur cet emplacement (stock 0). Verifier l'emplacement.",IF($Q298="STOCK INSUFFISANT","Disponible avant operation : "&amp;TEXT($P298,"#,##0.00")&amp;" kg. Ligne NON comptee en stock.",IF(COUNTIFS($B$5:$B$304,$B298,$C$5:$C$304,$C298,$D$5:$D$304,$D298,$G$5:$G$304,$G298)&gt;1,"Doublon possible (meme date, type, lot et quantite).",IF($K298="LOT NON REFERENCE","Creer d'abord la fiche du lot dans l'onglet LOTS.",""))))))</f>
        <v/>
      </c>
    </row>
    <row r="299" customFormat="false" ht="15" hidden="false" customHeight="false" outlineLevel="0" collapsed="false">
      <c r="A299" s="26" t="str">
        <f aca="false">IF($C299="","","OP-"&amp;TEXT(ROW()-4,"000"))</f>
        <v/>
      </c>
      <c r="B299" s="25"/>
      <c r="C299" s="24"/>
      <c r="D299" s="24"/>
      <c r="E299" s="24"/>
      <c r="F299" s="24"/>
      <c r="G299" s="29"/>
      <c r="H299" s="24"/>
      <c r="I299" s="24"/>
      <c r="J299" s="26" t="str">
        <f aca="false">IF($D299="","",IFERROR(INDEX(LOT_EXTE,MATCH($D299,LOT_KEY,0)),""))</f>
        <v/>
      </c>
      <c r="K299" s="26" t="str">
        <f aca="false">IF($D299="","",IFERROR(INDEX(LOT_PRODE,MATCH($D299,LOT_KEY,0)),"LOT NON REFERENCE"))</f>
        <v/>
      </c>
      <c r="L299" s="26" t="str">
        <f aca="false">IF($D299="","",IFERROR(INDEX(LOT_FOURNE,MATCH($D299,LOT_KEY,0)),""))</f>
        <v/>
      </c>
      <c r="M299" s="26" t="str">
        <f aca="false">IF($E299="","",IFERROR(INDEX(EMPL_CLASSE,MATCH($E299,EMPL_KEY,0)),"?"))</f>
        <v/>
      </c>
      <c r="N299" s="26" t="str">
        <f aca="false">IF($F299="","",IFERROR(INDEX(EMPL_CLASSE,MATCH($F299,EMPL_KEY,0)),"?"))</f>
        <v/>
      </c>
      <c r="O299" s="28" t="n">
        <f aca="false">IF($C299="",0,IF(OR($B299="",$D299=""),0,IF($C299="AJUSTEMENT",IF(OR(NOT(ISNUMBER($G299)),$G299=0,$F299="",$H299=""),0,1),IF(OR(NOT(ISNUMBER($G299)),$G299&lt;=0),0,IF($C299="RECEPTION",IF($F299="",0,1),IF($C299="CONSOMMATION",IF($E299="",0,1),IF(OR($E299="",$F299="",$E299=$F299),0,1)))))))</f>
        <v>0</v>
      </c>
      <c r="P299" s="27" t="str">
        <f aca="false">IF(OR($O299=0,$C299="RECEPTION"),"",IF($C299="AJUSTEMENT",IF($G299&gt;0,"",SUMIFS(MVT_BRUT,MVT_LOT,$D299,MVT_EMPL,$F299)-$G299),SUMIFS(MVT_BRUT,MVT_LOT,$D299,MVT_EMPL,$E299)+$G299))</f>
        <v/>
      </c>
      <c r="Q299" s="26" t="str">
        <f aca="false">IF($C299="","",IF($O299=0,"DONNEES MANQUANTES",IF($C299="RECEPTION","OK",IF(AND($C299="AJUSTEMENT",$G299&gt;0),"OK",IF($P299&lt;=0,"EMPLACEMENT INCOHERENT",IF(ABS($G299)&gt;$P299+0.001,"STOCK INSUFFISANT","OK"))))))</f>
        <v/>
      </c>
      <c r="R299" s="28" t="n">
        <f aca="false">IF($Q299="OK",1,0)</f>
        <v>0</v>
      </c>
      <c r="S299" s="26" t="str">
        <f aca="false">IF($C299="","",IF($O299=0,"A COMPLETER : "&amp;IF($B299="","DATE; ","")&amp;IF($D299="","LOT INTERNE; ","")&amp;IF(NOT(ISNUMBER($G299)),"QUANTITE; ",IF(AND($C299="AJUSTEMENT",$G299=0),"QUANTITE &lt;&gt; 0; ",IF(AND($C299&lt;&gt;"AJUSTEMENT",$G299&lt;=0),"QUANTITE &gt; 0; ","")))&amp;IF(AND($C299="AJUSTEMENT",$H299=""),"MOTIF; ","")&amp;IF(AND(OR($C299="TRANSFERT",$C299="CONSOMMATION"),$E299=""),"EMPL. SOURCE; ","")&amp;IF(AND($C299&lt;&gt;"CONSOMMATION",$F299=""),"EMPL. DESTINATION; ","")&amp;IF(AND($C299="TRANSFERT",$E299&lt;&gt;"",$E299=$F299),"SOURCE = DESTINATION; ",""),IF($Q299="EMPLACEMENT INCOHERENT","Le lot "&amp;$D299&amp;" n'existe pas sur cet emplacement (stock 0). Verifier l'emplacement.",IF($Q299="STOCK INSUFFISANT","Disponible avant operation : "&amp;TEXT($P299,"#,##0.00")&amp;" kg. Ligne NON comptee en stock.",IF(COUNTIFS($B$5:$B$304,$B299,$C$5:$C$304,$C299,$D$5:$D$304,$D299,$G$5:$G$304,$G299)&gt;1,"Doublon possible (meme date, type, lot et quantite).",IF($K299="LOT NON REFERENCE","Creer d'abord la fiche du lot dans l'onglet LOTS.",""))))))</f>
        <v/>
      </c>
    </row>
    <row r="300" customFormat="false" ht="15" hidden="false" customHeight="false" outlineLevel="0" collapsed="false">
      <c r="A300" s="26" t="str">
        <f aca="false">IF($C300="","","OP-"&amp;TEXT(ROW()-4,"000"))</f>
        <v/>
      </c>
      <c r="B300" s="25"/>
      <c r="C300" s="24"/>
      <c r="D300" s="24"/>
      <c r="E300" s="24"/>
      <c r="F300" s="24"/>
      <c r="G300" s="29"/>
      <c r="H300" s="24"/>
      <c r="I300" s="24"/>
      <c r="J300" s="26" t="str">
        <f aca="false">IF($D300="","",IFERROR(INDEX(LOT_EXTE,MATCH($D300,LOT_KEY,0)),""))</f>
        <v/>
      </c>
      <c r="K300" s="26" t="str">
        <f aca="false">IF($D300="","",IFERROR(INDEX(LOT_PRODE,MATCH($D300,LOT_KEY,0)),"LOT NON REFERENCE"))</f>
        <v/>
      </c>
      <c r="L300" s="26" t="str">
        <f aca="false">IF($D300="","",IFERROR(INDEX(LOT_FOURNE,MATCH($D300,LOT_KEY,0)),""))</f>
        <v/>
      </c>
      <c r="M300" s="26" t="str">
        <f aca="false">IF($E300="","",IFERROR(INDEX(EMPL_CLASSE,MATCH($E300,EMPL_KEY,0)),"?"))</f>
        <v/>
      </c>
      <c r="N300" s="26" t="str">
        <f aca="false">IF($F300="","",IFERROR(INDEX(EMPL_CLASSE,MATCH($F300,EMPL_KEY,0)),"?"))</f>
        <v/>
      </c>
      <c r="O300" s="28" t="n">
        <f aca="false">IF($C300="",0,IF(OR($B300="",$D300=""),0,IF($C300="AJUSTEMENT",IF(OR(NOT(ISNUMBER($G300)),$G300=0,$F300="",$H300=""),0,1),IF(OR(NOT(ISNUMBER($G300)),$G300&lt;=0),0,IF($C300="RECEPTION",IF($F300="",0,1),IF($C300="CONSOMMATION",IF($E300="",0,1),IF(OR($E300="",$F300="",$E300=$F300),0,1)))))))</f>
        <v>0</v>
      </c>
      <c r="P300" s="27" t="str">
        <f aca="false">IF(OR($O300=0,$C300="RECEPTION"),"",IF($C300="AJUSTEMENT",IF($G300&gt;0,"",SUMIFS(MVT_BRUT,MVT_LOT,$D300,MVT_EMPL,$F300)-$G300),SUMIFS(MVT_BRUT,MVT_LOT,$D300,MVT_EMPL,$E300)+$G300))</f>
        <v/>
      </c>
      <c r="Q300" s="26" t="str">
        <f aca="false">IF($C300="","",IF($O300=0,"DONNEES MANQUANTES",IF($C300="RECEPTION","OK",IF(AND($C300="AJUSTEMENT",$G300&gt;0),"OK",IF($P300&lt;=0,"EMPLACEMENT INCOHERENT",IF(ABS($G300)&gt;$P300+0.001,"STOCK INSUFFISANT","OK"))))))</f>
        <v/>
      </c>
      <c r="R300" s="28" t="n">
        <f aca="false">IF($Q300="OK",1,0)</f>
        <v>0</v>
      </c>
      <c r="S300" s="26" t="str">
        <f aca="false">IF($C300="","",IF($O300=0,"A COMPLETER : "&amp;IF($B300="","DATE; ","")&amp;IF($D300="","LOT INTERNE; ","")&amp;IF(NOT(ISNUMBER($G300)),"QUANTITE; ",IF(AND($C300="AJUSTEMENT",$G300=0),"QUANTITE &lt;&gt; 0; ",IF(AND($C300&lt;&gt;"AJUSTEMENT",$G300&lt;=0),"QUANTITE &gt; 0; ","")))&amp;IF(AND($C300="AJUSTEMENT",$H300=""),"MOTIF; ","")&amp;IF(AND(OR($C300="TRANSFERT",$C300="CONSOMMATION"),$E300=""),"EMPL. SOURCE; ","")&amp;IF(AND($C300&lt;&gt;"CONSOMMATION",$F300=""),"EMPL. DESTINATION; ","")&amp;IF(AND($C300="TRANSFERT",$E300&lt;&gt;"",$E300=$F300),"SOURCE = DESTINATION; ",""),IF($Q300="EMPLACEMENT INCOHERENT","Le lot "&amp;$D300&amp;" n'existe pas sur cet emplacement (stock 0). Verifier l'emplacement.",IF($Q300="STOCK INSUFFISANT","Disponible avant operation : "&amp;TEXT($P300,"#,##0.00")&amp;" kg. Ligne NON comptee en stock.",IF(COUNTIFS($B$5:$B$304,$B300,$C$5:$C$304,$C300,$D$5:$D$304,$D300,$G$5:$G$304,$G300)&gt;1,"Doublon possible (meme date, type, lot et quantite).",IF($K300="LOT NON REFERENCE","Creer d'abord la fiche du lot dans l'onglet LOTS.",""))))))</f>
        <v/>
      </c>
    </row>
    <row r="301" customFormat="false" ht="15" hidden="false" customHeight="false" outlineLevel="0" collapsed="false">
      <c r="A301" s="26" t="str">
        <f aca="false">IF($C301="","","OP-"&amp;TEXT(ROW()-4,"000"))</f>
        <v/>
      </c>
      <c r="B301" s="25"/>
      <c r="C301" s="24"/>
      <c r="D301" s="24"/>
      <c r="E301" s="24"/>
      <c r="F301" s="24"/>
      <c r="G301" s="29"/>
      <c r="H301" s="24"/>
      <c r="I301" s="24"/>
      <c r="J301" s="26" t="str">
        <f aca="false">IF($D301="","",IFERROR(INDEX(LOT_EXTE,MATCH($D301,LOT_KEY,0)),""))</f>
        <v/>
      </c>
      <c r="K301" s="26" t="str">
        <f aca="false">IF($D301="","",IFERROR(INDEX(LOT_PRODE,MATCH($D301,LOT_KEY,0)),"LOT NON REFERENCE"))</f>
        <v/>
      </c>
      <c r="L301" s="26" t="str">
        <f aca="false">IF($D301="","",IFERROR(INDEX(LOT_FOURNE,MATCH($D301,LOT_KEY,0)),""))</f>
        <v/>
      </c>
      <c r="M301" s="26" t="str">
        <f aca="false">IF($E301="","",IFERROR(INDEX(EMPL_CLASSE,MATCH($E301,EMPL_KEY,0)),"?"))</f>
        <v/>
      </c>
      <c r="N301" s="26" t="str">
        <f aca="false">IF($F301="","",IFERROR(INDEX(EMPL_CLASSE,MATCH($F301,EMPL_KEY,0)),"?"))</f>
        <v/>
      </c>
      <c r="O301" s="28" t="n">
        <f aca="false">IF($C301="",0,IF(OR($B301="",$D301=""),0,IF($C301="AJUSTEMENT",IF(OR(NOT(ISNUMBER($G301)),$G301=0,$F301="",$H301=""),0,1),IF(OR(NOT(ISNUMBER($G301)),$G301&lt;=0),0,IF($C301="RECEPTION",IF($F301="",0,1),IF($C301="CONSOMMATION",IF($E301="",0,1),IF(OR($E301="",$F301="",$E301=$F301),0,1)))))))</f>
        <v>0</v>
      </c>
      <c r="P301" s="27" t="str">
        <f aca="false">IF(OR($O301=0,$C301="RECEPTION"),"",IF($C301="AJUSTEMENT",IF($G301&gt;0,"",SUMIFS(MVT_BRUT,MVT_LOT,$D301,MVT_EMPL,$F301)-$G301),SUMIFS(MVT_BRUT,MVT_LOT,$D301,MVT_EMPL,$E301)+$G301))</f>
        <v/>
      </c>
      <c r="Q301" s="26" t="str">
        <f aca="false">IF($C301="","",IF($O301=0,"DONNEES MANQUANTES",IF($C301="RECEPTION","OK",IF(AND($C301="AJUSTEMENT",$G301&gt;0),"OK",IF($P301&lt;=0,"EMPLACEMENT INCOHERENT",IF(ABS($G301)&gt;$P301+0.001,"STOCK INSUFFISANT","OK"))))))</f>
        <v/>
      </c>
      <c r="R301" s="28" t="n">
        <f aca="false">IF($Q301="OK",1,0)</f>
        <v>0</v>
      </c>
      <c r="S301" s="26" t="str">
        <f aca="false">IF($C301="","",IF($O301=0,"A COMPLETER : "&amp;IF($B301="","DATE; ","")&amp;IF($D301="","LOT INTERNE; ","")&amp;IF(NOT(ISNUMBER($G301)),"QUANTITE; ",IF(AND($C301="AJUSTEMENT",$G301=0),"QUANTITE &lt;&gt; 0; ",IF(AND($C301&lt;&gt;"AJUSTEMENT",$G301&lt;=0),"QUANTITE &gt; 0; ","")))&amp;IF(AND($C301="AJUSTEMENT",$H301=""),"MOTIF; ","")&amp;IF(AND(OR($C301="TRANSFERT",$C301="CONSOMMATION"),$E301=""),"EMPL. SOURCE; ","")&amp;IF(AND($C301&lt;&gt;"CONSOMMATION",$F301=""),"EMPL. DESTINATION; ","")&amp;IF(AND($C301="TRANSFERT",$E301&lt;&gt;"",$E301=$F301),"SOURCE = DESTINATION; ",""),IF($Q301="EMPLACEMENT INCOHERENT","Le lot "&amp;$D301&amp;" n'existe pas sur cet emplacement (stock 0). Verifier l'emplacement.",IF($Q301="STOCK INSUFFISANT","Disponible avant operation : "&amp;TEXT($P301,"#,##0.00")&amp;" kg. Ligne NON comptee en stock.",IF(COUNTIFS($B$5:$B$304,$B301,$C$5:$C$304,$C301,$D$5:$D$304,$D301,$G$5:$G$304,$G301)&gt;1,"Doublon possible (meme date, type, lot et quantite).",IF($K301="LOT NON REFERENCE","Creer d'abord la fiche du lot dans l'onglet LOTS.",""))))))</f>
        <v/>
      </c>
    </row>
    <row r="302" customFormat="false" ht="15" hidden="false" customHeight="false" outlineLevel="0" collapsed="false">
      <c r="A302" s="26" t="str">
        <f aca="false">IF($C302="","","OP-"&amp;TEXT(ROW()-4,"000"))</f>
        <v/>
      </c>
      <c r="B302" s="25"/>
      <c r="C302" s="24"/>
      <c r="D302" s="24"/>
      <c r="E302" s="24"/>
      <c r="F302" s="24"/>
      <c r="G302" s="29"/>
      <c r="H302" s="24"/>
      <c r="I302" s="24"/>
      <c r="J302" s="26" t="str">
        <f aca="false">IF($D302="","",IFERROR(INDEX(LOT_EXTE,MATCH($D302,LOT_KEY,0)),""))</f>
        <v/>
      </c>
      <c r="K302" s="26" t="str">
        <f aca="false">IF($D302="","",IFERROR(INDEX(LOT_PRODE,MATCH($D302,LOT_KEY,0)),"LOT NON REFERENCE"))</f>
        <v/>
      </c>
      <c r="L302" s="26" t="str">
        <f aca="false">IF($D302="","",IFERROR(INDEX(LOT_FOURNE,MATCH($D302,LOT_KEY,0)),""))</f>
        <v/>
      </c>
      <c r="M302" s="26" t="str">
        <f aca="false">IF($E302="","",IFERROR(INDEX(EMPL_CLASSE,MATCH($E302,EMPL_KEY,0)),"?"))</f>
        <v/>
      </c>
      <c r="N302" s="26" t="str">
        <f aca="false">IF($F302="","",IFERROR(INDEX(EMPL_CLASSE,MATCH($F302,EMPL_KEY,0)),"?"))</f>
        <v/>
      </c>
      <c r="O302" s="28" t="n">
        <f aca="false">IF($C302="",0,IF(OR($B302="",$D302=""),0,IF($C302="AJUSTEMENT",IF(OR(NOT(ISNUMBER($G302)),$G302=0,$F302="",$H302=""),0,1),IF(OR(NOT(ISNUMBER($G302)),$G302&lt;=0),0,IF($C302="RECEPTION",IF($F302="",0,1),IF($C302="CONSOMMATION",IF($E302="",0,1),IF(OR($E302="",$F302="",$E302=$F302),0,1)))))))</f>
        <v>0</v>
      </c>
      <c r="P302" s="27" t="str">
        <f aca="false">IF(OR($O302=0,$C302="RECEPTION"),"",IF($C302="AJUSTEMENT",IF($G302&gt;0,"",SUMIFS(MVT_BRUT,MVT_LOT,$D302,MVT_EMPL,$F302)-$G302),SUMIFS(MVT_BRUT,MVT_LOT,$D302,MVT_EMPL,$E302)+$G302))</f>
        <v/>
      </c>
      <c r="Q302" s="26" t="str">
        <f aca="false">IF($C302="","",IF($O302=0,"DONNEES MANQUANTES",IF($C302="RECEPTION","OK",IF(AND($C302="AJUSTEMENT",$G302&gt;0),"OK",IF($P302&lt;=0,"EMPLACEMENT INCOHERENT",IF(ABS($G302)&gt;$P302+0.001,"STOCK INSUFFISANT","OK"))))))</f>
        <v/>
      </c>
      <c r="R302" s="28" t="n">
        <f aca="false">IF($Q302="OK",1,0)</f>
        <v>0</v>
      </c>
      <c r="S302" s="26" t="str">
        <f aca="false">IF($C302="","",IF($O302=0,"A COMPLETER : "&amp;IF($B302="","DATE; ","")&amp;IF($D302="","LOT INTERNE; ","")&amp;IF(NOT(ISNUMBER($G302)),"QUANTITE; ",IF(AND($C302="AJUSTEMENT",$G302=0),"QUANTITE &lt;&gt; 0; ",IF(AND($C302&lt;&gt;"AJUSTEMENT",$G302&lt;=0),"QUANTITE &gt; 0; ","")))&amp;IF(AND($C302="AJUSTEMENT",$H302=""),"MOTIF; ","")&amp;IF(AND(OR($C302="TRANSFERT",$C302="CONSOMMATION"),$E302=""),"EMPL. SOURCE; ","")&amp;IF(AND($C302&lt;&gt;"CONSOMMATION",$F302=""),"EMPL. DESTINATION; ","")&amp;IF(AND($C302="TRANSFERT",$E302&lt;&gt;"",$E302=$F302),"SOURCE = DESTINATION; ",""),IF($Q302="EMPLACEMENT INCOHERENT","Le lot "&amp;$D302&amp;" n'existe pas sur cet emplacement (stock 0). Verifier l'emplacement.",IF($Q302="STOCK INSUFFISANT","Disponible avant operation : "&amp;TEXT($P302,"#,##0.00")&amp;" kg. Ligne NON comptee en stock.",IF(COUNTIFS($B$5:$B$304,$B302,$C$5:$C$304,$C302,$D$5:$D$304,$D302,$G$5:$G$304,$G302)&gt;1,"Doublon possible (meme date, type, lot et quantite).",IF($K302="LOT NON REFERENCE","Creer d'abord la fiche du lot dans l'onglet LOTS.",""))))))</f>
        <v/>
      </c>
    </row>
    <row r="303" customFormat="false" ht="15" hidden="false" customHeight="false" outlineLevel="0" collapsed="false">
      <c r="A303" s="26" t="str">
        <f aca="false">IF($C303="","","OP-"&amp;TEXT(ROW()-4,"000"))</f>
        <v/>
      </c>
      <c r="B303" s="25"/>
      <c r="C303" s="24"/>
      <c r="D303" s="24"/>
      <c r="E303" s="24"/>
      <c r="F303" s="24"/>
      <c r="G303" s="29"/>
      <c r="H303" s="24"/>
      <c r="I303" s="24"/>
      <c r="J303" s="26" t="str">
        <f aca="false">IF($D303="","",IFERROR(INDEX(LOT_EXTE,MATCH($D303,LOT_KEY,0)),""))</f>
        <v/>
      </c>
      <c r="K303" s="26" t="str">
        <f aca="false">IF($D303="","",IFERROR(INDEX(LOT_PRODE,MATCH($D303,LOT_KEY,0)),"LOT NON REFERENCE"))</f>
        <v/>
      </c>
      <c r="L303" s="26" t="str">
        <f aca="false">IF($D303="","",IFERROR(INDEX(LOT_FOURNE,MATCH($D303,LOT_KEY,0)),""))</f>
        <v/>
      </c>
      <c r="M303" s="26" t="str">
        <f aca="false">IF($E303="","",IFERROR(INDEX(EMPL_CLASSE,MATCH($E303,EMPL_KEY,0)),"?"))</f>
        <v/>
      </c>
      <c r="N303" s="26" t="str">
        <f aca="false">IF($F303="","",IFERROR(INDEX(EMPL_CLASSE,MATCH($F303,EMPL_KEY,0)),"?"))</f>
        <v/>
      </c>
      <c r="O303" s="28" t="n">
        <f aca="false">IF($C303="",0,IF(OR($B303="",$D303=""),0,IF($C303="AJUSTEMENT",IF(OR(NOT(ISNUMBER($G303)),$G303=0,$F303="",$H303=""),0,1),IF(OR(NOT(ISNUMBER($G303)),$G303&lt;=0),0,IF($C303="RECEPTION",IF($F303="",0,1),IF($C303="CONSOMMATION",IF($E303="",0,1),IF(OR($E303="",$F303="",$E303=$F303),0,1)))))))</f>
        <v>0</v>
      </c>
      <c r="P303" s="27" t="str">
        <f aca="false">IF(OR($O303=0,$C303="RECEPTION"),"",IF($C303="AJUSTEMENT",IF($G303&gt;0,"",SUMIFS(MVT_BRUT,MVT_LOT,$D303,MVT_EMPL,$F303)-$G303),SUMIFS(MVT_BRUT,MVT_LOT,$D303,MVT_EMPL,$E303)+$G303))</f>
        <v/>
      </c>
      <c r="Q303" s="26" t="str">
        <f aca="false">IF($C303="","",IF($O303=0,"DONNEES MANQUANTES",IF($C303="RECEPTION","OK",IF(AND($C303="AJUSTEMENT",$G303&gt;0),"OK",IF($P303&lt;=0,"EMPLACEMENT INCOHERENT",IF(ABS($G303)&gt;$P303+0.001,"STOCK INSUFFISANT","OK"))))))</f>
        <v/>
      </c>
      <c r="R303" s="28" t="n">
        <f aca="false">IF($Q303="OK",1,0)</f>
        <v>0</v>
      </c>
      <c r="S303" s="26" t="str">
        <f aca="false">IF($C303="","",IF($O303=0,"A COMPLETER : "&amp;IF($B303="","DATE; ","")&amp;IF($D303="","LOT INTERNE; ","")&amp;IF(NOT(ISNUMBER($G303)),"QUANTITE; ",IF(AND($C303="AJUSTEMENT",$G303=0),"QUANTITE &lt;&gt; 0; ",IF(AND($C303&lt;&gt;"AJUSTEMENT",$G303&lt;=0),"QUANTITE &gt; 0; ","")))&amp;IF(AND($C303="AJUSTEMENT",$H303=""),"MOTIF; ","")&amp;IF(AND(OR($C303="TRANSFERT",$C303="CONSOMMATION"),$E303=""),"EMPL. SOURCE; ","")&amp;IF(AND($C303&lt;&gt;"CONSOMMATION",$F303=""),"EMPL. DESTINATION; ","")&amp;IF(AND($C303="TRANSFERT",$E303&lt;&gt;"",$E303=$F303),"SOURCE = DESTINATION; ",""),IF($Q303="EMPLACEMENT INCOHERENT","Le lot "&amp;$D303&amp;" n'existe pas sur cet emplacement (stock 0). Verifier l'emplacement.",IF($Q303="STOCK INSUFFISANT","Disponible avant operation : "&amp;TEXT($P303,"#,##0.00")&amp;" kg. Ligne NON comptee en stock.",IF(COUNTIFS($B$5:$B$304,$B303,$C$5:$C$304,$C303,$D$5:$D$304,$D303,$G$5:$G$304,$G303)&gt;1,"Doublon possible (meme date, type, lot et quantite).",IF($K303="LOT NON REFERENCE","Creer d'abord la fiche du lot dans l'onglet LOTS.",""))))))</f>
        <v/>
      </c>
    </row>
    <row r="304" customFormat="false" ht="15" hidden="false" customHeight="false" outlineLevel="0" collapsed="false">
      <c r="A304" s="26" t="str">
        <f aca="false">IF($C304="","","OP-"&amp;TEXT(ROW()-4,"000"))</f>
        <v/>
      </c>
      <c r="B304" s="25"/>
      <c r="C304" s="24"/>
      <c r="D304" s="24"/>
      <c r="E304" s="24"/>
      <c r="F304" s="24"/>
      <c r="G304" s="29"/>
      <c r="H304" s="24"/>
      <c r="I304" s="24"/>
      <c r="J304" s="26" t="str">
        <f aca="false">IF($D304="","",IFERROR(INDEX(LOT_EXTE,MATCH($D304,LOT_KEY,0)),""))</f>
        <v/>
      </c>
      <c r="K304" s="26" t="str">
        <f aca="false">IF($D304="","",IFERROR(INDEX(LOT_PRODE,MATCH($D304,LOT_KEY,0)),"LOT NON REFERENCE"))</f>
        <v/>
      </c>
      <c r="L304" s="26" t="str">
        <f aca="false">IF($D304="","",IFERROR(INDEX(LOT_FOURNE,MATCH($D304,LOT_KEY,0)),""))</f>
        <v/>
      </c>
      <c r="M304" s="26" t="str">
        <f aca="false">IF($E304="","",IFERROR(INDEX(EMPL_CLASSE,MATCH($E304,EMPL_KEY,0)),"?"))</f>
        <v/>
      </c>
      <c r="N304" s="26" t="str">
        <f aca="false">IF($F304="","",IFERROR(INDEX(EMPL_CLASSE,MATCH($F304,EMPL_KEY,0)),"?"))</f>
        <v/>
      </c>
      <c r="O304" s="28" t="n">
        <f aca="false">IF($C304="",0,IF(OR($B304="",$D304=""),0,IF($C304="AJUSTEMENT",IF(OR(NOT(ISNUMBER($G304)),$G304=0,$F304="",$H304=""),0,1),IF(OR(NOT(ISNUMBER($G304)),$G304&lt;=0),0,IF($C304="RECEPTION",IF($F304="",0,1),IF($C304="CONSOMMATION",IF($E304="",0,1),IF(OR($E304="",$F304="",$E304=$F304),0,1)))))))</f>
        <v>0</v>
      </c>
      <c r="P304" s="27" t="str">
        <f aca="false">IF(OR($O304=0,$C304="RECEPTION"),"",IF($C304="AJUSTEMENT",IF($G304&gt;0,"",SUMIFS(MVT_BRUT,MVT_LOT,$D304,MVT_EMPL,$F304)-$G304),SUMIFS(MVT_BRUT,MVT_LOT,$D304,MVT_EMPL,$E304)+$G304))</f>
        <v/>
      </c>
      <c r="Q304" s="26" t="str">
        <f aca="false">IF($C304="","",IF($O304=0,"DONNEES MANQUANTES",IF($C304="RECEPTION","OK",IF(AND($C304="AJUSTEMENT",$G304&gt;0),"OK",IF($P304&lt;=0,"EMPLACEMENT INCOHERENT",IF(ABS($G304)&gt;$P304+0.001,"STOCK INSUFFISANT","OK"))))))</f>
        <v/>
      </c>
      <c r="R304" s="28" t="n">
        <f aca="false">IF($Q304="OK",1,0)</f>
        <v>0</v>
      </c>
      <c r="S304" s="26" t="str">
        <f aca="false">IF($C304="","",IF($O304=0,"A COMPLETER : "&amp;IF($B304="","DATE; ","")&amp;IF($D304="","LOT INTERNE; ","")&amp;IF(NOT(ISNUMBER($G304)),"QUANTITE; ",IF(AND($C304="AJUSTEMENT",$G304=0),"QUANTITE &lt;&gt; 0; ",IF(AND($C304&lt;&gt;"AJUSTEMENT",$G304&lt;=0),"QUANTITE &gt; 0; ","")))&amp;IF(AND($C304="AJUSTEMENT",$H304=""),"MOTIF; ","")&amp;IF(AND(OR($C304="TRANSFERT",$C304="CONSOMMATION"),$E304=""),"EMPL. SOURCE; ","")&amp;IF(AND($C304&lt;&gt;"CONSOMMATION",$F304=""),"EMPL. DESTINATION; ","")&amp;IF(AND($C304="TRANSFERT",$E304&lt;&gt;"",$E304=$F304),"SOURCE = DESTINATION; ",""),IF($Q304="EMPLACEMENT INCOHERENT","Le lot "&amp;$D304&amp;" n'existe pas sur cet emplacement (stock 0). Verifier l'emplacement.",IF($Q304="STOCK INSUFFISANT","Disponible avant operation : "&amp;TEXT($P304,"#,##0.00")&amp;" kg. Ligne NON comptee en stock.",IF(COUNTIFS($B$5:$B$304,$B304,$C$5:$C$304,$C304,$D$5:$D$304,$D304,$G$5:$G$304,$G304)&gt;1,"Doublon possible (meme date, type, lot et quantite).",IF($K304="LOT NON REFERENCE","Creer d'abord la fiche du lot dans l'onglet LOTS.",""))))))</f>
        <v/>
      </c>
    </row>
  </sheetData>
  <autoFilter ref="A4:R304"/>
  <mergeCells count="3">
    <mergeCell ref="A1:S1"/>
    <mergeCell ref="A2:S2"/>
    <mergeCell ref="A3:S3"/>
  </mergeCells>
  <conditionalFormatting sqref="Q5:Q30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dataValidations count="5">
    <dataValidation allowBlank="true" error="Choisissez une valeur dans la liste deroulante." errorStyle="stop" errorTitle="Valeur non autorisee" operator="between" prompt="RECEPTION, TRANSFERT, CONSOMMATION ou AJUSTEMENT" promptTitle="Aide" showDropDown="false" showErrorMessage="true" showInputMessage="true" sqref="C5:C304" type="list">
      <formula1>"RECEPTION,TRANSFERT,CONSOMMATION,AJUSTEMENT"</formula1>
      <formula2>0</formula2>
    </dataValidation>
    <dataValidation allowBlank="true" error="Choisissez une valeur dans la liste deroulante." errorStyle="stop" errorTitle="Valeur non autorisee" operator="between" prompt="Choisir un lot interne deja cree dans l'onglet LOTS." promptTitle="Aide" showDropDown="false" showErrorMessage="true" showInputMessage="true" sqref="D5:D304" type="list">
      <formula1>L_LOTS</formula1>
      <formula2>0</formula2>
    </dataValidation>
    <dataValidation allowBlank="true" error="Choisissez une valeur dans la liste deroulante." errorStyle="stop" errorTitle="Valeur non autorisee" operator="between" prompt="Laisser vide pour une RECEPTION ou un AJUSTEMENT." promptTitle="Aide" showDropDown="false" showErrorMessage="true" showInputMessage="true" sqref="E5:E304" type="list">
      <formula1>L_EMPL</formula1>
      <formula2>0</formula2>
    </dataValidation>
    <dataValidation allowBlank="true" error="Choisissez une valeur dans la liste deroulante." errorStyle="stop" errorTitle="Valeur non autorisee" operator="between" prompt="Laisser vide pour une CONSOMMATION." promptTitle="Aide" showDropDown="false" showErrorMessage="true" showInputMessage="true" sqref="F5:F304" type="list">
      <formula1>L_EMPL</formula1>
      <formula2>0</formula2>
    </dataValidation>
    <dataValidation allowBlank="true" error="Choisissez une valeur dans la liste deroulante." errorStyle="stop" errorTitle="Valeur non autorisee" operator="notEqual" prompt="Quantite &gt; 0. Seul un AJUSTEMENT accepte une valeur negative." promptTitle="Aide" showDropDown="false" showErrorMessage="true" showInputMessage="true" sqref="G5:G304"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AC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22"/>
    <col collapsed="false" customWidth="true" hidden="false" outlineLevel="0" max="4" min="4" style="0" width="16"/>
    <col collapsed="false" customWidth="true" hidden="false" outlineLevel="0" max="5" min="5" style="0" width="17"/>
    <col collapsed="false" customWidth="true" hidden="false" outlineLevel="0" max="7" min="6" style="0" width="15"/>
    <col collapsed="false" customWidth="true" hidden="false" outlineLevel="0" max="9" min="8" style="0" width="14"/>
    <col collapsed="false" customWidth="true" hidden="false" outlineLevel="0" max="10" min="10" style="0" width="15"/>
    <col collapsed="false" customWidth="true" hidden="false" outlineLevel="0" max="11" min="11" style="0" width="11"/>
    <col collapsed="false" customWidth="true" hidden="false" outlineLevel="0" max="12" min="12" style="0" width="30"/>
    <col collapsed="false" customWidth="true" hidden="false" outlineLevel="0" max="13" min="13" style="0" width="16"/>
    <col collapsed="false" customWidth="true" hidden="false" outlineLevel="0" max="14" min="14" style="0" width="22"/>
    <col collapsed="false" customWidth="true" hidden="false" outlineLevel="0" max="15" min="15" style="0" width="13"/>
    <col collapsed="false" customWidth="true" hidden="false" outlineLevel="0" max="16" min="16" style="0" width="14"/>
    <col collapsed="false" customWidth="true" hidden="false" outlineLevel="0" max="17" min="17" style="0" width="22"/>
    <col collapsed="false" customWidth="true" hidden="false" outlineLevel="0" max="18" min="18" style="0" width="8"/>
    <col collapsed="false" customWidth="true" hidden="false" outlineLevel="0" max="20" min="19" style="0" width="15"/>
    <col collapsed="false" customWidth="true" hidden="false" outlineLevel="0" max="21" min="21" style="0" width="11"/>
    <col collapsed="false" customWidth="true" hidden="false" outlineLevel="0" max="22" min="22" style="0" width="16"/>
    <col collapsed="false" customWidth="true" hidden="false" outlineLevel="0" max="23" min="23" style="0" width="11"/>
    <col collapsed="false" customWidth="true" hidden="false" outlineLevel="0" max="24" min="24" style="0" width="21"/>
    <col collapsed="false" customWidth="true" hidden="false" outlineLevel="0" max="25" min="25" style="0" width="11"/>
    <col collapsed="false" customWidth="true" hidden="false" outlineLevel="0" max="26" min="26" style="0" width="46"/>
    <col collapsed="false" customWidth="true" hidden="false" outlineLevel="0" max="27" min="27" style="0" width="13"/>
    <col collapsed="false" customWidth="true" hidden="false" outlineLevel="0" max="29" min="28" style="0" width="12"/>
  </cols>
  <sheetData>
    <row r="1" customFormat="false" ht="30" hidden="false" customHeight="true" outlineLevel="0" collapsed="false">
      <c r="A1" s="1" t="s">
        <v>167</v>
      </c>
      <c r="B1" s="1"/>
      <c r="C1" s="1"/>
      <c r="D1" s="1"/>
      <c r="E1" s="1"/>
      <c r="F1" s="1"/>
      <c r="G1" s="1"/>
      <c r="H1" s="1"/>
      <c r="I1" s="1"/>
      <c r="J1" s="1"/>
      <c r="K1" s="1"/>
      <c r="L1" s="1"/>
      <c r="M1" s="1"/>
      <c r="N1" s="1"/>
      <c r="O1" s="1"/>
      <c r="P1" s="1"/>
      <c r="Q1" s="1"/>
      <c r="R1" s="1"/>
      <c r="S1" s="1"/>
      <c r="T1" s="1"/>
      <c r="U1" s="1"/>
      <c r="V1" s="1"/>
      <c r="W1" s="1"/>
      <c r="X1" s="1"/>
      <c r="Y1" s="1"/>
      <c r="Z1" s="1"/>
      <c r="AA1" s="1"/>
      <c r="AB1" s="1"/>
      <c r="AC1" s="1"/>
    </row>
    <row r="2" customFormat="false" ht="18" hidden="false" customHeight="true" outlineLevel="0" collapsed="false">
      <c r="A2" s="2" t="s">
        <v>168</v>
      </c>
      <c r="B2" s="2"/>
      <c r="C2" s="2"/>
      <c r="D2" s="2"/>
      <c r="E2" s="2"/>
      <c r="F2" s="2"/>
      <c r="G2" s="2"/>
      <c r="H2" s="2"/>
      <c r="I2" s="2"/>
      <c r="J2" s="2"/>
      <c r="K2" s="2"/>
      <c r="L2" s="2"/>
      <c r="M2" s="2"/>
      <c r="N2" s="2"/>
      <c r="O2" s="2"/>
      <c r="P2" s="2"/>
      <c r="Q2" s="2"/>
      <c r="R2" s="2"/>
      <c r="S2" s="2"/>
      <c r="T2" s="2"/>
      <c r="U2" s="2"/>
      <c r="V2" s="2"/>
      <c r="W2" s="2"/>
      <c r="X2" s="2"/>
      <c r="Y2" s="2"/>
      <c r="Z2" s="2"/>
      <c r="AA2" s="2"/>
      <c r="AB2" s="2"/>
      <c r="AC2" s="2"/>
    </row>
    <row r="3" customFormat="false" ht="19.5" hidden="false" customHeight="true" outlineLevel="0" collapsed="false">
      <c r="A3" s="3" t="s">
        <v>169</v>
      </c>
      <c r="B3" s="3"/>
      <c r="C3" s="3"/>
      <c r="D3" s="3"/>
      <c r="E3" s="3"/>
      <c r="F3" s="3"/>
      <c r="G3" s="3"/>
      <c r="H3" s="3"/>
      <c r="I3" s="3"/>
      <c r="J3" s="3"/>
      <c r="K3" s="3"/>
      <c r="L3" s="3"/>
      <c r="M3" s="3"/>
      <c r="N3" s="3"/>
      <c r="O3" s="3"/>
      <c r="P3" s="3"/>
      <c r="Q3" s="3"/>
      <c r="R3" s="3"/>
      <c r="S3" s="3"/>
      <c r="T3" s="3"/>
      <c r="U3" s="3"/>
      <c r="V3" s="3"/>
      <c r="W3" s="3"/>
      <c r="X3" s="3"/>
      <c r="Y3" s="3"/>
      <c r="Z3" s="3"/>
      <c r="AA3" s="3"/>
      <c r="AB3" s="3"/>
      <c r="AC3" s="3"/>
    </row>
    <row r="4" customFormat="false" ht="30" hidden="false" customHeight="true" outlineLevel="0" collapsed="false">
      <c r="A4" s="23" t="s">
        <v>170</v>
      </c>
      <c r="B4" s="22" t="s">
        <v>171</v>
      </c>
      <c r="C4" s="22" t="s">
        <v>172</v>
      </c>
      <c r="D4" s="22" t="s">
        <v>173</v>
      </c>
      <c r="E4" s="22" t="s">
        <v>174</v>
      </c>
      <c r="F4" s="22" t="s">
        <v>138</v>
      </c>
      <c r="G4" s="22" t="s">
        <v>175</v>
      </c>
      <c r="H4" s="22" t="s">
        <v>176</v>
      </c>
      <c r="I4" s="22" t="s">
        <v>177</v>
      </c>
      <c r="J4" s="22" t="s">
        <v>178</v>
      </c>
      <c r="K4" s="22" t="s">
        <v>179</v>
      </c>
      <c r="L4" s="22" t="s">
        <v>180</v>
      </c>
      <c r="M4" s="22" t="s">
        <v>181</v>
      </c>
      <c r="N4" s="22" t="s">
        <v>63</v>
      </c>
      <c r="O4" s="23" t="s">
        <v>52</v>
      </c>
      <c r="P4" s="23" t="s">
        <v>53</v>
      </c>
      <c r="Q4" s="23" t="s">
        <v>142</v>
      </c>
      <c r="R4" s="23" t="s">
        <v>145</v>
      </c>
      <c r="S4" s="23" t="s">
        <v>146</v>
      </c>
      <c r="T4" s="23" t="s">
        <v>182</v>
      </c>
      <c r="U4" s="23" t="s">
        <v>183</v>
      </c>
      <c r="V4" s="23" t="s">
        <v>184</v>
      </c>
      <c r="W4" s="23" t="s">
        <v>185</v>
      </c>
      <c r="X4" s="23" t="s">
        <v>147</v>
      </c>
      <c r="Y4" s="23" t="s">
        <v>148</v>
      </c>
      <c r="Z4" s="23" t="s">
        <v>149</v>
      </c>
      <c r="AA4" s="23" t="s">
        <v>186</v>
      </c>
      <c r="AB4" s="23" t="s">
        <v>187</v>
      </c>
      <c r="AC4" s="23" t="s">
        <v>188</v>
      </c>
    </row>
    <row r="5" customFormat="false" ht="15" hidden="false" customHeight="false" outlineLevel="0" collapsed="false">
      <c r="A5" s="26" t="str">
        <f aca="false">IF($D5="","","ST-"&amp;TEXT(ROW()-4,"000"))</f>
        <v>ST-001</v>
      </c>
      <c r="B5" s="25" t="n">
        <v>46246</v>
      </c>
      <c r="C5" s="24" t="s">
        <v>189</v>
      </c>
      <c r="D5" s="24" t="s">
        <v>190</v>
      </c>
      <c r="E5" s="24" t="s">
        <v>78</v>
      </c>
      <c r="F5" s="24" t="s">
        <v>151</v>
      </c>
      <c r="G5" s="29" t="n">
        <v>500</v>
      </c>
      <c r="H5" s="24" t="s">
        <v>191</v>
      </c>
      <c r="I5" s="24" t="s">
        <v>87</v>
      </c>
      <c r="J5" s="24" t="n">
        <v>45</v>
      </c>
      <c r="K5" s="25" t="n">
        <v>46248</v>
      </c>
      <c r="L5" s="24"/>
      <c r="M5" s="24"/>
      <c r="N5" s="24" t="s">
        <v>192</v>
      </c>
      <c r="O5" s="26" t="str">
        <f aca="false">IF($E5="","",IFERROR(INDEX(LOT_EXTE,MATCH($E5,LOT_KEY,0)),""))</f>
        <v>L-EXT-255</v>
      </c>
      <c r="P5" s="26" t="str">
        <f aca="false">IF($E5="","",IFERROR(INDEX(LOT_PRODE,MATCH($E5,LOT_KEY,0)),"LOT NON REFERENCE"))</f>
        <v>Sardine</v>
      </c>
      <c r="Q5" s="26" t="str">
        <f aca="false">IF($E5="","",IFERROR(INDEX(LOT_FOURNE,MATCH($E5,LOT_KEY,0)),""))</f>
        <v>Fournisseur local</v>
      </c>
      <c r="R5" s="28" t="n">
        <f aca="false">IF($D5="",0,IF(OR($B5="",$C5="",$E5="",NOT(ISNUMBER($G5)),$G5&lt;=0),0,IF($D5="STOCK EXISTANT",IF($F5="",0,1),1)))</f>
        <v>1</v>
      </c>
      <c r="S5" s="27" t="n">
        <f aca="false">IF(OR($R5=0,$D5&lt;&gt;"STOCK EXISTANT"),"",SUMIFS(MVT_BRUT,MVT_LOT,$E5,MVT_EMPL,$F5)+$G5)</f>
        <v>1000</v>
      </c>
      <c r="T5" s="27" t="n">
        <f aca="false">IF($A5="","",SUMIFS(RES_QTEVAL,RES_IDST,$A5))</f>
        <v>450</v>
      </c>
      <c r="U5" s="28" t="n">
        <f aca="false">IF($A5="","",COUNTIFS(RES_IDST,$A5))</f>
        <v>2</v>
      </c>
      <c r="V5" s="27" t="n">
        <f aca="false">IF(OR($A5="",$U5=0),"",$G5-$T5)</f>
        <v>50</v>
      </c>
      <c r="W5" s="30" t="n">
        <f aca="false">IF(OR($A5="",$U5=0,NOT(ISNUMBER($G5)),$G5&lt;=0),"",$T5/$G5)</f>
        <v>0.9</v>
      </c>
      <c r="X5" s="26" t="str">
        <f aca="false">IF($D5="","",IF($R5=0,"DONNEES MANQUANTES",IF($D5="STOCK EXISTANT",IF($S5&lt;=0,"EMPLACEMENT INCOHERENT",IF($G5&gt;$S5+0.001,"STOCK INSUFFISANT",IF($U5=0,"EN COURS",IF($T5&gt;$G5+0.001,"BLOQUE",IF(AND($V5&gt;P_TOL,$L5=""),"A JUSTIFIER","OK"))))),IF($U5=0,"EN COURS",IF($T5&gt;$G5+0.001,"BLOQUE",IF(AND($V5&gt;P_TOL,$L5=""),"A JUSTIFIER","OK"))))))</f>
        <v>A JUSTIFIER</v>
      </c>
      <c r="Y5" s="28" t="n">
        <f aca="false">IF(OR($X5="",$X5="DONNEES MANQUANTES",$X5="EMPLACEMENT INCOHERENT",$X5="STOCK INSUFFISANT"),0,1)</f>
        <v>1</v>
      </c>
      <c r="Z5" s="26" t="str">
        <f aca="false">IF($D5="","",IF($R5=0,"A COMPLETER : "&amp;IF($B5="","DATE ENVOI; ","")&amp;IF($C5="","SOUS-TRAITANT; ","")&amp;IF($E5="","LOT SOURCE; ","")&amp;IF(OR(NOT(ISNUMBER($G5)),$G5&lt;=0),"QTE ENVOYEE &gt; 0; ","")&amp;IF(AND($D5="STOCK EXISTANT",$F5=""),"EMPL. SOURCE; ",""),IF($X5="EMPLACEMENT INCOHERENT","Le lot "&amp;$E5&amp;" n'existe pas sur "&amp;$F5&amp;" (stock 0).",IF($X5="STOCK INSUFFISANT","Disponible avant envoi : "&amp;TEXT($S5,"#,##0.00")&amp;" kg. Ligne NON comptee en stock.",IF($X5="BLOQUE","Total des sorties ("&amp;TEXT($T5,"#,##0.00")&amp;" kg) superieur a la quantite envoyee.",IF($X5="EN COURS","Envoi enregistre, resultats non connus. A completer dans ST_RESULTATS.",IF($X5="A JUSTIFIER","Ecart de "&amp;TEXT($V5,"#,##0.00")&amp;" kg : renseigner JUSTIFICATION ECART (colonne L).",IF($P5="LOT NON REFERENCE","Creer d'abord la fiche du lot dans l'onglet LOTS.",""))))))))</f>
        <v>Ecart de 50.00 kg : renseigner JUSTIFICATION ECART (colonne L).</v>
      </c>
      <c r="AA5" s="27" t="n">
        <f aca="false">IF(OR($Y5=0,$U5&gt;0),0,$G5)</f>
        <v>0</v>
      </c>
      <c r="AB5" s="26" t="n">
        <f aca="false">IF($R5=0,0,IF(OR($E5=R_LOT,COUNTIFS(RES_IDST,$A5,RES_LOTEFF,R_LOT)&gt;0),1,0))</f>
        <v>1</v>
      </c>
      <c r="AC5" s="26" t="n">
        <f aca="false">IF($AB5=0,"",COUNTIF($AB$5:$AB5,1))</f>
        <v>1</v>
      </c>
    </row>
    <row r="6" customFormat="false" ht="15" hidden="false" customHeight="false" outlineLevel="0" collapsed="false">
      <c r="A6" s="26" t="str">
        <f aca="false">IF($D6="","","ST-"&amp;TEXT(ROW()-4,"000"))</f>
        <v>ST-002</v>
      </c>
      <c r="B6" s="25" t="n">
        <v>46241</v>
      </c>
      <c r="C6" s="24" t="s">
        <v>189</v>
      </c>
      <c r="D6" s="24" t="s">
        <v>193</v>
      </c>
      <c r="E6" s="24" t="s">
        <v>107</v>
      </c>
      <c r="F6" s="24"/>
      <c r="G6" s="29" t="n">
        <v>600</v>
      </c>
      <c r="H6" s="24" t="s">
        <v>86</v>
      </c>
      <c r="I6" s="24" t="s">
        <v>87</v>
      </c>
      <c r="J6" s="24"/>
      <c r="K6" s="25" t="n">
        <v>46247</v>
      </c>
      <c r="L6" s="24" t="s">
        <v>194</v>
      </c>
      <c r="M6" s="24" t="s">
        <v>195</v>
      </c>
      <c r="N6" s="24" t="s">
        <v>196</v>
      </c>
      <c r="O6" s="26" t="str">
        <f aca="false">IF($E6="","",IFERROR(INDEX(LOT_EXTE,MATCH($E6,LOT_KEY,0)),""))</f>
        <v>L-EXT-300</v>
      </c>
      <c r="P6" s="26" t="str">
        <f aca="false">IF($E6="","",IFERROR(INDEX(LOT_PRODE,MATCH($E6,LOT_KEY,0)),"LOT NON REFERENCE"))</f>
        <v>Anchois</v>
      </c>
      <c r="Q6" s="26" t="str">
        <f aca="false">IF($E6="","",IFERROR(INDEX(LOT_FOURNE,MATCH($E6,LOT_KEY,0)),""))</f>
        <v>Producteur Dakhla</v>
      </c>
      <c r="R6" s="28" t="n">
        <f aca="false">IF($D6="",0,IF(OR($B6="",$C6="",$E6="",NOT(ISNUMBER($G6)),$G6&lt;=0),0,IF($D6="STOCK EXISTANT",IF($F6="",0,1),1)))</f>
        <v>1</v>
      </c>
      <c r="S6" s="27" t="str">
        <f aca="false">IF(OR($R6=0,$D6&lt;&gt;"STOCK EXISTANT"),"",SUMIFS(MVT_BRUT,MVT_LOT,$E6,MVT_EMPL,$F6)+$G6)</f>
        <v/>
      </c>
      <c r="T6" s="27" t="n">
        <f aca="false">IF($A6="","",SUMIFS(RES_QTEVAL,RES_IDST,$A6))</f>
        <v>590</v>
      </c>
      <c r="U6" s="28" t="n">
        <f aca="false">IF($A6="","",COUNTIFS(RES_IDST,$A6))</f>
        <v>1</v>
      </c>
      <c r="V6" s="27" t="n">
        <f aca="false">IF(OR($A6="",$U6=0),"",$G6-$T6)</f>
        <v>10</v>
      </c>
      <c r="W6" s="30" t="n">
        <f aca="false">IF(OR($A6="",$U6=0,NOT(ISNUMBER($G6)),$G6&lt;=0),"",$T6/$G6)</f>
        <v>0.983333333333333</v>
      </c>
      <c r="X6" s="26" t="str">
        <f aca="false">IF($D6="","",IF($R6=0,"DONNEES MANQUANTES",IF($D6="STOCK EXISTANT",IF($S6&lt;=0,"EMPLACEMENT INCOHERENT",IF($G6&gt;$S6+0.001,"STOCK INSUFFISANT",IF($U6=0,"EN COURS",IF($T6&gt;$G6+0.001,"BLOQUE",IF(AND($V6&gt;P_TOL,$L6=""),"A JUSTIFIER","OK"))))),IF($U6=0,"EN COURS",IF($T6&gt;$G6+0.001,"BLOQUE",IF(AND($V6&gt;P_TOL,$L6=""),"A JUSTIFIER","OK"))))))</f>
        <v>OK</v>
      </c>
      <c r="Y6" s="28" t="n">
        <f aca="false">IF(OR($X6="",$X6="DONNEES MANQUANTES",$X6="EMPLACEMENT INCOHERENT",$X6="STOCK INSUFFISANT"),0,1)</f>
        <v>1</v>
      </c>
      <c r="Z6" s="26" t="str">
        <f aca="false">IF($D6="","",IF($R6=0,"A COMPLETER : "&amp;IF($B6="","DATE ENVOI; ","")&amp;IF($C6="","SOUS-TRAITANT; ","")&amp;IF($E6="","LOT SOURCE; ","")&amp;IF(OR(NOT(ISNUMBER($G6)),$G6&lt;=0),"QTE ENVOYEE &gt; 0; ","")&amp;IF(AND($D6="STOCK EXISTANT",$F6=""),"EMPL. SOURCE; ",""),IF($X6="EMPLACEMENT INCOHERENT","Le lot "&amp;$E6&amp;" n'existe pas sur "&amp;$F6&amp;" (stock 0).",IF($X6="STOCK INSUFFISANT","Disponible avant envoi : "&amp;TEXT($S6,"#,##0.00")&amp;" kg. Ligne NON comptee en stock.",IF($X6="BLOQUE","Total des sorties ("&amp;TEXT($T6,"#,##0.00")&amp;" kg) superieur a la quantite envoyee.",IF($X6="EN COURS","Envoi enregistre, resultats non connus. A completer dans ST_RESULTATS.",IF($X6="A JUSTIFIER","Ecart de "&amp;TEXT($V6,"#,##0.00")&amp;" kg : renseigner JUSTIFICATION ECART (colonne L).",IF($P6="LOT NON REFERENCE","Creer d'abord la fiche du lot dans l'onglet LOTS.",""))))))))</f>
        <v/>
      </c>
      <c r="AA6" s="27" t="n">
        <f aca="false">IF(OR($Y6=0,$U6&gt;0),0,$G6)</f>
        <v>0</v>
      </c>
      <c r="AB6" s="26" t="n">
        <f aca="false">IF($R6=0,0,IF(OR($E6=R_LOT,COUNTIFS(RES_IDST,$A6,RES_LOTEFF,R_LOT)&gt;0),1,0))</f>
        <v>0</v>
      </c>
      <c r="AC6" s="26" t="str">
        <f aca="false">IF($AB6=0,"",COUNTIF($AB$5:$AB6,1))</f>
        <v/>
      </c>
    </row>
    <row r="7" customFormat="false" ht="15" hidden="false" customHeight="false" outlineLevel="0" collapsed="false">
      <c r="A7" s="26" t="str">
        <f aca="false">IF($D7="","","ST-"&amp;TEXT(ROW()-4,"000"))</f>
        <v>ST-003</v>
      </c>
      <c r="B7" s="25" t="n">
        <v>46249</v>
      </c>
      <c r="C7" s="24" t="s">
        <v>197</v>
      </c>
      <c r="D7" s="24" t="s">
        <v>190</v>
      </c>
      <c r="E7" s="24" t="s">
        <v>114</v>
      </c>
      <c r="F7" s="24" t="s">
        <v>151</v>
      </c>
      <c r="G7" s="29" t="n">
        <v>200</v>
      </c>
      <c r="H7" s="24"/>
      <c r="I7" s="24"/>
      <c r="J7" s="24"/>
      <c r="K7" s="25"/>
      <c r="L7" s="24"/>
      <c r="M7" s="24"/>
      <c r="N7" s="24" t="s">
        <v>198</v>
      </c>
      <c r="O7" s="26" t="str">
        <f aca="false">IF($E7="","",IFERROR(INDEX(LOT_EXTE,MATCH($E7,LOT_KEY,0)),""))</f>
        <v>L-EXT-301</v>
      </c>
      <c r="P7" s="26" t="str">
        <f aca="false">IF($E7="","",IFERROR(INDEX(LOT_PRODE,MATCH($E7,LOT_KEY,0)),"LOT NON REFERENCE"))</f>
        <v>Maquereau</v>
      </c>
      <c r="Q7" s="26" t="str">
        <f aca="false">IF($E7="","",IFERROR(INDEX(LOT_FOURNE,MATCH($E7,LOT_KEY,0)),""))</f>
        <v>Producteur Boujdour</v>
      </c>
      <c r="R7" s="28" t="n">
        <f aca="false">IF($D7="",0,IF(OR($B7="",$C7="",$E7="",NOT(ISNUMBER($G7)),$G7&lt;=0),0,IF($D7="STOCK EXISTANT",IF($F7="",0,1),1)))</f>
        <v>1</v>
      </c>
      <c r="S7" s="27" t="n">
        <f aca="false">IF(OR($R7=0,$D7&lt;&gt;"STOCK EXISTANT"),"",SUMIFS(MVT_BRUT,MVT_LOT,$E7,MVT_EMPL,$F7)+$G7)</f>
        <v>400</v>
      </c>
      <c r="T7" s="27" t="n">
        <f aca="false">IF($A7="","",SUMIFS(RES_QTEVAL,RES_IDST,$A7))</f>
        <v>0</v>
      </c>
      <c r="U7" s="28" t="n">
        <f aca="false">IF($A7="","",COUNTIFS(RES_IDST,$A7))</f>
        <v>0</v>
      </c>
      <c r="V7" s="27" t="str">
        <f aca="false">IF(OR($A7="",$U7=0),"",$G7-$T7)</f>
        <v/>
      </c>
      <c r="W7" s="30" t="str">
        <f aca="false">IF(OR($A7="",$U7=0,NOT(ISNUMBER($G7)),$G7&lt;=0),"",$T7/$G7)</f>
        <v/>
      </c>
      <c r="X7" s="26" t="str">
        <f aca="false">IF($D7="","",IF($R7=0,"DONNEES MANQUANTES",IF($D7="STOCK EXISTANT",IF($S7&lt;=0,"EMPLACEMENT INCOHERENT",IF($G7&gt;$S7+0.001,"STOCK INSUFFISANT",IF($U7=0,"EN COURS",IF($T7&gt;$G7+0.001,"BLOQUE",IF(AND($V7&gt;P_TOL,$L7=""),"A JUSTIFIER","OK"))))),IF($U7=0,"EN COURS",IF($T7&gt;$G7+0.001,"BLOQUE",IF(AND($V7&gt;P_TOL,$L7=""),"A JUSTIFIER","OK"))))))</f>
        <v>EN COURS</v>
      </c>
      <c r="Y7" s="28" t="n">
        <f aca="false">IF(OR($X7="",$X7="DONNEES MANQUANTES",$X7="EMPLACEMENT INCOHERENT",$X7="STOCK INSUFFISANT"),0,1)</f>
        <v>1</v>
      </c>
      <c r="Z7" s="26" t="str">
        <f aca="false">IF($D7="","",IF($R7=0,"A COMPLETER : "&amp;IF($B7="","DATE ENVOI; ","")&amp;IF($C7="","SOUS-TRAITANT; ","")&amp;IF($E7="","LOT SOURCE; ","")&amp;IF(OR(NOT(ISNUMBER($G7)),$G7&lt;=0),"QTE ENVOYEE &gt; 0; ","")&amp;IF(AND($D7="STOCK EXISTANT",$F7=""),"EMPL. SOURCE; ",""),IF($X7="EMPLACEMENT INCOHERENT","Le lot "&amp;$E7&amp;" n'existe pas sur "&amp;$F7&amp;" (stock 0).",IF($X7="STOCK INSUFFISANT","Disponible avant envoi : "&amp;TEXT($S7,"#,##0.00")&amp;" kg. Ligne NON comptee en stock.",IF($X7="BLOQUE","Total des sorties ("&amp;TEXT($T7,"#,##0.00")&amp;" kg) superieur a la quantite envoyee.",IF($X7="EN COURS","Envoi enregistre, resultats non connus. A completer dans ST_RESULTATS.",IF($X7="A JUSTIFIER","Ecart de "&amp;TEXT($V7,"#,##0.00")&amp;" kg : renseigner JUSTIFICATION ECART (colonne L).",IF($P7="LOT NON REFERENCE","Creer d'abord la fiche du lot dans l'onglet LOTS.",""))))))))</f>
        <v>Envoi enregistre, resultats non connus. A completer dans ST_RESULTATS.</v>
      </c>
      <c r="AA7" s="27" t="n">
        <f aca="false">IF(OR($Y7=0,$U7&gt;0),0,$G7)</f>
        <v>200</v>
      </c>
      <c r="AB7" s="26" t="n">
        <f aca="false">IF($R7=0,0,IF(OR($E7=R_LOT,COUNTIFS(RES_IDST,$A7,RES_LOTEFF,R_LOT)&gt;0),1,0))</f>
        <v>0</v>
      </c>
      <c r="AC7" s="26" t="str">
        <f aca="false">IF($AB7=0,"",COUNTIF($AB$5:$AB7,1))</f>
        <v/>
      </c>
    </row>
    <row r="8" customFormat="false" ht="15" hidden="false" customHeight="false" outlineLevel="0" collapsed="false">
      <c r="A8" s="26" t="str">
        <f aca="false">IF($D8="","","ST-"&amp;TEXT(ROW()-4,"000"))</f>
        <v/>
      </c>
      <c r="B8" s="25"/>
      <c r="C8" s="24"/>
      <c r="D8" s="24"/>
      <c r="E8" s="24"/>
      <c r="F8" s="24"/>
      <c r="G8" s="29"/>
      <c r="H8" s="24"/>
      <c r="I8" s="24"/>
      <c r="J8" s="24"/>
      <c r="K8" s="25"/>
      <c r="L8" s="24"/>
      <c r="M8" s="24"/>
      <c r="N8" s="24"/>
      <c r="O8" s="26" t="str">
        <f aca="false">IF($E8="","",IFERROR(INDEX(LOT_EXTE,MATCH($E8,LOT_KEY,0)),""))</f>
        <v/>
      </c>
      <c r="P8" s="26" t="str">
        <f aca="false">IF($E8="","",IFERROR(INDEX(LOT_PRODE,MATCH($E8,LOT_KEY,0)),"LOT NON REFERENCE"))</f>
        <v/>
      </c>
      <c r="Q8" s="26" t="str">
        <f aca="false">IF($E8="","",IFERROR(INDEX(LOT_FOURNE,MATCH($E8,LOT_KEY,0)),""))</f>
        <v/>
      </c>
      <c r="R8" s="28" t="n">
        <f aca="false">IF($D8="",0,IF(OR($B8="",$C8="",$E8="",NOT(ISNUMBER($G8)),$G8&lt;=0),0,IF($D8="STOCK EXISTANT",IF($F8="",0,1),1)))</f>
        <v>0</v>
      </c>
      <c r="S8" s="27" t="str">
        <f aca="false">IF(OR($R8=0,$D8&lt;&gt;"STOCK EXISTANT"),"",SUMIFS(MVT_BRUT,MVT_LOT,$E8,MVT_EMPL,$F8)+$G8)</f>
        <v/>
      </c>
      <c r="T8" s="27" t="str">
        <f aca="false">IF($A8="","",SUMIFS(RES_QTEVAL,RES_IDST,$A8))</f>
        <v/>
      </c>
      <c r="U8" s="28" t="str">
        <f aca="false">IF($A8="","",COUNTIFS(RES_IDST,$A8))</f>
        <v/>
      </c>
      <c r="V8" s="27" t="str">
        <f aca="false">IF(OR($A8="",$U8=0),"",$G8-$T8)</f>
        <v/>
      </c>
      <c r="W8" s="30" t="str">
        <f aca="false">IF(OR($A8="",$U8=0,NOT(ISNUMBER($G8)),$G8&lt;=0),"",$T8/$G8)</f>
        <v/>
      </c>
      <c r="X8" s="26" t="str">
        <f aca="false">IF($D8="","",IF($R8=0,"DONNEES MANQUANTES",IF($D8="STOCK EXISTANT",IF($S8&lt;=0,"EMPLACEMENT INCOHERENT",IF($G8&gt;$S8+0.001,"STOCK INSUFFISANT",IF($U8=0,"EN COURS",IF($T8&gt;$G8+0.001,"BLOQUE",IF(AND($V8&gt;P_TOL,$L8=""),"A JUSTIFIER","OK"))))),IF($U8=0,"EN COURS",IF($T8&gt;$G8+0.001,"BLOQUE",IF(AND($V8&gt;P_TOL,$L8=""),"A JUSTIFIER","OK"))))))</f>
        <v/>
      </c>
      <c r="Y8" s="28" t="n">
        <f aca="false">IF(OR($X8="",$X8="DONNEES MANQUANTES",$X8="EMPLACEMENT INCOHERENT",$X8="STOCK INSUFFISANT"),0,1)</f>
        <v>0</v>
      </c>
      <c r="Z8" s="26" t="str">
        <f aca="false">IF($D8="","",IF($R8=0,"A COMPLETER : "&amp;IF($B8="","DATE ENVOI; ","")&amp;IF($C8="","SOUS-TRAITANT; ","")&amp;IF($E8="","LOT SOURCE; ","")&amp;IF(OR(NOT(ISNUMBER($G8)),$G8&lt;=0),"QTE ENVOYEE &gt; 0; ","")&amp;IF(AND($D8="STOCK EXISTANT",$F8=""),"EMPL. SOURCE; ",""),IF($X8="EMPLACEMENT INCOHERENT","Le lot "&amp;$E8&amp;" n'existe pas sur "&amp;$F8&amp;" (stock 0).",IF($X8="STOCK INSUFFISANT","Disponible avant envoi : "&amp;TEXT($S8,"#,##0.00")&amp;" kg. Ligne NON comptee en stock.",IF($X8="BLOQUE","Total des sorties ("&amp;TEXT($T8,"#,##0.00")&amp;" kg) superieur a la quantite envoyee.",IF($X8="EN COURS","Envoi enregistre, resultats non connus. A completer dans ST_RESULTATS.",IF($X8="A JUSTIFIER","Ecart de "&amp;TEXT($V8,"#,##0.00")&amp;" kg : renseigner JUSTIFICATION ECART (colonne L).",IF($P8="LOT NON REFERENCE","Creer d'abord la fiche du lot dans l'onglet LOTS.",""))))))))</f>
        <v/>
      </c>
      <c r="AA8" s="27" t="n">
        <f aca="false">IF(OR($Y8=0,$U8&gt;0),0,$G8)</f>
        <v>0</v>
      </c>
      <c r="AB8" s="26" t="n">
        <f aca="false">IF($R8=0,0,IF(OR($E8=R_LOT,COUNTIFS(RES_IDST,$A8,RES_LOTEFF,R_LOT)&gt;0),1,0))</f>
        <v>0</v>
      </c>
      <c r="AC8" s="26" t="str">
        <f aca="false">IF($AB8=0,"",COUNTIF($AB$5:$AB8,1))</f>
        <v/>
      </c>
    </row>
    <row r="9" customFormat="false" ht="15" hidden="false" customHeight="false" outlineLevel="0" collapsed="false">
      <c r="A9" s="26" t="str">
        <f aca="false">IF($D9="","","ST-"&amp;TEXT(ROW()-4,"000"))</f>
        <v/>
      </c>
      <c r="B9" s="25"/>
      <c r="C9" s="24"/>
      <c r="D9" s="24"/>
      <c r="E9" s="24"/>
      <c r="F9" s="24"/>
      <c r="G9" s="29"/>
      <c r="H9" s="24"/>
      <c r="I9" s="24"/>
      <c r="J9" s="24"/>
      <c r="K9" s="25"/>
      <c r="L9" s="24"/>
      <c r="M9" s="24"/>
      <c r="N9" s="24"/>
      <c r="O9" s="26" t="str">
        <f aca="false">IF($E9="","",IFERROR(INDEX(LOT_EXTE,MATCH($E9,LOT_KEY,0)),""))</f>
        <v/>
      </c>
      <c r="P9" s="26" t="str">
        <f aca="false">IF($E9="","",IFERROR(INDEX(LOT_PRODE,MATCH($E9,LOT_KEY,0)),"LOT NON REFERENCE"))</f>
        <v/>
      </c>
      <c r="Q9" s="26" t="str">
        <f aca="false">IF($E9="","",IFERROR(INDEX(LOT_FOURNE,MATCH($E9,LOT_KEY,0)),""))</f>
        <v/>
      </c>
      <c r="R9" s="28" t="n">
        <f aca="false">IF($D9="",0,IF(OR($B9="",$C9="",$E9="",NOT(ISNUMBER($G9)),$G9&lt;=0),0,IF($D9="STOCK EXISTANT",IF($F9="",0,1),1)))</f>
        <v>0</v>
      </c>
      <c r="S9" s="27" t="str">
        <f aca="false">IF(OR($R9=0,$D9&lt;&gt;"STOCK EXISTANT"),"",SUMIFS(MVT_BRUT,MVT_LOT,$E9,MVT_EMPL,$F9)+$G9)</f>
        <v/>
      </c>
      <c r="T9" s="27" t="str">
        <f aca="false">IF($A9="","",SUMIFS(RES_QTEVAL,RES_IDST,$A9))</f>
        <v/>
      </c>
      <c r="U9" s="28" t="str">
        <f aca="false">IF($A9="","",COUNTIFS(RES_IDST,$A9))</f>
        <v/>
      </c>
      <c r="V9" s="27" t="str">
        <f aca="false">IF(OR($A9="",$U9=0),"",$G9-$T9)</f>
        <v/>
      </c>
      <c r="W9" s="30" t="str">
        <f aca="false">IF(OR($A9="",$U9=0,NOT(ISNUMBER($G9)),$G9&lt;=0),"",$T9/$G9)</f>
        <v/>
      </c>
      <c r="X9" s="26" t="str">
        <f aca="false">IF($D9="","",IF($R9=0,"DONNEES MANQUANTES",IF($D9="STOCK EXISTANT",IF($S9&lt;=0,"EMPLACEMENT INCOHERENT",IF($G9&gt;$S9+0.001,"STOCK INSUFFISANT",IF($U9=0,"EN COURS",IF($T9&gt;$G9+0.001,"BLOQUE",IF(AND($V9&gt;P_TOL,$L9=""),"A JUSTIFIER","OK"))))),IF($U9=0,"EN COURS",IF($T9&gt;$G9+0.001,"BLOQUE",IF(AND($V9&gt;P_TOL,$L9=""),"A JUSTIFIER","OK"))))))</f>
        <v/>
      </c>
      <c r="Y9" s="28" t="n">
        <f aca="false">IF(OR($X9="",$X9="DONNEES MANQUANTES",$X9="EMPLACEMENT INCOHERENT",$X9="STOCK INSUFFISANT"),0,1)</f>
        <v>0</v>
      </c>
      <c r="Z9" s="26" t="str">
        <f aca="false">IF($D9="","",IF($R9=0,"A COMPLETER : "&amp;IF($B9="","DATE ENVOI; ","")&amp;IF($C9="","SOUS-TRAITANT; ","")&amp;IF($E9="","LOT SOURCE; ","")&amp;IF(OR(NOT(ISNUMBER($G9)),$G9&lt;=0),"QTE ENVOYEE &gt; 0; ","")&amp;IF(AND($D9="STOCK EXISTANT",$F9=""),"EMPL. SOURCE; ",""),IF($X9="EMPLACEMENT INCOHERENT","Le lot "&amp;$E9&amp;" n'existe pas sur "&amp;$F9&amp;" (stock 0).",IF($X9="STOCK INSUFFISANT","Disponible avant envoi : "&amp;TEXT($S9,"#,##0.00")&amp;" kg. Ligne NON comptee en stock.",IF($X9="BLOQUE","Total des sorties ("&amp;TEXT($T9,"#,##0.00")&amp;" kg) superieur a la quantite envoyee.",IF($X9="EN COURS","Envoi enregistre, resultats non connus. A completer dans ST_RESULTATS.",IF($X9="A JUSTIFIER","Ecart de "&amp;TEXT($V9,"#,##0.00")&amp;" kg : renseigner JUSTIFICATION ECART (colonne L).",IF($P9="LOT NON REFERENCE","Creer d'abord la fiche du lot dans l'onglet LOTS.",""))))))))</f>
        <v/>
      </c>
      <c r="AA9" s="27" t="n">
        <f aca="false">IF(OR($Y9=0,$U9&gt;0),0,$G9)</f>
        <v>0</v>
      </c>
      <c r="AB9" s="26" t="n">
        <f aca="false">IF($R9=0,0,IF(OR($E9=R_LOT,COUNTIFS(RES_IDST,$A9,RES_LOTEFF,R_LOT)&gt;0),1,0))</f>
        <v>0</v>
      </c>
      <c r="AC9" s="26" t="str">
        <f aca="false">IF($AB9=0,"",COUNTIF($AB$5:$AB9,1))</f>
        <v/>
      </c>
    </row>
    <row r="10" customFormat="false" ht="15" hidden="false" customHeight="false" outlineLevel="0" collapsed="false">
      <c r="A10" s="26" t="str">
        <f aca="false">IF($D10="","","ST-"&amp;TEXT(ROW()-4,"000"))</f>
        <v/>
      </c>
      <c r="B10" s="25"/>
      <c r="C10" s="24"/>
      <c r="D10" s="24"/>
      <c r="E10" s="24"/>
      <c r="F10" s="24"/>
      <c r="G10" s="29"/>
      <c r="H10" s="24"/>
      <c r="I10" s="24"/>
      <c r="J10" s="24"/>
      <c r="K10" s="25"/>
      <c r="L10" s="24"/>
      <c r="M10" s="24"/>
      <c r="N10" s="24"/>
      <c r="O10" s="26" t="str">
        <f aca="false">IF($E10="","",IFERROR(INDEX(LOT_EXTE,MATCH($E10,LOT_KEY,0)),""))</f>
        <v/>
      </c>
      <c r="P10" s="26" t="str">
        <f aca="false">IF($E10="","",IFERROR(INDEX(LOT_PRODE,MATCH($E10,LOT_KEY,0)),"LOT NON REFERENCE"))</f>
        <v/>
      </c>
      <c r="Q10" s="26" t="str">
        <f aca="false">IF($E10="","",IFERROR(INDEX(LOT_FOURNE,MATCH($E10,LOT_KEY,0)),""))</f>
        <v/>
      </c>
      <c r="R10" s="28" t="n">
        <f aca="false">IF($D10="",0,IF(OR($B10="",$C10="",$E10="",NOT(ISNUMBER($G10)),$G10&lt;=0),0,IF($D10="STOCK EXISTANT",IF($F10="",0,1),1)))</f>
        <v>0</v>
      </c>
      <c r="S10" s="27" t="str">
        <f aca="false">IF(OR($R10=0,$D10&lt;&gt;"STOCK EXISTANT"),"",SUMIFS(MVT_BRUT,MVT_LOT,$E10,MVT_EMPL,$F10)+$G10)</f>
        <v/>
      </c>
      <c r="T10" s="27" t="str">
        <f aca="false">IF($A10="","",SUMIFS(RES_QTEVAL,RES_IDST,$A10))</f>
        <v/>
      </c>
      <c r="U10" s="28" t="str">
        <f aca="false">IF($A10="","",COUNTIFS(RES_IDST,$A10))</f>
        <v/>
      </c>
      <c r="V10" s="27" t="str">
        <f aca="false">IF(OR($A10="",$U10=0),"",$G10-$T10)</f>
        <v/>
      </c>
      <c r="W10" s="30" t="str">
        <f aca="false">IF(OR($A10="",$U10=0,NOT(ISNUMBER($G10)),$G10&lt;=0),"",$T10/$G10)</f>
        <v/>
      </c>
      <c r="X10" s="26" t="str">
        <f aca="false">IF($D10="","",IF($R10=0,"DONNEES MANQUANTES",IF($D10="STOCK EXISTANT",IF($S10&lt;=0,"EMPLACEMENT INCOHERENT",IF($G10&gt;$S10+0.001,"STOCK INSUFFISANT",IF($U10=0,"EN COURS",IF($T10&gt;$G10+0.001,"BLOQUE",IF(AND($V10&gt;P_TOL,$L10=""),"A JUSTIFIER","OK"))))),IF($U10=0,"EN COURS",IF($T10&gt;$G10+0.001,"BLOQUE",IF(AND($V10&gt;P_TOL,$L10=""),"A JUSTIFIER","OK"))))))</f>
        <v/>
      </c>
      <c r="Y10" s="28" t="n">
        <f aca="false">IF(OR($X10="",$X10="DONNEES MANQUANTES",$X10="EMPLACEMENT INCOHERENT",$X10="STOCK INSUFFISANT"),0,1)</f>
        <v>0</v>
      </c>
      <c r="Z10" s="26" t="str">
        <f aca="false">IF($D10="","",IF($R10=0,"A COMPLETER : "&amp;IF($B10="","DATE ENVOI; ","")&amp;IF($C10="","SOUS-TRAITANT; ","")&amp;IF($E10="","LOT SOURCE; ","")&amp;IF(OR(NOT(ISNUMBER($G10)),$G10&lt;=0),"QTE ENVOYEE &gt; 0; ","")&amp;IF(AND($D10="STOCK EXISTANT",$F10=""),"EMPL. SOURCE; ",""),IF($X10="EMPLACEMENT INCOHERENT","Le lot "&amp;$E10&amp;" n'existe pas sur "&amp;$F10&amp;" (stock 0).",IF($X10="STOCK INSUFFISANT","Disponible avant envoi : "&amp;TEXT($S10,"#,##0.00")&amp;" kg. Ligne NON comptee en stock.",IF($X10="BLOQUE","Total des sorties ("&amp;TEXT($T10,"#,##0.00")&amp;" kg) superieur a la quantite envoyee.",IF($X10="EN COURS","Envoi enregistre, resultats non connus. A completer dans ST_RESULTATS.",IF($X10="A JUSTIFIER","Ecart de "&amp;TEXT($V10,"#,##0.00")&amp;" kg : renseigner JUSTIFICATION ECART (colonne L).",IF($P10="LOT NON REFERENCE","Creer d'abord la fiche du lot dans l'onglet LOTS.",""))))))))</f>
        <v/>
      </c>
      <c r="AA10" s="27" t="n">
        <f aca="false">IF(OR($Y10=0,$U10&gt;0),0,$G10)</f>
        <v>0</v>
      </c>
      <c r="AB10" s="26" t="n">
        <f aca="false">IF($R10=0,0,IF(OR($E10=R_LOT,COUNTIFS(RES_IDST,$A10,RES_LOTEFF,R_LOT)&gt;0),1,0))</f>
        <v>0</v>
      </c>
      <c r="AC10" s="26" t="str">
        <f aca="false">IF($AB10=0,"",COUNTIF($AB$5:$AB10,1))</f>
        <v/>
      </c>
    </row>
    <row r="11" customFormat="false" ht="15" hidden="false" customHeight="false" outlineLevel="0" collapsed="false">
      <c r="A11" s="26" t="str">
        <f aca="false">IF($D11="","","ST-"&amp;TEXT(ROW()-4,"000"))</f>
        <v/>
      </c>
      <c r="B11" s="25"/>
      <c r="C11" s="24"/>
      <c r="D11" s="24"/>
      <c r="E11" s="24"/>
      <c r="F11" s="24"/>
      <c r="G11" s="29"/>
      <c r="H11" s="24"/>
      <c r="I11" s="24"/>
      <c r="J11" s="24"/>
      <c r="K11" s="25"/>
      <c r="L11" s="24"/>
      <c r="M11" s="24"/>
      <c r="N11" s="24"/>
      <c r="O11" s="26" t="str">
        <f aca="false">IF($E11="","",IFERROR(INDEX(LOT_EXTE,MATCH($E11,LOT_KEY,0)),""))</f>
        <v/>
      </c>
      <c r="P11" s="26" t="str">
        <f aca="false">IF($E11="","",IFERROR(INDEX(LOT_PRODE,MATCH($E11,LOT_KEY,0)),"LOT NON REFERENCE"))</f>
        <v/>
      </c>
      <c r="Q11" s="26" t="str">
        <f aca="false">IF($E11="","",IFERROR(INDEX(LOT_FOURNE,MATCH($E11,LOT_KEY,0)),""))</f>
        <v/>
      </c>
      <c r="R11" s="28" t="n">
        <f aca="false">IF($D11="",0,IF(OR($B11="",$C11="",$E11="",NOT(ISNUMBER($G11)),$G11&lt;=0),0,IF($D11="STOCK EXISTANT",IF($F11="",0,1),1)))</f>
        <v>0</v>
      </c>
      <c r="S11" s="27" t="str">
        <f aca="false">IF(OR($R11=0,$D11&lt;&gt;"STOCK EXISTANT"),"",SUMIFS(MVT_BRUT,MVT_LOT,$E11,MVT_EMPL,$F11)+$G11)</f>
        <v/>
      </c>
      <c r="T11" s="27" t="str">
        <f aca="false">IF($A11="","",SUMIFS(RES_QTEVAL,RES_IDST,$A11))</f>
        <v/>
      </c>
      <c r="U11" s="28" t="str">
        <f aca="false">IF($A11="","",COUNTIFS(RES_IDST,$A11))</f>
        <v/>
      </c>
      <c r="V11" s="27" t="str">
        <f aca="false">IF(OR($A11="",$U11=0),"",$G11-$T11)</f>
        <v/>
      </c>
      <c r="W11" s="30" t="str">
        <f aca="false">IF(OR($A11="",$U11=0,NOT(ISNUMBER($G11)),$G11&lt;=0),"",$T11/$G11)</f>
        <v/>
      </c>
      <c r="X11" s="26" t="str">
        <f aca="false">IF($D11="","",IF($R11=0,"DONNEES MANQUANTES",IF($D11="STOCK EXISTANT",IF($S11&lt;=0,"EMPLACEMENT INCOHERENT",IF($G11&gt;$S11+0.001,"STOCK INSUFFISANT",IF($U11=0,"EN COURS",IF($T11&gt;$G11+0.001,"BLOQUE",IF(AND($V11&gt;P_TOL,$L11=""),"A JUSTIFIER","OK"))))),IF($U11=0,"EN COURS",IF($T11&gt;$G11+0.001,"BLOQUE",IF(AND($V11&gt;P_TOL,$L11=""),"A JUSTIFIER","OK"))))))</f>
        <v/>
      </c>
      <c r="Y11" s="28" t="n">
        <f aca="false">IF(OR($X11="",$X11="DONNEES MANQUANTES",$X11="EMPLACEMENT INCOHERENT",$X11="STOCK INSUFFISANT"),0,1)</f>
        <v>0</v>
      </c>
      <c r="Z11" s="26" t="str">
        <f aca="false">IF($D11="","",IF($R11=0,"A COMPLETER : "&amp;IF($B11="","DATE ENVOI; ","")&amp;IF($C11="","SOUS-TRAITANT; ","")&amp;IF($E11="","LOT SOURCE; ","")&amp;IF(OR(NOT(ISNUMBER($G11)),$G11&lt;=0),"QTE ENVOYEE &gt; 0; ","")&amp;IF(AND($D11="STOCK EXISTANT",$F11=""),"EMPL. SOURCE; ",""),IF($X11="EMPLACEMENT INCOHERENT","Le lot "&amp;$E11&amp;" n'existe pas sur "&amp;$F11&amp;" (stock 0).",IF($X11="STOCK INSUFFISANT","Disponible avant envoi : "&amp;TEXT($S11,"#,##0.00")&amp;" kg. Ligne NON comptee en stock.",IF($X11="BLOQUE","Total des sorties ("&amp;TEXT($T11,"#,##0.00")&amp;" kg) superieur a la quantite envoyee.",IF($X11="EN COURS","Envoi enregistre, resultats non connus. A completer dans ST_RESULTATS.",IF($X11="A JUSTIFIER","Ecart de "&amp;TEXT($V11,"#,##0.00")&amp;" kg : renseigner JUSTIFICATION ECART (colonne L).",IF($P11="LOT NON REFERENCE","Creer d'abord la fiche du lot dans l'onglet LOTS.",""))))))))</f>
        <v/>
      </c>
      <c r="AA11" s="27" t="n">
        <f aca="false">IF(OR($Y11=0,$U11&gt;0),0,$G11)</f>
        <v>0</v>
      </c>
      <c r="AB11" s="26" t="n">
        <f aca="false">IF($R11=0,0,IF(OR($E11=R_LOT,COUNTIFS(RES_IDST,$A11,RES_LOTEFF,R_LOT)&gt;0),1,0))</f>
        <v>0</v>
      </c>
      <c r="AC11" s="26" t="str">
        <f aca="false">IF($AB11=0,"",COUNTIF($AB$5:$AB11,1))</f>
        <v/>
      </c>
    </row>
    <row r="12" customFormat="false" ht="15" hidden="false" customHeight="false" outlineLevel="0" collapsed="false">
      <c r="A12" s="26" t="str">
        <f aca="false">IF($D12="","","ST-"&amp;TEXT(ROW()-4,"000"))</f>
        <v/>
      </c>
      <c r="B12" s="25"/>
      <c r="C12" s="24"/>
      <c r="D12" s="24"/>
      <c r="E12" s="24"/>
      <c r="F12" s="24"/>
      <c r="G12" s="29"/>
      <c r="H12" s="24"/>
      <c r="I12" s="24"/>
      <c r="J12" s="24"/>
      <c r="K12" s="25"/>
      <c r="L12" s="24"/>
      <c r="M12" s="24"/>
      <c r="N12" s="24"/>
      <c r="O12" s="26" t="str">
        <f aca="false">IF($E12="","",IFERROR(INDEX(LOT_EXTE,MATCH($E12,LOT_KEY,0)),""))</f>
        <v/>
      </c>
      <c r="P12" s="26" t="str">
        <f aca="false">IF($E12="","",IFERROR(INDEX(LOT_PRODE,MATCH($E12,LOT_KEY,0)),"LOT NON REFERENCE"))</f>
        <v/>
      </c>
      <c r="Q12" s="26" t="str">
        <f aca="false">IF($E12="","",IFERROR(INDEX(LOT_FOURNE,MATCH($E12,LOT_KEY,0)),""))</f>
        <v/>
      </c>
      <c r="R12" s="28" t="n">
        <f aca="false">IF($D12="",0,IF(OR($B12="",$C12="",$E12="",NOT(ISNUMBER($G12)),$G12&lt;=0),0,IF($D12="STOCK EXISTANT",IF($F12="",0,1),1)))</f>
        <v>0</v>
      </c>
      <c r="S12" s="27" t="str">
        <f aca="false">IF(OR($R12=0,$D12&lt;&gt;"STOCK EXISTANT"),"",SUMIFS(MVT_BRUT,MVT_LOT,$E12,MVT_EMPL,$F12)+$G12)</f>
        <v/>
      </c>
      <c r="T12" s="27" t="str">
        <f aca="false">IF($A12="","",SUMIFS(RES_QTEVAL,RES_IDST,$A12))</f>
        <v/>
      </c>
      <c r="U12" s="28" t="str">
        <f aca="false">IF($A12="","",COUNTIFS(RES_IDST,$A12))</f>
        <v/>
      </c>
      <c r="V12" s="27" t="str">
        <f aca="false">IF(OR($A12="",$U12=0),"",$G12-$T12)</f>
        <v/>
      </c>
      <c r="W12" s="30" t="str">
        <f aca="false">IF(OR($A12="",$U12=0,NOT(ISNUMBER($G12)),$G12&lt;=0),"",$T12/$G12)</f>
        <v/>
      </c>
      <c r="X12" s="26" t="str">
        <f aca="false">IF($D12="","",IF($R12=0,"DONNEES MANQUANTES",IF($D12="STOCK EXISTANT",IF($S12&lt;=0,"EMPLACEMENT INCOHERENT",IF($G12&gt;$S12+0.001,"STOCK INSUFFISANT",IF($U12=0,"EN COURS",IF($T12&gt;$G12+0.001,"BLOQUE",IF(AND($V12&gt;P_TOL,$L12=""),"A JUSTIFIER","OK"))))),IF($U12=0,"EN COURS",IF($T12&gt;$G12+0.001,"BLOQUE",IF(AND($V12&gt;P_TOL,$L12=""),"A JUSTIFIER","OK"))))))</f>
        <v/>
      </c>
      <c r="Y12" s="28" t="n">
        <f aca="false">IF(OR($X12="",$X12="DONNEES MANQUANTES",$X12="EMPLACEMENT INCOHERENT",$X12="STOCK INSUFFISANT"),0,1)</f>
        <v>0</v>
      </c>
      <c r="Z12" s="26" t="str">
        <f aca="false">IF($D12="","",IF($R12=0,"A COMPLETER : "&amp;IF($B12="","DATE ENVOI; ","")&amp;IF($C12="","SOUS-TRAITANT; ","")&amp;IF($E12="","LOT SOURCE; ","")&amp;IF(OR(NOT(ISNUMBER($G12)),$G12&lt;=0),"QTE ENVOYEE &gt; 0; ","")&amp;IF(AND($D12="STOCK EXISTANT",$F12=""),"EMPL. SOURCE; ",""),IF($X12="EMPLACEMENT INCOHERENT","Le lot "&amp;$E12&amp;" n'existe pas sur "&amp;$F12&amp;" (stock 0).",IF($X12="STOCK INSUFFISANT","Disponible avant envoi : "&amp;TEXT($S12,"#,##0.00")&amp;" kg. Ligne NON comptee en stock.",IF($X12="BLOQUE","Total des sorties ("&amp;TEXT($T12,"#,##0.00")&amp;" kg) superieur a la quantite envoyee.",IF($X12="EN COURS","Envoi enregistre, resultats non connus. A completer dans ST_RESULTATS.",IF($X12="A JUSTIFIER","Ecart de "&amp;TEXT($V12,"#,##0.00")&amp;" kg : renseigner JUSTIFICATION ECART (colonne L).",IF($P12="LOT NON REFERENCE","Creer d'abord la fiche du lot dans l'onglet LOTS.",""))))))))</f>
        <v/>
      </c>
      <c r="AA12" s="27" t="n">
        <f aca="false">IF(OR($Y12=0,$U12&gt;0),0,$G12)</f>
        <v>0</v>
      </c>
      <c r="AB12" s="26" t="n">
        <f aca="false">IF($R12=0,0,IF(OR($E12=R_LOT,COUNTIFS(RES_IDST,$A12,RES_LOTEFF,R_LOT)&gt;0),1,0))</f>
        <v>0</v>
      </c>
      <c r="AC12" s="26" t="str">
        <f aca="false">IF($AB12=0,"",COUNTIF($AB$5:$AB12,1))</f>
        <v/>
      </c>
    </row>
    <row r="13" customFormat="false" ht="15" hidden="false" customHeight="false" outlineLevel="0" collapsed="false">
      <c r="A13" s="26" t="str">
        <f aca="false">IF($D13="","","ST-"&amp;TEXT(ROW()-4,"000"))</f>
        <v/>
      </c>
      <c r="B13" s="25"/>
      <c r="C13" s="24"/>
      <c r="D13" s="24"/>
      <c r="E13" s="24"/>
      <c r="F13" s="24"/>
      <c r="G13" s="29"/>
      <c r="H13" s="24"/>
      <c r="I13" s="24"/>
      <c r="J13" s="24"/>
      <c r="K13" s="25"/>
      <c r="L13" s="24"/>
      <c r="M13" s="24"/>
      <c r="N13" s="24"/>
      <c r="O13" s="26" t="str">
        <f aca="false">IF($E13="","",IFERROR(INDEX(LOT_EXTE,MATCH($E13,LOT_KEY,0)),""))</f>
        <v/>
      </c>
      <c r="P13" s="26" t="str">
        <f aca="false">IF($E13="","",IFERROR(INDEX(LOT_PRODE,MATCH($E13,LOT_KEY,0)),"LOT NON REFERENCE"))</f>
        <v/>
      </c>
      <c r="Q13" s="26" t="str">
        <f aca="false">IF($E13="","",IFERROR(INDEX(LOT_FOURNE,MATCH($E13,LOT_KEY,0)),""))</f>
        <v/>
      </c>
      <c r="R13" s="28" t="n">
        <f aca="false">IF($D13="",0,IF(OR($B13="",$C13="",$E13="",NOT(ISNUMBER($G13)),$G13&lt;=0),0,IF($D13="STOCK EXISTANT",IF($F13="",0,1),1)))</f>
        <v>0</v>
      </c>
      <c r="S13" s="27" t="str">
        <f aca="false">IF(OR($R13=0,$D13&lt;&gt;"STOCK EXISTANT"),"",SUMIFS(MVT_BRUT,MVT_LOT,$E13,MVT_EMPL,$F13)+$G13)</f>
        <v/>
      </c>
      <c r="T13" s="27" t="str">
        <f aca="false">IF($A13="","",SUMIFS(RES_QTEVAL,RES_IDST,$A13))</f>
        <v/>
      </c>
      <c r="U13" s="28" t="str">
        <f aca="false">IF($A13="","",COUNTIFS(RES_IDST,$A13))</f>
        <v/>
      </c>
      <c r="V13" s="27" t="str">
        <f aca="false">IF(OR($A13="",$U13=0),"",$G13-$T13)</f>
        <v/>
      </c>
      <c r="W13" s="30" t="str">
        <f aca="false">IF(OR($A13="",$U13=0,NOT(ISNUMBER($G13)),$G13&lt;=0),"",$T13/$G13)</f>
        <v/>
      </c>
      <c r="X13" s="26" t="str">
        <f aca="false">IF($D13="","",IF($R13=0,"DONNEES MANQUANTES",IF($D13="STOCK EXISTANT",IF($S13&lt;=0,"EMPLACEMENT INCOHERENT",IF($G13&gt;$S13+0.001,"STOCK INSUFFISANT",IF($U13=0,"EN COURS",IF($T13&gt;$G13+0.001,"BLOQUE",IF(AND($V13&gt;P_TOL,$L13=""),"A JUSTIFIER","OK"))))),IF($U13=0,"EN COURS",IF($T13&gt;$G13+0.001,"BLOQUE",IF(AND($V13&gt;P_TOL,$L13=""),"A JUSTIFIER","OK"))))))</f>
        <v/>
      </c>
      <c r="Y13" s="28" t="n">
        <f aca="false">IF(OR($X13="",$X13="DONNEES MANQUANTES",$X13="EMPLACEMENT INCOHERENT",$X13="STOCK INSUFFISANT"),0,1)</f>
        <v>0</v>
      </c>
      <c r="Z13" s="26" t="str">
        <f aca="false">IF($D13="","",IF($R13=0,"A COMPLETER : "&amp;IF($B13="","DATE ENVOI; ","")&amp;IF($C13="","SOUS-TRAITANT; ","")&amp;IF($E13="","LOT SOURCE; ","")&amp;IF(OR(NOT(ISNUMBER($G13)),$G13&lt;=0),"QTE ENVOYEE &gt; 0; ","")&amp;IF(AND($D13="STOCK EXISTANT",$F13=""),"EMPL. SOURCE; ",""),IF($X13="EMPLACEMENT INCOHERENT","Le lot "&amp;$E13&amp;" n'existe pas sur "&amp;$F13&amp;" (stock 0).",IF($X13="STOCK INSUFFISANT","Disponible avant envoi : "&amp;TEXT($S13,"#,##0.00")&amp;" kg. Ligne NON comptee en stock.",IF($X13="BLOQUE","Total des sorties ("&amp;TEXT($T13,"#,##0.00")&amp;" kg) superieur a la quantite envoyee.",IF($X13="EN COURS","Envoi enregistre, resultats non connus. A completer dans ST_RESULTATS.",IF($X13="A JUSTIFIER","Ecart de "&amp;TEXT($V13,"#,##0.00")&amp;" kg : renseigner JUSTIFICATION ECART (colonne L).",IF($P13="LOT NON REFERENCE","Creer d'abord la fiche du lot dans l'onglet LOTS.",""))))))))</f>
        <v/>
      </c>
      <c r="AA13" s="27" t="n">
        <f aca="false">IF(OR($Y13=0,$U13&gt;0),0,$G13)</f>
        <v>0</v>
      </c>
      <c r="AB13" s="26" t="n">
        <f aca="false">IF($R13=0,0,IF(OR($E13=R_LOT,COUNTIFS(RES_IDST,$A13,RES_LOTEFF,R_LOT)&gt;0),1,0))</f>
        <v>0</v>
      </c>
      <c r="AC13" s="26" t="str">
        <f aca="false">IF($AB13=0,"",COUNTIF($AB$5:$AB13,1))</f>
        <v/>
      </c>
    </row>
    <row r="14" customFormat="false" ht="15" hidden="false" customHeight="false" outlineLevel="0" collapsed="false">
      <c r="A14" s="26" t="str">
        <f aca="false">IF($D14="","","ST-"&amp;TEXT(ROW()-4,"000"))</f>
        <v/>
      </c>
      <c r="B14" s="25"/>
      <c r="C14" s="24"/>
      <c r="D14" s="24"/>
      <c r="E14" s="24"/>
      <c r="F14" s="24"/>
      <c r="G14" s="29"/>
      <c r="H14" s="24"/>
      <c r="I14" s="24"/>
      <c r="J14" s="24"/>
      <c r="K14" s="25"/>
      <c r="L14" s="24"/>
      <c r="M14" s="24"/>
      <c r="N14" s="24"/>
      <c r="O14" s="26" t="str">
        <f aca="false">IF($E14="","",IFERROR(INDEX(LOT_EXTE,MATCH($E14,LOT_KEY,0)),""))</f>
        <v/>
      </c>
      <c r="P14" s="26" t="str">
        <f aca="false">IF($E14="","",IFERROR(INDEX(LOT_PRODE,MATCH($E14,LOT_KEY,0)),"LOT NON REFERENCE"))</f>
        <v/>
      </c>
      <c r="Q14" s="26" t="str">
        <f aca="false">IF($E14="","",IFERROR(INDEX(LOT_FOURNE,MATCH($E14,LOT_KEY,0)),""))</f>
        <v/>
      </c>
      <c r="R14" s="28" t="n">
        <f aca="false">IF($D14="",0,IF(OR($B14="",$C14="",$E14="",NOT(ISNUMBER($G14)),$G14&lt;=0),0,IF($D14="STOCK EXISTANT",IF($F14="",0,1),1)))</f>
        <v>0</v>
      </c>
      <c r="S14" s="27" t="str">
        <f aca="false">IF(OR($R14=0,$D14&lt;&gt;"STOCK EXISTANT"),"",SUMIFS(MVT_BRUT,MVT_LOT,$E14,MVT_EMPL,$F14)+$G14)</f>
        <v/>
      </c>
      <c r="T14" s="27" t="str">
        <f aca="false">IF($A14="","",SUMIFS(RES_QTEVAL,RES_IDST,$A14))</f>
        <v/>
      </c>
      <c r="U14" s="28" t="str">
        <f aca="false">IF($A14="","",COUNTIFS(RES_IDST,$A14))</f>
        <v/>
      </c>
      <c r="V14" s="27" t="str">
        <f aca="false">IF(OR($A14="",$U14=0),"",$G14-$T14)</f>
        <v/>
      </c>
      <c r="W14" s="30" t="str">
        <f aca="false">IF(OR($A14="",$U14=0,NOT(ISNUMBER($G14)),$G14&lt;=0),"",$T14/$G14)</f>
        <v/>
      </c>
      <c r="X14" s="26" t="str">
        <f aca="false">IF($D14="","",IF($R14=0,"DONNEES MANQUANTES",IF($D14="STOCK EXISTANT",IF($S14&lt;=0,"EMPLACEMENT INCOHERENT",IF($G14&gt;$S14+0.001,"STOCK INSUFFISANT",IF($U14=0,"EN COURS",IF($T14&gt;$G14+0.001,"BLOQUE",IF(AND($V14&gt;P_TOL,$L14=""),"A JUSTIFIER","OK"))))),IF($U14=0,"EN COURS",IF($T14&gt;$G14+0.001,"BLOQUE",IF(AND($V14&gt;P_TOL,$L14=""),"A JUSTIFIER","OK"))))))</f>
        <v/>
      </c>
      <c r="Y14" s="28" t="n">
        <f aca="false">IF(OR($X14="",$X14="DONNEES MANQUANTES",$X14="EMPLACEMENT INCOHERENT",$X14="STOCK INSUFFISANT"),0,1)</f>
        <v>0</v>
      </c>
      <c r="Z14" s="26" t="str">
        <f aca="false">IF($D14="","",IF($R14=0,"A COMPLETER : "&amp;IF($B14="","DATE ENVOI; ","")&amp;IF($C14="","SOUS-TRAITANT; ","")&amp;IF($E14="","LOT SOURCE; ","")&amp;IF(OR(NOT(ISNUMBER($G14)),$G14&lt;=0),"QTE ENVOYEE &gt; 0; ","")&amp;IF(AND($D14="STOCK EXISTANT",$F14=""),"EMPL. SOURCE; ",""),IF($X14="EMPLACEMENT INCOHERENT","Le lot "&amp;$E14&amp;" n'existe pas sur "&amp;$F14&amp;" (stock 0).",IF($X14="STOCK INSUFFISANT","Disponible avant envoi : "&amp;TEXT($S14,"#,##0.00")&amp;" kg. Ligne NON comptee en stock.",IF($X14="BLOQUE","Total des sorties ("&amp;TEXT($T14,"#,##0.00")&amp;" kg) superieur a la quantite envoyee.",IF($X14="EN COURS","Envoi enregistre, resultats non connus. A completer dans ST_RESULTATS.",IF($X14="A JUSTIFIER","Ecart de "&amp;TEXT($V14,"#,##0.00")&amp;" kg : renseigner JUSTIFICATION ECART (colonne L).",IF($P14="LOT NON REFERENCE","Creer d'abord la fiche du lot dans l'onglet LOTS.",""))))))))</f>
        <v/>
      </c>
      <c r="AA14" s="27" t="n">
        <f aca="false">IF(OR($Y14=0,$U14&gt;0),0,$G14)</f>
        <v>0</v>
      </c>
      <c r="AB14" s="26" t="n">
        <f aca="false">IF($R14=0,0,IF(OR($E14=R_LOT,COUNTIFS(RES_IDST,$A14,RES_LOTEFF,R_LOT)&gt;0),1,0))</f>
        <v>0</v>
      </c>
      <c r="AC14" s="26" t="str">
        <f aca="false">IF($AB14=0,"",COUNTIF($AB$5:$AB14,1))</f>
        <v/>
      </c>
    </row>
    <row r="15" customFormat="false" ht="15" hidden="false" customHeight="false" outlineLevel="0" collapsed="false">
      <c r="A15" s="26" t="str">
        <f aca="false">IF($D15="","","ST-"&amp;TEXT(ROW()-4,"000"))</f>
        <v/>
      </c>
      <c r="B15" s="25"/>
      <c r="C15" s="24"/>
      <c r="D15" s="24"/>
      <c r="E15" s="24"/>
      <c r="F15" s="24"/>
      <c r="G15" s="29"/>
      <c r="H15" s="24"/>
      <c r="I15" s="24"/>
      <c r="J15" s="24"/>
      <c r="K15" s="25"/>
      <c r="L15" s="24"/>
      <c r="M15" s="24"/>
      <c r="N15" s="24"/>
      <c r="O15" s="26" t="str">
        <f aca="false">IF($E15="","",IFERROR(INDEX(LOT_EXTE,MATCH($E15,LOT_KEY,0)),""))</f>
        <v/>
      </c>
      <c r="P15" s="26" t="str">
        <f aca="false">IF($E15="","",IFERROR(INDEX(LOT_PRODE,MATCH($E15,LOT_KEY,0)),"LOT NON REFERENCE"))</f>
        <v/>
      </c>
      <c r="Q15" s="26" t="str">
        <f aca="false">IF($E15="","",IFERROR(INDEX(LOT_FOURNE,MATCH($E15,LOT_KEY,0)),""))</f>
        <v/>
      </c>
      <c r="R15" s="28" t="n">
        <f aca="false">IF($D15="",0,IF(OR($B15="",$C15="",$E15="",NOT(ISNUMBER($G15)),$G15&lt;=0),0,IF($D15="STOCK EXISTANT",IF($F15="",0,1),1)))</f>
        <v>0</v>
      </c>
      <c r="S15" s="27" t="str">
        <f aca="false">IF(OR($R15=0,$D15&lt;&gt;"STOCK EXISTANT"),"",SUMIFS(MVT_BRUT,MVT_LOT,$E15,MVT_EMPL,$F15)+$G15)</f>
        <v/>
      </c>
      <c r="T15" s="27" t="str">
        <f aca="false">IF($A15="","",SUMIFS(RES_QTEVAL,RES_IDST,$A15))</f>
        <v/>
      </c>
      <c r="U15" s="28" t="str">
        <f aca="false">IF($A15="","",COUNTIFS(RES_IDST,$A15))</f>
        <v/>
      </c>
      <c r="V15" s="27" t="str">
        <f aca="false">IF(OR($A15="",$U15=0),"",$G15-$T15)</f>
        <v/>
      </c>
      <c r="W15" s="30" t="str">
        <f aca="false">IF(OR($A15="",$U15=0,NOT(ISNUMBER($G15)),$G15&lt;=0),"",$T15/$G15)</f>
        <v/>
      </c>
      <c r="X15" s="26" t="str">
        <f aca="false">IF($D15="","",IF($R15=0,"DONNEES MANQUANTES",IF($D15="STOCK EXISTANT",IF($S15&lt;=0,"EMPLACEMENT INCOHERENT",IF($G15&gt;$S15+0.001,"STOCK INSUFFISANT",IF($U15=0,"EN COURS",IF($T15&gt;$G15+0.001,"BLOQUE",IF(AND($V15&gt;P_TOL,$L15=""),"A JUSTIFIER","OK"))))),IF($U15=0,"EN COURS",IF($T15&gt;$G15+0.001,"BLOQUE",IF(AND($V15&gt;P_TOL,$L15=""),"A JUSTIFIER","OK"))))))</f>
        <v/>
      </c>
      <c r="Y15" s="28" t="n">
        <f aca="false">IF(OR($X15="",$X15="DONNEES MANQUANTES",$X15="EMPLACEMENT INCOHERENT",$X15="STOCK INSUFFISANT"),0,1)</f>
        <v>0</v>
      </c>
      <c r="Z15" s="26" t="str">
        <f aca="false">IF($D15="","",IF($R15=0,"A COMPLETER : "&amp;IF($B15="","DATE ENVOI; ","")&amp;IF($C15="","SOUS-TRAITANT; ","")&amp;IF($E15="","LOT SOURCE; ","")&amp;IF(OR(NOT(ISNUMBER($G15)),$G15&lt;=0),"QTE ENVOYEE &gt; 0; ","")&amp;IF(AND($D15="STOCK EXISTANT",$F15=""),"EMPL. SOURCE; ",""),IF($X15="EMPLACEMENT INCOHERENT","Le lot "&amp;$E15&amp;" n'existe pas sur "&amp;$F15&amp;" (stock 0).",IF($X15="STOCK INSUFFISANT","Disponible avant envoi : "&amp;TEXT($S15,"#,##0.00")&amp;" kg. Ligne NON comptee en stock.",IF($X15="BLOQUE","Total des sorties ("&amp;TEXT($T15,"#,##0.00")&amp;" kg) superieur a la quantite envoyee.",IF($X15="EN COURS","Envoi enregistre, resultats non connus. A completer dans ST_RESULTATS.",IF($X15="A JUSTIFIER","Ecart de "&amp;TEXT($V15,"#,##0.00")&amp;" kg : renseigner JUSTIFICATION ECART (colonne L).",IF($P15="LOT NON REFERENCE","Creer d'abord la fiche du lot dans l'onglet LOTS.",""))))))))</f>
        <v/>
      </c>
      <c r="AA15" s="27" t="n">
        <f aca="false">IF(OR($Y15=0,$U15&gt;0),0,$G15)</f>
        <v>0</v>
      </c>
      <c r="AB15" s="26" t="n">
        <f aca="false">IF($R15=0,0,IF(OR($E15=R_LOT,COUNTIFS(RES_IDST,$A15,RES_LOTEFF,R_LOT)&gt;0),1,0))</f>
        <v>0</v>
      </c>
      <c r="AC15" s="26" t="str">
        <f aca="false">IF($AB15=0,"",COUNTIF($AB$5:$AB15,1))</f>
        <v/>
      </c>
    </row>
    <row r="16" customFormat="false" ht="15" hidden="false" customHeight="false" outlineLevel="0" collapsed="false">
      <c r="A16" s="26" t="str">
        <f aca="false">IF($D16="","","ST-"&amp;TEXT(ROW()-4,"000"))</f>
        <v/>
      </c>
      <c r="B16" s="25"/>
      <c r="C16" s="24"/>
      <c r="D16" s="24"/>
      <c r="E16" s="24"/>
      <c r="F16" s="24"/>
      <c r="G16" s="29"/>
      <c r="H16" s="24"/>
      <c r="I16" s="24"/>
      <c r="J16" s="24"/>
      <c r="K16" s="25"/>
      <c r="L16" s="24"/>
      <c r="M16" s="24"/>
      <c r="N16" s="24"/>
      <c r="O16" s="26" t="str">
        <f aca="false">IF($E16="","",IFERROR(INDEX(LOT_EXTE,MATCH($E16,LOT_KEY,0)),""))</f>
        <v/>
      </c>
      <c r="P16" s="26" t="str">
        <f aca="false">IF($E16="","",IFERROR(INDEX(LOT_PRODE,MATCH($E16,LOT_KEY,0)),"LOT NON REFERENCE"))</f>
        <v/>
      </c>
      <c r="Q16" s="26" t="str">
        <f aca="false">IF($E16="","",IFERROR(INDEX(LOT_FOURNE,MATCH($E16,LOT_KEY,0)),""))</f>
        <v/>
      </c>
      <c r="R16" s="28" t="n">
        <f aca="false">IF($D16="",0,IF(OR($B16="",$C16="",$E16="",NOT(ISNUMBER($G16)),$G16&lt;=0),0,IF($D16="STOCK EXISTANT",IF($F16="",0,1),1)))</f>
        <v>0</v>
      </c>
      <c r="S16" s="27" t="str">
        <f aca="false">IF(OR($R16=0,$D16&lt;&gt;"STOCK EXISTANT"),"",SUMIFS(MVT_BRUT,MVT_LOT,$E16,MVT_EMPL,$F16)+$G16)</f>
        <v/>
      </c>
      <c r="T16" s="27" t="str">
        <f aca="false">IF($A16="","",SUMIFS(RES_QTEVAL,RES_IDST,$A16))</f>
        <v/>
      </c>
      <c r="U16" s="28" t="str">
        <f aca="false">IF($A16="","",COUNTIFS(RES_IDST,$A16))</f>
        <v/>
      </c>
      <c r="V16" s="27" t="str">
        <f aca="false">IF(OR($A16="",$U16=0),"",$G16-$T16)</f>
        <v/>
      </c>
      <c r="W16" s="30" t="str">
        <f aca="false">IF(OR($A16="",$U16=0,NOT(ISNUMBER($G16)),$G16&lt;=0),"",$T16/$G16)</f>
        <v/>
      </c>
      <c r="X16" s="26" t="str">
        <f aca="false">IF($D16="","",IF($R16=0,"DONNEES MANQUANTES",IF($D16="STOCK EXISTANT",IF($S16&lt;=0,"EMPLACEMENT INCOHERENT",IF($G16&gt;$S16+0.001,"STOCK INSUFFISANT",IF($U16=0,"EN COURS",IF($T16&gt;$G16+0.001,"BLOQUE",IF(AND($V16&gt;P_TOL,$L16=""),"A JUSTIFIER","OK"))))),IF($U16=0,"EN COURS",IF($T16&gt;$G16+0.001,"BLOQUE",IF(AND($V16&gt;P_TOL,$L16=""),"A JUSTIFIER","OK"))))))</f>
        <v/>
      </c>
      <c r="Y16" s="28" t="n">
        <f aca="false">IF(OR($X16="",$X16="DONNEES MANQUANTES",$X16="EMPLACEMENT INCOHERENT",$X16="STOCK INSUFFISANT"),0,1)</f>
        <v>0</v>
      </c>
      <c r="Z16" s="26" t="str">
        <f aca="false">IF($D16="","",IF($R16=0,"A COMPLETER : "&amp;IF($B16="","DATE ENVOI; ","")&amp;IF($C16="","SOUS-TRAITANT; ","")&amp;IF($E16="","LOT SOURCE; ","")&amp;IF(OR(NOT(ISNUMBER($G16)),$G16&lt;=0),"QTE ENVOYEE &gt; 0; ","")&amp;IF(AND($D16="STOCK EXISTANT",$F16=""),"EMPL. SOURCE; ",""),IF($X16="EMPLACEMENT INCOHERENT","Le lot "&amp;$E16&amp;" n'existe pas sur "&amp;$F16&amp;" (stock 0).",IF($X16="STOCK INSUFFISANT","Disponible avant envoi : "&amp;TEXT($S16,"#,##0.00")&amp;" kg. Ligne NON comptee en stock.",IF($X16="BLOQUE","Total des sorties ("&amp;TEXT($T16,"#,##0.00")&amp;" kg) superieur a la quantite envoyee.",IF($X16="EN COURS","Envoi enregistre, resultats non connus. A completer dans ST_RESULTATS.",IF($X16="A JUSTIFIER","Ecart de "&amp;TEXT($V16,"#,##0.00")&amp;" kg : renseigner JUSTIFICATION ECART (colonne L).",IF($P16="LOT NON REFERENCE","Creer d'abord la fiche du lot dans l'onglet LOTS.",""))))))))</f>
        <v/>
      </c>
      <c r="AA16" s="27" t="n">
        <f aca="false">IF(OR($Y16=0,$U16&gt;0),0,$G16)</f>
        <v>0</v>
      </c>
      <c r="AB16" s="26" t="n">
        <f aca="false">IF($R16=0,0,IF(OR($E16=R_LOT,COUNTIFS(RES_IDST,$A16,RES_LOTEFF,R_LOT)&gt;0),1,0))</f>
        <v>0</v>
      </c>
      <c r="AC16" s="26" t="str">
        <f aca="false">IF($AB16=0,"",COUNTIF($AB$5:$AB16,1))</f>
        <v/>
      </c>
    </row>
    <row r="17" customFormat="false" ht="15" hidden="false" customHeight="false" outlineLevel="0" collapsed="false">
      <c r="A17" s="26" t="str">
        <f aca="false">IF($D17="","","ST-"&amp;TEXT(ROW()-4,"000"))</f>
        <v/>
      </c>
      <c r="B17" s="25"/>
      <c r="C17" s="24"/>
      <c r="D17" s="24"/>
      <c r="E17" s="24"/>
      <c r="F17" s="24"/>
      <c r="G17" s="29"/>
      <c r="H17" s="24"/>
      <c r="I17" s="24"/>
      <c r="J17" s="24"/>
      <c r="K17" s="25"/>
      <c r="L17" s="24"/>
      <c r="M17" s="24"/>
      <c r="N17" s="24"/>
      <c r="O17" s="26" t="str">
        <f aca="false">IF($E17="","",IFERROR(INDEX(LOT_EXTE,MATCH($E17,LOT_KEY,0)),""))</f>
        <v/>
      </c>
      <c r="P17" s="26" t="str">
        <f aca="false">IF($E17="","",IFERROR(INDEX(LOT_PRODE,MATCH($E17,LOT_KEY,0)),"LOT NON REFERENCE"))</f>
        <v/>
      </c>
      <c r="Q17" s="26" t="str">
        <f aca="false">IF($E17="","",IFERROR(INDEX(LOT_FOURNE,MATCH($E17,LOT_KEY,0)),""))</f>
        <v/>
      </c>
      <c r="R17" s="28" t="n">
        <f aca="false">IF($D17="",0,IF(OR($B17="",$C17="",$E17="",NOT(ISNUMBER($G17)),$G17&lt;=0),0,IF($D17="STOCK EXISTANT",IF($F17="",0,1),1)))</f>
        <v>0</v>
      </c>
      <c r="S17" s="27" t="str">
        <f aca="false">IF(OR($R17=0,$D17&lt;&gt;"STOCK EXISTANT"),"",SUMIFS(MVT_BRUT,MVT_LOT,$E17,MVT_EMPL,$F17)+$G17)</f>
        <v/>
      </c>
      <c r="T17" s="27" t="str">
        <f aca="false">IF($A17="","",SUMIFS(RES_QTEVAL,RES_IDST,$A17))</f>
        <v/>
      </c>
      <c r="U17" s="28" t="str">
        <f aca="false">IF($A17="","",COUNTIFS(RES_IDST,$A17))</f>
        <v/>
      </c>
      <c r="V17" s="27" t="str">
        <f aca="false">IF(OR($A17="",$U17=0),"",$G17-$T17)</f>
        <v/>
      </c>
      <c r="W17" s="30" t="str">
        <f aca="false">IF(OR($A17="",$U17=0,NOT(ISNUMBER($G17)),$G17&lt;=0),"",$T17/$G17)</f>
        <v/>
      </c>
      <c r="X17" s="26" t="str">
        <f aca="false">IF($D17="","",IF($R17=0,"DONNEES MANQUANTES",IF($D17="STOCK EXISTANT",IF($S17&lt;=0,"EMPLACEMENT INCOHERENT",IF($G17&gt;$S17+0.001,"STOCK INSUFFISANT",IF($U17=0,"EN COURS",IF($T17&gt;$G17+0.001,"BLOQUE",IF(AND($V17&gt;P_TOL,$L17=""),"A JUSTIFIER","OK"))))),IF($U17=0,"EN COURS",IF($T17&gt;$G17+0.001,"BLOQUE",IF(AND($V17&gt;P_TOL,$L17=""),"A JUSTIFIER","OK"))))))</f>
        <v/>
      </c>
      <c r="Y17" s="28" t="n">
        <f aca="false">IF(OR($X17="",$X17="DONNEES MANQUANTES",$X17="EMPLACEMENT INCOHERENT",$X17="STOCK INSUFFISANT"),0,1)</f>
        <v>0</v>
      </c>
      <c r="Z17" s="26" t="str">
        <f aca="false">IF($D17="","",IF($R17=0,"A COMPLETER : "&amp;IF($B17="","DATE ENVOI; ","")&amp;IF($C17="","SOUS-TRAITANT; ","")&amp;IF($E17="","LOT SOURCE; ","")&amp;IF(OR(NOT(ISNUMBER($G17)),$G17&lt;=0),"QTE ENVOYEE &gt; 0; ","")&amp;IF(AND($D17="STOCK EXISTANT",$F17=""),"EMPL. SOURCE; ",""),IF($X17="EMPLACEMENT INCOHERENT","Le lot "&amp;$E17&amp;" n'existe pas sur "&amp;$F17&amp;" (stock 0).",IF($X17="STOCK INSUFFISANT","Disponible avant envoi : "&amp;TEXT($S17,"#,##0.00")&amp;" kg. Ligne NON comptee en stock.",IF($X17="BLOQUE","Total des sorties ("&amp;TEXT($T17,"#,##0.00")&amp;" kg) superieur a la quantite envoyee.",IF($X17="EN COURS","Envoi enregistre, resultats non connus. A completer dans ST_RESULTATS.",IF($X17="A JUSTIFIER","Ecart de "&amp;TEXT($V17,"#,##0.00")&amp;" kg : renseigner JUSTIFICATION ECART (colonne L).",IF($P17="LOT NON REFERENCE","Creer d'abord la fiche du lot dans l'onglet LOTS.",""))))))))</f>
        <v/>
      </c>
      <c r="AA17" s="27" t="n">
        <f aca="false">IF(OR($Y17=0,$U17&gt;0),0,$G17)</f>
        <v>0</v>
      </c>
      <c r="AB17" s="26" t="n">
        <f aca="false">IF($R17=0,0,IF(OR($E17=R_LOT,COUNTIFS(RES_IDST,$A17,RES_LOTEFF,R_LOT)&gt;0),1,0))</f>
        <v>0</v>
      </c>
      <c r="AC17" s="26" t="str">
        <f aca="false">IF($AB17=0,"",COUNTIF($AB$5:$AB17,1))</f>
        <v/>
      </c>
    </row>
    <row r="18" customFormat="false" ht="15" hidden="false" customHeight="false" outlineLevel="0" collapsed="false">
      <c r="A18" s="26" t="str">
        <f aca="false">IF($D18="","","ST-"&amp;TEXT(ROW()-4,"000"))</f>
        <v/>
      </c>
      <c r="B18" s="25"/>
      <c r="C18" s="24"/>
      <c r="D18" s="24"/>
      <c r="E18" s="24"/>
      <c r="F18" s="24"/>
      <c r="G18" s="29"/>
      <c r="H18" s="24"/>
      <c r="I18" s="24"/>
      <c r="J18" s="24"/>
      <c r="K18" s="25"/>
      <c r="L18" s="24"/>
      <c r="M18" s="24"/>
      <c r="N18" s="24"/>
      <c r="O18" s="26" t="str">
        <f aca="false">IF($E18="","",IFERROR(INDEX(LOT_EXTE,MATCH($E18,LOT_KEY,0)),""))</f>
        <v/>
      </c>
      <c r="P18" s="26" t="str">
        <f aca="false">IF($E18="","",IFERROR(INDEX(LOT_PRODE,MATCH($E18,LOT_KEY,0)),"LOT NON REFERENCE"))</f>
        <v/>
      </c>
      <c r="Q18" s="26" t="str">
        <f aca="false">IF($E18="","",IFERROR(INDEX(LOT_FOURNE,MATCH($E18,LOT_KEY,0)),""))</f>
        <v/>
      </c>
      <c r="R18" s="28" t="n">
        <f aca="false">IF($D18="",0,IF(OR($B18="",$C18="",$E18="",NOT(ISNUMBER($G18)),$G18&lt;=0),0,IF($D18="STOCK EXISTANT",IF($F18="",0,1),1)))</f>
        <v>0</v>
      </c>
      <c r="S18" s="27" t="str">
        <f aca="false">IF(OR($R18=0,$D18&lt;&gt;"STOCK EXISTANT"),"",SUMIFS(MVT_BRUT,MVT_LOT,$E18,MVT_EMPL,$F18)+$G18)</f>
        <v/>
      </c>
      <c r="T18" s="27" t="str">
        <f aca="false">IF($A18="","",SUMIFS(RES_QTEVAL,RES_IDST,$A18))</f>
        <v/>
      </c>
      <c r="U18" s="28" t="str">
        <f aca="false">IF($A18="","",COUNTIFS(RES_IDST,$A18))</f>
        <v/>
      </c>
      <c r="V18" s="27" t="str">
        <f aca="false">IF(OR($A18="",$U18=0),"",$G18-$T18)</f>
        <v/>
      </c>
      <c r="W18" s="30" t="str">
        <f aca="false">IF(OR($A18="",$U18=0,NOT(ISNUMBER($G18)),$G18&lt;=0),"",$T18/$G18)</f>
        <v/>
      </c>
      <c r="X18" s="26" t="str">
        <f aca="false">IF($D18="","",IF($R18=0,"DONNEES MANQUANTES",IF($D18="STOCK EXISTANT",IF($S18&lt;=0,"EMPLACEMENT INCOHERENT",IF($G18&gt;$S18+0.001,"STOCK INSUFFISANT",IF($U18=0,"EN COURS",IF($T18&gt;$G18+0.001,"BLOQUE",IF(AND($V18&gt;P_TOL,$L18=""),"A JUSTIFIER","OK"))))),IF($U18=0,"EN COURS",IF($T18&gt;$G18+0.001,"BLOQUE",IF(AND($V18&gt;P_TOL,$L18=""),"A JUSTIFIER","OK"))))))</f>
        <v/>
      </c>
      <c r="Y18" s="28" t="n">
        <f aca="false">IF(OR($X18="",$X18="DONNEES MANQUANTES",$X18="EMPLACEMENT INCOHERENT",$X18="STOCK INSUFFISANT"),0,1)</f>
        <v>0</v>
      </c>
      <c r="Z18" s="26" t="str">
        <f aca="false">IF($D18="","",IF($R18=0,"A COMPLETER : "&amp;IF($B18="","DATE ENVOI; ","")&amp;IF($C18="","SOUS-TRAITANT; ","")&amp;IF($E18="","LOT SOURCE; ","")&amp;IF(OR(NOT(ISNUMBER($G18)),$G18&lt;=0),"QTE ENVOYEE &gt; 0; ","")&amp;IF(AND($D18="STOCK EXISTANT",$F18=""),"EMPL. SOURCE; ",""),IF($X18="EMPLACEMENT INCOHERENT","Le lot "&amp;$E18&amp;" n'existe pas sur "&amp;$F18&amp;" (stock 0).",IF($X18="STOCK INSUFFISANT","Disponible avant envoi : "&amp;TEXT($S18,"#,##0.00")&amp;" kg. Ligne NON comptee en stock.",IF($X18="BLOQUE","Total des sorties ("&amp;TEXT($T18,"#,##0.00")&amp;" kg) superieur a la quantite envoyee.",IF($X18="EN COURS","Envoi enregistre, resultats non connus. A completer dans ST_RESULTATS.",IF($X18="A JUSTIFIER","Ecart de "&amp;TEXT($V18,"#,##0.00")&amp;" kg : renseigner JUSTIFICATION ECART (colonne L).",IF($P18="LOT NON REFERENCE","Creer d'abord la fiche du lot dans l'onglet LOTS.",""))))))))</f>
        <v/>
      </c>
      <c r="AA18" s="27" t="n">
        <f aca="false">IF(OR($Y18=0,$U18&gt;0),0,$G18)</f>
        <v>0</v>
      </c>
      <c r="AB18" s="26" t="n">
        <f aca="false">IF($R18=0,0,IF(OR($E18=R_LOT,COUNTIFS(RES_IDST,$A18,RES_LOTEFF,R_LOT)&gt;0),1,0))</f>
        <v>0</v>
      </c>
      <c r="AC18" s="26" t="str">
        <f aca="false">IF($AB18=0,"",COUNTIF($AB$5:$AB18,1))</f>
        <v/>
      </c>
    </row>
    <row r="19" customFormat="false" ht="15" hidden="false" customHeight="false" outlineLevel="0" collapsed="false">
      <c r="A19" s="26" t="str">
        <f aca="false">IF($D19="","","ST-"&amp;TEXT(ROW()-4,"000"))</f>
        <v/>
      </c>
      <c r="B19" s="25"/>
      <c r="C19" s="24"/>
      <c r="D19" s="24"/>
      <c r="E19" s="24"/>
      <c r="F19" s="24"/>
      <c r="G19" s="29"/>
      <c r="H19" s="24"/>
      <c r="I19" s="24"/>
      <c r="J19" s="24"/>
      <c r="K19" s="25"/>
      <c r="L19" s="24"/>
      <c r="M19" s="24"/>
      <c r="N19" s="24"/>
      <c r="O19" s="26" t="str">
        <f aca="false">IF($E19="","",IFERROR(INDEX(LOT_EXTE,MATCH($E19,LOT_KEY,0)),""))</f>
        <v/>
      </c>
      <c r="P19" s="26" t="str">
        <f aca="false">IF($E19="","",IFERROR(INDEX(LOT_PRODE,MATCH($E19,LOT_KEY,0)),"LOT NON REFERENCE"))</f>
        <v/>
      </c>
      <c r="Q19" s="26" t="str">
        <f aca="false">IF($E19="","",IFERROR(INDEX(LOT_FOURNE,MATCH($E19,LOT_KEY,0)),""))</f>
        <v/>
      </c>
      <c r="R19" s="28" t="n">
        <f aca="false">IF($D19="",0,IF(OR($B19="",$C19="",$E19="",NOT(ISNUMBER($G19)),$G19&lt;=0),0,IF($D19="STOCK EXISTANT",IF($F19="",0,1),1)))</f>
        <v>0</v>
      </c>
      <c r="S19" s="27" t="str">
        <f aca="false">IF(OR($R19=0,$D19&lt;&gt;"STOCK EXISTANT"),"",SUMIFS(MVT_BRUT,MVT_LOT,$E19,MVT_EMPL,$F19)+$G19)</f>
        <v/>
      </c>
      <c r="T19" s="27" t="str">
        <f aca="false">IF($A19="","",SUMIFS(RES_QTEVAL,RES_IDST,$A19))</f>
        <v/>
      </c>
      <c r="U19" s="28" t="str">
        <f aca="false">IF($A19="","",COUNTIFS(RES_IDST,$A19))</f>
        <v/>
      </c>
      <c r="V19" s="27" t="str">
        <f aca="false">IF(OR($A19="",$U19=0),"",$G19-$T19)</f>
        <v/>
      </c>
      <c r="W19" s="30" t="str">
        <f aca="false">IF(OR($A19="",$U19=0,NOT(ISNUMBER($G19)),$G19&lt;=0),"",$T19/$G19)</f>
        <v/>
      </c>
      <c r="X19" s="26" t="str">
        <f aca="false">IF($D19="","",IF($R19=0,"DONNEES MANQUANTES",IF($D19="STOCK EXISTANT",IF($S19&lt;=0,"EMPLACEMENT INCOHERENT",IF($G19&gt;$S19+0.001,"STOCK INSUFFISANT",IF($U19=0,"EN COURS",IF($T19&gt;$G19+0.001,"BLOQUE",IF(AND($V19&gt;P_TOL,$L19=""),"A JUSTIFIER","OK"))))),IF($U19=0,"EN COURS",IF($T19&gt;$G19+0.001,"BLOQUE",IF(AND($V19&gt;P_TOL,$L19=""),"A JUSTIFIER","OK"))))))</f>
        <v/>
      </c>
      <c r="Y19" s="28" t="n">
        <f aca="false">IF(OR($X19="",$X19="DONNEES MANQUANTES",$X19="EMPLACEMENT INCOHERENT",$X19="STOCK INSUFFISANT"),0,1)</f>
        <v>0</v>
      </c>
      <c r="Z19" s="26" t="str">
        <f aca="false">IF($D19="","",IF($R19=0,"A COMPLETER : "&amp;IF($B19="","DATE ENVOI; ","")&amp;IF($C19="","SOUS-TRAITANT; ","")&amp;IF($E19="","LOT SOURCE; ","")&amp;IF(OR(NOT(ISNUMBER($G19)),$G19&lt;=0),"QTE ENVOYEE &gt; 0; ","")&amp;IF(AND($D19="STOCK EXISTANT",$F19=""),"EMPL. SOURCE; ",""),IF($X19="EMPLACEMENT INCOHERENT","Le lot "&amp;$E19&amp;" n'existe pas sur "&amp;$F19&amp;" (stock 0).",IF($X19="STOCK INSUFFISANT","Disponible avant envoi : "&amp;TEXT($S19,"#,##0.00")&amp;" kg. Ligne NON comptee en stock.",IF($X19="BLOQUE","Total des sorties ("&amp;TEXT($T19,"#,##0.00")&amp;" kg) superieur a la quantite envoyee.",IF($X19="EN COURS","Envoi enregistre, resultats non connus. A completer dans ST_RESULTATS.",IF($X19="A JUSTIFIER","Ecart de "&amp;TEXT($V19,"#,##0.00")&amp;" kg : renseigner JUSTIFICATION ECART (colonne L).",IF($P19="LOT NON REFERENCE","Creer d'abord la fiche du lot dans l'onglet LOTS.",""))))))))</f>
        <v/>
      </c>
      <c r="AA19" s="27" t="n">
        <f aca="false">IF(OR($Y19=0,$U19&gt;0),0,$G19)</f>
        <v>0</v>
      </c>
      <c r="AB19" s="26" t="n">
        <f aca="false">IF($R19=0,0,IF(OR($E19=R_LOT,COUNTIFS(RES_IDST,$A19,RES_LOTEFF,R_LOT)&gt;0),1,0))</f>
        <v>0</v>
      </c>
      <c r="AC19" s="26" t="str">
        <f aca="false">IF($AB19=0,"",COUNTIF($AB$5:$AB19,1))</f>
        <v/>
      </c>
    </row>
    <row r="20" customFormat="false" ht="15" hidden="false" customHeight="false" outlineLevel="0" collapsed="false">
      <c r="A20" s="26" t="str">
        <f aca="false">IF($D20="","","ST-"&amp;TEXT(ROW()-4,"000"))</f>
        <v/>
      </c>
      <c r="B20" s="25"/>
      <c r="C20" s="24"/>
      <c r="D20" s="24"/>
      <c r="E20" s="24"/>
      <c r="F20" s="24"/>
      <c r="G20" s="29"/>
      <c r="H20" s="24"/>
      <c r="I20" s="24"/>
      <c r="J20" s="24"/>
      <c r="K20" s="25"/>
      <c r="L20" s="24"/>
      <c r="M20" s="24"/>
      <c r="N20" s="24"/>
      <c r="O20" s="26" t="str">
        <f aca="false">IF($E20="","",IFERROR(INDEX(LOT_EXTE,MATCH($E20,LOT_KEY,0)),""))</f>
        <v/>
      </c>
      <c r="P20" s="26" t="str">
        <f aca="false">IF($E20="","",IFERROR(INDEX(LOT_PRODE,MATCH($E20,LOT_KEY,0)),"LOT NON REFERENCE"))</f>
        <v/>
      </c>
      <c r="Q20" s="26" t="str">
        <f aca="false">IF($E20="","",IFERROR(INDEX(LOT_FOURNE,MATCH($E20,LOT_KEY,0)),""))</f>
        <v/>
      </c>
      <c r="R20" s="28" t="n">
        <f aca="false">IF($D20="",0,IF(OR($B20="",$C20="",$E20="",NOT(ISNUMBER($G20)),$G20&lt;=0),0,IF($D20="STOCK EXISTANT",IF($F20="",0,1),1)))</f>
        <v>0</v>
      </c>
      <c r="S20" s="27" t="str">
        <f aca="false">IF(OR($R20=0,$D20&lt;&gt;"STOCK EXISTANT"),"",SUMIFS(MVT_BRUT,MVT_LOT,$E20,MVT_EMPL,$F20)+$G20)</f>
        <v/>
      </c>
      <c r="T20" s="27" t="str">
        <f aca="false">IF($A20="","",SUMIFS(RES_QTEVAL,RES_IDST,$A20))</f>
        <v/>
      </c>
      <c r="U20" s="28" t="str">
        <f aca="false">IF($A20="","",COUNTIFS(RES_IDST,$A20))</f>
        <v/>
      </c>
      <c r="V20" s="27" t="str">
        <f aca="false">IF(OR($A20="",$U20=0),"",$G20-$T20)</f>
        <v/>
      </c>
      <c r="W20" s="30" t="str">
        <f aca="false">IF(OR($A20="",$U20=0,NOT(ISNUMBER($G20)),$G20&lt;=0),"",$T20/$G20)</f>
        <v/>
      </c>
      <c r="X20" s="26" t="str">
        <f aca="false">IF($D20="","",IF($R20=0,"DONNEES MANQUANTES",IF($D20="STOCK EXISTANT",IF($S20&lt;=0,"EMPLACEMENT INCOHERENT",IF($G20&gt;$S20+0.001,"STOCK INSUFFISANT",IF($U20=0,"EN COURS",IF($T20&gt;$G20+0.001,"BLOQUE",IF(AND($V20&gt;P_TOL,$L20=""),"A JUSTIFIER","OK"))))),IF($U20=0,"EN COURS",IF($T20&gt;$G20+0.001,"BLOQUE",IF(AND($V20&gt;P_TOL,$L20=""),"A JUSTIFIER","OK"))))))</f>
        <v/>
      </c>
      <c r="Y20" s="28" t="n">
        <f aca="false">IF(OR($X20="",$X20="DONNEES MANQUANTES",$X20="EMPLACEMENT INCOHERENT",$X20="STOCK INSUFFISANT"),0,1)</f>
        <v>0</v>
      </c>
      <c r="Z20" s="26" t="str">
        <f aca="false">IF($D20="","",IF($R20=0,"A COMPLETER : "&amp;IF($B20="","DATE ENVOI; ","")&amp;IF($C20="","SOUS-TRAITANT; ","")&amp;IF($E20="","LOT SOURCE; ","")&amp;IF(OR(NOT(ISNUMBER($G20)),$G20&lt;=0),"QTE ENVOYEE &gt; 0; ","")&amp;IF(AND($D20="STOCK EXISTANT",$F20=""),"EMPL. SOURCE; ",""),IF($X20="EMPLACEMENT INCOHERENT","Le lot "&amp;$E20&amp;" n'existe pas sur "&amp;$F20&amp;" (stock 0).",IF($X20="STOCK INSUFFISANT","Disponible avant envoi : "&amp;TEXT($S20,"#,##0.00")&amp;" kg. Ligne NON comptee en stock.",IF($X20="BLOQUE","Total des sorties ("&amp;TEXT($T20,"#,##0.00")&amp;" kg) superieur a la quantite envoyee.",IF($X20="EN COURS","Envoi enregistre, resultats non connus. A completer dans ST_RESULTATS.",IF($X20="A JUSTIFIER","Ecart de "&amp;TEXT($V20,"#,##0.00")&amp;" kg : renseigner JUSTIFICATION ECART (colonne L).",IF($P20="LOT NON REFERENCE","Creer d'abord la fiche du lot dans l'onglet LOTS.",""))))))))</f>
        <v/>
      </c>
      <c r="AA20" s="27" t="n">
        <f aca="false">IF(OR($Y20=0,$U20&gt;0),0,$G20)</f>
        <v>0</v>
      </c>
      <c r="AB20" s="26" t="n">
        <f aca="false">IF($R20=0,0,IF(OR($E20=R_LOT,COUNTIFS(RES_IDST,$A20,RES_LOTEFF,R_LOT)&gt;0),1,0))</f>
        <v>0</v>
      </c>
      <c r="AC20" s="26" t="str">
        <f aca="false">IF($AB20=0,"",COUNTIF($AB$5:$AB20,1))</f>
        <v/>
      </c>
    </row>
    <row r="21" customFormat="false" ht="15" hidden="false" customHeight="false" outlineLevel="0" collapsed="false">
      <c r="A21" s="26" t="str">
        <f aca="false">IF($D21="","","ST-"&amp;TEXT(ROW()-4,"000"))</f>
        <v/>
      </c>
      <c r="B21" s="25"/>
      <c r="C21" s="24"/>
      <c r="D21" s="24"/>
      <c r="E21" s="24"/>
      <c r="F21" s="24"/>
      <c r="G21" s="29"/>
      <c r="H21" s="24"/>
      <c r="I21" s="24"/>
      <c r="J21" s="24"/>
      <c r="K21" s="25"/>
      <c r="L21" s="24"/>
      <c r="M21" s="24"/>
      <c r="N21" s="24"/>
      <c r="O21" s="26" t="str">
        <f aca="false">IF($E21="","",IFERROR(INDEX(LOT_EXTE,MATCH($E21,LOT_KEY,0)),""))</f>
        <v/>
      </c>
      <c r="P21" s="26" t="str">
        <f aca="false">IF($E21="","",IFERROR(INDEX(LOT_PRODE,MATCH($E21,LOT_KEY,0)),"LOT NON REFERENCE"))</f>
        <v/>
      </c>
      <c r="Q21" s="26" t="str">
        <f aca="false">IF($E21="","",IFERROR(INDEX(LOT_FOURNE,MATCH($E21,LOT_KEY,0)),""))</f>
        <v/>
      </c>
      <c r="R21" s="28" t="n">
        <f aca="false">IF($D21="",0,IF(OR($B21="",$C21="",$E21="",NOT(ISNUMBER($G21)),$G21&lt;=0),0,IF($D21="STOCK EXISTANT",IF($F21="",0,1),1)))</f>
        <v>0</v>
      </c>
      <c r="S21" s="27" t="str">
        <f aca="false">IF(OR($R21=0,$D21&lt;&gt;"STOCK EXISTANT"),"",SUMIFS(MVT_BRUT,MVT_LOT,$E21,MVT_EMPL,$F21)+$G21)</f>
        <v/>
      </c>
      <c r="T21" s="27" t="str">
        <f aca="false">IF($A21="","",SUMIFS(RES_QTEVAL,RES_IDST,$A21))</f>
        <v/>
      </c>
      <c r="U21" s="28" t="str">
        <f aca="false">IF($A21="","",COUNTIFS(RES_IDST,$A21))</f>
        <v/>
      </c>
      <c r="V21" s="27" t="str">
        <f aca="false">IF(OR($A21="",$U21=0),"",$G21-$T21)</f>
        <v/>
      </c>
      <c r="W21" s="30" t="str">
        <f aca="false">IF(OR($A21="",$U21=0,NOT(ISNUMBER($G21)),$G21&lt;=0),"",$T21/$G21)</f>
        <v/>
      </c>
      <c r="X21" s="26" t="str">
        <f aca="false">IF($D21="","",IF($R21=0,"DONNEES MANQUANTES",IF($D21="STOCK EXISTANT",IF($S21&lt;=0,"EMPLACEMENT INCOHERENT",IF($G21&gt;$S21+0.001,"STOCK INSUFFISANT",IF($U21=0,"EN COURS",IF($T21&gt;$G21+0.001,"BLOQUE",IF(AND($V21&gt;P_TOL,$L21=""),"A JUSTIFIER","OK"))))),IF($U21=0,"EN COURS",IF($T21&gt;$G21+0.001,"BLOQUE",IF(AND($V21&gt;P_TOL,$L21=""),"A JUSTIFIER","OK"))))))</f>
        <v/>
      </c>
      <c r="Y21" s="28" t="n">
        <f aca="false">IF(OR($X21="",$X21="DONNEES MANQUANTES",$X21="EMPLACEMENT INCOHERENT",$X21="STOCK INSUFFISANT"),0,1)</f>
        <v>0</v>
      </c>
      <c r="Z21" s="26" t="str">
        <f aca="false">IF($D21="","",IF($R21=0,"A COMPLETER : "&amp;IF($B21="","DATE ENVOI; ","")&amp;IF($C21="","SOUS-TRAITANT; ","")&amp;IF($E21="","LOT SOURCE; ","")&amp;IF(OR(NOT(ISNUMBER($G21)),$G21&lt;=0),"QTE ENVOYEE &gt; 0; ","")&amp;IF(AND($D21="STOCK EXISTANT",$F21=""),"EMPL. SOURCE; ",""),IF($X21="EMPLACEMENT INCOHERENT","Le lot "&amp;$E21&amp;" n'existe pas sur "&amp;$F21&amp;" (stock 0).",IF($X21="STOCK INSUFFISANT","Disponible avant envoi : "&amp;TEXT($S21,"#,##0.00")&amp;" kg. Ligne NON comptee en stock.",IF($X21="BLOQUE","Total des sorties ("&amp;TEXT($T21,"#,##0.00")&amp;" kg) superieur a la quantite envoyee.",IF($X21="EN COURS","Envoi enregistre, resultats non connus. A completer dans ST_RESULTATS.",IF($X21="A JUSTIFIER","Ecart de "&amp;TEXT($V21,"#,##0.00")&amp;" kg : renseigner JUSTIFICATION ECART (colonne L).",IF($P21="LOT NON REFERENCE","Creer d'abord la fiche du lot dans l'onglet LOTS.",""))))))))</f>
        <v/>
      </c>
      <c r="AA21" s="27" t="n">
        <f aca="false">IF(OR($Y21=0,$U21&gt;0),0,$G21)</f>
        <v>0</v>
      </c>
      <c r="AB21" s="26" t="n">
        <f aca="false">IF($R21=0,0,IF(OR($E21=R_LOT,COUNTIFS(RES_IDST,$A21,RES_LOTEFF,R_LOT)&gt;0),1,0))</f>
        <v>0</v>
      </c>
      <c r="AC21" s="26" t="str">
        <f aca="false">IF($AB21=0,"",COUNTIF($AB$5:$AB21,1))</f>
        <v/>
      </c>
    </row>
    <row r="22" customFormat="false" ht="15" hidden="false" customHeight="false" outlineLevel="0" collapsed="false">
      <c r="A22" s="26" t="str">
        <f aca="false">IF($D22="","","ST-"&amp;TEXT(ROW()-4,"000"))</f>
        <v/>
      </c>
      <c r="B22" s="25"/>
      <c r="C22" s="24"/>
      <c r="D22" s="24"/>
      <c r="E22" s="24"/>
      <c r="F22" s="24"/>
      <c r="G22" s="29"/>
      <c r="H22" s="24"/>
      <c r="I22" s="24"/>
      <c r="J22" s="24"/>
      <c r="K22" s="25"/>
      <c r="L22" s="24"/>
      <c r="M22" s="24"/>
      <c r="N22" s="24"/>
      <c r="O22" s="26" t="str">
        <f aca="false">IF($E22="","",IFERROR(INDEX(LOT_EXTE,MATCH($E22,LOT_KEY,0)),""))</f>
        <v/>
      </c>
      <c r="P22" s="26" t="str">
        <f aca="false">IF($E22="","",IFERROR(INDEX(LOT_PRODE,MATCH($E22,LOT_KEY,0)),"LOT NON REFERENCE"))</f>
        <v/>
      </c>
      <c r="Q22" s="26" t="str">
        <f aca="false">IF($E22="","",IFERROR(INDEX(LOT_FOURNE,MATCH($E22,LOT_KEY,0)),""))</f>
        <v/>
      </c>
      <c r="R22" s="28" t="n">
        <f aca="false">IF($D22="",0,IF(OR($B22="",$C22="",$E22="",NOT(ISNUMBER($G22)),$G22&lt;=0),0,IF($D22="STOCK EXISTANT",IF($F22="",0,1),1)))</f>
        <v>0</v>
      </c>
      <c r="S22" s="27" t="str">
        <f aca="false">IF(OR($R22=0,$D22&lt;&gt;"STOCK EXISTANT"),"",SUMIFS(MVT_BRUT,MVT_LOT,$E22,MVT_EMPL,$F22)+$G22)</f>
        <v/>
      </c>
      <c r="T22" s="27" t="str">
        <f aca="false">IF($A22="","",SUMIFS(RES_QTEVAL,RES_IDST,$A22))</f>
        <v/>
      </c>
      <c r="U22" s="28" t="str">
        <f aca="false">IF($A22="","",COUNTIFS(RES_IDST,$A22))</f>
        <v/>
      </c>
      <c r="V22" s="27" t="str">
        <f aca="false">IF(OR($A22="",$U22=0),"",$G22-$T22)</f>
        <v/>
      </c>
      <c r="W22" s="30" t="str">
        <f aca="false">IF(OR($A22="",$U22=0,NOT(ISNUMBER($G22)),$G22&lt;=0),"",$T22/$G22)</f>
        <v/>
      </c>
      <c r="X22" s="26" t="str">
        <f aca="false">IF($D22="","",IF($R22=0,"DONNEES MANQUANTES",IF($D22="STOCK EXISTANT",IF($S22&lt;=0,"EMPLACEMENT INCOHERENT",IF($G22&gt;$S22+0.001,"STOCK INSUFFISANT",IF($U22=0,"EN COURS",IF($T22&gt;$G22+0.001,"BLOQUE",IF(AND($V22&gt;P_TOL,$L22=""),"A JUSTIFIER","OK"))))),IF($U22=0,"EN COURS",IF($T22&gt;$G22+0.001,"BLOQUE",IF(AND($V22&gt;P_TOL,$L22=""),"A JUSTIFIER","OK"))))))</f>
        <v/>
      </c>
      <c r="Y22" s="28" t="n">
        <f aca="false">IF(OR($X22="",$X22="DONNEES MANQUANTES",$X22="EMPLACEMENT INCOHERENT",$X22="STOCK INSUFFISANT"),0,1)</f>
        <v>0</v>
      </c>
      <c r="Z22" s="26" t="str">
        <f aca="false">IF($D22="","",IF($R22=0,"A COMPLETER : "&amp;IF($B22="","DATE ENVOI; ","")&amp;IF($C22="","SOUS-TRAITANT; ","")&amp;IF($E22="","LOT SOURCE; ","")&amp;IF(OR(NOT(ISNUMBER($G22)),$G22&lt;=0),"QTE ENVOYEE &gt; 0; ","")&amp;IF(AND($D22="STOCK EXISTANT",$F22=""),"EMPL. SOURCE; ",""),IF($X22="EMPLACEMENT INCOHERENT","Le lot "&amp;$E22&amp;" n'existe pas sur "&amp;$F22&amp;" (stock 0).",IF($X22="STOCK INSUFFISANT","Disponible avant envoi : "&amp;TEXT($S22,"#,##0.00")&amp;" kg. Ligne NON comptee en stock.",IF($X22="BLOQUE","Total des sorties ("&amp;TEXT($T22,"#,##0.00")&amp;" kg) superieur a la quantite envoyee.",IF($X22="EN COURS","Envoi enregistre, resultats non connus. A completer dans ST_RESULTATS.",IF($X22="A JUSTIFIER","Ecart de "&amp;TEXT($V22,"#,##0.00")&amp;" kg : renseigner JUSTIFICATION ECART (colonne L).",IF($P22="LOT NON REFERENCE","Creer d'abord la fiche du lot dans l'onglet LOTS.",""))))))))</f>
        <v/>
      </c>
      <c r="AA22" s="27" t="n">
        <f aca="false">IF(OR($Y22=0,$U22&gt;0),0,$G22)</f>
        <v>0</v>
      </c>
      <c r="AB22" s="26" t="n">
        <f aca="false">IF($R22=0,0,IF(OR($E22=R_LOT,COUNTIFS(RES_IDST,$A22,RES_LOTEFF,R_LOT)&gt;0),1,0))</f>
        <v>0</v>
      </c>
      <c r="AC22" s="26" t="str">
        <f aca="false">IF($AB22=0,"",COUNTIF($AB$5:$AB22,1))</f>
        <v/>
      </c>
    </row>
    <row r="23" customFormat="false" ht="15" hidden="false" customHeight="false" outlineLevel="0" collapsed="false">
      <c r="A23" s="26" t="str">
        <f aca="false">IF($D23="","","ST-"&amp;TEXT(ROW()-4,"000"))</f>
        <v/>
      </c>
      <c r="B23" s="25"/>
      <c r="C23" s="24"/>
      <c r="D23" s="24"/>
      <c r="E23" s="24"/>
      <c r="F23" s="24"/>
      <c r="G23" s="29"/>
      <c r="H23" s="24"/>
      <c r="I23" s="24"/>
      <c r="J23" s="24"/>
      <c r="K23" s="25"/>
      <c r="L23" s="24"/>
      <c r="M23" s="24"/>
      <c r="N23" s="24"/>
      <c r="O23" s="26" t="str">
        <f aca="false">IF($E23="","",IFERROR(INDEX(LOT_EXTE,MATCH($E23,LOT_KEY,0)),""))</f>
        <v/>
      </c>
      <c r="P23" s="26" t="str">
        <f aca="false">IF($E23="","",IFERROR(INDEX(LOT_PRODE,MATCH($E23,LOT_KEY,0)),"LOT NON REFERENCE"))</f>
        <v/>
      </c>
      <c r="Q23" s="26" t="str">
        <f aca="false">IF($E23="","",IFERROR(INDEX(LOT_FOURNE,MATCH($E23,LOT_KEY,0)),""))</f>
        <v/>
      </c>
      <c r="R23" s="28" t="n">
        <f aca="false">IF($D23="",0,IF(OR($B23="",$C23="",$E23="",NOT(ISNUMBER($G23)),$G23&lt;=0),0,IF($D23="STOCK EXISTANT",IF($F23="",0,1),1)))</f>
        <v>0</v>
      </c>
      <c r="S23" s="27" t="str">
        <f aca="false">IF(OR($R23=0,$D23&lt;&gt;"STOCK EXISTANT"),"",SUMIFS(MVT_BRUT,MVT_LOT,$E23,MVT_EMPL,$F23)+$G23)</f>
        <v/>
      </c>
      <c r="T23" s="27" t="str">
        <f aca="false">IF($A23="","",SUMIFS(RES_QTEVAL,RES_IDST,$A23))</f>
        <v/>
      </c>
      <c r="U23" s="28" t="str">
        <f aca="false">IF($A23="","",COUNTIFS(RES_IDST,$A23))</f>
        <v/>
      </c>
      <c r="V23" s="27" t="str">
        <f aca="false">IF(OR($A23="",$U23=0),"",$G23-$T23)</f>
        <v/>
      </c>
      <c r="W23" s="30" t="str">
        <f aca="false">IF(OR($A23="",$U23=0,NOT(ISNUMBER($G23)),$G23&lt;=0),"",$T23/$G23)</f>
        <v/>
      </c>
      <c r="X23" s="26" t="str">
        <f aca="false">IF($D23="","",IF($R23=0,"DONNEES MANQUANTES",IF($D23="STOCK EXISTANT",IF($S23&lt;=0,"EMPLACEMENT INCOHERENT",IF($G23&gt;$S23+0.001,"STOCK INSUFFISANT",IF($U23=0,"EN COURS",IF($T23&gt;$G23+0.001,"BLOQUE",IF(AND($V23&gt;P_TOL,$L23=""),"A JUSTIFIER","OK"))))),IF($U23=0,"EN COURS",IF($T23&gt;$G23+0.001,"BLOQUE",IF(AND($V23&gt;P_TOL,$L23=""),"A JUSTIFIER","OK"))))))</f>
        <v/>
      </c>
      <c r="Y23" s="28" t="n">
        <f aca="false">IF(OR($X23="",$X23="DONNEES MANQUANTES",$X23="EMPLACEMENT INCOHERENT",$X23="STOCK INSUFFISANT"),0,1)</f>
        <v>0</v>
      </c>
      <c r="Z23" s="26" t="str">
        <f aca="false">IF($D23="","",IF($R23=0,"A COMPLETER : "&amp;IF($B23="","DATE ENVOI; ","")&amp;IF($C23="","SOUS-TRAITANT; ","")&amp;IF($E23="","LOT SOURCE; ","")&amp;IF(OR(NOT(ISNUMBER($G23)),$G23&lt;=0),"QTE ENVOYEE &gt; 0; ","")&amp;IF(AND($D23="STOCK EXISTANT",$F23=""),"EMPL. SOURCE; ",""),IF($X23="EMPLACEMENT INCOHERENT","Le lot "&amp;$E23&amp;" n'existe pas sur "&amp;$F23&amp;" (stock 0).",IF($X23="STOCK INSUFFISANT","Disponible avant envoi : "&amp;TEXT($S23,"#,##0.00")&amp;" kg. Ligne NON comptee en stock.",IF($X23="BLOQUE","Total des sorties ("&amp;TEXT($T23,"#,##0.00")&amp;" kg) superieur a la quantite envoyee.",IF($X23="EN COURS","Envoi enregistre, resultats non connus. A completer dans ST_RESULTATS.",IF($X23="A JUSTIFIER","Ecart de "&amp;TEXT($V23,"#,##0.00")&amp;" kg : renseigner JUSTIFICATION ECART (colonne L).",IF($P23="LOT NON REFERENCE","Creer d'abord la fiche du lot dans l'onglet LOTS.",""))))))))</f>
        <v/>
      </c>
      <c r="AA23" s="27" t="n">
        <f aca="false">IF(OR($Y23=0,$U23&gt;0),0,$G23)</f>
        <v>0</v>
      </c>
      <c r="AB23" s="26" t="n">
        <f aca="false">IF($R23=0,0,IF(OR($E23=R_LOT,COUNTIFS(RES_IDST,$A23,RES_LOTEFF,R_LOT)&gt;0),1,0))</f>
        <v>0</v>
      </c>
      <c r="AC23" s="26" t="str">
        <f aca="false">IF($AB23=0,"",COUNTIF($AB$5:$AB23,1))</f>
        <v/>
      </c>
    </row>
    <row r="24" customFormat="false" ht="15" hidden="false" customHeight="false" outlineLevel="0" collapsed="false">
      <c r="A24" s="26" t="str">
        <f aca="false">IF($D24="","","ST-"&amp;TEXT(ROW()-4,"000"))</f>
        <v/>
      </c>
      <c r="B24" s="25"/>
      <c r="C24" s="24"/>
      <c r="D24" s="24"/>
      <c r="E24" s="24"/>
      <c r="F24" s="24"/>
      <c r="G24" s="29"/>
      <c r="H24" s="24"/>
      <c r="I24" s="24"/>
      <c r="J24" s="24"/>
      <c r="K24" s="25"/>
      <c r="L24" s="24"/>
      <c r="M24" s="24"/>
      <c r="N24" s="24"/>
      <c r="O24" s="26" t="str">
        <f aca="false">IF($E24="","",IFERROR(INDEX(LOT_EXTE,MATCH($E24,LOT_KEY,0)),""))</f>
        <v/>
      </c>
      <c r="P24" s="26" t="str">
        <f aca="false">IF($E24="","",IFERROR(INDEX(LOT_PRODE,MATCH($E24,LOT_KEY,0)),"LOT NON REFERENCE"))</f>
        <v/>
      </c>
      <c r="Q24" s="26" t="str">
        <f aca="false">IF($E24="","",IFERROR(INDEX(LOT_FOURNE,MATCH($E24,LOT_KEY,0)),""))</f>
        <v/>
      </c>
      <c r="R24" s="28" t="n">
        <f aca="false">IF($D24="",0,IF(OR($B24="",$C24="",$E24="",NOT(ISNUMBER($G24)),$G24&lt;=0),0,IF($D24="STOCK EXISTANT",IF($F24="",0,1),1)))</f>
        <v>0</v>
      </c>
      <c r="S24" s="27" t="str">
        <f aca="false">IF(OR($R24=0,$D24&lt;&gt;"STOCK EXISTANT"),"",SUMIFS(MVT_BRUT,MVT_LOT,$E24,MVT_EMPL,$F24)+$G24)</f>
        <v/>
      </c>
      <c r="T24" s="27" t="str">
        <f aca="false">IF($A24="","",SUMIFS(RES_QTEVAL,RES_IDST,$A24))</f>
        <v/>
      </c>
      <c r="U24" s="28" t="str">
        <f aca="false">IF($A24="","",COUNTIFS(RES_IDST,$A24))</f>
        <v/>
      </c>
      <c r="V24" s="27" t="str">
        <f aca="false">IF(OR($A24="",$U24=0),"",$G24-$T24)</f>
        <v/>
      </c>
      <c r="W24" s="30" t="str">
        <f aca="false">IF(OR($A24="",$U24=0,NOT(ISNUMBER($G24)),$G24&lt;=0),"",$T24/$G24)</f>
        <v/>
      </c>
      <c r="X24" s="26" t="str">
        <f aca="false">IF($D24="","",IF($R24=0,"DONNEES MANQUANTES",IF($D24="STOCK EXISTANT",IF($S24&lt;=0,"EMPLACEMENT INCOHERENT",IF($G24&gt;$S24+0.001,"STOCK INSUFFISANT",IF($U24=0,"EN COURS",IF($T24&gt;$G24+0.001,"BLOQUE",IF(AND($V24&gt;P_TOL,$L24=""),"A JUSTIFIER","OK"))))),IF($U24=0,"EN COURS",IF($T24&gt;$G24+0.001,"BLOQUE",IF(AND($V24&gt;P_TOL,$L24=""),"A JUSTIFIER","OK"))))))</f>
        <v/>
      </c>
      <c r="Y24" s="28" t="n">
        <f aca="false">IF(OR($X24="",$X24="DONNEES MANQUANTES",$X24="EMPLACEMENT INCOHERENT",$X24="STOCK INSUFFISANT"),0,1)</f>
        <v>0</v>
      </c>
      <c r="Z24" s="26" t="str">
        <f aca="false">IF($D24="","",IF($R24=0,"A COMPLETER : "&amp;IF($B24="","DATE ENVOI; ","")&amp;IF($C24="","SOUS-TRAITANT; ","")&amp;IF($E24="","LOT SOURCE; ","")&amp;IF(OR(NOT(ISNUMBER($G24)),$G24&lt;=0),"QTE ENVOYEE &gt; 0; ","")&amp;IF(AND($D24="STOCK EXISTANT",$F24=""),"EMPL. SOURCE; ",""),IF($X24="EMPLACEMENT INCOHERENT","Le lot "&amp;$E24&amp;" n'existe pas sur "&amp;$F24&amp;" (stock 0).",IF($X24="STOCK INSUFFISANT","Disponible avant envoi : "&amp;TEXT($S24,"#,##0.00")&amp;" kg. Ligne NON comptee en stock.",IF($X24="BLOQUE","Total des sorties ("&amp;TEXT($T24,"#,##0.00")&amp;" kg) superieur a la quantite envoyee.",IF($X24="EN COURS","Envoi enregistre, resultats non connus. A completer dans ST_RESULTATS.",IF($X24="A JUSTIFIER","Ecart de "&amp;TEXT($V24,"#,##0.00")&amp;" kg : renseigner JUSTIFICATION ECART (colonne L).",IF($P24="LOT NON REFERENCE","Creer d'abord la fiche du lot dans l'onglet LOTS.",""))))))))</f>
        <v/>
      </c>
      <c r="AA24" s="27" t="n">
        <f aca="false">IF(OR($Y24=0,$U24&gt;0),0,$G24)</f>
        <v>0</v>
      </c>
      <c r="AB24" s="26" t="n">
        <f aca="false">IF($R24=0,0,IF(OR($E24=R_LOT,COUNTIFS(RES_IDST,$A24,RES_LOTEFF,R_LOT)&gt;0),1,0))</f>
        <v>0</v>
      </c>
      <c r="AC24" s="26" t="str">
        <f aca="false">IF($AB24=0,"",COUNTIF($AB$5:$AB24,1))</f>
        <v/>
      </c>
    </row>
    <row r="25" customFormat="false" ht="15" hidden="false" customHeight="false" outlineLevel="0" collapsed="false">
      <c r="A25" s="26" t="str">
        <f aca="false">IF($D25="","","ST-"&amp;TEXT(ROW()-4,"000"))</f>
        <v/>
      </c>
      <c r="B25" s="25"/>
      <c r="C25" s="24"/>
      <c r="D25" s="24"/>
      <c r="E25" s="24"/>
      <c r="F25" s="24"/>
      <c r="G25" s="29"/>
      <c r="H25" s="24"/>
      <c r="I25" s="24"/>
      <c r="J25" s="24"/>
      <c r="K25" s="25"/>
      <c r="L25" s="24"/>
      <c r="M25" s="24"/>
      <c r="N25" s="24"/>
      <c r="O25" s="26" t="str">
        <f aca="false">IF($E25="","",IFERROR(INDEX(LOT_EXTE,MATCH($E25,LOT_KEY,0)),""))</f>
        <v/>
      </c>
      <c r="P25" s="26" t="str">
        <f aca="false">IF($E25="","",IFERROR(INDEX(LOT_PRODE,MATCH($E25,LOT_KEY,0)),"LOT NON REFERENCE"))</f>
        <v/>
      </c>
      <c r="Q25" s="26" t="str">
        <f aca="false">IF($E25="","",IFERROR(INDEX(LOT_FOURNE,MATCH($E25,LOT_KEY,0)),""))</f>
        <v/>
      </c>
      <c r="R25" s="28" t="n">
        <f aca="false">IF($D25="",0,IF(OR($B25="",$C25="",$E25="",NOT(ISNUMBER($G25)),$G25&lt;=0),0,IF($D25="STOCK EXISTANT",IF($F25="",0,1),1)))</f>
        <v>0</v>
      </c>
      <c r="S25" s="27" t="str">
        <f aca="false">IF(OR($R25=0,$D25&lt;&gt;"STOCK EXISTANT"),"",SUMIFS(MVT_BRUT,MVT_LOT,$E25,MVT_EMPL,$F25)+$G25)</f>
        <v/>
      </c>
      <c r="T25" s="27" t="str">
        <f aca="false">IF($A25="","",SUMIFS(RES_QTEVAL,RES_IDST,$A25))</f>
        <v/>
      </c>
      <c r="U25" s="28" t="str">
        <f aca="false">IF($A25="","",COUNTIFS(RES_IDST,$A25))</f>
        <v/>
      </c>
      <c r="V25" s="27" t="str">
        <f aca="false">IF(OR($A25="",$U25=0),"",$G25-$T25)</f>
        <v/>
      </c>
      <c r="W25" s="30" t="str">
        <f aca="false">IF(OR($A25="",$U25=0,NOT(ISNUMBER($G25)),$G25&lt;=0),"",$T25/$G25)</f>
        <v/>
      </c>
      <c r="X25" s="26" t="str">
        <f aca="false">IF($D25="","",IF($R25=0,"DONNEES MANQUANTES",IF($D25="STOCK EXISTANT",IF($S25&lt;=0,"EMPLACEMENT INCOHERENT",IF($G25&gt;$S25+0.001,"STOCK INSUFFISANT",IF($U25=0,"EN COURS",IF($T25&gt;$G25+0.001,"BLOQUE",IF(AND($V25&gt;P_TOL,$L25=""),"A JUSTIFIER","OK"))))),IF($U25=0,"EN COURS",IF($T25&gt;$G25+0.001,"BLOQUE",IF(AND($V25&gt;P_TOL,$L25=""),"A JUSTIFIER","OK"))))))</f>
        <v/>
      </c>
      <c r="Y25" s="28" t="n">
        <f aca="false">IF(OR($X25="",$X25="DONNEES MANQUANTES",$X25="EMPLACEMENT INCOHERENT",$X25="STOCK INSUFFISANT"),0,1)</f>
        <v>0</v>
      </c>
      <c r="Z25" s="26" t="str">
        <f aca="false">IF($D25="","",IF($R25=0,"A COMPLETER : "&amp;IF($B25="","DATE ENVOI; ","")&amp;IF($C25="","SOUS-TRAITANT; ","")&amp;IF($E25="","LOT SOURCE; ","")&amp;IF(OR(NOT(ISNUMBER($G25)),$G25&lt;=0),"QTE ENVOYEE &gt; 0; ","")&amp;IF(AND($D25="STOCK EXISTANT",$F25=""),"EMPL. SOURCE; ",""),IF($X25="EMPLACEMENT INCOHERENT","Le lot "&amp;$E25&amp;" n'existe pas sur "&amp;$F25&amp;" (stock 0).",IF($X25="STOCK INSUFFISANT","Disponible avant envoi : "&amp;TEXT($S25,"#,##0.00")&amp;" kg. Ligne NON comptee en stock.",IF($X25="BLOQUE","Total des sorties ("&amp;TEXT($T25,"#,##0.00")&amp;" kg) superieur a la quantite envoyee.",IF($X25="EN COURS","Envoi enregistre, resultats non connus. A completer dans ST_RESULTATS.",IF($X25="A JUSTIFIER","Ecart de "&amp;TEXT($V25,"#,##0.00")&amp;" kg : renseigner JUSTIFICATION ECART (colonne L).",IF($P25="LOT NON REFERENCE","Creer d'abord la fiche du lot dans l'onglet LOTS.",""))))))))</f>
        <v/>
      </c>
      <c r="AA25" s="27" t="n">
        <f aca="false">IF(OR($Y25=0,$U25&gt;0),0,$G25)</f>
        <v>0</v>
      </c>
      <c r="AB25" s="26" t="n">
        <f aca="false">IF($R25=0,0,IF(OR($E25=R_LOT,COUNTIFS(RES_IDST,$A25,RES_LOTEFF,R_LOT)&gt;0),1,0))</f>
        <v>0</v>
      </c>
      <c r="AC25" s="26" t="str">
        <f aca="false">IF($AB25=0,"",COUNTIF($AB$5:$AB25,1))</f>
        <v/>
      </c>
    </row>
    <row r="26" customFormat="false" ht="15" hidden="false" customHeight="false" outlineLevel="0" collapsed="false">
      <c r="A26" s="26" t="str">
        <f aca="false">IF($D26="","","ST-"&amp;TEXT(ROW()-4,"000"))</f>
        <v/>
      </c>
      <c r="B26" s="25"/>
      <c r="C26" s="24"/>
      <c r="D26" s="24"/>
      <c r="E26" s="24"/>
      <c r="F26" s="24"/>
      <c r="G26" s="29"/>
      <c r="H26" s="24"/>
      <c r="I26" s="24"/>
      <c r="J26" s="24"/>
      <c r="K26" s="25"/>
      <c r="L26" s="24"/>
      <c r="M26" s="24"/>
      <c r="N26" s="24"/>
      <c r="O26" s="26" t="str">
        <f aca="false">IF($E26="","",IFERROR(INDEX(LOT_EXTE,MATCH($E26,LOT_KEY,0)),""))</f>
        <v/>
      </c>
      <c r="P26" s="26" t="str">
        <f aca="false">IF($E26="","",IFERROR(INDEX(LOT_PRODE,MATCH($E26,LOT_KEY,0)),"LOT NON REFERENCE"))</f>
        <v/>
      </c>
      <c r="Q26" s="26" t="str">
        <f aca="false">IF($E26="","",IFERROR(INDEX(LOT_FOURNE,MATCH($E26,LOT_KEY,0)),""))</f>
        <v/>
      </c>
      <c r="R26" s="28" t="n">
        <f aca="false">IF($D26="",0,IF(OR($B26="",$C26="",$E26="",NOT(ISNUMBER($G26)),$G26&lt;=0),0,IF($D26="STOCK EXISTANT",IF($F26="",0,1),1)))</f>
        <v>0</v>
      </c>
      <c r="S26" s="27" t="str">
        <f aca="false">IF(OR($R26=0,$D26&lt;&gt;"STOCK EXISTANT"),"",SUMIFS(MVT_BRUT,MVT_LOT,$E26,MVT_EMPL,$F26)+$G26)</f>
        <v/>
      </c>
      <c r="T26" s="27" t="str">
        <f aca="false">IF($A26="","",SUMIFS(RES_QTEVAL,RES_IDST,$A26))</f>
        <v/>
      </c>
      <c r="U26" s="28" t="str">
        <f aca="false">IF($A26="","",COUNTIFS(RES_IDST,$A26))</f>
        <v/>
      </c>
      <c r="V26" s="27" t="str">
        <f aca="false">IF(OR($A26="",$U26=0),"",$G26-$T26)</f>
        <v/>
      </c>
      <c r="W26" s="30" t="str">
        <f aca="false">IF(OR($A26="",$U26=0,NOT(ISNUMBER($G26)),$G26&lt;=0),"",$T26/$G26)</f>
        <v/>
      </c>
      <c r="X26" s="26" t="str">
        <f aca="false">IF($D26="","",IF($R26=0,"DONNEES MANQUANTES",IF($D26="STOCK EXISTANT",IF($S26&lt;=0,"EMPLACEMENT INCOHERENT",IF($G26&gt;$S26+0.001,"STOCK INSUFFISANT",IF($U26=0,"EN COURS",IF($T26&gt;$G26+0.001,"BLOQUE",IF(AND($V26&gt;P_TOL,$L26=""),"A JUSTIFIER","OK"))))),IF($U26=0,"EN COURS",IF($T26&gt;$G26+0.001,"BLOQUE",IF(AND($V26&gt;P_TOL,$L26=""),"A JUSTIFIER","OK"))))))</f>
        <v/>
      </c>
      <c r="Y26" s="28" t="n">
        <f aca="false">IF(OR($X26="",$X26="DONNEES MANQUANTES",$X26="EMPLACEMENT INCOHERENT",$X26="STOCK INSUFFISANT"),0,1)</f>
        <v>0</v>
      </c>
      <c r="Z26" s="26" t="str">
        <f aca="false">IF($D26="","",IF($R26=0,"A COMPLETER : "&amp;IF($B26="","DATE ENVOI; ","")&amp;IF($C26="","SOUS-TRAITANT; ","")&amp;IF($E26="","LOT SOURCE; ","")&amp;IF(OR(NOT(ISNUMBER($G26)),$G26&lt;=0),"QTE ENVOYEE &gt; 0; ","")&amp;IF(AND($D26="STOCK EXISTANT",$F26=""),"EMPL. SOURCE; ",""),IF($X26="EMPLACEMENT INCOHERENT","Le lot "&amp;$E26&amp;" n'existe pas sur "&amp;$F26&amp;" (stock 0).",IF($X26="STOCK INSUFFISANT","Disponible avant envoi : "&amp;TEXT($S26,"#,##0.00")&amp;" kg. Ligne NON comptee en stock.",IF($X26="BLOQUE","Total des sorties ("&amp;TEXT($T26,"#,##0.00")&amp;" kg) superieur a la quantite envoyee.",IF($X26="EN COURS","Envoi enregistre, resultats non connus. A completer dans ST_RESULTATS.",IF($X26="A JUSTIFIER","Ecart de "&amp;TEXT($V26,"#,##0.00")&amp;" kg : renseigner JUSTIFICATION ECART (colonne L).",IF($P26="LOT NON REFERENCE","Creer d'abord la fiche du lot dans l'onglet LOTS.",""))))))))</f>
        <v/>
      </c>
      <c r="AA26" s="27" t="n">
        <f aca="false">IF(OR($Y26=0,$U26&gt;0),0,$G26)</f>
        <v>0</v>
      </c>
      <c r="AB26" s="26" t="n">
        <f aca="false">IF($R26=0,0,IF(OR($E26=R_LOT,COUNTIFS(RES_IDST,$A26,RES_LOTEFF,R_LOT)&gt;0),1,0))</f>
        <v>0</v>
      </c>
      <c r="AC26" s="26" t="str">
        <f aca="false">IF($AB26=0,"",COUNTIF($AB$5:$AB26,1))</f>
        <v/>
      </c>
    </row>
    <row r="27" customFormat="false" ht="15" hidden="false" customHeight="false" outlineLevel="0" collapsed="false">
      <c r="A27" s="26" t="str">
        <f aca="false">IF($D27="","","ST-"&amp;TEXT(ROW()-4,"000"))</f>
        <v/>
      </c>
      <c r="B27" s="25"/>
      <c r="C27" s="24"/>
      <c r="D27" s="24"/>
      <c r="E27" s="24"/>
      <c r="F27" s="24"/>
      <c r="G27" s="29"/>
      <c r="H27" s="24"/>
      <c r="I27" s="24"/>
      <c r="J27" s="24"/>
      <c r="K27" s="25"/>
      <c r="L27" s="24"/>
      <c r="M27" s="24"/>
      <c r="N27" s="24"/>
      <c r="O27" s="26" t="str">
        <f aca="false">IF($E27="","",IFERROR(INDEX(LOT_EXTE,MATCH($E27,LOT_KEY,0)),""))</f>
        <v/>
      </c>
      <c r="P27" s="26" t="str">
        <f aca="false">IF($E27="","",IFERROR(INDEX(LOT_PRODE,MATCH($E27,LOT_KEY,0)),"LOT NON REFERENCE"))</f>
        <v/>
      </c>
      <c r="Q27" s="26" t="str">
        <f aca="false">IF($E27="","",IFERROR(INDEX(LOT_FOURNE,MATCH($E27,LOT_KEY,0)),""))</f>
        <v/>
      </c>
      <c r="R27" s="28" t="n">
        <f aca="false">IF($D27="",0,IF(OR($B27="",$C27="",$E27="",NOT(ISNUMBER($G27)),$G27&lt;=0),0,IF($D27="STOCK EXISTANT",IF($F27="",0,1),1)))</f>
        <v>0</v>
      </c>
      <c r="S27" s="27" t="str">
        <f aca="false">IF(OR($R27=0,$D27&lt;&gt;"STOCK EXISTANT"),"",SUMIFS(MVT_BRUT,MVT_LOT,$E27,MVT_EMPL,$F27)+$G27)</f>
        <v/>
      </c>
      <c r="T27" s="27" t="str">
        <f aca="false">IF($A27="","",SUMIFS(RES_QTEVAL,RES_IDST,$A27))</f>
        <v/>
      </c>
      <c r="U27" s="28" t="str">
        <f aca="false">IF($A27="","",COUNTIFS(RES_IDST,$A27))</f>
        <v/>
      </c>
      <c r="V27" s="27" t="str">
        <f aca="false">IF(OR($A27="",$U27=0),"",$G27-$T27)</f>
        <v/>
      </c>
      <c r="W27" s="30" t="str">
        <f aca="false">IF(OR($A27="",$U27=0,NOT(ISNUMBER($G27)),$G27&lt;=0),"",$T27/$G27)</f>
        <v/>
      </c>
      <c r="X27" s="26" t="str">
        <f aca="false">IF($D27="","",IF($R27=0,"DONNEES MANQUANTES",IF($D27="STOCK EXISTANT",IF($S27&lt;=0,"EMPLACEMENT INCOHERENT",IF($G27&gt;$S27+0.001,"STOCK INSUFFISANT",IF($U27=0,"EN COURS",IF($T27&gt;$G27+0.001,"BLOQUE",IF(AND($V27&gt;P_TOL,$L27=""),"A JUSTIFIER","OK"))))),IF($U27=0,"EN COURS",IF($T27&gt;$G27+0.001,"BLOQUE",IF(AND($V27&gt;P_TOL,$L27=""),"A JUSTIFIER","OK"))))))</f>
        <v/>
      </c>
      <c r="Y27" s="28" t="n">
        <f aca="false">IF(OR($X27="",$X27="DONNEES MANQUANTES",$X27="EMPLACEMENT INCOHERENT",$X27="STOCK INSUFFISANT"),0,1)</f>
        <v>0</v>
      </c>
      <c r="Z27" s="26" t="str">
        <f aca="false">IF($D27="","",IF($R27=0,"A COMPLETER : "&amp;IF($B27="","DATE ENVOI; ","")&amp;IF($C27="","SOUS-TRAITANT; ","")&amp;IF($E27="","LOT SOURCE; ","")&amp;IF(OR(NOT(ISNUMBER($G27)),$G27&lt;=0),"QTE ENVOYEE &gt; 0; ","")&amp;IF(AND($D27="STOCK EXISTANT",$F27=""),"EMPL. SOURCE; ",""),IF($X27="EMPLACEMENT INCOHERENT","Le lot "&amp;$E27&amp;" n'existe pas sur "&amp;$F27&amp;" (stock 0).",IF($X27="STOCK INSUFFISANT","Disponible avant envoi : "&amp;TEXT($S27,"#,##0.00")&amp;" kg. Ligne NON comptee en stock.",IF($X27="BLOQUE","Total des sorties ("&amp;TEXT($T27,"#,##0.00")&amp;" kg) superieur a la quantite envoyee.",IF($X27="EN COURS","Envoi enregistre, resultats non connus. A completer dans ST_RESULTATS.",IF($X27="A JUSTIFIER","Ecart de "&amp;TEXT($V27,"#,##0.00")&amp;" kg : renseigner JUSTIFICATION ECART (colonne L).",IF($P27="LOT NON REFERENCE","Creer d'abord la fiche du lot dans l'onglet LOTS.",""))))))))</f>
        <v/>
      </c>
      <c r="AA27" s="27" t="n">
        <f aca="false">IF(OR($Y27=0,$U27&gt;0),0,$G27)</f>
        <v>0</v>
      </c>
      <c r="AB27" s="26" t="n">
        <f aca="false">IF($R27=0,0,IF(OR($E27=R_LOT,COUNTIFS(RES_IDST,$A27,RES_LOTEFF,R_LOT)&gt;0),1,0))</f>
        <v>0</v>
      </c>
      <c r="AC27" s="26" t="str">
        <f aca="false">IF($AB27=0,"",COUNTIF($AB$5:$AB27,1))</f>
        <v/>
      </c>
    </row>
    <row r="28" customFormat="false" ht="15" hidden="false" customHeight="false" outlineLevel="0" collapsed="false">
      <c r="A28" s="26" t="str">
        <f aca="false">IF($D28="","","ST-"&amp;TEXT(ROW()-4,"000"))</f>
        <v/>
      </c>
      <c r="B28" s="25"/>
      <c r="C28" s="24"/>
      <c r="D28" s="24"/>
      <c r="E28" s="24"/>
      <c r="F28" s="24"/>
      <c r="G28" s="29"/>
      <c r="H28" s="24"/>
      <c r="I28" s="24"/>
      <c r="J28" s="24"/>
      <c r="K28" s="25"/>
      <c r="L28" s="24"/>
      <c r="M28" s="24"/>
      <c r="N28" s="24"/>
      <c r="O28" s="26" t="str">
        <f aca="false">IF($E28="","",IFERROR(INDEX(LOT_EXTE,MATCH($E28,LOT_KEY,0)),""))</f>
        <v/>
      </c>
      <c r="P28" s="26" t="str">
        <f aca="false">IF($E28="","",IFERROR(INDEX(LOT_PRODE,MATCH($E28,LOT_KEY,0)),"LOT NON REFERENCE"))</f>
        <v/>
      </c>
      <c r="Q28" s="26" t="str">
        <f aca="false">IF($E28="","",IFERROR(INDEX(LOT_FOURNE,MATCH($E28,LOT_KEY,0)),""))</f>
        <v/>
      </c>
      <c r="R28" s="28" t="n">
        <f aca="false">IF($D28="",0,IF(OR($B28="",$C28="",$E28="",NOT(ISNUMBER($G28)),$G28&lt;=0),0,IF($D28="STOCK EXISTANT",IF($F28="",0,1),1)))</f>
        <v>0</v>
      </c>
      <c r="S28" s="27" t="str">
        <f aca="false">IF(OR($R28=0,$D28&lt;&gt;"STOCK EXISTANT"),"",SUMIFS(MVT_BRUT,MVT_LOT,$E28,MVT_EMPL,$F28)+$G28)</f>
        <v/>
      </c>
      <c r="T28" s="27" t="str">
        <f aca="false">IF($A28="","",SUMIFS(RES_QTEVAL,RES_IDST,$A28))</f>
        <v/>
      </c>
      <c r="U28" s="28" t="str">
        <f aca="false">IF($A28="","",COUNTIFS(RES_IDST,$A28))</f>
        <v/>
      </c>
      <c r="V28" s="27" t="str">
        <f aca="false">IF(OR($A28="",$U28=0),"",$G28-$T28)</f>
        <v/>
      </c>
      <c r="W28" s="30" t="str">
        <f aca="false">IF(OR($A28="",$U28=0,NOT(ISNUMBER($G28)),$G28&lt;=0),"",$T28/$G28)</f>
        <v/>
      </c>
      <c r="X28" s="26" t="str">
        <f aca="false">IF($D28="","",IF($R28=0,"DONNEES MANQUANTES",IF($D28="STOCK EXISTANT",IF($S28&lt;=0,"EMPLACEMENT INCOHERENT",IF($G28&gt;$S28+0.001,"STOCK INSUFFISANT",IF($U28=0,"EN COURS",IF($T28&gt;$G28+0.001,"BLOQUE",IF(AND($V28&gt;P_TOL,$L28=""),"A JUSTIFIER","OK"))))),IF($U28=0,"EN COURS",IF($T28&gt;$G28+0.001,"BLOQUE",IF(AND($V28&gt;P_TOL,$L28=""),"A JUSTIFIER","OK"))))))</f>
        <v/>
      </c>
      <c r="Y28" s="28" t="n">
        <f aca="false">IF(OR($X28="",$X28="DONNEES MANQUANTES",$X28="EMPLACEMENT INCOHERENT",$X28="STOCK INSUFFISANT"),0,1)</f>
        <v>0</v>
      </c>
      <c r="Z28" s="26" t="str">
        <f aca="false">IF($D28="","",IF($R28=0,"A COMPLETER : "&amp;IF($B28="","DATE ENVOI; ","")&amp;IF($C28="","SOUS-TRAITANT; ","")&amp;IF($E28="","LOT SOURCE; ","")&amp;IF(OR(NOT(ISNUMBER($G28)),$G28&lt;=0),"QTE ENVOYEE &gt; 0; ","")&amp;IF(AND($D28="STOCK EXISTANT",$F28=""),"EMPL. SOURCE; ",""),IF($X28="EMPLACEMENT INCOHERENT","Le lot "&amp;$E28&amp;" n'existe pas sur "&amp;$F28&amp;" (stock 0).",IF($X28="STOCK INSUFFISANT","Disponible avant envoi : "&amp;TEXT($S28,"#,##0.00")&amp;" kg. Ligne NON comptee en stock.",IF($X28="BLOQUE","Total des sorties ("&amp;TEXT($T28,"#,##0.00")&amp;" kg) superieur a la quantite envoyee.",IF($X28="EN COURS","Envoi enregistre, resultats non connus. A completer dans ST_RESULTATS.",IF($X28="A JUSTIFIER","Ecart de "&amp;TEXT($V28,"#,##0.00")&amp;" kg : renseigner JUSTIFICATION ECART (colonne L).",IF($P28="LOT NON REFERENCE","Creer d'abord la fiche du lot dans l'onglet LOTS.",""))))))))</f>
        <v/>
      </c>
      <c r="AA28" s="27" t="n">
        <f aca="false">IF(OR($Y28=0,$U28&gt;0),0,$G28)</f>
        <v>0</v>
      </c>
      <c r="AB28" s="26" t="n">
        <f aca="false">IF($R28=0,0,IF(OR($E28=R_LOT,COUNTIFS(RES_IDST,$A28,RES_LOTEFF,R_LOT)&gt;0),1,0))</f>
        <v>0</v>
      </c>
      <c r="AC28" s="26" t="str">
        <f aca="false">IF($AB28=0,"",COUNTIF($AB$5:$AB28,1))</f>
        <v/>
      </c>
    </row>
    <row r="29" customFormat="false" ht="15" hidden="false" customHeight="false" outlineLevel="0" collapsed="false">
      <c r="A29" s="26" t="str">
        <f aca="false">IF($D29="","","ST-"&amp;TEXT(ROW()-4,"000"))</f>
        <v/>
      </c>
      <c r="B29" s="25"/>
      <c r="C29" s="24"/>
      <c r="D29" s="24"/>
      <c r="E29" s="24"/>
      <c r="F29" s="24"/>
      <c r="G29" s="29"/>
      <c r="H29" s="24"/>
      <c r="I29" s="24"/>
      <c r="J29" s="24"/>
      <c r="K29" s="25"/>
      <c r="L29" s="24"/>
      <c r="M29" s="24"/>
      <c r="N29" s="24"/>
      <c r="O29" s="26" t="str">
        <f aca="false">IF($E29="","",IFERROR(INDEX(LOT_EXTE,MATCH($E29,LOT_KEY,0)),""))</f>
        <v/>
      </c>
      <c r="P29" s="26" t="str">
        <f aca="false">IF($E29="","",IFERROR(INDEX(LOT_PRODE,MATCH($E29,LOT_KEY,0)),"LOT NON REFERENCE"))</f>
        <v/>
      </c>
      <c r="Q29" s="26" t="str">
        <f aca="false">IF($E29="","",IFERROR(INDEX(LOT_FOURNE,MATCH($E29,LOT_KEY,0)),""))</f>
        <v/>
      </c>
      <c r="R29" s="28" t="n">
        <f aca="false">IF($D29="",0,IF(OR($B29="",$C29="",$E29="",NOT(ISNUMBER($G29)),$G29&lt;=0),0,IF($D29="STOCK EXISTANT",IF($F29="",0,1),1)))</f>
        <v>0</v>
      </c>
      <c r="S29" s="27" t="str">
        <f aca="false">IF(OR($R29=0,$D29&lt;&gt;"STOCK EXISTANT"),"",SUMIFS(MVT_BRUT,MVT_LOT,$E29,MVT_EMPL,$F29)+$G29)</f>
        <v/>
      </c>
      <c r="T29" s="27" t="str">
        <f aca="false">IF($A29="","",SUMIFS(RES_QTEVAL,RES_IDST,$A29))</f>
        <v/>
      </c>
      <c r="U29" s="28" t="str">
        <f aca="false">IF($A29="","",COUNTIFS(RES_IDST,$A29))</f>
        <v/>
      </c>
      <c r="V29" s="27" t="str">
        <f aca="false">IF(OR($A29="",$U29=0),"",$G29-$T29)</f>
        <v/>
      </c>
      <c r="W29" s="30" t="str">
        <f aca="false">IF(OR($A29="",$U29=0,NOT(ISNUMBER($G29)),$G29&lt;=0),"",$T29/$G29)</f>
        <v/>
      </c>
      <c r="X29" s="26" t="str">
        <f aca="false">IF($D29="","",IF($R29=0,"DONNEES MANQUANTES",IF($D29="STOCK EXISTANT",IF($S29&lt;=0,"EMPLACEMENT INCOHERENT",IF($G29&gt;$S29+0.001,"STOCK INSUFFISANT",IF($U29=0,"EN COURS",IF($T29&gt;$G29+0.001,"BLOQUE",IF(AND($V29&gt;P_TOL,$L29=""),"A JUSTIFIER","OK"))))),IF($U29=0,"EN COURS",IF($T29&gt;$G29+0.001,"BLOQUE",IF(AND($V29&gt;P_TOL,$L29=""),"A JUSTIFIER","OK"))))))</f>
        <v/>
      </c>
      <c r="Y29" s="28" t="n">
        <f aca="false">IF(OR($X29="",$X29="DONNEES MANQUANTES",$X29="EMPLACEMENT INCOHERENT",$X29="STOCK INSUFFISANT"),0,1)</f>
        <v>0</v>
      </c>
      <c r="Z29" s="26" t="str">
        <f aca="false">IF($D29="","",IF($R29=0,"A COMPLETER : "&amp;IF($B29="","DATE ENVOI; ","")&amp;IF($C29="","SOUS-TRAITANT; ","")&amp;IF($E29="","LOT SOURCE; ","")&amp;IF(OR(NOT(ISNUMBER($G29)),$G29&lt;=0),"QTE ENVOYEE &gt; 0; ","")&amp;IF(AND($D29="STOCK EXISTANT",$F29=""),"EMPL. SOURCE; ",""),IF($X29="EMPLACEMENT INCOHERENT","Le lot "&amp;$E29&amp;" n'existe pas sur "&amp;$F29&amp;" (stock 0).",IF($X29="STOCK INSUFFISANT","Disponible avant envoi : "&amp;TEXT($S29,"#,##0.00")&amp;" kg. Ligne NON comptee en stock.",IF($X29="BLOQUE","Total des sorties ("&amp;TEXT($T29,"#,##0.00")&amp;" kg) superieur a la quantite envoyee.",IF($X29="EN COURS","Envoi enregistre, resultats non connus. A completer dans ST_RESULTATS.",IF($X29="A JUSTIFIER","Ecart de "&amp;TEXT($V29,"#,##0.00")&amp;" kg : renseigner JUSTIFICATION ECART (colonne L).",IF($P29="LOT NON REFERENCE","Creer d'abord la fiche du lot dans l'onglet LOTS.",""))))))))</f>
        <v/>
      </c>
      <c r="AA29" s="27" t="n">
        <f aca="false">IF(OR($Y29=0,$U29&gt;0),0,$G29)</f>
        <v>0</v>
      </c>
      <c r="AB29" s="26" t="n">
        <f aca="false">IF($R29=0,0,IF(OR($E29=R_LOT,COUNTIFS(RES_IDST,$A29,RES_LOTEFF,R_LOT)&gt;0),1,0))</f>
        <v>0</v>
      </c>
      <c r="AC29" s="26" t="str">
        <f aca="false">IF($AB29=0,"",COUNTIF($AB$5:$AB29,1))</f>
        <v/>
      </c>
    </row>
    <row r="30" customFormat="false" ht="15" hidden="false" customHeight="false" outlineLevel="0" collapsed="false">
      <c r="A30" s="26" t="str">
        <f aca="false">IF($D30="","","ST-"&amp;TEXT(ROW()-4,"000"))</f>
        <v/>
      </c>
      <c r="B30" s="25"/>
      <c r="C30" s="24"/>
      <c r="D30" s="24"/>
      <c r="E30" s="24"/>
      <c r="F30" s="24"/>
      <c r="G30" s="29"/>
      <c r="H30" s="24"/>
      <c r="I30" s="24"/>
      <c r="J30" s="24"/>
      <c r="K30" s="25"/>
      <c r="L30" s="24"/>
      <c r="M30" s="24"/>
      <c r="N30" s="24"/>
      <c r="O30" s="26" t="str">
        <f aca="false">IF($E30="","",IFERROR(INDEX(LOT_EXTE,MATCH($E30,LOT_KEY,0)),""))</f>
        <v/>
      </c>
      <c r="P30" s="26" t="str">
        <f aca="false">IF($E30="","",IFERROR(INDEX(LOT_PRODE,MATCH($E30,LOT_KEY,0)),"LOT NON REFERENCE"))</f>
        <v/>
      </c>
      <c r="Q30" s="26" t="str">
        <f aca="false">IF($E30="","",IFERROR(INDEX(LOT_FOURNE,MATCH($E30,LOT_KEY,0)),""))</f>
        <v/>
      </c>
      <c r="R30" s="28" t="n">
        <f aca="false">IF($D30="",0,IF(OR($B30="",$C30="",$E30="",NOT(ISNUMBER($G30)),$G30&lt;=0),0,IF($D30="STOCK EXISTANT",IF($F30="",0,1),1)))</f>
        <v>0</v>
      </c>
      <c r="S30" s="27" t="str">
        <f aca="false">IF(OR($R30=0,$D30&lt;&gt;"STOCK EXISTANT"),"",SUMIFS(MVT_BRUT,MVT_LOT,$E30,MVT_EMPL,$F30)+$G30)</f>
        <v/>
      </c>
      <c r="T30" s="27" t="str">
        <f aca="false">IF($A30="","",SUMIFS(RES_QTEVAL,RES_IDST,$A30))</f>
        <v/>
      </c>
      <c r="U30" s="28" t="str">
        <f aca="false">IF($A30="","",COUNTIFS(RES_IDST,$A30))</f>
        <v/>
      </c>
      <c r="V30" s="27" t="str">
        <f aca="false">IF(OR($A30="",$U30=0),"",$G30-$T30)</f>
        <v/>
      </c>
      <c r="W30" s="30" t="str">
        <f aca="false">IF(OR($A30="",$U30=0,NOT(ISNUMBER($G30)),$G30&lt;=0),"",$T30/$G30)</f>
        <v/>
      </c>
      <c r="X30" s="26" t="str">
        <f aca="false">IF($D30="","",IF($R30=0,"DONNEES MANQUANTES",IF($D30="STOCK EXISTANT",IF($S30&lt;=0,"EMPLACEMENT INCOHERENT",IF($G30&gt;$S30+0.001,"STOCK INSUFFISANT",IF($U30=0,"EN COURS",IF($T30&gt;$G30+0.001,"BLOQUE",IF(AND($V30&gt;P_TOL,$L30=""),"A JUSTIFIER","OK"))))),IF($U30=0,"EN COURS",IF($T30&gt;$G30+0.001,"BLOQUE",IF(AND($V30&gt;P_TOL,$L30=""),"A JUSTIFIER","OK"))))))</f>
        <v/>
      </c>
      <c r="Y30" s="28" t="n">
        <f aca="false">IF(OR($X30="",$X30="DONNEES MANQUANTES",$X30="EMPLACEMENT INCOHERENT",$X30="STOCK INSUFFISANT"),0,1)</f>
        <v>0</v>
      </c>
      <c r="Z30" s="26" t="str">
        <f aca="false">IF($D30="","",IF($R30=0,"A COMPLETER : "&amp;IF($B30="","DATE ENVOI; ","")&amp;IF($C30="","SOUS-TRAITANT; ","")&amp;IF($E30="","LOT SOURCE; ","")&amp;IF(OR(NOT(ISNUMBER($G30)),$G30&lt;=0),"QTE ENVOYEE &gt; 0; ","")&amp;IF(AND($D30="STOCK EXISTANT",$F30=""),"EMPL. SOURCE; ",""),IF($X30="EMPLACEMENT INCOHERENT","Le lot "&amp;$E30&amp;" n'existe pas sur "&amp;$F30&amp;" (stock 0).",IF($X30="STOCK INSUFFISANT","Disponible avant envoi : "&amp;TEXT($S30,"#,##0.00")&amp;" kg. Ligne NON comptee en stock.",IF($X30="BLOQUE","Total des sorties ("&amp;TEXT($T30,"#,##0.00")&amp;" kg) superieur a la quantite envoyee.",IF($X30="EN COURS","Envoi enregistre, resultats non connus. A completer dans ST_RESULTATS.",IF($X30="A JUSTIFIER","Ecart de "&amp;TEXT($V30,"#,##0.00")&amp;" kg : renseigner JUSTIFICATION ECART (colonne L).",IF($P30="LOT NON REFERENCE","Creer d'abord la fiche du lot dans l'onglet LOTS.",""))))))))</f>
        <v/>
      </c>
      <c r="AA30" s="27" t="n">
        <f aca="false">IF(OR($Y30=0,$U30&gt;0),0,$G30)</f>
        <v>0</v>
      </c>
      <c r="AB30" s="26" t="n">
        <f aca="false">IF($R30=0,0,IF(OR($E30=R_LOT,COUNTIFS(RES_IDST,$A30,RES_LOTEFF,R_LOT)&gt;0),1,0))</f>
        <v>0</v>
      </c>
      <c r="AC30" s="26" t="str">
        <f aca="false">IF($AB30=0,"",COUNTIF($AB$5:$AB30,1))</f>
        <v/>
      </c>
    </row>
    <row r="31" customFormat="false" ht="15" hidden="false" customHeight="false" outlineLevel="0" collapsed="false">
      <c r="A31" s="26" t="str">
        <f aca="false">IF($D31="","","ST-"&amp;TEXT(ROW()-4,"000"))</f>
        <v/>
      </c>
      <c r="B31" s="25"/>
      <c r="C31" s="24"/>
      <c r="D31" s="24"/>
      <c r="E31" s="24"/>
      <c r="F31" s="24"/>
      <c r="G31" s="29"/>
      <c r="H31" s="24"/>
      <c r="I31" s="24"/>
      <c r="J31" s="24"/>
      <c r="K31" s="25"/>
      <c r="L31" s="24"/>
      <c r="M31" s="24"/>
      <c r="N31" s="24"/>
      <c r="O31" s="26" t="str">
        <f aca="false">IF($E31="","",IFERROR(INDEX(LOT_EXTE,MATCH($E31,LOT_KEY,0)),""))</f>
        <v/>
      </c>
      <c r="P31" s="26" t="str">
        <f aca="false">IF($E31="","",IFERROR(INDEX(LOT_PRODE,MATCH($E31,LOT_KEY,0)),"LOT NON REFERENCE"))</f>
        <v/>
      </c>
      <c r="Q31" s="26" t="str">
        <f aca="false">IF($E31="","",IFERROR(INDEX(LOT_FOURNE,MATCH($E31,LOT_KEY,0)),""))</f>
        <v/>
      </c>
      <c r="R31" s="28" t="n">
        <f aca="false">IF($D31="",0,IF(OR($B31="",$C31="",$E31="",NOT(ISNUMBER($G31)),$G31&lt;=0),0,IF($D31="STOCK EXISTANT",IF($F31="",0,1),1)))</f>
        <v>0</v>
      </c>
      <c r="S31" s="27" t="str">
        <f aca="false">IF(OR($R31=0,$D31&lt;&gt;"STOCK EXISTANT"),"",SUMIFS(MVT_BRUT,MVT_LOT,$E31,MVT_EMPL,$F31)+$G31)</f>
        <v/>
      </c>
      <c r="T31" s="27" t="str">
        <f aca="false">IF($A31="","",SUMIFS(RES_QTEVAL,RES_IDST,$A31))</f>
        <v/>
      </c>
      <c r="U31" s="28" t="str">
        <f aca="false">IF($A31="","",COUNTIFS(RES_IDST,$A31))</f>
        <v/>
      </c>
      <c r="V31" s="27" t="str">
        <f aca="false">IF(OR($A31="",$U31=0),"",$G31-$T31)</f>
        <v/>
      </c>
      <c r="W31" s="30" t="str">
        <f aca="false">IF(OR($A31="",$U31=0,NOT(ISNUMBER($G31)),$G31&lt;=0),"",$T31/$G31)</f>
        <v/>
      </c>
      <c r="X31" s="26" t="str">
        <f aca="false">IF($D31="","",IF($R31=0,"DONNEES MANQUANTES",IF($D31="STOCK EXISTANT",IF($S31&lt;=0,"EMPLACEMENT INCOHERENT",IF($G31&gt;$S31+0.001,"STOCK INSUFFISANT",IF($U31=0,"EN COURS",IF($T31&gt;$G31+0.001,"BLOQUE",IF(AND($V31&gt;P_TOL,$L31=""),"A JUSTIFIER","OK"))))),IF($U31=0,"EN COURS",IF($T31&gt;$G31+0.001,"BLOQUE",IF(AND($V31&gt;P_TOL,$L31=""),"A JUSTIFIER","OK"))))))</f>
        <v/>
      </c>
      <c r="Y31" s="28" t="n">
        <f aca="false">IF(OR($X31="",$X31="DONNEES MANQUANTES",$X31="EMPLACEMENT INCOHERENT",$X31="STOCK INSUFFISANT"),0,1)</f>
        <v>0</v>
      </c>
      <c r="Z31" s="26" t="str">
        <f aca="false">IF($D31="","",IF($R31=0,"A COMPLETER : "&amp;IF($B31="","DATE ENVOI; ","")&amp;IF($C31="","SOUS-TRAITANT; ","")&amp;IF($E31="","LOT SOURCE; ","")&amp;IF(OR(NOT(ISNUMBER($G31)),$G31&lt;=0),"QTE ENVOYEE &gt; 0; ","")&amp;IF(AND($D31="STOCK EXISTANT",$F31=""),"EMPL. SOURCE; ",""),IF($X31="EMPLACEMENT INCOHERENT","Le lot "&amp;$E31&amp;" n'existe pas sur "&amp;$F31&amp;" (stock 0).",IF($X31="STOCK INSUFFISANT","Disponible avant envoi : "&amp;TEXT($S31,"#,##0.00")&amp;" kg. Ligne NON comptee en stock.",IF($X31="BLOQUE","Total des sorties ("&amp;TEXT($T31,"#,##0.00")&amp;" kg) superieur a la quantite envoyee.",IF($X31="EN COURS","Envoi enregistre, resultats non connus. A completer dans ST_RESULTATS.",IF($X31="A JUSTIFIER","Ecart de "&amp;TEXT($V31,"#,##0.00")&amp;" kg : renseigner JUSTIFICATION ECART (colonne L).",IF($P31="LOT NON REFERENCE","Creer d'abord la fiche du lot dans l'onglet LOTS.",""))))))))</f>
        <v/>
      </c>
      <c r="AA31" s="27" t="n">
        <f aca="false">IF(OR($Y31=0,$U31&gt;0),0,$G31)</f>
        <v>0</v>
      </c>
      <c r="AB31" s="26" t="n">
        <f aca="false">IF($R31=0,0,IF(OR($E31=R_LOT,COUNTIFS(RES_IDST,$A31,RES_LOTEFF,R_LOT)&gt;0),1,0))</f>
        <v>0</v>
      </c>
      <c r="AC31" s="26" t="str">
        <f aca="false">IF($AB31=0,"",COUNTIF($AB$5:$AB31,1))</f>
        <v/>
      </c>
    </row>
    <row r="32" customFormat="false" ht="15" hidden="false" customHeight="false" outlineLevel="0" collapsed="false">
      <c r="A32" s="26" t="str">
        <f aca="false">IF($D32="","","ST-"&amp;TEXT(ROW()-4,"000"))</f>
        <v/>
      </c>
      <c r="B32" s="25"/>
      <c r="C32" s="24"/>
      <c r="D32" s="24"/>
      <c r="E32" s="24"/>
      <c r="F32" s="24"/>
      <c r="G32" s="29"/>
      <c r="H32" s="24"/>
      <c r="I32" s="24"/>
      <c r="J32" s="24"/>
      <c r="K32" s="25"/>
      <c r="L32" s="24"/>
      <c r="M32" s="24"/>
      <c r="N32" s="24"/>
      <c r="O32" s="26" t="str">
        <f aca="false">IF($E32="","",IFERROR(INDEX(LOT_EXTE,MATCH($E32,LOT_KEY,0)),""))</f>
        <v/>
      </c>
      <c r="P32" s="26" t="str">
        <f aca="false">IF($E32="","",IFERROR(INDEX(LOT_PRODE,MATCH($E32,LOT_KEY,0)),"LOT NON REFERENCE"))</f>
        <v/>
      </c>
      <c r="Q32" s="26" t="str">
        <f aca="false">IF($E32="","",IFERROR(INDEX(LOT_FOURNE,MATCH($E32,LOT_KEY,0)),""))</f>
        <v/>
      </c>
      <c r="R32" s="28" t="n">
        <f aca="false">IF($D32="",0,IF(OR($B32="",$C32="",$E32="",NOT(ISNUMBER($G32)),$G32&lt;=0),0,IF($D32="STOCK EXISTANT",IF($F32="",0,1),1)))</f>
        <v>0</v>
      </c>
      <c r="S32" s="27" t="str">
        <f aca="false">IF(OR($R32=0,$D32&lt;&gt;"STOCK EXISTANT"),"",SUMIFS(MVT_BRUT,MVT_LOT,$E32,MVT_EMPL,$F32)+$G32)</f>
        <v/>
      </c>
      <c r="T32" s="27" t="str">
        <f aca="false">IF($A32="","",SUMIFS(RES_QTEVAL,RES_IDST,$A32))</f>
        <v/>
      </c>
      <c r="U32" s="28" t="str">
        <f aca="false">IF($A32="","",COUNTIFS(RES_IDST,$A32))</f>
        <v/>
      </c>
      <c r="V32" s="27" t="str">
        <f aca="false">IF(OR($A32="",$U32=0),"",$G32-$T32)</f>
        <v/>
      </c>
      <c r="W32" s="30" t="str">
        <f aca="false">IF(OR($A32="",$U32=0,NOT(ISNUMBER($G32)),$G32&lt;=0),"",$T32/$G32)</f>
        <v/>
      </c>
      <c r="X32" s="26" t="str">
        <f aca="false">IF($D32="","",IF($R32=0,"DONNEES MANQUANTES",IF($D32="STOCK EXISTANT",IF($S32&lt;=0,"EMPLACEMENT INCOHERENT",IF($G32&gt;$S32+0.001,"STOCK INSUFFISANT",IF($U32=0,"EN COURS",IF($T32&gt;$G32+0.001,"BLOQUE",IF(AND($V32&gt;P_TOL,$L32=""),"A JUSTIFIER","OK"))))),IF($U32=0,"EN COURS",IF($T32&gt;$G32+0.001,"BLOQUE",IF(AND($V32&gt;P_TOL,$L32=""),"A JUSTIFIER","OK"))))))</f>
        <v/>
      </c>
      <c r="Y32" s="28" t="n">
        <f aca="false">IF(OR($X32="",$X32="DONNEES MANQUANTES",$X32="EMPLACEMENT INCOHERENT",$X32="STOCK INSUFFISANT"),0,1)</f>
        <v>0</v>
      </c>
      <c r="Z32" s="26" t="str">
        <f aca="false">IF($D32="","",IF($R32=0,"A COMPLETER : "&amp;IF($B32="","DATE ENVOI; ","")&amp;IF($C32="","SOUS-TRAITANT; ","")&amp;IF($E32="","LOT SOURCE; ","")&amp;IF(OR(NOT(ISNUMBER($G32)),$G32&lt;=0),"QTE ENVOYEE &gt; 0; ","")&amp;IF(AND($D32="STOCK EXISTANT",$F32=""),"EMPL. SOURCE; ",""),IF($X32="EMPLACEMENT INCOHERENT","Le lot "&amp;$E32&amp;" n'existe pas sur "&amp;$F32&amp;" (stock 0).",IF($X32="STOCK INSUFFISANT","Disponible avant envoi : "&amp;TEXT($S32,"#,##0.00")&amp;" kg. Ligne NON comptee en stock.",IF($X32="BLOQUE","Total des sorties ("&amp;TEXT($T32,"#,##0.00")&amp;" kg) superieur a la quantite envoyee.",IF($X32="EN COURS","Envoi enregistre, resultats non connus. A completer dans ST_RESULTATS.",IF($X32="A JUSTIFIER","Ecart de "&amp;TEXT($V32,"#,##0.00")&amp;" kg : renseigner JUSTIFICATION ECART (colonne L).",IF($P32="LOT NON REFERENCE","Creer d'abord la fiche du lot dans l'onglet LOTS.",""))))))))</f>
        <v/>
      </c>
      <c r="AA32" s="27" t="n">
        <f aca="false">IF(OR($Y32=0,$U32&gt;0),0,$G32)</f>
        <v>0</v>
      </c>
      <c r="AB32" s="26" t="n">
        <f aca="false">IF($R32=0,0,IF(OR($E32=R_LOT,COUNTIFS(RES_IDST,$A32,RES_LOTEFF,R_LOT)&gt;0),1,0))</f>
        <v>0</v>
      </c>
      <c r="AC32" s="26" t="str">
        <f aca="false">IF($AB32=0,"",COUNTIF($AB$5:$AB32,1))</f>
        <v/>
      </c>
    </row>
    <row r="33" customFormat="false" ht="15" hidden="false" customHeight="false" outlineLevel="0" collapsed="false">
      <c r="A33" s="26" t="str">
        <f aca="false">IF($D33="","","ST-"&amp;TEXT(ROW()-4,"000"))</f>
        <v/>
      </c>
      <c r="B33" s="25"/>
      <c r="C33" s="24"/>
      <c r="D33" s="24"/>
      <c r="E33" s="24"/>
      <c r="F33" s="24"/>
      <c r="G33" s="29"/>
      <c r="H33" s="24"/>
      <c r="I33" s="24"/>
      <c r="J33" s="24"/>
      <c r="K33" s="25"/>
      <c r="L33" s="24"/>
      <c r="M33" s="24"/>
      <c r="N33" s="24"/>
      <c r="O33" s="26" t="str">
        <f aca="false">IF($E33="","",IFERROR(INDEX(LOT_EXTE,MATCH($E33,LOT_KEY,0)),""))</f>
        <v/>
      </c>
      <c r="P33" s="26" t="str">
        <f aca="false">IF($E33="","",IFERROR(INDEX(LOT_PRODE,MATCH($E33,LOT_KEY,0)),"LOT NON REFERENCE"))</f>
        <v/>
      </c>
      <c r="Q33" s="26" t="str">
        <f aca="false">IF($E33="","",IFERROR(INDEX(LOT_FOURNE,MATCH($E33,LOT_KEY,0)),""))</f>
        <v/>
      </c>
      <c r="R33" s="28" t="n">
        <f aca="false">IF($D33="",0,IF(OR($B33="",$C33="",$E33="",NOT(ISNUMBER($G33)),$G33&lt;=0),0,IF($D33="STOCK EXISTANT",IF($F33="",0,1),1)))</f>
        <v>0</v>
      </c>
      <c r="S33" s="27" t="str">
        <f aca="false">IF(OR($R33=0,$D33&lt;&gt;"STOCK EXISTANT"),"",SUMIFS(MVT_BRUT,MVT_LOT,$E33,MVT_EMPL,$F33)+$G33)</f>
        <v/>
      </c>
      <c r="T33" s="27" t="str">
        <f aca="false">IF($A33="","",SUMIFS(RES_QTEVAL,RES_IDST,$A33))</f>
        <v/>
      </c>
      <c r="U33" s="28" t="str">
        <f aca="false">IF($A33="","",COUNTIFS(RES_IDST,$A33))</f>
        <v/>
      </c>
      <c r="V33" s="27" t="str">
        <f aca="false">IF(OR($A33="",$U33=0),"",$G33-$T33)</f>
        <v/>
      </c>
      <c r="W33" s="30" t="str">
        <f aca="false">IF(OR($A33="",$U33=0,NOT(ISNUMBER($G33)),$G33&lt;=0),"",$T33/$G33)</f>
        <v/>
      </c>
      <c r="X33" s="26" t="str">
        <f aca="false">IF($D33="","",IF($R33=0,"DONNEES MANQUANTES",IF($D33="STOCK EXISTANT",IF($S33&lt;=0,"EMPLACEMENT INCOHERENT",IF($G33&gt;$S33+0.001,"STOCK INSUFFISANT",IF($U33=0,"EN COURS",IF($T33&gt;$G33+0.001,"BLOQUE",IF(AND($V33&gt;P_TOL,$L33=""),"A JUSTIFIER","OK"))))),IF($U33=0,"EN COURS",IF($T33&gt;$G33+0.001,"BLOQUE",IF(AND($V33&gt;P_TOL,$L33=""),"A JUSTIFIER","OK"))))))</f>
        <v/>
      </c>
      <c r="Y33" s="28" t="n">
        <f aca="false">IF(OR($X33="",$X33="DONNEES MANQUANTES",$X33="EMPLACEMENT INCOHERENT",$X33="STOCK INSUFFISANT"),0,1)</f>
        <v>0</v>
      </c>
      <c r="Z33" s="26" t="str">
        <f aca="false">IF($D33="","",IF($R33=0,"A COMPLETER : "&amp;IF($B33="","DATE ENVOI; ","")&amp;IF($C33="","SOUS-TRAITANT; ","")&amp;IF($E33="","LOT SOURCE; ","")&amp;IF(OR(NOT(ISNUMBER($G33)),$G33&lt;=0),"QTE ENVOYEE &gt; 0; ","")&amp;IF(AND($D33="STOCK EXISTANT",$F33=""),"EMPL. SOURCE; ",""),IF($X33="EMPLACEMENT INCOHERENT","Le lot "&amp;$E33&amp;" n'existe pas sur "&amp;$F33&amp;" (stock 0).",IF($X33="STOCK INSUFFISANT","Disponible avant envoi : "&amp;TEXT($S33,"#,##0.00")&amp;" kg. Ligne NON comptee en stock.",IF($X33="BLOQUE","Total des sorties ("&amp;TEXT($T33,"#,##0.00")&amp;" kg) superieur a la quantite envoyee.",IF($X33="EN COURS","Envoi enregistre, resultats non connus. A completer dans ST_RESULTATS.",IF($X33="A JUSTIFIER","Ecart de "&amp;TEXT($V33,"#,##0.00")&amp;" kg : renseigner JUSTIFICATION ECART (colonne L).",IF($P33="LOT NON REFERENCE","Creer d'abord la fiche du lot dans l'onglet LOTS.",""))))))))</f>
        <v/>
      </c>
      <c r="AA33" s="27" t="n">
        <f aca="false">IF(OR($Y33=0,$U33&gt;0),0,$G33)</f>
        <v>0</v>
      </c>
      <c r="AB33" s="26" t="n">
        <f aca="false">IF($R33=0,0,IF(OR($E33=R_LOT,COUNTIFS(RES_IDST,$A33,RES_LOTEFF,R_LOT)&gt;0),1,0))</f>
        <v>0</v>
      </c>
      <c r="AC33" s="26" t="str">
        <f aca="false">IF($AB33=0,"",COUNTIF($AB$5:$AB33,1))</f>
        <v/>
      </c>
    </row>
    <row r="34" customFormat="false" ht="15" hidden="false" customHeight="false" outlineLevel="0" collapsed="false">
      <c r="A34" s="26" t="str">
        <f aca="false">IF($D34="","","ST-"&amp;TEXT(ROW()-4,"000"))</f>
        <v/>
      </c>
      <c r="B34" s="25"/>
      <c r="C34" s="24"/>
      <c r="D34" s="24"/>
      <c r="E34" s="24"/>
      <c r="F34" s="24"/>
      <c r="G34" s="29"/>
      <c r="H34" s="24"/>
      <c r="I34" s="24"/>
      <c r="J34" s="24"/>
      <c r="K34" s="25"/>
      <c r="L34" s="24"/>
      <c r="M34" s="24"/>
      <c r="N34" s="24"/>
      <c r="O34" s="26" t="str">
        <f aca="false">IF($E34="","",IFERROR(INDEX(LOT_EXTE,MATCH($E34,LOT_KEY,0)),""))</f>
        <v/>
      </c>
      <c r="P34" s="26" t="str">
        <f aca="false">IF($E34="","",IFERROR(INDEX(LOT_PRODE,MATCH($E34,LOT_KEY,0)),"LOT NON REFERENCE"))</f>
        <v/>
      </c>
      <c r="Q34" s="26" t="str">
        <f aca="false">IF($E34="","",IFERROR(INDEX(LOT_FOURNE,MATCH($E34,LOT_KEY,0)),""))</f>
        <v/>
      </c>
      <c r="R34" s="28" t="n">
        <f aca="false">IF($D34="",0,IF(OR($B34="",$C34="",$E34="",NOT(ISNUMBER($G34)),$G34&lt;=0),0,IF($D34="STOCK EXISTANT",IF($F34="",0,1),1)))</f>
        <v>0</v>
      </c>
      <c r="S34" s="27" t="str">
        <f aca="false">IF(OR($R34=0,$D34&lt;&gt;"STOCK EXISTANT"),"",SUMIFS(MVT_BRUT,MVT_LOT,$E34,MVT_EMPL,$F34)+$G34)</f>
        <v/>
      </c>
      <c r="T34" s="27" t="str">
        <f aca="false">IF($A34="","",SUMIFS(RES_QTEVAL,RES_IDST,$A34))</f>
        <v/>
      </c>
      <c r="U34" s="28" t="str">
        <f aca="false">IF($A34="","",COUNTIFS(RES_IDST,$A34))</f>
        <v/>
      </c>
      <c r="V34" s="27" t="str">
        <f aca="false">IF(OR($A34="",$U34=0),"",$G34-$T34)</f>
        <v/>
      </c>
      <c r="W34" s="30" t="str">
        <f aca="false">IF(OR($A34="",$U34=0,NOT(ISNUMBER($G34)),$G34&lt;=0),"",$T34/$G34)</f>
        <v/>
      </c>
      <c r="X34" s="26" t="str">
        <f aca="false">IF($D34="","",IF($R34=0,"DONNEES MANQUANTES",IF($D34="STOCK EXISTANT",IF($S34&lt;=0,"EMPLACEMENT INCOHERENT",IF($G34&gt;$S34+0.001,"STOCK INSUFFISANT",IF($U34=0,"EN COURS",IF($T34&gt;$G34+0.001,"BLOQUE",IF(AND($V34&gt;P_TOL,$L34=""),"A JUSTIFIER","OK"))))),IF($U34=0,"EN COURS",IF($T34&gt;$G34+0.001,"BLOQUE",IF(AND($V34&gt;P_TOL,$L34=""),"A JUSTIFIER","OK"))))))</f>
        <v/>
      </c>
      <c r="Y34" s="28" t="n">
        <f aca="false">IF(OR($X34="",$X34="DONNEES MANQUANTES",$X34="EMPLACEMENT INCOHERENT",$X34="STOCK INSUFFISANT"),0,1)</f>
        <v>0</v>
      </c>
      <c r="Z34" s="26" t="str">
        <f aca="false">IF($D34="","",IF($R34=0,"A COMPLETER : "&amp;IF($B34="","DATE ENVOI; ","")&amp;IF($C34="","SOUS-TRAITANT; ","")&amp;IF($E34="","LOT SOURCE; ","")&amp;IF(OR(NOT(ISNUMBER($G34)),$G34&lt;=0),"QTE ENVOYEE &gt; 0; ","")&amp;IF(AND($D34="STOCK EXISTANT",$F34=""),"EMPL. SOURCE; ",""),IF($X34="EMPLACEMENT INCOHERENT","Le lot "&amp;$E34&amp;" n'existe pas sur "&amp;$F34&amp;" (stock 0).",IF($X34="STOCK INSUFFISANT","Disponible avant envoi : "&amp;TEXT($S34,"#,##0.00")&amp;" kg. Ligne NON comptee en stock.",IF($X34="BLOQUE","Total des sorties ("&amp;TEXT($T34,"#,##0.00")&amp;" kg) superieur a la quantite envoyee.",IF($X34="EN COURS","Envoi enregistre, resultats non connus. A completer dans ST_RESULTATS.",IF($X34="A JUSTIFIER","Ecart de "&amp;TEXT($V34,"#,##0.00")&amp;" kg : renseigner JUSTIFICATION ECART (colonne L).",IF($P34="LOT NON REFERENCE","Creer d'abord la fiche du lot dans l'onglet LOTS.",""))))))))</f>
        <v/>
      </c>
      <c r="AA34" s="27" t="n">
        <f aca="false">IF(OR($Y34=0,$U34&gt;0),0,$G34)</f>
        <v>0</v>
      </c>
      <c r="AB34" s="26" t="n">
        <f aca="false">IF($R34=0,0,IF(OR($E34=R_LOT,COUNTIFS(RES_IDST,$A34,RES_LOTEFF,R_LOT)&gt;0),1,0))</f>
        <v>0</v>
      </c>
      <c r="AC34" s="26" t="str">
        <f aca="false">IF($AB34=0,"",COUNTIF($AB$5:$AB34,1))</f>
        <v/>
      </c>
    </row>
    <row r="35" customFormat="false" ht="15" hidden="false" customHeight="false" outlineLevel="0" collapsed="false">
      <c r="A35" s="26" t="str">
        <f aca="false">IF($D35="","","ST-"&amp;TEXT(ROW()-4,"000"))</f>
        <v/>
      </c>
      <c r="B35" s="25"/>
      <c r="C35" s="24"/>
      <c r="D35" s="24"/>
      <c r="E35" s="24"/>
      <c r="F35" s="24"/>
      <c r="G35" s="29"/>
      <c r="H35" s="24"/>
      <c r="I35" s="24"/>
      <c r="J35" s="24"/>
      <c r="K35" s="25"/>
      <c r="L35" s="24"/>
      <c r="M35" s="24"/>
      <c r="N35" s="24"/>
      <c r="O35" s="26" t="str">
        <f aca="false">IF($E35="","",IFERROR(INDEX(LOT_EXTE,MATCH($E35,LOT_KEY,0)),""))</f>
        <v/>
      </c>
      <c r="P35" s="26" t="str">
        <f aca="false">IF($E35="","",IFERROR(INDEX(LOT_PRODE,MATCH($E35,LOT_KEY,0)),"LOT NON REFERENCE"))</f>
        <v/>
      </c>
      <c r="Q35" s="26" t="str">
        <f aca="false">IF($E35="","",IFERROR(INDEX(LOT_FOURNE,MATCH($E35,LOT_KEY,0)),""))</f>
        <v/>
      </c>
      <c r="R35" s="28" t="n">
        <f aca="false">IF($D35="",0,IF(OR($B35="",$C35="",$E35="",NOT(ISNUMBER($G35)),$G35&lt;=0),0,IF($D35="STOCK EXISTANT",IF($F35="",0,1),1)))</f>
        <v>0</v>
      </c>
      <c r="S35" s="27" t="str">
        <f aca="false">IF(OR($R35=0,$D35&lt;&gt;"STOCK EXISTANT"),"",SUMIFS(MVT_BRUT,MVT_LOT,$E35,MVT_EMPL,$F35)+$G35)</f>
        <v/>
      </c>
      <c r="T35" s="27" t="str">
        <f aca="false">IF($A35="","",SUMIFS(RES_QTEVAL,RES_IDST,$A35))</f>
        <v/>
      </c>
      <c r="U35" s="28" t="str">
        <f aca="false">IF($A35="","",COUNTIFS(RES_IDST,$A35))</f>
        <v/>
      </c>
      <c r="V35" s="27" t="str">
        <f aca="false">IF(OR($A35="",$U35=0),"",$G35-$T35)</f>
        <v/>
      </c>
      <c r="W35" s="30" t="str">
        <f aca="false">IF(OR($A35="",$U35=0,NOT(ISNUMBER($G35)),$G35&lt;=0),"",$T35/$G35)</f>
        <v/>
      </c>
      <c r="X35" s="26" t="str">
        <f aca="false">IF($D35="","",IF($R35=0,"DONNEES MANQUANTES",IF($D35="STOCK EXISTANT",IF($S35&lt;=0,"EMPLACEMENT INCOHERENT",IF($G35&gt;$S35+0.001,"STOCK INSUFFISANT",IF($U35=0,"EN COURS",IF($T35&gt;$G35+0.001,"BLOQUE",IF(AND($V35&gt;P_TOL,$L35=""),"A JUSTIFIER","OK"))))),IF($U35=0,"EN COURS",IF($T35&gt;$G35+0.001,"BLOQUE",IF(AND($V35&gt;P_TOL,$L35=""),"A JUSTIFIER","OK"))))))</f>
        <v/>
      </c>
      <c r="Y35" s="28" t="n">
        <f aca="false">IF(OR($X35="",$X35="DONNEES MANQUANTES",$X35="EMPLACEMENT INCOHERENT",$X35="STOCK INSUFFISANT"),0,1)</f>
        <v>0</v>
      </c>
      <c r="Z35" s="26" t="str">
        <f aca="false">IF($D35="","",IF($R35=0,"A COMPLETER : "&amp;IF($B35="","DATE ENVOI; ","")&amp;IF($C35="","SOUS-TRAITANT; ","")&amp;IF($E35="","LOT SOURCE; ","")&amp;IF(OR(NOT(ISNUMBER($G35)),$G35&lt;=0),"QTE ENVOYEE &gt; 0; ","")&amp;IF(AND($D35="STOCK EXISTANT",$F35=""),"EMPL. SOURCE; ",""),IF($X35="EMPLACEMENT INCOHERENT","Le lot "&amp;$E35&amp;" n'existe pas sur "&amp;$F35&amp;" (stock 0).",IF($X35="STOCK INSUFFISANT","Disponible avant envoi : "&amp;TEXT($S35,"#,##0.00")&amp;" kg. Ligne NON comptee en stock.",IF($X35="BLOQUE","Total des sorties ("&amp;TEXT($T35,"#,##0.00")&amp;" kg) superieur a la quantite envoyee.",IF($X35="EN COURS","Envoi enregistre, resultats non connus. A completer dans ST_RESULTATS.",IF($X35="A JUSTIFIER","Ecart de "&amp;TEXT($V35,"#,##0.00")&amp;" kg : renseigner JUSTIFICATION ECART (colonne L).",IF($P35="LOT NON REFERENCE","Creer d'abord la fiche du lot dans l'onglet LOTS.",""))))))))</f>
        <v/>
      </c>
      <c r="AA35" s="27" t="n">
        <f aca="false">IF(OR($Y35=0,$U35&gt;0),0,$G35)</f>
        <v>0</v>
      </c>
      <c r="AB35" s="26" t="n">
        <f aca="false">IF($R35=0,0,IF(OR($E35=R_LOT,COUNTIFS(RES_IDST,$A35,RES_LOTEFF,R_LOT)&gt;0),1,0))</f>
        <v>0</v>
      </c>
      <c r="AC35" s="26" t="str">
        <f aca="false">IF($AB35=0,"",COUNTIF($AB$5:$AB35,1))</f>
        <v/>
      </c>
    </row>
    <row r="36" customFormat="false" ht="15" hidden="false" customHeight="false" outlineLevel="0" collapsed="false">
      <c r="A36" s="26" t="str">
        <f aca="false">IF($D36="","","ST-"&amp;TEXT(ROW()-4,"000"))</f>
        <v/>
      </c>
      <c r="B36" s="25"/>
      <c r="C36" s="24"/>
      <c r="D36" s="24"/>
      <c r="E36" s="24"/>
      <c r="F36" s="24"/>
      <c r="G36" s="29"/>
      <c r="H36" s="24"/>
      <c r="I36" s="24"/>
      <c r="J36" s="24"/>
      <c r="K36" s="25"/>
      <c r="L36" s="24"/>
      <c r="M36" s="24"/>
      <c r="N36" s="24"/>
      <c r="O36" s="26" t="str">
        <f aca="false">IF($E36="","",IFERROR(INDEX(LOT_EXTE,MATCH($E36,LOT_KEY,0)),""))</f>
        <v/>
      </c>
      <c r="P36" s="26" t="str">
        <f aca="false">IF($E36="","",IFERROR(INDEX(LOT_PRODE,MATCH($E36,LOT_KEY,0)),"LOT NON REFERENCE"))</f>
        <v/>
      </c>
      <c r="Q36" s="26" t="str">
        <f aca="false">IF($E36="","",IFERROR(INDEX(LOT_FOURNE,MATCH($E36,LOT_KEY,0)),""))</f>
        <v/>
      </c>
      <c r="R36" s="28" t="n">
        <f aca="false">IF($D36="",0,IF(OR($B36="",$C36="",$E36="",NOT(ISNUMBER($G36)),$G36&lt;=0),0,IF($D36="STOCK EXISTANT",IF($F36="",0,1),1)))</f>
        <v>0</v>
      </c>
      <c r="S36" s="27" t="str">
        <f aca="false">IF(OR($R36=0,$D36&lt;&gt;"STOCK EXISTANT"),"",SUMIFS(MVT_BRUT,MVT_LOT,$E36,MVT_EMPL,$F36)+$G36)</f>
        <v/>
      </c>
      <c r="T36" s="27" t="str">
        <f aca="false">IF($A36="","",SUMIFS(RES_QTEVAL,RES_IDST,$A36))</f>
        <v/>
      </c>
      <c r="U36" s="28" t="str">
        <f aca="false">IF($A36="","",COUNTIFS(RES_IDST,$A36))</f>
        <v/>
      </c>
      <c r="V36" s="27" t="str">
        <f aca="false">IF(OR($A36="",$U36=0),"",$G36-$T36)</f>
        <v/>
      </c>
      <c r="W36" s="30" t="str">
        <f aca="false">IF(OR($A36="",$U36=0,NOT(ISNUMBER($G36)),$G36&lt;=0),"",$T36/$G36)</f>
        <v/>
      </c>
      <c r="X36" s="26" t="str">
        <f aca="false">IF($D36="","",IF($R36=0,"DONNEES MANQUANTES",IF($D36="STOCK EXISTANT",IF($S36&lt;=0,"EMPLACEMENT INCOHERENT",IF($G36&gt;$S36+0.001,"STOCK INSUFFISANT",IF($U36=0,"EN COURS",IF($T36&gt;$G36+0.001,"BLOQUE",IF(AND($V36&gt;P_TOL,$L36=""),"A JUSTIFIER","OK"))))),IF($U36=0,"EN COURS",IF($T36&gt;$G36+0.001,"BLOQUE",IF(AND($V36&gt;P_TOL,$L36=""),"A JUSTIFIER","OK"))))))</f>
        <v/>
      </c>
      <c r="Y36" s="28" t="n">
        <f aca="false">IF(OR($X36="",$X36="DONNEES MANQUANTES",$X36="EMPLACEMENT INCOHERENT",$X36="STOCK INSUFFISANT"),0,1)</f>
        <v>0</v>
      </c>
      <c r="Z36" s="26" t="str">
        <f aca="false">IF($D36="","",IF($R36=0,"A COMPLETER : "&amp;IF($B36="","DATE ENVOI; ","")&amp;IF($C36="","SOUS-TRAITANT; ","")&amp;IF($E36="","LOT SOURCE; ","")&amp;IF(OR(NOT(ISNUMBER($G36)),$G36&lt;=0),"QTE ENVOYEE &gt; 0; ","")&amp;IF(AND($D36="STOCK EXISTANT",$F36=""),"EMPL. SOURCE; ",""),IF($X36="EMPLACEMENT INCOHERENT","Le lot "&amp;$E36&amp;" n'existe pas sur "&amp;$F36&amp;" (stock 0).",IF($X36="STOCK INSUFFISANT","Disponible avant envoi : "&amp;TEXT($S36,"#,##0.00")&amp;" kg. Ligne NON comptee en stock.",IF($X36="BLOQUE","Total des sorties ("&amp;TEXT($T36,"#,##0.00")&amp;" kg) superieur a la quantite envoyee.",IF($X36="EN COURS","Envoi enregistre, resultats non connus. A completer dans ST_RESULTATS.",IF($X36="A JUSTIFIER","Ecart de "&amp;TEXT($V36,"#,##0.00")&amp;" kg : renseigner JUSTIFICATION ECART (colonne L).",IF($P36="LOT NON REFERENCE","Creer d'abord la fiche du lot dans l'onglet LOTS.",""))))))))</f>
        <v/>
      </c>
      <c r="AA36" s="27" t="n">
        <f aca="false">IF(OR($Y36=0,$U36&gt;0),0,$G36)</f>
        <v>0</v>
      </c>
      <c r="AB36" s="26" t="n">
        <f aca="false">IF($R36=0,0,IF(OR($E36=R_LOT,COUNTIFS(RES_IDST,$A36,RES_LOTEFF,R_LOT)&gt;0),1,0))</f>
        <v>0</v>
      </c>
      <c r="AC36" s="26" t="str">
        <f aca="false">IF($AB36=0,"",COUNTIF($AB$5:$AB36,1))</f>
        <v/>
      </c>
    </row>
    <row r="37" customFormat="false" ht="15" hidden="false" customHeight="false" outlineLevel="0" collapsed="false">
      <c r="A37" s="26" t="str">
        <f aca="false">IF($D37="","","ST-"&amp;TEXT(ROW()-4,"000"))</f>
        <v/>
      </c>
      <c r="B37" s="25"/>
      <c r="C37" s="24"/>
      <c r="D37" s="24"/>
      <c r="E37" s="24"/>
      <c r="F37" s="24"/>
      <c r="G37" s="29"/>
      <c r="H37" s="24"/>
      <c r="I37" s="24"/>
      <c r="J37" s="24"/>
      <c r="K37" s="25"/>
      <c r="L37" s="24"/>
      <c r="M37" s="24"/>
      <c r="N37" s="24"/>
      <c r="O37" s="26" t="str">
        <f aca="false">IF($E37="","",IFERROR(INDEX(LOT_EXTE,MATCH($E37,LOT_KEY,0)),""))</f>
        <v/>
      </c>
      <c r="P37" s="26" t="str">
        <f aca="false">IF($E37="","",IFERROR(INDEX(LOT_PRODE,MATCH($E37,LOT_KEY,0)),"LOT NON REFERENCE"))</f>
        <v/>
      </c>
      <c r="Q37" s="26" t="str">
        <f aca="false">IF($E37="","",IFERROR(INDEX(LOT_FOURNE,MATCH($E37,LOT_KEY,0)),""))</f>
        <v/>
      </c>
      <c r="R37" s="28" t="n">
        <f aca="false">IF($D37="",0,IF(OR($B37="",$C37="",$E37="",NOT(ISNUMBER($G37)),$G37&lt;=0),0,IF($D37="STOCK EXISTANT",IF($F37="",0,1),1)))</f>
        <v>0</v>
      </c>
      <c r="S37" s="27" t="str">
        <f aca="false">IF(OR($R37=0,$D37&lt;&gt;"STOCK EXISTANT"),"",SUMIFS(MVT_BRUT,MVT_LOT,$E37,MVT_EMPL,$F37)+$G37)</f>
        <v/>
      </c>
      <c r="T37" s="27" t="str">
        <f aca="false">IF($A37="","",SUMIFS(RES_QTEVAL,RES_IDST,$A37))</f>
        <v/>
      </c>
      <c r="U37" s="28" t="str">
        <f aca="false">IF($A37="","",COUNTIFS(RES_IDST,$A37))</f>
        <v/>
      </c>
      <c r="V37" s="27" t="str">
        <f aca="false">IF(OR($A37="",$U37=0),"",$G37-$T37)</f>
        <v/>
      </c>
      <c r="W37" s="30" t="str">
        <f aca="false">IF(OR($A37="",$U37=0,NOT(ISNUMBER($G37)),$G37&lt;=0),"",$T37/$G37)</f>
        <v/>
      </c>
      <c r="X37" s="26" t="str">
        <f aca="false">IF($D37="","",IF($R37=0,"DONNEES MANQUANTES",IF($D37="STOCK EXISTANT",IF($S37&lt;=0,"EMPLACEMENT INCOHERENT",IF($G37&gt;$S37+0.001,"STOCK INSUFFISANT",IF($U37=0,"EN COURS",IF($T37&gt;$G37+0.001,"BLOQUE",IF(AND($V37&gt;P_TOL,$L37=""),"A JUSTIFIER","OK"))))),IF($U37=0,"EN COURS",IF($T37&gt;$G37+0.001,"BLOQUE",IF(AND($V37&gt;P_TOL,$L37=""),"A JUSTIFIER","OK"))))))</f>
        <v/>
      </c>
      <c r="Y37" s="28" t="n">
        <f aca="false">IF(OR($X37="",$X37="DONNEES MANQUANTES",$X37="EMPLACEMENT INCOHERENT",$X37="STOCK INSUFFISANT"),0,1)</f>
        <v>0</v>
      </c>
      <c r="Z37" s="26" t="str">
        <f aca="false">IF($D37="","",IF($R37=0,"A COMPLETER : "&amp;IF($B37="","DATE ENVOI; ","")&amp;IF($C37="","SOUS-TRAITANT; ","")&amp;IF($E37="","LOT SOURCE; ","")&amp;IF(OR(NOT(ISNUMBER($G37)),$G37&lt;=0),"QTE ENVOYEE &gt; 0; ","")&amp;IF(AND($D37="STOCK EXISTANT",$F37=""),"EMPL. SOURCE; ",""),IF($X37="EMPLACEMENT INCOHERENT","Le lot "&amp;$E37&amp;" n'existe pas sur "&amp;$F37&amp;" (stock 0).",IF($X37="STOCK INSUFFISANT","Disponible avant envoi : "&amp;TEXT($S37,"#,##0.00")&amp;" kg. Ligne NON comptee en stock.",IF($X37="BLOQUE","Total des sorties ("&amp;TEXT($T37,"#,##0.00")&amp;" kg) superieur a la quantite envoyee.",IF($X37="EN COURS","Envoi enregistre, resultats non connus. A completer dans ST_RESULTATS.",IF($X37="A JUSTIFIER","Ecart de "&amp;TEXT($V37,"#,##0.00")&amp;" kg : renseigner JUSTIFICATION ECART (colonne L).",IF($P37="LOT NON REFERENCE","Creer d'abord la fiche du lot dans l'onglet LOTS.",""))))))))</f>
        <v/>
      </c>
      <c r="AA37" s="27" t="n">
        <f aca="false">IF(OR($Y37=0,$U37&gt;0),0,$G37)</f>
        <v>0</v>
      </c>
      <c r="AB37" s="26" t="n">
        <f aca="false">IF($R37=0,0,IF(OR($E37=R_LOT,COUNTIFS(RES_IDST,$A37,RES_LOTEFF,R_LOT)&gt;0),1,0))</f>
        <v>0</v>
      </c>
      <c r="AC37" s="26" t="str">
        <f aca="false">IF($AB37=0,"",COUNTIF($AB$5:$AB37,1))</f>
        <v/>
      </c>
    </row>
    <row r="38" customFormat="false" ht="15" hidden="false" customHeight="false" outlineLevel="0" collapsed="false">
      <c r="A38" s="26" t="str">
        <f aca="false">IF($D38="","","ST-"&amp;TEXT(ROW()-4,"000"))</f>
        <v/>
      </c>
      <c r="B38" s="25"/>
      <c r="C38" s="24"/>
      <c r="D38" s="24"/>
      <c r="E38" s="24"/>
      <c r="F38" s="24"/>
      <c r="G38" s="29"/>
      <c r="H38" s="24"/>
      <c r="I38" s="24"/>
      <c r="J38" s="24"/>
      <c r="K38" s="25"/>
      <c r="L38" s="24"/>
      <c r="M38" s="24"/>
      <c r="N38" s="24"/>
      <c r="O38" s="26" t="str">
        <f aca="false">IF($E38="","",IFERROR(INDEX(LOT_EXTE,MATCH($E38,LOT_KEY,0)),""))</f>
        <v/>
      </c>
      <c r="P38" s="26" t="str">
        <f aca="false">IF($E38="","",IFERROR(INDEX(LOT_PRODE,MATCH($E38,LOT_KEY,0)),"LOT NON REFERENCE"))</f>
        <v/>
      </c>
      <c r="Q38" s="26" t="str">
        <f aca="false">IF($E38="","",IFERROR(INDEX(LOT_FOURNE,MATCH($E38,LOT_KEY,0)),""))</f>
        <v/>
      </c>
      <c r="R38" s="28" t="n">
        <f aca="false">IF($D38="",0,IF(OR($B38="",$C38="",$E38="",NOT(ISNUMBER($G38)),$G38&lt;=0),0,IF($D38="STOCK EXISTANT",IF($F38="",0,1),1)))</f>
        <v>0</v>
      </c>
      <c r="S38" s="27" t="str">
        <f aca="false">IF(OR($R38=0,$D38&lt;&gt;"STOCK EXISTANT"),"",SUMIFS(MVT_BRUT,MVT_LOT,$E38,MVT_EMPL,$F38)+$G38)</f>
        <v/>
      </c>
      <c r="T38" s="27" t="str">
        <f aca="false">IF($A38="","",SUMIFS(RES_QTEVAL,RES_IDST,$A38))</f>
        <v/>
      </c>
      <c r="U38" s="28" t="str">
        <f aca="false">IF($A38="","",COUNTIFS(RES_IDST,$A38))</f>
        <v/>
      </c>
      <c r="V38" s="27" t="str">
        <f aca="false">IF(OR($A38="",$U38=0),"",$G38-$T38)</f>
        <v/>
      </c>
      <c r="W38" s="30" t="str">
        <f aca="false">IF(OR($A38="",$U38=0,NOT(ISNUMBER($G38)),$G38&lt;=0),"",$T38/$G38)</f>
        <v/>
      </c>
      <c r="X38" s="26" t="str">
        <f aca="false">IF($D38="","",IF($R38=0,"DONNEES MANQUANTES",IF($D38="STOCK EXISTANT",IF($S38&lt;=0,"EMPLACEMENT INCOHERENT",IF($G38&gt;$S38+0.001,"STOCK INSUFFISANT",IF($U38=0,"EN COURS",IF($T38&gt;$G38+0.001,"BLOQUE",IF(AND($V38&gt;P_TOL,$L38=""),"A JUSTIFIER","OK"))))),IF($U38=0,"EN COURS",IF($T38&gt;$G38+0.001,"BLOQUE",IF(AND($V38&gt;P_TOL,$L38=""),"A JUSTIFIER","OK"))))))</f>
        <v/>
      </c>
      <c r="Y38" s="28" t="n">
        <f aca="false">IF(OR($X38="",$X38="DONNEES MANQUANTES",$X38="EMPLACEMENT INCOHERENT",$X38="STOCK INSUFFISANT"),0,1)</f>
        <v>0</v>
      </c>
      <c r="Z38" s="26" t="str">
        <f aca="false">IF($D38="","",IF($R38=0,"A COMPLETER : "&amp;IF($B38="","DATE ENVOI; ","")&amp;IF($C38="","SOUS-TRAITANT; ","")&amp;IF($E38="","LOT SOURCE; ","")&amp;IF(OR(NOT(ISNUMBER($G38)),$G38&lt;=0),"QTE ENVOYEE &gt; 0; ","")&amp;IF(AND($D38="STOCK EXISTANT",$F38=""),"EMPL. SOURCE; ",""),IF($X38="EMPLACEMENT INCOHERENT","Le lot "&amp;$E38&amp;" n'existe pas sur "&amp;$F38&amp;" (stock 0).",IF($X38="STOCK INSUFFISANT","Disponible avant envoi : "&amp;TEXT($S38,"#,##0.00")&amp;" kg. Ligne NON comptee en stock.",IF($X38="BLOQUE","Total des sorties ("&amp;TEXT($T38,"#,##0.00")&amp;" kg) superieur a la quantite envoyee.",IF($X38="EN COURS","Envoi enregistre, resultats non connus. A completer dans ST_RESULTATS.",IF($X38="A JUSTIFIER","Ecart de "&amp;TEXT($V38,"#,##0.00")&amp;" kg : renseigner JUSTIFICATION ECART (colonne L).",IF($P38="LOT NON REFERENCE","Creer d'abord la fiche du lot dans l'onglet LOTS.",""))))))))</f>
        <v/>
      </c>
      <c r="AA38" s="27" t="n">
        <f aca="false">IF(OR($Y38=0,$U38&gt;0),0,$G38)</f>
        <v>0</v>
      </c>
      <c r="AB38" s="26" t="n">
        <f aca="false">IF($R38=0,0,IF(OR($E38=R_LOT,COUNTIFS(RES_IDST,$A38,RES_LOTEFF,R_LOT)&gt;0),1,0))</f>
        <v>0</v>
      </c>
      <c r="AC38" s="26" t="str">
        <f aca="false">IF($AB38=0,"",COUNTIF($AB$5:$AB38,1))</f>
        <v/>
      </c>
    </row>
    <row r="39" customFormat="false" ht="15" hidden="false" customHeight="false" outlineLevel="0" collapsed="false">
      <c r="A39" s="26" t="str">
        <f aca="false">IF($D39="","","ST-"&amp;TEXT(ROW()-4,"000"))</f>
        <v/>
      </c>
      <c r="B39" s="25"/>
      <c r="C39" s="24"/>
      <c r="D39" s="24"/>
      <c r="E39" s="24"/>
      <c r="F39" s="24"/>
      <c r="G39" s="29"/>
      <c r="H39" s="24"/>
      <c r="I39" s="24"/>
      <c r="J39" s="24"/>
      <c r="K39" s="25"/>
      <c r="L39" s="24"/>
      <c r="M39" s="24"/>
      <c r="N39" s="24"/>
      <c r="O39" s="26" t="str">
        <f aca="false">IF($E39="","",IFERROR(INDEX(LOT_EXTE,MATCH($E39,LOT_KEY,0)),""))</f>
        <v/>
      </c>
      <c r="P39" s="26" t="str">
        <f aca="false">IF($E39="","",IFERROR(INDEX(LOT_PRODE,MATCH($E39,LOT_KEY,0)),"LOT NON REFERENCE"))</f>
        <v/>
      </c>
      <c r="Q39" s="26" t="str">
        <f aca="false">IF($E39="","",IFERROR(INDEX(LOT_FOURNE,MATCH($E39,LOT_KEY,0)),""))</f>
        <v/>
      </c>
      <c r="R39" s="28" t="n">
        <f aca="false">IF($D39="",0,IF(OR($B39="",$C39="",$E39="",NOT(ISNUMBER($G39)),$G39&lt;=0),0,IF($D39="STOCK EXISTANT",IF($F39="",0,1),1)))</f>
        <v>0</v>
      </c>
      <c r="S39" s="27" t="str">
        <f aca="false">IF(OR($R39=0,$D39&lt;&gt;"STOCK EXISTANT"),"",SUMIFS(MVT_BRUT,MVT_LOT,$E39,MVT_EMPL,$F39)+$G39)</f>
        <v/>
      </c>
      <c r="T39" s="27" t="str">
        <f aca="false">IF($A39="","",SUMIFS(RES_QTEVAL,RES_IDST,$A39))</f>
        <v/>
      </c>
      <c r="U39" s="28" t="str">
        <f aca="false">IF($A39="","",COUNTIFS(RES_IDST,$A39))</f>
        <v/>
      </c>
      <c r="V39" s="27" t="str">
        <f aca="false">IF(OR($A39="",$U39=0),"",$G39-$T39)</f>
        <v/>
      </c>
      <c r="W39" s="30" t="str">
        <f aca="false">IF(OR($A39="",$U39=0,NOT(ISNUMBER($G39)),$G39&lt;=0),"",$T39/$G39)</f>
        <v/>
      </c>
      <c r="X39" s="26" t="str">
        <f aca="false">IF($D39="","",IF($R39=0,"DONNEES MANQUANTES",IF($D39="STOCK EXISTANT",IF($S39&lt;=0,"EMPLACEMENT INCOHERENT",IF($G39&gt;$S39+0.001,"STOCK INSUFFISANT",IF($U39=0,"EN COURS",IF($T39&gt;$G39+0.001,"BLOQUE",IF(AND($V39&gt;P_TOL,$L39=""),"A JUSTIFIER","OK"))))),IF($U39=0,"EN COURS",IF($T39&gt;$G39+0.001,"BLOQUE",IF(AND($V39&gt;P_TOL,$L39=""),"A JUSTIFIER","OK"))))))</f>
        <v/>
      </c>
      <c r="Y39" s="28" t="n">
        <f aca="false">IF(OR($X39="",$X39="DONNEES MANQUANTES",$X39="EMPLACEMENT INCOHERENT",$X39="STOCK INSUFFISANT"),0,1)</f>
        <v>0</v>
      </c>
      <c r="Z39" s="26" t="str">
        <f aca="false">IF($D39="","",IF($R39=0,"A COMPLETER : "&amp;IF($B39="","DATE ENVOI; ","")&amp;IF($C39="","SOUS-TRAITANT; ","")&amp;IF($E39="","LOT SOURCE; ","")&amp;IF(OR(NOT(ISNUMBER($G39)),$G39&lt;=0),"QTE ENVOYEE &gt; 0; ","")&amp;IF(AND($D39="STOCK EXISTANT",$F39=""),"EMPL. SOURCE; ",""),IF($X39="EMPLACEMENT INCOHERENT","Le lot "&amp;$E39&amp;" n'existe pas sur "&amp;$F39&amp;" (stock 0).",IF($X39="STOCK INSUFFISANT","Disponible avant envoi : "&amp;TEXT($S39,"#,##0.00")&amp;" kg. Ligne NON comptee en stock.",IF($X39="BLOQUE","Total des sorties ("&amp;TEXT($T39,"#,##0.00")&amp;" kg) superieur a la quantite envoyee.",IF($X39="EN COURS","Envoi enregistre, resultats non connus. A completer dans ST_RESULTATS.",IF($X39="A JUSTIFIER","Ecart de "&amp;TEXT($V39,"#,##0.00")&amp;" kg : renseigner JUSTIFICATION ECART (colonne L).",IF($P39="LOT NON REFERENCE","Creer d'abord la fiche du lot dans l'onglet LOTS.",""))))))))</f>
        <v/>
      </c>
      <c r="AA39" s="27" t="n">
        <f aca="false">IF(OR($Y39=0,$U39&gt;0),0,$G39)</f>
        <v>0</v>
      </c>
      <c r="AB39" s="26" t="n">
        <f aca="false">IF($R39=0,0,IF(OR($E39=R_LOT,COUNTIFS(RES_IDST,$A39,RES_LOTEFF,R_LOT)&gt;0),1,0))</f>
        <v>0</v>
      </c>
      <c r="AC39" s="26" t="str">
        <f aca="false">IF($AB39=0,"",COUNTIF($AB$5:$AB39,1))</f>
        <v/>
      </c>
    </row>
    <row r="40" customFormat="false" ht="15" hidden="false" customHeight="false" outlineLevel="0" collapsed="false">
      <c r="A40" s="26" t="str">
        <f aca="false">IF($D40="","","ST-"&amp;TEXT(ROW()-4,"000"))</f>
        <v/>
      </c>
      <c r="B40" s="25"/>
      <c r="C40" s="24"/>
      <c r="D40" s="24"/>
      <c r="E40" s="24"/>
      <c r="F40" s="24"/>
      <c r="G40" s="29"/>
      <c r="H40" s="24"/>
      <c r="I40" s="24"/>
      <c r="J40" s="24"/>
      <c r="K40" s="25"/>
      <c r="L40" s="24"/>
      <c r="M40" s="24"/>
      <c r="N40" s="24"/>
      <c r="O40" s="26" t="str">
        <f aca="false">IF($E40="","",IFERROR(INDEX(LOT_EXTE,MATCH($E40,LOT_KEY,0)),""))</f>
        <v/>
      </c>
      <c r="P40" s="26" t="str">
        <f aca="false">IF($E40="","",IFERROR(INDEX(LOT_PRODE,MATCH($E40,LOT_KEY,0)),"LOT NON REFERENCE"))</f>
        <v/>
      </c>
      <c r="Q40" s="26" t="str">
        <f aca="false">IF($E40="","",IFERROR(INDEX(LOT_FOURNE,MATCH($E40,LOT_KEY,0)),""))</f>
        <v/>
      </c>
      <c r="R40" s="28" t="n">
        <f aca="false">IF($D40="",0,IF(OR($B40="",$C40="",$E40="",NOT(ISNUMBER($G40)),$G40&lt;=0),0,IF($D40="STOCK EXISTANT",IF($F40="",0,1),1)))</f>
        <v>0</v>
      </c>
      <c r="S40" s="27" t="str">
        <f aca="false">IF(OR($R40=0,$D40&lt;&gt;"STOCK EXISTANT"),"",SUMIFS(MVT_BRUT,MVT_LOT,$E40,MVT_EMPL,$F40)+$G40)</f>
        <v/>
      </c>
      <c r="T40" s="27" t="str">
        <f aca="false">IF($A40="","",SUMIFS(RES_QTEVAL,RES_IDST,$A40))</f>
        <v/>
      </c>
      <c r="U40" s="28" t="str">
        <f aca="false">IF($A40="","",COUNTIFS(RES_IDST,$A40))</f>
        <v/>
      </c>
      <c r="V40" s="27" t="str">
        <f aca="false">IF(OR($A40="",$U40=0),"",$G40-$T40)</f>
        <v/>
      </c>
      <c r="W40" s="30" t="str">
        <f aca="false">IF(OR($A40="",$U40=0,NOT(ISNUMBER($G40)),$G40&lt;=0),"",$T40/$G40)</f>
        <v/>
      </c>
      <c r="X40" s="26" t="str">
        <f aca="false">IF($D40="","",IF($R40=0,"DONNEES MANQUANTES",IF($D40="STOCK EXISTANT",IF($S40&lt;=0,"EMPLACEMENT INCOHERENT",IF($G40&gt;$S40+0.001,"STOCK INSUFFISANT",IF($U40=0,"EN COURS",IF($T40&gt;$G40+0.001,"BLOQUE",IF(AND($V40&gt;P_TOL,$L40=""),"A JUSTIFIER","OK"))))),IF($U40=0,"EN COURS",IF($T40&gt;$G40+0.001,"BLOQUE",IF(AND($V40&gt;P_TOL,$L40=""),"A JUSTIFIER","OK"))))))</f>
        <v/>
      </c>
      <c r="Y40" s="28" t="n">
        <f aca="false">IF(OR($X40="",$X40="DONNEES MANQUANTES",$X40="EMPLACEMENT INCOHERENT",$X40="STOCK INSUFFISANT"),0,1)</f>
        <v>0</v>
      </c>
      <c r="Z40" s="26" t="str">
        <f aca="false">IF($D40="","",IF($R40=0,"A COMPLETER : "&amp;IF($B40="","DATE ENVOI; ","")&amp;IF($C40="","SOUS-TRAITANT; ","")&amp;IF($E40="","LOT SOURCE; ","")&amp;IF(OR(NOT(ISNUMBER($G40)),$G40&lt;=0),"QTE ENVOYEE &gt; 0; ","")&amp;IF(AND($D40="STOCK EXISTANT",$F40=""),"EMPL. SOURCE; ",""),IF($X40="EMPLACEMENT INCOHERENT","Le lot "&amp;$E40&amp;" n'existe pas sur "&amp;$F40&amp;" (stock 0).",IF($X40="STOCK INSUFFISANT","Disponible avant envoi : "&amp;TEXT($S40,"#,##0.00")&amp;" kg. Ligne NON comptee en stock.",IF($X40="BLOQUE","Total des sorties ("&amp;TEXT($T40,"#,##0.00")&amp;" kg) superieur a la quantite envoyee.",IF($X40="EN COURS","Envoi enregistre, resultats non connus. A completer dans ST_RESULTATS.",IF($X40="A JUSTIFIER","Ecart de "&amp;TEXT($V40,"#,##0.00")&amp;" kg : renseigner JUSTIFICATION ECART (colonne L).",IF($P40="LOT NON REFERENCE","Creer d'abord la fiche du lot dans l'onglet LOTS.",""))))))))</f>
        <v/>
      </c>
      <c r="AA40" s="27" t="n">
        <f aca="false">IF(OR($Y40=0,$U40&gt;0),0,$G40)</f>
        <v>0</v>
      </c>
      <c r="AB40" s="26" t="n">
        <f aca="false">IF($R40=0,0,IF(OR($E40=R_LOT,COUNTIFS(RES_IDST,$A40,RES_LOTEFF,R_LOT)&gt;0),1,0))</f>
        <v>0</v>
      </c>
      <c r="AC40" s="26" t="str">
        <f aca="false">IF($AB40=0,"",COUNTIF($AB$5:$AB40,1))</f>
        <v/>
      </c>
    </row>
    <row r="41" customFormat="false" ht="15" hidden="false" customHeight="false" outlineLevel="0" collapsed="false">
      <c r="A41" s="26" t="str">
        <f aca="false">IF($D41="","","ST-"&amp;TEXT(ROW()-4,"000"))</f>
        <v/>
      </c>
      <c r="B41" s="25"/>
      <c r="C41" s="24"/>
      <c r="D41" s="24"/>
      <c r="E41" s="24"/>
      <c r="F41" s="24"/>
      <c r="G41" s="29"/>
      <c r="H41" s="24"/>
      <c r="I41" s="24"/>
      <c r="J41" s="24"/>
      <c r="K41" s="25"/>
      <c r="L41" s="24"/>
      <c r="M41" s="24"/>
      <c r="N41" s="24"/>
      <c r="O41" s="26" t="str">
        <f aca="false">IF($E41="","",IFERROR(INDEX(LOT_EXTE,MATCH($E41,LOT_KEY,0)),""))</f>
        <v/>
      </c>
      <c r="P41" s="26" t="str">
        <f aca="false">IF($E41="","",IFERROR(INDEX(LOT_PRODE,MATCH($E41,LOT_KEY,0)),"LOT NON REFERENCE"))</f>
        <v/>
      </c>
      <c r="Q41" s="26" t="str">
        <f aca="false">IF($E41="","",IFERROR(INDEX(LOT_FOURNE,MATCH($E41,LOT_KEY,0)),""))</f>
        <v/>
      </c>
      <c r="R41" s="28" t="n">
        <f aca="false">IF($D41="",0,IF(OR($B41="",$C41="",$E41="",NOT(ISNUMBER($G41)),$G41&lt;=0),0,IF($D41="STOCK EXISTANT",IF($F41="",0,1),1)))</f>
        <v>0</v>
      </c>
      <c r="S41" s="27" t="str">
        <f aca="false">IF(OR($R41=0,$D41&lt;&gt;"STOCK EXISTANT"),"",SUMIFS(MVT_BRUT,MVT_LOT,$E41,MVT_EMPL,$F41)+$G41)</f>
        <v/>
      </c>
      <c r="T41" s="27" t="str">
        <f aca="false">IF($A41="","",SUMIFS(RES_QTEVAL,RES_IDST,$A41))</f>
        <v/>
      </c>
      <c r="U41" s="28" t="str">
        <f aca="false">IF($A41="","",COUNTIFS(RES_IDST,$A41))</f>
        <v/>
      </c>
      <c r="V41" s="27" t="str">
        <f aca="false">IF(OR($A41="",$U41=0),"",$G41-$T41)</f>
        <v/>
      </c>
      <c r="W41" s="30" t="str">
        <f aca="false">IF(OR($A41="",$U41=0,NOT(ISNUMBER($G41)),$G41&lt;=0),"",$T41/$G41)</f>
        <v/>
      </c>
      <c r="X41" s="26" t="str">
        <f aca="false">IF($D41="","",IF($R41=0,"DONNEES MANQUANTES",IF($D41="STOCK EXISTANT",IF($S41&lt;=0,"EMPLACEMENT INCOHERENT",IF($G41&gt;$S41+0.001,"STOCK INSUFFISANT",IF($U41=0,"EN COURS",IF($T41&gt;$G41+0.001,"BLOQUE",IF(AND($V41&gt;P_TOL,$L41=""),"A JUSTIFIER","OK"))))),IF($U41=0,"EN COURS",IF($T41&gt;$G41+0.001,"BLOQUE",IF(AND($V41&gt;P_TOL,$L41=""),"A JUSTIFIER","OK"))))))</f>
        <v/>
      </c>
      <c r="Y41" s="28" t="n">
        <f aca="false">IF(OR($X41="",$X41="DONNEES MANQUANTES",$X41="EMPLACEMENT INCOHERENT",$X41="STOCK INSUFFISANT"),0,1)</f>
        <v>0</v>
      </c>
      <c r="Z41" s="26" t="str">
        <f aca="false">IF($D41="","",IF($R41=0,"A COMPLETER : "&amp;IF($B41="","DATE ENVOI; ","")&amp;IF($C41="","SOUS-TRAITANT; ","")&amp;IF($E41="","LOT SOURCE; ","")&amp;IF(OR(NOT(ISNUMBER($G41)),$G41&lt;=0),"QTE ENVOYEE &gt; 0; ","")&amp;IF(AND($D41="STOCK EXISTANT",$F41=""),"EMPL. SOURCE; ",""),IF($X41="EMPLACEMENT INCOHERENT","Le lot "&amp;$E41&amp;" n'existe pas sur "&amp;$F41&amp;" (stock 0).",IF($X41="STOCK INSUFFISANT","Disponible avant envoi : "&amp;TEXT($S41,"#,##0.00")&amp;" kg. Ligne NON comptee en stock.",IF($X41="BLOQUE","Total des sorties ("&amp;TEXT($T41,"#,##0.00")&amp;" kg) superieur a la quantite envoyee.",IF($X41="EN COURS","Envoi enregistre, resultats non connus. A completer dans ST_RESULTATS.",IF($X41="A JUSTIFIER","Ecart de "&amp;TEXT($V41,"#,##0.00")&amp;" kg : renseigner JUSTIFICATION ECART (colonne L).",IF($P41="LOT NON REFERENCE","Creer d'abord la fiche du lot dans l'onglet LOTS.",""))))))))</f>
        <v/>
      </c>
      <c r="AA41" s="27" t="n">
        <f aca="false">IF(OR($Y41=0,$U41&gt;0),0,$G41)</f>
        <v>0</v>
      </c>
      <c r="AB41" s="26" t="n">
        <f aca="false">IF($R41=0,0,IF(OR($E41=R_LOT,COUNTIFS(RES_IDST,$A41,RES_LOTEFF,R_LOT)&gt;0),1,0))</f>
        <v>0</v>
      </c>
      <c r="AC41" s="26" t="str">
        <f aca="false">IF($AB41=0,"",COUNTIF($AB$5:$AB41,1))</f>
        <v/>
      </c>
    </row>
    <row r="42" customFormat="false" ht="15" hidden="false" customHeight="false" outlineLevel="0" collapsed="false">
      <c r="A42" s="26" t="str">
        <f aca="false">IF($D42="","","ST-"&amp;TEXT(ROW()-4,"000"))</f>
        <v/>
      </c>
      <c r="B42" s="25"/>
      <c r="C42" s="24"/>
      <c r="D42" s="24"/>
      <c r="E42" s="24"/>
      <c r="F42" s="24"/>
      <c r="G42" s="29"/>
      <c r="H42" s="24"/>
      <c r="I42" s="24"/>
      <c r="J42" s="24"/>
      <c r="K42" s="25"/>
      <c r="L42" s="24"/>
      <c r="M42" s="24"/>
      <c r="N42" s="24"/>
      <c r="O42" s="26" t="str">
        <f aca="false">IF($E42="","",IFERROR(INDEX(LOT_EXTE,MATCH($E42,LOT_KEY,0)),""))</f>
        <v/>
      </c>
      <c r="P42" s="26" t="str">
        <f aca="false">IF($E42="","",IFERROR(INDEX(LOT_PRODE,MATCH($E42,LOT_KEY,0)),"LOT NON REFERENCE"))</f>
        <v/>
      </c>
      <c r="Q42" s="26" t="str">
        <f aca="false">IF($E42="","",IFERROR(INDEX(LOT_FOURNE,MATCH($E42,LOT_KEY,0)),""))</f>
        <v/>
      </c>
      <c r="R42" s="28" t="n">
        <f aca="false">IF($D42="",0,IF(OR($B42="",$C42="",$E42="",NOT(ISNUMBER($G42)),$G42&lt;=0),0,IF($D42="STOCK EXISTANT",IF($F42="",0,1),1)))</f>
        <v>0</v>
      </c>
      <c r="S42" s="27" t="str">
        <f aca="false">IF(OR($R42=0,$D42&lt;&gt;"STOCK EXISTANT"),"",SUMIFS(MVT_BRUT,MVT_LOT,$E42,MVT_EMPL,$F42)+$G42)</f>
        <v/>
      </c>
      <c r="T42" s="27" t="str">
        <f aca="false">IF($A42="","",SUMIFS(RES_QTEVAL,RES_IDST,$A42))</f>
        <v/>
      </c>
      <c r="U42" s="28" t="str">
        <f aca="false">IF($A42="","",COUNTIFS(RES_IDST,$A42))</f>
        <v/>
      </c>
      <c r="V42" s="27" t="str">
        <f aca="false">IF(OR($A42="",$U42=0),"",$G42-$T42)</f>
        <v/>
      </c>
      <c r="W42" s="30" t="str">
        <f aca="false">IF(OR($A42="",$U42=0,NOT(ISNUMBER($G42)),$G42&lt;=0),"",$T42/$G42)</f>
        <v/>
      </c>
      <c r="X42" s="26" t="str">
        <f aca="false">IF($D42="","",IF($R42=0,"DONNEES MANQUANTES",IF($D42="STOCK EXISTANT",IF($S42&lt;=0,"EMPLACEMENT INCOHERENT",IF($G42&gt;$S42+0.001,"STOCK INSUFFISANT",IF($U42=0,"EN COURS",IF($T42&gt;$G42+0.001,"BLOQUE",IF(AND($V42&gt;P_TOL,$L42=""),"A JUSTIFIER","OK"))))),IF($U42=0,"EN COURS",IF($T42&gt;$G42+0.001,"BLOQUE",IF(AND($V42&gt;P_TOL,$L42=""),"A JUSTIFIER","OK"))))))</f>
        <v/>
      </c>
      <c r="Y42" s="28" t="n">
        <f aca="false">IF(OR($X42="",$X42="DONNEES MANQUANTES",$X42="EMPLACEMENT INCOHERENT",$X42="STOCK INSUFFISANT"),0,1)</f>
        <v>0</v>
      </c>
      <c r="Z42" s="26" t="str">
        <f aca="false">IF($D42="","",IF($R42=0,"A COMPLETER : "&amp;IF($B42="","DATE ENVOI; ","")&amp;IF($C42="","SOUS-TRAITANT; ","")&amp;IF($E42="","LOT SOURCE; ","")&amp;IF(OR(NOT(ISNUMBER($G42)),$G42&lt;=0),"QTE ENVOYEE &gt; 0; ","")&amp;IF(AND($D42="STOCK EXISTANT",$F42=""),"EMPL. SOURCE; ",""),IF($X42="EMPLACEMENT INCOHERENT","Le lot "&amp;$E42&amp;" n'existe pas sur "&amp;$F42&amp;" (stock 0).",IF($X42="STOCK INSUFFISANT","Disponible avant envoi : "&amp;TEXT($S42,"#,##0.00")&amp;" kg. Ligne NON comptee en stock.",IF($X42="BLOQUE","Total des sorties ("&amp;TEXT($T42,"#,##0.00")&amp;" kg) superieur a la quantite envoyee.",IF($X42="EN COURS","Envoi enregistre, resultats non connus. A completer dans ST_RESULTATS.",IF($X42="A JUSTIFIER","Ecart de "&amp;TEXT($V42,"#,##0.00")&amp;" kg : renseigner JUSTIFICATION ECART (colonne L).",IF($P42="LOT NON REFERENCE","Creer d'abord la fiche du lot dans l'onglet LOTS.",""))))))))</f>
        <v/>
      </c>
      <c r="AA42" s="27" t="n">
        <f aca="false">IF(OR($Y42=0,$U42&gt;0),0,$G42)</f>
        <v>0</v>
      </c>
      <c r="AB42" s="26" t="n">
        <f aca="false">IF($R42=0,0,IF(OR($E42=R_LOT,COUNTIFS(RES_IDST,$A42,RES_LOTEFF,R_LOT)&gt;0),1,0))</f>
        <v>0</v>
      </c>
      <c r="AC42" s="26" t="str">
        <f aca="false">IF($AB42=0,"",COUNTIF($AB$5:$AB42,1))</f>
        <v/>
      </c>
    </row>
    <row r="43" customFormat="false" ht="15" hidden="false" customHeight="false" outlineLevel="0" collapsed="false">
      <c r="A43" s="26" t="str">
        <f aca="false">IF($D43="","","ST-"&amp;TEXT(ROW()-4,"000"))</f>
        <v/>
      </c>
      <c r="B43" s="25"/>
      <c r="C43" s="24"/>
      <c r="D43" s="24"/>
      <c r="E43" s="24"/>
      <c r="F43" s="24"/>
      <c r="G43" s="29"/>
      <c r="H43" s="24"/>
      <c r="I43" s="24"/>
      <c r="J43" s="24"/>
      <c r="K43" s="25"/>
      <c r="L43" s="24"/>
      <c r="M43" s="24"/>
      <c r="N43" s="24"/>
      <c r="O43" s="26" t="str">
        <f aca="false">IF($E43="","",IFERROR(INDEX(LOT_EXTE,MATCH($E43,LOT_KEY,0)),""))</f>
        <v/>
      </c>
      <c r="P43" s="26" t="str">
        <f aca="false">IF($E43="","",IFERROR(INDEX(LOT_PRODE,MATCH($E43,LOT_KEY,0)),"LOT NON REFERENCE"))</f>
        <v/>
      </c>
      <c r="Q43" s="26" t="str">
        <f aca="false">IF($E43="","",IFERROR(INDEX(LOT_FOURNE,MATCH($E43,LOT_KEY,0)),""))</f>
        <v/>
      </c>
      <c r="R43" s="28" t="n">
        <f aca="false">IF($D43="",0,IF(OR($B43="",$C43="",$E43="",NOT(ISNUMBER($G43)),$G43&lt;=0),0,IF($D43="STOCK EXISTANT",IF($F43="",0,1),1)))</f>
        <v>0</v>
      </c>
      <c r="S43" s="27" t="str">
        <f aca="false">IF(OR($R43=0,$D43&lt;&gt;"STOCK EXISTANT"),"",SUMIFS(MVT_BRUT,MVT_LOT,$E43,MVT_EMPL,$F43)+$G43)</f>
        <v/>
      </c>
      <c r="T43" s="27" t="str">
        <f aca="false">IF($A43="","",SUMIFS(RES_QTEVAL,RES_IDST,$A43))</f>
        <v/>
      </c>
      <c r="U43" s="28" t="str">
        <f aca="false">IF($A43="","",COUNTIFS(RES_IDST,$A43))</f>
        <v/>
      </c>
      <c r="V43" s="27" t="str">
        <f aca="false">IF(OR($A43="",$U43=0),"",$G43-$T43)</f>
        <v/>
      </c>
      <c r="W43" s="30" t="str">
        <f aca="false">IF(OR($A43="",$U43=0,NOT(ISNUMBER($G43)),$G43&lt;=0),"",$T43/$G43)</f>
        <v/>
      </c>
      <c r="X43" s="26" t="str">
        <f aca="false">IF($D43="","",IF($R43=0,"DONNEES MANQUANTES",IF($D43="STOCK EXISTANT",IF($S43&lt;=0,"EMPLACEMENT INCOHERENT",IF($G43&gt;$S43+0.001,"STOCK INSUFFISANT",IF($U43=0,"EN COURS",IF($T43&gt;$G43+0.001,"BLOQUE",IF(AND($V43&gt;P_TOL,$L43=""),"A JUSTIFIER","OK"))))),IF($U43=0,"EN COURS",IF($T43&gt;$G43+0.001,"BLOQUE",IF(AND($V43&gt;P_TOL,$L43=""),"A JUSTIFIER","OK"))))))</f>
        <v/>
      </c>
      <c r="Y43" s="28" t="n">
        <f aca="false">IF(OR($X43="",$X43="DONNEES MANQUANTES",$X43="EMPLACEMENT INCOHERENT",$X43="STOCK INSUFFISANT"),0,1)</f>
        <v>0</v>
      </c>
      <c r="Z43" s="26" t="str">
        <f aca="false">IF($D43="","",IF($R43=0,"A COMPLETER : "&amp;IF($B43="","DATE ENVOI; ","")&amp;IF($C43="","SOUS-TRAITANT; ","")&amp;IF($E43="","LOT SOURCE; ","")&amp;IF(OR(NOT(ISNUMBER($G43)),$G43&lt;=0),"QTE ENVOYEE &gt; 0; ","")&amp;IF(AND($D43="STOCK EXISTANT",$F43=""),"EMPL. SOURCE; ",""),IF($X43="EMPLACEMENT INCOHERENT","Le lot "&amp;$E43&amp;" n'existe pas sur "&amp;$F43&amp;" (stock 0).",IF($X43="STOCK INSUFFISANT","Disponible avant envoi : "&amp;TEXT($S43,"#,##0.00")&amp;" kg. Ligne NON comptee en stock.",IF($X43="BLOQUE","Total des sorties ("&amp;TEXT($T43,"#,##0.00")&amp;" kg) superieur a la quantite envoyee.",IF($X43="EN COURS","Envoi enregistre, resultats non connus. A completer dans ST_RESULTATS.",IF($X43="A JUSTIFIER","Ecart de "&amp;TEXT($V43,"#,##0.00")&amp;" kg : renseigner JUSTIFICATION ECART (colonne L).",IF($P43="LOT NON REFERENCE","Creer d'abord la fiche du lot dans l'onglet LOTS.",""))))))))</f>
        <v/>
      </c>
      <c r="AA43" s="27" t="n">
        <f aca="false">IF(OR($Y43=0,$U43&gt;0),0,$G43)</f>
        <v>0</v>
      </c>
      <c r="AB43" s="26" t="n">
        <f aca="false">IF($R43=0,0,IF(OR($E43=R_LOT,COUNTIFS(RES_IDST,$A43,RES_LOTEFF,R_LOT)&gt;0),1,0))</f>
        <v>0</v>
      </c>
      <c r="AC43" s="26" t="str">
        <f aca="false">IF($AB43=0,"",COUNTIF($AB$5:$AB43,1))</f>
        <v/>
      </c>
    </row>
    <row r="44" customFormat="false" ht="15" hidden="false" customHeight="false" outlineLevel="0" collapsed="false">
      <c r="A44" s="26" t="str">
        <f aca="false">IF($D44="","","ST-"&amp;TEXT(ROW()-4,"000"))</f>
        <v/>
      </c>
      <c r="B44" s="25"/>
      <c r="C44" s="24"/>
      <c r="D44" s="24"/>
      <c r="E44" s="24"/>
      <c r="F44" s="24"/>
      <c r="G44" s="29"/>
      <c r="H44" s="24"/>
      <c r="I44" s="24"/>
      <c r="J44" s="24"/>
      <c r="K44" s="25"/>
      <c r="L44" s="24"/>
      <c r="M44" s="24"/>
      <c r="N44" s="24"/>
      <c r="O44" s="26" t="str">
        <f aca="false">IF($E44="","",IFERROR(INDEX(LOT_EXTE,MATCH($E44,LOT_KEY,0)),""))</f>
        <v/>
      </c>
      <c r="P44" s="26" t="str">
        <f aca="false">IF($E44="","",IFERROR(INDEX(LOT_PRODE,MATCH($E44,LOT_KEY,0)),"LOT NON REFERENCE"))</f>
        <v/>
      </c>
      <c r="Q44" s="26" t="str">
        <f aca="false">IF($E44="","",IFERROR(INDEX(LOT_FOURNE,MATCH($E44,LOT_KEY,0)),""))</f>
        <v/>
      </c>
      <c r="R44" s="28" t="n">
        <f aca="false">IF($D44="",0,IF(OR($B44="",$C44="",$E44="",NOT(ISNUMBER($G44)),$G44&lt;=0),0,IF($D44="STOCK EXISTANT",IF($F44="",0,1),1)))</f>
        <v>0</v>
      </c>
      <c r="S44" s="27" t="str">
        <f aca="false">IF(OR($R44=0,$D44&lt;&gt;"STOCK EXISTANT"),"",SUMIFS(MVT_BRUT,MVT_LOT,$E44,MVT_EMPL,$F44)+$G44)</f>
        <v/>
      </c>
      <c r="T44" s="27" t="str">
        <f aca="false">IF($A44="","",SUMIFS(RES_QTEVAL,RES_IDST,$A44))</f>
        <v/>
      </c>
      <c r="U44" s="28" t="str">
        <f aca="false">IF($A44="","",COUNTIFS(RES_IDST,$A44))</f>
        <v/>
      </c>
      <c r="V44" s="27" t="str">
        <f aca="false">IF(OR($A44="",$U44=0),"",$G44-$T44)</f>
        <v/>
      </c>
      <c r="W44" s="30" t="str">
        <f aca="false">IF(OR($A44="",$U44=0,NOT(ISNUMBER($G44)),$G44&lt;=0),"",$T44/$G44)</f>
        <v/>
      </c>
      <c r="X44" s="26" t="str">
        <f aca="false">IF($D44="","",IF($R44=0,"DONNEES MANQUANTES",IF($D44="STOCK EXISTANT",IF($S44&lt;=0,"EMPLACEMENT INCOHERENT",IF($G44&gt;$S44+0.001,"STOCK INSUFFISANT",IF($U44=0,"EN COURS",IF($T44&gt;$G44+0.001,"BLOQUE",IF(AND($V44&gt;P_TOL,$L44=""),"A JUSTIFIER","OK"))))),IF($U44=0,"EN COURS",IF($T44&gt;$G44+0.001,"BLOQUE",IF(AND($V44&gt;P_TOL,$L44=""),"A JUSTIFIER","OK"))))))</f>
        <v/>
      </c>
      <c r="Y44" s="28" t="n">
        <f aca="false">IF(OR($X44="",$X44="DONNEES MANQUANTES",$X44="EMPLACEMENT INCOHERENT",$X44="STOCK INSUFFISANT"),0,1)</f>
        <v>0</v>
      </c>
      <c r="Z44" s="26" t="str">
        <f aca="false">IF($D44="","",IF($R44=0,"A COMPLETER : "&amp;IF($B44="","DATE ENVOI; ","")&amp;IF($C44="","SOUS-TRAITANT; ","")&amp;IF($E44="","LOT SOURCE; ","")&amp;IF(OR(NOT(ISNUMBER($G44)),$G44&lt;=0),"QTE ENVOYEE &gt; 0; ","")&amp;IF(AND($D44="STOCK EXISTANT",$F44=""),"EMPL. SOURCE; ",""),IF($X44="EMPLACEMENT INCOHERENT","Le lot "&amp;$E44&amp;" n'existe pas sur "&amp;$F44&amp;" (stock 0).",IF($X44="STOCK INSUFFISANT","Disponible avant envoi : "&amp;TEXT($S44,"#,##0.00")&amp;" kg. Ligne NON comptee en stock.",IF($X44="BLOQUE","Total des sorties ("&amp;TEXT($T44,"#,##0.00")&amp;" kg) superieur a la quantite envoyee.",IF($X44="EN COURS","Envoi enregistre, resultats non connus. A completer dans ST_RESULTATS.",IF($X44="A JUSTIFIER","Ecart de "&amp;TEXT($V44,"#,##0.00")&amp;" kg : renseigner JUSTIFICATION ECART (colonne L).",IF($P44="LOT NON REFERENCE","Creer d'abord la fiche du lot dans l'onglet LOTS.",""))))))))</f>
        <v/>
      </c>
      <c r="AA44" s="27" t="n">
        <f aca="false">IF(OR($Y44=0,$U44&gt;0),0,$G44)</f>
        <v>0</v>
      </c>
      <c r="AB44" s="26" t="n">
        <f aca="false">IF($R44=0,0,IF(OR($E44=R_LOT,COUNTIFS(RES_IDST,$A44,RES_LOTEFF,R_LOT)&gt;0),1,0))</f>
        <v>0</v>
      </c>
      <c r="AC44" s="26" t="str">
        <f aca="false">IF($AB44=0,"",COUNTIF($AB$5:$AB44,1))</f>
        <v/>
      </c>
    </row>
    <row r="45" customFormat="false" ht="15" hidden="false" customHeight="false" outlineLevel="0" collapsed="false">
      <c r="A45" s="26" t="str">
        <f aca="false">IF($D45="","","ST-"&amp;TEXT(ROW()-4,"000"))</f>
        <v/>
      </c>
      <c r="B45" s="25"/>
      <c r="C45" s="24"/>
      <c r="D45" s="24"/>
      <c r="E45" s="24"/>
      <c r="F45" s="24"/>
      <c r="G45" s="29"/>
      <c r="H45" s="24"/>
      <c r="I45" s="24"/>
      <c r="J45" s="24"/>
      <c r="K45" s="25"/>
      <c r="L45" s="24"/>
      <c r="M45" s="24"/>
      <c r="N45" s="24"/>
      <c r="O45" s="26" t="str">
        <f aca="false">IF($E45="","",IFERROR(INDEX(LOT_EXTE,MATCH($E45,LOT_KEY,0)),""))</f>
        <v/>
      </c>
      <c r="P45" s="26" t="str">
        <f aca="false">IF($E45="","",IFERROR(INDEX(LOT_PRODE,MATCH($E45,LOT_KEY,0)),"LOT NON REFERENCE"))</f>
        <v/>
      </c>
      <c r="Q45" s="26" t="str">
        <f aca="false">IF($E45="","",IFERROR(INDEX(LOT_FOURNE,MATCH($E45,LOT_KEY,0)),""))</f>
        <v/>
      </c>
      <c r="R45" s="28" t="n">
        <f aca="false">IF($D45="",0,IF(OR($B45="",$C45="",$E45="",NOT(ISNUMBER($G45)),$G45&lt;=0),0,IF($D45="STOCK EXISTANT",IF($F45="",0,1),1)))</f>
        <v>0</v>
      </c>
      <c r="S45" s="27" t="str">
        <f aca="false">IF(OR($R45=0,$D45&lt;&gt;"STOCK EXISTANT"),"",SUMIFS(MVT_BRUT,MVT_LOT,$E45,MVT_EMPL,$F45)+$G45)</f>
        <v/>
      </c>
      <c r="T45" s="27" t="str">
        <f aca="false">IF($A45="","",SUMIFS(RES_QTEVAL,RES_IDST,$A45))</f>
        <v/>
      </c>
      <c r="U45" s="28" t="str">
        <f aca="false">IF($A45="","",COUNTIFS(RES_IDST,$A45))</f>
        <v/>
      </c>
      <c r="V45" s="27" t="str">
        <f aca="false">IF(OR($A45="",$U45=0),"",$G45-$T45)</f>
        <v/>
      </c>
      <c r="W45" s="30" t="str">
        <f aca="false">IF(OR($A45="",$U45=0,NOT(ISNUMBER($G45)),$G45&lt;=0),"",$T45/$G45)</f>
        <v/>
      </c>
      <c r="X45" s="26" t="str">
        <f aca="false">IF($D45="","",IF($R45=0,"DONNEES MANQUANTES",IF($D45="STOCK EXISTANT",IF($S45&lt;=0,"EMPLACEMENT INCOHERENT",IF($G45&gt;$S45+0.001,"STOCK INSUFFISANT",IF($U45=0,"EN COURS",IF($T45&gt;$G45+0.001,"BLOQUE",IF(AND($V45&gt;P_TOL,$L45=""),"A JUSTIFIER","OK"))))),IF($U45=0,"EN COURS",IF($T45&gt;$G45+0.001,"BLOQUE",IF(AND($V45&gt;P_TOL,$L45=""),"A JUSTIFIER","OK"))))))</f>
        <v/>
      </c>
      <c r="Y45" s="28" t="n">
        <f aca="false">IF(OR($X45="",$X45="DONNEES MANQUANTES",$X45="EMPLACEMENT INCOHERENT",$X45="STOCK INSUFFISANT"),0,1)</f>
        <v>0</v>
      </c>
      <c r="Z45" s="26" t="str">
        <f aca="false">IF($D45="","",IF($R45=0,"A COMPLETER : "&amp;IF($B45="","DATE ENVOI; ","")&amp;IF($C45="","SOUS-TRAITANT; ","")&amp;IF($E45="","LOT SOURCE; ","")&amp;IF(OR(NOT(ISNUMBER($G45)),$G45&lt;=0),"QTE ENVOYEE &gt; 0; ","")&amp;IF(AND($D45="STOCK EXISTANT",$F45=""),"EMPL. SOURCE; ",""),IF($X45="EMPLACEMENT INCOHERENT","Le lot "&amp;$E45&amp;" n'existe pas sur "&amp;$F45&amp;" (stock 0).",IF($X45="STOCK INSUFFISANT","Disponible avant envoi : "&amp;TEXT($S45,"#,##0.00")&amp;" kg. Ligne NON comptee en stock.",IF($X45="BLOQUE","Total des sorties ("&amp;TEXT($T45,"#,##0.00")&amp;" kg) superieur a la quantite envoyee.",IF($X45="EN COURS","Envoi enregistre, resultats non connus. A completer dans ST_RESULTATS.",IF($X45="A JUSTIFIER","Ecart de "&amp;TEXT($V45,"#,##0.00")&amp;" kg : renseigner JUSTIFICATION ECART (colonne L).",IF($P45="LOT NON REFERENCE","Creer d'abord la fiche du lot dans l'onglet LOTS.",""))))))))</f>
        <v/>
      </c>
      <c r="AA45" s="27" t="n">
        <f aca="false">IF(OR($Y45=0,$U45&gt;0),0,$G45)</f>
        <v>0</v>
      </c>
      <c r="AB45" s="26" t="n">
        <f aca="false">IF($R45=0,0,IF(OR($E45=R_LOT,COUNTIFS(RES_IDST,$A45,RES_LOTEFF,R_LOT)&gt;0),1,0))</f>
        <v>0</v>
      </c>
      <c r="AC45" s="26" t="str">
        <f aca="false">IF($AB45=0,"",COUNTIF($AB$5:$AB45,1))</f>
        <v/>
      </c>
    </row>
    <row r="46" customFormat="false" ht="15" hidden="false" customHeight="false" outlineLevel="0" collapsed="false">
      <c r="A46" s="26" t="str">
        <f aca="false">IF($D46="","","ST-"&amp;TEXT(ROW()-4,"000"))</f>
        <v/>
      </c>
      <c r="B46" s="25"/>
      <c r="C46" s="24"/>
      <c r="D46" s="24"/>
      <c r="E46" s="24"/>
      <c r="F46" s="24"/>
      <c r="G46" s="29"/>
      <c r="H46" s="24"/>
      <c r="I46" s="24"/>
      <c r="J46" s="24"/>
      <c r="K46" s="25"/>
      <c r="L46" s="24"/>
      <c r="M46" s="24"/>
      <c r="N46" s="24"/>
      <c r="O46" s="26" t="str">
        <f aca="false">IF($E46="","",IFERROR(INDEX(LOT_EXTE,MATCH($E46,LOT_KEY,0)),""))</f>
        <v/>
      </c>
      <c r="P46" s="26" t="str">
        <f aca="false">IF($E46="","",IFERROR(INDEX(LOT_PRODE,MATCH($E46,LOT_KEY,0)),"LOT NON REFERENCE"))</f>
        <v/>
      </c>
      <c r="Q46" s="26" t="str">
        <f aca="false">IF($E46="","",IFERROR(INDEX(LOT_FOURNE,MATCH($E46,LOT_KEY,0)),""))</f>
        <v/>
      </c>
      <c r="R46" s="28" t="n">
        <f aca="false">IF($D46="",0,IF(OR($B46="",$C46="",$E46="",NOT(ISNUMBER($G46)),$G46&lt;=0),0,IF($D46="STOCK EXISTANT",IF($F46="",0,1),1)))</f>
        <v>0</v>
      </c>
      <c r="S46" s="27" t="str">
        <f aca="false">IF(OR($R46=0,$D46&lt;&gt;"STOCK EXISTANT"),"",SUMIFS(MVT_BRUT,MVT_LOT,$E46,MVT_EMPL,$F46)+$G46)</f>
        <v/>
      </c>
      <c r="T46" s="27" t="str">
        <f aca="false">IF($A46="","",SUMIFS(RES_QTEVAL,RES_IDST,$A46))</f>
        <v/>
      </c>
      <c r="U46" s="28" t="str">
        <f aca="false">IF($A46="","",COUNTIFS(RES_IDST,$A46))</f>
        <v/>
      </c>
      <c r="V46" s="27" t="str">
        <f aca="false">IF(OR($A46="",$U46=0),"",$G46-$T46)</f>
        <v/>
      </c>
      <c r="W46" s="30" t="str">
        <f aca="false">IF(OR($A46="",$U46=0,NOT(ISNUMBER($G46)),$G46&lt;=0),"",$T46/$G46)</f>
        <v/>
      </c>
      <c r="X46" s="26" t="str">
        <f aca="false">IF($D46="","",IF($R46=0,"DONNEES MANQUANTES",IF($D46="STOCK EXISTANT",IF($S46&lt;=0,"EMPLACEMENT INCOHERENT",IF($G46&gt;$S46+0.001,"STOCK INSUFFISANT",IF($U46=0,"EN COURS",IF($T46&gt;$G46+0.001,"BLOQUE",IF(AND($V46&gt;P_TOL,$L46=""),"A JUSTIFIER","OK"))))),IF($U46=0,"EN COURS",IF($T46&gt;$G46+0.001,"BLOQUE",IF(AND($V46&gt;P_TOL,$L46=""),"A JUSTIFIER","OK"))))))</f>
        <v/>
      </c>
      <c r="Y46" s="28" t="n">
        <f aca="false">IF(OR($X46="",$X46="DONNEES MANQUANTES",$X46="EMPLACEMENT INCOHERENT",$X46="STOCK INSUFFISANT"),0,1)</f>
        <v>0</v>
      </c>
      <c r="Z46" s="26" t="str">
        <f aca="false">IF($D46="","",IF($R46=0,"A COMPLETER : "&amp;IF($B46="","DATE ENVOI; ","")&amp;IF($C46="","SOUS-TRAITANT; ","")&amp;IF($E46="","LOT SOURCE; ","")&amp;IF(OR(NOT(ISNUMBER($G46)),$G46&lt;=0),"QTE ENVOYEE &gt; 0; ","")&amp;IF(AND($D46="STOCK EXISTANT",$F46=""),"EMPL. SOURCE; ",""),IF($X46="EMPLACEMENT INCOHERENT","Le lot "&amp;$E46&amp;" n'existe pas sur "&amp;$F46&amp;" (stock 0).",IF($X46="STOCK INSUFFISANT","Disponible avant envoi : "&amp;TEXT($S46,"#,##0.00")&amp;" kg. Ligne NON comptee en stock.",IF($X46="BLOQUE","Total des sorties ("&amp;TEXT($T46,"#,##0.00")&amp;" kg) superieur a la quantite envoyee.",IF($X46="EN COURS","Envoi enregistre, resultats non connus. A completer dans ST_RESULTATS.",IF($X46="A JUSTIFIER","Ecart de "&amp;TEXT($V46,"#,##0.00")&amp;" kg : renseigner JUSTIFICATION ECART (colonne L).",IF($P46="LOT NON REFERENCE","Creer d'abord la fiche du lot dans l'onglet LOTS.",""))))))))</f>
        <v/>
      </c>
      <c r="AA46" s="27" t="n">
        <f aca="false">IF(OR($Y46=0,$U46&gt;0),0,$G46)</f>
        <v>0</v>
      </c>
      <c r="AB46" s="26" t="n">
        <f aca="false">IF($R46=0,0,IF(OR($E46=R_LOT,COUNTIFS(RES_IDST,$A46,RES_LOTEFF,R_LOT)&gt;0),1,0))</f>
        <v>0</v>
      </c>
      <c r="AC46" s="26" t="str">
        <f aca="false">IF($AB46=0,"",COUNTIF($AB$5:$AB46,1))</f>
        <v/>
      </c>
    </row>
    <row r="47" customFormat="false" ht="15" hidden="false" customHeight="false" outlineLevel="0" collapsed="false">
      <c r="A47" s="26" t="str">
        <f aca="false">IF($D47="","","ST-"&amp;TEXT(ROW()-4,"000"))</f>
        <v/>
      </c>
      <c r="B47" s="25"/>
      <c r="C47" s="24"/>
      <c r="D47" s="24"/>
      <c r="E47" s="24"/>
      <c r="F47" s="24"/>
      <c r="G47" s="29"/>
      <c r="H47" s="24"/>
      <c r="I47" s="24"/>
      <c r="J47" s="24"/>
      <c r="K47" s="25"/>
      <c r="L47" s="24"/>
      <c r="M47" s="24"/>
      <c r="N47" s="24"/>
      <c r="O47" s="26" t="str">
        <f aca="false">IF($E47="","",IFERROR(INDEX(LOT_EXTE,MATCH($E47,LOT_KEY,0)),""))</f>
        <v/>
      </c>
      <c r="P47" s="26" t="str">
        <f aca="false">IF($E47="","",IFERROR(INDEX(LOT_PRODE,MATCH($E47,LOT_KEY,0)),"LOT NON REFERENCE"))</f>
        <v/>
      </c>
      <c r="Q47" s="26" t="str">
        <f aca="false">IF($E47="","",IFERROR(INDEX(LOT_FOURNE,MATCH($E47,LOT_KEY,0)),""))</f>
        <v/>
      </c>
      <c r="R47" s="28" t="n">
        <f aca="false">IF($D47="",0,IF(OR($B47="",$C47="",$E47="",NOT(ISNUMBER($G47)),$G47&lt;=0),0,IF($D47="STOCK EXISTANT",IF($F47="",0,1),1)))</f>
        <v>0</v>
      </c>
      <c r="S47" s="27" t="str">
        <f aca="false">IF(OR($R47=0,$D47&lt;&gt;"STOCK EXISTANT"),"",SUMIFS(MVT_BRUT,MVT_LOT,$E47,MVT_EMPL,$F47)+$G47)</f>
        <v/>
      </c>
      <c r="T47" s="27" t="str">
        <f aca="false">IF($A47="","",SUMIFS(RES_QTEVAL,RES_IDST,$A47))</f>
        <v/>
      </c>
      <c r="U47" s="28" t="str">
        <f aca="false">IF($A47="","",COUNTIFS(RES_IDST,$A47))</f>
        <v/>
      </c>
      <c r="V47" s="27" t="str">
        <f aca="false">IF(OR($A47="",$U47=0),"",$G47-$T47)</f>
        <v/>
      </c>
      <c r="W47" s="30" t="str">
        <f aca="false">IF(OR($A47="",$U47=0,NOT(ISNUMBER($G47)),$G47&lt;=0),"",$T47/$G47)</f>
        <v/>
      </c>
      <c r="X47" s="26" t="str">
        <f aca="false">IF($D47="","",IF($R47=0,"DONNEES MANQUANTES",IF($D47="STOCK EXISTANT",IF($S47&lt;=0,"EMPLACEMENT INCOHERENT",IF($G47&gt;$S47+0.001,"STOCK INSUFFISANT",IF($U47=0,"EN COURS",IF($T47&gt;$G47+0.001,"BLOQUE",IF(AND($V47&gt;P_TOL,$L47=""),"A JUSTIFIER","OK"))))),IF($U47=0,"EN COURS",IF($T47&gt;$G47+0.001,"BLOQUE",IF(AND($V47&gt;P_TOL,$L47=""),"A JUSTIFIER","OK"))))))</f>
        <v/>
      </c>
      <c r="Y47" s="28" t="n">
        <f aca="false">IF(OR($X47="",$X47="DONNEES MANQUANTES",$X47="EMPLACEMENT INCOHERENT",$X47="STOCK INSUFFISANT"),0,1)</f>
        <v>0</v>
      </c>
      <c r="Z47" s="26" t="str">
        <f aca="false">IF($D47="","",IF($R47=0,"A COMPLETER : "&amp;IF($B47="","DATE ENVOI; ","")&amp;IF($C47="","SOUS-TRAITANT; ","")&amp;IF($E47="","LOT SOURCE; ","")&amp;IF(OR(NOT(ISNUMBER($G47)),$G47&lt;=0),"QTE ENVOYEE &gt; 0; ","")&amp;IF(AND($D47="STOCK EXISTANT",$F47=""),"EMPL. SOURCE; ",""),IF($X47="EMPLACEMENT INCOHERENT","Le lot "&amp;$E47&amp;" n'existe pas sur "&amp;$F47&amp;" (stock 0).",IF($X47="STOCK INSUFFISANT","Disponible avant envoi : "&amp;TEXT($S47,"#,##0.00")&amp;" kg. Ligne NON comptee en stock.",IF($X47="BLOQUE","Total des sorties ("&amp;TEXT($T47,"#,##0.00")&amp;" kg) superieur a la quantite envoyee.",IF($X47="EN COURS","Envoi enregistre, resultats non connus. A completer dans ST_RESULTATS.",IF($X47="A JUSTIFIER","Ecart de "&amp;TEXT($V47,"#,##0.00")&amp;" kg : renseigner JUSTIFICATION ECART (colonne L).",IF($P47="LOT NON REFERENCE","Creer d'abord la fiche du lot dans l'onglet LOTS.",""))))))))</f>
        <v/>
      </c>
      <c r="AA47" s="27" t="n">
        <f aca="false">IF(OR($Y47=0,$U47&gt;0),0,$G47)</f>
        <v>0</v>
      </c>
      <c r="AB47" s="26" t="n">
        <f aca="false">IF($R47=0,0,IF(OR($E47=R_LOT,COUNTIFS(RES_IDST,$A47,RES_LOTEFF,R_LOT)&gt;0),1,0))</f>
        <v>0</v>
      </c>
      <c r="AC47" s="26" t="str">
        <f aca="false">IF($AB47=0,"",COUNTIF($AB$5:$AB47,1))</f>
        <v/>
      </c>
    </row>
    <row r="48" customFormat="false" ht="15" hidden="false" customHeight="false" outlineLevel="0" collapsed="false">
      <c r="A48" s="26" t="str">
        <f aca="false">IF($D48="","","ST-"&amp;TEXT(ROW()-4,"000"))</f>
        <v/>
      </c>
      <c r="B48" s="25"/>
      <c r="C48" s="24"/>
      <c r="D48" s="24"/>
      <c r="E48" s="24"/>
      <c r="F48" s="24"/>
      <c r="G48" s="29"/>
      <c r="H48" s="24"/>
      <c r="I48" s="24"/>
      <c r="J48" s="24"/>
      <c r="K48" s="25"/>
      <c r="L48" s="24"/>
      <c r="M48" s="24"/>
      <c r="N48" s="24"/>
      <c r="O48" s="26" t="str">
        <f aca="false">IF($E48="","",IFERROR(INDEX(LOT_EXTE,MATCH($E48,LOT_KEY,0)),""))</f>
        <v/>
      </c>
      <c r="P48" s="26" t="str">
        <f aca="false">IF($E48="","",IFERROR(INDEX(LOT_PRODE,MATCH($E48,LOT_KEY,0)),"LOT NON REFERENCE"))</f>
        <v/>
      </c>
      <c r="Q48" s="26" t="str">
        <f aca="false">IF($E48="","",IFERROR(INDEX(LOT_FOURNE,MATCH($E48,LOT_KEY,0)),""))</f>
        <v/>
      </c>
      <c r="R48" s="28" t="n">
        <f aca="false">IF($D48="",0,IF(OR($B48="",$C48="",$E48="",NOT(ISNUMBER($G48)),$G48&lt;=0),0,IF($D48="STOCK EXISTANT",IF($F48="",0,1),1)))</f>
        <v>0</v>
      </c>
      <c r="S48" s="27" t="str">
        <f aca="false">IF(OR($R48=0,$D48&lt;&gt;"STOCK EXISTANT"),"",SUMIFS(MVT_BRUT,MVT_LOT,$E48,MVT_EMPL,$F48)+$G48)</f>
        <v/>
      </c>
      <c r="T48" s="27" t="str">
        <f aca="false">IF($A48="","",SUMIFS(RES_QTEVAL,RES_IDST,$A48))</f>
        <v/>
      </c>
      <c r="U48" s="28" t="str">
        <f aca="false">IF($A48="","",COUNTIFS(RES_IDST,$A48))</f>
        <v/>
      </c>
      <c r="V48" s="27" t="str">
        <f aca="false">IF(OR($A48="",$U48=0),"",$G48-$T48)</f>
        <v/>
      </c>
      <c r="W48" s="30" t="str">
        <f aca="false">IF(OR($A48="",$U48=0,NOT(ISNUMBER($G48)),$G48&lt;=0),"",$T48/$G48)</f>
        <v/>
      </c>
      <c r="X48" s="26" t="str">
        <f aca="false">IF($D48="","",IF($R48=0,"DONNEES MANQUANTES",IF($D48="STOCK EXISTANT",IF($S48&lt;=0,"EMPLACEMENT INCOHERENT",IF($G48&gt;$S48+0.001,"STOCK INSUFFISANT",IF($U48=0,"EN COURS",IF($T48&gt;$G48+0.001,"BLOQUE",IF(AND($V48&gt;P_TOL,$L48=""),"A JUSTIFIER","OK"))))),IF($U48=0,"EN COURS",IF($T48&gt;$G48+0.001,"BLOQUE",IF(AND($V48&gt;P_TOL,$L48=""),"A JUSTIFIER","OK"))))))</f>
        <v/>
      </c>
      <c r="Y48" s="28" t="n">
        <f aca="false">IF(OR($X48="",$X48="DONNEES MANQUANTES",$X48="EMPLACEMENT INCOHERENT",$X48="STOCK INSUFFISANT"),0,1)</f>
        <v>0</v>
      </c>
      <c r="Z48" s="26" t="str">
        <f aca="false">IF($D48="","",IF($R48=0,"A COMPLETER : "&amp;IF($B48="","DATE ENVOI; ","")&amp;IF($C48="","SOUS-TRAITANT; ","")&amp;IF($E48="","LOT SOURCE; ","")&amp;IF(OR(NOT(ISNUMBER($G48)),$G48&lt;=0),"QTE ENVOYEE &gt; 0; ","")&amp;IF(AND($D48="STOCK EXISTANT",$F48=""),"EMPL. SOURCE; ",""),IF($X48="EMPLACEMENT INCOHERENT","Le lot "&amp;$E48&amp;" n'existe pas sur "&amp;$F48&amp;" (stock 0).",IF($X48="STOCK INSUFFISANT","Disponible avant envoi : "&amp;TEXT($S48,"#,##0.00")&amp;" kg. Ligne NON comptee en stock.",IF($X48="BLOQUE","Total des sorties ("&amp;TEXT($T48,"#,##0.00")&amp;" kg) superieur a la quantite envoyee.",IF($X48="EN COURS","Envoi enregistre, resultats non connus. A completer dans ST_RESULTATS.",IF($X48="A JUSTIFIER","Ecart de "&amp;TEXT($V48,"#,##0.00")&amp;" kg : renseigner JUSTIFICATION ECART (colonne L).",IF($P48="LOT NON REFERENCE","Creer d'abord la fiche du lot dans l'onglet LOTS.",""))))))))</f>
        <v/>
      </c>
      <c r="AA48" s="27" t="n">
        <f aca="false">IF(OR($Y48=0,$U48&gt;0),0,$G48)</f>
        <v>0</v>
      </c>
      <c r="AB48" s="26" t="n">
        <f aca="false">IF($R48=0,0,IF(OR($E48=R_LOT,COUNTIFS(RES_IDST,$A48,RES_LOTEFF,R_LOT)&gt;0),1,0))</f>
        <v>0</v>
      </c>
      <c r="AC48" s="26" t="str">
        <f aca="false">IF($AB48=0,"",COUNTIF($AB$5:$AB48,1))</f>
        <v/>
      </c>
    </row>
    <row r="49" customFormat="false" ht="15" hidden="false" customHeight="false" outlineLevel="0" collapsed="false">
      <c r="A49" s="26" t="str">
        <f aca="false">IF($D49="","","ST-"&amp;TEXT(ROW()-4,"000"))</f>
        <v/>
      </c>
      <c r="B49" s="25"/>
      <c r="C49" s="24"/>
      <c r="D49" s="24"/>
      <c r="E49" s="24"/>
      <c r="F49" s="24"/>
      <c r="G49" s="29"/>
      <c r="H49" s="24"/>
      <c r="I49" s="24"/>
      <c r="J49" s="24"/>
      <c r="K49" s="25"/>
      <c r="L49" s="24"/>
      <c r="M49" s="24"/>
      <c r="N49" s="24"/>
      <c r="O49" s="26" t="str">
        <f aca="false">IF($E49="","",IFERROR(INDEX(LOT_EXTE,MATCH($E49,LOT_KEY,0)),""))</f>
        <v/>
      </c>
      <c r="P49" s="26" t="str">
        <f aca="false">IF($E49="","",IFERROR(INDEX(LOT_PRODE,MATCH($E49,LOT_KEY,0)),"LOT NON REFERENCE"))</f>
        <v/>
      </c>
      <c r="Q49" s="26" t="str">
        <f aca="false">IF($E49="","",IFERROR(INDEX(LOT_FOURNE,MATCH($E49,LOT_KEY,0)),""))</f>
        <v/>
      </c>
      <c r="R49" s="28" t="n">
        <f aca="false">IF($D49="",0,IF(OR($B49="",$C49="",$E49="",NOT(ISNUMBER($G49)),$G49&lt;=0),0,IF($D49="STOCK EXISTANT",IF($F49="",0,1),1)))</f>
        <v>0</v>
      </c>
      <c r="S49" s="27" t="str">
        <f aca="false">IF(OR($R49=0,$D49&lt;&gt;"STOCK EXISTANT"),"",SUMIFS(MVT_BRUT,MVT_LOT,$E49,MVT_EMPL,$F49)+$G49)</f>
        <v/>
      </c>
      <c r="T49" s="27" t="str">
        <f aca="false">IF($A49="","",SUMIFS(RES_QTEVAL,RES_IDST,$A49))</f>
        <v/>
      </c>
      <c r="U49" s="28" t="str">
        <f aca="false">IF($A49="","",COUNTIFS(RES_IDST,$A49))</f>
        <v/>
      </c>
      <c r="V49" s="27" t="str">
        <f aca="false">IF(OR($A49="",$U49=0),"",$G49-$T49)</f>
        <v/>
      </c>
      <c r="W49" s="30" t="str">
        <f aca="false">IF(OR($A49="",$U49=0,NOT(ISNUMBER($G49)),$G49&lt;=0),"",$T49/$G49)</f>
        <v/>
      </c>
      <c r="X49" s="26" t="str">
        <f aca="false">IF($D49="","",IF($R49=0,"DONNEES MANQUANTES",IF($D49="STOCK EXISTANT",IF($S49&lt;=0,"EMPLACEMENT INCOHERENT",IF($G49&gt;$S49+0.001,"STOCK INSUFFISANT",IF($U49=0,"EN COURS",IF($T49&gt;$G49+0.001,"BLOQUE",IF(AND($V49&gt;P_TOL,$L49=""),"A JUSTIFIER","OK"))))),IF($U49=0,"EN COURS",IF($T49&gt;$G49+0.001,"BLOQUE",IF(AND($V49&gt;P_TOL,$L49=""),"A JUSTIFIER","OK"))))))</f>
        <v/>
      </c>
      <c r="Y49" s="28" t="n">
        <f aca="false">IF(OR($X49="",$X49="DONNEES MANQUANTES",$X49="EMPLACEMENT INCOHERENT",$X49="STOCK INSUFFISANT"),0,1)</f>
        <v>0</v>
      </c>
      <c r="Z49" s="26" t="str">
        <f aca="false">IF($D49="","",IF($R49=0,"A COMPLETER : "&amp;IF($B49="","DATE ENVOI; ","")&amp;IF($C49="","SOUS-TRAITANT; ","")&amp;IF($E49="","LOT SOURCE; ","")&amp;IF(OR(NOT(ISNUMBER($G49)),$G49&lt;=0),"QTE ENVOYEE &gt; 0; ","")&amp;IF(AND($D49="STOCK EXISTANT",$F49=""),"EMPL. SOURCE; ",""),IF($X49="EMPLACEMENT INCOHERENT","Le lot "&amp;$E49&amp;" n'existe pas sur "&amp;$F49&amp;" (stock 0).",IF($X49="STOCK INSUFFISANT","Disponible avant envoi : "&amp;TEXT($S49,"#,##0.00")&amp;" kg. Ligne NON comptee en stock.",IF($X49="BLOQUE","Total des sorties ("&amp;TEXT($T49,"#,##0.00")&amp;" kg) superieur a la quantite envoyee.",IF($X49="EN COURS","Envoi enregistre, resultats non connus. A completer dans ST_RESULTATS.",IF($X49="A JUSTIFIER","Ecart de "&amp;TEXT($V49,"#,##0.00")&amp;" kg : renseigner JUSTIFICATION ECART (colonne L).",IF($P49="LOT NON REFERENCE","Creer d'abord la fiche du lot dans l'onglet LOTS.",""))))))))</f>
        <v/>
      </c>
      <c r="AA49" s="27" t="n">
        <f aca="false">IF(OR($Y49=0,$U49&gt;0),0,$G49)</f>
        <v>0</v>
      </c>
      <c r="AB49" s="26" t="n">
        <f aca="false">IF($R49=0,0,IF(OR($E49=R_LOT,COUNTIFS(RES_IDST,$A49,RES_LOTEFF,R_LOT)&gt;0),1,0))</f>
        <v>0</v>
      </c>
      <c r="AC49" s="26" t="str">
        <f aca="false">IF($AB49=0,"",COUNTIF($AB$5:$AB49,1))</f>
        <v/>
      </c>
    </row>
    <row r="50" customFormat="false" ht="15" hidden="false" customHeight="false" outlineLevel="0" collapsed="false">
      <c r="A50" s="26" t="str">
        <f aca="false">IF($D50="","","ST-"&amp;TEXT(ROW()-4,"000"))</f>
        <v/>
      </c>
      <c r="B50" s="25"/>
      <c r="C50" s="24"/>
      <c r="D50" s="24"/>
      <c r="E50" s="24"/>
      <c r="F50" s="24"/>
      <c r="G50" s="29"/>
      <c r="H50" s="24"/>
      <c r="I50" s="24"/>
      <c r="J50" s="24"/>
      <c r="K50" s="25"/>
      <c r="L50" s="24"/>
      <c r="M50" s="24"/>
      <c r="N50" s="24"/>
      <c r="O50" s="26" t="str">
        <f aca="false">IF($E50="","",IFERROR(INDEX(LOT_EXTE,MATCH($E50,LOT_KEY,0)),""))</f>
        <v/>
      </c>
      <c r="P50" s="26" t="str">
        <f aca="false">IF($E50="","",IFERROR(INDEX(LOT_PRODE,MATCH($E50,LOT_KEY,0)),"LOT NON REFERENCE"))</f>
        <v/>
      </c>
      <c r="Q50" s="26" t="str">
        <f aca="false">IF($E50="","",IFERROR(INDEX(LOT_FOURNE,MATCH($E50,LOT_KEY,0)),""))</f>
        <v/>
      </c>
      <c r="R50" s="28" t="n">
        <f aca="false">IF($D50="",0,IF(OR($B50="",$C50="",$E50="",NOT(ISNUMBER($G50)),$G50&lt;=0),0,IF($D50="STOCK EXISTANT",IF($F50="",0,1),1)))</f>
        <v>0</v>
      </c>
      <c r="S50" s="27" t="str">
        <f aca="false">IF(OR($R50=0,$D50&lt;&gt;"STOCK EXISTANT"),"",SUMIFS(MVT_BRUT,MVT_LOT,$E50,MVT_EMPL,$F50)+$G50)</f>
        <v/>
      </c>
      <c r="T50" s="27" t="str">
        <f aca="false">IF($A50="","",SUMIFS(RES_QTEVAL,RES_IDST,$A50))</f>
        <v/>
      </c>
      <c r="U50" s="28" t="str">
        <f aca="false">IF($A50="","",COUNTIFS(RES_IDST,$A50))</f>
        <v/>
      </c>
      <c r="V50" s="27" t="str">
        <f aca="false">IF(OR($A50="",$U50=0),"",$G50-$T50)</f>
        <v/>
      </c>
      <c r="W50" s="30" t="str">
        <f aca="false">IF(OR($A50="",$U50=0,NOT(ISNUMBER($G50)),$G50&lt;=0),"",$T50/$G50)</f>
        <v/>
      </c>
      <c r="X50" s="26" t="str">
        <f aca="false">IF($D50="","",IF($R50=0,"DONNEES MANQUANTES",IF($D50="STOCK EXISTANT",IF($S50&lt;=0,"EMPLACEMENT INCOHERENT",IF($G50&gt;$S50+0.001,"STOCK INSUFFISANT",IF($U50=0,"EN COURS",IF($T50&gt;$G50+0.001,"BLOQUE",IF(AND($V50&gt;P_TOL,$L50=""),"A JUSTIFIER","OK"))))),IF($U50=0,"EN COURS",IF($T50&gt;$G50+0.001,"BLOQUE",IF(AND($V50&gt;P_TOL,$L50=""),"A JUSTIFIER","OK"))))))</f>
        <v/>
      </c>
      <c r="Y50" s="28" t="n">
        <f aca="false">IF(OR($X50="",$X50="DONNEES MANQUANTES",$X50="EMPLACEMENT INCOHERENT",$X50="STOCK INSUFFISANT"),0,1)</f>
        <v>0</v>
      </c>
      <c r="Z50" s="26" t="str">
        <f aca="false">IF($D50="","",IF($R50=0,"A COMPLETER : "&amp;IF($B50="","DATE ENVOI; ","")&amp;IF($C50="","SOUS-TRAITANT; ","")&amp;IF($E50="","LOT SOURCE; ","")&amp;IF(OR(NOT(ISNUMBER($G50)),$G50&lt;=0),"QTE ENVOYEE &gt; 0; ","")&amp;IF(AND($D50="STOCK EXISTANT",$F50=""),"EMPL. SOURCE; ",""),IF($X50="EMPLACEMENT INCOHERENT","Le lot "&amp;$E50&amp;" n'existe pas sur "&amp;$F50&amp;" (stock 0).",IF($X50="STOCK INSUFFISANT","Disponible avant envoi : "&amp;TEXT($S50,"#,##0.00")&amp;" kg. Ligne NON comptee en stock.",IF($X50="BLOQUE","Total des sorties ("&amp;TEXT($T50,"#,##0.00")&amp;" kg) superieur a la quantite envoyee.",IF($X50="EN COURS","Envoi enregistre, resultats non connus. A completer dans ST_RESULTATS.",IF($X50="A JUSTIFIER","Ecart de "&amp;TEXT($V50,"#,##0.00")&amp;" kg : renseigner JUSTIFICATION ECART (colonne L).",IF($P50="LOT NON REFERENCE","Creer d'abord la fiche du lot dans l'onglet LOTS.",""))))))))</f>
        <v/>
      </c>
      <c r="AA50" s="27" t="n">
        <f aca="false">IF(OR($Y50=0,$U50&gt;0),0,$G50)</f>
        <v>0</v>
      </c>
      <c r="AB50" s="26" t="n">
        <f aca="false">IF($R50=0,0,IF(OR($E50=R_LOT,COUNTIFS(RES_IDST,$A50,RES_LOTEFF,R_LOT)&gt;0),1,0))</f>
        <v>0</v>
      </c>
      <c r="AC50" s="26" t="str">
        <f aca="false">IF($AB50=0,"",COUNTIF($AB$5:$AB50,1))</f>
        <v/>
      </c>
    </row>
    <row r="51" customFormat="false" ht="15" hidden="false" customHeight="false" outlineLevel="0" collapsed="false">
      <c r="A51" s="26" t="str">
        <f aca="false">IF($D51="","","ST-"&amp;TEXT(ROW()-4,"000"))</f>
        <v/>
      </c>
      <c r="B51" s="25"/>
      <c r="C51" s="24"/>
      <c r="D51" s="24"/>
      <c r="E51" s="24"/>
      <c r="F51" s="24"/>
      <c r="G51" s="29"/>
      <c r="H51" s="24"/>
      <c r="I51" s="24"/>
      <c r="J51" s="24"/>
      <c r="K51" s="25"/>
      <c r="L51" s="24"/>
      <c r="M51" s="24"/>
      <c r="N51" s="24"/>
      <c r="O51" s="26" t="str">
        <f aca="false">IF($E51="","",IFERROR(INDEX(LOT_EXTE,MATCH($E51,LOT_KEY,0)),""))</f>
        <v/>
      </c>
      <c r="P51" s="26" t="str">
        <f aca="false">IF($E51="","",IFERROR(INDEX(LOT_PRODE,MATCH($E51,LOT_KEY,0)),"LOT NON REFERENCE"))</f>
        <v/>
      </c>
      <c r="Q51" s="26" t="str">
        <f aca="false">IF($E51="","",IFERROR(INDEX(LOT_FOURNE,MATCH($E51,LOT_KEY,0)),""))</f>
        <v/>
      </c>
      <c r="R51" s="28" t="n">
        <f aca="false">IF($D51="",0,IF(OR($B51="",$C51="",$E51="",NOT(ISNUMBER($G51)),$G51&lt;=0),0,IF($D51="STOCK EXISTANT",IF($F51="",0,1),1)))</f>
        <v>0</v>
      </c>
      <c r="S51" s="27" t="str">
        <f aca="false">IF(OR($R51=0,$D51&lt;&gt;"STOCK EXISTANT"),"",SUMIFS(MVT_BRUT,MVT_LOT,$E51,MVT_EMPL,$F51)+$G51)</f>
        <v/>
      </c>
      <c r="T51" s="27" t="str">
        <f aca="false">IF($A51="","",SUMIFS(RES_QTEVAL,RES_IDST,$A51))</f>
        <v/>
      </c>
      <c r="U51" s="28" t="str">
        <f aca="false">IF($A51="","",COUNTIFS(RES_IDST,$A51))</f>
        <v/>
      </c>
      <c r="V51" s="27" t="str">
        <f aca="false">IF(OR($A51="",$U51=0),"",$G51-$T51)</f>
        <v/>
      </c>
      <c r="W51" s="30" t="str">
        <f aca="false">IF(OR($A51="",$U51=0,NOT(ISNUMBER($G51)),$G51&lt;=0),"",$T51/$G51)</f>
        <v/>
      </c>
      <c r="X51" s="26" t="str">
        <f aca="false">IF($D51="","",IF($R51=0,"DONNEES MANQUANTES",IF($D51="STOCK EXISTANT",IF($S51&lt;=0,"EMPLACEMENT INCOHERENT",IF($G51&gt;$S51+0.001,"STOCK INSUFFISANT",IF($U51=0,"EN COURS",IF($T51&gt;$G51+0.001,"BLOQUE",IF(AND($V51&gt;P_TOL,$L51=""),"A JUSTIFIER","OK"))))),IF($U51=0,"EN COURS",IF($T51&gt;$G51+0.001,"BLOQUE",IF(AND($V51&gt;P_TOL,$L51=""),"A JUSTIFIER","OK"))))))</f>
        <v/>
      </c>
      <c r="Y51" s="28" t="n">
        <f aca="false">IF(OR($X51="",$X51="DONNEES MANQUANTES",$X51="EMPLACEMENT INCOHERENT",$X51="STOCK INSUFFISANT"),0,1)</f>
        <v>0</v>
      </c>
      <c r="Z51" s="26" t="str">
        <f aca="false">IF($D51="","",IF($R51=0,"A COMPLETER : "&amp;IF($B51="","DATE ENVOI; ","")&amp;IF($C51="","SOUS-TRAITANT; ","")&amp;IF($E51="","LOT SOURCE; ","")&amp;IF(OR(NOT(ISNUMBER($G51)),$G51&lt;=0),"QTE ENVOYEE &gt; 0; ","")&amp;IF(AND($D51="STOCK EXISTANT",$F51=""),"EMPL. SOURCE; ",""),IF($X51="EMPLACEMENT INCOHERENT","Le lot "&amp;$E51&amp;" n'existe pas sur "&amp;$F51&amp;" (stock 0).",IF($X51="STOCK INSUFFISANT","Disponible avant envoi : "&amp;TEXT($S51,"#,##0.00")&amp;" kg. Ligne NON comptee en stock.",IF($X51="BLOQUE","Total des sorties ("&amp;TEXT($T51,"#,##0.00")&amp;" kg) superieur a la quantite envoyee.",IF($X51="EN COURS","Envoi enregistre, resultats non connus. A completer dans ST_RESULTATS.",IF($X51="A JUSTIFIER","Ecart de "&amp;TEXT($V51,"#,##0.00")&amp;" kg : renseigner JUSTIFICATION ECART (colonne L).",IF($P51="LOT NON REFERENCE","Creer d'abord la fiche du lot dans l'onglet LOTS.",""))))))))</f>
        <v/>
      </c>
      <c r="AA51" s="27" t="n">
        <f aca="false">IF(OR($Y51=0,$U51&gt;0),0,$G51)</f>
        <v>0</v>
      </c>
      <c r="AB51" s="26" t="n">
        <f aca="false">IF($R51=0,0,IF(OR($E51=R_LOT,COUNTIFS(RES_IDST,$A51,RES_LOTEFF,R_LOT)&gt;0),1,0))</f>
        <v>0</v>
      </c>
      <c r="AC51" s="26" t="str">
        <f aca="false">IF($AB51=0,"",COUNTIF($AB$5:$AB51,1))</f>
        <v/>
      </c>
    </row>
    <row r="52" customFormat="false" ht="15" hidden="false" customHeight="false" outlineLevel="0" collapsed="false">
      <c r="A52" s="26" t="str">
        <f aca="false">IF($D52="","","ST-"&amp;TEXT(ROW()-4,"000"))</f>
        <v/>
      </c>
      <c r="B52" s="25"/>
      <c r="C52" s="24"/>
      <c r="D52" s="24"/>
      <c r="E52" s="24"/>
      <c r="F52" s="24"/>
      <c r="G52" s="29"/>
      <c r="H52" s="24"/>
      <c r="I52" s="24"/>
      <c r="J52" s="24"/>
      <c r="K52" s="25"/>
      <c r="L52" s="24"/>
      <c r="M52" s="24"/>
      <c r="N52" s="24"/>
      <c r="O52" s="26" t="str">
        <f aca="false">IF($E52="","",IFERROR(INDEX(LOT_EXTE,MATCH($E52,LOT_KEY,0)),""))</f>
        <v/>
      </c>
      <c r="P52" s="26" t="str">
        <f aca="false">IF($E52="","",IFERROR(INDEX(LOT_PRODE,MATCH($E52,LOT_KEY,0)),"LOT NON REFERENCE"))</f>
        <v/>
      </c>
      <c r="Q52" s="26" t="str">
        <f aca="false">IF($E52="","",IFERROR(INDEX(LOT_FOURNE,MATCH($E52,LOT_KEY,0)),""))</f>
        <v/>
      </c>
      <c r="R52" s="28" t="n">
        <f aca="false">IF($D52="",0,IF(OR($B52="",$C52="",$E52="",NOT(ISNUMBER($G52)),$G52&lt;=0),0,IF($D52="STOCK EXISTANT",IF($F52="",0,1),1)))</f>
        <v>0</v>
      </c>
      <c r="S52" s="27" t="str">
        <f aca="false">IF(OR($R52=0,$D52&lt;&gt;"STOCK EXISTANT"),"",SUMIFS(MVT_BRUT,MVT_LOT,$E52,MVT_EMPL,$F52)+$G52)</f>
        <v/>
      </c>
      <c r="T52" s="27" t="str">
        <f aca="false">IF($A52="","",SUMIFS(RES_QTEVAL,RES_IDST,$A52))</f>
        <v/>
      </c>
      <c r="U52" s="28" t="str">
        <f aca="false">IF($A52="","",COUNTIFS(RES_IDST,$A52))</f>
        <v/>
      </c>
      <c r="V52" s="27" t="str">
        <f aca="false">IF(OR($A52="",$U52=0),"",$G52-$T52)</f>
        <v/>
      </c>
      <c r="W52" s="30" t="str">
        <f aca="false">IF(OR($A52="",$U52=0,NOT(ISNUMBER($G52)),$G52&lt;=0),"",$T52/$G52)</f>
        <v/>
      </c>
      <c r="X52" s="26" t="str">
        <f aca="false">IF($D52="","",IF($R52=0,"DONNEES MANQUANTES",IF($D52="STOCK EXISTANT",IF($S52&lt;=0,"EMPLACEMENT INCOHERENT",IF($G52&gt;$S52+0.001,"STOCK INSUFFISANT",IF($U52=0,"EN COURS",IF($T52&gt;$G52+0.001,"BLOQUE",IF(AND($V52&gt;P_TOL,$L52=""),"A JUSTIFIER","OK"))))),IF($U52=0,"EN COURS",IF($T52&gt;$G52+0.001,"BLOQUE",IF(AND($V52&gt;P_TOL,$L52=""),"A JUSTIFIER","OK"))))))</f>
        <v/>
      </c>
      <c r="Y52" s="28" t="n">
        <f aca="false">IF(OR($X52="",$X52="DONNEES MANQUANTES",$X52="EMPLACEMENT INCOHERENT",$X52="STOCK INSUFFISANT"),0,1)</f>
        <v>0</v>
      </c>
      <c r="Z52" s="26" t="str">
        <f aca="false">IF($D52="","",IF($R52=0,"A COMPLETER : "&amp;IF($B52="","DATE ENVOI; ","")&amp;IF($C52="","SOUS-TRAITANT; ","")&amp;IF($E52="","LOT SOURCE; ","")&amp;IF(OR(NOT(ISNUMBER($G52)),$G52&lt;=0),"QTE ENVOYEE &gt; 0; ","")&amp;IF(AND($D52="STOCK EXISTANT",$F52=""),"EMPL. SOURCE; ",""),IF($X52="EMPLACEMENT INCOHERENT","Le lot "&amp;$E52&amp;" n'existe pas sur "&amp;$F52&amp;" (stock 0).",IF($X52="STOCK INSUFFISANT","Disponible avant envoi : "&amp;TEXT($S52,"#,##0.00")&amp;" kg. Ligne NON comptee en stock.",IF($X52="BLOQUE","Total des sorties ("&amp;TEXT($T52,"#,##0.00")&amp;" kg) superieur a la quantite envoyee.",IF($X52="EN COURS","Envoi enregistre, resultats non connus. A completer dans ST_RESULTATS.",IF($X52="A JUSTIFIER","Ecart de "&amp;TEXT($V52,"#,##0.00")&amp;" kg : renseigner JUSTIFICATION ECART (colonne L).",IF($P52="LOT NON REFERENCE","Creer d'abord la fiche du lot dans l'onglet LOTS.",""))))))))</f>
        <v/>
      </c>
      <c r="AA52" s="27" t="n">
        <f aca="false">IF(OR($Y52=0,$U52&gt;0),0,$G52)</f>
        <v>0</v>
      </c>
      <c r="AB52" s="26" t="n">
        <f aca="false">IF($R52=0,0,IF(OR($E52=R_LOT,COUNTIFS(RES_IDST,$A52,RES_LOTEFF,R_LOT)&gt;0),1,0))</f>
        <v>0</v>
      </c>
      <c r="AC52" s="26" t="str">
        <f aca="false">IF($AB52=0,"",COUNTIF($AB$5:$AB52,1))</f>
        <v/>
      </c>
    </row>
    <row r="53" customFormat="false" ht="15" hidden="false" customHeight="false" outlineLevel="0" collapsed="false">
      <c r="A53" s="26" t="str">
        <f aca="false">IF($D53="","","ST-"&amp;TEXT(ROW()-4,"000"))</f>
        <v/>
      </c>
      <c r="B53" s="25"/>
      <c r="C53" s="24"/>
      <c r="D53" s="24"/>
      <c r="E53" s="24"/>
      <c r="F53" s="24"/>
      <c r="G53" s="29"/>
      <c r="H53" s="24"/>
      <c r="I53" s="24"/>
      <c r="J53" s="24"/>
      <c r="K53" s="25"/>
      <c r="L53" s="24"/>
      <c r="M53" s="24"/>
      <c r="N53" s="24"/>
      <c r="O53" s="26" t="str">
        <f aca="false">IF($E53="","",IFERROR(INDEX(LOT_EXTE,MATCH($E53,LOT_KEY,0)),""))</f>
        <v/>
      </c>
      <c r="P53" s="26" t="str">
        <f aca="false">IF($E53="","",IFERROR(INDEX(LOT_PRODE,MATCH($E53,LOT_KEY,0)),"LOT NON REFERENCE"))</f>
        <v/>
      </c>
      <c r="Q53" s="26" t="str">
        <f aca="false">IF($E53="","",IFERROR(INDEX(LOT_FOURNE,MATCH($E53,LOT_KEY,0)),""))</f>
        <v/>
      </c>
      <c r="R53" s="28" t="n">
        <f aca="false">IF($D53="",0,IF(OR($B53="",$C53="",$E53="",NOT(ISNUMBER($G53)),$G53&lt;=0),0,IF($D53="STOCK EXISTANT",IF($F53="",0,1),1)))</f>
        <v>0</v>
      </c>
      <c r="S53" s="27" t="str">
        <f aca="false">IF(OR($R53=0,$D53&lt;&gt;"STOCK EXISTANT"),"",SUMIFS(MVT_BRUT,MVT_LOT,$E53,MVT_EMPL,$F53)+$G53)</f>
        <v/>
      </c>
      <c r="T53" s="27" t="str">
        <f aca="false">IF($A53="","",SUMIFS(RES_QTEVAL,RES_IDST,$A53))</f>
        <v/>
      </c>
      <c r="U53" s="28" t="str">
        <f aca="false">IF($A53="","",COUNTIFS(RES_IDST,$A53))</f>
        <v/>
      </c>
      <c r="V53" s="27" t="str">
        <f aca="false">IF(OR($A53="",$U53=0),"",$G53-$T53)</f>
        <v/>
      </c>
      <c r="W53" s="30" t="str">
        <f aca="false">IF(OR($A53="",$U53=0,NOT(ISNUMBER($G53)),$G53&lt;=0),"",$T53/$G53)</f>
        <v/>
      </c>
      <c r="X53" s="26" t="str">
        <f aca="false">IF($D53="","",IF($R53=0,"DONNEES MANQUANTES",IF($D53="STOCK EXISTANT",IF($S53&lt;=0,"EMPLACEMENT INCOHERENT",IF($G53&gt;$S53+0.001,"STOCK INSUFFISANT",IF($U53=0,"EN COURS",IF($T53&gt;$G53+0.001,"BLOQUE",IF(AND($V53&gt;P_TOL,$L53=""),"A JUSTIFIER","OK"))))),IF($U53=0,"EN COURS",IF($T53&gt;$G53+0.001,"BLOQUE",IF(AND($V53&gt;P_TOL,$L53=""),"A JUSTIFIER","OK"))))))</f>
        <v/>
      </c>
      <c r="Y53" s="28" t="n">
        <f aca="false">IF(OR($X53="",$X53="DONNEES MANQUANTES",$X53="EMPLACEMENT INCOHERENT",$X53="STOCK INSUFFISANT"),0,1)</f>
        <v>0</v>
      </c>
      <c r="Z53" s="26" t="str">
        <f aca="false">IF($D53="","",IF($R53=0,"A COMPLETER : "&amp;IF($B53="","DATE ENVOI; ","")&amp;IF($C53="","SOUS-TRAITANT; ","")&amp;IF($E53="","LOT SOURCE; ","")&amp;IF(OR(NOT(ISNUMBER($G53)),$G53&lt;=0),"QTE ENVOYEE &gt; 0; ","")&amp;IF(AND($D53="STOCK EXISTANT",$F53=""),"EMPL. SOURCE; ",""),IF($X53="EMPLACEMENT INCOHERENT","Le lot "&amp;$E53&amp;" n'existe pas sur "&amp;$F53&amp;" (stock 0).",IF($X53="STOCK INSUFFISANT","Disponible avant envoi : "&amp;TEXT($S53,"#,##0.00")&amp;" kg. Ligne NON comptee en stock.",IF($X53="BLOQUE","Total des sorties ("&amp;TEXT($T53,"#,##0.00")&amp;" kg) superieur a la quantite envoyee.",IF($X53="EN COURS","Envoi enregistre, resultats non connus. A completer dans ST_RESULTATS.",IF($X53="A JUSTIFIER","Ecart de "&amp;TEXT($V53,"#,##0.00")&amp;" kg : renseigner JUSTIFICATION ECART (colonne L).",IF($P53="LOT NON REFERENCE","Creer d'abord la fiche du lot dans l'onglet LOTS.",""))))))))</f>
        <v/>
      </c>
      <c r="AA53" s="27" t="n">
        <f aca="false">IF(OR($Y53=0,$U53&gt;0),0,$G53)</f>
        <v>0</v>
      </c>
      <c r="AB53" s="26" t="n">
        <f aca="false">IF($R53=0,0,IF(OR($E53=R_LOT,COUNTIFS(RES_IDST,$A53,RES_LOTEFF,R_LOT)&gt;0),1,0))</f>
        <v>0</v>
      </c>
      <c r="AC53" s="26" t="str">
        <f aca="false">IF($AB53=0,"",COUNTIF($AB$5:$AB53,1))</f>
        <v/>
      </c>
    </row>
    <row r="54" customFormat="false" ht="15" hidden="false" customHeight="false" outlineLevel="0" collapsed="false">
      <c r="A54" s="26" t="str">
        <f aca="false">IF($D54="","","ST-"&amp;TEXT(ROW()-4,"000"))</f>
        <v/>
      </c>
      <c r="B54" s="25"/>
      <c r="C54" s="24"/>
      <c r="D54" s="24"/>
      <c r="E54" s="24"/>
      <c r="F54" s="24"/>
      <c r="G54" s="29"/>
      <c r="H54" s="24"/>
      <c r="I54" s="24"/>
      <c r="J54" s="24"/>
      <c r="K54" s="25"/>
      <c r="L54" s="24"/>
      <c r="M54" s="24"/>
      <c r="N54" s="24"/>
      <c r="O54" s="26" t="str">
        <f aca="false">IF($E54="","",IFERROR(INDEX(LOT_EXTE,MATCH($E54,LOT_KEY,0)),""))</f>
        <v/>
      </c>
      <c r="P54" s="26" t="str">
        <f aca="false">IF($E54="","",IFERROR(INDEX(LOT_PRODE,MATCH($E54,LOT_KEY,0)),"LOT NON REFERENCE"))</f>
        <v/>
      </c>
      <c r="Q54" s="26" t="str">
        <f aca="false">IF($E54="","",IFERROR(INDEX(LOT_FOURNE,MATCH($E54,LOT_KEY,0)),""))</f>
        <v/>
      </c>
      <c r="R54" s="28" t="n">
        <f aca="false">IF($D54="",0,IF(OR($B54="",$C54="",$E54="",NOT(ISNUMBER($G54)),$G54&lt;=0),0,IF($D54="STOCK EXISTANT",IF($F54="",0,1),1)))</f>
        <v>0</v>
      </c>
      <c r="S54" s="27" t="str">
        <f aca="false">IF(OR($R54=0,$D54&lt;&gt;"STOCK EXISTANT"),"",SUMIFS(MVT_BRUT,MVT_LOT,$E54,MVT_EMPL,$F54)+$G54)</f>
        <v/>
      </c>
      <c r="T54" s="27" t="str">
        <f aca="false">IF($A54="","",SUMIFS(RES_QTEVAL,RES_IDST,$A54))</f>
        <v/>
      </c>
      <c r="U54" s="28" t="str">
        <f aca="false">IF($A54="","",COUNTIFS(RES_IDST,$A54))</f>
        <v/>
      </c>
      <c r="V54" s="27" t="str">
        <f aca="false">IF(OR($A54="",$U54=0),"",$G54-$T54)</f>
        <v/>
      </c>
      <c r="W54" s="30" t="str">
        <f aca="false">IF(OR($A54="",$U54=0,NOT(ISNUMBER($G54)),$G54&lt;=0),"",$T54/$G54)</f>
        <v/>
      </c>
      <c r="X54" s="26" t="str">
        <f aca="false">IF($D54="","",IF($R54=0,"DONNEES MANQUANTES",IF($D54="STOCK EXISTANT",IF($S54&lt;=0,"EMPLACEMENT INCOHERENT",IF($G54&gt;$S54+0.001,"STOCK INSUFFISANT",IF($U54=0,"EN COURS",IF($T54&gt;$G54+0.001,"BLOQUE",IF(AND($V54&gt;P_TOL,$L54=""),"A JUSTIFIER","OK"))))),IF($U54=0,"EN COURS",IF($T54&gt;$G54+0.001,"BLOQUE",IF(AND($V54&gt;P_TOL,$L54=""),"A JUSTIFIER","OK"))))))</f>
        <v/>
      </c>
      <c r="Y54" s="28" t="n">
        <f aca="false">IF(OR($X54="",$X54="DONNEES MANQUANTES",$X54="EMPLACEMENT INCOHERENT",$X54="STOCK INSUFFISANT"),0,1)</f>
        <v>0</v>
      </c>
      <c r="Z54" s="26" t="str">
        <f aca="false">IF($D54="","",IF($R54=0,"A COMPLETER : "&amp;IF($B54="","DATE ENVOI; ","")&amp;IF($C54="","SOUS-TRAITANT; ","")&amp;IF($E54="","LOT SOURCE; ","")&amp;IF(OR(NOT(ISNUMBER($G54)),$G54&lt;=0),"QTE ENVOYEE &gt; 0; ","")&amp;IF(AND($D54="STOCK EXISTANT",$F54=""),"EMPL. SOURCE; ",""),IF($X54="EMPLACEMENT INCOHERENT","Le lot "&amp;$E54&amp;" n'existe pas sur "&amp;$F54&amp;" (stock 0).",IF($X54="STOCK INSUFFISANT","Disponible avant envoi : "&amp;TEXT($S54,"#,##0.00")&amp;" kg. Ligne NON comptee en stock.",IF($X54="BLOQUE","Total des sorties ("&amp;TEXT($T54,"#,##0.00")&amp;" kg) superieur a la quantite envoyee.",IF($X54="EN COURS","Envoi enregistre, resultats non connus. A completer dans ST_RESULTATS.",IF($X54="A JUSTIFIER","Ecart de "&amp;TEXT($V54,"#,##0.00")&amp;" kg : renseigner JUSTIFICATION ECART (colonne L).",IF($P54="LOT NON REFERENCE","Creer d'abord la fiche du lot dans l'onglet LOTS.",""))))))))</f>
        <v/>
      </c>
      <c r="AA54" s="27" t="n">
        <f aca="false">IF(OR($Y54=0,$U54&gt;0),0,$G54)</f>
        <v>0</v>
      </c>
      <c r="AB54" s="26" t="n">
        <f aca="false">IF($R54=0,0,IF(OR($E54=R_LOT,COUNTIFS(RES_IDST,$A54,RES_LOTEFF,R_LOT)&gt;0),1,0))</f>
        <v>0</v>
      </c>
      <c r="AC54" s="26" t="str">
        <f aca="false">IF($AB54=0,"",COUNTIF($AB$5:$AB54,1))</f>
        <v/>
      </c>
    </row>
    <row r="55" customFormat="false" ht="15" hidden="false" customHeight="false" outlineLevel="0" collapsed="false">
      <c r="A55" s="26" t="str">
        <f aca="false">IF($D55="","","ST-"&amp;TEXT(ROW()-4,"000"))</f>
        <v/>
      </c>
      <c r="B55" s="25"/>
      <c r="C55" s="24"/>
      <c r="D55" s="24"/>
      <c r="E55" s="24"/>
      <c r="F55" s="24"/>
      <c r="G55" s="29"/>
      <c r="H55" s="24"/>
      <c r="I55" s="24"/>
      <c r="J55" s="24"/>
      <c r="K55" s="25"/>
      <c r="L55" s="24"/>
      <c r="M55" s="24"/>
      <c r="N55" s="24"/>
      <c r="O55" s="26" t="str">
        <f aca="false">IF($E55="","",IFERROR(INDEX(LOT_EXTE,MATCH($E55,LOT_KEY,0)),""))</f>
        <v/>
      </c>
      <c r="P55" s="26" t="str">
        <f aca="false">IF($E55="","",IFERROR(INDEX(LOT_PRODE,MATCH($E55,LOT_KEY,0)),"LOT NON REFERENCE"))</f>
        <v/>
      </c>
      <c r="Q55" s="26" t="str">
        <f aca="false">IF($E55="","",IFERROR(INDEX(LOT_FOURNE,MATCH($E55,LOT_KEY,0)),""))</f>
        <v/>
      </c>
      <c r="R55" s="28" t="n">
        <f aca="false">IF($D55="",0,IF(OR($B55="",$C55="",$E55="",NOT(ISNUMBER($G55)),$G55&lt;=0),0,IF($D55="STOCK EXISTANT",IF($F55="",0,1),1)))</f>
        <v>0</v>
      </c>
      <c r="S55" s="27" t="str">
        <f aca="false">IF(OR($R55=0,$D55&lt;&gt;"STOCK EXISTANT"),"",SUMIFS(MVT_BRUT,MVT_LOT,$E55,MVT_EMPL,$F55)+$G55)</f>
        <v/>
      </c>
      <c r="T55" s="27" t="str">
        <f aca="false">IF($A55="","",SUMIFS(RES_QTEVAL,RES_IDST,$A55))</f>
        <v/>
      </c>
      <c r="U55" s="28" t="str">
        <f aca="false">IF($A55="","",COUNTIFS(RES_IDST,$A55))</f>
        <v/>
      </c>
      <c r="V55" s="27" t="str">
        <f aca="false">IF(OR($A55="",$U55=0),"",$G55-$T55)</f>
        <v/>
      </c>
      <c r="W55" s="30" t="str">
        <f aca="false">IF(OR($A55="",$U55=0,NOT(ISNUMBER($G55)),$G55&lt;=0),"",$T55/$G55)</f>
        <v/>
      </c>
      <c r="X55" s="26" t="str">
        <f aca="false">IF($D55="","",IF($R55=0,"DONNEES MANQUANTES",IF($D55="STOCK EXISTANT",IF($S55&lt;=0,"EMPLACEMENT INCOHERENT",IF($G55&gt;$S55+0.001,"STOCK INSUFFISANT",IF($U55=0,"EN COURS",IF($T55&gt;$G55+0.001,"BLOQUE",IF(AND($V55&gt;P_TOL,$L55=""),"A JUSTIFIER","OK"))))),IF($U55=0,"EN COURS",IF($T55&gt;$G55+0.001,"BLOQUE",IF(AND($V55&gt;P_TOL,$L55=""),"A JUSTIFIER","OK"))))))</f>
        <v/>
      </c>
      <c r="Y55" s="28" t="n">
        <f aca="false">IF(OR($X55="",$X55="DONNEES MANQUANTES",$X55="EMPLACEMENT INCOHERENT",$X55="STOCK INSUFFISANT"),0,1)</f>
        <v>0</v>
      </c>
      <c r="Z55" s="26" t="str">
        <f aca="false">IF($D55="","",IF($R55=0,"A COMPLETER : "&amp;IF($B55="","DATE ENVOI; ","")&amp;IF($C55="","SOUS-TRAITANT; ","")&amp;IF($E55="","LOT SOURCE; ","")&amp;IF(OR(NOT(ISNUMBER($G55)),$G55&lt;=0),"QTE ENVOYEE &gt; 0; ","")&amp;IF(AND($D55="STOCK EXISTANT",$F55=""),"EMPL. SOURCE; ",""),IF($X55="EMPLACEMENT INCOHERENT","Le lot "&amp;$E55&amp;" n'existe pas sur "&amp;$F55&amp;" (stock 0).",IF($X55="STOCK INSUFFISANT","Disponible avant envoi : "&amp;TEXT($S55,"#,##0.00")&amp;" kg. Ligne NON comptee en stock.",IF($X55="BLOQUE","Total des sorties ("&amp;TEXT($T55,"#,##0.00")&amp;" kg) superieur a la quantite envoyee.",IF($X55="EN COURS","Envoi enregistre, resultats non connus. A completer dans ST_RESULTATS.",IF($X55="A JUSTIFIER","Ecart de "&amp;TEXT($V55,"#,##0.00")&amp;" kg : renseigner JUSTIFICATION ECART (colonne L).",IF($P55="LOT NON REFERENCE","Creer d'abord la fiche du lot dans l'onglet LOTS.",""))))))))</f>
        <v/>
      </c>
      <c r="AA55" s="27" t="n">
        <f aca="false">IF(OR($Y55=0,$U55&gt;0),0,$G55)</f>
        <v>0</v>
      </c>
      <c r="AB55" s="26" t="n">
        <f aca="false">IF($R55=0,0,IF(OR($E55=R_LOT,COUNTIFS(RES_IDST,$A55,RES_LOTEFF,R_LOT)&gt;0),1,0))</f>
        <v>0</v>
      </c>
      <c r="AC55" s="26" t="str">
        <f aca="false">IF($AB55=0,"",COUNTIF($AB$5:$AB55,1))</f>
        <v/>
      </c>
    </row>
    <row r="56" customFormat="false" ht="15" hidden="false" customHeight="false" outlineLevel="0" collapsed="false">
      <c r="A56" s="26" t="str">
        <f aca="false">IF($D56="","","ST-"&amp;TEXT(ROW()-4,"000"))</f>
        <v/>
      </c>
      <c r="B56" s="25"/>
      <c r="C56" s="24"/>
      <c r="D56" s="24"/>
      <c r="E56" s="24"/>
      <c r="F56" s="24"/>
      <c r="G56" s="29"/>
      <c r="H56" s="24"/>
      <c r="I56" s="24"/>
      <c r="J56" s="24"/>
      <c r="K56" s="25"/>
      <c r="L56" s="24"/>
      <c r="M56" s="24"/>
      <c r="N56" s="24"/>
      <c r="O56" s="26" t="str">
        <f aca="false">IF($E56="","",IFERROR(INDEX(LOT_EXTE,MATCH($E56,LOT_KEY,0)),""))</f>
        <v/>
      </c>
      <c r="P56" s="26" t="str">
        <f aca="false">IF($E56="","",IFERROR(INDEX(LOT_PRODE,MATCH($E56,LOT_KEY,0)),"LOT NON REFERENCE"))</f>
        <v/>
      </c>
      <c r="Q56" s="26" t="str">
        <f aca="false">IF($E56="","",IFERROR(INDEX(LOT_FOURNE,MATCH($E56,LOT_KEY,0)),""))</f>
        <v/>
      </c>
      <c r="R56" s="28" t="n">
        <f aca="false">IF($D56="",0,IF(OR($B56="",$C56="",$E56="",NOT(ISNUMBER($G56)),$G56&lt;=0),0,IF($D56="STOCK EXISTANT",IF($F56="",0,1),1)))</f>
        <v>0</v>
      </c>
      <c r="S56" s="27" t="str">
        <f aca="false">IF(OR($R56=0,$D56&lt;&gt;"STOCK EXISTANT"),"",SUMIFS(MVT_BRUT,MVT_LOT,$E56,MVT_EMPL,$F56)+$G56)</f>
        <v/>
      </c>
      <c r="T56" s="27" t="str">
        <f aca="false">IF($A56="","",SUMIFS(RES_QTEVAL,RES_IDST,$A56))</f>
        <v/>
      </c>
      <c r="U56" s="28" t="str">
        <f aca="false">IF($A56="","",COUNTIFS(RES_IDST,$A56))</f>
        <v/>
      </c>
      <c r="V56" s="27" t="str">
        <f aca="false">IF(OR($A56="",$U56=0),"",$G56-$T56)</f>
        <v/>
      </c>
      <c r="W56" s="30" t="str">
        <f aca="false">IF(OR($A56="",$U56=0,NOT(ISNUMBER($G56)),$G56&lt;=0),"",$T56/$G56)</f>
        <v/>
      </c>
      <c r="X56" s="26" t="str">
        <f aca="false">IF($D56="","",IF($R56=0,"DONNEES MANQUANTES",IF($D56="STOCK EXISTANT",IF($S56&lt;=0,"EMPLACEMENT INCOHERENT",IF($G56&gt;$S56+0.001,"STOCK INSUFFISANT",IF($U56=0,"EN COURS",IF($T56&gt;$G56+0.001,"BLOQUE",IF(AND($V56&gt;P_TOL,$L56=""),"A JUSTIFIER","OK"))))),IF($U56=0,"EN COURS",IF($T56&gt;$G56+0.001,"BLOQUE",IF(AND($V56&gt;P_TOL,$L56=""),"A JUSTIFIER","OK"))))))</f>
        <v/>
      </c>
      <c r="Y56" s="28" t="n">
        <f aca="false">IF(OR($X56="",$X56="DONNEES MANQUANTES",$X56="EMPLACEMENT INCOHERENT",$X56="STOCK INSUFFISANT"),0,1)</f>
        <v>0</v>
      </c>
      <c r="Z56" s="26" t="str">
        <f aca="false">IF($D56="","",IF($R56=0,"A COMPLETER : "&amp;IF($B56="","DATE ENVOI; ","")&amp;IF($C56="","SOUS-TRAITANT; ","")&amp;IF($E56="","LOT SOURCE; ","")&amp;IF(OR(NOT(ISNUMBER($G56)),$G56&lt;=0),"QTE ENVOYEE &gt; 0; ","")&amp;IF(AND($D56="STOCK EXISTANT",$F56=""),"EMPL. SOURCE; ",""),IF($X56="EMPLACEMENT INCOHERENT","Le lot "&amp;$E56&amp;" n'existe pas sur "&amp;$F56&amp;" (stock 0).",IF($X56="STOCK INSUFFISANT","Disponible avant envoi : "&amp;TEXT($S56,"#,##0.00")&amp;" kg. Ligne NON comptee en stock.",IF($X56="BLOQUE","Total des sorties ("&amp;TEXT($T56,"#,##0.00")&amp;" kg) superieur a la quantite envoyee.",IF($X56="EN COURS","Envoi enregistre, resultats non connus. A completer dans ST_RESULTATS.",IF($X56="A JUSTIFIER","Ecart de "&amp;TEXT($V56,"#,##0.00")&amp;" kg : renseigner JUSTIFICATION ECART (colonne L).",IF($P56="LOT NON REFERENCE","Creer d'abord la fiche du lot dans l'onglet LOTS.",""))))))))</f>
        <v/>
      </c>
      <c r="AA56" s="27" t="n">
        <f aca="false">IF(OR($Y56=0,$U56&gt;0),0,$G56)</f>
        <v>0</v>
      </c>
      <c r="AB56" s="26" t="n">
        <f aca="false">IF($R56=0,0,IF(OR($E56=R_LOT,COUNTIFS(RES_IDST,$A56,RES_LOTEFF,R_LOT)&gt;0),1,0))</f>
        <v>0</v>
      </c>
      <c r="AC56" s="26" t="str">
        <f aca="false">IF($AB56=0,"",COUNTIF($AB$5:$AB56,1))</f>
        <v/>
      </c>
    </row>
    <row r="57" customFormat="false" ht="15" hidden="false" customHeight="false" outlineLevel="0" collapsed="false">
      <c r="A57" s="26" t="str">
        <f aca="false">IF($D57="","","ST-"&amp;TEXT(ROW()-4,"000"))</f>
        <v/>
      </c>
      <c r="B57" s="25"/>
      <c r="C57" s="24"/>
      <c r="D57" s="24"/>
      <c r="E57" s="24"/>
      <c r="F57" s="24"/>
      <c r="G57" s="29"/>
      <c r="H57" s="24"/>
      <c r="I57" s="24"/>
      <c r="J57" s="24"/>
      <c r="K57" s="25"/>
      <c r="L57" s="24"/>
      <c r="M57" s="24"/>
      <c r="N57" s="24"/>
      <c r="O57" s="26" t="str">
        <f aca="false">IF($E57="","",IFERROR(INDEX(LOT_EXTE,MATCH($E57,LOT_KEY,0)),""))</f>
        <v/>
      </c>
      <c r="P57" s="26" t="str">
        <f aca="false">IF($E57="","",IFERROR(INDEX(LOT_PRODE,MATCH($E57,LOT_KEY,0)),"LOT NON REFERENCE"))</f>
        <v/>
      </c>
      <c r="Q57" s="26" t="str">
        <f aca="false">IF($E57="","",IFERROR(INDEX(LOT_FOURNE,MATCH($E57,LOT_KEY,0)),""))</f>
        <v/>
      </c>
      <c r="R57" s="28" t="n">
        <f aca="false">IF($D57="",0,IF(OR($B57="",$C57="",$E57="",NOT(ISNUMBER($G57)),$G57&lt;=0),0,IF($D57="STOCK EXISTANT",IF($F57="",0,1),1)))</f>
        <v>0</v>
      </c>
      <c r="S57" s="27" t="str">
        <f aca="false">IF(OR($R57=0,$D57&lt;&gt;"STOCK EXISTANT"),"",SUMIFS(MVT_BRUT,MVT_LOT,$E57,MVT_EMPL,$F57)+$G57)</f>
        <v/>
      </c>
      <c r="T57" s="27" t="str">
        <f aca="false">IF($A57="","",SUMIFS(RES_QTEVAL,RES_IDST,$A57))</f>
        <v/>
      </c>
      <c r="U57" s="28" t="str">
        <f aca="false">IF($A57="","",COUNTIFS(RES_IDST,$A57))</f>
        <v/>
      </c>
      <c r="V57" s="27" t="str">
        <f aca="false">IF(OR($A57="",$U57=0),"",$G57-$T57)</f>
        <v/>
      </c>
      <c r="W57" s="30" t="str">
        <f aca="false">IF(OR($A57="",$U57=0,NOT(ISNUMBER($G57)),$G57&lt;=0),"",$T57/$G57)</f>
        <v/>
      </c>
      <c r="X57" s="26" t="str">
        <f aca="false">IF($D57="","",IF($R57=0,"DONNEES MANQUANTES",IF($D57="STOCK EXISTANT",IF($S57&lt;=0,"EMPLACEMENT INCOHERENT",IF($G57&gt;$S57+0.001,"STOCK INSUFFISANT",IF($U57=0,"EN COURS",IF($T57&gt;$G57+0.001,"BLOQUE",IF(AND($V57&gt;P_TOL,$L57=""),"A JUSTIFIER","OK"))))),IF($U57=0,"EN COURS",IF($T57&gt;$G57+0.001,"BLOQUE",IF(AND($V57&gt;P_TOL,$L57=""),"A JUSTIFIER","OK"))))))</f>
        <v/>
      </c>
      <c r="Y57" s="28" t="n">
        <f aca="false">IF(OR($X57="",$X57="DONNEES MANQUANTES",$X57="EMPLACEMENT INCOHERENT",$X57="STOCK INSUFFISANT"),0,1)</f>
        <v>0</v>
      </c>
      <c r="Z57" s="26" t="str">
        <f aca="false">IF($D57="","",IF($R57=0,"A COMPLETER : "&amp;IF($B57="","DATE ENVOI; ","")&amp;IF($C57="","SOUS-TRAITANT; ","")&amp;IF($E57="","LOT SOURCE; ","")&amp;IF(OR(NOT(ISNUMBER($G57)),$G57&lt;=0),"QTE ENVOYEE &gt; 0; ","")&amp;IF(AND($D57="STOCK EXISTANT",$F57=""),"EMPL. SOURCE; ",""),IF($X57="EMPLACEMENT INCOHERENT","Le lot "&amp;$E57&amp;" n'existe pas sur "&amp;$F57&amp;" (stock 0).",IF($X57="STOCK INSUFFISANT","Disponible avant envoi : "&amp;TEXT($S57,"#,##0.00")&amp;" kg. Ligne NON comptee en stock.",IF($X57="BLOQUE","Total des sorties ("&amp;TEXT($T57,"#,##0.00")&amp;" kg) superieur a la quantite envoyee.",IF($X57="EN COURS","Envoi enregistre, resultats non connus. A completer dans ST_RESULTATS.",IF($X57="A JUSTIFIER","Ecart de "&amp;TEXT($V57,"#,##0.00")&amp;" kg : renseigner JUSTIFICATION ECART (colonne L).",IF($P57="LOT NON REFERENCE","Creer d'abord la fiche du lot dans l'onglet LOTS.",""))))))))</f>
        <v/>
      </c>
      <c r="AA57" s="27" t="n">
        <f aca="false">IF(OR($Y57=0,$U57&gt;0),0,$G57)</f>
        <v>0</v>
      </c>
      <c r="AB57" s="26" t="n">
        <f aca="false">IF($R57=0,0,IF(OR($E57=R_LOT,COUNTIFS(RES_IDST,$A57,RES_LOTEFF,R_LOT)&gt;0),1,0))</f>
        <v>0</v>
      </c>
      <c r="AC57" s="26" t="str">
        <f aca="false">IF($AB57=0,"",COUNTIF($AB$5:$AB57,1))</f>
        <v/>
      </c>
    </row>
    <row r="58" customFormat="false" ht="15" hidden="false" customHeight="false" outlineLevel="0" collapsed="false">
      <c r="A58" s="26" t="str">
        <f aca="false">IF($D58="","","ST-"&amp;TEXT(ROW()-4,"000"))</f>
        <v/>
      </c>
      <c r="B58" s="25"/>
      <c r="C58" s="24"/>
      <c r="D58" s="24"/>
      <c r="E58" s="24"/>
      <c r="F58" s="24"/>
      <c r="G58" s="29"/>
      <c r="H58" s="24"/>
      <c r="I58" s="24"/>
      <c r="J58" s="24"/>
      <c r="K58" s="25"/>
      <c r="L58" s="24"/>
      <c r="M58" s="24"/>
      <c r="N58" s="24"/>
      <c r="O58" s="26" t="str">
        <f aca="false">IF($E58="","",IFERROR(INDEX(LOT_EXTE,MATCH($E58,LOT_KEY,0)),""))</f>
        <v/>
      </c>
      <c r="P58" s="26" t="str">
        <f aca="false">IF($E58="","",IFERROR(INDEX(LOT_PRODE,MATCH($E58,LOT_KEY,0)),"LOT NON REFERENCE"))</f>
        <v/>
      </c>
      <c r="Q58" s="26" t="str">
        <f aca="false">IF($E58="","",IFERROR(INDEX(LOT_FOURNE,MATCH($E58,LOT_KEY,0)),""))</f>
        <v/>
      </c>
      <c r="R58" s="28" t="n">
        <f aca="false">IF($D58="",0,IF(OR($B58="",$C58="",$E58="",NOT(ISNUMBER($G58)),$G58&lt;=0),0,IF($D58="STOCK EXISTANT",IF($F58="",0,1),1)))</f>
        <v>0</v>
      </c>
      <c r="S58" s="27" t="str">
        <f aca="false">IF(OR($R58=0,$D58&lt;&gt;"STOCK EXISTANT"),"",SUMIFS(MVT_BRUT,MVT_LOT,$E58,MVT_EMPL,$F58)+$G58)</f>
        <v/>
      </c>
      <c r="T58" s="27" t="str">
        <f aca="false">IF($A58="","",SUMIFS(RES_QTEVAL,RES_IDST,$A58))</f>
        <v/>
      </c>
      <c r="U58" s="28" t="str">
        <f aca="false">IF($A58="","",COUNTIFS(RES_IDST,$A58))</f>
        <v/>
      </c>
      <c r="V58" s="27" t="str">
        <f aca="false">IF(OR($A58="",$U58=0),"",$G58-$T58)</f>
        <v/>
      </c>
      <c r="W58" s="30" t="str">
        <f aca="false">IF(OR($A58="",$U58=0,NOT(ISNUMBER($G58)),$G58&lt;=0),"",$T58/$G58)</f>
        <v/>
      </c>
      <c r="X58" s="26" t="str">
        <f aca="false">IF($D58="","",IF($R58=0,"DONNEES MANQUANTES",IF($D58="STOCK EXISTANT",IF($S58&lt;=0,"EMPLACEMENT INCOHERENT",IF($G58&gt;$S58+0.001,"STOCK INSUFFISANT",IF($U58=0,"EN COURS",IF($T58&gt;$G58+0.001,"BLOQUE",IF(AND($V58&gt;P_TOL,$L58=""),"A JUSTIFIER","OK"))))),IF($U58=0,"EN COURS",IF($T58&gt;$G58+0.001,"BLOQUE",IF(AND($V58&gt;P_TOL,$L58=""),"A JUSTIFIER","OK"))))))</f>
        <v/>
      </c>
      <c r="Y58" s="28" t="n">
        <f aca="false">IF(OR($X58="",$X58="DONNEES MANQUANTES",$X58="EMPLACEMENT INCOHERENT",$X58="STOCK INSUFFISANT"),0,1)</f>
        <v>0</v>
      </c>
      <c r="Z58" s="26" t="str">
        <f aca="false">IF($D58="","",IF($R58=0,"A COMPLETER : "&amp;IF($B58="","DATE ENVOI; ","")&amp;IF($C58="","SOUS-TRAITANT; ","")&amp;IF($E58="","LOT SOURCE; ","")&amp;IF(OR(NOT(ISNUMBER($G58)),$G58&lt;=0),"QTE ENVOYEE &gt; 0; ","")&amp;IF(AND($D58="STOCK EXISTANT",$F58=""),"EMPL. SOURCE; ",""),IF($X58="EMPLACEMENT INCOHERENT","Le lot "&amp;$E58&amp;" n'existe pas sur "&amp;$F58&amp;" (stock 0).",IF($X58="STOCK INSUFFISANT","Disponible avant envoi : "&amp;TEXT($S58,"#,##0.00")&amp;" kg. Ligne NON comptee en stock.",IF($X58="BLOQUE","Total des sorties ("&amp;TEXT($T58,"#,##0.00")&amp;" kg) superieur a la quantite envoyee.",IF($X58="EN COURS","Envoi enregistre, resultats non connus. A completer dans ST_RESULTATS.",IF($X58="A JUSTIFIER","Ecart de "&amp;TEXT($V58,"#,##0.00")&amp;" kg : renseigner JUSTIFICATION ECART (colonne L).",IF($P58="LOT NON REFERENCE","Creer d'abord la fiche du lot dans l'onglet LOTS.",""))))))))</f>
        <v/>
      </c>
      <c r="AA58" s="27" t="n">
        <f aca="false">IF(OR($Y58=0,$U58&gt;0),0,$G58)</f>
        <v>0</v>
      </c>
      <c r="AB58" s="26" t="n">
        <f aca="false">IF($R58=0,0,IF(OR($E58=R_LOT,COUNTIFS(RES_IDST,$A58,RES_LOTEFF,R_LOT)&gt;0),1,0))</f>
        <v>0</v>
      </c>
      <c r="AC58" s="26" t="str">
        <f aca="false">IF($AB58=0,"",COUNTIF($AB$5:$AB58,1))</f>
        <v/>
      </c>
    </row>
    <row r="59" customFormat="false" ht="15" hidden="false" customHeight="false" outlineLevel="0" collapsed="false">
      <c r="A59" s="26" t="str">
        <f aca="false">IF($D59="","","ST-"&amp;TEXT(ROW()-4,"000"))</f>
        <v/>
      </c>
      <c r="B59" s="25"/>
      <c r="C59" s="24"/>
      <c r="D59" s="24"/>
      <c r="E59" s="24"/>
      <c r="F59" s="24"/>
      <c r="G59" s="29"/>
      <c r="H59" s="24"/>
      <c r="I59" s="24"/>
      <c r="J59" s="24"/>
      <c r="K59" s="25"/>
      <c r="L59" s="24"/>
      <c r="M59" s="24"/>
      <c r="N59" s="24"/>
      <c r="O59" s="26" t="str">
        <f aca="false">IF($E59="","",IFERROR(INDEX(LOT_EXTE,MATCH($E59,LOT_KEY,0)),""))</f>
        <v/>
      </c>
      <c r="P59" s="26" t="str">
        <f aca="false">IF($E59="","",IFERROR(INDEX(LOT_PRODE,MATCH($E59,LOT_KEY,0)),"LOT NON REFERENCE"))</f>
        <v/>
      </c>
      <c r="Q59" s="26" t="str">
        <f aca="false">IF($E59="","",IFERROR(INDEX(LOT_FOURNE,MATCH($E59,LOT_KEY,0)),""))</f>
        <v/>
      </c>
      <c r="R59" s="28" t="n">
        <f aca="false">IF($D59="",0,IF(OR($B59="",$C59="",$E59="",NOT(ISNUMBER($G59)),$G59&lt;=0),0,IF($D59="STOCK EXISTANT",IF($F59="",0,1),1)))</f>
        <v>0</v>
      </c>
      <c r="S59" s="27" t="str">
        <f aca="false">IF(OR($R59=0,$D59&lt;&gt;"STOCK EXISTANT"),"",SUMIFS(MVT_BRUT,MVT_LOT,$E59,MVT_EMPL,$F59)+$G59)</f>
        <v/>
      </c>
      <c r="T59" s="27" t="str">
        <f aca="false">IF($A59="","",SUMIFS(RES_QTEVAL,RES_IDST,$A59))</f>
        <v/>
      </c>
      <c r="U59" s="28" t="str">
        <f aca="false">IF($A59="","",COUNTIFS(RES_IDST,$A59))</f>
        <v/>
      </c>
      <c r="V59" s="27" t="str">
        <f aca="false">IF(OR($A59="",$U59=0),"",$G59-$T59)</f>
        <v/>
      </c>
      <c r="W59" s="30" t="str">
        <f aca="false">IF(OR($A59="",$U59=0,NOT(ISNUMBER($G59)),$G59&lt;=0),"",$T59/$G59)</f>
        <v/>
      </c>
      <c r="X59" s="26" t="str">
        <f aca="false">IF($D59="","",IF($R59=0,"DONNEES MANQUANTES",IF($D59="STOCK EXISTANT",IF($S59&lt;=0,"EMPLACEMENT INCOHERENT",IF($G59&gt;$S59+0.001,"STOCK INSUFFISANT",IF($U59=0,"EN COURS",IF($T59&gt;$G59+0.001,"BLOQUE",IF(AND($V59&gt;P_TOL,$L59=""),"A JUSTIFIER","OK"))))),IF($U59=0,"EN COURS",IF($T59&gt;$G59+0.001,"BLOQUE",IF(AND($V59&gt;P_TOL,$L59=""),"A JUSTIFIER","OK"))))))</f>
        <v/>
      </c>
      <c r="Y59" s="28" t="n">
        <f aca="false">IF(OR($X59="",$X59="DONNEES MANQUANTES",$X59="EMPLACEMENT INCOHERENT",$X59="STOCK INSUFFISANT"),0,1)</f>
        <v>0</v>
      </c>
      <c r="Z59" s="26" t="str">
        <f aca="false">IF($D59="","",IF($R59=0,"A COMPLETER : "&amp;IF($B59="","DATE ENVOI; ","")&amp;IF($C59="","SOUS-TRAITANT; ","")&amp;IF($E59="","LOT SOURCE; ","")&amp;IF(OR(NOT(ISNUMBER($G59)),$G59&lt;=0),"QTE ENVOYEE &gt; 0; ","")&amp;IF(AND($D59="STOCK EXISTANT",$F59=""),"EMPL. SOURCE; ",""),IF($X59="EMPLACEMENT INCOHERENT","Le lot "&amp;$E59&amp;" n'existe pas sur "&amp;$F59&amp;" (stock 0).",IF($X59="STOCK INSUFFISANT","Disponible avant envoi : "&amp;TEXT($S59,"#,##0.00")&amp;" kg. Ligne NON comptee en stock.",IF($X59="BLOQUE","Total des sorties ("&amp;TEXT($T59,"#,##0.00")&amp;" kg) superieur a la quantite envoyee.",IF($X59="EN COURS","Envoi enregistre, resultats non connus. A completer dans ST_RESULTATS.",IF($X59="A JUSTIFIER","Ecart de "&amp;TEXT($V59,"#,##0.00")&amp;" kg : renseigner JUSTIFICATION ECART (colonne L).",IF($P59="LOT NON REFERENCE","Creer d'abord la fiche du lot dans l'onglet LOTS.",""))))))))</f>
        <v/>
      </c>
      <c r="AA59" s="27" t="n">
        <f aca="false">IF(OR($Y59=0,$U59&gt;0),0,$G59)</f>
        <v>0</v>
      </c>
      <c r="AB59" s="26" t="n">
        <f aca="false">IF($R59=0,0,IF(OR($E59=R_LOT,COUNTIFS(RES_IDST,$A59,RES_LOTEFF,R_LOT)&gt;0),1,0))</f>
        <v>0</v>
      </c>
      <c r="AC59" s="26" t="str">
        <f aca="false">IF($AB59=0,"",COUNTIF($AB$5:$AB59,1))</f>
        <v/>
      </c>
    </row>
    <row r="60" customFormat="false" ht="15" hidden="false" customHeight="false" outlineLevel="0" collapsed="false">
      <c r="A60" s="26" t="str">
        <f aca="false">IF($D60="","","ST-"&amp;TEXT(ROW()-4,"000"))</f>
        <v/>
      </c>
      <c r="B60" s="25"/>
      <c r="C60" s="24"/>
      <c r="D60" s="24"/>
      <c r="E60" s="24"/>
      <c r="F60" s="24"/>
      <c r="G60" s="29"/>
      <c r="H60" s="24"/>
      <c r="I60" s="24"/>
      <c r="J60" s="24"/>
      <c r="K60" s="25"/>
      <c r="L60" s="24"/>
      <c r="M60" s="24"/>
      <c r="N60" s="24"/>
      <c r="O60" s="26" t="str">
        <f aca="false">IF($E60="","",IFERROR(INDEX(LOT_EXTE,MATCH($E60,LOT_KEY,0)),""))</f>
        <v/>
      </c>
      <c r="P60" s="26" t="str">
        <f aca="false">IF($E60="","",IFERROR(INDEX(LOT_PRODE,MATCH($E60,LOT_KEY,0)),"LOT NON REFERENCE"))</f>
        <v/>
      </c>
      <c r="Q60" s="26" t="str">
        <f aca="false">IF($E60="","",IFERROR(INDEX(LOT_FOURNE,MATCH($E60,LOT_KEY,0)),""))</f>
        <v/>
      </c>
      <c r="R60" s="28" t="n">
        <f aca="false">IF($D60="",0,IF(OR($B60="",$C60="",$E60="",NOT(ISNUMBER($G60)),$G60&lt;=0),0,IF($D60="STOCK EXISTANT",IF($F60="",0,1),1)))</f>
        <v>0</v>
      </c>
      <c r="S60" s="27" t="str">
        <f aca="false">IF(OR($R60=0,$D60&lt;&gt;"STOCK EXISTANT"),"",SUMIFS(MVT_BRUT,MVT_LOT,$E60,MVT_EMPL,$F60)+$G60)</f>
        <v/>
      </c>
      <c r="T60" s="27" t="str">
        <f aca="false">IF($A60="","",SUMIFS(RES_QTEVAL,RES_IDST,$A60))</f>
        <v/>
      </c>
      <c r="U60" s="28" t="str">
        <f aca="false">IF($A60="","",COUNTIFS(RES_IDST,$A60))</f>
        <v/>
      </c>
      <c r="V60" s="27" t="str">
        <f aca="false">IF(OR($A60="",$U60=0),"",$G60-$T60)</f>
        <v/>
      </c>
      <c r="W60" s="30" t="str">
        <f aca="false">IF(OR($A60="",$U60=0,NOT(ISNUMBER($G60)),$G60&lt;=0),"",$T60/$G60)</f>
        <v/>
      </c>
      <c r="X60" s="26" t="str">
        <f aca="false">IF($D60="","",IF($R60=0,"DONNEES MANQUANTES",IF($D60="STOCK EXISTANT",IF($S60&lt;=0,"EMPLACEMENT INCOHERENT",IF($G60&gt;$S60+0.001,"STOCK INSUFFISANT",IF($U60=0,"EN COURS",IF($T60&gt;$G60+0.001,"BLOQUE",IF(AND($V60&gt;P_TOL,$L60=""),"A JUSTIFIER","OK"))))),IF($U60=0,"EN COURS",IF($T60&gt;$G60+0.001,"BLOQUE",IF(AND($V60&gt;P_TOL,$L60=""),"A JUSTIFIER","OK"))))))</f>
        <v/>
      </c>
      <c r="Y60" s="28" t="n">
        <f aca="false">IF(OR($X60="",$X60="DONNEES MANQUANTES",$X60="EMPLACEMENT INCOHERENT",$X60="STOCK INSUFFISANT"),0,1)</f>
        <v>0</v>
      </c>
      <c r="Z60" s="26" t="str">
        <f aca="false">IF($D60="","",IF($R60=0,"A COMPLETER : "&amp;IF($B60="","DATE ENVOI; ","")&amp;IF($C60="","SOUS-TRAITANT; ","")&amp;IF($E60="","LOT SOURCE; ","")&amp;IF(OR(NOT(ISNUMBER($G60)),$G60&lt;=0),"QTE ENVOYEE &gt; 0; ","")&amp;IF(AND($D60="STOCK EXISTANT",$F60=""),"EMPL. SOURCE; ",""),IF($X60="EMPLACEMENT INCOHERENT","Le lot "&amp;$E60&amp;" n'existe pas sur "&amp;$F60&amp;" (stock 0).",IF($X60="STOCK INSUFFISANT","Disponible avant envoi : "&amp;TEXT($S60,"#,##0.00")&amp;" kg. Ligne NON comptee en stock.",IF($X60="BLOQUE","Total des sorties ("&amp;TEXT($T60,"#,##0.00")&amp;" kg) superieur a la quantite envoyee.",IF($X60="EN COURS","Envoi enregistre, resultats non connus. A completer dans ST_RESULTATS.",IF($X60="A JUSTIFIER","Ecart de "&amp;TEXT($V60,"#,##0.00")&amp;" kg : renseigner JUSTIFICATION ECART (colonne L).",IF($P60="LOT NON REFERENCE","Creer d'abord la fiche du lot dans l'onglet LOTS.",""))))))))</f>
        <v/>
      </c>
      <c r="AA60" s="27" t="n">
        <f aca="false">IF(OR($Y60=0,$U60&gt;0),0,$G60)</f>
        <v>0</v>
      </c>
      <c r="AB60" s="26" t="n">
        <f aca="false">IF($R60=0,0,IF(OR($E60=R_LOT,COUNTIFS(RES_IDST,$A60,RES_LOTEFF,R_LOT)&gt;0),1,0))</f>
        <v>0</v>
      </c>
      <c r="AC60" s="26" t="str">
        <f aca="false">IF($AB60=0,"",COUNTIF($AB$5:$AB60,1))</f>
        <v/>
      </c>
    </row>
    <row r="61" customFormat="false" ht="15" hidden="false" customHeight="false" outlineLevel="0" collapsed="false">
      <c r="A61" s="26" t="str">
        <f aca="false">IF($D61="","","ST-"&amp;TEXT(ROW()-4,"000"))</f>
        <v/>
      </c>
      <c r="B61" s="25"/>
      <c r="C61" s="24"/>
      <c r="D61" s="24"/>
      <c r="E61" s="24"/>
      <c r="F61" s="24"/>
      <c r="G61" s="29"/>
      <c r="H61" s="24"/>
      <c r="I61" s="24"/>
      <c r="J61" s="24"/>
      <c r="K61" s="25"/>
      <c r="L61" s="24"/>
      <c r="M61" s="24"/>
      <c r="N61" s="24"/>
      <c r="O61" s="26" t="str">
        <f aca="false">IF($E61="","",IFERROR(INDEX(LOT_EXTE,MATCH($E61,LOT_KEY,0)),""))</f>
        <v/>
      </c>
      <c r="P61" s="26" t="str">
        <f aca="false">IF($E61="","",IFERROR(INDEX(LOT_PRODE,MATCH($E61,LOT_KEY,0)),"LOT NON REFERENCE"))</f>
        <v/>
      </c>
      <c r="Q61" s="26" t="str">
        <f aca="false">IF($E61="","",IFERROR(INDEX(LOT_FOURNE,MATCH($E61,LOT_KEY,0)),""))</f>
        <v/>
      </c>
      <c r="R61" s="28" t="n">
        <f aca="false">IF($D61="",0,IF(OR($B61="",$C61="",$E61="",NOT(ISNUMBER($G61)),$G61&lt;=0),0,IF($D61="STOCK EXISTANT",IF($F61="",0,1),1)))</f>
        <v>0</v>
      </c>
      <c r="S61" s="27" t="str">
        <f aca="false">IF(OR($R61=0,$D61&lt;&gt;"STOCK EXISTANT"),"",SUMIFS(MVT_BRUT,MVT_LOT,$E61,MVT_EMPL,$F61)+$G61)</f>
        <v/>
      </c>
      <c r="T61" s="27" t="str">
        <f aca="false">IF($A61="","",SUMIFS(RES_QTEVAL,RES_IDST,$A61))</f>
        <v/>
      </c>
      <c r="U61" s="28" t="str">
        <f aca="false">IF($A61="","",COUNTIFS(RES_IDST,$A61))</f>
        <v/>
      </c>
      <c r="V61" s="27" t="str">
        <f aca="false">IF(OR($A61="",$U61=0),"",$G61-$T61)</f>
        <v/>
      </c>
      <c r="W61" s="30" t="str">
        <f aca="false">IF(OR($A61="",$U61=0,NOT(ISNUMBER($G61)),$G61&lt;=0),"",$T61/$G61)</f>
        <v/>
      </c>
      <c r="X61" s="26" t="str">
        <f aca="false">IF($D61="","",IF($R61=0,"DONNEES MANQUANTES",IF($D61="STOCK EXISTANT",IF($S61&lt;=0,"EMPLACEMENT INCOHERENT",IF($G61&gt;$S61+0.001,"STOCK INSUFFISANT",IF($U61=0,"EN COURS",IF($T61&gt;$G61+0.001,"BLOQUE",IF(AND($V61&gt;P_TOL,$L61=""),"A JUSTIFIER","OK"))))),IF($U61=0,"EN COURS",IF($T61&gt;$G61+0.001,"BLOQUE",IF(AND($V61&gt;P_TOL,$L61=""),"A JUSTIFIER","OK"))))))</f>
        <v/>
      </c>
      <c r="Y61" s="28" t="n">
        <f aca="false">IF(OR($X61="",$X61="DONNEES MANQUANTES",$X61="EMPLACEMENT INCOHERENT",$X61="STOCK INSUFFISANT"),0,1)</f>
        <v>0</v>
      </c>
      <c r="Z61" s="26" t="str">
        <f aca="false">IF($D61="","",IF($R61=0,"A COMPLETER : "&amp;IF($B61="","DATE ENVOI; ","")&amp;IF($C61="","SOUS-TRAITANT; ","")&amp;IF($E61="","LOT SOURCE; ","")&amp;IF(OR(NOT(ISNUMBER($G61)),$G61&lt;=0),"QTE ENVOYEE &gt; 0; ","")&amp;IF(AND($D61="STOCK EXISTANT",$F61=""),"EMPL. SOURCE; ",""),IF($X61="EMPLACEMENT INCOHERENT","Le lot "&amp;$E61&amp;" n'existe pas sur "&amp;$F61&amp;" (stock 0).",IF($X61="STOCK INSUFFISANT","Disponible avant envoi : "&amp;TEXT($S61,"#,##0.00")&amp;" kg. Ligne NON comptee en stock.",IF($X61="BLOQUE","Total des sorties ("&amp;TEXT($T61,"#,##0.00")&amp;" kg) superieur a la quantite envoyee.",IF($X61="EN COURS","Envoi enregistre, resultats non connus. A completer dans ST_RESULTATS.",IF($X61="A JUSTIFIER","Ecart de "&amp;TEXT($V61,"#,##0.00")&amp;" kg : renseigner JUSTIFICATION ECART (colonne L).",IF($P61="LOT NON REFERENCE","Creer d'abord la fiche du lot dans l'onglet LOTS.",""))))))))</f>
        <v/>
      </c>
      <c r="AA61" s="27" t="n">
        <f aca="false">IF(OR($Y61=0,$U61&gt;0),0,$G61)</f>
        <v>0</v>
      </c>
      <c r="AB61" s="26" t="n">
        <f aca="false">IF($R61=0,0,IF(OR($E61=R_LOT,COUNTIFS(RES_IDST,$A61,RES_LOTEFF,R_LOT)&gt;0),1,0))</f>
        <v>0</v>
      </c>
      <c r="AC61" s="26" t="str">
        <f aca="false">IF($AB61=0,"",COUNTIF($AB$5:$AB61,1))</f>
        <v/>
      </c>
    </row>
    <row r="62" customFormat="false" ht="15" hidden="false" customHeight="false" outlineLevel="0" collapsed="false">
      <c r="A62" s="26" t="str">
        <f aca="false">IF($D62="","","ST-"&amp;TEXT(ROW()-4,"000"))</f>
        <v/>
      </c>
      <c r="B62" s="25"/>
      <c r="C62" s="24"/>
      <c r="D62" s="24"/>
      <c r="E62" s="24"/>
      <c r="F62" s="24"/>
      <c r="G62" s="29"/>
      <c r="H62" s="24"/>
      <c r="I62" s="24"/>
      <c r="J62" s="24"/>
      <c r="K62" s="25"/>
      <c r="L62" s="24"/>
      <c r="M62" s="24"/>
      <c r="N62" s="24"/>
      <c r="O62" s="26" t="str">
        <f aca="false">IF($E62="","",IFERROR(INDEX(LOT_EXTE,MATCH($E62,LOT_KEY,0)),""))</f>
        <v/>
      </c>
      <c r="P62" s="26" t="str">
        <f aca="false">IF($E62="","",IFERROR(INDEX(LOT_PRODE,MATCH($E62,LOT_KEY,0)),"LOT NON REFERENCE"))</f>
        <v/>
      </c>
      <c r="Q62" s="26" t="str">
        <f aca="false">IF($E62="","",IFERROR(INDEX(LOT_FOURNE,MATCH($E62,LOT_KEY,0)),""))</f>
        <v/>
      </c>
      <c r="R62" s="28" t="n">
        <f aca="false">IF($D62="",0,IF(OR($B62="",$C62="",$E62="",NOT(ISNUMBER($G62)),$G62&lt;=0),0,IF($D62="STOCK EXISTANT",IF($F62="",0,1),1)))</f>
        <v>0</v>
      </c>
      <c r="S62" s="27" t="str">
        <f aca="false">IF(OR($R62=0,$D62&lt;&gt;"STOCK EXISTANT"),"",SUMIFS(MVT_BRUT,MVT_LOT,$E62,MVT_EMPL,$F62)+$G62)</f>
        <v/>
      </c>
      <c r="T62" s="27" t="str">
        <f aca="false">IF($A62="","",SUMIFS(RES_QTEVAL,RES_IDST,$A62))</f>
        <v/>
      </c>
      <c r="U62" s="28" t="str">
        <f aca="false">IF($A62="","",COUNTIFS(RES_IDST,$A62))</f>
        <v/>
      </c>
      <c r="V62" s="27" t="str">
        <f aca="false">IF(OR($A62="",$U62=0),"",$G62-$T62)</f>
        <v/>
      </c>
      <c r="W62" s="30" t="str">
        <f aca="false">IF(OR($A62="",$U62=0,NOT(ISNUMBER($G62)),$G62&lt;=0),"",$T62/$G62)</f>
        <v/>
      </c>
      <c r="X62" s="26" t="str">
        <f aca="false">IF($D62="","",IF($R62=0,"DONNEES MANQUANTES",IF($D62="STOCK EXISTANT",IF($S62&lt;=0,"EMPLACEMENT INCOHERENT",IF($G62&gt;$S62+0.001,"STOCK INSUFFISANT",IF($U62=0,"EN COURS",IF($T62&gt;$G62+0.001,"BLOQUE",IF(AND($V62&gt;P_TOL,$L62=""),"A JUSTIFIER","OK"))))),IF($U62=0,"EN COURS",IF($T62&gt;$G62+0.001,"BLOQUE",IF(AND($V62&gt;P_TOL,$L62=""),"A JUSTIFIER","OK"))))))</f>
        <v/>
      </c>
      <c r="Y62" s="28" t="n">
        <f aca="false">IF(OR($X62="",$X62="DONNEES MANQUANTES",$X62="EMPLACEMENT INCOHERENT",$X62="STOCK INSUFFISANT"),0,1)</f>
        <v>0</v>
      </c>
      <c r="Z62" s="26" t="str">
        <f aca="false">IF($D62="","",IF($R62=0,"A COMPLETER : "&amp;IF($B62="","DATE ENVOI; ","")&amp;IF($C62="","SOUS-TRAITANT; ","")&amp;IF($E62="","LOT SOURCE; ","")&amp;IF(OR(NOT(ISNUMBER($G62)),$G62&lt;=0),"QTE ENVOYEE &gt; 0; ","")&amp;IF(AND($D62="STOCK EXISTANT",$F62=""),"EMPL. SOURCE; ",""),IF($X62="EMPLACEMENT INCOHERENT","Le lot "&amp;$E62&amp;" n'existe pas sur "&amp;$F62&amp;" (stock 0).",IF($X62="STOCK INSUFFISANT","Disponible avant envoi : "&amp;TEXT($S62,"#,##0.00")&amp;" kg. Ligne NON comptee en stock.",IF($X62="BLOQUE","Total des sorties ("&amp;TEXT($T62,"#,##0.00")&amp;" kg) superieur a la quantite envoyee.",IF($X62="EN COURS","Envoi enregistre, resultats non connus. A completer dans ST_RESULTATS.",IF($X62="A JUSTIFIER","Ecart de "&amp;TEXT($V62,"#,##0.00")&amp;" kg : renseigner JUSTIFICATION ECART (colonne L).",IF($P62="LOT NON REFERENCE","Creer d'abord la fiche du lot dans l'onglet LOTS.",""))))))))</f>
        <v/>
      </c>
      <c r="AA62" s="27" t="n">
        <f aca="false">IF(OR($Y62=0,$U62&gt;0),0,$G62)</f>
        <v>0</v>
      </c>
      <c r="AB62" s="26" t="n">
        <f aca="false">IF($R62=0,0,IF(OR($E62=R_LOT,COUNTIFS(RES_IDST,$A62,RES_LOTEFF,R_LOT)&gt;0),1,0))</f>
        <v>0</v>
      </c>
      <c r="AC62" s="26" t="str">
        <f aca="false">IF($AB62=0,"",COUNTIF($AB$5:$AB62,1))</f>
        <v/>
      </c>
    </row>
    <row r="63" customFormat="false" ht="15" hidden="false" customHeight="false" outlineLevel="0" collapsed="false">
      <c r="A63" s="26" t="str">
        <f aca="false">IF($D63="","","ST-"&amp;TEXT(ROW()-4,"000"))</f>
        <v/>
      </c>
      <c r="B63" s="25"/>
      <c r="C63" s="24"/>
      <c r="D63" s="24"/>
      <c r="E63" s="24"/>
      <c r="F63" s="24"/>
      <c r="G63" s="29"/>
      <c r="H63" s="24"/>
      <c r="I63" s="24"/>
      <c r="J63" s="24"/>
      <c r="K63" s="25"/>
      <c r="L63" s="24"/>
      <c r="M63" s="24"/>
      <c r="N63" s="24"/>
      <c r="O63" s="26" t="str">
        <f aca="false">IF($E63="","",IFERROR(INDEX(LOT_EXTE,MATCH($E63,LOT_KEY,0)),""))</f>
        <v/>
      </c>
      <c r="P63" s="26" t="str">
        <f aca="false">IF($E63="","",IFERROR(INDEX(LOT_PRODE,MATCH($E63,LOT_KEY,0)),"LOT NON REFERENCE"))</f>
        <v/>
      </c>
      <c r="Q63" s="26" t="str">
        <f aca="false">IF($E63="","",IFERROR(INDEX(LOT_FOURNE,MATCH($E63,LOT_KEY,0)),""))</f>
        <v/>
      </c>
      <c r="R63" s="28" t="n">
        <f aca="false">IF($D63="",0,IF(OR($B63="",$C63="",$E63="",NOT(ISNUMBER($G63)),$G63&lt;=0),0,IF($D63="STOCK EXISTANT",IF($F63="",0,1),1)))</f>
        <v>0</v>
      </c>
      <c r="S63" s="27" t="str">
        <f aca="false">IF(OR($R63=0,$D63&lt;&gt;"STOCK EXISTANT"),"",SUMIFS(MVT_BRUT,MVT_LOT,$E63,MVT_EMPL,$F63)+$G63)</f>
        <v/>
      </c>
      <c r="T63" s="27" t="str">
        <f aca="false">IF($A63="","",SUMIFS(RES_QTEVAL,RES_IDST,$A63))</f>
        <v/>
      </c>
      <c r="U63" s="28" t="str">
        <f aca="false">IF($A63="","",COUNTIFS(RES_IDST,$A63))</f>
        <v/>
      </c>
      <c r="V63" s="27" t="str">
        <f aca="false">IF(OR($A63="",$U63=0),"",$G63-$T63)</f>
        <v/>
      </c>
      <c r="W63" s="30" t="str">
        <f aca="false">IF(OR($A63="",$U63=0,NOT(ISNUMBER($G63)),$G63&lt;=0),"",$T63/$G63)</f>
        <v/>
      </c>
      <c r="X63" s="26" t="str">
        <f aca="false">IF($D63="","",IF($R63=0,"DONNEES MANQUANTES",IF($D63="STOCK EXISTANT",IF($S63&lt;=0,"EMPLACEMENT INCOHERENT",IF($G63&gt;$S63+0.001,"STOCK INSUFFISANT",IF($U63=0,"EN COURS",IF($T63&gt;$G63+0.001,"BLOQUE",IF(AND($V63&gt;P_TOL,$L63=""),"A JUSTIFIER","OK"))))),IF($U63=0,"EN COURS",IF($T63&gt;$G63+0.001,"BLOQUE",IF(AND($V63&gt;P_TOL,$L63=""),"A JUSTIFIER","OK"))))))</f>
        <v/>
      </c>
      <c r="Y63" s="28" t="n">
        <f aca="false">IF(OR($X63="",$X63="DONNEES MANQUANTES",$X63="EMPLACEMENT INCOHERENT",$X63="STOCK INSUFFISANT"),0,1)</f>
        <v>0</v>
      </c>
      <c r="Z63" s="26" t="str">
        <f aca="false">IF($D63="","",IF($R63=0,"A COMPLETER : "&amp;IF($B63="","DATE ENVOI; ","")&amp;IF($C63="","SOUS-TRAITANT; ","")&amp;IF($E63="","LOT SOURCE; ","")&amp;IF(OR(NOT(ISNUMBER($G63)),$G63&lt;=0),"QTE ENVOYEE &gt; 0; ","")&amp;IF(AND($D63="STOCK EXISTANT",$F63=""),"EMPL. SOURCE; ",""),IF($X63="EMPLACEMENT INCOHERENT","Le lot "&amp;$E63&amp;" n'existe pas sur "&amp;$F63&amp;" (stock 0).",IF($X63="STOCK INSUFFISANT","Disponible avant envoi : "&amp;TEXT($S63,"#,##0.00")&amp;" kg. Ligne NON comptee en stock.",IF($X63="BLOQUE","Total des sorties ("&amp;TEXT($T63,"#,##0.00")&amp;" kg) superieur a la quantite envoyee.",IF($X63="EN COURS","Envoi enregistre, resultats non connus. A completer dans ST_RESULTATS.",IF($X63="A JUSTIFIER","Ecart de "&amp;TEXT($V63,"#,##0.00")&amp;" kg : renseigner JUSTIFICATION ECART (colonne L).",IF($P63="LOT NON REFERENCE","Creer d'abord la fiche du lot dans l'onglet LOTS.",""))))))))</f>
        <v/>
      </c>
      <c r="AA63" s="27" t="n">
        <f aca="false">IF(OR($Y63=0,$U63&gt;0),0,$G63)</f>
        <v>0</v>
      </c>
      <c r="AB63" s="26" t="n">
        <f aca="false">IF($R63=0,0,IF(OR($E63=R_LOT,COUNTIFS(RES_IDST,$A63,RES_LOTEFF,R_LOT)&gt;0),1,0))</f>
        <v>0</v>
      </c>
      <c r="AC63" s="26" t="str">
        <f aca="false">IF($AB63=0,"",COUNTIF($AB$5:$AB63,1))</f>
        <v/>
      </c>
    </row>
    <row r="64" customFormat="false" ht="15" hidden="false" customHeight="false" outlineLevel="0" collapsed="false">
      <c r="A64" s="26" t="str">
        <f aca="false">IF($D64="","","ST-"&amp;TEXT(ROW()-4,"000"))</f>
        <v/>
      </c>
      <c r="B64" s="25"/>
      <c r="C64" s="24"/>
      <c r="D64" s="24"/>
      <c r="E64" s="24"/>
      <c r="F64" s="24"/>
      <c r="G64" s="29"/>
      <c r="H64" s="24"/>
      <c r="I64" s="24"/>
      <c r="J64" s="24"/>
      <c r="K64" s="25"/>
      <c r="L64" s="24"/>
      <c r="M64" s="24"/>
      <c r="N64" s="24"/>
      <c r="O64" s="26" t="str">
        <f aca="false">IF($E64="","",IFERROR(INDEX(LOT_EXTE,MATCH($E64,LOT_KEY,0)),""))</f>
        <v/>
      </c>
      <c r="P64" s="26" t="str">
        <f aca="false">IF($E64="","",IFERROR(INDEX(LOT_PRODE,MATCH($E64,LOT_KEY,0)),"LOT NON REFERENCE"))</f>
        <v/>
      </c>
      <c r="Q64" s="26" t="str">
        <f aca="false">IF($E64="","",IFERROR(INDEX(LOT_FOURNE,MATCH($E64,LOT_KEY,0)),""))</f>
        <v/>
      </c>
      <c r="R64" s="28" t="n">
        <f aca="false">IF($D64="",0,IF(OR($B64="",$C64="",$E64="",NOT(ISNUMBER($G64)),$G64&lt;=0),0,IF($D64="STOCK EXISTANT",IF($F64="",0,1),1)))</f>
        <v>0</v>
      </c>
      <c r="S64" s="27" t="str">
        <f aca="false">IF(OR($R64=0,$D64&lt;&gt;"STOCK EXISTANT"),"",SUMIFS(MVT_BRUT,MVT_LOT,$E64,MVT_EMPL,$F64)+$G64)</f>
        <v/>
      </c>
      <c r="T64" s="27" t="str">
        <f aca="false">IF($A64="","",SUMIFS(RES_QTEVAL,RES_IDST,$A64))</f>
        <v/>
      </c>
      <c r="U64" s="28" t="str">
        <f aca="false">IF($A64="","",COUNTIFS(RES_IDST,$A64))</f>
        <v/>
      </c>
      <c r="V64" s="27" t="str">
        <f aca="false">IF(OR($A64="",$U64=0),"",$G64-$T64)</f>
        <v/>
      </c>
      <c r="W64" s="30" t="str">
        <f aca="false">IF(OR($A64="",$U64=0,NOT(ISNUMBER($G64)),$G64&lt;=0),"",$T64/$G64)</f>
        <v/>
      </c>
      <c r="X64" s="26" t="str">
        <f aca="false">IF($D64="","",IF($R64=0,"DONNEES MANQUANTES",IF($D64="STOCK EXISTANT",IF($S64&lt;=0,"EMPLACEMENT INCOHERENT",IF($G64&gt;$S64+0.001,"STOCK INSUFFISANT",IF($U64=0,"EN COURS",IF($T64&gt;$G64+0.001,"BLOQUE",IF(AND($V64&gt;P_TOL,$L64=""),"A JUSTIFIER","OK"))))),IF($U64=0,"EN COURS",IF($T64&gt;$G64+0.001,"BLOQUE",IF(AND($V64&gt;P_TOL,$L64=""),"A JUSTIFIER","OK"))))))</f>
        <v/>
      </c>
      <c r="Y64" s="28" t="n">
        <f aca="false">IF(OR($X64="",$X64="DONNEES MANQUANTES",$X64="EMPLACEMENT INCOHERENT",$X64="STOCK INSUFFISANT"),0,1)</f>
        <v>0</v>
      </c>
      <c r="Z64" s="26" t="str">
        <f aca="false">IF($D64="","",IF($R64=0,"A COMPLETER : "&amp;IF($B64="","DATE ENVOI; ","")&amp;IF($C64="","SOUS-TRAITANT; ","")&amp;IF($E64="","LOT SOURCE; ","")&amp;IF(OR(NOT(ISNUMBER($G64)),$G64&lt;=0),"QTE ENVOYEE &gt; 0; ","")&amp;IF(AND($D64="STOCK EXISTANT",$F64=""),"EMPL. SOURCE; ",""),IF($X64="EMPLACEMENT INCOHERENT","Le lot "&amp;$E64&amp;" n'existe pas sur "&amp;$F64&amp;" (stock 0).",IF($X64="STOCK INSUFFISANT","Disponible avant envoi : "&amp;TEXT($S64,"#,##0.00")&amp;" kg. Ligne NON comptee en stock.",IF($X64="BLOQUE","Total des sorties ("&amp;TEXT($T64,"#,##0.00")&amp;" kg) superieur a la quantite envoyee.",IF($X64="EN COURS","Envoi enregistre, resultats non connus. A completer dans ST_RESULTATS.",IF($X64="A JUSTIFIER","Ecart de "&amp;TEXT($V64,"#,##0.00")&amp;" kg : renseigner JUSTIFICATION ECART (colonne L).",IF($P64="LOT NON REFERENCE","Creer d'abord la fiche du lot dans l'onglet LOTS.",""))))))))</f>
        <v/>
      </c>
      <c r="AA64" s="27" t="n">
        <f aca="false">IF(OR($Y64=0,$U64&gt;0),0,$G64)</f>
        <v>0</v>
      </c>
      <c r="AB64" s="26" t="n">
        <f aca="false">IF($R64=0,0,IF(OR($E64=R_LOT,COUNTIFS(RES_IDST,$A64,RES_LOTEFF,R_LOT)&gt;0),1,0))</f>
        <v>0</v>
      </c>
      <c r="AC64" s="26" t="str">
        <f aca="false">IF($AB64=0,"",COUNTIF($AB$5:$AB64,1))</f>
        <v/>
      </c>
    </row>
    <row r="65" customFormat="false" ht="15" hidden="false" customHeight="false" outlineLevel="0" collapsed="false">
      <c r="A65" s="26" t="str">
        <f aca="false">IF($D65="","","ST-"&amp;TEXT(ROW()-4,"000"))</f>
        <v/>
      </c>
      <c r="B65" s="25"/>
      <c r="C65" s="24"/>
      <c r="D65" s="24"/>
      <c r="E65" s="24"/>
      <c r="F65" s="24"/>
      <c r="G65" s="29"/>
      <c r="H65" s="24"/>
      <c r="I65" s="24"/>
      <c r="J65" s="24"/>
      <c r="K65" s="25"/>
      <c r="L65" s="24"/>
      <c r="M65" s="24"/>
      <c r="N65" s="24"/>
      <c r="O65" s="26" t="str">
        <f aca="false">IF($E65="","",IFERROR(INDEX(LOT_EXTE,MATCH($E65,LOT_KEY,0)),""))</f>
        <v/>
      </c>
      <c r="P65" s="26" t="str">
        <f aca="false">IF($E65="","",IFERROR(INDEX(LOT_PRODE,MATCH($E65,LOT_KEY,0)),"LOT NON REFERENCE"))</f>
        <v/>
      </c>
      <c r="Q65" s="26" t="str">
        <f aca="false">IF($E65="","",IFERROR(INDEX(LOT_FOURNE,MATCH($E65,LOT_KEY,0)),""))</f>
        <v/>
      </c>
      <c r="R65" s="28" t="n">
        <f aca="false">IF($D65="",0,IF(OR($B65="",$C65="",$E65="",NOT(ISNUMBER($G65)),$G65&lt;=0),0,IF($D65="STOCK EXISTANT",IF($F65="",0,1),1)))</f>
        <v>0</v>
      </c>
      <c r="S65" s="27" t="str">
        <f aca="false">IF(OR($R65=0,$D65&lt;&gt;"STOCK EXISTANT"),"",SUMIFS(MVT_BRUT,MVT_LOT,$E65,MVT_EMPL,$F65)+$G65)</f>
        <v/>
      </c>
      <c r="T65" s="27" t="str">
        <f aca="false">IF($A65="","",SUMIFS(RES_QTEVAL,RES_IDST,$A65))</f>
        <v/>
      </c>
      <c r="U65" s="28" t="str">
        <f aca="false">IF($A65="","",COUNTIFS(RES_IDST,$A65))</f>
        <v/>
      </c>
      <c r="V65" s="27" t="str">
        <f aca="false">IF(OR($A65="",$U65=0),"",$G65-$T65)</f>
        <v/>
      </c>
      <c r="W65" s="30" t="str">
        <f aca="false">IF(OR($A65="",$U65=0,NOT(ISNUMBER($G65)),$G65&lt;=0),"",$T65/$G65)</f>
        <v/>
      </c>
      <c r="X65" s="26" t="str">
        <f aca="false">IF($D65="","",IF($R65=0,"DONNEES MANQUANTES",IF($D65="STOCK EXISTANT",IF($S65&lt;=0,"EMPLACEMENT INCOHERENT",IF($G65&gt;$S65+0.001,"STOCK INSUFFISANT",IF($U65=0,"EN COURS",IF($T65&gt;$G65+0.001,"BLOQUE",IF(AND($V65&gt;P_TOL,$L65=""),"A JUSTIFIER","OK"))))),IF($U65=0,"EN COURS",IF($T65&gt;$G65+0.001,"BLOQUE",IF(AND($V65&gt;P_TOL,$L65=""),"A JUSTIFIER","OK"))))))</f>
        <v/>
      </c>
      <c r="Y65" s="28" t="n">
        <f aca="false">IF(OR($X65="",$X65="DONNEES MANQUANTES",$X65="EMPLACEMENT INCOHERENT",$X65="STOCK INSUFFISANT"),0,1)</f>
        <v>0</v>
      </c>
      <c r="Z65" s="26" t="str">
        <f aca="false">IF($D65="","",IF($R65=0,"A COMPLETER : "&amp;IF($B65="","DATE ENVOI; ","")&amp;IF($C65="","SOUS-TRAITANT; ","")&amp;IF($E65="","LOT SOURCE; ","")&amp;IF(OR(NOT(ISNUMBER($G65)),$G65&lt;=0),"QTE ENVOYEE &gt; 0; ","")&amp;IF(AND($D65="STOCK EXISTANT",$F65=""),"EMPL. SOURCE; ",""),IF($X65="EMPLACEMENT INCOHERENT","Le lot "&amp;$E65&amp;" n'existe pas sur "&amp;$F65&amp;" (stock 0).",IF($X65="STOCK INSUFFISANT","Disponible avant envoi : "&amp;TEXT($S65,"#,##0.00")&amp;" kg. Ligne NON comptee en stock.",IF($X65="BLOQUE","Total des sorties ("&amp;TEXT($T65,"#,##0.00")&amp;" kg) superieur a la quantite envoyee.",IF($X65="EN COURS","Envoi enregistre, resultats non connus. A completer dans ST_RESULTATS.",IF($X65="A JUSTIFIER","Ecart de "&amp;TEXT($V65,"#,##0.00")&amp;" kg : renseigner JUSTIFICATION ECART (colonne L).",IF($P65="LOT NON REFERENCE","Creer d'abord la fiche du lot dans l'onglet LOTS.",""))))))))</f>
        <v/>
      </c>
      <c r="AA65" s="27" t="n">
        <f aca="false">IF(OR($Y65=0,$U65&gt;0),0,$G65)</f>
        <v>0</v>
      </c>
      <c r="AB65" s="26" t="n">
        <f aca="false">IF($R65=0,0,IF(OR($E65=R_LOT,COUNTIFS(RES_IDST,$A65,RES_LOTEFF,R_LOT)&gt;0),1,0))</f>
        <v>0</v>
      </c>
      <c r="AC65" s="26" t="str">
        <f aca="false">IF($AB65=0,"",COUNTIF($AB$5:$AB65,1))</f>
        <v/>
      </c>
    </row>
    <row r="66" customFormat="false" ht="15" hidden="false" customHeight="false" outlineLevel="0" collapsed="false">
      <c r="A66" s="26" t="str">
        <f aca="false">IF($D66="","","ST-"&amp;TEXT(ROW()-4,"000"))</f>
        <v/>
      </c>
      <c r="B66" s="25"/>
      <c r="C66" s="24"/>
      <c r="D66" s="24"/>
      <c r="E66" s="24"/>
      <c r="F66" s="24"/>
      <c r="G66" s="29"/>
      <c r="H66" s="24"/>
      <c r="I66" s="24"/>
      <c r="J66" s="24"/>
      <c r="K66" s="25"/>
      <c r="L66" s="24"/>
      <c r="M66" s="24"/>
      <c r="N66" s="24"/>
      <c r="O66" s="26" t="str">
        <f aca="false">IF($E66="","",IFERROR(INDEX(LOT_EXTE,MATCH($E66,LOT_KEY,0)),""))</f>
        <v/>
      </c>
      <c r="P66" s="26" t="str">
        <f aca="false">IF($E66="","",IFERROR(INDEX(LOT_PRODE,MATCH($E66,LOT_KEY,0)),"LOT NON REFERENCE"))</f>
        <v/>
      </c>
      <c r="Q66" s="26" t="str">
        <f aca="false">IF($E66="","",IFERROR(INDEX(LOT_FOURNE,MATCH($E66,LOT_KEY,0)),""))</f>
        <v/>
      </c>
      <c r="R66" s="28" t="n">
        <f aca="false">IF($D66="",0,IF(OR($B66="",$C66="",$E66="",NOT(ISNUMBER($G66)),$G66&lt;=0),0,IF($D66="STOCK EXISTANT",IF($F66="",0,1),1)))</f>
        <v>0</v>
      </c>
      <c r="S66" s="27" t="str">
        <f aca="false">IF(OR($R66=0,$D66&lt;&gt;"STOCK EXISTANT"),"",SUMIFS(MVT_BRUT,MVT_LOT,$E66,MVT_EMPL,$F66)+$G66)</f>
        <v/>
      </c>
      <c r="T66" s="27" t="str">
        <f aca="false">IF($A66="","",SUMIFS(RES_QTEVAL,RES_IDST,$A66))</f>
        <v/>
      </c>
      <c r="U66" s="28" t="str">
        <f aca="false">IF($A66="","",COUNTIFS(RES_IDST,$A66))</f>
        <v/>
      </c>
      <c r="V66" s="27" t="str">
        <f aca="false">IF(OR($A66="",$U66=0),"",$G66-$T66)</f>
        <v/>
      </c>
      <c r="W66" s="30" t="str">
        <f aca="false">IF(OR($A66="",$U66=0,NOT(ISNUMBER($G66)),$G66&lt;=0),"",$T66/$G66)</f>
        <v/>
      </c>
      <c r="X66" s="26" t="str">
        <f aca="false">IF($D66="","",IF($R66=0,"DONNEES MANQUANTES",IF($D66="STOCK EXISTANT",IF($S66&lt;=0,"EMPLACEMENT INCOHERENT",IF($G66&gt;$S66+0.001,"STOCK INSUFFISANT",IF($U66=0,"EN COURS",IF($T66&gt;$G66+0.001,"BLOQUE",IF(AND($V66&gt;P_TOL,$L66=""),"A JUSTIFIER","OK"))))),IF($U66=0,"EN COURS",IF($T66&gt;$G66+0.001,"BLOQUE",IF(AND($V66&gt;P_TOL,$L66=""),"A JUSTIFIER","OK"))))))</f>
        <v/>
      </c>
      <c r="Y66" s="28" t="n">
        <f aca="false">IF(OR($X66="",$X66="DONNEES MANQUANTES",$X66="EMPLACEMENT INCOHERENT",$X66="STOCK INSUFFISANT"),0,1)</f>
        <v>0</v>
      </c>
      <c r="Z66" s="26" t="str">
        <f aca="false">IF($D66="","",IF($R66=0,"A COMPLETER : "&amp;IF($B66="","DATE ENVOI; ","")&amp;IF($C66="","SOUS-TRAITANT; ","")&amp;IF($E66="","LOT SOURCE; ","")&amp;IF(OR(NOT(ISNUMBER($G66)),$G66&lt;=0),"QTE ENVOYEE &gt; 0; ","")&amp;IF(AND($D66="STOCK EXISTANT",$F66=""),"EMPL. SOURCE; ",""),IF($X66="EMPLACEMENT INCOHERENT","Le lot "&amp;$E66&amp;" n'existe pas sur "&amp;$F66&amp;" (stock 0).",IF($X66="STOCK INSUFFISANT","Disponible avant envoi : "&amp;TEXT($S66,"#,##0.00")&amp;" kg. Ligne NON comptee en stock.",IF($X66="BLOQUE","Total des sorties ("&amp;TEXT($T66,"#,##0.00")&amp;" kg) superieur a la quantite envoyee.",IF($X66="EN COURS","Envoi enregistre, resultats non connus. A completer dans ST_RESULTATS.",IF($X66="A JUSTIFIER","Ecart de "&amp;TEXT($V66,"#,##0.00")&amp;" kg : renseigner JUSTIFICATION ECART (colonne L).",IF($P66="LOT NON REFERENCE","Creer d'abord la fiche du lot dans l'onglet LOTS.",""))))))))</f>
        <v/>
      </c>
      <c r="AA66" s="27" t="n">
        <f aca="false">IF(OR($Y66=0,$U66&gt;0),0,$G66)</f>
        <v>0</v>
      </c>
      <c r="AB66" s="26" t="n">
        <f aca="false">IF($R66=0,0,IF(OR($E66=R_LOT,COUNTIFS(RES_IDST,$A66,RES_LOTEFF,R_LOT)&gt;0),1,0))</f>
        <v>0</v>
      </c>
      <c r="AC66" s="26" t="str">
        <f aca="false">IF($AB66=0,"",COUNTIF($AB$5:$AB66,1))</f>
        <v/>
      </c>
    </row>
    <row r="67" customFormat="false" ht="15" hidden="false" customHeight="false" outlineLevel="0" collapsed="false">
      <c r="A67" s="26" t="str">
        <f aca="false">IF($D67="","","ST-"&amp;TEXT(ROW()-4,"000"))</f>
        <v/>
      </c>
      <c r="B67" s="25"/>
      <c r="C67" s="24"/>
      <c r="D67" s="24"/>
      <c r="E67" s="24"/>
      <c r="F67" s="24"/>
      <c r="G67" s="29"/>
      <c r="H67" s="24"/>
      <c r="I67" s="24"/>
      <c r="J67" s="24"/>
      <c r="K67" s="25"/>
      <c r="L67" s="24"/>
      <c r="M67" s="24"/>
      <c r="N67" s="24"/>
      <c r="O67" s="26" t="str">
        <f aca="false">IF($E67="","",IFERROR(INDEX(LOT_EXTE,MATCH($E67,LOT_KEY,0)),""))</f>
        <v/>
      </c>
      <c r="P67" s="26" t="str">
        <f aca="false">IF($E67="","",IFERROR(INDEX(LOT_PRODE,MATCH($E67,LOT_KEY,0)),"LOT NON REFERENCE"))</f>
        <v/>
      </c>
      <c r="Q67" s="26" t="str">
        <f aca="false">IF($E67="","",IFERROR(INDEX(LOT_FOURNE,MATCH($E67,LOT_KEY,0)),""))</f>
        <v/>
      </c>
      <c r="R67" s="28" t="n">
        <f aca="false">IF($D67="",0,IF(OR($B67="",$C67="",$E67="",NOT(ISNUMBER($G67)),$G67&lt;=0),0,IF($D67="STOCK EXISTANT",IF($F67="",0,1),1)))</f>
        <v>0</v>
      </c>
      <c r="S67" s="27" t="str">
        <f aca="false">IF(OR($R67=0,$D67&lt;&gt;"STOCK EXISTANT"),"",SUMIFS(MVT_BRUT,MVT_LOT,$E67,MVT_EMPL,$F67)+$G67)</f>
        <v/>
      </c>
      <c r="T67" s="27" t="str">
        <f aca="false">IF($A67="","",SUMIFS(RES_QTEVAL,RES_IDST,$A67))</f>
        <v/>
      </c>
      <c r="U67" s="28" t="str">
        <f aca="false">IF($A67="","",COUNTIFS(RES_IDST,$A67))</f>
        <v/>
      </c>
      <c r="V67" s="27" t="str">
        <f aca="false">IF(OR($A67="",$U67=0),"",$G67-$T67)</f>
        <v/>
      </c>
      <c r="W67" s="30" t="str">
        <f aca="false">IF(OR($A67="",$U67=0,NOT(ISNUMBER($G67)),$G67&lt;=0),"",$T67/$G67)</f>
        <v/>
      </c>
      <c r="X67" s="26" t="str">
        <f aca="false">IF($D67="","",IF($R67=0,"DONNEES MANQUANTES",IF($D67="STOCK EXISTANT",IF($S67&lt;=0,"EMPLACEMENT INCOHERENT",IF($G67&gt;$S67+0.001,"STOCK INSUFFISANT",IF($U67=0,"EN COURS",IF($T67&gt;$G67+0.001,"BLOQUE",IF(AND($V67&gt;P_TOL,$L67=""),"A JUSTIFIER","OK"))))),IF($U67=0,"EN COURS",IF($T67&gt;$G67+0.001,"BLOQUE",IF(AND($V67&gt;P_TOL,$L67=""),"A JUSTIFIER","OK"))))))</f>
        <v/>
      </c>
      <c r="Y67" s="28" t="n">
        <f aca="false">IF(OR($X67="",$X67="DONNEES MANQUANTES",$X67="EMPLACEMENT INCOHERENT",$X67="STOCK INSUFFISANT"),0,1)</f>
        <v>0</v>
      </c>
      <c r="Z67" s="26" t="str">
        <f aca="false">IF($D67="","",IF($R67=0,"A COMPLETER : "&amp;IF($B67="","DATE ENVOI; ","")&amp;IF($C67="","SOUS-TRAITANT; ","")&amp;IF($E67="","LOT SOURCE; ","")&amp;IF(OR(NOT(ISNUMBER($G67)),$G67&lt;=0),"QTE ENVOYEE &gt; 0; ","")&amp;IF(AND($D67="STOCK EXISTANT",$F67=""),"EMPL. SOURCE; ",""),IF($X67="EMPLACEMENT INCOHERENT","Le lot "&amp;$E67&amp;" n'existe pas sur "&amp;$F67&amp;" (stock 0).",IF($X67="STOCK INSUFFISANT","Disponible avant envoi : "&amp;TEXT($S67,"#,##0.00")&amp;" kg. Ligne NON comptee en stock.",IF($X67="BLOQUE","Total des sorties ("&amp;TEXT($T67,"#,##0.00")&amp;" kg) superieur a la quantite envoyee.",IF($X67="EN COURS","Envoi enregistre, resultats non connus. A completer dans ST_RESULTATS.",IF($X67="A JUSTIFIER","Ecart de "&amp;TEXT($V67,"#,##0.00")&amp;" kg : renseigner JUSTIFICATION ECART (colonne L).",IF($P67="LOT NON REFERENCE","Creer d'abord la fiche du lot dans l'onglet LOTS.",""))))))))</f>
        <v/>
      </c>
      <c r="AA67" s="27" t="n">
        <f aca="false">IF(OR($Y67=0,$U67&gt;0),0,$G67)</f>
        <v>0</v>
      </c>
      <c r="AB67" s="26" t="n">
        <f aca="false">IF($R67=0,0,IF(OR($E67=R_LOT,COUNTIFS(RES_IDST,$A67,RES_LOTEFF,R_LOT)&gt;0),1,0))</f>
        <v>0</v>
      </c>
      <c r="AC67" s="26" t="str">
        <f aca="false">IF($AB67=0,"",COUNTIF($AB$5:$AB67,1))</f>
        <v/>
      </c>
    </row>
    <row r="68" customFormat="false" ht="15" hidden="false" customHeight="false" outlineLevel="0" collapsed="false">
      <c r="A68" s="26" t="str">
        <f aca="false">IF($D68="","","ST-"&amp;TEXT(ROW()-4,"000"))</f>
        <v/>
      </c>
      <c r="B68" s="25"/>
      <c r="C68" s="24"/>
      <c r="D68" s="24"/>
      <c r="E68" s="24"/>
      <c r="F68" s="24"/>
      <c r="G68" s="29"/>
      <c r="H68" s="24"/>
      <c r="I68" s="24"/>
      <c r="J68" s="24"/>
      <c r="K68" s="25"/>
      <c r="L68" s="24"/>
      <c r="M68" s="24"/>
      <c r="N68" s="24"/>
      <c r="O68" s="26" t="str">
        <f aca="false">IF($E68="","",IFERROR(INDEX(LOT_EXTE,MATCH($E68,LOT_KEY,0)),""))</f>
        <v/>
      </c>
      <c r="P68" s="26" t="str">
        <f aca="false">IF($E68="","",IFERROR(INDEX(LOT_PRODE,MATCH($E68,LOT_KEY,0)),"LOT NON REFERENCE"))</f>
        <v/>
      </c>
      <c r="Q68" s="26" t="str">
        <f aca="false">IF($E68="","",IFERROR(INDEX(LOT_FOURNE,MATCH($E68,LOT_KEY,0)),""))</f>
        <v/>
      </c>
      <c r="R68" s="28" t="n">
        <f aca="false">IF($D68="",0,IF(OR($B68="",$C68="",$E68="",NOT(ISNUMBER($G68)),$G68&lt;=0),0,IF($D68="STOCK EXISTANT",IF($F68="",0,1),1)))</f>
        <v>0</v>
      </c>
      <c r="S68" s="27" t="str">
        <f aca="false">IF(OR($R68=0,$D68&lt;&gt;"STOCK EXISTANT"),"",SUMIFS(MVT_BRUT,MVT_LOT,$E68,MVT_EMPL,$F68)+$G68)</f>
        <v/>
      </c>
      <c r="T68" s="27" t="str">
        <f aca="false">IF($A68="","",SUMIFS(RES_QTEVAL,RES_IDST,$A68))</f>
        <v/>
      </c>
      <c r="U68" s="28" t="str">
        <f aca="false">IF($A68="","",COUNTIFS(RES_IDST,$A68))</f>
        <v/>
      </c>
      <c r="V68" s="27" t="str">
        <f aca="false">IF(OR($A68="",$U68=0),"",$G68-$T68)</f>
        <v/>
      </c>
      <c r="W68" s="30" t="str">
        <f aca="false">IF(OR($A68="",$U68=0,NOT(ISNUMBER($G68)),$G68&lt;=0),"",$T68/$G68)</f>
        <v/>
      </c>
      <c r="X68" s="26" t="str">
        <f aca="false">IF($D68="","",IF($R68=0,"DONNEES MANQUANTES",IF($D68="STOCK EXISTANT",IF($S68&lt;=0,"EMPLACEMENT INCOHERENT",IF($G68&gt;$S68+0.001,"STOCK INSUFFISANT",IF($U68=0,"EN COURS",IF($T68&gt;$G68+0.001,"BLOQUE",IF(AND($V68&gt;P_TOL,$L68=""),"A JUSTIFIER","OK"))))),IF($U68=0,"EN COURS",IF($T68&gt;$G68+0.001,"BLOQUE",IF(AND($V68&gt;P_TOL,$L68=""),"A JUSTIFIER","OK"))))))</f>
        <v/>
      </c>
      <c r="Y68" s="28" t="n">
        <f aca="false">IF(OR($X68="",$X68="DONNEES MANQUANTES",$X68="EMPLACEMENT INCOHERENT",$X68="STOCK INSUFFISANT"),0,1)</f>
        <v>0</v>
      </c>
      <c r="Z68" s="26" t="str">
        <f aca="false">IF($D68="","",IF($R68=0,"A COMPLETER : "&amp;IF($B68="","DATE ENVOI; ","")&amp;IF($C68="","SOUS-TRAITANT; ","")&amp;IF($E68="","LOT SOURCE; ","")&amp;IF(OR(NOT(ISNUMBER($G68)),$G68&lt;=0),"QTE ENVOYEE &gt; 0; ","")&amp;IF(AND($D68="STOCK EXISTANT",$F68=""),"EMPL. SOURCE; ",""),IF($X68="EMPLACEMENT INCOHERENT","Le lot "&amp;$E68&amp;" n'existe pas sur "&amp;$F68&amp;" (stock 0).",IF($X68="STOCK INSUFFISANT","Disponible avant envoi : "&amp;TEXT($S68,"#,##0.00")&amp;" kg. Ligne NON comptee en stock.",IF($X68="BLOQUE","Total des sorties ("&amp;TEXT($T68,"#,##0.00")&amp;" kg) superieur a la quantite envoyee.",IF($X68="EN COURS","Envoi enregistre, resultats non connus. A completer dans ST_RESULTATS.",IF($X68="A JUSTIFIER","Ecart de "&amp;TEXT($V68,"#,##0.00")&amp;" kg : renseigner JUSTIFICATION ECART (colonne L).",IF($P68="LOT NON REFERENCE","Creer d'abord la fiche du lot dans l'onglet LOTS.",""))))))))</f>
        <v/>
      </c>
      <c r="AA68" s="27" t="n">
        <f aca="false">IF(OR($Y68=0,$U68&gt;0),0,$G68)</f>
        <v>0</v>
      </c>
      <c r="AB68" s="26" t="n">
        <f aca="false">IF($R68=0,0,IF(OR($E68=R_LOT,COUNTIFS(RES_IDST,$A68,RES_LOTEFF,R_LOT)&gt;0),1,0))</f>
        <v>0</v>
      </c>
      <c r="AC68" s="26" t="str">
        <f aca="false">IF($AB68=0,"",COUNTIF($AB$5:$AB68,1))</f>
        <v/>
      </c>
    </row>
    <row r="69" customFormat="false" ht="15" hidden="false" customHeight="false" outlineLevel="0" collapsed="false">
      <c r="A69" s="26" t="str">
        <f aca="false">IF($D69="","","ST-"&amp;TEXT(ROW()-4,"000"))</f>
        <v/>
      </c>
      <c r="B69" s="25"/>
      <c r="C69" s="24"/>
      <c r="D69" s="24"/>
      <c r="E69" s="24"/>
      <c r="F69" s="24"/>
      <c r="G69" s="29"/>
      <c r="H69" s="24"/>
      <c r="I69" s="24"/>
      <c r="J69" s="24"/>
      <c r="K69" s="25"/>
      <c r="L69" s="24"/>
      <c r="M69" s="24"/>
      <c r="N69" s="24"/>
      <c r="O69" s="26" t="str">
        <f aca="false">IF($E69="","",IFERROR(INDEX(LOT_EXTE,MATCH($E69,LOT_KEY,0)),""))</f>
        <v/>
      </c>
      <c r="P69" s="26" t="str">
        <f aca="false">IF($E69="","",IFERROR(INDEX(LOT_PRODE,MATCH($E69,LOT_KEY,0)),"LOT NON REFERENCE"))</f>
        <v/>
      </c>
      <c r="Q69" s="26" t="str">
        <f aca="false">IF($E69="","",IFERROR(INDEX(LOT_FOURNE,MATCH($E69,LOT_KEY,0)),""))</f>
        <v/>
      </c>
      <c r="R69" s="28" t="n">
        <f aca="false">IF($D69="",0,IF(OR($B69="",$C69="",$E69="",NOT(ISNUMBER($G69)),$G69&lt;=0),0,IF($D69="STOCK EXISTANT",IF($F69="",0,1),1)))</f>
        <v>0</v>
      </c>
      <c r="S69" s="27" t="str">
        <f aca="false">IF(OR($R69=0,$D69&lt;&gt;"STOCK EXISTANT"),"",SUMIFS(MVT_BRUT,MVT_LOT,$E69,MVT_EMPL,$F69)+$G69)</f>
        <v/>
      </c>
      <c r="T69" s="27" t="str">
        <f aca="false">IF($A69="","",SUMIFS(RES_QTEVAL,RES_IDST,$A69))</f>
        <v/>
      </c>
      <c r="U69" s="28" t="str">
        <f aca="false">IF($A69="","",COUNTIFS(RES_IDST,$A69))</f>
        <v/>
      </c>
      <c r="V69" s="27" t="str">
        <f aca="false">IF(OR($A69="",$U69=0),"",$G69-$T69)</f>
        <v/>
      </c>
      <c r="W69" s="30" t="str">
        <f aca="false">IF(OR($A69="",$U69=0,NOT(ISNUMBER($G69)),$G69&lt;=0),"",$T69/$G69)</f>
        <v/>
      </c>
      <c r="X69" s="26" t="str">
        <f aca="false">IF($D69="","",IF($R69=0,"DONNEES MANQUANTES",IF($D69="STOCK EXISTANT",IF($S69&lt;=0,"EMPLACEMENT INCOHERENT",IF($G69&gt;$S69+0.001,"STOCK INSUFFISANT",IF($U69=0,"EN COURS",IF($T69&gt;$G69+0.001,"BLOQUE",IF(AND($V69&gt;P_TOL,$L69=""),"A JUSTIFIER","OK"))))),IF($U69=0,"EN COURS",IF($T69&gt;$G69+0.001,"BLOQUE",IF(AND($V69&gt;P_TOL,$L69=""),"A JUSTIFIER","OK"))))))</f>
        <v/>
      </c>
      <c r="Y69" s="28" t="n">
        <f aca="false">IF(OR($X69="",$X69="DONNEES MANQUANTES",$X69="EMPLACEMENT INCOHERENT",$X69="STOCK INSUFFISANT"),0,1)</f>
        <v>0</v>
      </c>
      <c r="Z69" s="26" t="str">
        <f aca="false">IF($D69="","",IF($R69=0,"A COMPLETER : "&amp;IF($B69="","DATE ENVOI; ","")&amp;IF($C69="","SOUS-TRAITANT; ","")&amp;IF($E69="","LOT SOURCE; ","")&amp;IF(OR(NOT(ISNUMBER($G69)),$G69&lt;=0),"QTE ENVOYEE &gt; 0; ","")&amp;IF(AND($D69="STOCK EXISTANT",$F69=""),"EMPL. SOURCE; ",""),IF($X69="EMPLACEMENT INCOHERENT","Le lot "&amp;$E69&amp;" n'existe pas sur "&amp;$F69&amp;" (stock 0).",IF($X69="STOCK INSUFFISANT","Disponible avant envoi : "&amp;TEXT($S69,"#,##0.00")&amp;" kg. Ligne NON comptee en stock.",IF($X69="BLOQUE","Total des sorties ("&amp;TEXT($T69,"#,##0.00")&amp;" kg) superieur a la quantite envoyee.",IF($X69="EN COURS","Envoi enregistre, resultats non connus. A completer dans ST_RESULTATS.",IF($X69="A JUSTIFIER","Ecart de "&amp;TEXT($V69,"#,##0.00")&amp;" kg : renseigner JUSTIFICATION ECART (colonne L).",IF($P69="LOT NON REFERENCE","Creer d'abord la fiche du lot dans l'onglet LOTS.",""))))))))</f>
        <v/>
      </c>
      <c r="AA69" s="27" t="n">
        <f aca="false">IF(OR($Y69=0,$U69&gt;0),0,$G69)</f>
        <v>0</v>
      </c>
      <c r="AB69" s="26" t="n">
        <f aca="false">IF($R69=0,0,IF(OR($E69=R_LOT,COUNTIFS(RES_IDST,$A69,RES_LOTEFF,R_LOT)&gt;0),1,0))</f>
        <v>0</v>
      </c>
      <c r="AC69" s="26" t="str">
        <f aca="false">IF($AB69=0,"",COUNTIF($AB$5:$AB69,1))</f>
        <v/>
      </c>
    </row>
    <row r="70" customFormat="false" ht="15" hidden="false" customHeight="false" outlineLevel="0" collapsed="false">
      <c r="A70" s="26" t="str">
        <f aca="false">IF($D70="","","ST-"&amp;TEXT(ROW()-4,"000"))</f>
        <v/>
      </c>
      <c r="B70" s="25"/>
      <c r="C70" s="24"/>
      <c r="D70" s="24"/>
      <c r="E70" s="24"/>
      <c r="F70" s="24"/>
      <c r="G70" s="29"/>
      <c r="H70" s="24"/>
      <c r="I70" s="24"/>
      <c r="J70" s="24"/>
      <c r="K70" s="25"/>
      <c r="L70" s="24"/>
      <c r="M70" s="24"/>
      <c r="N70" s="24"/>
      <c r="O70" s="26" t="str">
        <f aca="false">IF($E70="","",IFERROR(INDEX(LOT_EXTE,MATCH($E70,LOT_KEY,0)),""))</f>
        <v/>
      </c>
      <c r="P70" s="26" t="str">
        <f aca="false">IF($E70="","",IFERROR(INDEX(LOT_PRODE,MATCH($E70,LOT_KEY,0)),"LOT NON REFERENCE"))</f>
        <v/>
      </c>
      <c r="Q70" s="26" t="str">
        <f aca="false">IF($E70="","",IFERROR(INDEX(LOT_FOURNE,MATCH($E70,LOT_KEY,0)),""))</f>
        <v/>
      </c>
      <c r="R70" s="28" t="n">
        <f aca="false">IF($D70="",0,IF(OR($B70="",$C70="",$E70="",NOT(ISNUMBER($G70)),$G70&lt;=0),0,IF($D70="STOCK EXISTANT",IF($F70="",0,1),1)))</f>
        <v>0</v>
      </c>
      <c r="S70" s="27" t="str">
        <f aca="false">IF(OR($R70=0,$D70&lt;&gt;"STOCK EXISTANT"),"",SUMIFS(MVT_BRUT,MVT_LOT,$E70,MVT_EMPL,$F70)+$G70)</f>
        <v/>
      </c>
      <c r="T70" s="27" t="str">
        <f aca="false">IF($A70="","",SUMIFS(RES_QTEVAL,RES_IDST,$A70))</f>
        <v/>
      </c>
      <c r="U70" s="28" t="str">
        <f aca="false">IF($A70="","",COUNTIFS(RES_IDST,$A70))</f>
        <v/>
      </c>
      <c r="V70" s="27" t="str">
        <f aca="false">IF(OR($A70="",$U70=0),"",$G70-$T70)</f>
        <v/>
      </c>
      <c r="W70" s="30" t="str">
        <f aca="false">IF(OR($A70="",$U70=0,NOT(ISNUMBER($G70)),$G70&lt;=0),"",$T70/$G70)</f>
        <v/>
      </c>
      <c r="X70" s="26" t="str">
        <f aca="false">IF($D70="","",IF($R70=0,"DONNEES MANQUANTES",IF($D70="STOCK EXISTANT",IF($S70&lt;=0,"EMPLACEMENT INCOHERENT",IF($G70&gt;$S70+0.001,"STOCK INSUFFISANT",IF($U70=0,"EN COURS",IF($T70&gt;$G70+0.001,"BLOQUE",IF(AND($V70&gt;P_TOL,$L70=""),"A JUSTIFIER","OK"))))),IF($U70=0,"EN COURS",IF($T70&gt;$G70+0.001,"BLOQUE",IF(AND($V70&gt;P_TOL,$L70=""),"A JUSTIFIER","OK"))))))</f>
        <v/>
      </c>
      <c r="Y70" s="28" t="n">
        <f aca="false">IF(OR($X70="",$X70="DONNEES MANQUANTES",$X70="EMPLACEMENT INCOHERENT",$X70="STOCK INSUFFISANT"),0,1)</f>
        <v>0</v>
      </c>
      <c r="Z70" s="26" t="str">
        <f aca="false">IF($D70="","",IF($R70=0,"A COMPLETER : "&amp;IF($B70="","DATE ENVOI; ","")&amp;IF($C70="","SOUS-TRAITANT; ","")&amp;IF($E70="","LOT SOURCE; ","")&amp;IF(OR(NOT(ISNUMBER($G70)),$G70&lt;=0),"QTE ENVOYEE &gt; 0; ","")&amp;IF(AND($D70="STOCK EXISTANT",$F70=""),"EMPL. SOURCE; ",""),IF($X70="EMPLACEMENT INCOHERENT","Le lot "&amp;$E70&amp;" n'existe pas sur "&amp;$F70&amp;" (stock 0).",IF($X70="STOCK INSUFFISANT","Disponible avant envoi : "&amp;TEXT($S70,"#,##0.00")&amp;" kg. Ligne NON comptee en stock.",IF($X70="BLOQUE","Total des sorties ("&amp;TEXT($T70,"#,##0.00")&amp;" kg) superieur a la quantite envoyee.",IF($X70="EN COURS","Envoi enregistre, resultats non connus. A completer dans ST_RESULTATS.",IF($X70="A JUSTIFIER","Ecart de "&amp;TEXT($V70,"#,##0.00")&amp;" kg : renseigner JUSTIFICATION ECART (colonne L).",IF($P70="LOT NON REFERENCE","Creer d'abord la fiche du lot dans l'onglet LOTS.",""))))))))</f>
        <v/>
      </c>
      <c r="AA70" s="27" t="n">
        <f aca="false">IF(OR($Y70=0,$U70&gt;0),0,$G70)</f>
        <v>0</v>
      </c>
      <c r="AB70" s="26" t="n">
        <f aca="false">IF($R70=0,0,IF(OR($E70=R_LOT,COUNTIFS(RES_IDST,$A70,RES_LOTEFF,R_LOT)&gt;0),1,0))</f>
        <v>0</v>
      </c>
      <c r="AC70" s="26" t="str">
        <f aca="false">IF($AB70=0,"",COUNTIF($AB$5:$AB70,1))</f>
        <v/>
      </c>
    </row>
    <row r="71" customFormat="false" ht="15" hidden="false" customHeight="false" outlineLevel="0" collapsed="false">
      <c r="A71" s="26" t="str">
        <f aca="false">IF($D71="","","ST-"&amp;TEXT(ROW()-4,"000"))</f>
        <v/>
      </c>
      <c r="B71" s="25"/>
      <c r="C71" s="24"/>
      <c r="D71" s="24"/>
      <c r="E71" s="24"/>
      <c r="F71" s="24"/>
      <c r="G71" s="29"/>
      <c r="H71" s="24"/>
      <c r="I71" s="24"/>
      <c r="J71" s="24"/>
      <c r="K71" s="25"/>
      <c r="L71" s="24"/>
      <c r="M71" s="24"/>
      <c r="N71" s="24"/>
      <c r="O71" s="26" t="str">
        <f aca="false">IF($E71="","",IFERROR(INDEX(LOT_EXTE,MATCH($E71,LOT_KEY,0)),""))</f>
        <v/>
      </c>
      <c r="P71" s="26" t="str">
        <f aca="false">IF($E71="","",IFERROR(INDEX(LOT_PRODE,MATCH($E71,LOT_KEY,0)),"LOT NON REFERENCE"))</f>
        <v/>
      </c>
      <c r="Q71" s="26" t="str">
        <f aca="false">IF($E71="","",IFERROR(INDEX(LOT_FOURNE,MATCH($E71,LOT_KEY,0)),""))</f>
        <v/>
      </c>
      <c r="R71" s="28" t="n">
        <f aca="false">IF($D71="",0,IF(OR($B71="",$C71="",$E71="",NOT(ISNUMBER($G71)),$G71&lt;=0),0,IF($D71="STOCK EXISTANT",IF($F71="",0,1),1)))</f>
        <v>0</v>
      </c>
      <c r="S71" s="27" t="str">
        <f aca="false">IF(OR($R71=0,$D71&lt;&gt;"STOCK EXISTANT"),"",SUMIFS(MVT_BRUT,MVT_LOT,$E71,MVT_EMPL,$F71)+$G71)</f>
        <v/>
      </c>
      <c r="T71" s="27" t="str">
        <f aca="false">IF($A71="","",SUMIFS(RES_QTEVAL,RES_IDST,$A71))</f>
        <v/>
      </c>
      <c r="U71" s="28" t="str">
        <f aca="false">IF($A71="","",COUNTIFS(RES_IDST,$A71))</f>
        <v/>
      </c>
      <c r="V71" s="27" t="str">
        <f aca="false">IF(OR($A71="",$U71=0),"",$G71-$T71)</f>
        <v/>
      </c>
      <c r="W71" s="30" t="str">
        <f aca="false">IF(OR($A71="",$U71=0,NOT(ISNUMBER($G71)),$G71&lt;=0),"",$T71/$G71)</f>
        <v/>
      </c>
      <c r="X71" s="26" t="str">
        <f aca="false">IF($D71="","",IF($R71=0,"DONNEES MANQUANTES",IF($D71="STOCK EXISTANT",IF($S71&lt;=0,"EMPLACEMENT INCOHERENT",IF($G71&gt;$S71+0.001,"STOCK INSUFFISANT",IF($U71=0,"EN COURS",IF($T71&gt;$G71+0.001,"BLOQUE",IF(AND($V71&gt;P_TOL,$L71=""),"A JUSTIFIER","OK"))))),IF($U71=0,"EN COURS",IF($T71&gt;$G71+0.001,"BLOQUE",IF(AND($V71&gt;P_TOL,$L71=""),"A JUSTIFIER","OK"))))))</f>
        <v/>
      </c>
      <c r="Y71" s="28" t="n">
        <f aca="false">IF(OR($X71="",$X71="DONNEES MANQUANTES",$X71="EMPLACEMENT INCOHERENT",$X71="STOCK INSUFFISANT"),0,1)</f>
        <v>0</v>
      </c>
      <c r="Z71" s="26" t="str">
        <f aca="false">IF($D71="","",IF($R71=0,"A COMPLETER : "&amp;IF($B71="","DATE ENVOI; ","")&amp;IF($C71="","SOUS-TRAITANT; ","")&amp;IF($E71="","LOT SOURCE; ","")&amp;IF(OR(NOT(ISNUMBER($G71)),$G71&lt;=0),"QTE ENVOYEE &gt; 0; ","")&amp;IF(AND($D71="STOCK EXISTANT",$F71=""),"EMPL. SOURCE; ",""),IF($X71="EMPLACEMENT INCOHERENT","Le lot "&amp;$E71&amp;" n'existe pas sur "&amp;$F71&amp;" (stock 0).",IF($X71="STOCK INSUFFISANT","Disponible avant envoi : "&amp;TEXT($S71,"#,##0.00")&amp;" kg. Ligne NON comptee en stock.",IF($X71="BLOQUE","Total des sorties ("&amp;TEXT($T71,"#,##0.00")&amp;" kg) superieur a la quantite envoyee.",IF($X71="EN COURS","Envoi enregistre, resultats non connus. A completer dans ST_RESULTATS.",IF($X71="A JUSTIFIER","Ecart de "&amp;TEXT($V71,"#,##0.00")&amp;" kg : renseigner JUSTIFICATION ECART (colonne L).",IF($P71="LOT NON REFERENCE","Creer d'abord la fiche du lot dans l'onglet LOTS.",""))))))))</f>
        <v/>
      </c>
      <c r="AA71" s="27" t="n">
        <f aca="false">IF(OR($Y71=0,$U71&gt;0),0,$G71)</f>
        <v>0</v>
      </c>
      <c r="AB71" s="26" t="n">
        <f aca="false">IF($R71=0,0,IF(OR($E71=R_LOT,COUNTIFS(RES_IDST,$A71,RES_LOTEFF,R_LOT)&gt;0),1,0))</f>
        <v>0</v>
      </c>
      <c r="AC71" s="26" t="str">
        <f aca="false">IF($AB71=0,"",COUNTIF($AB$5:$AB71,1))</f>
        <v/>
      </c>
    </row>
    <row r="72" customFormat="false" ht="15" hidden="false" customHeight="false" outlineLevel="0" collapsed="false">
      <c r="A72" s="26" t="str">
        <f aca="false">IF($D72="","","ST-"&amp;TEXT(ROW()-4,"000"))</f>
        <v/>
      </c>
      <c r="B72" s="25"/>
      <c r="C72" s="24"/>
      <c r="D72" s="24"/>
      <c r="E72" s="24"/>
      <c r="F72" s="24"/>
      <c r="G72" s="29"/>
      <c r="H72" s="24"/>
      <c r="I72" s="24"/>
      <c r="J72" s="24"/>
      <c r="K72" s="25"/>
      <c r="L72" s="24"/>
      <c r="M72" s="24"/>
      <c r="N72" s="24"/>
      <c r="O72" s="26" t="str">
        <f aca="false">IF($E72="","",IFERROR(INDEX(LOT_EXTE,MATCH($E72,LOT_KEY,0)),""))</f>
        <v/>
      </c>
      <c r="P72" s="26" t="str">
        <f aca="false">IF($E72="","",IFERROR(INDEX(LOT_PRODE,MATCH($E72,LOT_KEY,0)),"LOT NON REFERENCE"))</f>
        <v/>
      </c>
      <c r="Q72" s="26" t="str">
        <f aca="false">IF($E72="","",IFERROR(INDEX(LOT_FOURNE,MATCH($E72,LOT_KEY,0)),""))</f>
        <v/>
      </c>
      <c r="R72" s="28" t="n">
        <f aca="false">IF($D72="",0,IF(OR($B72="",$C72="",$E72="",NOT(ISNUMBER($G72)),$G72&lt;=0),0,IF($D72="STOCK EXISTANT",IF($F72="",0,1),1)))</f>
        <v>0</v>
      </c>
      <c r="S72" s="27" t="str">
        <f aca="false">IF(OR($R72=0,$D72&lt;&gt;"STOCK EXISTANT"),"",SUMIFS(MVT_BRUT,MVT_LOT,$E72,MVT_EMPL,$F72)+$G72)</f>
        <v/>
      </c>
      <c r="T72" s="27" t="str">
        <f aca="false">IF($A72="","",SUMIFS(RES_QTEVAL,RES_IDST,$A72))</f>
        <v/>
      </c>
      <c r="U72" s="28" t="str">
        <f aca="false">IF($A72="","",COUNTIFS(RES_IDST,$A72))</f>
        <v/>
      </c>
      <c r="V72" s="27" t="str">
        <f aca="false">IF(OR($A72="",$U72=0),"",$G72-$T72)</f>
        <v/>
      </c>
      <c r="W72" s="30" t="str">
        <f aca="false">IF(OR($A72="",$U72=0,NOT(ISNUMBER($G72)),$G72&lt;=0),"",$T72/$G72)</f>
        <v/>
      </c>
      <c r="X72" s="26" t="str">
        <f aca="false">IF($D72="","",IF($R72=0,"DONNEES MANQUANTES",IF($D72="STOCK EXISTANT",IF($S72&lt;=0,"EMPLACEMENT INCOHERENT",IF($G72&gt;$S72+0.001,"STOCK INSUFFISANT",IF($U72=0,"EN COURS",IF($T72&gt;$G72+0.001,"BLOQUE",IF(AND($V72&gt;P_TOL,$L72=""),"A JUSTIFIER","OK"))))),IF($U72=0,"EN COURS",IF($T72&gt;$G72+0.001,"BLOQUE",IF(AND($V72&gt;P_TOL,$L72=""),"A JUSTIFIER","OK"))))))</f>
        <v/>
      </c>
      <c r="Y72" s="28" t="n">
        <f aca="false">IF(OR($X72="",$X72="DONNEES MANQUANTES",$X72="EMPLACEMENT INCOHERENT",$X72="STOCK INSUFFISANT"),0,1)</f>
        <v>0</v>
      </c>
      <c r="Z72" s="26" t="str">
        <f aca="false">IF($D72="","",IF($R72=0,"A COMPLETER : "&amp;IF($B72="","DATE ENVOI; ","")&amp;IF($C72="","SOUS-TRAITANT; ","")&amp;IF($E72="","LOT SOURCE; ","")&amp;IF(OR(NOT(ISNUMBER($G72)),$G72&lt;=0),"QTE ENVOYEE &gt; 0; ","")&amp;IF(AND($D72="STOCK EXISTANT",$F72=""),"EMPL. SOURCE; ",""),IF($X72="EMPLACEMENT INCOHERENT","Le lot "&amp;$E72&amp;" n'existe pas sur "&amp;$F72&amp;" (stock 0).",IF($X72="STOCK INSUFFISANT","Disponible avant envoi : "&amp;TEXT($S72,"#,##0.00")&amp;" kg. Ligne NON comptee en stock.",IF($X72="BLOQUE","Total des sorties ("&amp;TEXT($T72,"#,##0.00")&amp;" kg) superieur a la quantite envoyee.",IF($X72="EN COURS","Envoi enregistre, resultats non connus. A completer dans ST_RESULTATS.",IF($X72="A JUSTIFIER","Ecart de "&amp;TEXT($V72,"#,##0.00")&amp;" kg : renseigner JUSTIFICATION ECART (colonne L).",IF($P72="LOT NON REFERENCE","Creer d'abord la fiche du lot dans l'onglet LOTS.",""))))))))</f>
        <v/>
      </c>
      <c r="AA72" s="27" t="n">
        <f aca="false">IF(OR($Y72=0,$U72&gt;0),0,$G72)</f>
        <v>0</v>
      </c>
      <c r="AB72" s="26" t="n">
        <f aca="false">IF($R72=0,0,IF(OR($E72=R_LOT,COUNTIFS(RES_IDST,$A72,RES_LOTEFF,R_LOT)&gt;0),1,0))</f>
        <v>0</v>
      </c>
      <c r="AC72" s="26" t="str">
        <f aca="false">IF($AB72=0,"",COUNTIF($AB$5:$AB72,1))</f>
        <v/>
      </c>
    </row>
    <row r="73" customFormat="false" ht="15" hidden="false" customHeight="false" outlineLevel="0" collapsed="false">
      <c r="A73" s="26" t="str">
        <f aca="false">IF($D73="","","ST-"&amp;TEXT(ROW()-4,"000"))</f>
        <v/>
      </c>
      <c r="B73" s="25"/>
      <c r="C73" s="24"/>
      <c r="D73" s="24"/>
      <c r="E73" s="24"/>
      <c r="F73" s="24"/>
      <c r="G73" s="29"/>
      <c r="H73" s="24"/>
      <c r="I73" s="24"/>
      <c r="J73" s="24"/>
      <c r="K73" s="25"/>
      <c r="L73" s="24"/>
      <c r="M73" s="24"/>
      <c r="N73" s="24"/>
      <c r="O73" s="26" t="str">
        <f aca="false">IF($E73="","",IFERROR(INDEX(LOT_EXTE,MATCH($E73,LOT_KEY,0)),""))</f>
        <v/>
      </c>
      <c r="P73" s="26" t="str">
        <f aca="false">IF($E73="","",IFERROR(INDEX(LOT_PRODE,MATCH($E73,LOT_KEY,0)),"LOT NON REFERENCE"))</f>
        <v/>
      </c>
      <c r="Q73" s="26" t="str">
        <f aca="false">IF($E73="","",IFERROR(INDEX(LOT_FOURNE,MATCH($E73,LOT_KEY,0)),""))</f>
        <v/>
      </c>
      <c r="R73" s="28" t="n">
        <f aca="false">IF($D73="",0,IF(OR($B73="",$C73="",$E73="",NOT(ISNUMBER($G73)),$G73&lt;=0),0,IF($D73="STOCK EXISTANT",IF($F73="",0,1),1)))</f>
        <v>0</v>
      </c>
      <c r="S73" s="27" t="str">
        <f aca="false">IF(OR($R73=0,$D73&lt;&gt;"STOCK EXISTANT"),"",SUMIFS(MVT_BRUT,MVT_LOT,$E73,MVT_EMPL,$F73)+$G73)</f>
        <v/>
      </c>
      <c r="T73" s="27" t="str">
        <f aca="false">IF($A73="","",SUMIFS(RES_QTEVAL,RES_IDST,$A73))</f>
        <v/>
      </c>
      <c r="U73" s="28" t="str">
        <f aca="false">IF($A73="","",COUNTIFS(RES_IDST,$A73))</f>
        <v/>
      </c>
      <c r="V73" s="27" t="str">
        <f aca="false">IF(OR($A73="",$U73=0),"",$G73-$T73)</f>
        <v/>
      </c>
      <c r="W73" s="30" t="str">
        <f aca="false">IF(OR($A73="",$U73=0,NOT(ISNUMBER($G73)),$G73&lt;=0),"",$T73/$G73)</f>
        <v/>
      </c>
      <c r="X73" s="26" t="str">
        <f aca="false">IF($D73="","",IF($R73=0,"DONNEES MANQUANTES",IF($D73="STOCK EXISTANT",IF($S73&lt;=0,"EMPLACEMENT INCOHERENT",IF($G73&gt;$S73+0.001,"STOCK INSUFFISANT",IF($U73=0,"EN COURS",IF($T73&gt;$G73+0.001,"BLOQUE",IF(AND($V73&gt;P_TOL,$L73=""),"A JUSTIFIER","OK"))))),IF($U73=0,"EN COURS",IF($T73&gt;$G73+0.001,"BLOQUE",IF(AND($V73&gt;P_TOL,$L73=""),"A JUSTIFIER","OK"))))))</f>
        <v/>
      </c>
      <c r="Y73" s="28" t="n">
        <f aca="false">IF(OR($X73="",$X73="DONNEES MANQUANTES",$X73="EMPLACEMENT INCOHERENT",$X73="STOCK INSUFFISANT"),0,1)</f>
        <v>0</v>
      </c>
      <c r="Z73" s="26" t="str">
        <f aca="false">IF($D73="","",IF($R73=0,"A COMPLETER : "&amp;IF($B73="","DATE ENVOI; ","")&amp;IF($C73="","SOUS-TRAITANT; ","")&amp;IF($E73="","LOT SOURCE; ","")&amp;IF(OR(NOT(ISNUMBER($G73)),$G73&lt;=0),"QTE ENVOYEE &gt; 0; ","")&amp;IF(AND($D73="STOCK EXISTANT",$F73=""),"EMPL. SOURCE; ",""),IF($X73="EMPLACEMENT INCOHERENT","Le lot "&amp;$E73&amp;" n'existe pas sur "&amp;$F73&amp;" (stock 0).",IF($X73="STOCK INSUFFISANT","Disponible avant envoi : "&amp;TEXT($S73,"#,##0.00")&amp;" kg. Ligne NON comptee en stock.",IF($X73="BLOQUE","Total des sorties ("&amp;TEXT($T73,"#,##0.00")&amp;" kg) superieur a la quantite envoyee.",IF($X73="EN COURS","Envoi enregistre, resultats non connus. A completer dans ST_RESULTATS.",IF($X73="A JUSTIFIER","Ecart de "&amp;TEXT($V73,"#,##0.00")&amp;" kg : renseigner JUSTIFICATION ECART (colonne L).",IF($P73="LOT NON REFERENCE","Creer d'abord la fiche du lot dans l'onglet LOTS.",""))))))))</f>
        <v/>
      </c>
      <c r="AA73" s="27" t="n">
        <f aca="false">IF(OR($Y73=0,$U73&gt;0),0,$G73)</f>
        <v>0</v>
      </c>
      <c r="AB73" s="26" t="n">
        <f aca="false">IF($R73=0,0,IF(OR($E73=R_LOT,COUNTIFS(RES_IDST,$A73,RES_LOTEFF,R_LOT)&gt;0),1,0))</f>
        <v>0</v>
      </c>
      <c r="AC73" s="26" t="str">
        <f aca="false">IF($AB73=0,"",COUNTIF($AB$5:$AB73,1))</f>
        <v/>
      </c>
    </row>
    <row r="74" customFormat="false" ht="15" hidden="false" customHeight="false" outlineLevel="0" collapsed="false">
      <c r="A74" s="26" t="str">
        <f aca="false">IF($D74="","","ST-"&amp;TEXT(ROW()-4,"000"))</f>
        <v/>
      </c>
      <c r="B74" s="25"/>
      <c r="C74" s="24"/>
      <c r="D74" s="24"/>
      <c r="E74" s="24"/>
      <c r="F74" s="24"/>
      <c r="G74" s="29"/>
      <c r="H74" s="24"/>
      <c r="I74" s="24"/>
      <c r="J74" s="24"/>
      <c r="K74" s="25"/>
      <c r="L74" s="24"/>
      <c r="M74" s="24"/>
      <c r="N74" s="24"/>
      <c r="O74" s="26" t="str">
        <f aca="false">IF($E74="","",IFERROR(INDEX(LOT_EXTE,MATCH($E74,LOT_KEY,0)),""))</f>
        <v/>
      </c>
      <c r="P74" s="26" t="str">
        <f aca="false">IF($E74="","",IFERROR(INDEX(LOT_PRODE,MATCH($E74,LOT_KEY,0)),"LOT NON REFERENCE"))</f>
        <v/>
      </c>
      <c r="Q74" s="26" t="str">
        <f aca="false">IF($E74="","",IFERROR(INDEX(LOT_FOURNE,MATCH($E74,LOT_KEY,0)),""))</f>
        <v/>
      </c>
      <c r="R74" s="28" t="n">
        <f aca="false">IF($D74="",0,IF(OR($B74="",$C74="",$E74="",NOT(ISNUMBER($G74)),$G74&lt;=0),0,IF($D74="STOCK EXISTANT",IF($F74="",0,1),1)))</f>
        <v>0</v>
      </c>
      <c r="S74" s="27" t="str">
        <f aca="false">IF(OR($R74=0,$D74&lt;&gt;"STOCK EXISTANT"),"",SUMIFS(MVT_BRUT,MVT_LOT,$E74,MVT_EMPL,$F74)+$G74)</f>
        <v/>
      </c>
      <c r="T74" s="27" t="str">
        <f aca="false">IF($A74="","",SUMIFS(RES_QTEVAL,RES_IDST,$A74))</f>
        <v/>
      </c>
      <c r="U74" s="28" t="str">
        <f aca="false">IF($A74="","",COUNTIFS(RES_IDST,$A74))</f>
        <v/>
      </c>
      <c r="V74" s="27" t="str">
        <f aca="false">IF(OR($A74="",$U74=0),"",$G74-$T74)</f>
        <v/>
      </c>
      <c r="W74" s="30" t="str">
        <f aca="false">IF(OR($A74="",$U74=0,NOT(ISNUMBER($G74)),$G74&lt;=0),"",$T74/$G74)</f>
        <v/>
      </c>
      <c r="X74" s="26" t="str">
        <f aca="false">IF($D74="","",IF($R74=0,"DONNEES MANQUANTES",IF($D74="STOCK EXISTANT",IF($S74&lt;=0,"EMPLACEMENT INCOHERENT",IF($G74&gt;$S74+0.001,"STOCK INSUFFISANT",IF($U74=0,"EN COURS",IF($T74&gt;$G74+0.001,"BLOQUE",IF(AND($V74&gt;P_TOL,$L74=""),"A JUSTIFIER","OK"))))),IF($U74=0,"EN COURS",IF($T74&gt;$G74+0.001,"BLOQUE",IF(AND($V74&gt;P_TOL,$L74=""),"A JUSTIFIER","OK"))))))</f>
        <v/>
      </c>
      <c r="Y74" s="28" t="n">
        <f aca="false">IF(OR($X74="",$X74="DONNEES MANQUANTES",$X74="EMPLACEMENT INCOHERENT",$X74="STOCK INSUFFISANT"),0,1)</f>
        <v>0</v>
      </c>
      <c r="Z74" s="26" t="str">
        <f aca="false">IF($D74="","",IF($R74=0,"A COMPLETER : "&amp;IF($B74="","DATE ENVOI; ","")&amp;IF($C74="","SOUS-TRAITANT; ","")&amp;IF($E74="","LOT SOURCE; ","")&amp;IF(OR(NOT(ISNUMBER($G74)),$G74&lt;=0),"QTE ENVOYEE &gt; 0; ","")&amp;IF(AND($D74="STOCK EXISTANT",$F74=""),"EMPL. SOURCE; ",""),IF($X74="EMPLACEMENT INCOHERENT","Le lot "&amp;$E74&amp;" n'existe pas sur "&amp;$F74&amp;" (stock 0).",IF($X74="STOCK INSUFFISANT","Disponible avant envoi : "&amp;TEXT($S74,"#,##0.00")&amp;" kg. Ligne NON comptee en stock.",IF($X74="BLOQUE","Total des sorties ("&amp;TEXT($T74,"#,##0.00")&amp;" kg) superieur a la quantite envoyee.",IF($X74="EN COURS","Envoi enregistre, resultats non connus. A completer dans ST_RESULTATS.",IF($X74="A JUSTIFIER","Ecart de "&amp;TEXT($V74,"#,##0.00")&amp;" kg : renseigner JUSTIFICATION ECART (colonne L).",IF($P74="LOT NON REFERENCE","Creer d'abord la fiche du lot dans l'onglet LOTS.",""))))))))</f>
        <v/>
      </c>
      <c r="AA74" s="27" t="n">
        <f aca="false">IF(OR($Y74=0,$U74&gt;0),0,$G74)</f>
        <v>0</v>
      </c>
      <c r="AB74" s="26" t="n">
        <f aca="false">IF($R74=0,0,IF(OR($E74=R_LOT,COUNTIFS(RES_IDST,$A74,RES_LOTEFF,R_LOT)&gt;0),1,0))</f>
        <v>0</v>
      </c>
      <c r="AC74" s="26" t="str">
        <f aca="false">IF($AB74=0,"",COUNTIF($AB$5:$AB74,1))</f>
        <v/>
      </c>
    </row>
    <row r="75" customFormat="false" ht="15" hidden="false" customHeight="false" outlineLevel="0" collapsed="false">
      <c r="A75" s="26" t="str">
        <f aca="false">IF($D75="","","ST-"&amp;TEXT(ROW()-4,"000"))</f>
        <v/>
      </c>
      <c r="B75" s="25"/>
      <c r="C75" s="24"/>
      <c r="D75" s="24"/>
      <c r="E75" s="24"/>
      <c r="F75" s="24"/>
      <c r="G75" s="29"/>
      <c r="H75" s="24"/>
      <c r="I75" s="24"/>
      <c r="J75" s="24"/>
      <c r="K75" s="25"/>
      <c r="L75" s="24"/>
      <c r="M75" s="24"/>
      <c r="N75" s="24"/>
      <c r="O75" s="26" t="str">
        <f aca="false">IF($E75="","",IFERROR(INDEX(LOT_EXTE,MATCH($E75,LOT_KEY,0)),""))</f>
        <v/>
      </c>
      <c r="P75" s="26" t="str">
        <f aca="false">IF($E75="","",IFERROR(INDEX(LOT_PRODE,MATCH($E75,LOT_KEY,0)),"LOT NON REFERENCE"))</f>
        <v/>
      </c>
      <c r="Q75" s="26" t="str">
        <f aca="false">IF($E75="","",IFERROR(INDEX(LOT_FOURNE,MATCH($E75,LOT_KEY,0)),""))</f>
        <v/>
      </c>
      <c r="R75" s="28" t="n">
        <f aca="false">IF($D75="",0,IF(OR($B75="",$C75="",$E75="",NOT(ISNUMBER($G75)),$G75&lt;=0),0,IF($D75="STOCK EXISTANT",IF($F75="",0,1),1)))</f>
        <v>0</v>
      </c>
      <c r="S75" s="27" t="str">
        <f aca="false">IF(OR($R75=0,$D75&lt;&gt;"STOCK EXISTANT"),"",SUMIFS(MVT_BRUT,MVT_LOT,$E75,MVT_EMPL,$F75)+$G75)</f>
        <v/>
      </c>
      <c r="T75" s="27" t="str">
        <f aca="false">IF($A75="","",SUMIFS(RES_QTEVAL,RES_IDST,$A75))</f>
        <v/>
      </c>
      <c r="U75" s="28" t="str">
        <f aca="false">IF($A75="","",COUNTIFS(RES_IDST,$A75))</f>
        <v/>
      </c>
      <c r="V75" s="27" t="str">
        <f aca="false">IF(OR($A75="",$U75=0),"",$G75-$T75)</f>
        <v/>
      </c>
      <c r="W75" s="30" t="str">
        <f aca="false">IF(OR($A75="",$U75=0,NOT(ISNUMBER($G75)),$G75&lt;=0),"",$T75/$G75)</f>
        <v/>
      </c>
      <c r="X75" s="26" t="str">
        <f aca="false">IF($D75="","",IF($R75=0,"DONNEES MANQUANTES",IF($D75="STOCK EXISTANT",IF($S75&lt;=0,"EMPLACEMENT INCOHERENT",IF($G75&gt;$S75+0.001,"STOCK INSUFFISANT",IF($U75=0,"EN COURS",IF($T75&gt;$G75+0.001,"BLOQUE",IF(AND($V75&gt;P_TOL,$L75=""),"A JUSTIFIER","OK"))))),IF($U75=0,"EN COURS",IF($T75&gt;$G75+0.001,"BLOQUE",IF(AND($V75&gt;P_TOL,$L75=""),"A JUSTIFIER","OK"))))))</f>
        <v/>
      </c>
      <c r="Y75" s="28" t="n">
        <f aca="false">IF(OR($X75="",$X75="DONNEES MANQUANTES",$X75="EMPLACEMENT INCOHERENT",$X75="STOCK INSUFFISANT"),0,1)</f>
        <v>0</v>
      </c>
      <c r="Z75" s="26" t="str">
        <f aca="false">IF($D75="","",IF($R75=0,"A COMPLETER : "&amp;IF($B75="","DATE ENVOI; ","")&amp;IF($C75="","SOUS-TRAITANT; ","")&amp;IF($E75="","LOT SOURCE; ","")&amp;IF(OR(NOT(ISNUMBER($G75)),$G75&lt;=0),"QTE ENVOYEE &gt; 0; ","")&amp;IF(AND($D75="STOCK EXISTANT",$F75=""),"EMPL. SOURCE; ",""),IF($X75="EMPLACEMENT INCOHERENT","Le lot "&amp;$E75&amp;" n'existe pas sur "&amp;$F75&amp;" (stock 0).",IF($X75="STOCK INSUFFISANT","Disponible avant envoi : "&amp;TEXT($S75,"#,##0.00")&amp;" kg. Ligne NON comptee en stock.",IF($X75="BLOQUE","Total des sorties ("&amp;TEXT($T75,"#,##0.00")&amp;" kg) superieur a la quantite envoyee.",IF($X75="EN COURS","Envoi enregistre, resultats non connus. A completer dans ST_RESULTATS.",IF($X75="A JUSTIFIER","Ecart de "&amp;TEXT($V75,"#,##0.00")&amp;" kg : renseigner JUSTIFICATION ECART (colonne L).",IF($P75="LOT NON REFERENCE","Creer d'abord la fiche du lot dans l'onglet LOTS.",""))))))))</f>
        <v/>
      </c>
      <c r="AA75" s="27" t="n">
        <f aca="false">IF(OR($Y75=0,$U75&gt;0),0,$G75)</f>
        <v>0</v>
      </c>
      <c r="AB75" s="26" t="n">
        <f aca="false">IF($R75=0,0,IF(OR($E75=R_LOT,COUNTIFS(RES_IDST,$A75,RES_LOTEFF,R_LOT)&gt;0),1,0))</f>
        <v>0</v>
      </c>
      <c r="AC75" s="26" t="str">
        <f aca="false">IF($AB75=0,"",COUNTIF($AB$5:$AB75,1))</f>
        <v/>
      </c>
    </row>
    <row r="76" customFormat="false" ht="15" hidden="false" customHeight="false" outlineLevel="0" collapsed="false">
      <c r="A76" s="26" t="str">
        <f aca="false">IF($D76="","","ST-"&amp;TEXT(ROW()-4,"000"))</f>
        <v/>
      </c>
      <c r="B76" s="25"/>
      <c r="C76" s="24"/>
      <c r="D76" s="24"/>
      <c r="E76" s="24"/>
      <c r="F76" s="24"/>
      <c r="G76" s="29"/>
      <c r="H76" s="24"/>
      <c r="I76" s="24"/>
      <c r="J76" s="24"/>
      <c r="K76" s="25"/>
      <c r="L76" s="24"/>
      <c r="M76" s="24"/>
      <c r="N76" s="24"/>
      <c r="O76" s="26" t="str">
        <f aca="false">IF($E76="","",IFERROR(INDEX(LOT_EXTE,MATCH($E76,LOT_KEY,0)),""))</f>
        <v/>
      </c>
      <c r="P76" s="26" t="str">
        <f aca="false">IF($E76="","",IFERROR(INDEX(LOT_PRODE,MATCH($E76,LOT_KEY,0)),"LOT NON REFERENCE"))</f>
        <v/>
      </c>
      <c r="Q76" s="26" t="str">
        <f aca="false">IF($E76="","",IFERROR(INDEX(LOT_FOURNE,MATCH($E76,LOT_KEY,0)),""))</f>
        <v/>
      </c>
      <c r="R76" s="28" t="n">
        <f aca="false">IF($D76="",0,IF(OR($B76="",$C76="",$E76="",NOT(ISNUMBER($G76)),$G76&lt;=0),0,IF($D76="STOCK EXISTANT",IF($F76="",0,1),1)))</f>
        <v>0</v>
      </c>
      <c r="S76" s="27" t="str">
        <f aca="false">IF(OR($R76=0,$D76&lt;&gt;"STOCK EXISTANT"),"",SUMIFS(MVT_BRUT,MVT_LOT,$E76,MVT_EMPL,$F76)+$G76)</f>
        <v/>
      </c>
      <c r="T76" s="27" t="str">
        <f aca="false">IF($A76="","",SUMIFS(RES_QTEVAL,RES_IDST,$A76))</f>
        <v/>
      </c>
      <c r="U76" s="28" t="str">
        <f aca="false">IF($A76="","",COUNTIFS(RES_IDST,$A76))</f>
        <v/>
      </c>
      <c r="V76" s="27" t="str">
        <f aca="false">IF(OR($A76="",$U76=0),"",$G76-$T76)</f>
        <v/>
      </c>
      <c r="W76" s="30" t="str">
        <f aca="false">IF(OR($A76="",$U76=0,NOT(ISNUMBER($G76)),$G76&lt;=0),"",$T76/$G76)</f>
        <v/>
      </c>
      <c r="X76" s="26" t="str">
        <f aca="false">IF($D76="","",IF($R76=0,"DONNEES MANQUANTES",IF($D76="STOCK EXISTANT",IF($S76&lt;=0,"EMPLACEMENT INCOHERENT",IF($G76&gt;$S76+0.001,"STOCK INSUFFISANT",IF($U76=0,"EN COURS",IF($T76&gt;$G76+0.001,"BLOQUE",IF(AND($V76&gt;P_TOL,$L76=""),"A JUSTIFIER","OK"))))),IF($U76=0,"EN COURS",IF($T76&gt;$G76+0.001,"BLOQUE",IF(AND($V76&gt;P_TOL,$L76=""),"A JUSTIFIER","OK"))))))</f>
        <v/>
      </c>
      <c r="Y76" s="28" t="n">
        <f aca="false">IF(OR($X76="",$X76="DONNEES MANQUANTES",$X76="EMPLACEMENT INCOHERENT",$X76="STOCK INSUFFISANT"),0,1)</f>
        <v>0</v>
      </c>
      <c r="Z76" s="26" t="str">
        <f aca="false">IF($D76="","",IF($R76=0,"A COMPLETER : "&amp;IF($B76="","DATE ENVOI; ","")&amp;IF($C76="","SOUS-TRAITANT; ","")&amp;IF($E76="","LOT SOURCE; ","")&amp;IF(OR(NOT(ISNUMBER($G76)),$G76&lt;=0),"QTE ENVOYEE &gt; 0; ","")&amp;IF(AND($D76="STOCK EXISTANT",$F76=""),"EMPL. SOURCE; ",""),IF($X76="EMPLACEMENT INCOHERENT","Le lot "&amp;$E76&amp;" n'existe pas sur "&amp;$F76&amp;" (stock 0).",IF($X76="STOCK INSUFFISANT","Disponible avant envoi : "&amp;TEXT($S76,"#,##0.00")&amp;" kg. Ligne NON comptee en stock.",IF($X76="BLOQUE","Total des sorties ("&amp;TEXT($T76,"#,##0.00")&amp;" kg) superieur a la quantite envoyee.",IF($X76="EN COURS","Envoi enregistre, resultats non connus. A completer dans ST_RESULTATS.",IF($X76="A JUSTIFIER","Ecart de "&amp;TEXT($V76,"#,##0.00")&amp;" kg : renseigner JUSTIFICATION ECART (colonne L).",IF($P76="LOT NON REFERENCE","Creer d'abord la fiche du lot dans l'onglet LOTS.",""))))))))</f>
        <v/>
      </c>
      <c r="AA76" s="27" t="n">
        <f aca="false">IF(OR($Y76=0,$U76&gt;0),0,$G76)</f>
        <v>0</v>
      </c>
      <c r="AB76" s="26" t="n">
        <f aca="false">IF($R76=0,0,IF(OR($E76=R_LOT,COUNTIFS(RES_IDST,$A76,RES_LOTEFF,R_LOT)&gt;0),1,0))</f>
        <v>0</v>
      </c>
      <c r="AC76" s="26" t="str">
        <f aca="false">IF($AB76=0,"",COUNTIF($AB$5:$AB76,1))</f>
        <v/>
      </c>
    </row>
    <row r="77" customFormat="false" ht="15" hidden="false" customHeight="false" outlineLevel="0" collapsed="false">
      <c r="A77" s="26" t="str">
        <f aca="false">IF($D77="","","ST-"&amp;TEXT(ROW()-4,"000"))</f>
        <v/>
      </c>
      <c r="B77" s="25"/>
      <c r="C77" s="24"/>
      <c r="D77" s="24"/>
      <c r="E77" s="24"/>
      <c r="F77" s="24"/>
      <c r="G77" s="29"/>
      <c r="H77" s="24"/>
      <c r="I77" s="24"/>
      <c r="J77" s="24"/>
      <c r="K77" s="25"/>
      <c r="L77" s="24"/>
      <c r="M77" s="24"/>
      <c r="N77" s="24"/>
      <c r="O77" s="26" t="str">
        <f aca="false">IF($E77="","",IFERROR(INDEX(LOT_EXTE,MATCH($E77,LOT_KEY,0)),""))</f>
        <v/>
      </c>
      <c r="P77" s="26" t="str">
        <f aca="false">IF($E77="","",IFERROR(INDEX(LOT_PRODE,MATCH($E77,LOT_KEY,0)),"LOT NON REFERENCE"))</f>
        <v/>
      </c>
      <c r="Q77" s="26" t="str">
        <f aca="false">IF($E77="","",IFERROR(INDEX(LOT_FOURNE,MATCH($E77,LOT_KEY,0)),""))</f>
        <v/>
      </c>
      <c r="R77" s="28" t="n">
        <f aca="false">IF($D77="",0,IF(OR($B77="",$C77="",$E77="",NOT(ISNUMBER($G77)),$G77&lt;=0),0,IF($D77="STOCK EXISTANT",IF($F77="",0,1),1)))</f>
        <v>0</v>
      </c>
      <c r="S77" s="27" t="str">
        <f aca="false">IF(OR($R77=0,$D77&lt;&gt;"STOCK EXISTANT"),"",SUMIFS(MVT_BRUT,MVT_LOT,$E77,MVT_EMPL,$F77)+$G77)</f>
        <v/>
      </c>
      <c r="T77" s="27" t="str">
        <f aca="false">IF($A77="","",SUMIFS(RES_QTEVAL,RES_IDST,$A77))</f>
        <v/>
      </c>
      <c r="U77" s="28" t="str">
        <f aca="false">IF($A77="","",COUNTIFS(RES_IDST,$A77))</f>
        <v/>
      </c>
      <c r="V77" s="27" t="str">
        <f aca="false">IF(OR($A77="",$U77=0),"",$G77-$T77)</f>
        <v/>
      </c>
      <c r="W77" s="30" t="str">
        <f aca="false">IF(OR($A77="",$U77=0,NOT(ISNUMBER($G77)),$G77&lt;=0),"",$T77/$G77)</f>
        <v/>
      </c>
      <c r="X77" s="26" t="str">
        <f aca="false">IF($D77="","",IF($R77=0,"DONNEES MANQUANTES",IF($D77="STOCK EXISTANT",IF($S77&lt;=0,"EMPLACEMENT INCOHERENT",IF($G77&gt;$S77+0.001,"STOCK INSUFFISANT",IF($U77=0,"EN COURS",IF($T77&gt;$G77+0.001,"BLOQUE",IF(AND($V77&gt;P_TOL,$L77=""),"A JUSTIFIER","OK"))))),IF($U77=0,"EN COURS",IF($T77&gt;$G77+0.001,"BLOQUE",IF(AND($V77&gt;P_TOL,$L77=""),"A JUSTIFIER","OK"))))))</f>
        <v/>
      </c>
      <c r="Y77" s="28" t="n">
        <f aca="false">IF(OR($X77="",$X77="DONNEES MANQUANTES",$X77="EMPLACEMENT INCOHERENT",$X77="STOCK INSUFFISANT"),0,1)</f>
        <v>0</v>
      </c>
      <c r="Z77" s="26" t="str">
        <f aca="false">IF($D77="","",IF($R77=0,"A COMPLETER : "&amp;IF($B77="","DATE ENVOI; ","")&amp;IF($C77="","SOUS-TRAITANT; ","")&amp;IF($E77="","LOT SOURCE; ","")&amp;IF(OR(NOT(ISNUMBER($G77)),$G77&lt;=0),"QTE ENVOYEE &gt; 0; ","")&amp;IF(AND($D77="STOCK EXISTANT",$F77=""),"EMPL. SOURCE; ",""),IF($X77="EMPLACEMENT INCOHERENT","Le lot "&amp;$E77&amp;" n'existe pas sur "&amp;$F77&amp;" (stock 0).",IF($X77="STOCK INSUFFISANT","Disponible avant envoi : "&amp;TEXT($S77,"#,##0.00")&amp;" kg. Ligne NON comptee en stock.",IF($X77="BLOQUE","Total des sorties ("&amp;TEXT($T77,"#,##0.00")&amp;" kg) superieur a la quantite envoyee.",IF($X77="EN COURS","Envoi enregistre, resultats non connus. A completer dans ST_RESULTATS.",IF($X77="A JUSTIFIER","Ecart de "&amp;TEXT($V77,"#,##0.00")&amp;" kg : renseigner JUSTIFICATION ECART (colonne L).",IF($P77="LOT NON REFERENCE","Creer d'abord la fiche du lot dans l'onglet LOTS.",""))))))))</f>
        <v/>
      </c>
      <c r="AA77" s="27" t="n">
        <f aca="false">IF(OR($Y77=0,$U77&gt;0),0,$G77)</f>
        <v>0</v>
      </c>
      <c r="AB77" s="26" t="n">
        <f aca="false">IF($R77=0,0,IF(OR($E77=R_LOT,COUNTIFS(RES_IDST,$A77,RES_LOTEFF,R_LOT)&gt;0),1,0))</f>
        <v>0</v>
      </c>
      <c r="AC77" s="26" t="str">
        <f aca="false">IF($AB77=0,"",COUNTIF($AB$5:$AB77,1))</f>
        <v/>
      </c>
    </row>
    <row r="78" customFormat="false" ht="15" hidden="false" customHeight="false" outlineLevel="0" collapsed="false">
      <c r="A78" s="26" t="str">
        <f aca="false">IF($D78="","","ST-"&amp;TEXT(ROW()-4,"000"))</f>
        <v/>
      </c>
      <c r="B78" s="25"/>
      <c r="C78" s="24"/>
      <c r="D78" s="24"/>
      <c r="E78" s="24"/>
      <c r="F78" s="24"/>
      <c r="G78" s="29"/>
      <c r="H78" s="24"/>
      <c r="I78" s="24"/>
      <c r="J78" s="24"/>
      <c r="K78" s="25"/>
      <c r="L78" s="24"/>
      <c r="M78" s="24"/>
      <c r="N78" s="24"/>
      <c r="O78" s="26" t="str">
        <f aca="false">IF($E78="","",IFERROR(INDEX(LOT_EXTE,MATCH($E78,LOT_KEY,0)),""))</f>
        <v/>
      </c>
      <c r="P78" s="26" t="str">
        <f aca="false">IF($E78="","",IFERROR(INDEX(LOT_PRODE,MATCH($E78,LOT_KEY,0)),"LOT NON REFERENCE"))</f>
        <v/>
      </c>
      <c r="Q78" s="26" t="str">
        <f aca="false">IF($E78="","",IFERROR(INDEX(LOT_FOURNE,MATCH($E78,LOT_KEY,0)),""))</f>
        <v/>
      </c>
      <c r="R78" s="28" t="n">
        <f aca="false">IF($D78="",0,IF(OR($B78="",$C78="",$E78="",NOT(ISNUMBER($G78)),$G78&lt;=0),0,IF($D78="STOCK EXISTANT",IF($F78="",0,1),1)))</f>
        <v>0</v>
      </c>
      <c r="S78" s="27" t="str">
        <f aca="false">IF(OR($R78=0,$D78&lt;&gt;"STOCK EXISTANT"),"",SUMIFS(MVT_BRUT,MVT_LOT,$E78,MVT_EMPL,$F78)+$G78)</f>
        <v/>
      </c>
      <c r="T78" s="27" t="str">
        <f aca="false">IF($A78="","",SUMIFS(RES_QTEVAL,RES_IDST,$A78))</f>
        <v/>
      </c>
      <c r="U78" s="28" t="str">
        <f aca="false">IF($A78="","",COUNTIFS(RES_IDST,$A78))</f>
        <v/>
      </c>
      <c r="V78" s="27" t="str">
        <f aca="false">IF(OR($A78="",$U78=0),"",$G78-$T78)</f>
        <v/>
      </c>
      <c r="W78" s="30" t="str">
        <f aca="false">IF(OR($A78="",$U78=0,NOT(ISNUMBER($G78)),$G78&lt;=0),"",$T78/$G78)</f>
        <v/>
      </c>
      <c r="X78" s="26" t="str">
        <f aca="false">IF($D78="","",IF($R78=0,"DONNEES MANQUANTES",IF($D78="STOCK EXISTANT",IF($S78&lt;=0,"EMPLACEMENT INCOHERENT",IF($G78&gt;$S78+0.001,"STOCK INSUFFISANT",IF($U78=0,"EN COURS",IF($T78&gt;$G78+0.001,"BLOQUE",IF(AND($V78&gt;P_TOL,$L78=""),"A JUSTIFIER","OK"))))),IF($U78=0,"EN COURS",IF($T78&gt;$G78+0.001,"BLOQUE",IF(AND($V78&gt;P_TOL,$L78=""),"A JUSTIFIER","OK"))))))</f>
        <v/>
      </c>
      <c r="Y78" s="28" t="n">
        <f aca="false">IF(OR($X78="",$X78="DONNEES MANQUANTES",$X78="EMPLACEMENT INCOHERENT",$X78="STOCK INSUFFISANT"),0,1)</f>
        <v>0</v>
      </c>
      <c r="Z78" s="26" t="str">
        <f aca="false">IF($D78="","",IF($R78=0,"A COMPLETER : "&amp;IF($B78="","DATE ENVOI; ","")&amp;IF($C78="","SOUS-TRAITANT; ","")&amp;IF($E78="","LOT SOURCE; ","")&amp;IF(OR(NOT(ISNUMBER($G78)),$G78&lt;=0),"QTE ENVOYEE &gt; 0; ","")&amp;IF(AND($D78="STOCK EXISTANT",$F78=""),"EMPL. SOURCE; ",""),IF($X78="EMPLACEMENT INCOHERENT","Le lot "&amp;$E78&amp;" n'existe pas sur "&amp;$F78&amp;" (stock 0).",IF($X78="STOCK INSUFFISANT","Disponible avant envoi : "&amp;TEXT($S78,"#,##0.00")&amp;" kg. Ligne NON comptee en stock.",IF($X78="BLOQUE","Total des sorties ("&amp;TEXT($T78,"#,##0.00")&amp;" kg) superieur a la quantite envoyee.",IF($X78="EN COURS","Envoi enregistre, resultats non connus. A completer dans ST_RESULTATS.",IF($X78="A JUSTIFIER","Ecart de "&amp;TEXT($V78,"#,##0.00")&amp;" kg : renseigner JUSTIFICATION ECART (colonne L).",IF($P78="LOT NON REFERENCE","Creer d'abord la fiche du lot dans l'onglet LOTS.",""))))))))</f>
        <v/>
      </c>
      <c r="AA78" s="27" t="n">
        <f aca="false">IF(OR($Y78=0,$U78&gt;0),0,$G78)</f>
        <v>0</v>
      </c>
      <c r="AB78" s="26" t="n">
        <f aca="false">IF($R78=0,0,IF(OR($E78=R_LOT,COUNTIFS(RES_IDST,$A78,RES_LOTEFF,R_LOT)&gt;0),1,0))</f>
        <v>0</v>
      </c>
      <c r="AC78" s="26" t="str">
        <f aca="false">IF($AB78=0,"",COUNTIF($AB$5:$AB78,1))</f>
        <v/>
      </c>
    </row>
    <row r="79" customFormat="false" ht="15" hidden="false" customHeight="false" outlineLevel="0" collapsed="false">
      <c r="A79" s="26" t="str">
        <f aca="false">IF($D79="","","ST-"&amp;TEXT(ROW()-4,"000"))</f>
        <v/>
      </c>
      <c r="B79" s="25"/>
      <c r="C79" s="24"/>
      <c r="D79" s="24"/>
      <c r="E79" s="24"/>
      <c r="F79" s="24"/>
      <c r="G79" s="29"/>
      <c r="H79" s="24"/>
      <c r="I79" s="24"/>
      <c r="J79" s="24"/>
      <c r="K79" s="25"/>
      <c r="L79" s="24"/>
      <c r="M79" s="24"/>
      <c r="N79" s="24"/>
      <c r="O79" s="26" t="str">
        <f aca="false">IF($E79="","",IFERROR(INDEX(LOT_EXTE,MATCH($E79,LOT_KEY,0)),""))</f>
        <v/>
      </c>
      <c r="P79" s="26" t="str">
        <f aca="false">IF($E79="","",IFERROR(INDEX(LOT_PRODE,MATCH($E79,LOT_KEY,0)),"LOT NON REFERENCE"))</f>
        <v/>
      </c>
      <c r="Q79" s="26" t="str">
        <f aca="false">IF($E79="","",IFERROR(INDEX(LOT_FOURNE,MATCH($E79,LOT_KEY,0)),""))</f>
        <v/>
      </c>
      <c r="R79" s="28" t="n">
        <f aca="false">IF($D79="",0,IF(OR($B79="",$C79="",$E79="",NOT(ISNUMBER($G79)),$G79&lt;=0),0,IF($D79="STOCK EXISTANT",IF($F79="",0,1),1)))</f>
        <v>0</v>
      </c>
      <c r="S79" s="27" t="str">
        <f aca="false">IF(OR($R79=0,$D79&lt;&gt;"STOCK EXISTANT"),"",SUMIFS(MVT_BRUT,MVT_LOT,$E79,MVT_EMPL,$F79)+$G79)</f>
        <v/>
      </c>
      <c r="T79" s="27" t="str">
        <f aca="false">IF($A79="","",SUMIFS(RES_QTEVAL,RES_IDST,$A79))</f>
        <v/>
      </c>
      <c r="U79" s="28" t="str">
        <f aca="false">IF($A79="","",COUNTIFS(RES_IDST,$A79))</f>
        <v/>
      </c>
      <c r="V79" s="27" t="str">
        <f aca="false">IF(OR($A79="",$U79=0),"",$G79-$T79)</f>
        <v/>
      </c>
      <c r="W79" s="30" t="str">
        <f aca="false">IF(OR($A79="",$U79=0,NOT(ISNUMBER($G79)),$G79&lt;=0),"",$T79/$G79)</f>
        <v/>
      </c>
      <c r="X79" s="26" t="str">
        <f aca="false">IF($D79="","",IF($R79=0,"DONNEES MANQUANTES",IF($D79="STOCK EXISTANT",IF($S79&lt;=0,"EMPLACEMENT INCOHERENT",IF($G79&gt;$S79+0.001,"STOCK INSUFFISANT",IF($U79=0,"EN COURS",IF($T79&gt;$G79+0.001,"BLOQUE",IF(AND($V79&gt;P_TOL,$L79=""),"A JUSTIFIER","OK"))))),IF($U79=0,"EN COURS",IF($T79&gt;$G79+0.001,"BLOQUE",IF(AND($V79&gt;P_TOL,$L79=""),"A JUSTIFIER","OK"))))))</f>
        <v/>
      </c>
      <c r="Y79" s="28" t="n">
        <f aca="false">IF(OR($X79="",$X79="DONNEES MANQUANTES",$X79="EMPLACEMENT INCOHERENT",$X79="STOCK INSUFFISANT"),0,1)</f>
        <v>0</v>
      </c>
      <c r="Z79" s="26" t="str">
        <f aca="false">IF($D79="","",IF($R79=0,"A COMPLETER : "&amp;IF($B79="","DATE ENVOI; ","")&amp;IF($C79="","SOUS-TRAITANT; ","")&amp;IF($E79="","LOT SOURCE; ","")&amp;IF(OR(NOT(ISNUMBER($G79)),$G79&lt;=0),"QTE ENVOYEE &gt; 0; ","")&amp;IF(AND($D79="STOCK EXISTANT",$F79=""),"EMPL. SOURCE; ",""),IF($X79="EMPLACEMENT INCOHERENT","Le lot "&amp;$E79&amp;" n'existe pas sur "&amp;$F79&amp;" (stock 0).",IF($X79="STOCK INSUFFISANT","Disponible avant envoi : "&amp;TEXT($S79,"#,##0.00")&amp;" kg. Ligne NON comptee en stock.",IF($X79="BLOQUE","Total des sorties ("&amp;TEXT($T79,"#,##0.00")&amp;" kg) superieur a la quantite envoyee.",IF($X79="EN COURS","Envoi enregistre, resultats non connus. A completer dans ST_RESULTATS.",IF($X79="A JUSTIFIER","Ecart de "&amp;TEXT($V79,"#,##0.00")&amp;" kg : renseigner JUSTIFICATION ECART (colonne L).",IF($P79="LOT NON REFERENCE","Creer d'abord la fiche du lot dans l'onglet LOTS.",""))))))))</f>
        <v/>
      </c>
      <c r="AA79" s="27" t="n">
        <f aca="false">IF(OR($Y79=0,$U79&gt;0),0,$G79)</f>
        <v>0</v>
      </c>
      <c r="AB79" s="26" t="n">
        <f aca="false">IF($R79=0,0,IF(OR($E79=R_LOT,COUNTIFS(RES_IDST,$A79,RES_LOTEFF,R_LOT)&gt;0),1,0))</f>
        <v>0</v>
      </c>
      <c r="AC79" s="26" t="str">
        <f aca="false">IF($AB79=0,"",COUNTIF($AB$5:$AB79,1))</f>
        <v/>
      </c>
    </row>
    <row r="80" customFormat="false" ht="15" hidden="false" customHeight="false" outlineLevel="0" collapsed="false">
      <c r="A80" s="26" t="str">
        <f aca="false">IF($D80="","","ST-"&amp;TEXT(ROW()-4,"000"))</f>
        <v/>
      </c>
      <c r="B80" s="25"/>
      <c r="C80" s="24"/>
      <c r="D80" s="24"/>
      <c r="E80" s="24"/>
      <c r="F80" s="24"/>
      <c r="G80" s="29"/>
      <c r="H80" s="24"/>
      <c r="I80" s="24"/>
      <c r="J80" s="24"/>
      <c r="K80" s="25"/>
      <c r="L80" s="24"/>
      <c r="M80" s="24"/>
      <c r="N80" s="24"/>
      <c r="O80" s="26" t="str">
        <f aca="false">IF($E80="","",IFERROR(INDEX(LOT_EXTE,MATCH($E80,LOT_KEY,0)),""))</f>
        <v/>
      </c>
      <c r="P80" s="26" t="str">
        <f aca="false">IF($E80="","",IFERROR(INDEX(LOT_PRODE,MATCH($E80,LOT_KEY,0)),"LOT NON REFERENCE"))</f>
        <v/>
      </c>
      <c r="Q80" s="26" t="str">
        <f aca="false">IF($E80="","",IFERROR(INDEX(LOT_FOURNE,MATCH($E80,LOT_KEY,0)),""))</f>
        <v/>
      </c>
      <c r="R80" s="28" t="n">
        <f aca="false">IF($D80="",0,IF(OR($B80="",$C80="",$E80="",NOT(ISNUMBER($G80)),$G80&lt;=0),0,IF($D80="STOCK EXISTANT",IF($F80="",0,1),1)))</f>
        <v>0</v>
      </c>
      <c r="S80" s="27" t="str">
        <f aca="false">IF(OR($R80=0,$D80&lt;&gt;"STOCK EXISTANT"),"",SUMIFS(MVT_BRUT,MVT_LOT,$E80,MVT_EMPL,$F80)+$G80)</f>
        <v/>
      </c>
      <c r="T80" s="27" t="str">
        <f aca="false">IF($A80="","",SUMIFS(RES_QTEVAL,RES_IDST,$A80))</f>
        <v/>
      </c>
      <c r="U80" s="28" t="str">
        <f aca="false">IF($A80="","",COUNTIFS(RES_IDST,$A80))</f>
        <v/>
      </c>
      <c r="V80" s="27" t="str">
        <f aca="false">IF(OR($A80="",$U80=0),"",$G80-$T80)</f>
        <v/>
      </c>
      <c r="W80" s="30" t="str">
        <f aca="false">IF(OR($A80="",$U80=0,NOT(ISNUMBER($G80)),$G80&lt;=0),"",$T80/$G80)</f>
        <v/>
      </c>
      <c r="X80" s="26" t="str">
        <f aca="false">IF($D80="","",IF($R80=0,"DONNEES MANQUANTES",IF($D80="STOCK EXISTANT",IF($S80&lt;=0,"EMPLACEMENT INCOHERENT",IF($G80&gt;$S80+0.001,"STOCK INSUFFISANT",IF($U80=0,"EN COURS",IF($T80&gt;$G80+0.001,"BLOQUE",IF(AND($V80&gt;P_TOL,$L80=""),"A JUSTIFIER","OK"))))),IF($U80=0,"EN COURS",IF($T80&gt;$G80+0.001,"BLOQUE",IF(AND($V80&gt;P_TOL,$L80=""),"A JUSTIFIER","OK"))))))</f>
        <v/>
      </c>
      <c r="Y80" s="28" t="n">
        <f aca="false">IF(OR($X80="",$X80="DONNEES MANQUANTES",$X80="EMPLACEMENT INCOHERENT",$X80="STOCK INSUFFISANT"),0,1)</f>
        <v>0</v>
      </c>
      <c r="Z80" s="26" t="str">
        <f aca="false">IF($D80="","",IF($R80=0,"A COMPLETER : "&amp;IF($B80="","DATE ENVOI; ","")&amp;IF($C80="","SOUS-TRAITANT; ","")&amp;IF($E80="","LOT SOURCE; ","")&amp;IF(OR(NOT(ISNUMBER($G80)),$G80&lt;=0),"QTE ENVOYEE &gt; 0; ","")&amp;IF(AND($D80="STOCK EXISTANT",$F80=""),"EMPL. SOURCE; ",""),IF($X80="EMPLACEMENT INCOHERENT","Le lot "&amp;$E80&amp;" n'existe pas sur "&amp;$F80&amp;" (stock 0).",IF($X80="STOCK INSUFFISANT","Disponible avant envoi : "&amp;TEXT($S80,"#,##0.00")&amp;" kg. Ligne NON comptee en stock.",IF($X80="BLOQUE","Total des sorties ("&amp;TEXT($T80,"#,##0.00")&amp;" kg) superieur a la quantite envoyee.",IF($X80="EN COURS","Envoi enregistre, resultats non connus. A completer dans ST_RESULTATS.",IF($X80="A JUSTIFIER","Ecart de "&amp;TEXT($V80,"#,##0.00")&amp;" kg : renseigner JUSTIFICATION ECART (colonne L).",IF($P80="LOT NON REFERENCE","Creer d'abord la fiche du lot dans l'onglet LOTS.",""))))))))</f>
        <v/>
      </c>
      <c r="AA80" s="27" t="n">
        <f aca="false">IF(OR($Y80=0,$U80&gt;0),0,$G80)</f>
        <v>0</v>
      </c>
      <c r="AB80" s="26" t="n">
        <f aca="false">IF($R80=0,0,IF(OR($E80=R_LOT,COUNTIFS(RES_IDST,$A80,RES_LOTEFF,R_LOT)&gt;0),1,0))</f>
        <v>0</v>
      </c>
      <c r="AC80" s="26" t="str">
        <f aca="false">IF($AB80=0,"",COUNTIF($AB$5:$AB80,1))</f>
        <v/>
      </c>
    </row>
    <row r="81" customFormat="false" ht="15" hidden="false" customHeight="false" outlineLevel="0" collapsed="false">
      <c r="A81" s="26" t="str">
        <f aca="false">IF($D81="","","ST-"&amp;TEXT(ROW()-4,"000"))</f>
        <v/>
      </c>
      <c r="B81" s="25"/>
      <c r="C81" s="24"/>
      <c r="D81" s="24"/>
      <c r="E81" s="24"/>
      <c r="F81" s="24"/>
      <c r="G81" s="29"/>
      <c r="H81" s="24"/>
      <c r="I81" s="24"/>
      <c r="J81" s="24"/>
      <c r="K81" s="25"/>
      <c r="L81" s="24"/>
      <c r="M81" s="24"/>
      <c r="N81" s="24"/>
      <c r="O81" s="26" t="str">
        <f aca="false">IF($E81="","",IFERROR(INDEX(LOT_EXTE,MATCH($E81,LOT_KEY,0)),""))</f>
        <v/>
      </c>
      <c r="P81" s="26" t="str">
        <f aca="false">IF($E81="","",IFERROR(INDEX(LOT_PRODE,MATCH($E81,LOT_KEY,0)),"LOT NON REFERENCE"))</f>
        <v/>
      </c>
      <c r="Q81" s="26" t="str">
        <f aca="false">IF($E81="","",IFERROR(INDEX(LOT_FOURNE,MATCH($E81,LOT_KEY,0)),""))</f>
        <v/>
      </c>
      <c r="R81" s="28" t="n">
        <f aca="false">IF($D81="",0,IF(OR($B81="",$C81="",$E81="",NOT(ISNUMBER($G81)),$G81&lt;=0),0,IF($D81="STOCK EXISTANT",IF($F81="",0,1),1)))</f>
        <v>0</v>
      </c>
      <c r="S81" s="27" t="str">
        <f aca="false">IF(OR($R81=0,$D81&lt;&gt;"STOCK EXISTANT"),"",SUMIFS(MVT_BRUT,MVT_LOT,$E81,MVT_EMPL,$F81)+$G81)</f>
        <v/>
      </c>
      <c r="T81" s="27" t="str">
        <f aca="false">IF($A81="","",SUMIFS(RES_QTEVAL,RES_IDST,$A81))</f>
        <v/>
      </c>
      <c r="U81" s="28" t="str">
        <f aca="false">IF($A81="","",COUNTIFS(RES_IDST,$A81))</f>
        <v/>
      </c>
      <c r="V81" s="27" t="str">
        <f aca="false">IF(OR($A81="",$U81=0),"",$G81-$T81)</f>
        <v/>
      </c>
      <c r="W81" s="30" t="str">
        <f aca="false">IF(OR($A81="",$U81=0,NOT(ISNUMBER($G81)),$G81&lt;=0),"",$T81/$G81)</f>
        <v/>
      </c>
      <c r="X81" s="26" t="str">
        <f aca="false">IF($D81="","",IF($R81=0,"DONNEES MANQUANTES",IF($D81="STOCK EXISTANT",IF($S81&lt;=0,"EMPLACEMENT INCOHERENT",IF($G81&gt;$S81+0.001,"STOCK INSUFFISANT",IF($U81=0,"EN COURS",IF($T81&gt;$G81+0.001,"BLOQUE",IF(AND($V81&gt;P_TOL,$L81=""),"A JUSTIFIER","OK"))))),IF($U81=0,"EN COURS",IF($T81&gt;$G81+0.001,"BLOQUE",IF(AND($V81&gt;P_TOL,$L81=""),"A JUSTIFIER","OK"))))))</f>
        <v/>
      </c>
      <c r="Y81" s="28" t="n">
        <f aca="false">IF(OR($X81="",$X81="DONNEES MANQUANTES",$X81="EMPLACEMENT INCOHERENT",$X81="STOCK INSUFFISANT"),0,1)</f>
        <v>0</v>
      </c>
      <c r="Z81" s="26" t="str">
        <f aca="false">IF($D81="","",IF($R81=0,"A COMPLETER : "&amp;IF($B81="","DATE ENVOI; ","")&amp;IF($C81="","SOUS-TRAITANT; ","")&amp;IF($E81="","LOT SOURCE; ","")&amp;IF(OR(NOT(ISNUMBER($G81)),$G81&lt;=0),"QTE ENVOYEE &gt; 0; ","")&amp;IF(AND($D81="STOCK EXISTANT",$F81=""),"EMPL. SOURCE; ",""),IF($X81="EMPLACEMENT INCOHERENT","Le lot "&amp;$E81&amp;" n'existe pas sur "&amp;$F81&amp;" (stock 0).",IF($X81="STOCK INSUFFISANT","Disponible avant envoi : "&amp;TEXT($S81,"#,##0.00")&amp;" kg. Ligne NON comptee en stock.",IF($X81="BLOQUE","Total des sorties ("&amp;TEXT($T81,"#,##0.00")&amp;" kg) superieur a la quantite envoyee.",IF($X81="EN COURS","Envoi enregistre, resultats non connus. A completer dans ST_RESULTATS.",IF($X81="A JUSTIFIER","Ecart de "&amp;TEXT($V81,"#,##0.00")&amp;" kg : renseigner JUSTIFICATION ECART (colonne L).",IF($P81="LOT NON REFERENCE","Creer d'abord la fiche du lot dans l'onglet LOTS.",""))))))))</f>
        <v/>
      </c>
      <c r="AA81" s="27" t="n">
        <f aca="false">IF(OR($Y81=0,$U81&gt;0),0,$G81)</f>
        <v>0</v>
      </c>
      <c r="AB81" s="26" t="n">
        <f aca="false">IF($R81=0,0,IF(OR($E81=R_LOT,COUNTIFS(RES_IDST,$A81,RES_LOTEFF,R_LOT)&gt;0),1,0))</f>
        <v>0</v>
      </c>
      <c r="AC81" s="26" t="str">
        <f aca="false">IF($AB81=0,"",COUNTIF($AB$5:$AB81,1))</f>
        <v/>
      </c>
    </row>
    <row r="82" customFormat="false" ht="15" hidden="false" customHeight="false" outlineLevel="0" collapsed="false">
      <c r="A82" s="26" t="str">
        <f aca="false">IF($D82="","","ST-"&amp;TEXT(ROW()-4,"000"))</f>
        <v/>
      </c>
      <c r="B82" s="25"/>
      <c r="C82" s="24"/>
      <c r="D82" s="24"/>
      <c r="E82" s="24"/>
      <c r="F82" s="24"/>
      <c r="G82" s="29"/>
      <c r="H82" s="24"/>
      <c r="I82" s="24"/>
      <c r="J82" s="24"/>
      <c r="K82" s="25"/>
      <c r="L82" s="24"/>
      <c r="M82" s="24"/>
      <c r="N82" s="24"/>
      <c r="O82" s="26" t="str">
        <f aca="false">IF($E82="","",IFERROR(INDEX(LOT_EXTE,MATCH($E82,LOT_KEY,0)),""))</f>
        <v/>
      </c>
      <c r="P82" s="26" t="str">
        <f aca="false">IF($E82="","",IFERROR(INDEX(LOT_PRODE,MATCH($E82,LOT_KEY,0)),"LOT NON REFERENCE"))</f>
        <v/>
      </c>
      <c r="Q82" s="26" t="str">
        <f aca="false">IF($E82="","",IFERROR(INDEX(LOT_FOURNE,MATCH($E82,LOT_KEY,0)),""))</f>
        <v/>
      </c>
      <c r="R82" s="28" t="n">
        <f aca="false">IF($D82="",0,IF(OR($B82="",$C82="",$E82="",NOT(ISNUMBER($G82)),$G82&lt;=0),0,IF($D82="STOCK EXISTANT",IF($F82="",0,1),1)))</f>
        <v>0</v>
      </c>
      <c r="S82" s="27" t="str">
        <f aca="false">IF(OR($R82=0,$D82&lt;&gt;"STOCK EXISTANT"),"",SUMIFS(MVT_BRUT,MVT_LOT,$E82,MVT_EMPL,$F82)+$G82)</f>
        <v/>
      </c>
      <c r="T82" s="27" t="str">
        <f aca="false">IF($A82="","",SUMIFS(RES_QTEVAL,RES_IDST,$A82))</f>
        <v/>
      </c>
      <c r="U82" s="28" t="str">
        <f aca="false">IF($A82="","",COUNTIFS(RES_IDST,$A82))</f>
        <v/>
      </c>
      <c r="V82" s="27" t="str">
        <f aca="false">IF(OR($A82="",$U82=0),"",$G82-$T82)</f>
        <v/>
      </c>
      <c r="W82" s="30" t="str">
        <f aca="false">IF(OR($A82="",$U82=0,NOT(ISNUMBER($G82)),$G82&lt;=0),"",$T82/$G82)</f>
        <v/>
      </c>
      <c r="X82" s="26" t="str">
        <f aca="false">IF($D82="","",IF($R82=0,"DONNEES MANQUANTES",IF($D82="STOCK EXISTANT",IF($S82&lt;=0,"EMPLACEMENT INCOHERENT",IF($G82&gt;$S82+0.001,"STOCK INSUFFISANT",IF($U82=0,"EN COURS",IF($T82&gt;$G82+0.001,"BLOQUE",IF(AND($V82&gt;P_TOL,$L82=""),"A JUSTIFIER","OK"))))),IF($U82=0,"EN COURS",IF($T82&gt;$G82+0.001,"BLOQUE",IF(AND($V82&gt;P_TOL,$L82=""),"A JUSTIFIER","OK"))))))</f>
        <v/>
      </c>
      <c r="Y82" s="28" t="n">
        <f aca="false">IF(OR($X82="",$X82="DONNEES MANQUANTES",$X82="EMPLACEMENT INCOHERENT",$X82="STOCK INSUFFISANT"),0,1)</f>
        <v>0</v>
      </c>
      <c r="Z82" s="26" t="str">
        <f aca="false">IF($D82="","",IF($R82=0,"A COMPLETER : "&amp;IF($B82="","DATE ENVOI; ","")&amp;IF($C82="","SOUS-TRAITANT; ","")&amp;IF($E82="","LOT SOURCE; ","")&amp;IF(OR(NOT(ISNUMBER($G82)),$G82&lt;=0),"QTE ENVOYEE &gt; 0; ","")&amp;IF(AND($D82="STOCK EXISTANT",$F82=""),"EMPL. SOURCE; ",""),IF($X82="EMPLACEMENT INCOHERENT","Le lot "&amp;$E82&amp;" n'existe pas sur "&amp;$F82&amp;" (stock 0).",IF($X82="STOCK INSUFFISANT","Disponible avant envoi : "&amp;TEXT($S82,"#,##0.00")&amp;" kg. Ligne NON comptee en stock.",IF($X82="BLOQUE","Total des sorties ("&amp;TEXT($T82,"#,##0.00")&amp;" kg) superieur a la quantite envoyee.",IF($X82="EN COURS","Envoi enregistre, resultats non connus. A completer dans ST_RESULTATS.",IF($X82="A JUSTIFIER","Ecart de "&amp;TEXT($V82,"#,##0.00")&amp;" kg : renseigner JUSTIFICATION ECART (colonne L).",IF($P82="LOT NON REFERENCE","Creer d'abord la fiche du lot dans l'onglet LOTS.",""))))))))</f>
        <v/>
      </c>
      <c r="AA82" s="27" t="n">
        <f aca="false">IF(OR($Y82=0,$U82&gt;0),0,$G82)</f>
        <v>0</v>
      </c>
      <c r="AB82" s="26" t="n">
        <f aca="false">IF($R82=0,0,IF(OR($E82=R_LOT,COUNTIFS(RES_IDST,$A82,RES_LOTEFF,R_LOT)&gt;0),1,0))</f>
        <v>0</v>
      </c>
      <c r="AC82" s="26" t="str">
        <f aca="false">IF($AB82=0,"",COUNTIF($AB$5:$AB82,1))</f>
        <v/>
      </c>
    </row>
    <row r="83" customFormat="false" ht="15" hidden="false" customHeight="false" outlineLevel="0" collapsed="false">
      <c r="A83" s="26" t="str">
        <f aca="false">IF($D83="","","ST-"&amp;TEXT(ROW()-4,"000"))</f>
        <v/>
      </c>
      <c r="B83" s="25"/>
      <c r="C83" s="24"/>
      <c r="D83" s="24"/>
      <c r="E83" s="24"/>
      <c r="F83" s="24"/>
      <c r="G83" s="29"/>
      <c r="H83" s="24"/>
      <c r="I83" s="24"/>
      <c r="J83" s="24"/>
      <c r="K83" s="25"/>
      <c r="L83" s="24"/>
      <c r="M83" s="24"/>
      <c r="N83" s="24"/>
      <c r="O83" s="26" t="str">
        <f aca="false">IF($E83="","",IFERROR(INDEX(LOT_EXTE,MATCH($E83,LOT_KEY,0)),""))</f>
        <v/>
      </c>
      <c r="P83" s="26" t="str">
        <f aca="false">IF($E83="","",IFERROR(INDEX(LOT_PRODE,MATCH($E83,LOT_KEY,0)),"LOT NON REFERENCE"))</f>
        <v/>
      </c>
      <c r="Q83" s="26" t="str">
        <f aca="false">IF($E83="","",IFERROR(INDEX(LOT_FOURNE,MATCH($E83,LOT_KEY,0)),""))</f>
        <v/>
      </c>
      <c r="R83" s="28" t="n">
        <f aca="false">IF($D83="",0,IF(OR($B83="",$C83="",$E83="",NOT(ISNUMBER($G83)),$G83&lt;=0),0,IF($D83="STOCK EXISTANT",IF($F83="",0,1),1)))</f>
        <v>0</v>
      </c>
      <c r="S83" s="27" t="str">
        <f aca="false">IF(OR($R83=0,$D83&lt;&gt;"STOCK EXISTANT"),"",SUMIFS(MVT_BRUT,MVT_LOT,$E83,MVT_EMPL,$F83)+$G83)</f>
        <v/>
      </c>
      <c r="T83" s="27" t="str">
        <f aca="false">IF($A83="","",SUMIFS(RES_QTEVAL,RES_IDST,$A83))</f>
        <v/>
      </c>
      <c r="U83" s="28" t="str">
        <f aca="false">IF($A83="","",COUNTIFS(RES_IDST,$A83))</f>
        <v/>
      </c>
      <c r="V83" s="27" t="str">
        <f aca="false">IF(OR($A83="",$U83=0),"",$G83-$T83)</f>
        <v/>
      </c>
      <c r="W83" s="30" t="str">
        <f aca="false">IF(OR($A83="",$U83=0,NOT(ISNUMBER($G83)),$G83&lt;=0),"",$T83/$G83)</f>
        <v/>
      </c>
      <c r="X83" s="26" t="str">
        <f aca="false">IF($D83="","",IF($R83=0,"DONNEES MANQUANTES",IF($D83="STOCK EXISTANT",IF($S83&lt;=0,"EMPLACEMENT INCOHERENT",IF($G83&gt;$S83+0.001,"STOCK INSUFFISANT",IF($U83=0,"EN COURS",IF($T83&gt;$G83+0.001,"BLOQUE",IF(AND($V83&gt;P_TOL,$L83=""),"A JUSTIFIER","OK"))))),IF($U83=0,"EN COURS",IF($T83&gt;$G83+0.001,"BLOQUE",IF(AND($V83&gt;P_TOL,$L83=""),"A JUSTIFIER","OK"))))))</f>
        <v/>
      </c>
      <c r="Y83" s="28" t="n">
        <f aca="false">IF(OR($X83="",$X83="DONNEES MANQUANTES",$X83="EMPLACEMENT INCOHERENT",$X83="STOCK INSUFFISANT"),0,1)</f>
        <v>0</v>
      </c>
      <c r="Z83" s="26" t="str">
        <f aca="false">IF($D83="","",IF($R83=0,"A COMPLETER : "&amp;IF($B83="","DATE ENVOI; ","")&amp;IF($C83="","SOUS-TRAITANT; ","")&amp;IF($E83="","LOT SOURCE; ","")&amp;IF(OR(NOT(ISNUMBER($G83)),$G83&lt;=0),"QTE ENVOYEE &gt; 0; ","")&amp;IF(AND($D83="STOCK EXISTANT",$F83=""),"EMPL. SOURCE; ",""),IF($X83="EMPLACEMENT INCOHERENT","Le lot "&amp;$E83&amp;" n'existe pas sur "&amp;$F83&amp;" (stock 0).",IF($X83="STOCK INSUFFISANT","Disponible avant envoi : "&amp;TEXT($S83,"#,##0.00")&amp;" kg. Ligne NON comptee en stock.",IF($X83="BLOQUE","Total des sorties ("&amp;TEXT($T83,"#,##0.00")&amp;" kg) superieur a la quantite envoyee.",IF($X83="EN COURS","Envoi enregistre, resultats non connus. A completer dans ST_RESULTATS.",IF($X83="A JUSTIFIER","Ecart de "&amp;TEXT($V83,"#,##0.00")&amp;" kg : renseigner JUSTIFICATION ECART (colonne L).",IF($P83="LOT NON REFERENCE","Creer d'abord la fiche du lot dans l'onglet LOTS.",""))))))))</f>
        <v/>
      </c>
      <c r="AA83" s="27" t="n">
        <f aca="false">IF(OR($Y83=0,$U83&gt;0),0,$G83)</f>
        <v>0</v>
      </c>
      <c r="AB83" s="26" t="n">
        <f aca="false">IF($R83=0,0,IF(OR($E83=R_LOT,COUNTIFS(RES_IDST,$A83,RES_LOTEFF,R_LOT)&gt;0),1,0))</f>
        <v>0</v>
      </c>
      <c r="AC83" s="26" t="str">
        <f aca="false">IF($AB83=0,"",COUNTIF($AB$5:$AB83,1))</f>
        <v/>
      </c>
    </row>
    <row r="84" customFormat="false" ht="15" hidden="false" customHeight="false" outlineLevel="0" collapsed="false">
      <c r="A84" s="26" t="str">
        <f aca="false">IF($D84="","","ST-"&amp;TEXT(ROW()-4,"000"))</f>
        <v/>
      </c>
      <c r="B84" s="25"/>
      <c r="C84" s="24"/>
      <c r="D84" s="24"/>
      <c r="E84" s="24"/>
      <c r="F84" s="24"/>
      <c r="G84" s="29"/>
      <c r="H84" s="24"/>
      <c r="I84" s="24"/>
      <c r="J84" s="24"/>
      <c r="K84" s="25"/>
      <c r="L84" s="24"/>
      <c r="M84" s="24"/>
      <c r="N84" s="24"/>
      <c r="O84" s="26" t="str">
        <f aca="false">IF($E84="","",IFERROR(INDEX(LOT_EXTE,MATCH($E84,LOT_KEY,0)),""))</f>
        <v/>
      </c>
      <c r="P84" s="26" t="str">
        <f aca="false">IF($E84="","",IFERROR(INDEX(LOT_PRODE,MATCH($E84,LOT_KEY,0)),"LOT NON REFERENCE"))</f>
        <v/>
      </c>
      <c r="Q84" s="26" t="str">
        <f aca="false">IF($E84="","",IFERROR(INDEX(LOT_FOURNE,MATCH($E84,LOT_KEY,0)),""))</f>
        <v/>
      </c>
      <c r="R84" s="28" t="n">
        <f aca="false">IF($D84="",0,IF(OR($B84="",$C84="",$E84="",NOT(ISNUMBER($G84)),$G84&lt;=0),0,IF($D84="STOCK EXISTANT",IF($F84="",0,1),1)))</f>
        <v>0</v>
      </c>
      <c r="S84" s="27" t="str">
        <f aca="false">IF(OR($R84=0,$D84&lt;&gt;"STOCK EXISTANT"),"",SUMIFS(MVT_BRUT,MVT_LOT,$E84,MVT_EMPL,$F84)+$G84)</f>
        <v/>
      </c>
      <c r="T84" s="27" t="str">
        <f aca="false">IF($A84="","",SUMIFS(RES_QTEVAL,RES_IDST,$A84))</f>
        <v/>
      </c>
      <c r="U84" s="28" t="str">
        <f aca="false">IF($A84="","",COUNTIFS(RES_IDST,$A84))</f>
        <v/>
      </c>
      <c r="V84" s="27" t="str">
        <f aca="false">IF(OR($A84="",$U84=0),"",$G84-$T84)</f>
        <v/>
      </c>
      <c r="W84" s="30" t="str">
        <f aca="false">IF(OR($A84="",$U84=0,NOT(ISNUMBER($G84)),$G84&lt;=0),"",$T84/$G84)</f>
        <v/>
      </c>
      <c r="X84" s="26" t="str">
        <f aca="false">IF($D84="","",IF($R84=0,"DONNEES MANQUANTES",IF($D84="STOCK EXISTANT",IF($S84&lt;=0,"EMPLACEMENT INCOHERENT",IF($G84&gt;$S84+0.001,"STOCK INSUFFISANT",IF($U84=0,"EN COURS",IF($T84&gt;$G84+0.001,"BLOQUE",IF(AND($V84&gt;P_TOL,$L84=""),"A JUSTIFIER","OK"))))),IF($U84=0,"EN COURS",IF($T84&gt;$G84+0.001,"BLOQUE",IF(AND($V84&gt;P_TOL,$L84=""),"A JUSTIFIER","OK"))))))</f>
        <v/>
      </c>
      <c r="Y84" s="28" t="n">
        <f aca="false">IF(OR($X84="",$X84="DONNEES MANQUANTES",$X84="EMPLACEMENT INCOHERENT",$X84="STOCK INSUFFISANT"),0,1)</f>
        <v>0</v>
      </c>
      <c r="Z84" s="26" t="str">
        <f aca="false">IF($D84="","",IF($R84=0,"A COMPLETER : "&amp;IF($B84="","DATE ENVOI; ","")&amp;IF($C84="","SOUS-TRAITANT; ","")&amp;IF($E84="","LOT SOURCE; ","")&amp;IF(OR(NOT(ISNUMBER($G84)),$G84&lt;=0),"QTE ENVOYEE &gt; 0; ","")&amp;IF(AND($D84="STOCK EXISTANT",$F84=""),"EMPL. SOURCE; ",""),IF($X84="EMPLACEMENT INCOHERENT","Le lot "&amp;$E84&amp;" n'existe pas sur "&amp;$F84&amp;" (stock 0).",IF($X84="STOCK INSUFFISANT","Disponible avant envoi : "&amp;TEXT($S84,"#,##0.00")&amp;" kg. Ligne NON comptee en stock.",IF($X84="BLOQUE","Total des sorties ("&amp;TEXT($T84,"#,##0.00")&amp;" kg) superieur a la quantite envoyee.",IF($X84="EN COURS","Envoi enregistre, resultats non connus. A completer dans ST_RESULTATS.",IF($X84="A JUSTIFIER","Ecart de "&amp;TEXT($V84,"#,##0.00")&amp;" kg : renseigner JUSTIFICATION ECART (colonne L).",IF($P84="LOT NON REFERENCE","Creer d'abord la fiche du lot dans l'onglet LOTS.",""))))))))</f>
        <v/>
      </c>
      <c r="AA84" s="27" t="n">
        <f aca="false">IF(OR($Y84=0,$U84&gt;0),0,$G84)</f>
        <v>0</v>
      </c>
      <c r="AB84" s="26" t="n">
        <f aca="false">IF($R84=0,0,IF(OR($E84=R_LOT,COUNTIFS(RES_IDST,$A84,RES_LOTEFF,R_LOT)&gt;0),1,0))</f>
        <v>0</v>
      </c>
      <c r="AC84" s="26" t="str">
        <f aca="false">IF($AB84=0,"",COUNTIF($AB$5:$AB84,1))</f>
        <v/>
      </c>
    </row>
    <row r="85" customFormat="false" ht="15" hidden="false" customHeight="false" outlineLevel="0" collapsed="false">
      <c r="A85" s="26" t="str">
        <f aca="false">IF($D85="","","ST-"&amp;TEXT(ROW()-4,"000"))</f>
        <v/>
      </c>
      <c r="B85" s="25"/>
      <c r="C85" s="24"/>
      <c r="D85" s="24"/>
      <c r="E85" s="24"/>
      <c r="F85" s="24"/>
      <c r="G85" s="29"/>
      <c r="H85" s="24"/>
      <c r="I85" s="24"/>
      <c r="J85" s="24"/>
      <c r="K85" s="25"/>
      <c r="L85" s="24"/>
      <c r="M85" s="24"/>
      <c r="N85" s="24"/>
      <c r="O85" s="26" t="str">
        <f aca="false">IF($E85="","",IFERROR(INDEX(LOT_EXTE,MATCH($E85,LOT_KEY,0)),""))</f>
        <v/>
      </c>
      <c r="P85" s="26" t="str">
        <f aca="false">IF($E85="","",IFERROR(INDEX(LOT_PRODE,MATCH($E85,LOT_KEY,0)),"LOT NON REFERENCE"))</f>
        <v/>
      </c>
      <c r="Q85" s="26" t="str">
        <f aca="false">IF($E85="","",IFERROR(INDEX(LOT_FOURNE,MATCH($E85,LOT_KEY,0)),""))</f>
        <v/>
      </c>
      <c r="R85" s="28" t="n">
        <f aca="false">IF($D85="",0,IF(OR($B85="",$C85="",$E85="",NOT(ISNUMBER($G85)),$G85&lt;=0),0,IF($D85="STOCK EXISTANT",IF($F85="",0,1),1)))</f>
        <v>0</v>
      </c>
      <c r="S85" s="27" t="str">
        <f aca="false">IF(OR($R85=0,$D85&lt;&gt;"STOCK EXISTANT"),"",SUMIFS(MVT_BRUT,MVT_LOT,$E85,MVT_EMPL,$F85)+$G85)</f>
        <v/>
      </c>
      <c r="T85" s="27" t="str">
        <f aca="false">IF($A85="","",SUMIFS(RES_QTEVAL,RES_IDST,$A85))</f>
        <v/>
      </c>
      <c r="U85" s="28" t="str">
        <f aca="false">IF($A85="","",COUNTIFS(RES_IDST,$A85))</f>
        <v/>
      </c>
      <c r="V85" s="27" t="str">
        <f aca="false">IF(OR($A85="",$U85=0),"",$G85-$T85)</f>
        <v/>
      </c>
      <c r="W85" s="30" t="str">
        <f aca="false">IF(OR($A85="",$U85=0,NOT(ISNUMBER($G85)),$G85&lt;=0),"",$T85/$G85)</f>
        <v/>
      </c>
      <c r="X85" s="26" t="str">
        <f aca="false">IF($D85="","",IF($R85=0,"DONNEES MANQUANTES",IF($D85="STOCK EXISTANT",IF($S85&lt;=0,"EMPLACEMENT INCOHERENT",IF($G85&gt;$S85+0.001,"STOCK INSUFFISANT",IF($U85=0,"EN COURS",IF($T85&gt;$G85+0.001,"BLOQUE",IF(AND($V85&gt;P_TOL,$L85=""),"A JUSTIFIER","OK"))))),IF($U85=0,"EN COURS",IF($T85&gt;$G85+0.001,"BLOQUE",IF(AND($V85&gt;P_TOL,$L85=""),"A JUSTIFIER","OK"))))))</f>
        <v/>
      </c>
      <c r="Y85" s="28" t="n">
        <f aca="false">IF(OR($X85="",$X85="DONNEES MANQUANTES",$X85="EMPLACEMENT INCOHERENT",$X85="STOCK INSUFFISANT"),0,1)</f>
        <v>0</v>
      </c>
      <c r="Z85" s="26" t="str">
        <f aca="false">IF($D85="","",IF($R85=0,"A COMPLETER : "&amp;IF($B85="","DATE ENVOI; ","")&amp;IF($C85="","SOUS-TRAITANT; ","")&amp;IF($E85="","LOT SOURCE; ","")&amp;IF(OR(NOT(ISNUMBER($G85)),$G85&lt;=0),"QTE ENVOYEE &gt; 0; ","")&amp;IF(AND($D85="STOCK EXISTANT",$F85=""),"EMPL. SOURCE; ",""),IF($X85="EMPLACEMENT INCOHERENT","Le lot "&amp;$E85&amp;" n'existe pas sur "&amp;$F85&amp;" (stock 0).",IF($X85="STOCK INSUFFISANT","Disponible avant envoi : "&amp;TEXT($S85,"#,##0.00")&amp;" kg. Ligne NON comptee en stock.",IF($X85="BLOQUE","Total des sorties ("&amp;TEXT($T85,"#,##0.00")&amp;" kg) superieur a la quantite envoyee.",IF($X85="EN COURS","Envoi enregistre, resultats non connus. A completer dans ST_RESULTATS.",IF($X85="A JUSTIFIER","Ecart de "&amp;TEXT($V85,"#,##0.00")&amp;" kg : renseigner JUSTIFICATION ECART (colonne L).",IF($P85="LOT NON REFERENCE","Creer d'abord la fiche du lot dans l'onglet LOTS.",""))))))))</f>
        <v/>
      </c>
      <c r="AA85" s="27" t="n">
        <f aca="false">IF(OR($Y85=0,$U85&gt;0),0,$G85)</f>
        <v>0</v>
      </c>
      <c r="AB85" s="26" t="n">
        <f aca="false">IF($R85=0,0,IF(OR($E85=R_LOT,COUNTIFS(RES_IDST,$A85,RES_LOTEFF,R_LOT)&gt;0),1,0))</f>
        <v>0</v>
      </c>
      <c r="AC85" s="26" t="str">
        <f aca="false">IF($AB85=0,"",COUNTIF($AB$5:$AB85,1))</f>
        <v/>
      </c>
    </row>
    <row r="86" customFormat="false" ht="15" hidden="false" customHeight="false" outlineLevel="0" collapsed="false">
      <c r="A86" s="26" t="str">
        <f aca="false">IF($D86="","","ST-"&amp;TEXT(ROW()-4,"000"))</f>
        <v/>
      </c>
      <c r="B86" s="25"/>
      <c r="C86" s="24"/>
      <c r="D86" s="24"/>
      <c r="E86" s="24"/>
      <c r="F86" s="24"/>
      <c r="G86" s="29"/>
      <c r="H86" s="24"/>
      <c r="I86" s="24"/>
      <c r="J86" s="24"/>
      <c r="K86" s="25"/>
      <c r="L86" s="24"/>
      <c r="M86" s="24"/>
      <c r="N86" s="24"/>
      <c r="O86" s="26" t="str">
        <f aca="false">IF($E86="","",IFERROR(INDEX(LOT_EXTE,MATCH($E86,LOT_KEY,0)),""))</f>
        <v/>
      </c>
      <c r="P86" s="26" t="str">
        <f aca="false">IF($E86="","",IFERROR(INDEX(LOT_PRODE,MATCH($E86,LOT_KEY,0)),"LOT NON REFERENCE"))</f>
        <v/>
      </c>
      <c r="Q86" s="26" t="str">
        <f aca="false">IF($E86="","",IFERROR(INDEX(LOT_FOURNE,MATCH($E86,LOT_KEY,0)),""))</f>
        <v/>
      </c>
      <c r="R86" s="28" t="n">
        <f aca="false">IF($D86="",0,IF(OR($B86="",$C86="",$E86="",NOT(ISNUMBER($G86)),$G86&lt;=0),0,IF($D86="STOCK EXISTANT",IF($F86="",0,1),1)))</f>
        <v>0</v>
      </c>
      <c r="S86" s="27" t="str">
        <f aca="false">IF(OR($R86=0,$D86&lt;&gt;"STOCK EXISTANT"),"",SUMIFS(MVT_BRUT,MVT_LOT,$E86,MVT_EMPL,$F86)+$G86)</f>
        <v/>
      </c>
      <c r="T86" s="27" t="str">
        <f aca="false">IF($A86="","",SUMIFS(RES_QTEVAL,RES_IDST,$A86))</f>
        <v/>
      </c>
      <c r="U86" s="28" t="str">
        <f aca="false">IF($A86="","",COUNTIFS(RES_IDST,$A86))</f>
        <v/>
      </c>
      <c r="V86" s="27" t="str">
        <f aca="false">IF(OR($A86="",$U86=0),"",$G86-$T86)</f>
        <v/>
      </c>
      <c r="W86" s="30" t="str">
        <f aca="false">IF(OR($A86="",$U86=0,NOT(ISNUMBER($G86)),$G86&lt;=0),"",$T86/$G86)</f>
        <v/>
      </c>
      <c r="X86" s="26" t="str">
        <f aca="false">IF($D86="","",IF($R86=0,"DONNEES MANQUANTES",IF($D86="STOCK EXISTANT",IF($S86&lt;=0,"EMPLACEMENT INCOHERENT",IF($G86&gt;$S86+0.001,"STOCK INSUFFISANT",IF($U86=0,"EN COURS",IF($T86&gt;$G86+0.001,"BLOQUE",IF(AND($V86&gt;P_TOL,$L86=""),"A JUSTIFIER","OK"))))),IF($U86=0,"EN COURS",IF($T86&gt;$G86+0.001,"BLOQUE",IF(AND($V86&gt;P_TOL,$L86=""),"A JUSTIFIER","OK"))))))</f>
        <v/>
      </c>
      <c r="Y86" s="28" t="n">
        <f aca="false">IF(OR($X86="",$X86="DONNEES MANQUANTES",$X86="EMPLACEMENT INCOHERENT",$X86="STOCK INSUFFISANT"),0,1)</f>
        <v>0</v>
      </c>
      <c r="Z86" s="26" t="str">
        <f aca="false">IF($D86="","",IF($R86=0,"A COMPLETER : "&amp;IF($B86="","DATE ENVOI; ","")&amp;IF($C86="","SOUS-TRAITANT; ","")&amp;IF($E86="","LOT SOURCE; ","")&amp;IF(OR(NOT(ISNUMBER($G86)),$G86&lt;=0),"QTE ENVOYEE &gt; 0; ","")&amp;IF(AND($D86="STOCK EXISTANT",$F86=""),"EMPL. SOURCE; ",""),IF($X86="EMPLACEMENT INCOHERENT","Le lot "&amp;$E86&amp;" n'existe pas sur "&amp;$F86&amp;" (stock 0).",IF($X86="STOCK INSUFFISANT","Disponible avant envoi : "&amp;TEXT($S86,"#,##0.00")&amp;" kg. Ligne NON comptee en stock.",IF($X86="BLOQUE","Total des sorties ("&amp;TEXT($T86,"#,##0.00")&amp;" kg) superieur a la quantite envoyee.",IF($X86="EN COURS","Envoi enregistre, resultats non connus. A completer dans ST_RESULTATS.",IF($X86="A JUSTIFIER","Ecart de "&amp;TEXT($V86,"#,##0.00")&amp;" kg : renseigner JUSTIFICATION ECART (colonne L).",IF($P86="LOT NON REFERENCE","Creer d'abord la fiche du lot dans l'onglet LOTS.",""))))))))</f>
        <v/>
      </c>
      <c r="AA86" s="27" t="n">
        <f aca="false">IF(OR($Y86=0,$U86&gt;0),0,$G86)</f>
        <v>0</v>
      </c>
      <c r="AB86" s="26" t="n">
        <f aca="false">IF($R86=0,0,IF(OR($E86=R_LOT,COUNTIFS(RES_IDST,$A86,RES_LOTEFF,R_LOT)&gt;0),1,0))</f>
        <v>0</v>
      </c>
      <c r="AC86" s="26" t="str">
        <f aca="false">IF($AB86=0,"",COUNTIF($AB$5:$AB86,1))</f>
        <v/>
      </c>
    </row>
    <row r="87" customFormat="false" ht="15" hidden="false" customHeight="false" outlineLevel="0" collapsed="false">
      <c r="A87" s="26" t="str">
        <f aca="false">IF($D87="","","ST-"&amp;TEXT(ROW()-4,"000"))</f>
        <v/>
      </c>
      <c r="B87" s="25"/>
      <c r="C87" s="24"/>
      <c r="D87" s="24"/>
      <c r="E87" s="24"/>
      <c r="F87" s="24"/>
      <c r="G87" s="29"/>
      <c r="H87" s="24"/>
      <c r="I87" s="24"/>
      <c r="J87" s="24"/>
      <c r="K87" s="25"/>
      <c r="L87" s="24"/>
      <c r="M87" s="24"/>
      <c r="N87" s="24"/>
      <c r="O87" s="26" t="str">
        <f aca="false">IF($E87="","",IFERROR(INDEX(LOT_EXTE,MATCH($E87,LOT_KEY,0)),""))</f>
        <v/>
      </c>
      <c r="P87" s="26" t="str">
        <f aca="false">IF($E87="","",IFERROR(INDEX(LOT_PRODE,MATCH($E87,LOT_KEY,0)),"LOT NON REFERENCE"))</f>
        <v/>
      </c>
      <c r="Q87" s="26" t="str">
        <f aca="false">IF($E87="","",IFERROR(INDEX(LOT_FOURNE,MATCH($E87,LOT_KEY,0)),""))</f>
        <v/>
      </c>
      <c r="R87" s="28" t="n">
        <f aca="false">IF($D87="",0,IF(OR($B87="",$C87="",$E87="",NOT(ISNUMBER($G87)),$G87&lt;=0),0,IF($D87="STOCK EXISTANT",IF($F87="",0,1),1)))</f>
        <v>0</v>
      </c>
      <c r="S87" s="27" t="str">
        <f aca="false">IF(OR($R87=0,$D87&lt;&gt;"STOCK EXISTANT"),"",SUMIFS(MVT_BRUT,MVT_LOT,$E87,MVT_EMPL,$F87)+$G87)</f>
        <v/>
      </c>
      <c r="T87" s="27" t="str">
        <f aca="false">IF($A87="","",SUMIFS(RES_QTEVAL,RES_IDST,$A87))</f>
        <v/>
      </c>
      <c r="U87" s="28" t="str">
        <f aca="false">IF($A87="","",COUNTIFS(RES_IDST,$A87))</f>
        <v/>
      </c>
      <c r="V87" s="27" t="str">
        <f aca="false">IF(OR($A87="",$U87=0),"",$G87-$T87)</f>
        <v/>
      </c>
      <c r="W87" s="30" t="str">
        <f aca="false">IF(OR($A87="",$U87=0,NOT(ISNUMBER($G87)),$G87&lt;=0),"",$T87/$G87)</f>
        <v/>
      </c>
      <c r="X87" s="26" t="str">
        <f aca="false">IF($D87="","",IF($R87=0,"DONNEES MANQUANTES",IF($D87="STOCK EXISTANT",IF($S87&lt;=0,"EMPLACEMENT INCOHERENT",IF($G87&gt;$S87+0.001,"STOCK INSUFFISANT",IF($U87=0,"EN COURS",IF($T87&gt;$G87+0.001,"BLOQUE",IF(AND($V87&gt;P_TOL,$L87=""),"A JUSTIFIER","OK"))))),IF($U87=0,"EN COURS",IF($T87&gt;$G87+0.001,"BLOQUE",IF(AND($V87&gt;P_TOL,$L87=""),"A JUSTIFIER","OK"))))))</f>
        <v/>
      </c>
      <c r="Y87" s="28" t="n">
        <f aca="false">IF(OR($X87="",$X87="DONNEES MANQUANTES",$X87="EMPLACEMENT INCOHERENT",$X87="STOCK INSUFFISANT"),0,1)</f>
        <v>0</v>
      </c>
      <c r="Z87" s="26" t="str">
        <f aca="false">IF($D87="","",IF($R87=0,"A COMPLETER : "&amp;IF($B87="","DATE ENVOI; ","")&amp;IF($C87="","SOUS-TRAITANT; ","")&amp;IF($E87="","LOT SOURCE; ","")&amp;IF(OR(NOT(ISNUMBER($G87)),$G87&lt;=0),"QTE ENVOYEE &gt; 0; ","")&amp;IF(AND($D87="STOCK EXISTANT",$F87=""),"EMPL. SOURCE; ",""),IF($X87="EMPLACEMENT INCOHERENT","Le lot "&amp;$E87&amp;" n'existe pas sur "&amp;$F87&amp;" (stock 0).",IF($X87="STOCK INSUFFISANT","Disponible avant envoi : "&amp;TEXT($S87,"#,##0.00")&amp;" kg. Ligne NON comptee en stock.",IF($X87="BLOQUE","Total des sorties ("&amp;TEXT($T87,"#,##0.00")&amp;" kg) superieur a la quantite envoyee.",IF($X87="EN COURS","Envoi enregistre, resultats non connus. A completer dans ST_RESULTATS.",IF($X87="A JUSTIFIER","Ecart de "&amp;TEXT($V87,"#,##0.00")&amp;" kg : renseigner JUSTIFICATION ECART (colonne L).",IF($P87="LOT NON REFERENCE","Creer d'abord la fiche du lot dans l'onglet LOTS.",""))))))))</f>
        <v/>
      </c>
      <c r="AA87" s="27" t="n">
        <f aca="false">IF(OR($Y87=0,$U87&gt;0),0,$G87)</f>
        <v>0</v>
      </c>
      <c r="AB87" s="26" t="n">
        <f aca="false">IF($R87=0,0,IF(OR($E87=R_LOT,COUNTIFS(RES_IDST,$A87,RES_LOTEFF,R_LOT)&gt;0),1,0))</f>
        <v>0</v>
      </c>
      <c r="AC87" s="26" t="str">
        <f aca="false">IF($AB87=0,"",COUNTIF($AB$5:$AB87,1))</f>
        <v/>
      </c>
    </row>
    <row r="88" customFormat="false" ht="15" hidden="false" customHeight="false" outlineLevel="0" collapsed="false">
      <c r="A88" s="26" t="str">
        <f aca="false">IF($D88="","","ST-"&amp;TEXT(ROW()-4,"000"))</f>
        <v/>
      </c>
      <c r="B88" s="25"/>
      <c r="C88" s="24"/>
      <c r="D88" s="24"/>
      <c r="E88" s="24"/>
      <c r="F88" s="24"/>
      <c r="G88" s="29"/>
      <c r="H88" s="24"/>
      <c r="I88" s="24"/>
      <c r="J88" s="24"/>
      <c r="K88" s="25"/>
      <c r="L88" s="24"/>
      <c r="M88" s="24"/>
      <c r="N88" s="24"/>
      <c r="O88" s="26" t="str">
        <f aca="false">IF($E88="","",IFERROR(INDEX(LOT_EXTE,MATCH($E88,LOT_KEY,0)),""))</f>
        <v/>
      </c>
      <c r="P88" s="26" t="str">
        <f aca="false">IF($E88="","",IFERROR(INDEX(LOT_PRODE,MATCH($E88,LOT_KEY,0)),"LOT NON REFERENCE"))</f>
        <v/>
      </c>
      <c r="Q88" s="26" t="str">
        <f aca="false">IF($E88="","",IFERROR(INDEX(LOT_FOURNE,MATCH($E88,LOT_KEY,0)),""))</f>
        <v/>
      </c>
      <c r="R88" s="28" t="n">
        <f aca="false">IF($D88="",0,IF(OR($B88="",$C88="",$E88="",NOT(ISNUMBER($G88)),$G88&lt;=0),0,IF($D88="STOCK EXISTANT",IF($F88="",0,1),1)))</f>
        <v>0</v>
      </c>
      <c r="S88" s="27" t="str">
        <f aca="false">IF(OR($R88=0,$D88&lt;&gt;"STOCK EXISTANT"),"",SUMIFS(MVT_BRUT,MVT_LOT,$E88,MVT_EMPL,$F88)+$G88)</f>
        <v/>
      </c>
      <c r="T88" s="27" t="str">
        <f aca="false">IF($A88="","",SUMIFS(RES_QTEVAL,RES_IDST,$A88))</f>
        <v/>
      </c>
      <c r="U88" s="28" t="str">
        <f aca="false">IF($A88="","",COUNTIFS(RES_IDST,$A88))</f>
        <v/>
      </c>
      <c r="V88" s="27" t="str">
        <f aca="false">IF(OR($A88="",$U88=0),"",$G88-$T88)</f>
        <v/>
      </c>
      <c r="W88" s="30" t="str">
        <f aca="false">IF(OR($A88="",$U88=0,NOT(ISNUMBER($G88)),$G88&lt;=0),"",$T88/$G88)</f>
        <v/>
      </c>
      <c r="X88" s="26" t="str">
        <f aca="false">IF($D88="","",IF($R88=0,"DONNEES MANQUANTES",IF($D88="STOCK EXISTANT",IF($S88&lt;=0,"EMPLACEMENT INCOHERENT",IF($G88&gt;$S88+0.001,"STOCK INSUFFISANT",IF($U88=0,"EN COURS",IF($T88&gt;$G88+0.001,"BLOQUE",IF(AND($V88&gt;P_TOL,$L88=""),"A JUSTIFIER","OK"))))),IF($U88=0,"EN COURS",IF($T88&gt;$G88+0.001,"BLOQUE",IF(AND($V88&gt;P_TOL,$L88=""),"A JUSTIFIER","OK"))))))</f>
        <v/>
      </c>
      <c r="Y88" s="28" t="n">
        <f aca="false">IF(OR($X88="",$X88="DONNEES MANQUANTES",$X88="EMPLACEMENT INCOHERENT",$X88="STOCK INSUFFISANT"),0,1)</f>
        <v>0</v>
      </c>
      <c r="Z88" s="26" t="str">
        <f aca="false">IF($D88="","",IF($R88=0,"A COMPLETER : "&amp;IF($B88="","DATE ENVOI; ","")&amp;IF($C88="","SOUS-TRAITANT; ","")&amp;IF($E88="","LOT SOURCE; ","")&amp;IF(OR(NOT(ISNUMBER($G88)),$G88&lt;=0),"QTE ENVOYEE &gt; 0; ","")&amp;IF(AND($D88="STOCK EXISTANT",$F88=""),"EMPL. SOURCE; ",""),IF($X88="EMPLACEMENT INCOHERENT","Le lot "&amp;$E88&amp;" n'existe pas sur "&amp;$F88&amp;" (stock 0).",IF($X88="STOCK INSUFFISANT","Disponible avant envoi : "&amp;TEXT($S88,"#,##0.00")&amp;" kg. Ligne NON comptee en stock.",IF($X88="BLOQUE","Total des sorties ("&amp;TEXT($T88,"#,##0.00")&amp;" kg) superieur a la quantite envoyee.",IF($X88="EN COURS","Envoi enregistre, resultats non connus. A completer dans ST_RESULTATS.",IF($X88="A JUSTIFIER","Ecart de "&amp;TEXT($V88,"#,##0.00")&amp;" kg : renseigner JUSTIFICATION ECART (colonne L).",IF($P88="LOT NON REFERENCE","Creer d'abord la fiche du lot dans l'onglet LOTS.",""))))))))</f>
        <v/>
      </c>
      <c r="AA88" s="27" t="n">
        <f aca="false">IF(OR($Y88=0,$U88&gt;0),0,$G88)</f>
        <v>0</v>
      </c>
      <c r="AB88" s="26" t="n">
        <f aca="false">IF($R88=0,0,IF(OR($E88=R_LOT,COUNTIFS(RES_IDST,$A88,RES_LOTEFF,R_LOT)&gt;0),1,0))</f>
        <v>0</v>
      </c>
      <c r="AC88" s="26" t="str">
        <f aca="false">IF($AB88=0,"",COUNTIF($AB$5:$AB88,1))</f>
        <v/>
      </c>
    </row>
    <row r="89" customFormat="false" ht="15" hidden="false" customHeight="false" outlineLevel="0" collapsed="false">
      <c r="A89" s="26" t="str">
        <f aca="false">IF($D89="","","ST-"&amp;TEXT(ROW()-4,"000"))</f>
        <v/>
      </c>
      <c r="B89" s="25"/>
      <c r="C89" s="24"/>
      <c r="D89" s="24"/>
      <c r="E89" s="24"/>
      <c r="F89" s="24"/>
      <c r="G89" s="29"/>
      <c r="H89" s="24"/>
      <c r="I89" s="24"/>
      <c r="J89" s="24"/>
      <c r="K89" s="25"/>
      <c r="L89" s="24"/>
      <c r="M89" s="24"/>
      <c r="N89" s="24"/>
      <c r="O89" s="26" t="str">
        <f aca="false">IF($E89="","",IFERROR(INDEX(LOT_EXTE,MATCH($E89,LOT_KEY,0)),""))</f>
        <v/>
      </c>
      <c r="P89" s="26" t="str">
        <f aca="false">IF($E89="","",IFERROR(INDEX(LOT_PRODE,MATCH($E89,LOT_KEY,0)),"LOT NON REFERENCE"))</f>
        <v/>
      </c>
      <c r="Q89" s="26" t="str">
        <f aca="false">IF($E89="","",IFERROR(INDEX(LOT_FOURNE,MATCH($E89,LOT_KEY,0)),""))</f>
        <v/>
      </c>
      <c r="R89" s="28" t="n">
        <f aca="false">IF($D89="",0,IF(OR($B89="",$C89="",$E89="",NOT(ISNUMBER($G89)),$G89&lt;=0),0,IF($D89="STOCK EXISTANT",IF($F89="",0,1),1)))</f>
        <v>0</v>
      </c>
      <c r="S89" s="27" t="str">
        <f aca="false">IF(OR($R89=0,$D89&lt;&gt;"STOCK EXISTANT"),"",SUMIFS(MVT_BRUT,MVT_LOT,$E89,MVT_EMPL,$F89)+$G89)</f>
        <v/>
      </c>
      <c r="T89" s="27" t="str">
        <f aca="false">IF($A89="","",SUMIFS(RES_QTEVAL,RES_IDST,$A89))</f>
        <v/>
      </c>
      <c r="U89" s="28" t="str">
        <f aca="false">IF($A89="","",COUNTIFS(RES_IDST,$A89))</f>
        <v/>
      </c>
      <c r="V89" s="27" t="str">
        <f aca="false">IF(OR($A89="",$U89=0),"",$G89-$T89)</f>
        <v/>
      </c>
      <c r="W89" s="30" t="str">
        <f aca="false">IF(OR($A89="",$U89=0,NOT(ISNUMBER($G89)),$G89&lt;=0),"",$T89/$G89)</f>
        <v/>
      </c>
      <c r="X89" s="26" t="str">
        <f aca="false">IF($D89="","",IF($R89=0,"DONNEES MANQUANTES",IF($D89="STOCK EXISTANT",IF($S89&lt;=0,"EMPLACEMENT INCOHERENT",IF($G89&gt;$S89+0.001,"STOCK INSUFFISANT",IF($U89=0,"EN COURS",IF($T89&gt;$G89+0.001,"BLOQUE",IF(AND($V89&gt;P_TOL,$L89=""),"A JUSTIFIER","OK"))))),IF($U89=0,"EN COURS",IF($T89&gt;$G89+0.001,"BLOQUE",IF(AND($V89&gt;P_TOL,$L89=""),"A JUSTIFIER","OK"))))))</f>
        <v/>
      </c>
      <c r="Y89" s="28" t="n">
        <f aca="false">IF(OR($X89="",$X89="DONNEES MANQUANTES",$X89="EMPLACEMENT INCOHERENT",$X89="STOCK INSUFFISANT"),0,1)</f>
        <v>0</v>
      </c>
      <c r="Z89" s="26" t="str">
        <f aca="false">IF($D89="","",IF($R89=0,"A COMPLETER : "&amp;IF($B89="","DATE ENVOI; ","")&amp;IF($C89="","SOUS-TRAITANT; ","")&amp;IF($E89="","LOT SOURCE; ","")&amp;IF(OR(NOT(ISNUMBER($G89)),$G89&lt;=0),"QTE ENVOYEE &gt; 0; ","")&amp;IF(AND($D89="STOCK EXISTANT",$F89=""),"EMPL. SOURCE; ",""),IF($X89="EMPLACEMENT INCOHERENT","Le lot "&amp;$E89&amp;" n'existe pas sur "&amp;$F89&amp;" (stock 0).",IF($X89="STOCK INSUFFISANT","Disponible avant envoi : "&amp;TEXT($S89,"#,##0.00")&amp;" kg. Ligne NON comptee en stock.",IF($X89="BLOQUE","Total des sorties ("&amp;TEXT($T89,"#,##0.00")&amp;" kg) superieur a la quantite envoyee.",IF($X89="EN COURS","Envoi enregistre, resultats non connus. A completer dans ST_RESULTATS.",IF($X89="A JUSTIFIER","Ecart de "&amp;TEXT($V89,"#,##0.00")&amp;" kg : renseigner JUSTIFICATION ECART (colonne L).",IF($P89="LOT NON REFERENCE","Creer d'abord la fiche du lot dans l'onglet LOTS.",""))))))))</f>
        <v/>
      </c>
      <c r="AA89" s="27" t="n">
        <f aca="false">IF(OR($Y89=0,$U89&gt;0),0,$G89)</f>
        <v>0</v>
      </c>
      <c r="AB89" s="26" t="n">
        <f aca="false">IF($R89=0,0,IF(OR($E89=R_LOT,COUNTIFS(RES_IDST,$A89,RES_LOTEFF,R_LOT)&gt;0),1,0))</f>
        <v>0</v>
      </c>
      <c r="AC89" s="26" t="str">
        <f aca="false">IF($AB89=0,"",COUNTIF($AB$5:$AB89,1))</f>
        <v/>
      </c>
    </row>
    <row r="90" customFormat="false" ht="15" hidden="false" customHeight="false" outlineLevel="0" collapsed="false">
      <c r="A90" s="26" t="str">
        <f aca="false">IF($D90="","","ST-"&amp;TEXT(ROW()-4,"000"))</f>
        <v/>
      </c>
      <c r="B90" s="25"/>
      <c r="C90" s="24"/>
      <c r="D90" s="24"/>
      <c r="E90" s="24"/>
      <c r="F90" s="24"/>
      <c r="G90" s="29"/>
      <c r="H90" s="24"/>
      <c r="I90" s="24"/>
      <c r="J90" s="24"/>
      <c r="K90" s="25"/>
      <c r="L90" s="24"/>
      <c r="M90" s="24"/>
      <c r="N90" s="24"/>
      <c r="O90" s="26" t="str">
        <f aca="false">IF($E90="","",IFERROR(INDEX(LOT_EXTE,MATCH($E90,LOT_KEY,0)),""))</f>
        <v/>
      </c>
      <c r="P90" s="26" t="str">
        <f aca="false">IF($E90="","",IFERROR(INDEX(LOT_PRODE,MATCH($E90,LOT_KEY,0)),"LOT NON REFERENCE"))</f>
        <v/>
      </c>
      <c r="Q90" s="26" t="str">
        <f aca="false">IF($E90="","",IFERROR(INDEX(LOT_FOURNE,MATCH($E90,LOT_KEY,0)),""))</f>
        <v/>
      </c>
      <c r="R90" s="28" t="n">
        <f aca="false">IF($D90="",0,IF(OR($B90="",$C90="",$E90="",NOT(ISNUMBER($G90)),$G90&lt;=0),0,IF($D90="STOCK EXISTANT",IF($F90="",0,1),1)))</f>
        <v>0</v>
      </c>
      <c r="S90" s="27" t="str">
        <f aca="false">IF(OR($R90=0,$D90&lt;&gt;"STOCK EXISTANT"),"",SUMIFS(MVT_BRUT,MVT_LOT,$E90,MVT_EMPL,$F90)+$G90)</f>
        <v/>
      </c>
      <c r="T90" s="27" t="str">
        <f aca="false">IF($A90="","",SUMIFS(RES_QTEVAL,RES_IDST,$A90))</f>
        <v/>
      </c>
      <c r="U90" s="28" t="str">
        <f aca="false">IF($A90="","",COUNTIFS(RES_IDST,$A90))</f>
        <v/>
      </c>
      <c r="V90" s="27" t="str">
        <f aca="false">IF(OR($A90="",$U90=0),"",$G90-$T90)</f>
        <v/>
      </c>
      <c r="W90" s="30" t="str">
        <f aca="false">IF(OR($A90="",$U90=0,NOT(ISNUMBER($G90)),$G90&lt;=0),"",$T90/$G90)</f>
        <v/>
      </c>
      <c r="X90" s="26" t="str">
        <f aca="false">IF($D90="","",IF($R90=0,"DONNEES MANQUANTES",IF($D90="STOCK EXISTANT",IF($S90&lt;=0,"EMPLACEMENT INCOHERENT",IF($G90&gt;$S90+0.001,"STOCK INSUFFISANT",IF($U90=0,"EN COURS",IF($T90&gt;$G90+0.001,"BLOQUE",IF(AND($V90&gt;P_TOL,$L90=""),"A JUSTIFIER","OK"))))),IF($U90=0,"EN COURS",IF($T90&gt;$G90+0.001,"BLOQUE",IF(AND($V90&gt;P_TOL,$L90=""),"A JUSTIFIER","OK"))))))</f>
        <v/>
      </c>
      <c r="Y90" s="28" t="n">
        <f aca="false">IF(OR($X90="",$X90="DONNEES MANQUANTES",$X90="EMPLACEMENT INCOHERENT",$X90="STOCK INSUFFISANT"),0,1)</f>
        <v>0</v>
      </c>
      <c r="Z90" s="26" t="str">
        <f aca="false">IF($D90="","",IF($R90=0,"A COMPLETER : "&amp;IF($B90="","DATE ENVOI; ","")&amp;IF($C90="","SOUS-TRAITANT; ","")&amp;IF($E90="","LOT SOURCE; ","")&amp;IF(OR(NOT(ISNUMBER($G90)),$G90&lt;=0),"QTE ENVOYEE &gt; 0; ","")&amp;IF(AND($D90="STOCK EXISTANT",$F90=""),"EMPL. SOURCE; ",""),IF($X90="EMPLACEMENT INCOHERENT","Le lot "&amp;$E90&amp;" n'existe pas sur "&amp;$F90&amp;" (stock 0).",IF($X90="STOCK INSUFFISANT","Disponible avant envoi : "&amp;TEXT($S90,"#,##0.00")&amp;" kg. Ligne NON comptee en stock.",IF($X90="BLOQUE","Total des sorties ("&amp;TEXT($T90,"#,##0.00")&amp;" kg) superieur a la quantite envoyee.",IF($X90="EN COURS","Envoi enregistre, resultats non connus. A completer dans ST_RESULTATS.",IF($X90="A JUSTIFIER","Ecart de "&amp;TEXT($V90,"#,##0.00")&amp;" kg : renseigner JUSTIFICATION ECART (colonne L).",IF($P90="LOT NON REFERENCE","Creer d'abord la fiche du lot dans l'onglet LOTS.",""))))))))</f>
        <v/>
      </c>
      <c r="AA90" s="27" t="n">
        <f aca="false">IF(OR($Y90=0,$U90&gt;0),0,$G90)</f>
        <v>0</v>
      </c>
      <c r="AB90" s="26" t="n">
        <f aca="false">IF($R90=0,0,IF(OR($E90=R_LOT,COUNTIFS(RES_IDST,$A90,RES_LOTEFF,R_LOT)&gt;0),1,0))</f>
        <v>0</v>
      </c>
      <c r="AC90" s="26" t="str">
        <f aca="false">IF($AB90=0,"",COUNTIF($AB$5:$AB90,1))</f>
        <v/>
      </c>
    </row>
    <row r="91" customFormat="false" ht="15" hidden="false" customHeight="false" outlineLevel="0" collapsed="false">
      <c r="A91" s="26" t="str">
        <f aca="false">IF($D91="","","ST-"&amp;TEXT(ROW()-4,"000"))</f>
        <v/>
      </c>
      <c r="B91" s="25"/>
      <c r="C91" s="24"/>
      <c r="D91" s="24"/>
      <c r="E91" s="24"/>
      <c r="F91" s="24"/>
      <c r="G91" s="29"/>
      <c r="H91" s="24"/>
      <c r="I91" s="24"/>
      <c r="J91" s="24"/>
      <c r="K91" s="25"/>
      <c r="L91" s="24"/>
      <c r="M91" s="24"/>
      <c r="N91" s="24"/>
      <c r="O91" s="26" t="str">
        <f aca="false">IF($E91="","",IFERROR(INDEX(LOT_EXTE,MATCH($E91,LOT_KEY,0)),""))</f>
        <v/>
      </c>
      <c r="P91" s="26" t="str">
        <f aca="false">IF($E91="","",IFERROR(INDEX(LOT_PRODE,MATCH($E91,LOT_KEY,0)),"LOT NON REFERENCE"))</f>
        <v/>
      </c>
      <c r="Q91" s="26" t="str">
        <f aca="false">IF($E91="","",IFERROR(INDEX(LOT_FOURNE,MATCH($E91,LOT_KEY,0)),""))</f>
        <v/>
      </c>
      <c r="R91" s="28" t="n">
        <f aca="false">IF($D91="",0,IF(OR($B91="",$C91="",$E91="",NOT(ISNUMBER($G91)),$G91&lt;=0),0,IF($D91="STOCK EXISTANT",IF($F91="",0,1),1)))</f>
        <v>0</v>
      </c>
      <c r="S91" s="27" t="str">
        <f aca="false">IF(OR($R91=0,$D91&lt;&gt;"STOCK EXISTANT"),"",SUMIFS(MVT_BRUT,MVT_LOT,$E91,MVT_EMPL,$F91)+$G91)</f>
        <v/>
      </c>
      <c r="T91" s="27" t="str">
        <f aca="false">IF($A91="","",SUMIFS(RES_QTEVAL,RES_IDST,$A91))</f>
        <v/>
      </c>
      <c r="U91" s="28" t="str">
        <f aca="false">IF($A91="","",COUNTIFS(RES_IDST,$A91))</f>
        <v/>
      </c>
      <c r="V91" s="27" t="str">
        <f aca="false">IF(OR($A91="",$U91=0),"",$G91-$T91)</f>
        <v/>
      </c>
      <c r="W91" s="30" t="str">
        <f aca="false">IF(OR($A91="",$U91=0,NOT(ISNUMBER($G91)),$G91&lt;=0),"",$T91/$G91)</f>
        <v/>
      </c>
      <c r="X91" s="26" t="str">
        <f aca="false">IF($D91="","",IF($R91=0,"DONNEES MANQUANTES",IF($D91="STOCK EXISTANT",IF($S91&lt;=0,"EMPLACEMENT INCOHERENT",IF($G91&gt;$S91+0.001,"STOCK INSUFFISANT",IF($U91=0,"EN COURS",IF($T91&gt;$G91+0.001,"BLOQUE",IF(AND($V91&gt;P_TOL,$L91=""),"A JUSTIFIER","OK"))))),IF($U91=0,"EN COURS",IF($T91&gt;$G91+0.001,"BLOQUE",IF(AND($V91&gt;P_TOL,$L91=""),"A JUSTIFIER","OK"))))))</f>
        <v/>
      </c>
      <c r="Y91" s="28" t="n">
        <f aca="false">IF(OR($X91="",$X91="DONNEES MANQUANTES",$X91="EMPLACEMENT INCOHERENT",$X91="STOCK INSUFFISANT"),0,1)</f>
        <v>0</v>
      </c>
      <c r="Z91" s="26" t="str">
        <f aca="false">IF($D91="","",IF($R91=0,"A COMPLETER : "&amp;IF($B91="","DATE ENVOI; ","")&amp;IF($C91="","SOUS-TRAITANT; ","")&amp;IF($E91="","LOT SOURCE; ","")&amp;IF(OR(NOT(ISNUMBER($G91)),$G91&lt;=0),"QTE ENVOYEE &gt; 0; ","")&amp;IF(AND($D91="STOCK EXISTANT",$F91=""),"EMPL. SOURCE; ",""),IF($X91="EMPLACEMENT INCOHERENT","Le lot "&amp;$E91&amp;" n'existe pas sur "&amp;$F91&amp;" (stock 0).",IF($X91="STOCK INSUFFISANT","Disponible avant envoi : "&amp;TEXT($S91,"#,##0.00")&amp;" kg. Ligne NON comptee en stock.",IF($X91="BLOQUE","Total des sorties ("&amp;TEXT($T91,"#,##0.00")&amp;" kg) superieur a la quantite envoyee.",IF($X91="EN COURS","Envoi enregistre, resultats non connus. A completer dans ST_RESULTATS.",IF($X91="A JUSTIFIER","Ecart de "&amp;TEXT($V91,"#,##0.00")&amp;" kg : renseigner JUSTIFICATION ECART (colonne L).",IF($P91="LOT NON REFERENCE","Creer d'abord la fiche du lot dans l'onglet LOTS.",""))))))))</f>
        <v/>
      </c>
      <c r="AA91" s="27" t="n">
        <f aca="false">IF(OR($Y91=0,$U91&gt;0),0,$G91)</f>
        <v>0</v>
      </c>
      <c r="AB91" s="26" t="n">
        <f aca="false">IF($R91=0,0,IF(OR($E91=R_LOT,COUNTIFS(RES_IDST,$A91,RES_LOTEFF,R_LOT)&gt;0),1,0))</f>
        <v>0</v>
      </c>
      <c r="AC91" s="26" t="str">
        <f aca="false">IF($AB91=0,"",COUNTIF($AB$5:$AB91,1))</f>
        <v/>
      </c>
    </row>
    <row r="92" customFormat="false" ht="15" hidden="false" customHeight="false" outlineLevel="0" collapsed="false">
      <c r="A92" s="26" t="str">
        <f aca="false">IF($D92="","","ST-"&amp;TEXT(ROW()-4,"000"))</f>
        <v/>
      </c>
      <c r="B92" s="25"/>
      <c r="C92" s="24"/>
      <c r="D92" s="24"/>
      <c r="E92" s="24"/>
      <c r="F92" s="24"/>
      <c r="G92" s="29"/>
      <c r="H92" s="24"/>
      <c r="I92" s="24"/>
      <c r="J92" s="24"/>
      <c r="K92" s="25"/>
      <c r="L92" s="24"/>
      <c r="M92" s="24"/>
      <c r="N92" s="24"/>
      <c r="O92" s="26" t="str">
        <f aca="false">IF($E92="","",IFERROR(INDEX(LOT_EXTE,MATCH($E92,LOT_KEY,0)),""))</f>
        <v/>
      </c>
      <c r="P92" s="26" t="str">
        <f aca="false">IF($E92="","",IFERROR(INDEX(LOT_PRODE,MATCH($E92,LOT_KEY,0)),"LOT NON REFERENCE"))</f>
        <v/>
      </c>
      <c r="Q92" s="26" t="str">
        <f aca="false">IF($E92="","",IFERROR(INDEX(LOT_FOURNE,MATCH($E92,LOT_KEY,0)),""))</f>
        <v/>
      </c>
      <c r="R92" s="28" t="n">
        <f aca="false">IF($D92="",0,IF(OR($B92="",$C92="",$E92="",NOT(ISNUMBER($G92)),$G92&lt;=0),0,IF($D92="STOCK EXISTANT",IF($F92="",0,1),1)))</f>
        <v>0</v>
      </c>
      <c r="S92" s="27" t="str">
        <f aca="false">IF(OR($R92=0,$D92&lt;&gt;"STOCK EXISTANT"),"",SUMIFS(MVT_BRUT,MVT_LOT,$E92,MVT_EMPL,$F92)+$G92)</f>
        <v/>
      </c>
      <c r="T92" s="27" t="str">
        <f aca="false">IF($A92="","",SUMIFS(RES_QTEVAL,RES_IDST,$A92))</f>
        <v/>
      </c>
      <c r="U92" s="28" t="str">
        <f aca="false">IF($A92="","",COUNTIFS(RES_IDST,$A92))</f>
        <v/>
      </c>
      <c r="V92" s="27" t="str">
        <f aca="false">IF(OR($A92="",$U92=0),"",$G92-$T92)</f>
        <v/>
      </c>
      <c r="W92" s="30" t="str">
        <f aca="false">IF(OR($A92="",$U92=0,NOT(ISNUMBER($G92)),$G92&lt;=0),"",$T92/$G92)</f>
        <v/>
      </c>
      <c r="X92" s="26" t="str">
        <f aca="false">IF($D92="","",IF($R92=0,"DONNEES MANQUANTES",IF($D92="STOCK EXISTANT",IF($S92&lt;=0,"EMPLACEMENT INCOHERENT",IF($G92&gt;$S92+0.001,"STOCK INSUFFISANT",IF($U92=0,"EN COURS",IF($T92&gt;$G92+0.001,"BLOQUE",IF(AND($V92&gt;P_TOL,$L92=""),"A JUSTIFIER","OK"))))),IF($U92=0,"EN COURS",IF($T92&gt;$G92+0.001,"BLOQUE",IF(AND($V92&gt;P_TOL,$L92=""),"A JUSTIFIER","OK"))))))</f>
        <v/>
      </c>
      <c r="Y92" s="28" t="n">
        <f aca="false">IF(OR($X92="",$X92="DONNEES MANQUANTES",$X92="EMPLACEMENT INCOHERENT",$X92="STOCK INSUFFISANT"),0,1)</f>
        <v>0</v>
      </c>
      <c r="Z92" s="26" t="str">
        <f aca="false">IF($D92="","",IF($R92=0,"A COMPLETER : "&amp;IF($B92="","DATE ENVOI; ","")&amp;IF($C92="","SOUS-TRAITANT; ","")&amp;IF($E92="","LOT SOURCE; ","")&amp;IF(OR(NOT(ISNUMBER($G92)),$G92&lt;=0),"QTE ENVOYEE &gt; 0; ","")&amp;IF(AND($D92="STOCK EXISTANT",$F92=""),"EMPL. SOURCE; ",""),IF($X92="EMPLACEMENT INCOHERENT","Le lot "&amp;$E92&amp;" n'existe pas sur "&amp;$F92&amp;" (stock 0).",IF($X92="STOCK INSUFFISANT","Disponible avant envoi : "&amp;TEXT($S92,"#,##0.00")&amp;" kg. Ligne NON comptee en stock.",IF($X92="BLOQUE","Total des sorties ("&amp;TEXT($T92,"#,##0.00")&amp;" kg) superieur a la quantite envoyee.",IF($X92="EN COURS","Envoi enregistre, resultats non connus. A completer dans ST_RESULTATS.",IF($X92="A JUSTIFIER","Ecart de "&amp;TEXT($V92,"#,##0.00")&amp;" kg : renseigner JUSTIFICATION ECART (colonne L).",IF($P92="LOT NON REFERENCE","Creer d'abord la fiche du lot dans l'onglet LOTS.",""))))))))</f>
        <v/>
      </c>
      <c r="AA92" s="27" t="n">
        <f aca="false">IF(OR($Y92=0,$U92&gt;0),0,$G92)</f>
        <v>0</v>
      </c>
      <c r="AB92" s="26" t="n">
        <f aca="false">IF($R92=0,0,IF(OR($E92=R_LOT,COUNTIFS(RES_IDST,$A92,RES_LOTEFF,R_LOT)&gt;0),1,0))</f>
        <v>0</v>
      </c>
      <c r="AC92" s="26" t="str">
        <f aca="false">IF($AB92=0,"",COUNTIF($AB$5:$AB92,1))</f>
        <v/>
      </c>
    </row>
    <row r="93" customFormat="false" ht="15" hidden="false" customHeight="false" outlineLevel="0" collapsed="false">
      <c r="A93" s="26" t="str">
        <f aca="false">IF($D93="","","ST-"&amp;TEXT(ROW()-4,"000"))</f>
        <v/>
      </c>
      <c r="B93" s="25"/>
      <c r="C93" s="24"/>
      <c r="D93" s="24"/>
      <c r="E93" s="24"/>
      <c r="F93" s="24"/>
      <c r="G93" s="29"/>
      <c r="H93" s="24"/>
      <c r="I93" s="24"/>
      <c r="J93" s="24"/>
      <c r="K93" s="25"/>
      <c r="L93" s="24"/>
      <c r="M93" s="24"/>
      <c r="N93" s="24"/>
      <c r="O93" s="26" t="str">
        <f aca="false">IF($E93="","",IFERROR(INDEX(LOT_EXTE,MATCH($E93,LOT_KEY,0)),""))</f>
        <v/>
      </c>
      <c r="P93" s="26" t="str">
        <f aca="false">IF($E93="","",IFERROR(INDEX(LOT_PRODE,MATCH($E93,LOT_KEY,0)),"LOT NON REFERENCE"))</f>
        <v/>
      </c>
      <c r="Q93" s="26" t="str">
        <f aca="false">IF($E93="","",IFERROR(INDEX(LOT_FOURNE,MATCH($E93,LOT_KEY,0)),""))</f>
        <v/>
      </c>
      <c r="R93" s="28" t="n">
        <f aca="false">IF($D93="",0,IF(OR($B93="",$C93="",$E93="",NOT(ISNUMBER($G93)),$G93&lt;=0),0,IF($D93="STOCK EXISTANT",IF($F93="",0,1),1)))</f>
        <v>0</v>
      </c>
      <c r="S93" s="27" t="str">
        <f aca="false">IF(OR($R93=0,$D93&lt;&gt;"STOCK EXISTANT"),"",SUMIFS(MVT_BRUT,MVT_LOT,$E93,MVT_EMPL,$F93)+$G93)</f>
        <v/>
      </c>
      <c r="T93" s="27" t="str">
        <f aca="false">IF($A93="","",SUMIFS(RES_QTEVAL,RES_IDST,$A93))</f>
        <v/>
      </c>
      <c r="U93" s="28" t="str">
        <f aca="false">IF($A93="","",COUNTIFS(RES_IDST,$A93))</f>
        <v/>
      </c>
      <c r="V93" s="27" t="str">
        <f aca="false">IF(OR($A93="",$U93=0),"",$G93-$T93)</f>
        <v/>
      </c>
      <c r="W93" s="30" t="str">
        <f aca="false">IF(OR($A93="",$U93=0,NOT(ISNUMBER($G93)),$G93&lt;=0),"",$T93/$G93)</f>
        <v/>
      </c>
      <c r="X93" s="26" t="str">
        <f aca="false">IF($D93="","",IF($R93=0,"DONNEES MANQUANTES",IF($D93="STOCK EXISTANT",IF($S93&lt;=0,"EMPLACEMENT INCOHERENT",IF($G93&gt;$S93+0.001,"STOCK INSUFFISANT",IF($U93=0,"EN COURS",IF($T93&gt;$G93+0.001,"BLOQUE",IF(AND($V93&gt;P_TOL,$L93=""),"A JUSTIFIER","OK"))))),IF($U93=0,"EN COURS",IF($T93&gt;$G93+0.001,"BLOQUE",IF(AND($V93&gt;P_TOL,$L93=""),"A JUSTIFIER","OK"))))))</f>
        <v/>
      </c>
      <c r="Y93" s="28" t="n">
        <f aca="false">IF(OR($X93="",$X93="DONNEES MANQUANTES",$X93="EMPLACEMENT INCOHERENT",$X93="STOCK INSUFFISANT"),0,1)</f>
        <v>0</v>
      </c>
      <c r="Z93" s="26" t="str">
        <f aca="false">IF($D93="","",IF($R93=0,"A COMPLETER : "&amp;IF($B93="","DATE ENVOI; ","")&amp;IF($C93="","SOUS-TRAITANT; ","")&amp;IF($E93="","LOT SOURCE; ","")&amp;IF(OR(NOT(ISNUMBER($G93)),$G93&lt;=0),"QTE ENVOYEE &gt; 0; ","")&amp;IF(AND($D93="STOCK EXISTANT",$F93=""),"EMPL. SOURCE; ",""),IF($X93="EMPLACEMENT INCOHERENT","Le lot "&amp;$E93&amp;" n'existe pas sur "&amp;$F93&amp;" (stock 0).",IF($X93="STOCK INSUFFISANT","Disponible avant envoi : "&amp;TEXT($S93,"#,##0.00")&amp;" kg. Ligne NON comptee en stock.",IF($X93="BLOQUE","Total des sorties ("&amp;TEXT($T93,"#,##0.00")&amp;" kg) superieur a la quantite envoyee.",IF($X93="EN COURS","Envoi enregistre, resultats non connus. A completer dans ST_RESULTATS.",IF($X93="A JUSTIFIER","Ecart de "&amp;TEXT($V93,"#,##0.00")&amp;" kg : renseigner JUSTIFICATION ECART (colonne L).",IF($P93="LOT NON REFERENCE","Creer d'abord la fiche du lot dans l'onglet LOTS.",""))))))))</f>
        <v/>
      </c>
      <c r="AA93" s="27" t="n">
        <f aca="false">IF(OR($Y93=0,$U93&gt;0),0,$G93)</f>
        <v>0</v>
      </c>
      <c r="AB93" s="26" t="n">
        <f aca="false">IF($R93=0,0,IF(OR($E93=R_LOT,COUNTIFS(RES_IDST,$A93,RES_LOTEFF,R_LOT)&gt;0),1,0))</f>
        <v>0</v>
      </c>
      <c r="AC93" s="26" t="str">
        <f aca="false">IF($AB93=0,"",COUNTIF($AB$5:$AB93,1))</f>
        <v/>
      </c>
    </row>
    <row r="94" customFormat="false" ht="15" hidden="false" customHeight="false" outlineLevel="0" collapsed="false">
      <c r="A94" s="26" t="str">
        <f aca="false">IF($D94="","","ST-"&amp;TEXT(ROW()-4,"000"))</f>
        <v/>
      </c>
      <c r="B94" s="25"/>
      <c r="C94" s="24"/>
      <c r="D94" s="24"/>
      <c r="E94" s="24"/>
      <c r="F94" s="24"/>
      <c r="G94" s="29"/>
      <c r="H94" s="24"/>
      <c r="I94" s="24"/>
      <c r="J94" s="24"/>
      <c r="K94" s="25"/>
      <c r="L94" s="24"/>
      <c r="M94" s="24"/>
      <c r="N94" s="24"/>
      <c r="O94" s="26" t="str">
        <f aca="false">IF($E94="","",IFERROR(INDEX(LOT_EXTE,MATCH($E94,LOT_KEY,0)),""))</f>
        <v/>
      </c>
      <c r="P94" s="26" t="str">
        <f aca="false">IF($E94="","",IFERROR(INDEX(LOT_PRODE,MATCH($E94,LOT_KEY,0)),"LOT NON REFERENCE"))</f>
        <v/>
      </c>
      <c r="Q94" s="26" t="str">
        <f aca="false">IF($E94="","",IFERROR(INDEX(LOT_FOURNE,MATCH($E94,LOT_KEY,0)),""))</f>
        <v/>
      </c>
      <c r="R94" s="28" t="n">
        <f aca="false">IF($D94="",0,IF(OR($B94="",$C94="",$E94="",NOT(ISNUMBER($G94)),$G94&lt;=0),0,IF($D94="STOCK EXISTANT",IF($F94="",0,1),1)))</f>
        <v>0</v>
      </c>
      <c r="S94" s="27" t="str">
        <f aca="false">IF(OR($R94=0,$D94&lt;&gt;"STOCK EXISTANT"),"",SUMIFS(MVT_BRUT,MVT_LOT,$E94,MVT_EMPL,$F94)+$G94)</f>
        <v/>
      </c>
      <c r="T94" s="27" t="str">
        <f aca="false">IF($A94="","",SUMIFS(RES_QTEVAL,RES_IDST,$A94))</f>
        <v/>
      </c>
      <c r="U94" s="28" t="str">
        <f aca="false">IF($A94="","",COUNTIFS(RES_IDST,$A94))</f>
        <v/>
      </c>
      <c r="V94" s="27" t="str">
        <f aca="false">IF(OR($A94="",$U94=0),"",$G94-$T94)</f>
        <v/>
      </c>
      <c r="W94" s="30" t="str">
        <f aca="false">IF(OR($A94="",$U94=0,NOT(ISNUMBER($G94)),$G94&lt;=0),"",$T94/$G94)</f>
        <v/>
      </c>
      <c r="X94" s="26" t="str">
        <f aca="false">IF($D94="","",IF($R94=0,"DONNEES MANQUANTES",IF($D94="STOCK EXISTANT",IF($S94&lt;=0,"EMPLACEMENT INCOHERENT",IF($G94&gt;$S94+0.001,"STOCK INSUFFISANT",IF($U94=0,"EN COURS",IF($T94&gt;$G94+0.001,"BLOQUE",IF(AND($V94&gt;P_TOL,$L94=""),"A JUSTIFIER","OK"))))),IF($U94=0,"EN COURS",IF($T94&gt;$G94+0.001,"BLOQUE",IF(AND($V94&gt;P_TOL,$L94=""),"A JUSTIFIER","OK"))))))</f>
        <v/>
      </c>
      <c r="Y94" s="28" t="n">
        <f aca="false">IF(OR($X94="",$X94="DONNEES MANQUANTES",$X94="EMPLACEMENT INCOHERENT",$X94="STOCK INSUFFISANT"),0,1)</f>
        <v>0</v>
      </c>
      <c r="Z94" s="26" t="str">
        <f aca="false">IF($D94="","",IF($R94=0,"A COMPLETER : "&amp;IF($B94="","DATE ENVOI; ","")&amp;IF($C94="","SOUS-TRAITANT; ","")&amp;IF($E94="","LOT SOURCE; ","")&amp;IF(OR(NOT(ISNUMBER($G94)),$G94&lt;=0),"QTE ENVOYEE &gt; 0; ","")&amp;IF(AND($D94="STOCK EXISTANT",$F94=""),"EMPL. SOURCE; ",""),IF($X94="EMPLACEMENT INCOHERENT","Le lot "&amp;$E94&amp;" n'existe pas sur "&amp;$F94&amp;" (stock 0).",IF($X94="STOCK INSUFFISANT","Disponible avant envoi : "&amp;TEXT($S94,"#,##0.00")&amp;" kg. Ligne NON comptee en stock.",IF($X94="BLOQUE","Total des sorties ("&amp;TEXT($T94,"#,##0.00")&amp;" kg) superieur a la quantite envoyee.",IF($X94="EN COURS","Envoi enregistre, resultats non connus. A completer dans ST_RESULTATS.",IF($X94="A JUSTIFIER","Ecart de "&amp;TEXT($V94,"#,##0.00")&amp;" kg : renseigner JUSTIFICATION ECART (colonne L).",IF($P94="LOT NON REFERENCE","Creer d'abord la fiche du lot dans l'onglet LOTS.",""))))))))</f>
        <v/>
      </c>
      <c r="AA94" s="27" t="n">
        <f aca="false">IF(OR($Y94=0,$U94&gt;0),0,$G94)</f>
        <v>0</v>
      </c>
      <c r="AB94" s="26" t="n">
        <f aca="false">IF($R94=0,0,IF(OR($E94=R_LOT,COUNTIFS(RES_IDST,$A94,RES_LOTEFF,R_LOT)&gt;0),1,0))</f>
        <v>0</v>
      </c>
      <c r="AC94" s="26" t="str">
        <f aca="false">IF($AB94=0,"",COUNTIF($AB$5:$AB94,1))</f>
        <v/>
      </c>
    </row>
    <row r="95" customFormat="false" ht="15" hidden="false" customHeight="false" outlineLevel="0" collapsed="false">
      <c r="A95" s="26" t="str">
        <f aca="false">IF($D95="","","ST-"&amp;TEXT(ROW()-4,"000"))</f>
        <v/>
      </c>
      <c r="B95" s="25"/>
      <c r="C95" s="24"/>
      <c r="D95" s="24"/>
      <c r="E95" s="24"/>
      <c r="F95" s="24"/>
      <c r="G95" s="29"/>
      <c r="H95" s="24"/>
      <c r="I95" s="24"/>
      <c r="J95" s="24"/>
      <c r="K95" s="25"/>
      <c r="L95" s="24"/>
      <c r="M95" s="24"/>
      <c r="N95" s="24"/>
      <c r="O95" s="26" t="str">
        <f aca="false">IF($E95="","",IFERROR(INDEX(LOT_EXTE,MATCH($E95,LOT_KEY,0)),""))</f>
        <v/>
      </c>
      <c r="P95" s="26" t="str">
        <f aca="false">IF($E95="","",IFERROR(INDEX(LOT_PRODE,MATCH($E95,LOT_KEY,0)),"LOT NON REFERENCE"))</f>
        <v/>
      </c>
      <c r="Q95" s="26" t="str">
        <f aca="false">IF($E95="","",IFERROR(INDEX(LOT_FOURNE,MATCH($E95,LOT_KEY,0)),""))</f>
        <v/>
      </c>
      <c r="R95" s="28" t="n">
        <f aca="false">IF($D95="",0,IF(OR($B95="",$C95="",$E95="",NOT(ISNUMBER($G95)),$G95&lt;=0),0,IF($D95="STOCK EXISTANT",IF($F95="",0,1),1)))</f>
        <v>0</v>
      </c>
      <c r="S95" s="27" t="str">
        <f aca="false">IF(OR($R95=0,$D95&lt;&gt;"STOCK EXISTANT"),"",SUMIFS(MVT_BRUT,MVT_LOT,$E95,MVT_EMPL,$F95)+$G95)</f>
        <v/>
      </c>
      <c r="T95" s="27" t="str">
        <f aca="false">IF($A95="","",SUMIFS(RES_QTEVAL,RES_IDST,$A95))</f>
        <v/>
      </c>
      <c r="U95" s="28" t="str">
        <f aca="false">IF($A95="","",COUNTIFS(RES_IDST,$A95))</f>
        <v/>
      </c>
      <c r="V95" s="27" t="str">
        <f aca="false">IF(OR($A95="",$U95=0),"",$G95-$T95)</f>
        <v/>
      </c>
      <c r="W95" s="30" t="str">
        <f aca="false">IF(OR($A95="",$U95=0,NOT(ISNUMBER($G95)),$G95&lt;=0),"",$T95/$G95)</f>
        <v/>
      </c>
      <c r="X95" s="26" t="str">
        <f aca="false">IF($D95="","",IF($R95=0,"DONNEES MANQUANTES",IF($D95="STOCK EXISTANT",IF($S95&lt;=0,"EMPLACEMENT INCOHERENT",IF($G95&gt;$S95+0.001,"STOCK INSUFFISANT",IF($U95=0,"EN COURS",IF($T95&gt;$G95+0.001,"BLOQUE",IF(AND($V95&gt;P_TOL,$L95=""),"A JUSTIFIER","OK"))))),IF($U95=0,"EN COURS",IF($T95&gt;$G95+0.001,"BLOQUE",IF(AND($V95&gt;P_TOL,$L95=""),"A JUSTIFIER","OK"))))))</f>
        <v/>
      </c>
      <c r="Y95" s="28" t="n">
        <f aca="false">IF(OR($X95="",$X95="DONNEES MANQUANTES",$X95="EMPLACEMENT INCOHERENT",$X95="STOCK INSUFFISANT"),0,1)</f>
        <v>0</v>
      </c>
      <c r="Z95" s="26" t="str">
        <f aca="false">IF($D95="","",IF($R95=0,"A COMPLETER : "&amp;IF($B95="","DATE ENVOI; ","")&amp;IF($C95="","SOUS-TRAITANT; ","")&amp;IF($E95="","LOT SOURCE; ","")&amp;IF(OR(NOT(ISNUMBER($G95)),$G95&lt;=0),"QTE ENVOYEE &gt; 0; ","")&amp;IF(AND($D95="STOCK EXISTANT",$F95=""),"EMPL. SOURCE; ",""),IF($X95="EMPLACEMENT INCOHERENT","Le lot "&amp;$E95&amp;" n'existe pas sur "&amp;$F95&amp;" (stock 0).",IF($X95="STOCK INSUFFISANT","Disponible avant envoi : "&amp;TEXT($S95,"#,##0.00")&amp;" kg. Ligne NON comptee en stock.",IF($X95="BLOQUE","Total des sorties ("&amp;TEXT($T95,"#,##0.00")&amp;" kg) superieur a la quantite envoyee.",IF($X95="EN COURS","Envoi enregistre, resultats non connus. A completer dans ST_RESULTATS.",IF($X95="A JUSTIFIER","Ecart de "&amp;TEXT($V95,"#,##0.00")&amp;" kg : renseigner JUSTIFICATION ECART (colonne L).",IF($P95="LOT NON REFERENCE","Creer d'abord la fiche du lot dans l'onglet LOTS.",""))))))))</f>
        <v/>
      </c>
      <c r="AA95" s="27" t="n">
        <f aca="false">IF(OR($Y95=0,$U95&gt;0),0,$G95)</f>
        <v>0</v>
      </c>
      <c r="AB95" s="26" t="n">
        <f aca="false">IF($R95=0,0,IF(OR($E95=R_LOT,COUNTIFS(RES_IDST,$A95,RES_LOTEFF,R_LOT)&gt;0),1,0))</f>
        <v>0</v>
      </c>
      <c r="AC95" s="26" t="str">
        <f aca="false">IF($AB95=0,"",COUNTIF($AB$5:$AB95,1))</f>
        <v/>
      </c>
    </row>
    <row r="96" customFormat="false" ht="15" hidden="false" customHeight="false" outlineLevel="0" collapsed="false">
      <c r="A96" s="26" t="str">
        <f aca="false">IF($D96="","","ST-"&amp;TEXT(ROW()-4,"000"))</f>
        <v/>
      </c>
      <c r="B96" s="25"/>
      <c r="C96" s="24"/>
      <c r="D96" s="24"/>
      <c r="E96" s="24"/>
      <c r="F96" s="24"/>
      <c r="G96" s="29"/>
      <c r="H96" s="24"/>
      <c r="I96" s="24"/>
      <c r="J96" s="24"/>
      <c r="K96" s="25"/>
      <c r="L96" s="24"/>
      <c r="M96" s="24"/>
      <c r="N96" s="24"/>
      <c r="O96" s="26" t="str">
        <f aca="false">IF($E96="","",IFERROR(INDEX(LOT_EXTE,MATCH($E96,LOT_KEY,0)),""))</f>
        <v/>
      </c>
      <c r="P96" s="26" t="str">
        <f aca="false">IF($E96="","",IFERROR(INDEX(LOT_PRODE,MATCH($E96,LOT_KEY,0)),"LOT NON REFERENCE"))</f>
        <v/>
      </c>
      <c r="Q96" s="26" t="str">
        <f aca="false">IF($E96="","",IFERROR(INDEX(LOT_FOURNE,MATCH($E96,LOT_KEY,0)),""))</f>
        <v/>
      </c>
      <c r="R96" s="28" t="n">
        <f aca="false">IF($D96="",0,IF(OR($B96="",$C96="",$E96="",NOT(ISNUMBER($G96)),$G96&lt;=0),0,IF($D96="STOCK EXISTANT",IF($F96="",0,1),1)))</f>
        <v>0</v>
      </c>
      <c r="S96" s="27" t="str">
        <f aca="false">IF(OR($R96=0,$D96&lt;&gt;"STOCK EXISTANT"),"",SUMIFS(MVT_BRUT,MVT_LOT,$E96,MVT_EMPL,$F96)+$G96)</f>
        <v/>
      </c>
      <c r="T96" s="27" t="str">
        <f aca="false">IF($A96="","",SUMIFS(RES_QTEVAL,RES_IDST,$A96))</f>
        <v/>
      </c>
      <c r="U96" s="28" t="str">
        <f aca="false">IF($A96="","",COUNTIFS(RES_IDST,$A96))</f>
        <v/>
      </c>
      <c r="V96" s="27" t="str">
        <f aca="false">IF(OR($A96="",$U96=0),"",$G96-$T96)</f>
        <v/>
      </c>
      <c r="W96" s="30" t="str">
        <f aca="false">IF(OR($A96="",$U96=0,NOT(ISNUMBER($G96)),$G96&lt;=0),"",$T96/$G96)</f>
        <v/>
      </c>
      <c r="X96" s="26" t="str">
        <f aca="false">IF($D96="","",IF($R96=0,"DONNEES MANQUANTES",IF($D96="STOCK EXISTANT",IF($S96&lt;=0,"EMPLACEMENT INCOHERENT",IF($G96&gt;$S96+0.001,"STOCK INSUFFISANT",IF($U96=0,"EN COURS",IF($T96&gt;$G96+0.001,"BLOQUE",IF(AND($V96&gt;P_TOL,$L96=""),"A JUSTIFIER","OK"))))),IF($U96=0,"EN COURS",IF($T96&gt;$G96+0.001,"BLOQUE",IF(AND($V96&gt;P_TOL,$L96=""),"A JUSTIFIER","OK"))))))</f>
        <v/>
      </c>
      <c r="Y96" s="28" t="n">
        <f aca="false">IF(OR($X96="",$X96="DONNEES MANQUANTES",$X96="EMPLACEMENT INCOHERENT",$X96="STOCK INSUFFISANT"),0,1)</f>
        <v>0</v>
      </c>
      <c r="Z96" s="26" t="str">
        <f aca="false">IF($D96="","",IF($R96=0,"A COMPLETER : "&amp;IF($B96="","DATE ENVOI; ","")&amp;IF($C96="","SOUS-TRAITANT; ","")&amp;IF($E96="","LOT SOURCE; ","")&amp;IF(OR(NOT(ISNUMBER($G96)),$G96&lt;=0),"QTE ENVOYEE &gt; 0; ","")&amp;IF(AND($D96="STOCK EXISTANT",$F96=""),"EMPL. SOURCE; ",""),IF($X96="EMPLACEMENT INCOHERENT","Le lot "&amp;$E96&amp;" n'existe pas sur "&amp;$F96&amp;" (stock 0).",IF($X96="STOCK INSUFFISANT","Disponible avant envoi : "&amp;TEXT($S96,"#,##0.00")&amp;" kg. Ligne NON comptee en stock.",IF($X96="BLOQUE","Total des sorties ("&amp;TEXT($T96,"#,##0.00")&amp;" kg) superieur a la quantite envoyee.",IF($X96="EN COURS","Envoi enregistre, resultats non connus. A completer dans ST_RESULTATS.",IF($X96="A JUSTIFIER","Ecart de "&amp;TEXT($V96,"#,##0.00")&amp;" kg : renseigner JUSTIFICATION ECART (colonne L).",IF($P96="LOT NON REFERENCE","Creer d'abord la fiche du lot dans l'onglet LOTS.",""))))))))</f>
        <v/>
      </c>
      <c r="AA96" s="27" t="n">
        <f aca="false">IF(OR($Y96=0,$U96&gt;0),0,$G96)</f>
        <v>0</v>
      </c>
      <c r="AB96" s="26" t="n">
        <f aca="false">IF($R96=0,0,IF(OR($E96=R_LOT,COUNTIFS(RES_IDST,$A96,RES_LOTEFF,R_LOT)&gt;0),1,0))</f>
        <v>0</v>
      </c>
      <c r="AC96" s="26" t="str">
        <f aca="false">IF($AB96=0,"",COUNTIF($AB$5:$AB96,1))</f>
        <v/>
      </c>
    </row>
    <row r="97" customFormat="false" ht="15" hidden="false" customHeight="false" outlineLevel="0" collapsed="false">
      <c r="A97" s="26" t="str">
        <f aca="false">IF($D97="","","ST-"&amp;TEXT(ROW()-4,"000"))</f>
        <v/>
      </c>
      <c r="B97" s="25"/>
      <c r="C97" s="24"/>
      <c r="D97" s="24"/>
      <c r="E97" s="24"/>
      <c r="F97" s="24"/>
      <c r="G97" s="29"/>
      <c r="H97" s="24"/>
      <c r="I97" s="24"/>
      <c r="J97" s="24"/>
      <c r="K97" s="25"/>
      <c r="L97" s="24"/>
      <c r="M97" s="24"/>
      <c r="N97" s="24"/>
      <c r="O97" s="26" t="str">
        <f aca="false">IF($E97="","",IFERROR(INDEX(LOT_EXTE,MATCH($E97,LOT_KEY,0)),""))</f>
        <v/>
      </c>
      <c r="P97" s="26" t="str">
        <f aca="false">IF($E97="","",IFERROR(INDEX(LOT_PRODE,MATCH($E97,LOT_KEY,0)),"LOT NON REFERENCE"))</f>
        <v/>
      </c>
      <c r="Q97" s="26" t="str">
        <f aca="false">IF($E97="","",IFERROR(INDEX(LOT_FOURNE,MATCH($E97,LOT_KEY,0)),""))</f>
        <v/>
      </c>
      <c r="R97" s="28" t="n">
        <f aca="false">IF($D97="",0,IF(OR($B97="",$C97="",$E97="",NOT(ISNUMBER($G97)),$G97&lt;=0),0,IF($D97="STOCK EXISTANT",IF($F97="",0,1),1)))</f>
        <v>0</v>
      </c>
      <c r="S97" s="27" t="str">
        <f aca="false">IF(OR($R97=0,$D97&lt;&gt;"STOCK EXISTANT"),"",SUMIFS(MVT_BRUT,MVT_LOT,$E97,MVT_EMPL,$F97)+$G97)</f>
        <v/>
      </c>
      <c r="T97" s="27" t="str">
        <f aca="false">IF($A97="","",SUMIFS(RES_QTEVAL,RES_IDST,$A97))</f>
        <v/>
      </c>
      <c r="U97" s="28" t="str">
        <f aca="false">IF($A97="","",COUNTIFS(RES_IDST,$A97))</f>
        <v/>
      </c>
      <c r="V97" s="27" t="str">
        <f aca="false">IF(OR($A97="",$U97=0),"",$G97-$T97)</f>
        <v/>
      </c>
      <c r="W97" s="30" t="str">
        <f aca="false">IF(OR($A97="",$U97=0,NOT(ISNUMBER($G97)),$G97&lt;=0),"",$T97/$G97)</f>
        <v/>
      </c>
      <c r="X97" s="26" t="str">
        <f aca="false">IF($D97="","",IF($R97=0,"DONNEES MANQUANTES",IF($D97="STOCK EXISTANT",IF($S97&lt;=0,"EMPLACEMENT INCOHERENT",IF($G97&gt;$S97+0.001,"STOCK INSUFFISANT",IF($U97=0,"EN COURS",IF($T97&gt;$G97+0.001,"BLOQUE",IF(AND($V97&gt;P_TOL,$L97=""),"A JUSTIFIER","OK"))))),IF($U97=0,"EN COURS",IF($T97&gt;$G97+0.001,"BLOQUE",IF(AND($V97&gt;P_TOL,$L97=""),"A JUSTIFIER","OK"))))))</f>
        <v/>
      </c>
      <c r="Y97" s="28" t="n">
        <f aca="false">IF(OR($X97="",$X97="DONNEES MANQUANTES",$X97="EMPLACEMENT INCOHERENT",$X97="STOCK INSUFFISANT"),0,1)</f>
        <v>0</v>
      </c>
      <c r="Z97" s="26" t="str">
        <f aca="false">IF($D97="","",IF($R97=0,"A COMPLETER : "&amp;IF($B97="","DATE ENVOI; ","")&amp;IF($C97="","SOUS-TRAITANT; ","")&amp;IF($E97="","LOT SOURCE; ","")&amp;IF(OR(NOT(ISNUMBER($G97)),$G97&lt;=0),"QTE ENVOYEE &gt; 0; ","")&amp;IF(AND($D97="STOCK EXISTANT",$F97=""),"EMPL. SOURCE; ",""),IF($X97="EMPLACEMENT INCOHERENT","Le lot "&amp;$E97&amp;" n'existe pas sur "&amp;$F97&amp;" (stock 0).",IF($X97="STOCK INSUFFISANT","Disponible avant envoi : "&amp;TEXT($S97,"#,##0.00")&amp;" kg. Ligne NON comptee en stock.",IF($X97="BLOQUE","Total des sorties ("&amp;TEXT($T97,"#,##0.00")&amp;" kg) superieur a la quantite envoyee.",IF($X97="EN COURS","Envoi enregistre, resultats non connus. A completer dans ST_RESULTATS.",IF($X97="A JUSTIFIER","Ecart de "&amp;TEXT($V97,"#,##0.00")&amp;" kg : renseigner JUSTIFICATION ECART (colonne L).",IF($P97="LOT NON REFERENCE","Creer d'abord la fiche du lot dans l'onglet LOTS.",""))))))))</f>
        <v/>
      </c>
      <c r="AA97" s="27" t="n">
        <f aca="false">IF(OR($Y97=0,$U97&gt;0),0,$G97)</f>
        <v>0</v>
      </c>
      <c r="AB97" s="26" t="n">
        <f aca="false">IF($R97=0,0,IF(OR($E97=R_LOT,COUNTIFS(RES_IDST,$A97,RES_LOTEFF,R_LOT)&gt;0),1,0))</f>
        <v>0</v>
      </c>
      <c r="AC97" s="26" t="str">
        <f aca="false">IF($AB97=0,"",COUNTIF($AB$5:$AB97,1))</f>
        <v/>
      </c>
    </row>
    <row r="98" customFormat="false" ht="15" hidden="false" customHeight="false" outlineLevel="0" collapsed="false">
      <c r="A98" s="26" t="str">
        <f aca="false">IF($D98="","","ST-"&amp;TEXT(ROW()-4,"000"))</f>
        <v/>
      </c>
      <c r="B98" s="25"/>
      <c r="C98" s="24"/>
      <c r="D98" s="24"/>
      <c r="E98" s="24"/>
      <c r="F98" s="24"/>
      <c r="G98" s="29"/>
      <c r="H98" s="24"/>
      <c r="I98" s="24"/>
      <c r="J98" s="24"/>
      <c r="K98" s="25"/>
      <c r="L98" s="24"/>
      <c r="M98" s="24"/>
      <c r="N98" s="24"/>
      <c r="O98" s="26" t="str">
        <f aca="false">IF($E98="","",IFERROR(INDEX(LOT_EXTE,MATCH($E98,LOT_KEY,0)),""))</f>
        <v/>
      </c>
      <c r="P98" s="26" t="str">
        <f aca="false">IF($E98="","",IFERROR(INDEX(LOT_PRODE,MATCH($E98,LOT_KEY,0)),"LOT NON REFERENCE"))</f>
        <v/>
      </c>
      <c r="Q98" s="26" t="str">
        <f aca="false">IF($E98="","",IFERROR(INDEX(LOT_FOURNE,MATCH($E98,LOT_KEY,0)),""))</f>
        <v/>
      </c>
      <c r="R98" s="28" t="n">
        <f aca="false">IF($D98="",0,IF(OR($B98="",$C98="",$E98="",NOT(ISNUMBER($G98)),$G98&lt;=0),0,IF($D98="STOCK EXISTANT",IF($F98="",0,1),1)))</f>
        <v>0</v>
      </c>
      <c r="S98" s="27" t="str">
        <f aca="false">IF(OR($R98=0,$D98&lt;&gt;"STOCK EXISTANT"),"",SUMIFS(MVT_BRUT,MVT_LOT,$E98,MVT_EMPL,$F98)+$G98)</f>
        <v/>
      </c>
      <c r="T98" s="27" t="str">
        <f aca="false">IF($A98="","",SUMIFS(RES_QTEVAL,RES_IDST,$A98))</f>
        <v/>
      </c>
      <c r="U98" s="28" t="str">
        <f aca="false">IF($A98="","",COUNTIFS(RES_IDST,$A98))</f>
        <v/>
      </c>
      <c r="V98" s="27" t="str">
        <f aca="false">IF(OR($A98="",$U98=0),"",$G98-$T98)</f>
        <v/>
      </c>
      <c r="W98" s="30" t="str">
        <f aca="false">IF(OR($A98="",$U98=0,NOT(ISNUMBER($G98)),$G98&lt;=0),"",$T98/$G98)</f>
        <v/>
      </c>
      <c r="X98" s="26" t="str">
        <f aca="false">IF($D98="","",IF($R98=0,"DONNEES MANQUANTES",IF($D98="STOCK EXISTANT",IF($S98&lt;=0,"EMPLACEMENT INCOHERENT",IF($G98&gt;$S98+0.001,"STOCK INSUFFISANT",IF($U98=0,"EN COURS",IF($T98&gt;$G98+0.001,"BLOQUE",IF(AND($V98&gt;P_TOL,$L98=""),"A JUSTIFIER","OK"))))),IF($U98=0,"EN COURS",IF($T98&gt;$G98+0.001,"BLOQUE",IF(AND($V98&gt;P_TOL,$L98=""),"A JUSTIFIER","OK"))))))</f>
        <v/>
      </c>
      <c r="Y98" s="28" t="n">
        <f aca="false">IF(OR($X98="",$X98="DONNEES MANQUANTES",$X98="EMPLACEMENT INCOHERENT",$X98="STOCK INSUFFISANT"),0,1)</f>
        <v>0</v>
      </c>
      <c r="Z98" s="26" t="str">
        <f aca="false">IF($D98="","",IF($R98=0,"A COMPLETER : "&amp;IF($B98="","DATE ENVOI; ","")&amp;IF($C98="","SOUS-TRAITANT; ","")&amp;IF($E98="","LOT SOURCE; ","")&amp;IF(OR(NOT(ISNUMBER($G98)),$G98&lt;=0),"QTE ENVOYEE &gt; 0; ","")&amp;IF(AND($D98="STOCK EXISTANT",$F98=""),"EMPL. SOURCE; ",""),IF($X98="EMPLACEMENT INCOHERENT","Le lot "&amp;$E98&amp;" n'existe pas sur "&amp;$F98&amp;" (stock 0).",IF($X98="STOCK INSUFFISANT","Disponible avant envoi : "&amp;TEXT($S98,"#,##0.00")&amp;" kg. Ligne NON comptee en stock.",IF($X98="BLOQUE","Total des sorties ("&amp;TEXT($T98,"#,##0.00")&amp;" kg) superieur a la quantite envoyee.",IF($X98="EN COURS","Envoi enregistre, resultats non connus. A completer dans ST_RESULTATS.",IF($X98="A JUSTIFIER","Ecart de "&amp;TEXT($V98,"#,##0.00")&amp;" kg : renseigner JUSTIFICATION ECART (colonne L).",IF($P98="LOT NON REFERENCE","Creer d'abord la fiche du lot dans l'onglet LOTS.",""))))))))</f>
        <v/>
      </c>
      <c r="AA98" s="27" t="n">
        <f aca="false">IF(OR($Y98=0,$U98&gt;0),0,$G98)</f>
        <v>0</v>
      </c>
      <c r="AB98" s="26" t="n">
        <f aca="false">IF($R98=0,0,IF(OR($E98=R_LOT,COUNTIFS(RES_IDST,$A98,RES_LOTEFF,R_LOT)&gt;0),1,0))</f>
        <v>0</v>
      </c>
      <c r="AC98" s="26" t="str">
        <f aca="false">IF($AB98=0,"",COUNTIF($AB$5:$AB98,1))</f>
        <v/>
      </c>
    </row>
    <row r="99" customFormat="false" ht="15" hidden="false" customHeight="false" outlineLevel="0" collapsed="false">
      <c r="A99" s="26" t="str">
        <f aca="false">IF($D99="","","ST-"&amp;TEXT(ROW()-4,"000"))</f>
        <v/>
      </c>
      <c r="B99" s="25"/>
      <c r="C99" s="24"/>
      <c r="D99" s="24"/>
      <c r="E99" s="24"/>
      <c r="F99" s="24"/>
      <c r="G99" s="29"/>
      <c r="H99" s="24"/>
      <c r="I99" s="24"/>
      <c r="J99" s="24"/>
      <c r="K99" s="25"/>
      <c r="L99" s="24"/>
      <c r="M99" s="24"/>
      <c r="N99" s="24"/>
      <c r="O99" s="26" t="str">
        <f aca="false">IF($E99="","",IFERROR(INDEX(LOT_EXTE,MATCH($E99,LOT_KEY,0)),""))</f>
        <v/>
      </c>
      <c r="P99" s="26" t="str">
        <f aca="false">IF($E99="","",IFERROR(INDEX(LOT_PRODE,MATCH($E99,LOT_KEY,0)),"LOT NON REFERENCE"))</f>
        <v/>
      </c>
      <c r="Q99" s="26" t="str">
        <f aca="false">IF($E99="","",IFERROR(INDEX(LOT_FOURNE,MATCH($E99,LOT_KEY,0)),""))</f>
        <v/>
      </c>
      <c r="R99" s="28" t="n">
        <f aca="false">IF($D99="",0,IF(OR($B99="",$C99="",$E99="",NOT(ISNUMBER($G99)),$G99&lt;=0),0,IF($D99="STOCK EXISTANT",IF($F99="",0,1),1)))</f>
        <v>0</v>
      </c>
      <c r="S99" s="27" t="str">
        <f aca="false">IF(OR($R99=0,$D99&lt;&gt;"STOCK EXISTANT"),"",SUMIFS(MVT_BRUT,MVT_LOT,$E99,MVT_EMPL,$F99)+$G99)</f>
        <v/>
      </c>
      <c r="T99" s="27" t="str">
        <f aca="false">IF($A99="","",SUMIFS(RES_QTEVAL,RES_IDST,$A99))</f>
        <v/>
      </c>
      <c r="U99" s="28" t="str">
        <f aca="false">IF($A99="","",COUNTIFS(RES_IDST,$A99))</f>
        <v/>
      </c>
      <c r="V99" s="27" t="str">
        <f aca="false">IF(OR($A99="",$U99=0),"",$G99-$T99)</f>
        <v/>
      </c>
      <c r="W99" s="30" t="str">
        <f aca="false">IF(OR($A99="",$U99=0,NOT(ISNUMBER($G99)),$G99&lt;=0),"",$T99/$G99)</f>
        <v/>
      </c>
      <c r="X99" s="26" t="str">
        <f aca="false">IF($D99="","",IF($R99=0,"DONNEES MANQUANTES",IF($D99="STOCK EXISTANT",IF($S99&lt;=0,"EMPLACEMENT INCOHERENT",IF($G99&gt;$S99+0.001,"STOCK INSUFFISANT",IF($U99=0,"EN COURS",IF($T99&gt;$G99+0.001,"BLOQUE",IF(AND($V99&gt;P_TOL,$L99=""),"A JUSTIFIER","OK"))))),IF($U99=0,"EN COURS",IF($T99&gt;$G99+0.001,"BLOQUE",IF(AND($V99&gt;P_TOL,$L99=""),"A JUSTIFIER","OK"))))))</f>
        <v/>
      </c>
      <c r="Y99" s="28" t="n">
        <f aca="false">IF(OR($X99="",$X99="DONNEES MANQUANTES",$X99="EMPLACEMENT INCOHERENT",$X99="STOCK INSUFFISANT"),0,1)</f>
        <v>0</v>
      </c>
      <c r="Z99" s="26" t="str">
        <f aca="false">IF($D99="","",IF($R99=0,"A COMPLETER : "&amp;IF($B99="","DATE ENVOI; ","")&amp;IF($C99="","SOUS-TRAITANT; ","")&amp;IF($E99="","LOT SOURCE; ","")&amp;IF(OR(NOT(ISNUMBER($G99)),$G99&lt;=0),"QTE ENVOYEE &gt; 0; ","")&amp;IF(AND($D99="STOCK EXISTANT",$F99=""),"EMPL. SOURCE; ",""),IF($X99="EMPLACEMENT INCOHERENT","Le lot "&amp;$E99&amp;" n'existe pas sur "&amp;$F99&amp;" (stock 0).",IF($X99="STOCK INSUFFISANT","Disponible avant envoi : "&amp;TEXT($S99,"#,##0.00")&amp;" kg. Ligne NON comptee en stock.",IF($X99="BLOQUE","Total des sorties ("&amp;TEXT($T99,"#,##0.00")&amp;" kg) superieur a la quantite envoyee.",IF($X99="EN COURS","Envoi enregistre, resultats non connus. A completer dans ST_RESULTATS.",IF($X99="A JUSTIFIER","Ecart de "&amp;TEXT($V99,"#,##0.00")&amp;" kg : renseigner JUSTIFICATION ECART (colonne L).",IF($P99="LOT NON REFERENCE","Creer d'abord la fiche du lot dans l'onglet LOTS.",""))))))))</f>
        <v/>
      </c>
      <c r="AA99" s="27" t="n">
        <f aca="false">IF(OR($Y99=0,$U99&gt;0),0,$G99)</f>
        <v>0</v>
      </c>
      <c r="AB99" s="26" t="n">
        <f aca="false">IF($R99=0,0,IF(OR($E99=R_LOT,COUNTIFS(RES_IDST,$A99,RES_LOTEFF,R_LOT)&gt;0),1,0))</f>
        <v>0</v>
      </c>
      <c r="AC99" s="26" t="str">
        <f aca="false">IF($AB99=0,"",COUNTIF($AB$5:$AB99,1))</f>
        <v/>
      </c>
    </row>
    <row r="100" customFormat="false" ht="15" hidden="false" customHeight="false" outlineLevel="0" collapsed="false">
      <c r="A100" s="26" t="str">
        <f aca="false">IF($D100="","","ST-"&amp;TEXT(ROW()-4,"000"))</f>
        <v/>
      </c>
      <c r="B100" s="25"/>
      <c r="C100" s="24"/>
      <c r="D100" s="24"/>
      <c r="E100" s="24"/>
      <c r="F100" s="24"/>
      <c r="G100" s="29"/>
      <c r="H100" s="24"/>
      <c r="I100" s="24"/>
      <c r="J100" s="24"/>
      <c r="K100" s="25"/>
      <c r="L100" s="24"/>
      <c r="M100" s="24"/>
      <c r="N100" s="24"/>
      <c r="O100" s="26" t="str">
        <f aca="false">IF($E100="","",IFERROR(INDEX(LOT_EXTE,MATCH($E100,LOT_KEY,0)),""))</f>
        <v/>
      </c>
      <c r="P100" s="26" t="str">
        <f aca="false">IF($E100="","",IFERROR(INDEX(LOT_PRODE,MATCH($E100,LOT_KEY,0)),"LOT NON REFERENCE"))</f>
        <v/>
      </c>
      <c r="Q100" s="26" t="str">
        <f aca="false">IF($E100="","",IFERROR(INDEX(LOT_FOURNE,MATCH($E100,LOT_KEY,0)),""))</f>
        <v/>
      </c>
      <c r="R100" s="28" t="n">
        <f aca="false">IF($D100="",0,IF(OR($B100="",$C100="",$E100="",NOT(ISNUMBER($G100)),$G100&lt;=0),0,IF($D100="STOCK EXISTANT",IF($F100="",0,1),1)))</f>
        <v>0</v>
      </c>
      <c r="S100" s="27" t="str">
        <f aca="false">IF(OR($R100=0,$D100&lt;&gt;"STOCK EXISTANT"),"",SUMIFS(MVT_BRUT,MVT_LOT,$E100,MVT_EMPL,$F100)+$G100)</f>
        <v/>
      </c>
      <c r="T100" s="27" t="str">
        <f aca="false">IF($A100="","",SUMIFS(RES_QTEVAL,RES_IDST,$A100))</f>
        <v/>
      </c>
      <c r="U100" s="28" t="str">
        <f aca="false">IF($A100="","",COUNTIFS(RES_IDST,$A100))</f>
        <v/>
      </c>
      <c r="V100" s="27" t="str">
        <f aca="false">IF(OR($A100="",$U100=0),"",$G100-$T100)</f>
        <v/>
      </c>
      <c r="W100" s="30" t="str">
        <f aca="false">IF(OR($A100="",$U100=0,NOT(ISNUMBER($G100)),$G100&lt;=0),"",$T100/$G100)</f>
        <v/>
      </c>
      <c r="X100" s="26" t="str">
        <f aca="false">IF($D100="","",IF($R100=0,"DONNEES MANQUANTES",IF($D100="STOCK EXISTANT",IF($S100&lt;=0,"EMPLACEMENT INCOHERENT",IF($G100&gt;$S100+0.001,"STOCK INSUFFISANT",IF($U100=0,"EN COURS",IF($T100&gt;$G100+0.001,"BLOQUE",IF(AND($V100&gt;P_TOL,$L100=""),"A JUSTIFIER","OK"))))),IF($U100=0,"EN COURS",IF($T100&gt;$G100+0.001,"BLOQUE",IF(AND($V100&gt;P_TOL,$L100=""),"A JUSTIFIER","OK"))))))</f>
        <v/>
      </c>
      <c r="Y100" s="28" t="n">
        <f aca="false">IF(OR($X100="",$X100="DONNEES MANQUANTES",$X100="EMPLACEMENT INCOHERENT",$X100="STOCK INSUFFISANT"),0,1)</f>
        <v>0</v>
      </c>
      <c r="Z100" s="26" t="str">
        <f aca="false">IF($D100="","",IF($R100=0,"A COMPLETER : "&amp;IF($B100="","DATE ENVOI; ","")&amp;IF($C100="","SOUS-TRAITANT; ","")&amp;IF($E100="","LOT SOURCE; ","")&amp;IF(OR(NOT(ISNUMBER($G100)),$G100&lt;=0),"QTE ENVOYEE &gt; 0; ","")&amp;IF(AND($D100="STOCK EXISTANT",$F100=""),"EMPL. SOURCE; ",""),IF($X100="EMPLACEMENT INCOHERENT","Le lot "&amp;$E100&amp;" n'existe pas sur "&amp;$F100&amp;" (stock 0).",IF($X100="STOCK INSUFFISANT","Disponible avant envoi : "&amp;TEXT($S100,"#,##0.00")&amp;" kg. Ligne NON comptee en stock.",IF($X100="BLOQUE","Total des sorties ("&amp;TEXT($T100,"#,##0.00")&amp;" kg) superieur a la quantite envoyee.",IF($X100="EN COURS","Envoi enregistre, resultats non connus. A completer dans ST_RESULTATS.",IF($X100="A JUSTIFIER","Ecart de "&amp;TEXT($V100,"#,##0.00")&amp;" kg : renseigner JUSTIFICATION ECART (colonne L).",IF($P100="LOT NON REFERENCE","Creer d'abord la fiche du lot dans l'onglet LOTS.",""))))))))</f>
        <v/>
      </c>
      <c r="AA100" s="27" t="n">
        <f aca="false">IF(OR($Y100=0,$U100&gt;0),0,$G100)</f>
        <v>0</v>
      </c>
      <c r="AB100" s="26" t="n">
        <f aca="false">IF($R100=0,0,IF(OR($E100=R_LOT,COUNTIFS(RES_IDST,$A100,RES_LOTEFF,R_LOT)&gt;0),1,0))</f>
        <v>0</v>
      </c>
      <c r="AC100" s="26" t="str">
        <f aca="false">IF($AB100=0,"",COUNTIF($AB$5:$AB100,1))</f>
        <v/>
      </c>
    </row>
    <row r="101" customFormat="false" ht="15" hidden="false" customHeight="false" outlineLevel="0" collapsed="false">
      <c r="A101" s="26" t="str">
        <f aca="false">IF($D101="","","ST-"&amp;TEXT(ROW()-4,"000"))</f>
        <v/>
      </c>
      <c r="B101" s="25"/>
      <c r="C101" s="24"/>
      <c r="D101" s="24"/>
      <c r="E101" s="24"/>
      <c r="F101" s="24"/>
      <c r="G101" s="29"/>
      <c r="H101" s="24"/>
      <c r="I101" s="24"/>
      <c r="J101" s="24"/>
      <c r="K101" s="25"/>
      <c r="L101" s="24"/>
      <c r="M101" s="24"/>
      <c r="N101" s="24"/>
      <c r="O101" s="26" t="str">
        <f aca="false">IF($E101="","",IFERROR(INDEX(LOT_EXTE,MATCH($E101,LOT_KEY,0)),""))</f>
        <v/>
      </c>
      <c r="P101" s="26" t="str">
        <f aca="false">IF($E101="","",IFERROR(INDEX(LOT_PRODE,MATCH($E101,LOT_KEY,0)),"LOT NON REFERENCE"))</f>
        <v/>
      </c>
      <c r="Q101" s="26" t="str">
        <f aca="false">IF($E101="","",IFERROR(INDEX(LOT_FOURNE,MATCH($E101,LOT_KEY,0)),""))</f>
        <v/>
      </c>
      <c r="R101" s="28" t="n">
        <f aca="false">IF($D101="",0,IF(OR($B101="",$C101="",$E101="",NOT(ISNUMBER($G101)),$G101&lt;=0),0,IF($D101="STOCK EXISTANT",IF($F101="",0,1),1)))</f>
        <v>0</v>
      </c>
      <c r="S101" s="27" t="str">
        <f aca="false">IF(OR($R101=0,$D101&lt;&gt;"STOCK EXISTANT"),"",SUMIFS(MVT_BRUT,MVT_LOT,$E101,MVT_EMPL,$F101)+$G101)</f>
        <v/>
      </c>
      <c r="T101" s="27" t="str">
        <f aca="false">IF($A101="","",SUMIFS(RES_QTEVAL,RES_IDST,$A101))</f>
        <v/>
      </c>
      <c r="U101" s="28" t="str">
        <f aca="false">IF($A101="","",COUNTIFS(RES_IDST,$A101))</f>
        <v/>
      </c>
      <c r="V101" s="27" t="str">
        <f aca="false">IF(OR($A101="",$U101=0),"",$G101-$T101)</f>
        <v/>
      </c>
      <c r="W101" s="30" t="str">
        <f aca="false">IF(OR($A101="",$U101=0,NOT(ISNUMBER($G101)),$G101&lt;=0),"",$T101/$G101)</f>
        <v/>
      </c>
      <c r="X101" s="26" t="str">
        <f aca="false">IF($D101="","",IF($R101=0,"DONNEES MANQUANTES",IF($D101="STOCK EXISTANT",IF($S101&lt;=0,"EMPLACEMENT INCOHERENT",IF($G101&gt;$S101+0.001,"STOCK INSUFFISANT",IF($U101=0,"EN COURS",IF($T101&gt;$G101+0.001,"BLOQUE",IF(AND($V101&gt;P_TOL,$L101=""),"A JUSTIFIER","OK"))))),IF($U101=0,"EN COURS",IF($T101&gt;$G101+0.001,"BLOQUE",IF(AND($V101&gt;P_TOL,$L101=""),"A JUSTIFIER","OK"))))))</f>
        <v/>
      </c>
      <c r="Y101" s="28" t="n">
        <f aca="false">IF(OR($X101="",$X101="DONNEES MANQUANTES",$X101="EMPLACEMENT INCOHERENT",$X101="STOCK INSUFFISANT"),0,1)</f>
        <v>0</v>
      </c>
      <c r="Z101" s="26" t="str">
        <f aca="false">IF($D101="","",IF($R101=0,"A COMPLETER : "&amp;IF($B101="","DATE ENVOI; ","")&amp;IF($C101="","SOUS-TRAITANT; ","")&amp;IF($E101="","LOT SOURCE; ","")&amp;IF(OR(NOT(ISNUMBER($G101)),$G101&lt;=0),"QTE ENVOYEE &gt; 0; ","")&amp;IF(AND($D101="STOCK EXISTANT",$F101=""),"EMPL. SOURCE; ",""),IF($X101="EMPLACEMENT INCOHERENT","Le lot "&amp;$E101&amp;" n'existe pas sur "&amp;$F101&amp;" (stock 0).",IF($X101="STOCK INSUFFISANT","Disponible avant envoi : "&amp;TEXT($S101,"#,##0.00")&amp;" kg. Ligne NON comptee en stock.",IF($X101="BLOQUE","Total des sorties ("&amp;TEXT($T101,"#,##0.00")&amp;" kg) superieur a la quantite envoyee.",IF($X101="EN COURS","Envoi enregistre, resultats non connus. A completer dans ST_RESULTATS.",IF($X101="A JUSTIFIER","Ecart de "&amp;TEXT($V101,"#,##0.00")&amp;" kg : renseigner JUSTIFICATION ECART (colonne L).",IF($P101="LOT NON REFERENCE","Creer d'abord la fiche du lot dans l'onglet LOTS.",""))))))))</f>
        <v/>
      </c>
      <c r="AA101" s="27" t="n">
        <f aca="false">IF(OR($Y101=0,$U101&gt;0),0,$G101)</f>
        <v>0</v>
      </c>
      <c r="AB101" s="26" t="n">
        <f aca="false">IF($R101=0,0,IF(OR($E101=R_LOT,COUNTIFS(RES_IDST,$A101,RES_LOTEFF,R_LOT)&gt;0),1,0))</f>
        <v>0</v>
      </c>
      <c r="AC101" s="26" t="str">
        <f aca="false">IF($AB101=0,"",COUNTIF($AB$5:$AB101,1))</f>
        <v/>
      </c>
    </row>
    <row r="102" customFormat="false" ht="15" hidden="false" customHeight="false" outlineLevel="0" collapsed="false">
      <c r="A102" s="26" t="str">
        <f aca="false">IF($D102="","","ST-"&amp;TEXT(ROW()-4,"000"))</f>
        <v/>
      </c>
      <c r="B102" s="25"/>
      <c r="C102" s="24"/>
      <c r="D102" s="24"/>
      <c r="E102" s="24"/>
      <c r="F102" s="24"/>
      <c r="G102" s="29"/>
      <c r="H102" s="24"/>
      <c r="I102" s="24"/>
      <c r="J102" s="24"/>
      <c r="K102" s="25"/>
      <c r="L102" s="24"/>
      <c r="M102" s="24"/>
      <c r="N102" s="24"/>
      <c r="O102" s="26" t="str">
        <f aca="false">IF($E102="","",IFERROR(INDEX(LOT_EXTE,MATCH($E102,LOT_KEY,0)),""))</f>
        <v/>
      </c>
      <c r="P102" s="26" t="str">
        <f aca="false">IF($E102="","",IFERROR(INDEX(LOT_PRODE,MATCH($E102,LOT_KEY,0)),"LOT NON REFERENCE"))</f>
        <v/>
      </c>
      <c r="Q102" s="26" t="str">
        <f aca="false">IF($E102="","",IFERROR(INDEX(LOT_FOURNE,MATCH($E102,LOT_KEY,0)),""))</f>
        <v/>
      </c>
      <c r="R102" s="28" t="n">
        <f aca="false">IF($D102="",0,IF(OR($B102="",$C102="",$E102="",NOT(ISNUMBER($G102)),$G102&lt;=0),0,IF($D102="STOCK EXISTANT",IF($F102="",0,1),1)))</f>
        <v>0</v>
      </c>
      <c r="S102" s="27" t="str">
        <f aca="false">IF(OR($R102=0,$D102&lt;&gt;"STOCK EXISTANT"),"",SUMIFS(MVT_BRUT,MVT_LOT,$E102,MVT_EMPL,$F102)+$G102)</f>
        <v/>
      </c>
      <c r="T102" s="27" t="str">
        <f aca="false">IF($A102="","",SUMIFS(RES_QTEVAL,RES_IDST,$A102))</f>
        <v/>
      </c>
      <c r="U102" s="28" t="str">
        <f aca="false">IF($A102="","",COUNTIFS(RES_IDST,$A102))</f>
        <v/>
      </c>
      <c r="V102" s="27" t="str">
        <f aca="false">IF(OR($A102="",$U102=0),"",$G102-$T102)</f>
        <v/>
      </c>
      <c r="W102" s="30" t="str">
        <f aca="false">IF(OR($A102="",$U102=0,NOT(ISNUMBER($G102)),$G102&lt;=0),"",$T102/$G102)</f>
        <v/>
      </c>
      <c r="X102" s="26" t="str">
        <f aca="false">IF($D102="","",IF($R102=0,"DONNEES MANQUANTES",IF($D102="STOCK EXISTANT",IF($S102&lt;=0,"EMPLACEMENT INCOHERENT",IF($G102&gt;$S102+0.001,"STOCK INSUFFISANT",IF($U102=0,"EN COURS",IF($T102&gt;$G102+0.001,"BLOQUE",IF(AND($V102&gt;P_TOL,$L102=""),"A JUSTIFIER","OK"))))),IF($U102=0,"EN COURS",IF($T102&gt;$G102+0.001,"BLOQUE",IF(AND($V102&gt;P_TOL,$L102=""),"A JUSTIFIER","OK"))))))</f>
        <v/>
      </c>
      <c r="Y102" s="28" t="n">
        <f aca="false">IF(OR($X102="",$X102="DONNEES MANQUANTES",$X102="EMPLACEMENT INCOHERENT",$X102="STOCK INSUFFISANT"),0,1)</f>
        <v>0</v>
      </c>
      <c r="Z102" s="26" t="str">
        <f aca="false">IF($D102="","",IF($R102=0,"A COMPLETER : "&amp;IF($B102="","DATE ENVOI; ","")&amp;IF($C102="","SOUS-TRAITANT; ","")&amp;IF($E102="","LOT SOURCE; ","")&amp;IF(OR(NOT(ISNUMBER($G102)),$G102&lt;=0),"QTE ENVOYEE &gt; 0; ","")&amp;IF(AND($D102="STOCK EXISTANT",$F102=""),"EMPL. SOURCE; ",""),IF($X102="EMPLACEMENT INCOHERENT","Le lot "&amp;$E102&amp;" n'existe pas sur "&amp;$F102&amp;" (stock 0).",IF($X102="STOCK INSUFFISANT","Disponible avant envoi : "&amp;TEXT($S102,"#,##0.00")&amp;" kg. Ligne NON comptee en stock.",IF($X102="BLOQUE","Total des sorties ("&amp;TEXT($T102,"#,##0.00")&amp;" kg) superieur a la quantite envoyee.",IF($X102="EN COURS","Envoi enregistre, resultats non connus. A completer dans ST_RESULTATS.",IF($X102="A JUSTIFIER","Ecart de "&amp;TEXT($V102,"#,##0.00")&amp;" kg : renseigner JUSTIFICATION ECART (colonne L).",IF($P102="LOT NON REFERENCE","Creer d'abord la fiche du lot dans l'onglet LOTS.",""))))))))</f>
        <v/>
      </c>
      <c r="AA102" s="27" t="n">
        <f aca="false">IF(OR($Y102=0,$U102&gt;0),0,$G102)</f>
        <v>0</v>
      </c>
      <c r="AB102" s="26" t="n">
        <f aca="false">IF($R102=0,0,IF(OR($E102=R_LOT,COUNTIFS(RES_IDST,$A102,RES_LOTEFF,R_LOT)&gt;0),1,0))</f>
        <v>0</v>
      </c>
      <c r="AC102" s="26" t="str">
        <f aca="false">IF($AB102=0,"",COUNTIF($AB$5:$AB102,1))</f>
        <v/>
      </c>
    </row>
    <row r="103" customFormat="false" ht="15" hidden="false" customHeight="false" outlineLevel="0" collapsed="false">
      <c r="A103" s="26" t="str">
        <f aca="false">IF($D103="","","ST-"&amp;TEXT(ROW()-4,"000"))</f>
        <v/>
      </c>
      <c r="B103" s="25"/>
      <c r="C103" s="24"/>
      <c r="D103" s="24"/>
      <c r="E103" s="24"/>
      <c r="F103" s="24"/>
      <c r="G103" s="29"/>
      <c r="H103" s="24"/>
      <c r="I103" s="24"/>
      <c r="J103" s="24"/>
      <c r="K103" s="25"/>
      <c r="L103" s="24"/>
      <c r="M103" s="24"/>
      <c r="N103" s="24"/>
      <c r="O103" s="26" t="str">
        <f aca="false">IF($E103="","",IFERROR(INDEX(LOT_EXTE,MATCH($E103,LOT_KEY,0)),""))</f>
        <v/>
      </c>
      <c r="P103" s="26" t="str">
        <f aca="false">IF($E103="","",IFERROR(INDEX(LOT_PRODE,MATCH($E103,LOT_KEY,0)),"LOT NON REFERENCE"))</f>
        <v/>
      </c>
      <c r="Q103" s="26" t="str">
        <f aca="false">IF($E103="","",IFERROR(INDEX(LOT_FOURNE,MATCH($E103,LOT_KEY,0)),""))</f>
        <v/>
      </c>
      <c r="R103" s="28" t="n">
        <f aca="false">IF($D103="",0,IF(OR($B103="",$C103="",$E103="",NOT(ISNUMBER($G103)),$G103&lt;=0),0,IF($D103="STOCK EXISTANT",IF($F103="",0,1),1)))</f>
        <v>0</v>
      </c>
      <c r="S103" s="27" t="str">
        <f aca="false">IF(OR($R103=0,$D103&lt;&gt;"STOCK EXISTANT"),"",SUMIFS(MVT_BRUT,MVT_LOT,$E103,MVT_EMPL,$F103)+$G103)</f>
        <v/>
      </c>
      <c r="T103" s="27" t="str">
        <f aca="false">IF($A103="","",SUMIFS(RES_QTEVAL,RES_IDST,$A103))</f>
        <v/>
      </c>
      <c r="U103" s="28" t="str">
        <f aca="false">IF($A103="","",COUNTIFS(RES_IDST,$A103))</f>
        <v/>
      </c>
      <c r="V103" s="27" t="str">
        <f aca="false">IF(OR($A103="",$U103=0),"",$G103-$T103)</f>
        <v/>
      </c>
      <c r="W103" s="30" t="str">
        <f aca="false">IF(OR($A103="",$U103=0,NOT(ISNUMBER($G103)),$G103&lt;=0),"",$T103/$G103)</f>
        <v/>
      </c>
      <c r="X103" s="26" t="str">
        <f aca="false">IF($D103="","",IF($R103=0,"DONNEES MANQUANTES",IF($D103="STOCK EXISTANT",IF($S103&lt;=0,"EMPLACEMENT INCOHERENT",IF($G103&gt;$S103+0.001,"STOCK INSUFFISANT",IF($U103=0,"EN COURS",IF($T103&gt;$G103+0.001,"BLOQUE",IF(AND($V103&gt;P_TOL,$L103=""),"A JUSTIFIER","OK"))))),IF($U103=0,"EN COURS",IF($T103&gt;$G103+0.001,"BLOQUE",IF(AND($V103&gt;P_TOL,$L103=""),"A JUSTIFIER","OK"))))))</f>
        <v/>
      </c>
      <c r="Y103" s="28" t="n">
        <f aca="false">IF(OR($X103="",$X103="DONNEES MANQUANTES",$X103="EMPLACEMENT INCOHERENT",$X103="STOCK INSUFFISANT"),0,1)</f>
        <v>0</v>
      </c>
      <c r="Z103" s="26" t="str">
        <f aca="false">IF($D103="","",IF($R103=0,"A COMPLETER : "&amp;IF($B103="","DATE ENVOI; ","")&amp;IF($C103="","SOUS-TRAITANT; ","")&amp;IF($E103="","LOT SOURCE; ","")&amp;IF(OR(NOT(ISNUMBER($G103)),$G103&lt;=0),"QTE ENVOYEE &gt; 0; ","")&amp;IF(AND($D103="STOCK EXISTANT",$F103=""),"EMPL. SOURCE; ",""),IF($X103="EMPLACEMENT INCOHERENT","Le lot "&amp;$E103&amp;" n'existe pas sur "&amp;$F103&amp;" (stock 0).",IF($X103="STOCK INSUFFISANT","Disponible avant envoi : "&amp;TEXT($S103,"#,##0.00")&amp;" kg. Ligne NON comptee en stock.",IF($X103="BLOQUE","Total des sorties ("&amp;TEXT($T103,"#,##0.00")&amp;" kg) superieur a la quantite envoyee.",IF($X103="EN COURS","Envoi enregistre, resultats non connus. A completer dans ST_RESULTATS.",IF($X103="A JUSTIFIER","Ecart de "&amp;TEXT($V103,"#,##0.00")&amp;" kg : renseigner JUSTIFICATION ECART (colonne L).",IF($P103="LOT NON REFERENCE","Creer d'abord la fiche du lot dans l'onglet LOTS.",""))))))))</f>
        <v/>
      </c>
      <c r="AA103" s="27" t="n">
        <f aca="false">IF(OR($Y103=0,$U103&gt;0),0,$G103)</f>
        <v>0</v>
      </c>
      <c r="AB103" s="26" t="n">
        <f aca="false">IF($R103=0,0,IF(OR($E103=R_LOT,COUNTIFS(RES_IDST,$A103,RES_LOTEFF,R_LOT)&gt;0),1,0))</f>
        <v>0</v>
      </c>
      <c r="AC103" s="26" t="str">
        <f aca="false">IF($AB103=0,"",COUNTIF($AB$5:$AB103,1))</f>
        <v/>
      </c>
    </row>
    <row r="104" customFormat="false" ht="15" hidden="false" customHeight="false" outlineLevel="0" collapsed="false">
      <c r="A104" s="26" t="str">
        <f aca="false">IF($D104="","","ST-"&amp;TEXT(ROW()-4,"000"))</f>
        <v/>
      </c>
      <c r="B104" s="25"/>
      <c r="C104" s="24"/>
      <c r="D104" s="24"/>
      <c r="E104" s="24"/>
      <c r="F104" s="24"/>
      <c r="G104" s="29"/>
      <c r="H104" s="24"/>
      <c r="I104" s="24"/>
      <c r="J104" s="24"/>
      <c r="K104" s="25"/>
      <c r="L104" s="24"/>
      <c r="M104" s="24"/>
      <c r="N104" s="24"/>
      <c r="O104" s="26" t="str">
        <f aca="false">IF($E104="","",IFERROR(INDEX(LOT_EXTE,MATCH($E104,LOT_KEY,0)),""))</f>
        <v/>
      </c>
      <c r="P104" s="26" t="str">
        <f aca="false">IF($E104="","",IFERROR(INDEX(LOT_PRODE,MATCH($E104,LOT_KEY,0)),"LOT NON REFERENCE"))</f>
        <v/>
      </c>
      <c r="Q104" s="26" t="str">
        <f aca="false">IF($E104="","",IFERROR(INDEX(LOT_FOURNE,MATCH($E104,LOT_KEY,0)),""))</f>
        <v/>
      </c>
      <c r="R104" s="28" t="n">
        <f aca="false">IF($D104="",0,IF(OR($B104="",$C104="",$E104="",NOT(ISNUMBER($G104)),$G104&lt;=0),0,IF($D104="STOCK EXISTANT",IF($F104="",0,1),1)))</f>
        <v>0</v>
      </c>
      <c r="S104" s="27" t="str">
        <f aca="false">IF(OR($R104=0,$D104&lt;&gt;"STOCK EXISTANT"),"",SUMIFS(MVT_BRUT,MVT_LOT,$E104,MVT_EMPL,$F104)+$G104)</f>
        <v/>
      </c>
      <c r="T104" s="27" t="str">
        <f aca="false">IF($A104="","",SUMIFS(RES_QTEVAL,RES_IDST,$A104))</f>
        <v/>
      </c>
      <c r="U104" s="28" t="str">
        <f aca="false">IF($A104="","",COUNTIFS(RES_IDST,$A104))</f>
        <v/>
      </c>
      <c r="V104" s="27" t="str">
        <f aca="false">IF(OR($A104="",$U104=0),"",$G104-$T104)</f>
        <v/>
      </c>
      <c r="W104" s="30" t="str">
        <f aca="false">IF(OR($A104="",$U104=0,NOT(ISNUMBER($G104)),$G104&lt;=0),"",$T104/$G104)</f>
        <v/>
      </c>
      <c r="X104" s="26" t="str">
        <f aca="false">IF($D104="","",IF($R104=0,"DONNEES MANQUANTES",IF($D104="STOCK EXISTANT",IF($S104&lt;=0,"EMPLACEMENT INCOHERENT",IF($G104&gt;$S104+0.001,"STOCK INSUFFISANT",IF($U104=0,"EN COURS",IF($T104&gt;$G104+0.001,"BLOQUE",IF(AND($V104&gt;P_TOL,$L104=""),"A JUSTIFIER","OK"))))),IF($U104=0,"EN COURS",IF($T104&gt;$G104+0.001,"BLOQUE",IF(AND($V104&gt;P_TOL,$L104=""),"A JUSTIFIER","OK"))))))</f>
        <v/>
      </c>
      <c r="Y104" s="28" t="n">
        <f aca="false">IF(OR($X104="",$X104="DONNEES MANQUANTES",$X104="EMPLACEMENT INCOHERENT",$X104="STOCK INSUFFISANT"),0,1)</f>
        <v>0</v>
      </c>
      <c r="Z104" s="26" t="str">
        <f aca="false">IF($D104="","",IF($R104=0,"A COMPLETER : "&amp;IF($B104="","DATE ENVOI; ","")&amp;IF($C104="","SOUS-TRAITANT; ","")&amp;IF($E104="","LOT SOURCE; ","")&amp;IF(OR(NOT(ISNUMBER($G104)),$G104&lt;=0),"QTE ENVOYEE &gt; 0; ","")&amp;IF(AND($D104="STOCK EXISTANT",$F104=""),"EMPL. SOURCE; ",""),IF($X104="EMPLACEMENT INCOHERENT","Le lot "&amp;$E104&amp;" n'existe pas sur "&amp;$F104&amp;" (stock 0).",IF($X104="STOCK INSUFFISANT","Disponible avant envoi : "&amp;TEXT($S104,"#,##0.00")&amp;" kg. Ligne NON comptee en stock.",IF($X104="BLOQUE","Total des sorties ("&amp;TEXT($T104,"#,##0.00")&amp;" kg) superieur a la quantite envoyee.",IF($X104="EN COURS","Envoi enregistre, resultats non connus. A completer dans ST_RESULTATS.",IF($X104="A JUSTIFIER","Ecart de "&amp;TEXT($V104,"#,##0.00")&amp;" kg : renseigner JUSTIFICATION ECART (colonne L).",IF($P104="LOT NON REFERENCE","Creer d'abord la fiche du lot dans l'onglet LOTS.",""))))))))</f>
        <v/>
      </c>
      <c r="AA104" s="27" t="n">
        <f aca="false">IF(OR($Y104=0,$U104&gt;0),0,$G104)</f>
        <v>0</v>
      </c>
      <c r="AB104" s="26" t="n">
        <f aca="false">IF($R104=0,0,IF(OR($E104=R_LOT,COUNTIFS(RES_IDST,$A104,RES_LOTEFF,R_LOT)&gt;0),1,0))</f>
        <v>0</v>
      </c>
      <c r="AC104" s="26" t="str">
        <f aca="false">IF($AB104=0,"",COUNTIF($AB$5:$AB104,1))</f>
        <v/>
      </c>
    </row>
    <row r="105" customFormat="false" ht="15" hidden="false" customHeight="false" outlineLevel="0" collapsed="false">
      <c r="A105" s="26" t="str">
        <f aca="false">IF($D105="","","ST-"&amp;TEXT(ROW()-4,"000"))</f>
        <v/>
      </c>
      <c r="B105" s="25"/>
      <c r="C105" s="24"/>
      <c r="D105" s="24"/>
      <c r="E105" s="24"/>
      <c r="F105" s="24"/>
      <c r="G105" s="29"/>
      <c r="H105" s="24"/>
      <c r="I105" s="24"/>
      <c r="J105" s="24"/>
      <c r="K105" s="25"/>
      <c r="L105" s="24"/>
      <c r="M105" s="24"/>
      <c r="N105" s="24"/>
      <c r="O105" s="26" t="str">
        <f aca="false">IF($E105="","",IFERROR(INDEX(LOT_EXTE,MATCH($E105,LOT_KEY,0)),""))</f>
        <v/>
      </c>
      <c r="P105" s="26" t="str">
        <f aca="false">IF($E105="","",IFERROR(INDEX(LOT_PRODE,MATCH($E105,LOT_KEY,0)),"LOT NON REFERENCE"))</f>
        <v/>
      </c>
      <c r="Q105" s="26" t="str">
        <f aca="false">IF($E105="","",IFERROR(INDEX(LOT_FOURNE,MATCH($E105,LOT_KEY,0)),""))</f>
        <v/>
      </c>
      <c r="R105" s="28" t="n">
        <f aca="false">IF($D105="",0,IF(OR($B105="",$C105="",$E105="",NOT(ISNUMBER($G105)),$G105&lt;=0),0,IF($D105="STOCK EXISTANT",IF($F105="",0,1),1)))</f>
        <v>0</v>
      </c>
      <c r="S105" s="27" t="str">
        <f aca="false">IF(OR($R105=0,$D105&lt;&gt;"STOCK EXISTANT"),"",SUMIFS(MVT_BRUT,MVT_LOT,$E105,MVT_EMPL,$F105)+$G105)</f>
        <v/>
      </c>
      <c r="T105" s="27" t="str">
        <f aca="false">IF($A105="","",SUMIFS(RES_QTEVAL,RES_IDST,$A105))</f>
        <v/>
      </c>
      <c r="U105" s="28" t="str">
        <f aca="false">IF($A105="","",COUNTIFS(RES_IDST,$A105))</f>
        <v/>
      </c>
      <c r="V105" s="27" t="str">
        <f aca="false">IF(OR($A105="",$U105=0),"",$G105-$T105)</f>
        <v/>
      </c>
      <c r="W105" s="30" t="str">
        <f aca="false">IF(OR($A105="",$U105=0,NOT(ISNUMBER($G105)),$G105&lt;=0),"",$T105/$G105)</f>
        <v/>
      </c>
      <c r="X105" s="26" t="str">
        <f aca="false">IF($D105="","",IF($R105=0,"DONNEES MANQUANTES",IF($D105="STOCK EXISTANT",IF($S105&lt;=0,"EMPLACEMENT INCOHERENT",IF($G105&gt;$S105+0.001,"STOCK INSUFFISANT",IF($U105=0,"EN COURS",IF($T105&gt;$G105+0.001,"BLOQUE",IF(AND($V105&gt;P_TOL,$L105=""),"A JUSTIFIER","OK"))))),IF($U105=0,"EN COURS",IF($T105&gt;$G105+0.001,"BLOQUE",IF(AND($V105&gt;P_TOL,$L105=""),"A JUSTIFIER","OK"))))))</f>
        <v/>
      </c>
      <c r="Y105" s="28" t="n">
        <f aca="false">IF(OR($X105="",$X105="DONNEES MANQUANTES",$X105="EMPLACEMENT INCOHERENT",$X105="STOCK INSUFFISANT"),0,1)</f>
        <v>0</v>
      </c>
      <c r="Z105" s="26" t="str">
        <f aca="false">IF($D105="","",IF($R105=0,"A COMPLETER : "&amp;IF($B105="","DATE ENVOI; ","")&amp;IF($C105="","SOUS-TRAITANT; ","")&amp;IF($E105="","LOT SOURCE; ","")&amp;IF(OR(NOT(ISNUMBER($G105)),$G105&lt;=0),"QTE ENVOYEE &gt; 0; ","")&amp;IF(AND($D105="STOCK EXISTANT",$F105=""),"EMPL. SOURCE; ",""),IF($X105="EMPLACEMENT INCOHERENT","Le lot "&amp;$E105&amp;" n'existe pas sur "&amp;$F105&amp;" (stock 0).",IF($X105="STOCK INSUFFISANT","Disponible avant envoi : "&amp;TEXT($S105,"#,##0.00")&amp;" kg. Ligne NON comptee en stock.",IF($X105="BLOQUE","Total des sorties ("&amp;TEXT($T105,"#,##0.00")&amp;" kg) superieur a la quantite envoyee.",IF($X105="EN COURS","Envoi enregistre, resultats non connus. A completer dans ST_RESULTATS.",IF($X105="A JUSTIFIER","Ecart de "&amp;TEXT($V105,"#,##0.00")&amp;" kg : renseigner JUSTIFICATION ECART (colonne L).",IF($P105="LOT NON REFERENCE","Creer d'abord la fiche du lot dans l'onglet LOTS.",""))))))))</f>
        <v/>
      </c>
      <c r="AA105" s="27" t="n">
        <f aca="false">IF(OR($Y105=0,$U105&gt;0),0,$G105)</f>
        <v>0</v>
      </c>
      <c r="AB105" s="26" t="n">
        <f aca="false">IF($R105=0,0,IF(OR($E105=R_LOT,COUNTIFS(RES_IDST,$A105,RES_LOTEFF,R_LOT)&gt;0),1,0))</f>
        <v>0</v>
      </c>
      <c r="AC105" s="26" t="str">
        <f aca="false">IF($AB105=0,"",COUNTIF($AB$5:$AB105,1))</f>
        <v/>
      </c>
    </row>
    <row r="106" customFormat="false" ht="15" hidden="false" customHeight="false" outlineLevel="0" collapsed="false">
      <c r="A106" s="26" t="str">
        <f aca="false">IF($D106="","","ST-"&amp;TEXT(ROW()-4,"000"))</f>
        <v/>
      </c>
      <c r="B106" s="25"/>
      <c r="C106" s="24"/>
      <c r="D106" s="24"/>
      <c r="E106" s="24"/>
      <c r="F106" s="24"/>
      <c r="G106" s="29"/>
      <c r="H106" s="24"/>
      <c r="I106" s="24"/>
      <c r="J106" s="24"/>
      <c r="K106" s="25"/>
      <c r="L106" s="24"/>
      <c r="M106" s="24"/>
      <c r="N106" s="24"/>
      <c r="O106" s="26" t="str">
        <f aca="false">IF($E106="","",IFERROR(INDEX(LOT_EXTE,MATCH($E106,LOT_KEY,0)),""))</f>
        <v/>
      </c>
      <c r="P106" s="26" t="str">
        <f aca="false">IF($E106="","",IFERROR(INDEX(LOT_PRODE,MATCH($E106,LOT_KEY,0)),"LOT NON REFERENCE"))</f>
        <v/>
      </c>
      <c r="Q106" s="26" t="str">
        <f aca="false">IF($E106="","",IFERROR(INDEX(LOT_FOURNE,MATCH($E106,LOT_KEY,0)),""))</f>
        <v/>
      </c>
      <c r="R106" s="28" t="n">
        <f aca="false">IF($D106="",0,IF(OR($B106="",$C106="",$E106="",NOT(ISNUMBER($G106)),$G106&lt;=0),0,IF($D106="STOCK EXISTANT",IF($F106="",0,1),1)))</f>
        <v>0</v>
      </c>
      <c r="S106" s="27" t="str">
        <f aca="false">IF(OR($R106=0,$D106&lt;&gt;"STOCK EXISTANT"),"",SUMIFS(MVT_BRUT,MVT_LOT,$E106,MVT_EMPL,$F106)+$G106)</f>
        <v/>
      </c>
      <c r="T106" s="27" t="str">
        <f aca="false">IF($A106="","",SUMIFS(RES_QTEVAL,RES_IDST,$A106))</f>
        <v/>
      </c>
      <c r="U106" s="28" t="str">
        <f aca="false">IF($A106="","",COUNTIFS(RES_IDST,$A106))</f>
        <v/>
      </c>
      <c r="V106" s="27" t="str">
        <f aca="false">IF(OR($A106="",$U106=0),"",$G106-$T106)</f>
        <v/>
      </c>
      <c r="W106" s="30" t="str">
        <f aca="false">IF(OR($A106="",$U106=0,NOT(ISNUMBER($G106)),$G106&lt;=0),"",$T106/$G106)</f>
        <v/>
      </c>
      <c r="X106" s="26" t="str">
        <f aca="false">IF($D106="","",IF($R106=0,"DONNEES MANQUANTES",IF($D106="STOCK EXISTANT",IF($S106&lt;=0,"EMPLACEMENT INCOHERENT",IF($G106&gt;$S106+0.001,"STOCK INSUFFISANT",IF($U106=0,"EN COURS",IF($T106&gt;$G106+0.001,"BLOQUE",IF(AND($V106&gt;P_TOL,$L106=""),"A JUSTIFIER","OK"))))),IF($U106=0,"EN COURS",IF($T106&gt;$G106+0.001,"BLOQUE",IF(AND($V106&gt;P_TOL,$L106=""),"A JUSTIFIER","OK"))))))</f>
        <v/>
      </c>
      <c r="Y106" s="28" t="n">
        <f aca="false">IF(OR($X106="",$X106="DONNEES MANQUANTES",$X106="EMPLACEMENT INCOHERENT",$X106="STOCK INSUFFISANT"),0,1)</f>
        <v>0</v>
      </c>
      <c r="Z106" s="26" t="str">
        <f aca="false">IF($D106="","",IF($R106=0,"A COMPLETER : "&amp;IF($B106="","DATE ENVOI; ","")&amp;IF($C106="","SOUS-TRAITANT; ","")&amp;IF($E106="","LOT SOURCE; ","")&amp;IF(OR(NOT(ISNUMBER($G106)),$G106&lt;=0),"QTE ENVOYEE &gt; 0; ","")&amp;IF(AND($D106="STOCK EXISTANT",$F106=""),"EMPL. SOURCE; ",""),IF($X106="EMPLACEMENT INCOHERENT","Le lot "&amp;$E106&amp;" n'existe pas sur "&amp;$F106&amp;" (stock 0).",IF($X106="STOCK INSUFFISANT","Disponible avant envoi : "&amp;TEXT($S106,"#,##0.00")&amp;" kg. Ligne NON comptee en stock.",IF($X106="BLOQUE","Total des sorties ("&amp;TEXT($T106,"#,##0.00")&amp;" kg) superieur a la quantite envoyee.",IF($X106="EN COURS","Envoi enregistre, resultats non connus. A completer dans ST_RESULTATS.",IF($X106="A JUSTIFIER","Ecart de "&amp;TEXT($V106,"#,##0.00")&amp;" kg : renseigner JUSTIFICATION ECART (colonne L).",IF($P106="LOT NON REFERENCE","Creer d'abord la fiche du lot dans l'onglet LOTS.",""))))))))</f>
        <v/>
      </c>
      <c r="AA106" s="27" t="n">
        <f aca="false">IF(OR($Y106=0,$U106&gt;0),0,$G106)</f>
        <v>0</v>
      </c>
      <c r="AB106" s="26" t="n">
        <f aca="false">IF($R106=0,0,IF(OR($E106=R_LOT,COUNTIFS(RES_IDST,$A106,RES_LOTEFF,R_LOT)&gt;0),1,0))</f>
        <v>0</v>
      </c>
      <c r="AC106" s="26" t="str">
        <f aca="false">IF($AB106=0,"",COUNTIF($AB$5:$AB106,1))</f>
        <v/>
      </c>
    </row>
    <row r="107" customFormat="false" ht="15" hidden="false" customHeight="false" outlineLevel="0" collapsed="false">
      <c r="A107" s="26" t="str">
        <f aca="false">IF($D107="","","ST-"&amp;TEXT(ROW()-4,"000"))</f>
        <v/>
      </c>
      <c r="B107" s="25"/>
      <c r="C107" s="24"/>
      <c r="D107" s="24"/>
      <c r="E107" s="24"/>
      <c r="F107" s="24"/>
      <c r="G107" s="29"/>
      <c r="H107" s="24"/>
      <c r="I107" s="24"/>
      <c r="J107" s="24"/>
      <c r="K107" s="25"/>
      <c r="L107" s="24"/>
      <c r="M107" s="24"/>
      <c r="N107" s="24"/>
      <c r="O107" s="26" t="str">
        <f aca="false">IF($E107="","",IFERROR(INDEX(LOT_EXTE,MATCH($E107,LOT_KEY,0)),""))</f>
        <v/>
      </c>
      <c r="P107" s="26" t="str">
        <f aca="false">IF($E107="","",IFERROR(INDEX(LOT_PRODE,MATCH($E107,LOT_KEY,0)),"LOT NON REFERENCE"))</f>
        <v/>
      </c>
      <c r="Q107" s="26" t="str">
        <f aca="false">IF($E107="","",IFERROR(INDEX(LOT_FOURNE,MATCH($E107,LOT_KEY,0)),""))</f>
        <v/>
      </c>
      <c r="R107" s="28" t="n">
        <f aca="false">IF($D107="",0,IF(OR($B107="",$C107="",$E107="",NOT(ISNUMBER($G107)),$G107&lt;=0),0,IF($D107="STOCK EXISTANT",IF($F107="",0,1),1)))</f>
        <v>0</v>
      </c>
      <c r="S107" s="27" t="str">
        <f aca="false">IF(OR($R107=0,$D107&lt;&gt;"STOCK EXISTANT"),"",SUMIFS(MVT_BRUT,MVT_LOT,$E107,MVT_EMPL,$F107)+$G107)</f>
        <v/>
      </c>
      <c r="T107" s="27" t="str">
        <f aca="false">IF($A107="","",SUMIFS(RES_QTEVAL,RES_IDST,$A107))</f>
        <v/>
      </c>
      <c r="U107" s="28" t="str">
        <f aca="false">IF($A107="","",COUNTIFS(RES_IDST,$A107))</f>
        <v/>
      </c>
      <c r="V107" s="27" t="str">
        <f aca="false">IF(OR($A107="",$U107=0),"",$G107-$T107)</f>
        <v/>
      </c>
      <c r="W107" s="30" t="str">
        <f aca="false">IF(OR($A107="",$U107=0,NOT(ISNUMBER($G107)),$G107&lt;=0),"",$T107/$G107)</f>
        <v/>
      </c>
      <c r="X107" s="26" t="str">
        <f aca="false">IF($D107="","",IF($R107=0,"DONNEES MANQUANTES",IF($D107="STOCK EXISTANT",IF($S107&lt;=0,"EMPLACEMENT INCOHERENT",IF($G107&gt;$S107+0.001,"STOCK INSUFFISANT",IF($U107=0,"EN COURS",IF($T107&gt;$G107+0.001,"BLOQUE",IF(AND($V107&gt;P_TOL,$L107=""),"A JUSTIFIER","OK"))))),IF($U107=0,"EN COURS",IF($T107&gt;$G107+0.001,"BLOQUE",IF(AND($V107&gt;P_TOL,$L107=""),"A JUSTIFIER","OK"))))))</f>
        <v/>
      </c>
      <c r="Y107" s="28" t="n">
        <f aca="false">IF(OR($X107="",$X107="DONNEES MANQUANTES",$X107="EMPLACEMENT INCOHERENT",$X107="STOCK INSUFFISANT"),0,1)</f>
        <v>0</v>
      </c>
      <c r="Z107" s="26" t="str">
        <f aca="false">IF($D107="","",IF($R107=0,"A COMPLETER : "&amp;IF($B107="","DATE ENVOI; ","")&amp;IF($C107="","SOUS-TRAITANT; ","")&amp;IF($E107="","LOT SOURCE; ","")&amp;IF(OR(NOT(ISNUMBER($G107)),$G107&lt;=0),"QTE ENVOYEE &gt; 0; ","")&amp;IF(AND($D107="STOCK EXISTANT",$F107=""),"EMPL. SOURCE; ",""),IF($X107="EMPLACEMENT INCOHERENT","Le lot "&amp;$E107&amp;" n'existe pas sur "&amp;$F107&amp;" (stock 0).",IF($X107="STOCK INSUFFISANT","Disponible avant envoi : "&amp;TEXT($S107,"#,##0.00")&amp;" kg. Ligne NON comptee en stock.",IF($X107="BLOQUE","Total des sorties ("&amp;TEXT($T107,"#,##0.00")&amp;" kg) superieur a la quantite envoyee.",IF($X107="EN COURS","Envoi enregistre, resultats non connus. A completer dans ST_RESULTATS.",IF($X107="A JUSTIFIER","Ecart de "&amp;TEXT($V107,"#,##0.00")&amp;" kg : renseigner JUSTIFICATION ECART (colonne L).",IF($P107="LOT NON REFERENCE","Creer d'abord la fiche du lot dans l'onglet LOTS.",""))))))))</f>
        <v/>
      </c>
      <c r="AA107" s="27" t="n">
        <f aca="false">IF(OR($Y107=0,$U107&gt;0),0,$G107)</f>
        <v>0</v>
      </c>
      <c r="AB107" s="26" t="n">
        <f aca="false">IF($R107=0,0,IF(OR($E107=R_LOT,COUNTIFS(RES_IDST,$A107,RES_LOTEFF,R_LOT)&gt;0),1,0))</f>
        <v>0</v>
      </c>
      <c r="AC107" s="26" t="str">
        <f aca="false">IF($AB107=0,"",COUNTIF($AB$5:$AB107,1))</f>
        <v/>
      </c>
    </row>
    <row r="108" customFormat="false" ht="15" hidden="false" customHeight="false" outlineLevel="0" collapsed="false">
      <c r="A108" s="26" t="str">
        <f aca="false">IF($D108="","","ST-"&amp;TEXT(ROW()-4,"000"))</f>
        <v/>
      </c>
      <c r="B108" s="25"/>
      <c r="C108" s="24"/>
      <c r="D108" s="24"/>
      <c r="E108" s="24"/>
      <c r="F108" s="24"/>
      <c r="G108" s="29"/>
      <c r="H108" s="24"/>
      <c r="I108" s="24"/>
      <c r="J108" s="24"/>
      <c r="K108" s="25"/>
      <c r="L108" s="24"/>
      <c r="M108" s="24"/>
      <c r="N108" s="24"/>
      <c r="O108" s="26" t="str">
        <f aca="false">IF($E108="","",IFERROR(INDEX(LOT_EXTE,MATCH($E108,LOT_KEY,0)),""))</f>
        <v/>
      </c>
      <c r="P108" s="26" t="str">
        <f aca="false">IF($E108="","",IFERROR(INDEX(LOT_PRODE,MATCH($E108,LOT_KEY,0)),"LOT NON REFERENCE"))</f>
        <v/>
      </c>
      <c r="Q108" s="26" t="str">
        <f aca="false">IF($E108="","",IFERROR(INDEX(LOT_FOURNE,MATCH($E108,LOT_KEY,0)),""))</f>
        <v/>
      </c>
      <c r="R108" s="28" t="n">
        <f aca="false">IF($D108="",0,IF(OR($B108="",$C108="",$E108="",NOT(ISNUMBER($G108)),$G108&lt;=0),0,IF($D108="STOCK EXISTANT",IF($F108="",0,1),1)))</f>
        <v>0</v>
      </c>
      <c r="S108" s="27" t="str">
        <f aca="false">IF(OR($R108=0,$D108&lt;&gt;"STOCK EXISTANT"),"",SUMIFS(MVT_BRUT,MVT_LOT,$E108,MVT_EMPL,$F108)+$G108)</f>
        <v/>
      </c>
      <c r="T108" s="27" t="str">
        <f aca="false">IF($A108="","",SUMIFS(RES_QTEVAL,RES_IDST,$A108))</f>
        <v/>
      </c>
      <c r="U108" s="28" t="str">
        <f aca="false">IF($A108="","",COUNTIFS(RES_IDST,$A108))</f>
        <v/>
      </c>
      <c r="V108" s="27" t="str">
        <f aca="false">IF(OR($A108="",$U108=0),"",$G108-$T108)</f>
        <v/>
      </c>
      <c r="W108" s="30" t="str">
        <f aca="false">IF(OR($A108="",$U108=0,NOT(ISNUMBER($G108)),$G108&lt;=0),"",$T108/$G108)</f>
        <v/>
      </c>
      <c r="X108" s="26" t="str">
        <f aca="false">IF($D108="","",IF($R108=0,"DONNEES MANQUANTES",IF($D108="STOCK EXISTANT",IF($S108&lt;=0,"EMPLACEMENT INCOHERENT",IF($G108&gt;$S108+0.001,"STOCK INSUFFISANT",IF($U108=0,"EN COURS",IF($T108&gt;$G108+0.001,"BLOQUE",IF(AND($V108&gt;P_TOL,$L108=""),"A JUSTIFIER","OK"))))),IF($U108=0,"EN COURS",IF($T108&gt;$G108+0.001,"BLOQUE",IF(AND($V108&gt;P_TOL,$L108=""),"A JUSTIFIER","OK"))))))</f>
        <v/>
      </c>
      <c r="Y108" s="28" t="n">
        <f aca="false">IF(OR($X108="",$X108="DONNEES MANQUANTES",$X108="EMPLACEMENT INCOHERENT",$X108="STOCK INSUFFISANT"),0,1)</f>
        <v>0</v>
      </c>
      <c r="Z108" s="26" t="str">
        <f aca="false">IF($D108="","",IF($R108=0,"A COMPLETER : "&amp;IF($B108="","DATE ENVOI; ","")&amp;IF($C108="","SOUS-TRAITANT; ","")&amp;IF($E108="","LOT SOURCE; ","")&amp;IF(OR(NOT(ISNUMBER($G108)),$G108&lt;=0),"QTE ENVOYEE &gt; 0; ","")&amp;IF(AND($D108="STOCK EXISTANT",$F108=""),"EMPL. SOURCE; ",""),IF($X108="EMPLACEMENT INCOHERENT","Le lot "&amp;$E108&amp;" n'existe pas sur "&amp;$F108&amp;" (stock 0).",IF($X108="STOCK INSUFFISANT","Disponible avant envoi : "&amp;TEXT($S108,"#,##0.00")&amp;" kg. Ligne NON comptee en stock.",IF($X108="BLOQUE","Total des sorties ("&amp;TEXT($T108,"#,##0.00")&amp;" kg) superieur a la quantite envoyee.",IF($X108="EN COURS","Envoi enregistre, resultats non connus. A completer dans ST_RESULTATS.",IF($X108="A JUSTIFIER","Ecart de "&amp;TEXT($V108,"#,##0.00")&amp;" kg : renseigner JUSTIFICATION ECART (colonne L).",IF($P108="LOT NON REFERENCE","Creer d'abord la fiche du lot dans l'onglet LOTS.",""))))))))</f>
        <v/>
      </c>
      <c r="AA108" s="27" t="n">
        <f aca="false">IF(OR($Y108=0,$U108&gt;0),0,$G108)</f>
        <v>0</v>
      </c>
      <c r="AB108" s="26" t="n">
        <f aca="false">IF($R108=0,0,IF(OR($E108=R_LOT,COUNTIFS(RES_IDST,$A108,RES_LOTEFF,R_LOT)&gt;0),1,0))</f>
        <v>0</v>
      </c>
      <c r="AC108" s="26" t="str">
        <f aca="false">IF($AB108=0,"",COUNTIF($AB$5:$AB108,1))</f>
        <v/>
      </c>
    </row>
    <row r="109" customFormat="false" ht="15" hidden="false" customHeight="false" outlineLevel="0" collapsed="false">
      <c r="A109" s="26" t="str">
        <f aca="false">IF($D109="","","ST-"&amp;TEXT(ROW()-4,"000"))</f>
        <v/>
      </c>
      <c r="B109" s="25"/>
      <c r="C109" s="24"/>
      <c r="D109" s="24"/>
      <c r="E109" s="24"/>
      <c r="F109" s="24"/>
      <c r="G109" s="29"/>
      <c r="H109" s="24"/>
      <c r="I109" s="24"/>
      <c r="J109" s="24"/>
      <c r="K109" s="25"/>
      <c r="L109" s="24"/>
      <c r="M109" s="24"/>
      <c r="N109" s="24"/>
      <c r="O109" s="26" t="str">
        <f aca="false">IF($E109="","",IFERROR(INDEX(LOT_EXTE,MATCH($E109,LOT_KEY,0)),""))</f>
        <v/>
      </c>
      <c r="P109" s="26" t="str">
        <f aca="false">IF($E109="","",IFERROR(INDEX(LOT_PRODE,MATCH($E109,LOT_KEY,0)),"LOT NON REFERENCE"))</f>
        <v/>
      </c>
      <c r="Q109" s="26" t="str">
        <f aca="false">IF($E109="","",IFERROR(INDEX(LOT_FOURNE,MATCH($E109,LOT_KEY,0)),""))</f>
        <v/>
      </c>
      <c r="R109" s="28" t="n">
        <f aca="false">IF($D109="",0,IF(OR($B109="",$C109="",$E109="",NOT(ISNUMBER($G109)),$G109&lt;=0),0,IF($D109="STOCK EXISTANT",IF($F109="",0,1),1)))</f>
        <v>0</v>
      </c>
      <c r="S109" s="27" t="str">
        <f aca="false">IF(OR($R109=0,$D109&lt;&gt;"STOCK EXISTANT"),"",SUMIFS(MVT_BRUT,MVT_LOT,$E109,MVT_EMPL,$F109)+$G109)</f>
        <v/>
      </c>
      <c r="T109" s="27" t="str">
        <f aca="false">IF($A109="","",SUMIFS(RES_QTEVAL,RES_IDST,$A109))</f>
        <v/>
      </c>
      <c r="U109" s="28" t="str">
        <f aca="false">IF($A109="","",COUNTIFS(RES_IDST,$A109))</f>
        <v/>
      </c>
      <c r="V109" s="27" t="str">
        <f aca="false">IF(OR($A109="",$U109=0),"",$G109-$T109)</f>
        <v/>
      </c>
      <c r="W109" s="30" t="str">
        <f aca="false">IF(OR($A109="",$U109=0,NOT(ISNUMBER($G109)),$G109&lt;=0),"",$T109/$G109)</f>
        <v/>
      </c>
      <c r="X109" s="26" t="str">
        <f aca="false">IF($D109="","",IF($R109=0,"DONNEES MANQUANTES",IF($D109="STOCK EXISTANT",IF($S109&lt;=0,"EMPLACEMENT INCOHERENT",IF($G109&gt;$S109+0.001,"STOCK INSUFFISANT",IF($U109=0,"EN COURS",IF($T109&gt;$G109+0.001,"BLOQUE",IF(AND($V109&gt;P_TOL,$L109=""),"A JUSTIFIER","OK"))))),IF($U109=0,"EN COURS",IF($T109&gt;$G109+0.001,"BLOQUE",IF(AND($V109&gt;P_TOL,$L109=""),"A JUSTIFIER","OK"))))))</f>
        <v/>
      </c>
      <c r="Y109" s="28" t="n">
        <f aca="false">IF(OR($X109="",$X109="DONNEES MANQUANTES",$X109="EMPLACEMENT INCOHERENT",$X109="STOCK INSUFFISANT"),0,1)</f>
        <v>0</v>
      </c>
      <c r="Z109" s="26" t="str">
        <f aca="false">IF($D109="","",IF($R109=0,"A COMPLETER : "&amp;IF($B109="","DATE ENVOI; ","")&amp;IF($C109="","SOUS-TRAITANT; ","")&amp;IF($E109="","LOT SOURCE; ","")&amp;IF(OR(NOT(ISNUMBER($G109)),$G109&lt;=0),"QTE ENVOYEE &gt; 0; ","")&amp;IF(AND($D109="STOCK EXISTANT",$F109=""),"EMPL. SOURCE; ",""),IF($X109="EMPLACEMENT INCOHERENT","Le lot "&amp;$E109&amp;" n'existe pas sur "&amp;$F109&amp;" (stock 0).",IF($X109="STOCK INSUFFISANT","Disponible avant envoi : "&amp;TEXT($S109,"#,##0.00")&amp;" kg. Ligne NON comptee en stock.",IF($X109="BLOQUE","Total des sorties ("&amp;TEXT($T109,"#,##0.00")&amp;" kg) superieur a la quantite envoyee.",IF($X109="EN COURS","Envoi enregistre, resultats non connus. A completer dans ST_RESULTATS.",IF($X109="A JUSTIFIER","Ecart de "&amp;TEXT($V109,"#,##0.00")&amp;" kg : renseigner JUSTIFICATION ECART (colonne L).",IF($P109="LOT NON REFERENCE","Creer d'abord la fiche du lot dans l'onglet LOTS.",""))))))))</f>
        <v/>
      </c>
      <c r="AA109" s="27" t="n">
        <f aca="false">IF(OR($Y109=0,$U109&gt;0),0,$G109)</f>
        <v>0</v>
      </c>
      <c r="AB109" s="26" t="n">
        <f aca="false">IF($R109=0,0,IF(OR($E109=R_LOT,COUNTIFS(RES_IDST,$A109,RES_LOTEFF,R_LOT)&gt;0),1,0))</f>
        <v>0</v>
      </c>
      <c r="AC109" s="26" t="str">
        <f aca="false">IF($AB109=0,"",COUNTIF($AB$5:$AB109,1))</f>
        <v/>
      </c>
    </row>
    <row r="110" customFormat="false" ht="15" hidden="false" customHeight="false" outlineLevel="0" collapsed="false">
      <c r="A110" s="26" t="str">
        <f aca="false">IF($D110="","","ST-"&amp;TEXT(ROW()-4,"000"))</f>
        <v/>
      </c>
      <c r="B110" s="25"/>
      <c r="C110" s="24"/>
      <c r="D110" s="24"/>
      <c r="E110" s="24"/>
      <c r="F110" s="24"/>
      <c r="G110" s="29"/>
      <c r="H110" s="24"/>
      <c r="I110" s="24"/>
      <c r="J110" s="24"/>
      <c r="K110" s="25"/>
      <c r="L110" s="24"/>
      <c r="M110" s="24"/>
      <c r="N110" s="24"/>
      <c r="O110" s="26" t="str">
        <f aca="false">IF($E110="","",IFERROR(INDEX(LOT_EXTE,MATCH($E110,LOT_KEY,0)),""))</f>
        <v/>
      </c>
      <c r="P110" s="26" t="str">
        <f aca="false">IF($E110="","",IFERROR(INDEX(LOT_PRODE,MATCH($E110,LOT_KEY,0)),"LOT NON REFERENCE"))</f>
        <v/>
      </c>
      <c r="Q110" s="26" t="str">
        <f aca="false">IF($E110="","",IFERROR(INDEX(LOT_FOURNE,MATCH($E110,LOT_KEY,0)),""))</f>
        <v/>
      </c>
      <c r="R110" s="28" t="n">
        <f aca="false">IF($D110="",0,IF(OR($B110="",$C110="",$E110="",NOT(ISNUMBER($G110)),$G110&lt;=0),0,IF($D110="STOCK EXISTANT",IF($F110="",0,1),1)))</f>
        <v>0</v>
      </c>
      <c r="S110" s="27" t="str">
        <f aca="false">IF(OR($R110=0,$D110&lt;&gt;"STOCK EXISTANT"),"",SUMIFS(MVT_BRUT,MVT_LOT,$E110,MVT_EMPL,$F110)+$G110)</f>
        <v/>
      </c>
      <c r="T110" s="27" t="str">
        <f aca="false">IF($A110="","",SUMIFS(RES_QTEVAL,RES_IDST,$A110))</f>
        <v/>
      </c>
      <c r="U110" s="28" t="str">
        <f aca="false">IF($A110="","",COUNTIFS(RES_IDST,$A110))</f>
        <v/>
      </c>
      <c r="V110" s="27" t="str">
        <f aca="false">IF(OR($A110="",$U110=0),"",$G110-$T110)</f>
        <v/>
      </c>
      <c r="W110" s="30" t="str">
        <f aca="false">IF(OR($A110="",$U110=0,NOT(ISNUMBER($G110)),$G110&lt;=0),"",$T110/$G110)</f>
        <v/>
      </c>
      <c r="X110" s="26" t="str">
        <f aca="false">IF($D110="","",IF($R110=0,"DONNEES MANQUANTES",IF($D110="STOCK EXISTANT",IF($S110&lt;=0,"EMPLACEMENT INCOHERENT",IF($G110&gt;$S110+0.001,"STOCK INSUFFISANT",IF($U110=0,"EN COURS",IF($T110&gt;$G110+0.001,"BLOQUE",IF(AND($V110&gt;P_TOL,$L110=""),"A JUSTIFIER","OK"))))),IF($U110=0,"EN COURS",IF($T110&gt;$G110+0.001,"BLOQUE",IF(AND($V110&gt;P_TOL,$L110=""),"A JUSTIFIER","OK"))))))</f>
        <v/>
      </c>
      <c r="Y110" s="28" t="n">
        <f aca="false">IF(OR($X110="",$X110="DONNEES MANQUANTES",$X110="EMPLACEMENT INCOHERENT",$X110="STOCK INSUFFISANT"),0,1)</f>
        <v>0</v>
      </c>
      <c r="Z110" s="26" t="str">
        <f aca="false">IF($D110="","",IF($R110=0,"A COMPLETER : "&amp;IF($B110="","DATE ENVOI; ","")&amp;IF($C110="","SOUS-TRAITANT; ","")&amp;IF($E110="","LOT SOURCE; ","")&amp;IF(OR(NOT(ISNUMBER($G110)),$G110&lt;=0),"QTE ENVOYEE &gt; 0; ","")&amp;IF(AND($D110="STOCK EXISTANT",$F110=""),"EMPL. SOURCE; ",""),IF($X110="EMPLACEMENT INCOHERENT","Le lot "&amp;$E110&amp;" n'existe pas sur "&amp;$F110&amp;" (stock 0).",IF($X110="STOCK INSUFFISANT","Disponible avant envoi : "&amp;TEXT($S110,"#,##0.00")&amp;" kg. Ligne NON comptee en stock.",IF($X110="BLOQUE","Total des sorties ("&amp;TEXT($T110,"#,##0.00")&amp;" kg) superieur a la quantite envoyee.",IF($X110="EN COURS","Envoi enregistre, resultats non connus. A completer dans ST_RESULTATS.",IF($X110="A JUSTIFIER","Ecart de "&amp;TEXT($V110,"#,##0.00")&amp;" kg : renseigner JUSTIFICATION ECART (colonne L).",IF($P110="LOT NON REFERENCE","Creer d'abord la fiche du lot dans l'onglet LOTS.",""))))))))</f>
        <v/>
      </c>
      <c r="AA110" s="27" t="n">
        <f aca="false">IF(OR($Y110=0,$U110&gt;0),0,$G110)</f>
        <v>0</v>
      </c>
      <c r="AB110" s="26" t="n">
        <f aca="false">IF($R110=0,0,IF(OR($E110=R_LOT,COUNTIFS(RES_IDST,$A110,RES_LOTEFF,R_LOT)&gt;0),1,0))</f>
        <v>0</v>
      </c>
      <c r="AC110" s="26" t="str">
        <f aca="false">IF($AB110=0,"",COUNTIF($AB$5:$AB110,1))</f>
        <v/>
      </c>
    </row>
    <row r="111" customFormat="false" ht="15" hidden="false" customHeight="false" outlineLevel="0" collapsed="false">
      <c r="A111" s="26" t="str">
        <f aca="false">IF($D111="","","ST-"&amp;TEXT(ROW()-4,"000"))</f>
        <v/>
      </c>
      <c r="B111" s="25"/>
      <c r="C111" s="24"/>
      <c r="D111" s="24"/>
      <c r="E111" s="24"/>
      <c r="F111" s="24"/>
      <c r="G111" s="29"/>
      <c r="H111" s="24"/>
      <c r="I111" s="24"/>
      <c r="J111" s="24"/>
      <c r="K111" s="25"/>
      <c r="L111" s="24"/>
      <c r="M111" s="24"/>
      <c r="N111" s="24"/>
      <c r="O111" s="26" t="str">
        <f aca="false">IF($E111="","",IFERROR(INDEX(LOT_EXTE,MATCH($E111,LOT_KEY,0)),""))</f>
        <v/>
      </c>
      <c r="P111" s="26" t="str">
        <f aca="false">IF($E111="","",IFERROR(INDEX(LOT_PRODE,MATCH($E111,LOT_KEY,0)),"LOT NON REFERENCE"))</f>
        <v/>
      </c>
      <c r="Q111" s="26" t="str">
        <f aca="false">IF($E111="","",IFERROR(INDEX(LOT_FOURNE,MATCH($E111,LOT_KEY,0)),""))</f>
        <v/>
      </c>
      <c r="R111" s="28" t="n">
        <f aca="false">IF($D111="",0,IF(OR($B111="",$C111="",$E111="",NOT(ISNUMBER($G111)),$G111&lt;=0),0,IF($D111="STOCK EXISTANT",IF($F111="",0,1),1)))</f>
        <v>0</v>
      </c>
      <c r="S111" s="27" t="str">
        <f aca="false">IF(OR($R111=0,$D111&lt;&gt;"STOCK EXISTANT"),"",SUMIFS(MVT_BRUT,MVT_LOT,$E111,MVT_EMPL,$F111)+$G111)</f>
        <v/>
      </c>
      <c r="T111" s="27" t="str">
        <f aca="false">IF($A111="","",SUMIFS(RES_QTEVAL,RES_IDST,$A111))</f>
        <v/>
      </c>
      <c r="U111" s="28" t="str">
        <f aca="false">IF($A111="","",COUNTIFS(RES_IDST,$A111))</f>
        <v/>
      </c>
      <c r="V111" s="27" t="str">
        <f aca="false">IF(OR($A111="",$U111=0),"",$G111-$T111)</f>
        <v/>
      </c>
      <c r="W111" s="30" t="str">
        <f aca="false">IF(OR($A111="",$U111=0,NOT(ISNUMBER($G111)),$G111&lt;=0),"",$T111/$G111)</f>
        <v/>
      </c>
      <c r="X111" s="26" t="str">
        <f aca="false">IF($D111="","",IF($R111=0,"DONNEES MANQUANTES",IF($D111="STOCK EXISTANT",IF($S111&lt;=0,"EMPLACEMENT INCOHERENT",IF($G111&gt;$S111+0.001,"STOCK INSUFFISANT",IF($U111=0,"EN COURS",IF($T111&gt;$G111+0.001,"BLOQUE",IF(AND($V111&gt;P_TOL,$L111=""),"A JUSTIFIER","OK"))))),IF($U111=0,"EN COURS",IF($T111&gt;$G111+0.001,"BLOQUE",IF(AND($V111&gt;P_TOL,$L111=""),"A JUSTIFIER","OK"))))))</f>
        <v/>
      </c>
      <c r="Y111" s="28" t="n">
        <f aca="false">IF(OR($X111="",$X111="DONNEES MANQUANTES",$X111="EMPLACEMENT INCOHERENT",$X111="STOCK INSUFFISANT"),0,1)</f>
        <v>0</v>
      </c>
      <c r="Z111" s="26" t="str">
        <f aca="false">IF($D111="","",IF($R111=0,"A COMPLETER : "&amp;IF($B111="","DATE ENVOI; ","")&amp;IF($C111="","SOUS-TRAITANT; ","")&amp;IF($E111="","LOT SOURCE; ","")&amp;IF(OR(NOT(ISNUMBER($G111)),$G111&lt;=0),"QTE ENVOYEE &gt; 0; ","")&amp;IF(AND($D111="STOCK EXISTANT",$F111=""),"EMPL. SOURCE; ",""),IF($X111="EMPLACEMENT INCOHERENT","Le lot "&amp;$E111&amp;" n'existe pas sur "&amp;$F111&amp;" (stock 0).",IF($X111="STOCK INSUFFISANT","Disponible avant envoi : "&amp;TEXT($S111,"#,##0.00")&amp;" kg. Ligne NON comptee en stock.",IF($X111="BLOQUE","Total des sorties ("&amp;TEXT($T111,"#,##0.00")&amp;" kg) superieur a la quantite envoyee.",IF($X111="EN COURS","Envoi enregistre, resultats non connus. A completer dans ST_RESULTATS.",IF($X111="A JUSTIFIER","Ecart de "&amp;TEXT($V111,"#,##0.00")&amp;" kg : renseigner JUSTIFICATION ECART (colonne L).",IF($P111="LOT NON REFERENCE","Creer d'abord la fiche du lot dans l'onglet LOTS.",""))))))))</f>
        <v/>
      </c>
      <c r="AA111" s="27" t="n">
        <f aca="false">IF(OR($Y111=0,$U111&gt;0),0,$G111)</f>
        <v>0</v>
      </c>
      <c r="AB111" s="26" t="n">
        <f aca="false">IF($R111=0,0,IF(OR($E111=R_LOT,COUNTIFS(RES_IDST,$A111,RES_LOTEFF,R_LOT)&gt;0),1,0))</f>
        <v>0</v>
      </c>
      <c r="AC111" s="26" t="str">
        <f aca="false">IF($AB111=0,"",COUNTIF($AB$5:$AB111,1))</f>
        <v/>
      </c>
    </row>
    <row r="112" customFormat="false" ht="15" hidden="false" customHeight="false" outlineLevel="0" collapsed="false">
      <c r="A112" s="26" t="str">
        <f aca="false">IF($D112="","","ST-"&amp;TEXT(ROW()-4,"000"))</f>
        <v/>
      </c>
      <c r="B112" s="25"/>
      <c r="C112" s="24"/>
      <c r="D112" s="24"/>
      <c r="E112" s="24"/>
      <c r="F112" s="24"/>
      <c r="G112" s="29"/>
      <c r="H112" s="24"/>
      <c r="I112" s="24"/>
      <c r="J112" s="24"/>
      <c r="K112" s="25"/>
      <c r="L112" s="24"/>
      <c r="M112" s="24"/>
      <c r="N112" s="24"/>
      <c r="O112" s="26" t="str">
        <f aca="false">IF($E112="","",IFERROR(INDEX(LOT_EXTE,MATCH($E112,LOT_KEY,0)),""))</f>
        <v/>
      </c>
      <c r="P112" s="26" t="str">
        <f aca="false">IF($E112="","",IFERROR(INDEX(LOT_PRODE,MATCH($E112,LOT_KEY,0)),"LOT NON REFERENCE"))</f>
        <v/>
      </c>
      <c r="Q112" s="26" t="str">
        <f aca="false">IF($E112="","",IFERROR(INDEX(LOT_FOURNE,MATCH($E112,LOT_KEY,0)),""))</f>
        <v/>
      </c>
      <c r="R112" s="28" t="n">
        <f aca="false">IF($D112="",0,IF(OR($B112="",$C112="",$E112="",NOT(ISNUMBER($G112)),$G112&lt;=0),0,IF($D112="STOCK EXISTANT",IF($F112="",0,1),1)))</f>
        <v>0</v>
      </c>
      <c r="S112" s="27" t="str">
        <f aca="false">IF(OR($R112=0,$D112&lt;&gt;"STOCK EXISTANT"),"",SUMIFS(MVT_BRUT,MVT_LOT,$E112,MVT_EMPL,$F112)+$G112)</f>
        <v/>
      </c>
      <c r="T112" s="27" t="str">
        <f aca="false">IF($A112="","",SUMIFS(RES_QTEVAL,RES_IDST,$A112))</f>
        <v/>
      </c>
      <c r="U112" s="28" t="str">
        <f aca="false">IF($A112="","",COUNTIFS(RES_IDST,$A112))</f>
        <v/>
      </c>
      <c r="V112" s="27" t="str">
        <f aca="false">IF(OR($A112="",$U112=0),"",$G112-$T112)</f>
        <v/>
      </c>
      <c r="W112" s="30" t="str">
        <f aca="false">IF(OR($A112="",$U112=0,NOT(ISNUMBER($G112)),$G112&lt;=0),"",$T112/$G112)</f>
        <v/>
      </c>
      <c r="X112" s="26" t="str">
        <f aca="false">IF($D112="","",IF($R112=0,"DONNEES MANQUANTES",IF($D112="STOCK EXISTANT",IF($S112&lt;=0,"EMPLACEMENT INCOHERENT",IF($G112&gt;$S112+0.001,"STOCK INSUFFISANT",IF($U112=0,"EN COURS",IF($T112&gt;$G112+0.001,"BLOQUE",IF(AND($V112&gt;P_TOL,$L112=""),"A JUSTIFIER","OK"))))),IF($U112=0,"EN COURS",IF($T112&gt;$G112+0.001,"BLOQUE",IF(AND($V112&gt;P_TOL,$L112=""),"A JUSTIFIER","OK"))))))</f>
        <v/>
      </c>
      <c r="Y112" s="28" t="n">
        <f aca="false">IF(OR($X112="",$X112="DONNEES MANQUANTES",$X112="EMPLACEMENT INCOHERENT",$X112="STOCK INSUFFISANT"),0,1)</f>
        <v>0</v>
      </c>
      <c r="Z112" s="26" t="str">
        <f aca="false">IF($D112="","",IF($R112=0,"A COMPLETER : "&amp;IF($B112="","DATE ENVOI; ","")&amp;IF($C112="","SOUS-TRAITANT; ","")&amp;IF($E112="","LOT SOURCE; ","")&amp;IF(OR(NOT(ISNUMBER($G112)),$G112&lt;=0),"QTE ENVOYEE &gt; 0; ","")&amp;IF(AND($D112="STOCK EXISTANT",$F112=""),"EMPL. SOURCE; ",""),IF($X112="EMPLACEMENT INCOHERENT","Le lot "&amp;$E112&amp;" n'existe pas sur "&amp;$F112&amp;" (stock 0).",IF($X112="STOCK INSUFFISANT","Disponible avant envoi : "&amp;TEXT($S112,"#,##0.00")&amp;" kg. Ligne NON comptee en stock.",IF($X112="BLOQUE","Total des sorties ("&amp;TEXT($T112,"#,##0.00")&amp;" kg) superieur a la quantite envoyee.",IF($X112="EN COURS","Envoi enregistre, resultats non connus. A completer dans ST_RESULTATS.",IF($X112="A JUSTIFIER","Ecart de "&amp;TEXT($V112,"#,##0.00")&amp;" kg : renseigner JUSTIFICATION ECART (colonne L).",IF($P112="LOT NON REFERENCE","Creer d'abord la fiche du lot dans l'onglet LOTS.",""))))))))</f>
        <v/>
      </c>
      <c r="AA112" s="27" t="n">
        <f aca="false">IF(OR($Y112=0,$U112&gt;0),0,$G112)</f>
        <v>0</v>
      </c>
      <c r="AB112" s="26" t="n">
        <f aca="false">IF($R112=0,0,IF(OR($E112=R_LOT,COUNTIFS(RES_IDST,$A112,RES_LOTEFF,R_LOT)&gt;0),1,0))</f>
        <v>0</v>
      </c>
      <c r="AC112" s="26" t="str">
        <f aca="false">IF($AB112=0,"",COUNTIF($AB$5:$AB112,1))</f>
        <v/>
      </c>
    </row>
    <row r="113" customFormat="false" ht="15" hidden="false" customHeight="false" outlineLevel="0" collapsed="false">
      <c r="A113" s="26" t="str">
        <f aca="false">IF($D113="","","ST-"&amp;TEXT(ROW()-4,"000"))</f>
        <v/>
      </c>
      <c r="B113" s="25"/>
      <c r="C113" s="24"/>
      <c r="D113" s="24"/>
      <c r="E113" s="24"/>
      <c r="F113" s="24"/>
      <c r="G113" s="29"/>
      <c r="H113" s="24"/>
      <c r="I113" s="24"/>
      <c r="J113" s="24"/>
      <c r="K113" s="25"/>
      <c r="L113" s="24"/>
      <c r="M113" s="24"/>
      <c r="N113" s="24"/>
      <c r="O113" s="26" t="str">
        <f aca="false">IF($E113="","",IFERROR(INDEX(LOT_EXTE,MATCH($E113,LOT_KEY,0)),""))</f>
        <v/>
      </c>
      <c r="P113" s="26" t="str">
        <f aca="false">IF($E113="","",IFERROR(INDEX(LOT_PRODE,MATCH($E113,LOT_KEY,0)),"LOT NON REFERENCE"))</f>
        <v/>
      </c>
      <c r="Q113" s="26" t="str">
        <f aca="false">IF($E113="","",IFERROR(INDEX(LOT_FOURNE,MATCH($E113,LOT_KEY,0)),""))</f>
        <v/>
      </c>
      <c r="R113" s="28" t="n">
        <f aca="false">IF($D113="",0,IF(OR($B113="",$C113="",$E113="",NOT(ISNUMBER($G113)),$G113&lt;=0),0,IF($D113="STOCK EXISTANT",IF($F113="",0,1),1)))</f>
        <v>0</v>
      </c>
      <c r="S113" s="27" t="str">
        <f aca="false">IF(OR($R113=0,$D113&lt;&gt;"STOCK EXISTANT"),"",SUMIFS(MVT_BRUT,MVT_LOT,$E113,MVT_EMPL,$F113)+$G113)</f>
        <v/>
      </c>
      <c r="T113" s="27" t="str">
        <f aca="false">IF($A113="","",SUMIFS(RES_QTEVAL,RES_IDST,$A113))</f>
        <v/>
      </c>
      <c r="U113" s="28" t="str">
        <f aca="false">IF($A113="","",COUNTIFS(RES_IDST,$A113))</f>
        <v/>
      </c>
      <c r="V113" s="27" t="str">
        <f aca="false">IF(OR($A113="",$U113=0),"",$G113-$T113)</f>
        <v/>
      </c>
      <c r="W113" s="30" t="str">
        <f aca="false">IF(OR($A113="",$U113=0,NOT(ISNUMBER($G113)),$G113&lt;=0),"",$T113/$G113)</f>
        <v/>
      </c>
      <c r="X113" s="26" t="str">
        <f aca="false">IF($D113="","",IF($R113=0,"DONNEES MANQUANTES",IF($D113="STOCK EXISTANT",IF($S113&lt;=0,"EMPLACEMENT INCOHERENT",IF($G113&gt;$S113+0.001,"STOCK INSUFFISANT",IF($U113=0,"EN COURS",IF($T113&gt;$G113+0.001,"BLOQUE",IF(AND($V113&gt;P_TOL,$L113=""),"A JUSTIFIER","OK"))))),IF($U113=0,"EN COURS",IF($T113&gt;$G113+0.001,"BLOQUE",IF(AND($V113&gt;P_TOL,$L113=""),"A JUSTIFIER","OK"))))))</f>
        <v/>
      </c>
      <c r="Y113" s="28" t="n">
        <f aca="false">IF(OR($X113="",$X113="DONNEES MANQUANTES",$X113="EMPLACEMENT INCOHERENT",$X113="STOCK INSUFFISANT"),0,1)</f>
        <v>0</v>
      </c>
      <c r="Z113" s="26" t="str">
        <f aca="false">IF($D113="","",IF($R113=0,"A COMPLETER : "&amp;IF($B113="","DATE ENVOI; ","")&amp;IF($C113="","SOUS-TRAITANT; ","")&amp;IF($E113="","LOT SOURCE; ","")&amp;IF(OR(NOT(ISNUMBER($G113)),$G113&lt;=0),"QTE ENVOYEE &gt; 0; ","")&amp;IF(AND($D113="STOCK EXISTANT",$F113=""),"EMPL. SOURCE; ",""),IF($X113="EMPLACEMENT INCOHERENT","Le lot "&amp;$E113&amp;" n'existe pas sur "&amp;$F113&amp;" (stock 0).",IF($X113="STOCK INSUFFISANT","Disponible avant envoi : "&amp;TEXT($S113,"#,##0.00")&amp;" kg. Ligne NON comptee en stock.",IF($X113="BLOQUE","Total des sorties ("&amp;TEXT($T113,"#,##0.00")&amp;" kg) superieur a la quantite envoyee.",IF($X113="EN COURS","Envoi enregistre, resultats non connus. A completer dans ST_RESULTATS.",IF($X113="A JUSTIFIER","Ecart de "&amp;TEXT($V113,"#,##0.00")&amp;" kg : renseigner JUSTIFICATION ECART (colonne L).",IF($P113="LOT NON REFERENCE","Creer d'abord la fiche du lot dans l'onglet LOTS.",""))))))))</f>
        <v/>
      </c>
      <c r="AA113" s="27" t="n">
        <f aca="false">IF(OR($Y113=0,$U113&gt;0),0,$G113)</f>
        <v>0</v>
      </c>
      <c r="AB113" s="26" t="n">
        <f aca="false">IF($R113=0,0,IF(OR($E113=R_LOT,COUNTIFS(RES_IDST,$A113,RES_LOTEFF,R_LOT)&gt;0),1,0))</f>
        <v>0</v>
      </c>
      <c r="AC113" s="26" t="str">
        <f aca="false">IF($AB113=0,"",COUNTIF($AB$5:$AB113,1))</f>
        <v/>
      </c>
    </row>
    <row r="114" customFormat="false" ht="15" hidden="false" customHeight="false" outlineLevel="0" collapsed="false">
      <c r="A114" s="26" t="str">
        <f aca="false">IF($D114="","","ST-"&amp;TEXT(ROW()-4,"000"))</f>
        <v/>
      </c>
      <c r="B114" s="25"/>
      <c r="C114" s="24"/>
      <c r="D114" s="24"/>
      <c r="E114" s="24"/>
      <c r="F114" s="24"/>
      <c r="G114" s="29"/>
      <c r="H114" s="24"/>
      <c r="I114" s="24"/>
      <c r="J114" s="24"/>
      <c r="K114" s="25"/>
      <c r="L114" s="24"/>
      <c r="M114" s="24"/>
      <c r="N114" s="24"/>
      <c r="O114" s="26" t="str">
        <f aca="false">IF($E114="","",IFERROR(INDEX(LOT_EXTE,MATCH($E114,LOT_KEY,0)),""))</f>
        <v/>
      </c>
      <c r="P114" s="26" t="str">
        <f aca="false">IF($E114="","",IFERROR(INDEX(LOT_PRODE,MATCH($E114,LOT_KEY,0)),"LOT NON REFERENCE"))</f>
        <v/>
      </c>
      <c r="Q114" s="26" t="str">
        <f aca="false">IF($E114="","",IFERROR(INDEX(LOT_FOURNE,MATCH($E114,LOT_KEY,0)),""))</f>
        <v/>
      </c>
      <c r="R114" s="28" t="n">
        <f aca="false">IF($D114="",0,IF(OR($B114="",$C114="",$E114="",NOT(ISNUMBER($G114)),$G114&lt;=0),0,IF($D114="STOCK EXISTANT",IF($F114="",0,1),1)))</f>
        <v>0</v>
      </c>
      <c r="S114" s="27" t="str">
        <f aca="false">IF(OR($R114=0,$D114&lt;&gt;"STOCK EXISTANT"),"",SUMIFS(MVT_BRUT,MVT_LOT,$E114,MVT_EMPL,$F114)+$G114)</f>
        <v/>
      </c>
      <c r="T114" s="27" t="str">
        <f aca="false">IF($A114="","",SUMIFS(RES_QTEVAL,RES_IDST,$A114))</f>
        <v/>
      </c>
      <c r="U114" s="28" t="str">
        <f aca="false">IF($A114="","",COUNTIFS(RES_IDST,$A114))</f>
        <v/>
      </c>
      <c r="V114" s="27" t="str">
        <f aca="false">IF(OR($A114="",$U114=0),"",$G114-$T114)</f>
        <v/>
      </c>
      <c r="W114" s="30" t="str">
        <f aca="false">IF(OR($A114="",$U114=0,NOT(ISNUMBER($G114)),$G114&lt;=0),"",$T114/$G114)</f>
        <v/>
      </c>
      <c r="X114" s="26" t="str">
        <f aca="false">IF($D114="","",IF($R114=0,"DONNEES MANQUANTES",IF($D114="STOCK EXISTANT",IF($S114&lt;=0,"EMPLACEMENT INCOHERENT",IF($G114&gt;$S114+0.001,"STOCK INSUFFISANT",IF($U114=0,"EN COURS",IF($T114&gt;$G114+0.001,"BLOQUE",IF(AND($V114&gt;P_TOL,$L114=""),"A JUSTIFIER","OK"))))),IF($U114=0,"EN COURS",IF($T114&gt;$G114+0.001,"BLOQUE",IF(AND($V114&gt;P_TOL,$L114=""),"A JUSTIFIER","OK"))))))</f>
        <v/>
      </c>
      <c r="Y114" s="28" t="n">
        <f aca="false">IF(OR($X114="",$X114="DONNEES MANQUANTES",$X114="EMPLACEMENT INCOHERENT",$X114="STOCK INSUFFISANT"),0,1)</f>
        <v>0</v>
      </c>
      <c r="Z114" s="26" t="str">
        <f aca="false">IF($D114="","",IF($R114=0,"A COMPLETER : "&amp;IF($B114="","DATE ENVOI; ","")&amp;IF($C114="","SOUS-TRAITANT; ","")&amp;IF($E114="","LOT SOURCE; ","")&amp;IF(OR(NOT(ISNUMBER($G114)),$G114&lt;=0),"QTE ENVOYEE &gt; 0; ","")&amp;IF(AND($D114="STOCK EXISTANT",$F114=""),"EMPL. SOURCE; ",""),IF($X114="EMPLACEMENT INCOHERENT","Le lot "&amp;$E114&amp;" n'existe pas sur "&amp;$F114&amp;" (stock 0).",IF($X114="STOCK INSUFFISANT","Disponible avant envoi : "&amp;TEXT($S114,"#,##0.00")&amp;" kg. Ligne NON comptee en stock.",IF($X114="BLOQUE","Total des sorties ("&amp;TEXT($T114,"#,##0.00")&amp;" kg) superieur a la quantite envoyee.",IF($X114="EN COURS","Envoi enregistre, resultats non connus. A completer dans ST_RESULTATS.",IF($X114="A JUSTIFIER","Ecart de "&amp;TEXT($V114,"#,##0.00")&amp;" kg : renseigner JUSTIFICATION ECART (colonne L).",IF($P114="LOT NON REFERENCE","Creer d'abord la fiche du lot dans l'onglet LOTS.",""))))))))</f>
        <v/>
      </c>
      <c r="AA114" s="27" t="n">
        <f aca="false">IF(OR($Y114=0,$U114&gt;0),0,$G114)</f>
        <v>0</v>
      </c>
      <c r="AB114" s="26" t="n">
        <f aca="false">IF($R114=0,0,IF(OR($E114=R_LOT,COUNTIFS(RES_IDST,$A114,RES_LOTEFF,R_LOT)&gt;0),1,0))</f>
        <v>0</v>
      </c>
      <c r="AC114" s="26" t="str">
        <f aca="false">IF($AB114=0,"",COUNTIF($AB$5:$AB114,1))</f>
        <v/>
      </c>
    </row>
    <row r="115" customFormat="false" ht="15" hidden="false" customHeight="false" outlineLevel="0" collapsed="false">
      <c r="A115" s="26" t="str">
        <f aca="false">IF($D115="","","ST-"&amp;TEXT(ROW()-4,"000"))</f>
        <v/>
      </c>
      <c r="B115" s="25"/>
      <c r="C115" s="24"/>
      <c r="D115" s="24"/>
      <c r="E115" s="24"/>
      <c r="F115" s="24"/>
      <c r="G115" s="29"/>
      <c r="H115" s="24"/>
      <c r="I115" s="24"/>
      <c r="J115" s="24"/>
      <c r="K115" s="25"/>
      <c r="L115" s="24"/>
      <c r="M115" s="24"/>
      <c r="N115" s="24"/>
      <c r="O115" s="26" t="str">
        <f aca="false">IF($E115="","",IFERROR(INDEX(LOT_EXTE,MATCH($E115,LOT_KEY,0)),""))</f>
        <v/>
      </c>
      <c r="P115" s="26" t="str">
        <f aca="false">IF($E115="","",IFERROR(INDEX(LOT_PRODE,MATCH($E115,LOT_KEY,0)),"LOT NON REFERENCE"))</f>
        <v/>
      </c>
      <c r="Q115" s="26" t="str">
        <f aca="false">IF($E115="","",IFERROR(INDEX(LOT_FOURNE,MATCH($E115,LOT_KEY,0)),""))</f>
        <v/>
      </c>
      <c r="R115" s="28" t="n">
        <f aca="false">IF($D115="",0,IF(OR($B115="",$C115="",$E115="",NOT(ISNUMBER($G115)),$G115&lt;=0),0,IF($D115="STOCK EXISTANT",IF($F115="",0,1),1)))</f>
        <v>0</v>
      </c>
      <c r="S115" s="27" t="str">
        <f aca="false">IF(OR($R115=0,$D115&lt;&gt;"STOCK EXISTANT"),"",SUMIFS(MVT_BRUT,MVT_LOT,$E115,MVT_EMPL,$F115)+$G115)</f>
        <v/>
      </c>
      <c r="T115" s="27" t="str">
        <f aca="false">IF($A115="","",SUMIFS(RES_QTEVAL,RES_IDST,$A115))</f>
        <v/>
      </c>
      <c r="U115" s="28" t="str">
        <f aca="false">IF($A115="","",COUNTIFS(RES_IDST,$A115))</f>
        <v/>
      </c>
      <c r="V115" s="27" t="str">
        <f aca="false">IF(OR($A115="",$U115=0),"",$G115-$T115)</f>
        <v/>
      </c>
      <c r="W115" s="30" t="str">
        <f aca="false">IF(OR($A115="",$U115=0,NOT(ISNUMBER($G115)),$G115&lt;=0),"",$T115/$G115)</f>
        <v/>
      </c>
      <c r="X115" s="26" t="str">
        <f aca="false">IF($D115="","",IF($R115=0,"DONNEES MANQUANTES",IF($D115="STOCK EXISTANT",IF($S115&lt;=0,"EMPLACEMENT INCOHERENT",IF($G115&gt;$S115+0.001,"STOCK INSUFFISANT",IF($U115=0,"EN COURS",IF($T115&gt;$G115+0.001,"BLOQUE",IF(AND($V115&gt;P_TOL,$L115=""),"A JUSTIFIER","OK"))))),IF($U115=0,"EN COURS",IF($T115&gt;$G115+0.001,"BLOQUE",IF(AND($V115&gt;P_TOL,$L115=""),"A JUSTIFIER","OK"))))))</f>
        <v/>
      </c>
      <c r="Y115" s="28" t="n">
        <f aca="false">IF(OR($X115="",$X115="DONNEES MANQUANTES",$X115="EMPLACEMENT INCOHERENT",$X115="STOCK INSUFFISANT"),0,1)</f>
        <v>0</v>
      </c>
      <c r="Z115" s="26" t="str">
        <f aca="false">IF($D115="","",IF($R115=0,"A COMPLETER : "&amp;IF($B115="","DATE ENVOI; ","")&amp;IF($C115="","SOUS-TRAITANT; ","")&amp;IF($E115="","LOT SOURCE; ","")&amp;IF(OR(NOT(ISNUMBER($G115)),$G115&lt;=0),"QTE ENVOYEE &gt; 0; ","")&amp;IF(AND($D115="STOCK EXISTANT",$F115=""),"EMPL. SOURCE; ",""),IF($X115="EMPLACEMENT INCOHERENT","Le lot "&amp;$E115&amp;" n'existe pas sur "&amp;$F115&amp;" (stock 0).",IF($X115="STOCK INSUFFISANT","Disponible avant envoi : "&amp;TEXT($S115,"#,##0.00")&amp;" kg. Ligne NON comptee en stock.",IF($X115="BLOQUE","Total des sorties ("&amp;TEXT($T115,"#,##0.00")&amp;" kg) superieur a la quantite envoyee.",IF($X115="EN COURS","Envoi enregistre, resultats non connus. A completer dans ST_RESULTATS.",IF($X115="A JUSTIFIER","Ecart de "&amp;TEXT($V115,"#,##0.00")&amp;" kg : renseigner JUSTIFICATION ECART (colonne L).",IF($P115="LOT NON REFERENCE","Creer d'abord la fiche du lot dans l'onglet LOTS.",""))))))))</f>
        <v/>
      </c>
      <c r="AA115" s="27" t="n">
        <f aca="false">IF(OR($Y115=0,$U115&gt;0),0,$G115)</f>
        <v>0</v>
      </c>
      <c r="AB115" s="26" t="n">
        <f aca="false">IF($R115=0,0,IF(OR($E115=R_LOT,COUNTIFS(RES_IDST,$A115,RES_LOTEFF,R_LOT)&gt;0),1,0))</f>
        <v>0</v>
      </c>
      <c r="AC115" s="26" t="str">
        <f aca="false">IF($AB115=0,"",COUNTIF($AB$5:$AB115,1))</f>
        <v/>
      </c>
    </row>
    <row r="116" customFormat="false" ht="15" hidden="false" customHeight="false" outlineLevel="0" collapsed="false">
      <c r="A116" s="26" t="str">
        <f aca="false">IF($D116="","","ST-"&amp;TEXT(ROW()-4,"000"))</f>
        <v/>
      </c>
      <c r="B116" s="25"/>
      <c r="C116" s="24"/>
      <c r="D116" s="24"/>
      <c r="E116" s="24"/>
      <c r="F116" s="24"/>
      <c r="G116" s="29"/>
      <c r="H116" s="24"/>
      <c r="I116" s="24"/>
      <c r="J116" s="24"/>
      <c r="K116" s="25"/>
      <c r="L116" s="24"/>
      <c r="M116" s="24"/>
      <c r="N116" s="24"/>
      <c r="O116" s="26" t="str">
        <f aca="false">IF($E116="","",IFERROR(INDEX(LOT_EXTE,MATCH($E116,LOT_KEY,0)),""))</f>
        <v/>
      </c>
      <c r="P116" s="26" t="str">
        <f aca="false">IF($E116="","",IFERROR(INDEX(LOT_PRODE,MATCH($E116,LOT_KEY,0)),"LOT NON REFERENCE"))</f>
        <v/>
      </c>
      <c r="Q116" s="26" t="str">
        <f aca="false">IF($E116="","",IFERROR(INDEX(LOT_FOURNE,MATCH($E116,LOT_KEY,0)),""))</f>
        <v/>
      </c>
      <c r="R116" s="28" t="n">
        <f aca="false">IF($D116="",0,IF(OR($B116="",$C116="",$E116="",NOT(ISNUMBER($G116)),$G116&lt;=0),0,IF($D116="STOCK EXISTANT",IF($F116="",0,1),1)))</f>
        <v>0</v>
      </c>
      <c r="S116" s="27" t="str">
        <f aca="false">IF(OR($R116=0,$D116&lt;&gt;"STOCK EXISTANT"),"",SUMIFS(MVT_BRUT,MVT_LOT,$E116,MVT_EMPL,$F116)+$G116)</f>
        <v/>
      </c>
      <c r="T116" s="27" t="str">
        <f aca="false">IF($A116="","",SUMIFS(RES_QTEVAL,RES_IDST,$A116))</f>
        <v/>
      </c>
      <c r="U116" s="28" t="str">
        <f aca="false">IF($A116="","",COUNTIFS(RES_IDST,$A116))</f>
        <v/>
      </c>
      <c r="V116" s="27" t="str">
        <f aca="false">IF(OR($A116="",$U116=0),"",$G116-$T116)</f>
        <v/>
      </c>
      <c r="W116" s="30" t="str">
        <f aca="false">IF(OR($A116="",$U116=0,NOT(ISNUMBER($G116)),$G116&lt;=0),"",$T116/$G116)</f>
        <v/>
      </c>
      <c r="X116" s="26" t="str">
        <f aca="false">IF($D116="","",IF($R116=0,"DONNEES MANQUANTES",IF($D116="STOCK EXISTANT",IF($S116&lt;=0,"EMPLACEMENT INCOHERENT",IF($G116&gt;$S116+0.001,"STOCK INSUFFISANT",IF($U116=0,"EN COURS",IF($T116&gt;$G116+0.001,"BLOQUE",IF(AND($V116&gt;P_TOL,$L116=""),"A JUSTIFIER","OK"))))),IF($U116=0,"EN COURS",IF($T116&gt;$G116+0.001,"BLOQUE",IF(AND($V116&gt;P_TOL,$L116=""),"A JUSTIFIER","OK"))))))</f>
        <v/>
      </c>
      <c r="Y116" s="28" t="n">
        <f aca="false">IF(OR($X116="",$X116="DONNEES MANQUANTES",$X116="EMPLACEMENT INCOHERENT",$X116="STOCK INSUFFISANT"),0,1)</f>
        <v>0</v>
      </c>
      <c r="Z116" s="26" t="str">
        <f aca="false">IF($D116="","",IF($R116=0,"A COMPLETER : "&amp;IF($B116="","DATE ENVOI; ","")&amp;IF($C116="","SOUS-TRAITANT; ","")&amp;IF($E116="","LOT SOURCE; ","")&amp;IF(OR(NOT(ISNUMBER($G116)),$G116&lt;=0),"QTE ENVOYEE &gt; 0; ","")&amp;IF(AND($D116="STOCK EXISTANT",$F116=""),"EMPL. SOURCE; ",""),IF($X116="EMPLACEMENT INCOHERENT","Le lot "&amp;$E116&amp;" n'existe pas sur "&amp;$F116&amp;" (stock 0).",IF($X116="STOCK INSUFFISANT","Disponible avant envoi : "&amp;TEXT($S116,"#,##0.00")&amp;" kg. Ligne NON comptee en stock.",IF($X116="BLOQUE","Total des sorties ("&amp;TEXT($T116,"#,##0.00")&amp;" kg) superieur a la quantite envoyee.",IF($X116="EN COURS","Envoi enregistre, resultats non connus. A completer dans ST_RESULTATS.",IF($X116="A JUSTIFIER","Ecart de "&amp;TEXT($V116,"#,##0.00")&amp;" kg : renseigner JUSTIFICATION ECART (colonne L).",IF($P116="LOT NON REFERENCE","Creer d'abord la fiche du lot dans l'onglet LOTS.",""))))))))</f>
        <v/>
      </c>
      <c r="AA116" s="27" t="n">
        <f aca="false">IF(OR($Y116=0,$U116&gt;0),0,$G116)</f>
        <v>0</v>
      </c>
      <c r="AB116" s="26" t="n">
        <f aca="false">IF($R116=0,0,IF(OR($E116=R_LOT,COUNTIFS(RES_IDST,$A116,RES_LOTEFF,R_LOT)&gt;0),1,0))</f>
        <v>0</v>
      </c>
      <c r="AC116" s="26" t="str">
        <f aca="false">IF($AB116=0,"",COUNTIF($AB$5:$AB116,1))</f>
        <v/>
      </c>
    </row>
    <row r="117" customFormat="false" ht="15" hidden="false" customHeight="false" outlineLevel="0" collapsed="false">
      <c r="A117" s="26" t="str">
        <f aca="false">IF($D117="","","ST-"&amp;TEXT(ROW()-4,"000"))</f>
        <v/>
      </c>
      <c r="B117" s="25"/>
      <c r="C117" s="24"/>
      <c r="D117" s="24"/>
      <c r="E117" s="24"/>
      <c r="F117" s="24"/>
      <c r="G117" s="29"/>
      <c r="H117" s="24"/>
      <c r="I117" s="24"/>
      <c r="J117" s="24"/>
      <c r="K117" s="25"/>
      <c r="L117" s="24"/>
      <c r="M117" s="24"/>
      <c r="N117" s="24"/>
      <c r="O117" s="26" t="str">
        <f aca="false">IF($E117="","",IFERROR(INDEX(LOT_EXTE,MATCH($E117,LOT_KEY,0)),""))</f>
        <v/>
      </c>
      <c r="P117" s="26" t="str">
        <f aca="false">IF($E117="","",IFERROR(INDEX(LOT_PRODE,MATCH($E117,LOT_KEY,0)),"LOT NON REFERENCE"))</f>
        <v/>
      </c>
      <c r="Q117" s="26" t="str">
        <f aca="false">IF($E117="","",IFERROR(INDEX(LOT_FOURNE,MATCH($E117,LOT_KEY,0)),""))</f>
        <v/>
      </c>
      <c r="R117" s="28" t="n">
        <f aca="false">IF($D117="",0,IF(OR($B117="",$C117="",$E117="",NOT(ISNUMBER($G117)),$G117&lt;=0),0,IF($D117="STOCK EXISTANT",IF($F117="",0,1),1)))</f>
        <v>0</v>
      </c>
      <c r="S117" s="27" t="str">
        <f aca="false">IF(OR($R117=0,$D117&lt;&gt;"STOCK EXISTANT"),"",SUMIFS(MVT_BRUT,MVT_LOT,$E117,MVT_EMPL,$F117)+$G117)</f>
        <v/>
      </c>
      <c r="T117" s="27" t="str">
        <f aca="false">IF($A117="","",SUMIFS(RES_QTEVAL,RES_IDST,$A117))</f>
        <v/>
      </c>
      <c r="U117" s="28" t="str">
        <f aca="false">IF($A117="","",COUNTIFS(RES_IDST,$A117))</f>
        <v/>
      </c>
      <c r="V117" s="27" t="str">
        <f aca="false">IF(OR($A117="",$U117=0),"",$G117-$T117)</f>
        <v/>
      </c>
      <c r="W117" s="30" t="str">
        <f aca="false">IF(OR($A117="",$U117=0,NOT(ISNUMBER($G117)),$G117&lt;=0),"",$T117/$G117)</f>
        <v/>
      </c>
      <c r="X117" s="26" t="str">
        <f aca="false">IF($D117="","",IF($R117=0,"DONNEES MANQUANTES",IF($D117="STOCK EXISTANT",IF($S117&lt;=0,"EMPLACEMENT INCOHERENT",IF($G117&gt;$S117+0.001,"STOCK INSUFFISANT",IF($U117=0,"EN COURS",IF($T117&gt;$G117+0.001,"BLOQUE",IF(AND($V117&gt;P_TOL,$L117=""),"A JUSTIFIER","OK"))))),IF($U117=0,"EN COURS",IF($T117&gt;$G117+0.001,"BLOQUE",IF(AND($V117&gt;P_TOL,$L117=""),"A JUSTIFIER","OK"))))))</f>
        <v/>
      </c>
      <c r="Y117" s="28" t="n">
        <f aca="false">IF(OR($X117="",$X117="DONNEES MANQUANTES",$X117="EMPLACEMENT INCOHERENT",$X117="STOCK INSUFFISANT"),0,1)</f>
        <v>0</v>
      </c>
      <c r="Z117" s="26" t="str">
        <f aca="false">IF($D117="","",IF($R117=0,"A COMPLETER : "&amp;IF($B117="","DATE ENVOI; ","")&amp;IF($C117="","SOUS-TRAITANT; ","")&amp;IF($E117="","LOT SOURCE; ","")&amp;IF(OR(NOT(ISNUMBER($G117)),$G117&lt;=0),"QTE ENVOYEE &gt; 0; ","")&amp;IF(AND($D117="STOCK EXISTANT",$F117=""),"EMPL. SOURCE; ",""),IF($X117="EMPLACEMENT INCOHERENT","Le lot "&amp;$E117&amp;" n'existe pas sur "&amp;$F117&amp;" (stock 0).",IF($X117="STOCK INSUFFISANT","Disponible avant envoi : "&amp;TEXT($S117,"#,##0.00")&amp;" kg. Ligne NON comptee en stock.",IF($X117="BLOQUE","Total des sorties ("&amp;TEXT($T117,"#,##0.00")&amp;" kg) superieur a la quantite envoyee.",IF($X117="EN COURS","Envoi enregistre, resultats non connus. A completer dans ST_RESULTATS.",IF($X117="A JUSTIFIER","Ecart de "&amp;TEXT($V117,"#,##0.00")&amp;" kg : renseigner JUSTIFICATION ECART (colonne L).",IF($P117="LOT NON REFERENCE","Creer d'abord la fiche du lot dans l'onglet LOTS.",""))))))))</f>
        <v/>
      </c>
      <c r="AA117" s="27" t="n">
        <f aca="false">IF(OR($Y117=0,$U117&gt;0),0,$G117)</f>
        <v>0</v>
      </c>
      <c r="AB117" s="26" t="n">
        <f aca="false">IF($R117=0,0,IF(OR($E117=R_LOT,COUNTIFS(RES_IDST,$A117,RES_LOTEFF,R_LOT)&gt;0),1,0))</f>
        <v>0</v>
      </c>
      <c r="AC117" s="26" t="str">
        <f aca="false">IF($AB117=0,"",COUNTIF($AB$5:$AB117,1))</f>
        <v/>
      </c>
    </row>
    <row r="118" customFormat="false" ht="15" hidden="false" customHeight="false" outlineLevel="0" collapsed="false">
      <c r="A118" s="26" t="str">
        <f aca="false">IF($D118="","","ST-"&amp;TEXT(ROW()-4,"000"))</f>
        <v/>
      </c>
      <c r="B118" s="25"/>
      <c r="C118" s="24"/>
      <c r="D118" s="24"/>
      <c r="E118" s="24"/>
      <c r="F118" s="24"/>
      <c r="G118" s="29"/>
      <c r="H118" s="24"/>
      <c r="I118" s="24"/>
      <c r="J118" s="24"/>
      <c r="K118" s="25"/>
      <c r="L118" s="24"/>
      <c r="M118" s="24"/>
      <c r="N118" s="24"/>
      <c r="O118" s="26" t="str">
        <f aca="false">IF($E118="","",IFERROR(INDEX(LOT_EXTE,MATCH($E118,LOT_KEY,0)),""))</f>
        <v/>
      </c>
      <c r="P118" s="26" t="str">
        <f aca="false">IF($E118="","",IFERROR(INDEX(LOT_PRODE,MATCH($E118,LOT_KEY,0)),"LOT NON REFERENCE"))</f>
        <v/>
      </c>
      <c r="Q118" s="26" t="str">
        <f aca="false">IF($E118="","",IFERROR(INDEX(LOT_FOURNE,MATCH($E118,LOT_KEY,0)),""))</f>
        <v/>
      </c>
      <c r="R118" s="28" t="n">
        <f aca="false">IF($D118="",0,IF(OR($B118="",$C118="",$E118="",NOT(ISNUMBER($G118)),$G118&lt;=0),0,IF($D118="STOCK EXISTANT",IF($F118="",0,1),1)))</f>
        <v>0</v>
      </c>
      <c r="S118" s="27" t="str">
        <f aca="false">IF(OR($R118=0,$D118&lt;&gt;"STOCK EXISTANT"),"",SUMIFS(MVT_BRUT,MVT_LOT,$E118,MVT_EMPL,$F118)+$G118)</f>
        <v/>
      </c>
      <c r="T118" s="27" t="str">
        <f aca="false">IF($A118="","",SUMIFS(RES_QTEVAL,RES_IDST,$A118))</f>
        <v/>
      </c>
      <c r="U118" s="28" t="str">
        <f aca="false">IF($A118="","",COUNTIFS(RES_IDST,$A118))</f>
        <v/>
      </c>
      <c r="V118" s="27" t="str">
        <f aca="false">IF(OR($A118="",$U118=0),"",$G118-$T118)</f>
        <v/>
      </c>
      <c r="W118" s="30" t="str">
        <f aca="false">IF(OR($A118="",$U118=0,NOT(ISNUMBER($G118)),$G118&lt;=0),"",$T118/$G118)</f>
        <v/>
      </c>
      <c r="X118" s="26" t="str">
        <f aca="false">IF($D118="","",IF($R118=0,"DONNEES MANQUANTES",IF($D118="STOCK EXISTANT",IF($S118&lt;=0,"EMPLACEMENT INCOHERENT",IF($G118&gt;$S118+0.001,"STOCK INSUFFISANT",IF($U118=0,"EN COURS",IF($T118&gt;$G118+0.001,"BLOQUE",IF(AND($V118&gt;P_TOL,$L118=""),"A JUSTIFIER","OK"))))),IF($U118=0,"EN COURS",IF($T118&gt;$G118+0.001,"BLOQUE",IF(AND($V118&gt;P_TOL,$L118=""),"A JUSTIFIER","OK"))))))</f>
        <v/>
      </c>
      <c r="Y118" s="28" t="n">
        <f aca="false">IF(OR($X118="",$X118="DONNEES MANQUANTES",$X118="EMPLACEMENT INCOHERENT",$X118="STOCK INSUFFISANT"),0,1)</f>
        <v>0</v>
      </c>
      <c r="Z118" s="26" t="str">
        <f aca="false">IF($D118="","",IF($R118=0,"A COMPLETER : "&amp;IF($B118="","DATE ENVOI; ","")&amp;IF($C118="","SOUS-TRAITANT; ","")&amp;IF($E118="","LOT SOURCE; ","")&amp;IF(OR(NOT(ISNUMBER($G118)),$G118&lt;=0),"QTE ENVOYEE &gt; 0; ","")&amp;IF(AND($D118="STOCK EXISTANT",$F118=""),"EMPL. SOURCE; ",""),IF($X118="EMPLACEMENT INCOHERENT","Le lot "&amp;$E118&amp;" n'existe pas sur "&amp;$F118&amp;" (stock 0).",IF($X118="STOCK INSUFFISANT","Disponible avant envoi : "&amp;TEXT($S118,"#,##0.00")&amp;" kg. Ligne NON comptee en stock.",IF($X118="BLOQUE","Total des sorties ("&amp;TEXT($T118,"#,##0.00")&amp;" kg) superieur a la quantite envoyee.",IF($X118="EN COURS","Envoi enregistre, resultats non connus. A completer dans ST_RESULTATS.",IF($X118="A JUSTIFIER","Ecart de "&amp;TEXT($V118,"#,##0.00")&amp;" kg : renseigner JUSTIFICATION ECART (colonne L).",IF($P118="LOT NON REFERENCE","Creer d'abord la fiche du lot dans l'onglet LOTS.",""))))))))</f>
        <v/>
      </c>
      <c r="AA118" s="27" t="n">
        <f aca="false">IF(OR($Y118=0,$U118&gt;0),0,$G118)</f>
        <v>0</v>
      </c>
      <c r="AB118" s="26" t="n">
        <f aca="false">IF($R118=0,0,IF(OR($E118=R_LOT,COUNTIFS(RES_IDST,$A118,RES_LOTEFF,R_LOT)&gt;0),1,0))</f>
        <v>0</v>
      </c>
      <c r="AC118" s="26" t="str">
        <f aca="false">IF($AB118=0,"",COUNTIF($AB$5:$AB118,1))</f>
        <v/>
      </c>
    </row>
    <row r="119" customFormat="false" ht="15" hidden="false" customHeight="false" outlineLevel="0" collapsed="false">
      <c r="A119" s="26" t="str">
        <f aca="false">IF($D119="","","ST-"&amp;TEXT(ROW()-4,"000"))</f>
        <v/>
      </c>
      <c r="B119" s="25"/>
      <c r="C119" s="24"/>
      <c r="D119" s="24"/>
      <c r="E119" s="24"/>
      <c r="F119" s="24"/>
      <c r="G119" s="29"/>
      <c r="H119" s="24"/>
      <c r="I119" s="24"/>
      <c r="J119" s="24"/>
      <c r="K119" s="25"/>
      <c r="L119" s="24"/>
      <c r="M119" s="24"/>
      <c r="N119" s="24"/>
      <c r="O119" s="26" t="str">
        <f aca="false">IF($E119="","",IFERROR(INDEX(LOT_EXTE,MATCH($E119,LOT_KEY,0)),""))</f>
        <v/>
      </c>
      <c r="P119" s="26" t="str">
        <f aca="false">IF($E119="","",IFERROR(INDEX(LOT_PRODE,MATCH($E119,LOT_KEY,0)),"LOT NON REFERENCE"))</f>
        <v/>
      </c>
      <c r="Q119" s="26" t="str">
        <f aca="false">IF($E119="","",IFERROR(INDEX(LOT_FOURNE,MATCH($E119,LOT_KEY,0)),""))</f>
        <v/>
      </c>
      <c r="R119" s="28" t="n">
        <f aca="false">IF($D119="",0,IF(OR($B119="",$C119="",$E119="",NOT(ISNUMBER($G119)),$G119&lt;=0),0,IF($D119="STOCK EXISTANT",IF($F119="",0,1),1)))</f>
        <v>0</v>
      </c>
      <c r="S119" s="27" t="str">
        <f aca="false">IF(OR($R119=0,$D119&lt;&gt;"STOCK EXISTANT"),"",SUMIFS(MVT_BRUT,MVT_LOT,$E119,MVT_EMPL,$F119)+$G119)</f>
        <v/>
      </c>
      <c r="T119" s="27" t="str">
        <f aca="false">IF($A119="","",SUMIFS(RES_QTEVAL,RES_IDST,$A119))</f>
        <v/>
      </c>
      <c r="U119" s="28" t="str">
        <f aca="false">IF($A119="","",COUNTIFS(RES_IDST,$A119))</f>
        <v/>
      </c>
      <c r="V119" s="27" t="str">
        <f aca="false">IF(OR($A119="",$U119=0),"",$G119-$T119)</f>
        <v/>
      </c>
      <c r="W119" s="30" t="str">
        <f aca="false">IF(OR($A119="",$U119=0,NOT(ISNUMBER($G119)),$G119&lt;=0),"",$T119/$G119)</f>
        <v/>
      </c>
      <c r="X119" s="26" t="str">
        <f aca="false">IF($D119="","",IF($R119=0,"DONNEES MANQUANTES",IF($D119="STOCK EXISTANT",IF($S119&lt;=0,"EMPLACEMENT INCOHERENT",IF($G119&gt;$S119+0.001,"STOCK INSUFFISANT",IF($U119=0,"EN COURS",IF($T119&gt;$G119+0.001,"BLOQUE",IF(AND($V119&gt;P_TOL,$L119=""),"A JUSTIFIER","OK"))))),IF($U119=0,"EN COURS",IF($T119&gt;$G119+0.001,"BLOQUE",IF(AND($V119&gt;P_TOL,$L119=""),"A JUSTIFIER","OK"))))))</f>
        <v/>
      </c>
      <c r="Y119" s="28" t="n">
        <f aca="false">IF(OR($X119="",$X119="DONNEES MANQUANTES",$X119="EMPLACEMENT INCOHERENT",$X119="STOCK INSUFFISANT"),0,1)</f>
        <v>0</v>
      </c>
      <c r="Z119" s="26" t="str">
        <f aca="false">IF($D119="","",IF($R119=0,"A COMPLETER : "&amp;IF($B119="","DATE ENVOI; ","")&amp;IF($C119="","SOUS-TRAITANT; ","")&amp;IF($E119="","LOT SOURCE; ","")&amp;IF(OR(NOT(ISNUMBER($G119)),$G119&lt;=0),"QTE ENVOYEE &gt; 0; ","")&amp;IF(AND($D119="STOCK EXISTANT",$F119=""),"EMPL. SOURCE; ",""),IF($X119="EMPLACEMENT INCOHERENT","Le lot "&amp;$E119&amp;" n'existe pas sur "&amp;$F119&amp;" (stock 0).",IF($X119="STOCK INSUFFISANT","Disponible avant envoi : "&amp;TEXT($S119,"#,##0.00")&amp;" kg. Ligne NON comptee en stock.",IF($X119="BLOQUE","Total des sorties ("&amp;TEXT($T119,"#,##0.00")&amp;" kg) superieur a la quantite envoyee.",IF($X119="EN COURS","Envoi enregistre, resultats non connus. A completer dans ST_RESULTATS.",IF($X119="A JUSTIFIER","Ecart de "&amp;TEXT($V119,"#,##0.00")&amp;" kg : renseigner JUSTIFICATION ECART (colonne L).",IF($P119="LOT NON REFERENCE","Creer d'abord la fiche du lot dans l'onglet LOTS.",""))))))))</f>
        <v/>
      </c>
      <c r="AA119" s="27" t="n">
        <f aca="false">IF(OR($Y119=0,$U119&gt;0),0,$G119)</f>
        <v>0</v>
      </c>
      <c r="AB119" s="26" t="n">
        <f aca="false">IF($R119=0,0,IF(OR($E119=R_LOT,COUNTIFS(RES_IDST,$A119,RES_LOTEFF,R_LOT)&gt;0),1,0))</f>
        <v>0</v>
      </c>
      <c r="AC119" s="26" t="str">
        <f aca="false">IF($AB119=0,"",COUNTIF($AB$5:$AB119,1))</f>
        <v/>
      </c>
    </row>
    <row r="120" customFormat="false" ht="15" hidden="false" customHeight="false" outlineLevel="0" collapsed="false">
      <c r="A120" s="26" t="str">
        <f aca="false">IF($D120="","","ST-"&amp;TEXT(ROW()-4,"000"))</f>
        <v/>
      </c>
      <c r="B120" s="25"/>
      <c r="C120" s="24"/>
      <c r="D120" s="24"/>
      <c r="E120" s="24"/>
      <c r="F120" s="24"/>
      <c r="G120" s="29"/>
      <c r="H120" s="24"/>
      <c r="I120" s="24"/>
      <c r="J120" s="24"/>
      <c r="K120" s="25"/>
      <c r="L120" s="24"/>
      <c r="M120" s="24"/>
      <c r="N120" s="24"/>
      <c r="O120" s="26" t="str">
        <f aca="false">IF($E120="","",IFERROR(INDEX(LOT_EXTE,MATCH($E120,LOT_KEY,0)),""))</f>
        <v/>
      </c>
      <c r="P120" s="26" t="str">
        <f aca="false">IF($E120="","",IFERROR(INDEX(LOT_PRODE,MATCH($E120,LOT_KEY,0)),"LOT NON REFERENCE"))</f>
        <v/>
      </c>
      <c r="Q120" s="26" t="str">
        <f aca="false">IF($E120="","",IFERROR(INDEX(LOT_FOURNE,MATCH($E120,LOT_KEY,0)),""))</f>
        <v/>
      </c>
      <c r="R120" s="28" t="n">
        <f aca="false">IF($D120="",0,IF(OR($B120="",$C120="",$E120="",NOT(ISNUMBER($G120)),$G120&lt;=0),0,IF($D120="STOCK EXISTANT",IF($F120="",0,1),1)))</f>
        <v>0</v>
      </c>
      <c r="S120" s="27" t="str">
        <f aca="false">IF(OR($R120=0,$D120&lt;&gt;"STOCK EXISTANT"),"",SUMIFS(MVT_BRUT,MVT_LOT,$E120,MVT_EMPL,$F120)+$G120)</f>
        <v/>
      </c>
      <c r="T120" s="27" t="str">
        <f aca="false">IF($A120="","",SUMIFS(RES_QTEVAL,RES_IDST,$A120))</f>
        <v/>
      </c>
      <c r="U120" s="28" t="str">
        <f aca="false">IF($A120="","",COUNTIFS(RES_IDST,$A120))</f>
        <v/>
      </c>
      <c r="V120" s="27" t="str">
        <f aca="false">IF(OR($A120="",$U120=0),"",$G120-$T120)</f>
        <v/>
      </c>
      <c r="W120" s="30" t="str">
        <f aca="false">IF(OR($A120="",$U120=0,NOT(ISNUMBER($G120)),$G120&lt;=0),"",$T120/$G120)</f>
        <v/>
      </c>
      <c r="X120" s="26" t="str">
        <f aca="false">IF($D120="","",IF($R120=0,"DONNEES MANQUANTES",IF($D120="STOCK EXISTANT",IF($S120&lt;=0,"EMPLACEMENT INCOHERENT",IF($G120&gt;$S120+0.001,"STOCK INSUFFISANT",IF($U120=0,"EN COURS",IF($T120&gt;$G120+0.001,"BLOQUE",IF(AND($V120&gt;P_TOL,$L120=""),"A JUSTIFIER","OK"))))),IF($U120=0,"EN COURS",IF($T120&gt;$G120+0.001,"BLOQUE",IF(AND($V120&gt;P_TOL,$L120=""),"A JUSTIFIER","OK"))))))</f>
        <v/>
      </c>
      <c r="Y120" s="28" t="n">
        <f aca="false">IF(OR($X120="",$X120="DONNEES MANQUANTES",$X120="EMPLACEMENT INCOHERENT",$X120="STOCK INSUFFISANT"),0,1)</f>
        <v>0</v>
      </c>
      <c r="Z120" s="26" t="str">
        <f aca="false">IF($D120="","",IF($R120=0,"A COMPLETER : "&amp;IF($B120="","DATE ENVOI; ","")&amp;IF($C120="","SOUS-TRAITANT; ","")&amp;IF($E120="","LOT SOURCE; ","")&amp;IF(OR(NOT(ISNUMBER($G120)),$G120&lt;=0),"QTE ENVOYEE &gt; 0; ","")&amp;IF(AND($D120="STOCK EXISTANT",$F120=""),"EMPL. SOURCE; ",""),IF($X120="EMPLACEMENT INCOHERENT","Le lot "&amp;$E120&amp;" n'existe pas sur "&amp;$F120&amp;" (stock 0).",IF($X120="STOCK INSUFFISANT","Disponible avant envoi : "&amp;TEXT($S120,"#,##0.00")&amp;" kg. Ligne NON comptee en stock.",IF($X120="BLOQUE","Total des sorties ("&amp;TEXT($T120,"#,##0.00")&amp;" kg) superieur a la quantite envoyee.",IF($X120="EN COURS","Envoi enregistre, resultats non connus. A completer dans ST_RESULTATS.",IF($X120="A JUSTIFIER","Ecart de "&amp;TEXT($V120,"#,##0.00")&amp;" kg : renseigner JUSTIFICATION ECART (colonne L).",IF($P120="LOT NON REFERENCE","Creer d'abord la fiche du lot dans l'onglet LOTS.",""))))))))</f>
        <v/>
      </c>
      <c r="AA120" s="27" t="n">
        <f aca="false">IF(OR($Y120=0,$U120&gt;0),0,$G120)</f>
        <v>0</v>
      </c>
      <c r="AB120" s="26" t="n">
        <f aca="false">IF($R120=0,0,IF(OR($E120=R_LOT,COUNTIFS(RES_IDST,$A120,RES_LOTEFF,R_LOT)&gt;0),1,0))</f>
        <v>0</v>
      </c>
      <c r="AC120" s="26" t="str">
        <f aca="false">IF($AB120=0,"",COUNTIF($AB$5:$AB120,1))</f>
        <v/>
      </c>
    </row>
    <row r="121" customFormat="false" ht="15" hidden="false" customHeight="false" outlineLevel="0" collapsed="false">
      <c r="A121" s="26" t="str">
        <f aca="false">IF($D121="","","ST-"&amp;TEXT(ROW()-4,"000"))</f>
        <v/>
      </c>
      <c r="B121" s="25"/>
      <c r="C121" s="24"/>
      <c r="D121" s="24"/>
      <c r="E121" s="24"/>
      <c r="F121" s="24"/>
      <c r="G121" s="29"/>
      <c r="H121" s="24"/>
      <c r="I121" s="24"/>
      <c r="J121" s="24"/>
      <c r="K121" s="25"/>
      <c r="L121" s="24"/>
      <c r="M121" s="24"/>
      <c r="N121" s="24"/>
      <c r="O121" s="26" t="str">
        <f aca="false">IF($E121="","",IFERROR(INDEX(LOT_EXTE,MATCH($E121,LOT_KEY,0)),""))</f>
        <v/>
      </c>
      <c r="P121" s="26" t="str">
        <f aca="false">IF($E121="","",IFERROR(INDEX(LOT_PRODE,MATCH($E121,LOT_KEY,0)),"LOT NON REFERENCE"))</f>
        <v/>
      </c>
      <c r="Q121" s="26" t="str">
        <f aca="false">IF($E121="","",IFERROR(INDEX(LOT_FOURNE,MATCH($E121,LOT_KEY,0)),""))</f>
        <v/>
      </c>
      <c r="R121" s="28" t="n">
        <f aca="false">IF($D121="",0,IF(OR($B121="",$C121="",$E121="",NOT(ISNUMBER($G121)),$G121&lt;=0),0,IF($D121="STOCK EXISTANT",IF($F121="",0,1),1)))</f>
        <v>0</v>
      </c>
      <c r="S121" s="27" t="str">
        <f aca="false">IF(OR($R121=0,$D121&lt;&gt;"STOCK EXISTANT"),"",SUMIFS(MVT_BRUT,MVT_LOT,$E121,MVT_EMPL,$F121)+$G121)</f>
        <v/>
      </c>
      <c r="T121" s="27" t="str">
        <f aca="false">IF($A121="","",SUMIFS(RES_QTEVAL,RES_IDST,$A121))</f>
        <v/>
      </c>
      <c r="U121" s="28" t="str">
        <f aca="false">IF($A121="","",COUNTIFS(RES_IDST,$A121))</f>
        <v/>
      </c>
      <c r="V121" s="27" t="str">
        <f aca="false">IF(OR($A121="",$U121=0),"",$G121-$T121)</f>
        <v/>
      </c>
      <c r="W121" s="30" t="str">
        <f aca="false">IF(OR($A121="",$U121=0,NOT(ISNUMBER($G121)),$G121&lt;=0),"",$T121/$G121)</f>
        <v/>
      </c>
      <c r="X121" s="26" t="str">
        <f aca="false">IF($D121="","",IF($R121=0,"DONNEES MANQUANTES",IF($D121="STOCK EXISTANT",IF($S121&lt;=0,"EMPLACEMENT INCOHERENT",IF($G121&gt;$S121+0.001,"STOCK INSUFFISANT",IF($U121=0,"EN COURS",IF($T121&gt;$G121+0.001,"BLOQUE",IF(AND($V121&gt;P_TOL,$L121=""),"A JUSTIFIER","OK"))))),IF($U121=0,"EN COURS",IF($T121&gt;$G121+0.001,"BLOQUE",IF(AND($V121&gt;P_TOL,$L121=""),"A JUSTIFIER","OK"))))))</f>
        <v/>
      </c>
      <c r="Y121" s="28" t="n">
        <f aca="false">IF(OR($X121="",$X121="DONNEES MANQUANTES",$X121="EMPLACEMENT INCOHERENT",$X121="STOCK INSUFFISANT"),0,1)</f>
        <v>0</v>
      </c>
      <c r="Z121" s="26" t="str">
        <f aca="false">IF($D121="","",IF($R121=0,"A COMPLETER : "&amp;IF($B121="","DATE ENVOI; ","")&amp;IF($C121="","SOUS-TRAITANT; ","")&amp;IF($E121="","LOT SOURCE; ","")&amp;IF(OR(NOT(ISNUMBER($G121)),$G121&lt;=0),"QTE ENVOYEE &gt; 0; ","")&amp;IF(AND($D121="STOCK EXISTANT",$F121=""),"EMPL. SOURCE; ",""),IF($X121="EMPLACEMENT INCOHERENT","Le lot "&amp;$E121&amp;" n'existe pas sur "&amp;$F121&amp;" (stock 0).",IF($X121="STOCK INSUFFISANT","Disponible avant envoi : "&amp;TEXT($S121,"#,##0.00")&amp;" kg. Ligne NON comptee en stock.",IF($X121="BLOQUE","Total des sorties ("&amp;TEXT($T121,"#,##0.00")&amp;" kg) superieur a la quantite envoyee.",IF($X121="EN COURS","Envoi enregistre, resultats non connus. A completer dans ST_RESULTATS.",IF($X121="A JUSTIFIER","Ecart de "&amp;TEXT($V121,"#,##0.00")&amp;" kg : renseigner JUSTIFICATION ECART (colonne L).",IF($P121="LOT NON REFERENCE","Creer d'abord la fiche du lot dans l'onglet LOTS.",""))))))))</f>
        <v/>
      </c>
      <c r="AA121" s="27" t="n">
        <f aca="false">IF(OR($Y121=0,$U121&gt;0),0,$G121)</f>
        <v>0</v>
      </c>
      <c r="AB121" s="26" t="n">
        <f aca="false">IF($R121=0,0,IF(OR($E121=R_LOT,COUNTIFS(RES_IDST,$A121,RES_LOTEFF,R_LOT)&gt;0),1,0))</f>
        <v>0</v>
      </c>
      <c r="AC121" s="26" t="str">
        <f aca="false">IF($AB121=0,"",COUNTIF($AB$5:$AB121,1))</f>
        <v/>
      </c>
    </row>
    <row r="122" customFormat="false" ht="15" hidden="false" customHeight="false" outlineLevel="0" collapsed="false">
      <c r="A122" s="26" t="str">
        <f aca="false">IF($D122="","","ST-"&amp;TEXT(ROW()-4,"000"))</f>
        <v/>
      </c>
      <c r="B122" s="25"/>
      <c r="C122" s="24"/>
      <c r="D122" s="24"/>
      <c r="E122" s="24"/>
      <c r="F122" s="24"/>
      <c r="G122" s="29"/>
      <c r="H122" s="24"/>
      <c r="I122" s="24"/>
      <c r="J122" s="24"/>
      <c r="K122" s="25"/>
      <c r="L122" s="24"/>
      <c r="M122" s="24"/>
      <c r="N122" s="24"/>
      <c r="O122" s="26" t="str">
        <f aca="false">IF($E122="","",IFERROR(INDEX(LOT_EXTE,MATCH($E122,LOT_KEY,0)),""))</f>
        <v/>
      </c>
      <c r="P122" s="26" t="str">
        <f aca="false">IF($E122="","",IFERROR(INDEX(LOT_PRODE,MATCH($E122,LOT_KEY,0)),"LOT NON REFERENCE"))</f>
        <v/>
      </c>
      <c r="Q122" s="26" t="str">
        <f aca="false">IF($E122="","",IFERROR(INDEX(LOT_FOURNE,MATCH($E122,LOT_KEY,0)),""))</f>
        <v/>
      </c>
      <c r="R122" s="28" t="n">
        <f aca="false">IF($D122="",0,IF(OR($B122="",$C122="",$E122="",NOT(ISNUMBER($G122)),$G122&lt;=0),0,IF($D122="STOCK EXISTANT",IF($F122="",0,1),1)))</f>
        <v>0</v>
      </c>
      <c r="S122" s="27" t="str">
        <f aca="false">IF(OR($R122=0,$D122&lt;&gt;"STOCK EXISTANT"),"",SUMIFS(MVT_BRUT,MVT_LOT,$E122,MVT_EMPL,$F122)+$G122)</f>
        <v/>
      </c>
      <c r="T122" s="27" t="str">
        <f aca="false">IF($A122="","",SUMIFS(RES_QTEVAL,RES_IDST,$A122))</f>
        <v/>
      </c>
      <c r="U122" s="28" t="str">
        <f aca="false">IF($A122="","",COUNTIFS(RES_IDST,$A122))</f>
        <v/>
      </c>
      <c r="V122" s="27" t="str">
        <f aca="false">IF(OR($A122="",$U122=0),"",$G122-$T122)</f>
        <v/>
      </c>
      <c r="W122" s="30" t="str">
        <f aca="false">IF(OR($A122="",$U122=0,NOT(ISNUMBER($G122)),$G122&lt;=0),"",$T122/$G122)</f>
        <v/>
      </c>
      <c r="X122" s="26" t="str">
        <f aca="false">IF($D122="","",IF($R122=0,"DONNEES MANQUANTES",IF($D122="STOCK EXISTANT",IF($S122&lt;=0,"EMPLACEMENT INCOHERENT",IF($G122&gt;$S122+0.001,"STOCK INSUFFISANT",IF($U122=0,"EN COURS",IF($T122&gt;$G122+0.001,"BLOQUE",IF(AND($V122&gt;P_TOL,$L122=""),"A JUSTIFIER","OK"))))),IF($U122=0,"EN COURS",IF($T122&gt;$G122+0.001,"BLOQUE",IF(AND($V122&gt;P_TOL,$L122=""),"A JUSTIFIER","OK"))))))</f>
        <v/>
      </c>
      <c r="Y122" s="28" t="n">
        <f aca="false">IF(OR($X122="",$X122="DONNEES MANQUANTES",$X122="EMPLACEMENT INCOHERENT",$X122="STOCK INSUFFISANT"),0,1)</f>
        <v>0</v>
      </c>
      <c r="Z122" s="26" t="str">
        <f aca="false">IF($D122="","",IF($R122=0,"A COMPLETER : "&amp;IF($B122="","DATE ENVOI; ","")&amp;IF($C122="","SOUS-TRAITANT; ","")&amp;IF($E122="","LOT SOURCE; ","")&amp;IF(OR(NOT(ISNUMBER($G122)),$G122&lt;=0),"QTE ENVOYEE &gt; 0; ","")&amp;IF(AND($D122="STOCK EXISTANT",$F122=""),"EMPL. SOURCE; ",""),IF($X122="EMPLACEMENT INCOHERENT","Le lot "&amp;$E122&amp;" n'existe pas sur "&amp;$F122&amp;" (stock 0).",IF($X122="STOCK INSUFFISANT","Disponible avant envoi : "&amp;TEXT($S122,"#,##0.00")&amp;" kg. Ligne NON comptee en stock.",IF($X122="BLOQUE","Total des sorties ("&amp;TEXT($T122,"#,##0.00")&amp;" kg) superieur a la quantite envoyee.",IF($X122="EN COURS","Envoi enregistre, resultats non connus. A completer dans ST_RESULTATS.",IF($X122="A JUSTIFIER","Ecart de "&amp;TEXT($V122,"#,##0.00")&amp;" kg : renseigner JUSTIFICATION ECART (colonne L).",IF($P122="LOT NON REFERENCE","Creer d'abord la fiche du lot dans l'onglet LOTS.",""))))))))</f>
        <v/>
      </c>
      <c r="AA122" s="27" t="n">
        <f aca="false">IF(OR($Y122=0,$U122&gt;0),0,$G122)</f>
        <v>0</v>
      </c>
      <c r="AB122" s="26" t="n">
        <f aca="false">IF($R122=0,0,IF(OR($E122=R_LOT,COUNTIFS(RES_IDST,$A122,RES_LOTEFF,R_LOT)&gt;0),1,0))</f>
        <v>0</v>
      </c>
      <c r="AC122" s="26" t="str">
        <f aca="false">IF($AB122=0,"",COUNTIF($AB$5:$AB122,1))</f>
        <v/>
      </c>
    </row>
    <row r="123" customFormat="false" ht="15" hidden="false" customHeight="false" outlineLevel="0" collapsed="false">
      <c r="A123" s="26" t="str">
        <f aca="false">IF($D123="","","ST-"&amp;TEXT(ROW()-4,"000"))</f>
        <v/>
      </c>
      <c r="B123" s="25"/>
      <c r="C123" s="24"/>
      <c r="D123" s="24"/>
      <c r="E123" s="24"/>
      <c r="F123" s="24"/>
      <c r="G123" s="29"/>
      <c r="H123" s="24"/>
      <c r="I123" s="24"/>
      <c r="J123" s="24"/>
      <c r="K123" s="25"/>
      <c r="L123" s="24"/>
      <c r="M123" s="24"/>
      <c r="N123" s="24"/>
      <c r="O123" s="26" t="str">
        <f aca="false">IF($E123="","",IFERROR(INDEX(LOT_EXTE,MATCH($E123,LOT_KEY,0)),""))</f>
        <v/>
      </c>
      <c r="P123" s="26" t="str">
        <f aca="false">IF($E123="","",IFERROR(INDEX(LOT_PRODE,MATCH($E123,LOT_KEY,0)),"LOT NON REFERENCE"))</f>
        <v/>
      </c>
      <c r="Q123" s="26" t="str">
        <f aca="false">IF($E123="","",IFERROR(INDEX(LOT_FOURNE,MATCH($E123,LOT_KEY,0)),""))</f>
        <v/>
      </c>
      <c r="R123" s="28" t="n">
        <f aca="false">IF($D123="",0,IF(OR($B123="",$C123="",$E123="",NOT(ISNUMBER($G123)),$G123&lt;=0),0,IF($D123="STOCK EXISTANT",IF($F123="",0,1),1)))</f>
        <v>0</v>
      </c>
      <c r="S123" s="27" t="str">
        <f aca="false">IF(OR($R123=0,$D123&lt;&gt;"STOCK EXISTANT"),"",SUMIFS(MVT_BRUT,MVT_LOT,$E123,MVT_EMPL,$F123)+$G123)</f>
        <v/>
      </c>
      <c r="T123" s="27" t="str">
        <f aca="false">IF($A123="","",SUMIFS(RES_QTEVAL,RES_IDST,$A123))</f>
        <v/>
      </c>
      <c r="U123" s="28" t="str">
        <f aca="false">IF($A123="","",COUNTIFS(RES_IDST,$A123))</f>
        <v/>
      </c>
      <c r="V123" s="27" t="str">
        <f aca="false">IF(OR($A123="",$U123=0),"",$G123-$T123)</f>
        <v/>
      </c>
      <c r="W123" s="30" t="str">
        <f aca="false">IF(OR($A123="",$U123=0,NOT(ISNUMBER($G123)),$G123&lt;=0),"",$T123/$G123)</f>
        <v/>
      </c>
      <c r="X123" s="26" t="str">
        <f aca="false">IF($D123="","",IF($R123=0,"DONNEES MANQUANTES",IF($D123="STOCK EXISTANT",IF($S123&lt;=0,"EMPLACEMENT INCOHERENT",IF($G123&gt;$S123+0.001,"STOCK INSUFFISANT",IF($U123=0,"EN COURS",IF($T123&gt;$G123+0.001,"BLOQUE",IF(AND($V123&gt;P_TOL,$L123=""),"A JUSTIFIER","OK"))))),IF($U123=0,"EN COURS",IF($T123&gt;$G123+0.001,"BLOQUE",IF(AND($V123&gt;P_TOL,$L123=""),"A JUSTIFIER","OK"))))))</f>
        <v/>
      </c>
      <c r="Y123" s="28" t="n">
        <f aca="false">IF(OR($X123="",$X123="DONNEES MANQUANTES",$X123="EMPLACEMENT INCOHERENT",$X123="STOCK INSUFFISANT"),0,1)</f>
        <v>0</v>
      </c>
      <c r="Z123" s="26" t="str">
        <f aca="false">IF($D123="","",IF($R123=0,"A COMPLETER : "&amp;IF($B123="","DATE ENVOI; ","")&amp;IF($C123="","SOUS-TRAITANT; ","")&amp;IF($E123="","LOT SOURCE; ","")&amp;IF(OR(NOT(ISNUMBER($G123)),$G123&lt;=0),"QTE ENVOYEE &gt; 0; ","")&amp;IF(AND($D123="STOCK EXISTANT",$F123=""),"EMPL. SOURCE; ",""),IF($X123="EMPLACEMENT INCOHERENT","Le lot "&amp;$E123&amp;" n'existe pas sur "&amp;$F123&amp;" (stock 0).",IF($X123="STOCK INSUFFISANT","Disponible avant envoi : "&amp;TEXT($S123,"#,##0.00")&amp;" kg. Ligne NON comptee en stock.",IF($X123="BLOQUE","Total des sorties ("&amp;TEXT($T123,"#,##0.00")&amp;" kg) superieur a la quantite envoyee.",IF($X123="EN COURS","Envoi enregistre, resultats non connus. A completer dans ST_RESULTATS.",IF($X123="A JUSTIFIER","Ecart de "&amp;TEXT($V123,"#,##0.00")&amp;" kg : renseigner JUSTIFICATION ECART (colonne L).",IF($P123="LOT NON REFERENCE","Creer d'abord la fiche du lot dans l'onglet LOTS.",""))))))))</f>
        <v/>
      </c>
      <c r="AA123" s="27" t="n">
        <f aca="false">IF(OR($Y123=0,$U123&gt;0),0,$G123)</f>
        <v>0</v>
      </c>
      <c r="AB123" s="26" t="n">
        <f aca="false">IF($R123=0,0,IF(OR($E123=R_LOT,COUNTIFS(RES_IDST,$A123,RES_LOTEFF,R_LOT)&gt;0),1,0))</f>
        <v>0</v>
      </c>
      <c r="AC123" s="26" t="str">
        <f aca="false">IF($AB123=0,"",COUNTIF($AB$5:$AB123,1))</f>
        <v/>
      </c>
    </row>
    <row r="124" customFormat="false" ht="15" hidden="false" customHeight="false" outlineLevel="0" collapsed="false">
      <c r="A124" s="26" t="str">
        <f aca="false">IF($D124="","","ST-"&amp;TEXT(ROW()-4,"000"))</f>
        <v/>
      </c>
      <c r="B124" s="25"/>
      <c r="C124" s="24"/>
      <c r="D124" s="24"/>
      <c r="E124" s="24"/>
      <c r="F124" s="24"/>
      <c r="G124" s="29"/>
      <c r="H124" s="24"/>
      <c r="I124" s="24"/>
      <c r="J124" s="24"/>
      <c r="K124" s="25"/>
      <c r="L124" s="24"/>
      <c r="M124" s="24"/>
      <c r="N124" s="24"/>
      <c r="O124" s="26" t="str">
        <f aca="false">IF($E124="","",IFERROR(INDEX(LOT_EXTE,MATCH($E124,LOT_KEY,0)),""))</f>
        <v/>
      </c>
      <c r="P124" s="26" t="str">
        <f aca="false">IF($E124="","",IFERROR(INDEX(LOT_PRODE,MATCH($E124,LOT_KEY,0)),"LOT NON REFERENCE"))</f>
        <v/>
      </c>
      <c r="Q124" s="26" t="str">
        <f aca="false">IF($E124="","",IFERROR(INDEX(LOT_FOURNE,MATCH($E124,LOT_KEY,0)),""))</f>
        <v/>
      </c>
      <c r="R124" s="28" t="n">
        <f aca="false">IF($D124="",0,IF(OR($B124="",$C124="",$E124="",NOT(ISNUMBER($G124)),$G124&lt;=0),0,IF($D124="STOCK EXISTANT",IF($F124="",0,1),1)))</f>
        <v>0</v>
      </c>
      <c r="S124" s="27" t="str">
        <f aca="false">IF(OR($R124=0,$D124&lt;&gt;"STOCK EXISTANT"),"",SUMIFS(MVT_BRUT,MVT_LOT,$E124,MVT_EMPL,$F124)+$G124)</f>
        <v/>
      </c>
      <c r="T124" s="27" t="str">
        <f aca="false">IF($A124="","",SUMIFS(RES_QTEVAL,RES_IDST,$A124))</f>
        <v/>
      </c>
      <c r="U124" s="28" t="str">
        <f aca="false">IF($A124="","",COUNTIFS(RES_IDST,$A124))</f>
        <v/>
      </c>
      <c r="V124" s="27" t="str">
        <f aca="false">IF(OR($A124="",$U124=0),"",$G124-$T124)</f>
        <v/>
      </c>
      <c r="W124" s="30" t="str">
        <f aca="false">IF(OR($A124="",$U124=0,NOT(ISNUMBER($G124)),$G124&lt;=0),"",$T124/$G124)</f>
        <v/>
      </c>
      <c r="X124" s="26" t="str">
        <f aca="false">IF($D124="","",IF($R124=0,"DONNEES MANQUANTES",IF($D124="STOCK EXISTANT",IF($S124&lt;=0,"EMPLACEMENT INCOHERENT",IF($G124&gt;$S124+0.001,"STOCK INSUFFISANT",IF($U124=0,"EN COURS",IF($T124&gt;$G124+0.001,"BLOQUE",IF(AND($V124&gt;P_TOL,$L124=""),"A JUSTIFIER","OK"))))),IF($U124=0,"EN COURS",IF($T124&gt;$G124+0.001,"BLOQUE",IF(AND($V124&gt;P_TOL,$L124=""),"A JUSTIFIER","OK"))))))</f>
        <v/>
      </c>
      <c r="Y124" s="28" t="n">
        <f aca="false">IF(OR($X124="",$X124="DONNEES MANQUANTES",$X124="EMPLACEMENT INCOHERENT",$X124="STOCK INSUFFISANT"),0,1)</f>
        <v>0</v>
      </c>
      <c r="Z124" s="26" t="str">
        <f aca="false">IF($D124="","",IF($R124=0,"A COMPLETER : "&amp;IF($B124="","DATE ENVOI; ","")&amp;IF($C124="","SOUS-TRAITANT; ","")&amp;IF($E124="","LOT SOURCE; ","")&amp;IF(OR(NOT(ISNUMBER($G124)),$G124&lt;=0),"QTE ENVOYEE &gt; 0; ","")&amp;IF(AND($D124="STOCK EXISTANT",$F124=""),"EMPL. SOURCE; ",""),IF($X124="EMPLACEMENT INCOHERENT","Le lot "&amp;$E124&amp;" n'existe pas sur "&amp;$F124&amp;" (stock 0).",IF($X124="STOCK INSUFFISANT","Disponible avant envoi : "&amp;TEXT($S124,"#,##0.00")&amp;" kg. Ligne NON comptee en stock.",IF($X124="BLOQUE","Total des sorties ("&amp;TEXT($T124,"#,##0.00")&amp;" kg) superieur a la quantite envoyee.",IF($X124="EN COURS","Envoi enregistre, resultats non connus. A completer dans ST_RESULTATS.",IF($X124="A JUSTIFIER","Ecart de "&amp;TEXT($V124,"#,##0.00")&amp;" kg : renseigner JUSTIFICATION ECART (colonne L).",IF($P124="LOT NON REFERENCE","Creer d'abord la fiche du lot dans l'onglet LOTS.",""))))))))</f>
        <v/>
      </c>
      <c r="AA124" s="27" t="n">
        <f aca="false">IF(OR($Y124=0,$U124&gt;0),0,$G124)</f>
        <v>0</v>
      </c>
      <c r="AB124" s="26" t="n">
        <f aca="false">IF($R124=0,0,IF(OR($E124=R_LOT,COUNTIFS(RES_IDST,$A124,RES_LOTEFF,R_LOT)&gt;0),1,0))</f>
        <v>0</v>
      </c>
      <c r="AC124" s="26" t="str">
        <f aca="false">IF($AB124=0,"",COUNTIF($AB$5:$AB124,1))</f>
        <v/>
      </c>
    </row>
    <row r="125" customFormat="false" ht="15" hidden="false" customHeight="false" outlineLevel="0" collapsed="false">
      <c r="A125" s="26" t="str">
        <f aca="false">IF($D125="","","ST-"&amp;TEXT(ROW()-4,"000"))</f>
        <v/>
      </c>
      <c r="B125" s="25"/>
      <c r="C125" s="24"/>
      <c r="D125" s="24"/>
      <c r="E125" s="24"/>
      <c r="F125" s="24"/>
      <c r="G125" s="29"/>
      <c r="H125" s="24"/>
      <c r="I125" s="24"/>
      <c r="J125" s="24"/>
      <c r="K125" s="25"/>
      <c r="L125" s="24"/>
      <c r="M125" s="24"/>
      <c r="N125" s="24"/>
      <c r="O125" s="26" t="str">
        <f aca="false">IF($E125="","",IFERROR(INDEX(LOT_EXTE,MATCH($E125,LOT_KEY,0)),""))</f>
        <v/>
      </c>
      <c r="P125" s="26" t="str">
        <f aca="false">IF($E125="","",IFERROR(INDEX(LOT_PRODE,MATCH($E125,LOT_KEY,0)),"LOT NON REFERENCE"))</f>
        <v/>
      </c>
      <c r="Q125" s="26" t="str">
        <f aca="false">IF($E125="","",IFERROR(INDEX(LOT_FOURNE,MATCH($E125,LOT_KEY,0)),""))</f>
        <v/>
      </c>
      <c r="R125" s="28" t="n">
        <f aca="false">IF($D125="",0,IF(OR($B125="",$C125="",$E125="",NOT(ISNUMBER($G125)),$G125&lt;=0),0,IF($D125="STOCK EXISTANT",IF($F125="",0,1),1)))</f>
        <v>0</v>
      </c>
      <c r="S125" s="27" t="str">
        <f aca="false">IF(OR($R125=0,$D125&lt;&gt;"STOCK EXISTANT"),"",SUMIFS(MVT_BRUT,MVT_LOT,$E125,MVT_EMPL,$F125)+$G125)</f>
        <v/>
      </c>
      <c r="T125" s="27" t="str">
        <f aca="false">IF($A125="","",SUMIFS(RES_QTEVAL,RES_IDST,$A125))</f>
        <v/>
      </c>
      <c r="U125" s="28" t="str">
        <f aca="false">IF($A125="","",COUNTIFS(RES_IDST,$A125))</f>
        <v/>
      </c>
      <c r="V125" s="27" t="str">
        <f aca="false">IF(OR($A125="",$U125=0),"",$G125-$T125)</f>
        <v/>
      </c>
      <c r="W125" s="30" t="str">
        <f aca="false">IF(OR($A125="",$U125=0,NOT(ISNUMBER($G125)),$G125&lt;=0),"",$T125/$G125)</f>
        <v/>
      </c>
      <c r="X125" s="26" t="str">
        <f aca="false">IF($D125="","",IF($R125=0,"DONNEES MANQUANTES",IF($D125="STOCK EXISTANT",IF($S125&lt;=0,"EMPLACEMENT INCOHERENT",IF($G125&gt;$S125+0.001,"STOCK INSUFFISANT",IF($U125=0,"EN COURS",IF($T125&gt;$G125+0.001,"BLOQUE",IF(AND($V125&gt;P_TOL,$L125=""),"A JUSTIFIER","OK"))))),IF($U125=0,"EN COURS",IF($T125&gt;$G125+0.001,"BLOQUE",IF(AND($V125&gt;P_TOL,$L125=""),"A JUSTIFIER","OK"))))))</f>
        <v/>
      </c>
      <c r="Y125" s="28" t="n">
        <f aca="false">IF(OR($X125="",$X125="DONNEES MANQUANTES",$X125="EMPLACEMENT INCOHERENT",$X125="STOCK INSUFFISANT"),0,1)</f>
        <v>0</v>
      </c>
      <c r="Z125" s="26" t="str">
        <f aca="false">IF($D125="","",IF($R125=0,"A COMPLETER : "&amp;IF($B125="","DATE ENVOI; ","")&amp;IF($C125="","SOUS-TRAITANT; ","")&amp;IF($E125="","LOT SOURCE; ","")&amp;IF(OR(NOT(ISNUMBER($G125)),$G125&lt;=0),"QTE ENVOYEE &gt; 0; ","")&amp;IF(AND($D125="STOCK EXISTANT",$F125=""),"EMPL. SOURCE; ",""),IF($X125="EMPLACEMENT INCOHERENT","Le lot "&amp;$E125&amp;" n'existe pas sur "&amp;$F125&amp;" (stock 0).",IF($X125="STOCK INSUFFISANT","Disponible avant envoi : "&amp;TEXT($S125,"#,##0.00")&amp;" kg. Ligne NON comptee en stock.",IF($X125="BLOQUE","Total des sorties ("&amp;TEXT($T125,"#,##0.00")&amp;" kg) superieur a la quantite envoyee.",IF($X125="EN COURS","Envoi enregistre, resultats non connus. A completer dans ST_RESULTATS.",IF($X125="A JUSTIFIER","Ecart de "&amp;TEXT($V125,"#,##0.00")&amp;" kg : renseigner JUSTIFICATION ECART (colonne L).",IF($P125="LOT NON REFERENCE","Creer d'abord la fiche du lot dans l'onglet LOTS.",""))))))))</f>
        <v/>
      </c>
      <c r="AA125" s="27" t="n">
        <f aca="false">IF(OR($Y125=0,$U125&gt;0),0,$G125)</f>
        <v>0</v>
      </c>
      <c r="AB125" s="26" t="n">
        <f aca="false">IF($R125=0,0,IF(OR($E125=R_LOT,COUNTIFS(RES_IDST,$A125,RES_LOTEFF,R_LOT)&gt;0),1,0))</f>
        <v>0</v>
      </c>
      <c r="AC125" s="26" t="str">
        <f aca="false">IF($AB125=0,"",COUNTIF($AB$5:$AB125,1))</f>
        <v/>
      </c>
    </row>
    <row r="126" customFormat="false" ht="15" hidden="false" customHeight="false" outlineLevel="0" collapsed="false">
      <c r="A126" s="26" t="str">
        <f aca="false">IF($D126="","","ST-"&amp;TEXT(ROW()-4,"000"))</f>
        <v/>
      </c>
      <c r="B126" s="25"/>
      <c r="C126" s="24"/>
      <c r="D126" s="24"/>
      <c r="E126" s="24"/>
      <c r="F126" s="24"/>
      <c r="G126" s="29"/>
      <c r="H126" s="24"/>
      <c r="I126" s="24"/>
      <c r="J126" s="24"/>
      <c r="K126" s="25"/>
      <c r="L126" s="24"/>
      <c r="M126" s="24"/>
      <c r="N126" s="24"/>
      <c r="O126" s="26" t="str">
        <f aca="false">IF($E126="","",IFERROR(INDEX(LOT_EXTE,MATCH($E126,LOT_KEY,0)),""))</f>
        <v/>
      </c>
      <c r="P126" s="26" t="str">
        <f aca="false">IF($E126="","",IFERROR(INDEX(LOT_PRODE,MATCH($E126,LOT_KEY,0)),"LOT NON REFERENCE"))</f>
        <v/>
      </c>
      <c r="Q126" s="26" t="str">
        <f aca="false">IF($E126="","",IFERROR(INDEX(LOT_FOURNE,MATCH($E126,LOT_KEY,0)),""))</f>
        <v/>
      </c>
      <c r="R126" s="28" t="n">
        <f aca="false">IF($D126="",0,IF(OR($B126="",$C126="",$E126="",NOT(ISNUMBER($G126)),$G126&lt;=0),0,IF($D126="STOCK EXISTANT",IF($F126="",0,1),1)))</f>
        <v>0</v>
      </c>
      <c r="S126" s="27" t="str">
        <f aca="false">IF(OR($R126=0,$D126&lt;&gt;"STOCK EXISTANT"),"",SUMIFS(MVT_BRUT,MVT_LOT,$E126,MVT_EMPL,$F126)+$G126)</f>
        <v/>
      </c>
      <c r="T126" s="27" t="str">
        <f aca="false">IF($A126="","",SUMIFS(RES_QTEVAL,RES_IDST,$A126))</f>
        <v/>
      </c>
      <c r="U126" s="28" t="str">
        <f aca="false">IF($A126="","",COUNTIFS(RES_IDST,$A126))</f>
        <v/>
      </c>
      <c r="V126" s="27" t="str">
        <f aca="false">IF(OR($A126="",$U126=0),"",$G126-$T126)</f>
        <v/>
      </c>
      <c r="W126" s="30" t="str">
        <f aca="false">IF(OR($A126="",$U126=0,NOT(ISNUMBER($G126)),$G126&lt;=0),"",$T126/$G126)</f>
        <v/>
      </c>
      <c r="X126" s="26" t="str">
        <f aca="false">IF($D126="","",IF($R126=0,"DONNEES MANQUANTES",IF($D126="STOCK EXISTANT",IF($S126&lt;=0,"EMPLACEMENT INCOHERENT",IF($G126&gt;$S126+0.001,"STOCK INSUFFISANT",IF($U126=0,"EN COURS",IF($T126&gt;$G126+0.001,"BLOQUE",IF(AND($V126&gt;P_TOL,$L126=""),"A JUSTIFIER","OK"))))),IF($U126=0,"EN COURS",IF($T126&gt;$G126+0.001,"BLOQUE",IF(AND($V126&gt;P_TOL,$L126=""),"A JUSTIFIER","OK"))))))</f>
        <v/>
      </c>
      <c r="Y126" s="28" t="n">
        <f aca="false">IF(OR($X126="",$X126="DONNEES MANQUANTES",$X126="EMPLACEMENT INCOHERENT",$X126="STOCK INSUFFISANT"),0,1)</f>
        <v>0</v>
      </c>
      <c r="Z126" s="26" t="str">
        <f aca="false">IF($D126="","",IF($R126=0,"A COMPLETER : "&amp;IF($B126="","DATE ENVOI; ","")&amp;IF($C126="","SOUS-TRAITANT; ","")&amp;IF($E126="","LOT SOURCE; ","")&amp;IF(OR(NOT(ISNUMBER($G126)),$G126&lt;=0),"QTE ENVOYEE &gt; 0; ","")&amp;IF(AND($D126="STOCK EXISTANT",$F126=""),"EMPL. SOURCE; ",""),IF($X126="EMPLACEMENT INCOHERENT","Le lot "&amp;$E126&amp;" n'existe pas sur "&amp;$F126&amp;" (stock 0).",IF($X126="STOCK INSUFFISANT","Disponible avant envoi : "&amp;TEXT($S126,"#,##0.00")&amp;" kg. Ligne NON comptee en stock.",IF($X126="BLOQUE","Total des sorties ("&amp;TEXT($T126,"#,##0.00")&amp;" kg) superieur a la quantite envoyee.",IF($X126="EN COURS","Envoi enregistre, resultats non connus. A completer dans ST_RESULTATS.",IF($X126="A JUSTIFIER","Ecart de "&amp;TEXT($V126,"#,##0.00")&amp;" kg : renseigner JUSTIFICATION ECART (colonne L).",IF($P126="LOT NON REFERENCE","Creer d'abord la fiche du lot dans l'onglet LOTS.",""))))))))</f>
        <v/>
      </c>
      <c r="AA126" s="27" t="n">
        <f aca="false">IF(OR($Y126=0,$U126&gt;0),0,$G126)</f>
        <v>0</v>
      </c>
      <c r="AB126" s="26" t="n">
        <f aca="false">IF($R126=0,0,IF(OR($E126=R_LOT,COUNTIFS(RES_IDST,$A126,RES_LOTEFF,R_LOT)&gt;0),1,0))</f>
        <v>0</v>
      </c>
      <c r="AC126" s="26" t="str">
        <f aca="false">IF($AB126=0,"",COUNTIF($AB$5:$AB126,1))</f>
        <v/>
      </c>
    </row>
    <row r="127" customFormat="false" ht="15" hidden="false" customHeight="false" outlineLevel="0" collapsed="false">
      <c r="A127" s="26" t="str">
        <f aca="false">IF($D127="","","ST-"&amp;TEXT(ROW()-4,"000"))</f>
        <v/>
      </c>
      <c r="B127" s="25"/>
      <c r="C127" s="24"/>
      <c r="D127" s="24"/>
      <c r="E127" s="24"/>
      <c r="F127" s="24"/>
      <c r="G127" s="29"/>
      <c r="H127" s="24"/>
      <c r="I127" s="24"/>
      <c r="J127" s="24"/>
      <c r="K127" s="25"/>
      <c r="L127" s="24"/>
      <c r="M127" s="24"/>
      <c r="N127" s="24"/>
      <c r="O127" s="26" t="str">
        <f aca="false">IF($E127="","",IFERROR(INDEX(LOT_EXTE,MATCH($E127,LOT_KEY,0)),""))</f>
        <v/>
      </c>
      <c r="P127" s="26" t="str">
        <f aca="false">IF($E127="","",IFERROR(INDEX(LOT_PRODE,MATCH($E127,LOT_KEY,0)),"LOT NON REFERENCE"))</f>
        <v/>
      </c>
      <c r="Q127" s="26" t="str">
        <f aca="false">IF($E127="","",IFERROR(INDEX(LOT_FOURNE,MATCH($E127,LOT_KEY,0)),""))</f>
        <v/>
      </c>
      <c r="R127" s="28" t="n">
        <f aca="false">IF($D127="",0,IF(OR($B127="",$C127="",$E127="",NOT(ISNUMBER($G127)),$G127&lt;=0),0,IF($D127="STOCK EXISTANT",IF($F127="",0,1),1)))</f>
        <v>0</v>
      </c>
      <c r="S127" s="27" t="str">
        <f aca="false">IF(OR($R127=0,$D127&lt;&gt;"STOCK EXISTANT"),"",SUMIFS(MVT_BRUT,MVT_LOT,$E127,MVT_EMPL,$F127)+$G127)</f>
        <v/>
      </c>
      <c r="T127" s="27" t="str">
        <f aca="false">IF($A127="","",SUMIFS(RES_QTEVAL,RES_IDST,$A127))</f>
        <v/>
      </c>
      <c r="U127" s="28" t="str">
        <f aca="false">IF($A127="","",COUNTIFS(RES_IDST,$A127))</f>
        <v/>
      </c>
      <c r="V127" s="27" t="str">
        <f aca="false">IF(OR($A127="",$U127=0),"",$G127-$T127)</f>
        <v/>
      </c>
      <c r="W127" s="30" t="str">
        <f aca="false">IF(OR($A127="",$U127=0,NOT(ISNUMBER($G127)),$G127&lt;=0),"",$T127/$G127)</f>
        <v/>
      </c>
      <c r="X127" s="26" t="str">
        <f aca="false">IF($D127="","",IF($R127=0,"DONNEES MANQUANTES",IF($D127="STOCK EXISTANT",IF($S127&lt;=0,"EMPLACEMENT INCOHERENT",IF($G127&gt;$S127+0.001,"STOCK INSUFFISANT",IF($U127=0,"EN COURS",IF($T127&gt;$G127+0.001,"BLOQUE",IF(AND($V127&gt;P_TOL,$L127=""),"A JUSTIFIER","OK"))))),IF($U127=0,"EN COURS",IF($T127&gt;$G127+0.001,"BLOQUE",IF(AND($V127&gt;P_TOL,$L127=""),"A JUSTIFIER","OK"))))))</f>
        <v/>
      </c>
      <c r="Y127" s="28" t="n">
        <f aca="false">IF(OR($X127="",$X127="DONNEES MANQUANTES",$X127="EMPLACEMENT INCOHERENT",$X127="STOCK INSUFFISANT"),0,1)</f>
        <v>0</v>
      </c>
      <c r="Z127" s="26" t="str">
        <f aca="false">IF($D127="","",IF($R127=0,"A COMPLETER : "&amp;IF($B127="","DATE ENVOI; ","")&amp;IF($C127="","SOUS-TRAITANT; ","")&amp;IF($E127="","LOT SOURCE; ","")&amp;IF(OR(NOT(ISNUMBER($G127)),$G127&lt;=0),"QTE ENVOYEE &gt; 0; ","")&amp;IF(AND($D127="STOCK EXISTANT",$F127=""),"EMPL. SOURCE; ",""),IF($X127="EMPLACEMENT INCOHERENT","Le lot "&amp;$E127&amp;" n'existe pas sur "&amp;$F127&amp;" (stock 0).",IF($X127="STOCK INSUFFISANT","Disponible avant envoi : "&amp;TEXT($S127,"#,##0.00")&amp;" kg. Ligne NON comptee en stock.",IF($X127="BLOQUE","Total des sorties ("&amp;TEXT($T127,"#,##0.00")&amp;" kg) superieur a la quantite envoyee.",IF($X127="EN COURS","Envoi enregistre, resultats non connus. A completer dans ST_RESULTATS.",IF($X127="A JUSTIFIER","Ecart de "&amp;TEXT($V127,"#,##0.00")&amp;" kg : renseigner JUSTIFICATION ECART (colonne L).",IF($P127="LOT NON REFERENCE","Creer d'abord la fiche du lot dans l'onglet LOTS.",""))))))))</f>
        <v/>
      </c>
      <c r="AA127" s="27" t="n">
        <f aca="false">IF(OR($Y127=0,$U127&gt;0),0,$G127)</f>
        <v>0</v>
      </c>
      <c r="AB127" s="26" t="n">
        <f aca="false">IF($R127=0,0,IF(OR($E127=R_LOT,COUNTIFS(RES_IDST,$A127,RES_LOTEFF,R_LOT)&gt;0),1,0))</f>
        <v>0</v>
      </c>
      <c r="AC127" s="26" t="str">
        <f aca="false">IF($AB127=0,"",COUNTIF($AB$5:$AB127,1))</f>
        <v/>
      </c>
    </row>
    <row r="128" customFormat="false" ht="15" hidden="false" customHeight="false" outlineLevel="0" collapsed="false">
      <c r="A128" s="26" t="str">
        <f aca="false">IF($D128="","","ST-"&amp;TEXT(ROW()-4,"000"))</f>
        <v/>
      </c>
      <c r="B128" s="25"/>
      <c r="C128" s="24"/>
      <c r="D128" s="24"/>
      <c r="E128" s="24"/>
      <c r="F128" s="24"/>
      <c r="G128" s="29"/>
      <c r="H128" s="24"/>
      <c r="I128" s="24"/>
      <c r="J128" s="24"/>
      <c r="K128" s="25"/>
      <c r="L128" s="24"/>
      <c r="M128" s="24"/>
      <c r="N128" s="24"/>
      <c r="O128" s="26" t="str">
        <f aca="false">IF($E128="","",IFERROR(INDEX(LOT_EXTE,MATCH($E128,LOT_KEY,0)),""))</f>
        <v/>
      </c>
      <c r="P128" s="26" t="str">
        <f aca="false">IF($E128="","",IFERROR(INDEX(LOT_PRODE,MATCH($E128,LOT_KEY,0)),"LOT NON REFERENCE"))</f>
        <v/>
      </c>
      <c r="Q128" s="26" t="str">
        <f aca="false">IF($E128="","",IFERROR(INDEX(LOT_FOURNE,MATCH($E128,LOT_KEY,0)),""))</f>
        <v/>
      </c>
      <c r="R128" s="28" t="n">
        <f aca="false">IF($D128="",0,IF(OR($B128="",$C128="",$E128="",NOT(ISNUMBER($G128)),$G128&lt;=0),0,IF($D128="STOCK EXISTANT",IF($F128="",0,1),1)))</f>
        <v>0</v>
      </c>
      <c r="S128" s="27" t="str">
        <f aca="false">IF(OR($R128=0,$D128&lt;&gt;"STOCK EXISTANT"),"",SUMIFS(MVT_BRUT,MVT_LOT,$E128,MVT_EMPL,$F128)+$G128)</f>
        <v/>
      </c>
      <c r="T128" s="27" t="str">
        <f aca="false">IF($A128="","",SUMIFS(RES_QTEVAL,RES_IDST,$A128))</f>
        <v/>
      </c>
      <c r="U128" s="28" t="str">
        <f aca="false">IF($A128="","",COUNTIFS(RES_IDST,$A128))</f>
        <v/>
      </c>
      <c r="V128" s="27" t="str">
        <f aca="false">IF(OR($A128="",$U128=0),"",$G128-$T128)</f>
        <v/>
      </c>
      <c r="W128" s="30" t="str">
        <f aca="false">IF(OR($A128="",$U128=0,NOT(ISNUMBER($G128)),$G128&lt;=0),"",$T128/$G128)</f>
        <v/>
      </c>
      <c r="X128" s="26" t="str">
        <f aca="false">IF($D128="","",IF($R128=0,"DONNEES MANQUANTES",IF($D128="STOCK EXISTANT",IF($S128&lt;=0,"EMPLACEMENT INCOHERENT",IF($G128&gt;$S128+0.001,"STOCK INSUFFISANT",IF($U128=0,"EN COURS",IF($T128&gt;$G128+0.001,"BLOQUE",IF(AND($V128&gt;P_TOL,$L128=""),"A JUSTIFIER","OK"))))),IF($U128=0,"EN COURS",IF($T128&gt;$G128+0.001,"BLOQUE",IF(AND($V128&gt;P_TOL,$L128=""),"A JUSTIFIER","OK"))))))</f>
        <v/>
      </c>
      <c r="Y128" s="28" t="n">
        <f aca="false">IF(OR($X128="",$X128="DONNEES MANQUANTES",$X128="EMPLACEMENT INCOHERENT",$X128="STOCK INSUFFISANT"),0,1)</f>
        <v>0</v>
      </c>
      <c r="Z128" s="26" t="str">
        <f aca="false">IF($D128="","",IF($R128=0,"A COMPLETER : "&amp;IF($B128="","DATE ENVOI; ","")&amp;IF($C128="","SOUS-TRAITANT; ","")&amp;IF($E128="","LOT SOURCE; ","")&amp;IF(OR(NOT(ISNUMBER($G128)),$G128&lt;=0),"QTE ENVOYEE &gt; 0; ","")&amp;IF(AND($D128="STOCK EXISTANT",$F128=""),"EMPL. SOURCE; ",""),IF($X128="EMPLACEMENT INCOHERENT","Le lot "&amp;$E128&amp;" n'existe pas sur "&amp;$F128&amp;" (stock 0).",IF($X128="STOCK INSUFFISANT","Disponible avant envoi : "&amp;TEXT($S128,"#,##0.00")&amp;" kg. Ligne NON comptee en stock.",IF($X128="BLOQUE","Total des sorties ("&amp;TEXT($T128,"#,##0.00")&amp;" kg) superieur a la quantite envoyee.",IF($X128="EN COURS","Envoi enregistre, resultats non connus. A completer dans ST_RESULTATS.",IF($X128="A JUSTIFIER","Ecart de "&amp;TEXT($V128,"#,##0.00")&amp;" kg : renseigner JUSTIFICATION ECART (colonne L).",IF($P128="LOT NON REFERENCE","Creer d'abord la fiche du lot dans l'onglet LOTS.",""))))))))</f>
        <v/>
      </c>
      <c r="AA128" s="27" t="n">
        <f aca="false">IF(OR($Y128=0,$U128&gt;0),0,$G128)</f>
        <v>0</v>
      </c>
      <c r="AB128" s="26" t="n">
        <f aca="false">IF($R128=0,0,IF(OR($E128=R_LOT,COUNTIFS(RES_IDST,$A128,RES_LOTEFF,R_LOT)&gt;0),1,0))</f>
        <v>0</v>
      </c>
      <c r="AC128" s="26" t="str">
        <f aca="false">IF($AB128=0,"",COUNTIF($AB$5:$AB128,1))</f>
        <v/>
      </c>
    </row>
    <row r="129" customFormat="false" ht="15" hidden="false" customHeight="false" outlineLevel="0" collapsed="false">
      <c r="A129" s="26" t="str">
        <f aca="false">IF($D129="","","ST-"&amp;TEXT(ROW()-4,"000"))</f>
        <v/>
      </c>
      <c r="B129" s="25"/>
      <c r="C129" s="24"/>
      <c r="D129" s="24"/>
      <c r="E129" s="24"/>
      <c r="F129" s="24"/>
      <c r="G129" s="29"/>
      <c r="H129" s="24"/>
      <c r="I129" s="24"/>
      <c r="J129" s="24"/>
      <c r="K129" s="25"/>
      <c r="L129" s="24"/>
      <c r="M129" s="24"/>
      <c r="N129" s="24"/>
      <c r="O129" s="26" t="str">
        <f aca="false">IF($E129="","",IFERROR(INDEX(LOT_EXTE,MATCH($E129,LOT_KEY,0)),""))</f>
        <v/>
      </c>
      <c r="P129" s="26" t="str">
        <f aca="false">IF($E129="","",IFERROR(INDEX(LOT_PRODE,MATCH($E129,LOT_KEY,0)),"LOT NON REFERENCE"))</f>
        <v/>
      </c>
      <c r="Q129" s="26" t="str">
        <f aca="false">IF($E129="","",IFERROR(INDEX(LOT_FOURNE,MATCH($E129,LOT_KEY,0)),""))</f>
        <v/>
      </c>
      <c r="R129" s="28" t="n">
        <f aca="false">IF($D129="",0,IF(OR($B129="",$C129="",$E129="",NOT(ISNUMBER($G129)),$G129&lt;=0),0,IF($D129="STOCK EXISTANT",IF($F129="",0,1),1)))</f>
        <v>0</v>
      </c>
      <c r="S129" s="27" t="str">
        <f aca="false">IF(OR($R129=0,$D129&lt;&gt;"STOCK EXISTANT"),"",SUMIFS(MVT_BRUT,MVT_LOT,$E129,MVT_EMPL,$F129)+$G129)</f>
        <v/>
      </c>
      <c r="T129" s="27" t="str">
        <f aca="false">IF($A129="","",SUMIFS(RES_QTEVAL,RES_IDST,$A129))</f>
        <v/>
      </c>
      <c r="U129" s="28" t="str">
        <f aca="false">IF($A129="","",COUNTIFS(RES_IDST,$A129))</f>
        <v/>
      </c>
      <c r="V129" s="27" t="str">
        <f aca="false">IF(OR($A129="",$U129=0),"",$G129-$T129)</f>
        <v/>
      </c>
      <c r="W129" s="30" t="str">
        <f aca="false">IF(OR($A129="",$U129=0,NOT(ISNUMBER($G129)),$G129&lt;=0),"",$T129/$G129)</f>
        <v/>
      </c>
      <c r="X129" s="26" t="str">
        <f aca="false">IF($D129="","",IF($R129=0,"DONNEES MANQUANTES",IF($D129="STOCK EXISTANT",IF($S129&lt;=0,"EMPLACEMENT INCOHERENT",IF($G129&gt;$S129+0.001,"STOCK INSUFFISANT",IF($U129=0,"EN COURS",IF($T129&gt;$G129+0.001,"BLOQUE",IF(AND($V129&gt;P_TOL,$L129=""),"A JUSTIFIER","OK"))))),IF($U129=0,"EN COURS",IF($T129&gt;$G129+0.001,"BLOQUE",IF(AND($V129&gt;P_TOL,$L129=""),"A JUSTIFIER","OK"))))))</f>
        <v/>
      </c>
      <c r="Y129" s="28" t="n">
        <f aca="false">IF(OR($X129="",$X129="DONNEES MANQUANTES",$X129="EMPLACEMENT INCOHERENT",$X129="STOCK INSUFFISANT"),0,1)</f>
        <v>0</v>
      </c>
      <c r="Z129" s="26" t="str">
        <f aca="false">IF($D129="","",IF($R129=0,"A COMPLETER : "&amp;IF($B129="","DATE ENVOI; ","")&amp;IF($C129="","SOUS-TRAITANT; ","")&amp;IF($E129="","LOT SOURCE; ","")&amp;IF(OR(NOT(ISNUMBER($G129)),$G129&lt;=0),"QTE ENVOYEE &gt; 0; ","")&amp;IF(AND($D129="STOCK EXISTANT",$F129=""),"EMPL. SOURCE; ",""),IF($X129="EMPLACEMENT INCOHERENT","Le lot "&amp;$E129&amp;" n'existe pas sur "&amp;$F129&amp;" (stock 0).",IF($X129="STOCK INSUFFISANT","Disponible avant envoi : "&amp;TEXT($S129,"#,##0.00")&amp;" kg. Ligne NON comptee en stock.",IF($X129="BLOQUE","Total des sorties ("&amp;TEXT($T129,"#,##0.00")&amp;" kg) superieur a la quantite envoyee.",IF($X129="EN COURS","Envoi enregistre, resultats non connus. A completer dans ST_RESULTATS.",IF($X129="A JUSTIFIER","Ecart de "&amp;TEXT($V129,"#,##0.00")&amp;" kg : renseigner JUSTIFICATION ECART (colonne L).",IF($P129="LOT NON REFERENCE","Creer d'abord la fiche du lot dans l'onglet LOTS.",""))))))))</f>
        <v/>
      </c>
      <c r="AA129" s="27" t="n">
        <f aca="false">IF(OR($Y129=0,$U129&gt;0),0,$G129)</f>
        <v>0</v>
      </c>
      <c r="AB129" s="26" t="n">
        <f aca="false">IF($R129=0,0,IF(OR($E129=R_LOT,COUNTIFS(RES_IDST,$A129,RES_LOTEFF,R_LOT)&gt;0),1,0))</f>
        <v>0</v>
      </c>
      <c r="AC129" s="26" t="str">
        <f aca="false">IF($AB129=0,"",COUNTIF($AB$5:$AB129,1))</f>
        <v/>
      </c>
    </row>
    <row r="130" customFormat="false" ht="15" hidden="false" customHeight="false" outlineLevel="0" collapsed="false">
      <c r="A130" s="26" t="str">
        <f aca="false">IF($D130="","","ST-"&amp;TEXT(ROW()-4,"000"))</f>
        <v/>
      </c>
      <c r="B130" s="25"/>
      <c r="C130" s="24"/>
      <c r="D130" s="24"/>
      <c r="E130" s="24"/>
      <c r="F130" s="24"/>
      <c r="G130" s="29"/>
      <c r="H130" s="24"/>
      <c r="I130" s="24"/>
      <c r="J130" s="24"/>
      <c r="K130" s="25"/>
      <c r="L130" s="24"/>
      <c r="M130" s="24"/>
      <c r="N130" s="24"/>
      <c r="O130" s="26" t="str">
        <f aca="false">IF($E130="","",IFERROR(INDEX(LOT_EXTE,MATCH($E130,LOT_KEY,0)),""))</f>
        <v/>
      </c>
      <c r="P130" s="26" t="str">
        <f aca="false">IF($E130="","",IFERROR(INDEX(LOT_PRODE,MATCH($E130,LOT_KEY,0)),"LOT NON REFERENCE"))</f>
        <v/>
      </c>
      <c r="Q130" s="26" t="str">
        <f aca="false">IF($E130="","",IFERROR(INDEX(LOT_FOURNE,MATCH($E130,LOT_KEY,0)),""))</f>
        <v/>
      </c>
      <c r="R130" s="28" t="n">
        <f aca="false">IF($D130="",0,IF(OR($B130="",$C130="",$E130="",NOT(ISNUMBER($G130)),$G130&lt;=0),0,IF($D130="STOCK EXISTANT",IF($F130="",0,1),1)))</f>
        <v>0</v>
      </c>
      <c r="S130" s="27" t="str">
        <f aca="false">IF(OR($R130=0,$D130&lt;&gt;"STOCK EXISTANT"),"",SUMIFS(MVT_BRUT,MVT_LOT,$E130,MVT_EMPL,$F130)+$G130)</f>
        <v/>
      </c>
      <c r="T130" s="27" t="str">
        <f aca="false">IF($A130="","",SUMIFS(RES_QTEVAL,RES_IDST,$A130))</f>
        <v/>
      </c>
      <c r="U130" s="28" t="str">
        <f aca="false">IF($A130="","",COUNTIFS(RES_IDST,$A130))</f>
        <v/>
      </c>
      <c r="V130" s="27" t="str">
        <f aca="false">IF(OR($A130="",$U130=0),"",$G130-$T130)</f>
        <v/>
      </c>
      <c r="W130" s="30" t="str">
        <f aca="false">IF(OR($A130="",$U130=0,NOT(ISNUMBER($G130)),$G130&lt;=0),"",$T130/$G130)</f>
        <v/>
      </c>
      <c r="X130" s="26" t="str">
        <f aca="false">IF($D130="","",IF($R130=0,"DONNEES MANQUANTES",IF($D130="STOCK EXISTANT",IF($S130&lt;=0,"EMPLACEMENT INCOHERENT",IF($G130&gt;$S130+0.001,"STOCK INSUFFISANT",IF($U130=0,"EN COURS",IF($T130&gt;$G130+0.001,"BLOQUE",IF(AND($V130&gt;P_TOL,$L130=""),"A JUSTIFIER","OK"))))),IF($U130=0,"EN COURS",IF($T130&gt;$G130+0.001,"BLOQUE",IF(AND($V130&gt;P_TOL,$L130=""),"A JUSTIFIER","OK"))))))</f>
        <v/>
      </c>
      <c r="Y130" s="28" t="n">
        <f aca="false">IF(OR($X130="",$X130="DONNEES MANQUANTES",$X130="EMPLACEMENT INCOHERENT",$X130="STOCK INSUFFISANT"),0,1)</f>
        <v>0</v>
      </c>
      <c r="Z130" s="26" t="str">
        <f aca="false">IF($D130="","",IF($R130=0,"A COMPLETER : "&amp;IF($B130="","DATE ENVOI; ","")&amp;IF($C130="","SOUS-TRAITANT; ","")&amp;IF($E130="","LOT SOURCE; ","")&amp;IF(OR(NOT(ISNUMBER($G130)),$G130&lt;=0),"QTE ENVOYEE &gt; 0; ","")&amp;IF(AND($D130="STOCK EXISTANT",$F130=""),"EMPL. SOURCE; ",""),IF($X130="EMPLACEMENT INCOHERENT","Le lot "&amp;$E130&amp;" n'existe pas sur "&amp;$F130&amp;" (stock 0).",IF($X130="STOCK INSUFFISANT","Disponible avant envoi : "&amp;TEXT($S130,"#,##0.00")&amp;" kg. Ligne NON comptee en stock.",IF($X130="BLOQUE","Total des sorties ("&amp;TEXT($T130,"#,##0.00")&amp;" kg) superieur a la quantite envoyee.",IF($X130="EN COURS","Envoi enregistre, resultats non connus. A completer dans ST_RESULTATS.",IF($X130="A JUSTIFIER","Ecart de "&amp;TEXT($V130,"#,##0.00")&amp;" kg : renseigner JUSTIFICATION ECART (colonne L).",IF($P130="LOT NON REFERENCE","Creer d'abord la fiche du lot dans l'onglet LOTS.",""))))))))</f>
        <v/>
      </c>
      <c r="AA130" s="27" t="n">
        <f aca="false">IF(OR($Y130=0,$U130&gt;0),0,$G130)</f>
        <v>0</v>
      </c>
      <c r="AB130" s="26" t="n">
        <f aca="false">IF($R130=0,0,IF(OR($E130=R_LOT,COUNTIFS(RES_IDST,$A130,RES_LOTEFF,R_LOT)&gt;0),1,0))</f>
        <v>0</v>
      </c>
      <c r="AC130" s="26" t="str">
        <f aca="false">IF($AB130=0,"",COUNTIF($AB$5:$AB130,1))</f>
        <v/>
      </c>
    </row>
    <row r="131" customFormat="false" ht="15" hidden="false" customHeight="false" outlineLevel="0" collapsed="false">
      <c r="A131" s="26" t="str">
        <f aca="false">IF($D131="","","ST-"&amp;TEXT(ROW()-4,"000"))</f>
        <v/>
      </c>
      <c r="B131" s="25"/>
      <c r="C131" s="24"/>
      <c r="D131" s="24"/>
      <c r="E131" s="24"/>
      <c r="F131" s="24"/>
      <c r="G131" s="29"/>
      <c r="H131" s="24"/>
      <c r="I131" s="24"/>
      <c r="J131" s="24"/>
      <c r="K131" s="25"/>
      <c r="L131" s="24"/>
      <c r="M131" s="24"/>
      <c r="N131" s="24"/>
      <c r="O131" s="26" t="str">
        <f aca="false">IF($E131="","",IFERROR(INDEX(LOT_EXTE,MATCH($E131,LOT_KEY,0)),""))</f>
        <v/>
      </c>
      <c r="P131" s="26" t="str">
        <f aca="false">IF($E131="","",IFERROR(INDEX(LOT_PRODE,MATCH($E131,LOT_KEY,0)),"LOT NON REFERENCE"))</f>
        <v/>
      </c>
      <c r="Q131" s="26" t="str">
        <f aca="false">IF($E131="","",IFERROR(INDEX(LOT_FOURNE,MATCH($E131,LOT_KEY,0)),""))</f>
        <v/>
      </c>
      <c r="R131" s="28" t="n">
        <f aca="false">IF($D131="",0,IF(OR($B131="",$C131="",$E131="",NOT(ISNUMBER($G131)),$G131&lt;=0),0,IF($D131="STOCK EXISTANT",IF($F131="",0,1),1)))</f>
        <v>0</v>
      </c>
      <c r="S131" s="27" t="str">
        <f aca="false">IF(OR($R131=0,$D131&lt;&gt;"STOCK EXISTANT"),"",SUMIFS(MVT_BRUT,MVT_LOT,$E131,MVT_EMPL,$F131)+$G131)</f>
        <v/>
      </c>
      <c r="T131" s="27" t="str">
        <f aca="false">IF($A131="","",SUMIFS(RES_QTEVAL,RES_IDST,$A131))</f>
        <v/>
      </c>
      <c r="U131" s="28" t="str">
        <f aca="false">IF($A131="","",COUNTIFS(RES_IDST,$A131))</f>
        <v/>
      </c>
      <c r="V131" s="27" t="str">
        <f aca="false">IF(OR($A131="",$U131=0),"",$G131-$T131)</f>
        <v/>
      </c>
      <c r="W131" s="30" t="str">
        <f aca="false">IF(OR($A131="",$U131=0,NOT(ISNUMBER($G131)),$G131&lt;=0),"",$T131/$G131)</f>
        <v/>
      </c>
      <c r="X131" s="26" t="str">
        <f aca="false">IF($D131="","",IF($R131=0,"DONNEES MANQUANTES",IF($D131="STOCK EXISTANT",IF($S131&lt;=0,"EMPLACEMENT INCOHERENT",IF($G131&gt;$S131+0.001,"STOCK INSUFFISANT",IF($U131=0,"EN COURS",IF($T131&gt;$G131+0.001,"BLOQUE",IF(AND($V131&gt;P_TOL,$L131=""),"A JUSTIFIER","OK"))))),IF($U131=0,"EN COURS",IF($T131&gt;$G131+0.001,"BLOQUE",IF(AND($V131&gt;P_TOL,$L131=""),"A JUSTIFIER","OK"))))))</f>
        <v/>
      </c>
      <c r="Y131" s="28" t="n">
        <f aca="false">IF(OR($X131="",$X131="DONNEES MANQUANTES",$X131="EMPLACEMENT INCOHERENT",$X131="STOCK INSUFFISANT"),0,1)</f>
        <v>0</v>
      </c>
      <c r="Z131" s="26" t="str">
        <f aca="false">IF($D131="","",IF($R131=0,"A COMPLETER : "&amp;IF($B131="","DATE ENVOI; ","")&amp;IF($C131="","SOUS-TRAITANT; ","")&amp;IF($E131="","LOT SOURCE; ","")&amp;IF(OR(NOT(ISNUMBER($G131)),$G131&lt;=0),"QTE ENVOYEE &gt; 0; ","")&amp;IF(AND($D131="STOCK EXISTANT",$F131=""),"EMPL. SOURCE; ",""),IF($X131="EMPLACEMENT INCOHERENT","Le lot "&amp;$E131&amp;" n'existe pas sur "&amp;$F131&amp;" (stock 0).",IF($X131="STOCK INSUFFISANT","Disponible avant envoi : "&amp;TEXT($S131,"#,##0.00")&amp;" kg. Ligne NON comptee en stock.",IF($X131="BLOQUE","Total des sorties ("&amp;TEXT($T131,"#,##0.00")&amp;" kg) superieur a la quantite envoyee.",IF($X131="EN COURS","Envoi enregistre, resultats non connus. A completer dans ST_RESULTATS.",IF($X131="A JUSTIFIER","Ecart de "&amp;TEXT($V131,"#,##0.00")&amp;" kg : renseigner JUSTIFICATION ECART (colonne L).",IF($P131="LOT NON REFERENCE","Creer d'abord la fiche du lot dans l'onglet LOTS.",""))))))))</f>
        <v/>
      </c>
      <c r="AA131" s="27" t="n">
        <f aca="false">IF(OR($Y131=0,$U131&gt;0),0,$G131)</f>
        <v>0</v>
      </c>
      <c r="AB131" s="26" t="n">
        <f aca="false">IF($R131=0,0,IF(OR($E131=R_LOT,COUNTIFS(RES_IDST,$A131,RES_LOTEFF,R_LOT)&gt;0),1,0))</f>
        <v>0</v>
      </c>
      <c r="AC131" s="26" t="str">
        <f aca="false">IF($AB131=0,"",COUNTIF($AB$5:$AB131,1))</f>
        <v/>
      </c>
    </row>
    <row r="132" customFormat="false" ht="15" hidden="false" customHeight="false" outlineLevel="0" collapsed="false">
      <c r="A132" s="26" t="str">
        <f aca="false">IF($D132="","","ST-"&amp;TEXT(ROW()-4,"000"))</f>
        <v/>
      </c>
      <c r="B132" s="25"/>
      <c r="C132" s="24"/>
      <c r="D132" s="24"/>
      <c r="E132" s="24"/>
      <c r="F132" s="24"/>
      <c r="G132" s="29"/>
      <c r="H132" s="24"/>
      <c r="I132" s="24"/>
      <c r="J132" s="24"/>
      <c r="K132" s="25"/>
      <c r="L132" s="24"/>
      <c r="M132" s="24"/>
      <c r="N132" s="24"/>
      <c r="O132" s="26" t="str">
        <f aca="false">IF($E132="","",IFERROR(INDEX(LOT_EXTE,MATCH($E132,LOT_KEY,0)),""))</f>
        <v/>
      </c>
      <c r="P132" s="26" t="str">
        <f aca="false">IF($E132="","",IFERROR(INDEX(LOT_PRODE,MATCH($E132,LOT_KEY,0)),"LOT NON REFERENCE"))</f>
        <v/>
      </c>
      <c r="Q132" s="26" t="str">
        <f aca="false">IF($E132="","",IFERROR(INDEX(LOT_FOURNE,MATCH($E132,LOT_KEY,0)),""))</f>
        <v/>
      </c>
      <c r="R132" s="28" t="n">
        <f aca="false">IF($D132="",0,IF(OR($B132="",$C132="",$E132="",NOT(ISNUMBER($G132)),$G132&lt;=0),0,IF($D132="STOCK EXISTANT",IF($F132="",0,1),1)))</f>
        <v>0</v>
      </c>
      <c r="S132" s="27" t="str">
        <f aca="false">IF(OR($R132=0,$D132&lt;&gt;"STOCK EXISTANT"),"",SUMIFS(MVT_BRUT,MVT_LOT,$E132,MVT_EMPL,$F132)+$G132)</f>
        <v/>
      </c>
      <c r="T132" s="27" t="str">
        <f aca="false">IF($A132="","",SUMIFS(RES_QTEVAL,RES_IDST,$A132))</f>
        <v/>
      </c>
      <c r="U132" s="28" t="str">
        <f aca="false">IF($A132="","",COUNTIFS(RES_IDST,$A132))</f>
        <v/>
      </c>
      <c r="V132" s="27" t="str">
        <f aca="false">IF(OR($A132="",$U132=0),"",$G132-$T132)</f>
        <v/>
      </c>
      <c r="W132" s="30" t="str">
        <f aca="false">IF(OR($A132="",$U132=0,NOT(ISNUMBER($G132)),$G132&lt;=0),"",$T132/$G132)</f>
        <v/>
      </c>
      <c r="X132" s="26" t="str">
        <f aca="false">IF($D132="","",IF($R132=0,"DONNEES MANQUANTES",IF($D132="STOCK EXISTANT",IF($S132&lt;=0,"EMPLACEMENT INCOHERENT",IF($G132&gt;$S132+0.001,"STOCK INSUFFISANT",IF($U132=0,"EN COURS",IF($T132&gt;$G132+0.001,"BLOQUE",IF(AND($V132&gt;P_TOL,$L132=""),"A JUSTIFIER","OK"))))),IF($U132=0,"EN COURS",IF($T132&gt;$G132+0.001,"BLOQUE",IF(AND($V132&gt;P_TOL,$L132=""),"A JUSTIFIER","OK"))))))</f>
        <v/>
      </c>
      <c r="Y132" s="28" t="n">
        <f aca="false">IF(OR($X132="",$X132="DONNEES MANQUANTES",$X132="EMPLACEMENT INCOHERENT",$X132="STOCK INSUFFISANT"),0,1)</f>
        <v>0</v>
      </c>
      <c r="Z132" s="26" t="str">
        <f aca="false">IF($D132="","",IF($R132=0,"A COMPLETER : "&amp;IF($B132="","DATE ENVOI; ","")&amp;IF($C132="","SOUS-TRAITANT; ","")&amp;IF($E132="","LOT SOURCE; ","")&amp;IF(OR(NOT(ISNUMBER($G132)),$G132&lt;=0),"QTE ENVOYEE &gt; 0; ","")&amp;IF(AND($D132="STOCK EXISTANT",$F132=""),"EMPL. SOURCE; ",""),IF($X132="EMPLACEMENT INCOHERENT","Le lot "&amp;$E132&amp;" n'existe pas sur "&amp;$F132&amp;" (stock 0).",IF($X132="STOCK INSUFFISANT","Disponible avant envoi : "&amp;TEXT($S132,"#,##0.00")&amp;" kg. Ligne NON comptee en stock.",IF($X132="BLOQUE","Total des sorties ("&amp;TEXT($T132,"#,##0.00")&amp;" kg) superieur a la quantite envoyee.",IF($X132="EN COURS","Envoi enregistre, resultats non connus. A completer dans ST_RESULTATS.",IF($X132="A JUSTIFIER","Ecart de "&amp;TEXT($V132,"#,##0.00")&amp;" kg : renseigner JUSTIFICATION ECART (colonne L).",IF($P132="LOT NON REFERENCE","Creer d'abord la fiche du lot dans l'onglet LOTS.",""))))))))</f>
        <v/>
      </c>
      <c r="AA132" s="27" t="n">
        <f aca="false">IF(OR($Y132=0,$U132&gt;0),0,$G132)</f>
        <v>0</v>
      </c>
      <c r="AB132" s="26" t="n">
        <f aca="false">IF($R132=0,0,IF(OR($E132=R_LOT,COUNTIFS(RES_IDST,$A132,RES_LOTEFF,R_LOT)&gt;0),1,0))</f>
        <v>0</v>
      </c>
      <c r="AC132" s="26" t="str">
        <f aca="false">IF($AB132=0,"",COUNTIF($AB$5:$AB132,1))</f>
        <v/>
      </c>
    </row>
    <row r="133" customFormat="false" ht="15" hidden="false" customHeight="false" outlineLevel="0" collapsed="false">
      <c r="A133" s="26" t="str">
        <f aca="false">IF($D133="","","ST-"&amp;TEXT(ROW()-4,"000"))</f>
        <v/>
      </c>
      <c r="B133" s="25"/>
      <c r="C133" s="24"/>
      <c r="D133" s="24"/>
      <c r="E133" s="24"/>
      <c r="F133" s="24"/>
      <c r="G133" s="29"/>
      <c r="H133" s="24"/>
      <c r="I133" s="24"/>
      <c r="J133" s="24"/>
      <c r="K133" s="25"/>
      <c r="L133" s="24"/>
      <c r="M133" s="24"/>
      <c r="N133" s="24"/>
      <c r="O133" s="26" t="str">
        <f aca="false">IF($E133="","",IFERROR(INDEX(LOT_EXTE,MATCH($E133,LOT_KEY,0)),""))</f>
        <v/>
      </c>
      <c r="P133" s="26" t="str">
        <f aca="false">IF($E133="","",IFERROR(INDEX(LOT_PRODE,MATCH($E133,LOT_KEY,0)),"LOT NON REFERENCE"))</f>
        <v/>
      </c>
      <c r="Q133" s="26" t="str">
        <f aca="false">IF($E133="","",IFERROR(INDEX(LOT_FOURNE,MATCH($E133,LOT_KEY,0)),""))</f>
        <v/>
      </c>
      <c r="R133" s="28" t="n">
        <f aca="false">IF($D133="",0,IF(OR($B133="",$C133="",$E133="",NOT(ISNUMBER($G133)),$G133&lt;=0),0,IF($D133="STOCK EXISTANT",IF($F133="",0,1),1)))</f>
        <v>0</v>
      </c>
      <c r="S133" s="27" t="str">
        <f aca="false">IF(OR($R133=0,$D133&lt;&gt;"STOCK EXISTANT"),"",SUMIFS(MVT_BRUT,MVT_LOT,$E133,MVT_EMPL,$F133)+$G133)</f>
        <v/>
      </c>
      <c r="T133" s="27" t="str">
        <f aca="false">IF($A133="","",SUMIFS(RES_QTEVAL,RES_IDST,$A133))</f>
        <v/>
      </c>
      <c r="U133" s="28" t="str">
        <f aca="false">IF($A133="","",COUNTIFS(RES_IDST,$A133))</f>
        <v/>
      </c>
      <c r="V133" s="27" t="str">
        <f aca="false">IF(OR($A133="",$U133=0),"",$G133-$T133)</f>
        <v/>
      </c>
      <c r="W133" s="30" t="str">
        <f aca="false">IF(OR($A133="",$U133=0,NOT(ISNUMBER($G133)),$G133&lt;=0),"",$T133/$G133)</f>
        <v/>
      </c>
      <c r="X133" s="26" t="str">
        <f aca="false">IF($D133="","",IF($R133=0,"DONNEES MANQUANTES",IF($D133="STOCK EXISTANT",IF($S133&lt;=0,"EMPLACEMENT INCOHERENT",IF($G133&gt;$S133+0.001,"STOCK INSUFFISANT",IF($U133=0,"EN COURS",IF($T133&gt;$G133+0.001,"BLOQUE",IF(AND($V133&gt;P_TOL,$L133=""),"A JUSTIFIER","OK"))))),IF($U133=0,"EN COURS",IF($T133&gt;$G133+0.001,"BLOQUE",IF(AND($V133&gt;P_TOL,$L133=""),"A JUSTIFIER","OK"))))))</f>
        <v/>
      </c>
      <c r="Y133" s="28" t="n">
        <f aca="false">IF(OR($X133="",$X133="DONNEES MANQUANTES",$X133="EMPLACEMENT INCOHERENT",$X133="STOCK INSUFFISANT"),0,1)</f>
        <v>0</v>
      </c>
      <c r="Z133" s="26" t="str">
        <f aca="false">IF($D133="","",IF($R133=0,"A COMPLETER : "&amp;IF($B133="","DATE ENVOI; ","")&amp;IF($C133="","SOUS-TRAITANT; ","")&amp;IF($E133="","LOT SOURCE; ","")&amp;IF(OR(NOT(ISNUMBER($G133)),$G133&lt;=0),"QTE ENVOYEE &gt; 0; ","")&amp;IF(AND($D133="STOCK EXISTANT",$F133=""),"EMPL. SOURCE; ",""),IF($X133="EMPLACEMENT INCOHERENT","Le lot "&amp;$E133&amp;" n'existe pas sur "&amp;$F133&amp;" (stock 0).",IF($X133="STOCK INSUFFISANT","Disponible avant envoi : "&amp;TEXT($S133,"#,##0.00")&amp;" kg. Ligne NON comptee en stock.",IF($X133="BLOQUE","Total des sorties ("&amp;TEXT($T133,"#,##0.00")&amp;" kg) superieur a la quantite envoyee.",IF($X133="EN COURS","Envoi enregistre, resultats non connus. A completer dans ST_RESULTATS.",IF($X133="A JUSTIFIER","Ecart de "&amp;TEXT($V133,"#,##0.00")&amp;" kg : renseigner JUSTIFICATION ECART (colonne L).",IF($P133="LOT NON REFERENCE","Creer d'abord la fiche du lot dans l'onglet LOTS.",""))))))))</f>
        <v/>
      </c>
      <c r="AA133" s="27" t="n">
        <f aca="false">IF(OR($Y133=0,$U133&gt;0),0,$G133)</f>
        <v>0</v>
      </c>
      <c r="AB133" s="26" t="n">
        <f aca="false">IF($R133=0,0,IF(OR($E133=R_LOT,COUNTIFS(RES_IDST,$A133,RES_LOTEFF,R_LOT)&gt;0),1,0))</f>
        <v>0</v>
      </c>
      <c r="AC133" s="26" t="str">
        <f aca="false">IF($AB133=0,"",COUNTIF($AB$5:$AB133,1))</f>
        <v/>
      </c>
    </row>
    <row r="134" customFormat="false" ht="15" hidden="false" customHeight="false" outlineLevel="0" collapsed="false">
      <c r="A134" s="26" t="str">
        <f aca="false">IF($D134="","","ST-"&amp;TEXT(ROW()-4,"000"))</f>
        <v/>
      </c>
      <c r="B134" s="25"/>
      <c r="C134" s="24"/>
      <c r="D134" s="24"/>
      <c r="E134" s="24"/>
      <c r="F134" s="24"/>
      <c r="G134" s="29"/>
      <c r="H134" s="24"/>
      <c r="I134" s="24"/>
      <c r="J134" s="24"/>
      <c r="K134" s="25"/>
      <c r="L134" s="24"/>
      <c r="M134" s="24"/>
      <c r="N134" s="24"/>
      <c r="O134" s="26" t="str">
        <f aca="false">IF($E134="","",IFERROR(INDEX(LOT_EXTE,MATCH($E134,LOT_KEY,0)),""))</f>
        <v/>
      </c>
      <c r="P134" s="26" t="str">
        <f aca="false">IF($E134="","",IFERROR(INDEX(LOT_PRODE,MATCH($E134,LOT_KEY,0)),"LOT NON REFERENCE"))</f>
        <v/>
      </c>
      <c r="Q134" s="26" t="str">
        <f aca="false">IF($E134="","",IFERROR(INDEX(LOT_FOURNE,MATCH($E134,LOT_KEY,0)),""))</f>
        <v/>
      </c>
      <c r="R134" s="28" t="n">
        <f aca="false">IF($D134="",0,IF(OR($B134="",$C134="",$E134="",NOT(ISNUMBER($G134)),$G134&lt;=0),0,IF($D134="STOCK EXISTANT",IF($F134="",0,1),1)))</f>
        <v>0</v>
      </c>
      <c r="S134" s="27" t="str">
        <f aca="false">IF(OR($R134=0,$D134&lt;&gt;"STOCK EXISTANT"),"",SUMIFS(MVT_BRUT,MVT_LOT,$E134,MVT_EMPL,$F134)+$G134)</f>
        <v/>
      </c>
      <c r="T134" s="27" t="str">
        <f aca="false">IF($A134="","",SUMIFS(RES_QTEVAL,RES_IDST,$A134))</f>
        <v/>
      </c>
      <c r="U134" s="28" t="str">
        <f aca="false">IF($A134="","",COUNTIFS(RES_IDST,$A134))</f>
        <v/>
      </c>
      <c r="V134" s="27" t="str">
        <f aca="false">IF(OR($A134="",$U134=0),"",$G134-$T134)</f>
        <v/>
      </c>
      <c r="W134" s="30" t="str">
        <f aca="false">IF(OR($A134="",$U134=0,NOT(ISNUMBER($G134)),$G134&lt;=0),"",$T134/$G134)</f>
        <v/>
      </c>
      <c r="X134" s="26" t="str">
        <f aca="false">IF($D134="","",IF($R134=0,"DONNEES MANQUANTES",IF($D134="STOCK EXISTANT",IF($S134&lt;=0,"EMPLACEMENT INCOHERENT",IF($G134&gt;$S134+0.001,"STOCK INSUFFISANT",IF($U134=0,"EN COURS",IF($T134&gt;$G134+0.001,"BLOQUE",IF(AND($V134&gt;P_TOL,$L134=""),"A JUSTIFIER","OK"))))),IF($U134=0,"EN COURS",IF($T134&gt;$G134+0.001,"BLOQUE",IF(AND($V134&gt;P_TOL,$L134=""),"A JUSTIFIER","OK"))))))</f>
        <v/>
      </c>
      <c r="Y134" s="28" t="n">
        <f aca="false">IF(OR($X134="",$X134="DONNEES MANQUANTES",$X134="EMPLACEMENT INCOHERENT",$X134="STOCK INSUFFISANT"),0,1)</f>
        <v>0</v>
      </c>
      <c r="Z134" s="26" t="str">
        <f aca="false">IF($D134="","",IF($R134=0,"A COMPLETER : "&amp;IF($B134="","DATE ENVOI; ","")&amp;IF($C134="","SOUS-TRAITANT; ","")&amp;IF($E134="","LOT SOURCE; ","")&amp;IF(OR(NOT(ISNUMBER($G134)),$G134&lt;=0),"QTE ENVOYEE &gt; 0; ","")&amp;IF(AND($D134="STOCK EXISTANT",$F134=""),"EMPL. SOURCE; ",""),IF($X134="EMPLACEMENT INCOHERENT","Le lot "&amp;$E134&amp;" n'existe pas sur "&amp;$F134&amp;" (stock 0).",IF($X134="STOCK INSUFFISANT","Disponible avant envoi : "&amp;TEXT($S134,"#,##0.00")&amp;" kg. Ligne NON comptee en stock.",IF($X134="BLOQUE","Total des sorties ("&amp;TEXT($T134,"#,##0.00")&amp;" kg) superieur a la quantite envoyee.",IF($X134="EN COURS","Envoi enregistre, resultats non connus. A completer dans ST_RESULTATS.",IF($X134="A JUSTIFIER","Ecart de "&amp;TEXT($V134,"#,##0.00")&amp;" kg : renseigner JUSTIFICATION ECART (colonne L).",IF($P134="LOT NON REFERENCE","Creer d'abord la fiche du lot dans l'onglet LOTS.",""))))))))</f>
        <v/>
      </c>
      <c r="AA134" s="27" t="n">
        <f aca="false">IF(OR($Y134=0,$U134&gt;0),0,$G134)</f>
        <v>0</v>
      </c>
      <c r="AB134" s="26" t="n">
        <f aca="false">IF($R134=0,0,IF(OR($E134=R_LOT,COUNTIFS(RES_IDST,$A134,RES_LOTEFF,R_LOT)&gt;0),1,0))</f>
        <v>0</v>
      </c>
      <c r="AC134" s="26" t="str">
        <f aca="false">IF($AB134=0,"",COUNTIF($AB$5:$AB134,1))</f>
        <v/>
      </c>
    </row>
    <row r="135" customFormat="false" ht="15" hidden="false" customHeight="false" outlineLevel="0" collapsed="false">
      <c r="A135" s="26" t="str">
        <f aca="false">IF($D135="","","ST-"&amp;TEXT(ROW()-4,"000"))</f>
        <v/>
      </c>
      <c r="B135" s="25"/>
      <c r="C135" s="24"/>
      <c r="D135" s="24"/>
      <c r="E135" s="24"/>
      <c r="F135" s="24"/>
      <c r="G135" s="29"/>
      <c r="H135" s="24"/>
      <c r="I135" s="24"/>
      <c r="J135" s="24"/>
      <c r="K135" s="25"/>
      <c r="L135" s="24"/>
      <c r="M135" s="24"/>
      <c r="N135" s="24"/>
      <c r="O135" s="26" t="str">
        <f aca="false">IF($E135="","",IFERROR(INDEX(LOT_EXTE,MATCH($E135,LOT_KEY,0)),""))</f>
        <v/>
      </c>
      <c r="P135" s="26" t="str">
        <f aca="false">IF($E135="","",IFERROR(INDEX(LOT_PRODE,MATCH($E135,LOT_KEY,0)),"LOT NON REFERENCE"))</f>
        <v/>
      </c>
      <c r="Q135" s="26" t="str">
        <f aca="false">IF($E135="","",IFERROR(INDEX(LOT_FOURNE,MATCH($E135,LOT_KEY,0)),""))</f>
        <v/>
      </c>
      <c r="R135" s="28" t="n">
        <f aca="false">IF($D135="",0,IF(OR($B135="",$C135="",$E135="",NOT(ISNUMBER($G135)),$G135&lt;=0),0,IF($D135="STOCK EXISTANT",IF($F135="",0,1),1)))</f>
        <v>0</v>
      </c>
      <c r="S135" s="27" t="str">
        <f aca="false">IF(OR($R135=0,$D135&lt;&gt;"STOCK EXISTANT"),"",SUMIFS(MVT_BRUT,MVT_LOT,$E135,MVT_EMPL,$F135)+$G135)</f>
        <v/>
      </c>
      <c r="T135" s="27" t="str">
        <f aca="false">IF($A135="","",SUMIFS(RES_QTEVAL,RES_IDST,$A135))</f>
        <v/>
      </c>
      <c r="U135" s="28" t="str">
        <f aca="false">IF($A135="","",COUNTIFS(RES_IDST,$A135))</f>
        <v/>
      </c>
      <c r="V135" s="27" t="str">
        <f aca="false">IF(OR($A135="",$U135=0),"",$G135-$T135)</f>
        <v/>
      </c>
      <c r="W135" s="30" t="str">
        <f aca="false">IF(OR($A135="",$U135=0,NOT(ISNUMBER($G135)),$G135&lt;=0),"",$T135/$G135)</f>
        <v/>
      </c>
      <c r="X135" s="26" t="str">
        <f aca="false">IF($D135="","",IF($R135=0,"DONNEES MANQUANTES",IF($D135="STOCK EXISTANT",IF($S135&lt;=0,"EMPLACEMENT INCOHERENT",IF($G135&gt;$S135+0.001,"STOCK INSUFFISANT",IF($U135=0,"EN COURS",IF($T135&gt;$G135+0.001,"BLOQUE",IF(AND($V135&gt;P_TOL,$L135=""),"A JUSTIFIER","OK"))))),IF($U135=0,"EN COURS",IF($T135&gt;$G135+0.001,"BLOQUE",IF(AND($V135&gt;P_TOL,$L135=""),"A JUSTIFIER","OK"))))))</f>
        <v/>
      </c>
      <c r="Y135" s="28" t="n">
        <f aca="false">IF(OR($X135="",$X135="DONNEES MANQUANTES",$X135="EMPLACEMENT INCOHERENT",$X135="STOCK INSUFFISANT"),0,1)</f>
        <v>0</v>
      </c>
      <c r="Z135" s="26" t="str">
        <f aca="false">IF($D135="","",IF($R135=0,"A COMPLETER : "&amp;IF($B135="","DATE ENVOI; ","")&amp;IF($C135="","SOUS-TRAITANT; ","")&amp;IF($E135="","LOT SOURCE; ","")&amp;IF(OR(NOT(ISNUMBER($G135)),$G135&lt;=0),"QTE ENVOYEE &gt; 0; ","")&amp;IF(AND($D135="STOCK EXISTANT",$F135=""),"EMPL. SOURCE; ",""),IF($X135="EMPLACEMENT INCOHERENT","Le lot "&amp;$E135&amp;" n'existe pas sur "&amp;$F135&amp;" (stock 0).",IF($X135="STOCK INSUFFISANT","Disponible avant envoi : "&amp;TEXT($S135,"#,##0.00")&amp;" kg. Ligne NON comptee en stock.",IF($X135="BLOQUE","Total des sorties ("&amp;TEXT($T135,"#,##0.00")&amp;" kg) superieur a la quantite envoyee.",IF($X135="EN COURS","Envoi enregistre, resultats non connus. A completer dans ST_RESULTATS.",IF($X135="A JUSTIFIER","Ecart de "&amp;TEXT($V135,"#,##0.00")&amp;" kg : renseigner JUSTIFICATION ECART (colonne L).",IF($P135="LOT NON REFERENCE","Creer d'abord la fiche du lot dans l'onglet LOTS.",""))))))))</f>
        <v/>
      </c>
      <c r="AA135" s="27" t="n">
        <f aca="false">IF(OR($Y135=0,$U135&gt;0),0,$G135)</f>
        <v>0</v>
      </c>
      <c r="AB135" s="26" t="n">
        <f aca="false">IF($R135=0,0,IF(OR($E135=R_LOT,COUNTIFS(RES_IDST,$A135,RES_LOTEFF,R_LOT)&gt;0),1,0))</f>
        <v>0</v>
      </c>
      <c r="AC135" s="26" t="str">
        <f aca="false">IF($AB135=0,"",COUNTIF($AB$5:$AB135,1))</f>
        <v/>
      </c>
    </row>
    <row r="136" customFormat="false" ht="15" hidden="false" customHeight="false" outlineLevel="0" collapsed="false">
      <c r="A136" s="26" t="str">
        <f aca="false">IF($D136="","","ST-"&amp;TEXT(ROW()-4,"000"))</f>
        <v/>
      </c>
      <c r="B136" s="25"/>
      <c r="C136" s="24"/>
      <c r="D136" s="24"/>
      <c r="E136" s="24"/>
      <c r="F136" s="24"/>
      <c r="G136" s="29"/>
      <c r="H136" s="24"/>
      <c r="I136" s="24"/>
      <c r="J136" s="24"/>
      <c r="K136" s="25"/>
      <c r="L136" s="24"/>
      <c r="M136" s="24"/>
      <c r="N136" s="24"/>
      <c r="O136" s="26" t="str">
        <f aca="false">IF($E136="","",IFERROR(INDEX(LOT_EXTE,MATCH($E136,LOT_KEY,0)),""))</f>
        <v/>
      </c>
      <c r="P136" s="26" t="str">
        <f aca="false">IF($E136="","",IFERROR(INDEX(LOT_PRODE,MATCH($E136,LOT_KEY,0)),"LOT NON REFERENCE"))</f>
        <v/>
      </c>
      <c r="Q136" s="26" t="str">
        <f aca="false">IF($E136="","",IFERROR(INDEX(LOT_FOURNE,MATCH($E136,LOT_KEY,0)),""))</f>
        <v/>
      </c>
      <c r="R136" s="28" t="n">
        <f aca="false">IF($D136="",0,IF(OR($B136="",$C136="",$E136="",NOT(ISNUMBER($G136)),$G136&lt;=0),0,IF($D136="STOCK EXISTANT",IF($F136="",0,1),1)))</f>
        <v>0</v>
      </c>
      <c r="S136" s="27" t="str">
        <f aca="false">IF(OR($R136=0,$D136&lt;&gt;"STOCK EXISTANT"),"",SUMIFS(MVT_BRUT,MVT_LOT,$E136,MVT_EMPL,$F136)+$G136)</f>
        <v/>
      </c>
      <c r="T136" s="27" t="str">
        <f aca="false">IF($A136="","",SUMIFS(RES_QTEVAL,RES_IDST,$A136))</f>
        <v/>
      </c>
      <c r="U136" s="28" t="str">
        <f aca="false">IF($A136="","",COUNTIFS(RES_IDST,$A136))</f>
        <v/>
      </c>
      <c r="V136" s="27" t="str">
        <f aca="false">IF(OR($A136="",$U136=0),"",$G136-$T136)</f>
        <v/>
      </c>
      <c r="W136" s="30" t="str">
        <f aca="false">IF(OR($A136="",$U136=0,NOT(ISNUMBER($G136)),$G136&lt;=0),"",$T136/$G136)</f>
        <v/>
      </c>
      <c r="X136" s="26" t="str">
        <f aca="false">IF($D136="","",IF($R136=0,"DONNEES MANQUANTES",IF($D136="STOCK EXISTANT",IF($S136&lt;=0,"EMPLACEMENT INCOHERENT",IF($G136&gt;$S136+0.001,"STOCK INSUFFISANT",IF($U136=0,"EN COURS",IF($T136&gt;$G136+0.001,"BLOQUE",IF(AND($V136&gt;P_TOL,$L136=""),"A JUSTIFIER","OK"))))),IF($U136=0,"EN COURS",IF($T136&gt;$G136+0.001,"BLOQUE",IF(AND($V136&gt;P_TOL,$L136=""),"A JUSTIFIER","OK"))))))</f>
        <v/>
      </c>
      <c r="Y136" s="28" t="n">
        <f aca="false">IF(OR($X136="",$X136="DONNEES MANQUANTES",$X136="EMPLACEMENT INCOHERENT",$X136="STOCK INSUFFISANT"),0,1)</f>
        <v>0</v>
      </c>
      <c r="Z136" s="26" t="str">
        <f aca="false">IF($D136="","",IF($R136=0,"A COMPLETER : "&amp;IF($B136="","DATE ENVOI; ","")&amp;IF($C136="","SOUS-TRAITANT; ","")&amp;IF($E136="","LOT SOURCE; ","")&amp;IF(OR(NOT(ISNUMBER($G136)),$G136&lt;=0),"QTE ENVOYEE &gt; 0; ","")&amp;IF(AND($D136="STOCK EXISTANT",$F136=""),"EMPL. SOURCE; ",""),IF($X136="EMPLACEMENT INCOHERENT","Le lot "&amp;$E136&amp;" n'existe pas sur "&amp;$F136&amp;" (stock 0).",IF($X136="STOCK INSUFFISANT","Disponible avant envoi : "&amp;TEXT($S136,"#,##0.00")&amp;" kg. Ligne NON comptee en stock.",IF($X136="BLOQUE","Total des sorties ("&amp;TEXT($T136,"#,##0.00")&amp;" kg) superieur a la quantite envoyee.",IF($X136="EN COURS","Envoi enregistre, resultats non connus. A completer dans ST_RESULTATS.",IF($X136="A JUSTIFIER","Ecart de "&amp;TEXT($V136,"#,##0.00")&amp;" kg : renseigner JUSTIFICATION ECART (colonne L).",IF($P136="LOT NON REFERENCE","Creer d'abord la fiche du lot dans l'onglet LOTS.",""))))))))</f>
        <v/>
      </c>
      <c r="AA136" s="27" t="n">
        <f aca="false">IF(OR($Y136=0,$U136&gt;0),0,$G136)</f>
        <v>0</v>
      </c>
      <c r="AB136" s="26" t="n">
        <f aca="false">IF($R136=0,0,IF(OR($E136=R_LOT,COUNTIFS(RES_IDST,$A136,RES_LOTEFF,R_LOT)&gt;0),1,0))</f>
        <v>0</v>
      </c>
      <c r="AC136" s="26" t="str">
        <f aca="false">IF($AB136=0,"",COUNTIF($AB$5:$AB136,1))</f>
        <v/>
      </c>
    </row>
    <row r="137" customFormat="false" ht="15" hidden="false" customHeight="false" outlineLevel="0" collapsed="false">
      <c r="A137" s="26" t="str">
        <f aca="false">IF($D137="","","ST-"&amp;TEXT(ROW()-4,"000"))</f>
        <v/>
      </c>
      <c r="B137" s="25"/>
      <c r="C137" s="24"/>
      <c r="D137" s="24"/>
      <c r="E137" s="24"/>
      <c r="F137" s="24"/>
      <c r="G137" s="29"/>
      <c r="H137" s="24"/>
      <c r="I137" s="24"/>
      <c r="J137" s="24"/>
      <c r="K137" s="25"/>
      <c r="L137" s="24"/>
      <c r="M137" s="24"/>
      <c r="N137" s="24"/>
      <c r="O137" s="26" t="str">
        <f aca="false">IF($E137="","",IFERROR(INDEX(LOT_EXTE,MATCH($E137,LOT_KEY,0)),""))</f>
        <v/>
      </c>
      <c r="P137" s="26" t="str">
        <f aca="false">IF($E137="","",IFERROR(INDEX(LOT_PRODE,MATCH($E137,LOT_KEY,0)),"LOT NON REFERENCE"))</f>
        <v/>
      </c>
      <c r="Q137" s="26" t="str">
        <f aca="false">IF($E137="","",IFERROR(INDEX(LOT_FOURNE,MATCH($E137,LOT_KEY,0)),""))</f>
        <v/>
      </c>
      <c r="R137" s="28" t="n">
        <f aca="false">IF($D137="",0,IF(OR($B137="",$C137="",$E137="",NOT(ISNUMBER($G137)),$G137&lt;=0),0,IF($D137="STOCK EXISTANT",IF($F137="",0,1),1)))</f>
        <v>0</v>
      </c>
      <c r="S137" s="27" t="str">
        <f aca="false">IF(OR($R137=0,$D137&lt;&gt;"STOCK EXISTANT"),"",SUMIFS(MVT_BRUT,MVT_LOT,$E137,MVT_EMPL,$F137)+$G137)</f>
        <v/>
      </c>
      <c r="T137" s="27" t="str">
        <f aca="false">IF($A137="","",SUMIFS(RES_QTEVAL,RES_IDST,$A137))</f>
        <v/>
      </c>
      <c r="U137" s="28" t="str">
        <f aca="false">IF($A137="","",COUNTIFS(RES_IDST,$A137))</f>
        <v/>
      </c>
      <c r="V137" s="27" t="str">
        <f aca="false">IF(OR($A137="",$U137=0),"",$G137-$T137)</f>
        <v/>
      </c>
      <c r="W137" s="30" t="str">
        <f aca="false">IF(OR($A137="",$U137=0,NOT(ISNUMBER($G137)),$G137&lt;=0),"",$T137/$G137)</f>
        <v/>
      </c>
      <c r="X137" s="26" t="str">
        <f aca="false">IF($D137="","",IF($R137=0,"DONNEES MANQUANTES",IF($D137="STOCK EXISTANT",IF($S137&lt;=0,"EMPLACEMENT INCOHERENT",IF($G137&gt;$S137+0.001,"STOCK INSUFFISANT",IF($U137=0,"EN COURS",IF($T137&gt;$G137+0.001,"BLOQUE",IF(AND($V137&gt;P_TOL,$L137=""),"A JUSTIFIER","OK"))))),IF($U137=0,"EN COURS",IF($T137&gt;$G137+0.001,"BLOQUE",IF(AND($V137&gt;P_TOL,$L137=""),"A JUSTIFIER","OK"))))))</f>
        <v/>
      </c>
      <c r="Y137" s="28" t="n">
        <f aca="false">IF(OR($X137="",$X137="DONNEES MANQUANTES",$X137="EMPLACEMENT INCOHERENT",$X137="STOCK INSUFFISANT"),0,1)</f>
        <v>0</v>
      </c>
      <c r="Z137" s="26" t="str">
        <f aca="false">IF($D137="","",IF($R137=0,"A COMPLETER : "&amp;IF($B137="","DATE ENVOI; ","")&amp;IF($C137="","SOUS-TRAITANT; ","")&amp;IF($E137="","LOT SOURCE; ","")&amp;IF(OR(NOT(ISNUMBER($G137)),$G137&lt;=0),"QTE ENVOYEE &gt; 0; ","")&amp;IF(AND($D137="STOCK EXISTANT",$F137=""),"EMPL. SOURCE; ",""),IF($X137="EMPLACEMENT INCOHERENT","Le lot "&amp;$E137&amp;" n'existe pas sur "&amp;$F137&amp;" (stock 0).",IF($X137="STOCK INSUFFISANT","Disponible avant envoi : "&amp;TEXT($S137,"#,##0.00")&amp;" kg. Ligne NON comptee en stock.",IF($X137="BLOQUE","Total des sorties ("&amp;TEXT($T137,"#,##0.00")&amp;" kg) superieur a la quantite envoyee.",IF($X137="EN COURS","Envoi enregistre, resultats non connus. A completer dans ST_RESULTATS.",IF($X137="A JUSTIFIER","Ecart de "&amp;TEXT($V137,"#,##0.00")&amp;" kg : renseigner JUSTIFICATION ECART (colonne L).",IF($P137="LOT NON REFERENCE","Creer d'abord la fiche du lot dans l'onglet LOTS.",""))))))))</f>
        <v/>
      </c>
      <c r="AA137" s="27" t="n">
        <f aca="false">IF(OR($Y137=0,$U137&gt;0),0,$G137)</f>
        <v>0</v>
      </c>
      <c r="AB137" s="26" t="n">
        <f aca="false">IF($R137=0,0,IF(OR($E137=R_LOT,COUNTIFS(RES_IDST,$A137,RES_LOTEFF,R_LOT)&gt;0),1,0))</f>
        <v>0</v>
      </c>
      <c r="AC137" s="26" t="str">
        <f aca="false">IF($AB137=0,"",COUNTIF($AB$5:$AB137,1))</f>
        <v/>
      </c>
    </row>
    <row r="138" customFormat="false" ht="15" hidden="false" customHeight="false" outlineLevel="0" collapsed="false">
      <c r="A138" s="26" t="str">
        <f aca="false">IF($D138="","","ST-"&amp;TEXT(ROW()-4,"000"))</f>
        <v/>
      </c>
      <c r="B138" s="25"/>
      <c r="C138" s="24"/>
      <c r="D138" s="24"/>
      <c r="E138" s="24"/>
      <c r="F138" s="24"/>
      <c r="G138" s="29"/>
      <c r="H138" s="24"/>
      <c r="I138" s="24"/>
      <c r="J138" s="24"/>
      <c r="K138" s="25"/>
      <c r="L138" s="24"/>
      <c r="M138" s="24"/>
      <c r="N138" s="24"/>
      <c r="O138" s="26" t="str">
        <f aca="false">IF($E138="","",IFERROR(INDEX(LOT_EXTE,MATCH($E138,LOT_KEY,0)),""))</f>
        <v/>
      </c>
      <c r="P138" s="26" t="str">
        <f aca="false">IF($E138="","",IFERROR(INDEX(LOT_PRODE,MATCH($E138,LOT_KEY,0)),"LOT NON REFERENCE"))</f>
        <v/>
      </c>
      <c r="Q138" s="26" t="str">
        <f aca="false">IF($E138="","",IFERROR(INDEX(LOT_FOURNE,MATCH($E138,LOT_KEY,0)),""))</f>
        <v/>
      </c>
      <c r="R138" s="28" t="n">
        <f aca="false">IF($D138="",0,IF(OR($B138="",$C138="",$E138="",NOT(ISNUMBER($G138)),$G138&lt;=0),0,IF($D138="STOCK EXISTANT",IF($F138="",0,1),1)))</f>
        <v>0</v>
      </c>
      <c r="S138" s="27" t="str">
        <f aca="false">IF(OR($R138=0,$D138&lt;&gt;"STOCK EXISTANT"),"",SUMIFS(MVT_BRUT,MVT_LOT,$E138,MVT_EMPL,$F138)+$G138)</f>
        <v/>
      </c>
      <c r="T138" s="27" t="str">
        <f aca="false">IF($A138="","",SUMIFS(RES_QTEVAL,RES_IDST,$A138))</f>
        <v/>
      </c>
      <c r="U138" s="28" t="str">
        <f aca="false">IF($A138="","",COUNTIFS(RES_IDST,$A138))</f>
        <v/>
      </c>
      <c r="V138" s="27" t="str">
        <f aca="false">IF(OR($A138="",$U138=0),"",$G138-$T138)</f>
        <v/>
      </c>
      <c r="W138" s="30" t="str">
        <f aca="false">IF(OR($A138="",$U138=0,NOT(ISNUMBER($G138)),$G138&lt;=0),"",$T138/$G138)</f>
        <v/>
      </c>
      <c r="X138" s="26" t="str">
        <f aca="false">IF($D138="","",IF($R138=0,"DONNEES MANQUANTES",IF($D138="STOCK EXISTANT",IF($S138&lt;=0,"EMPLACEMENT INCOHERENT",IF($G138&gt;$S138+0.001,"STOCK INSUFFISANT",IF($U138=0,"EN COURS",IF($T138&gt;$G138+0.001,"BLOQUE",IF(AND($V138&gt;P_TOL,$L138=""),"A JUSTIFIER","OK"))))),IF($U138=0,"EN COURS",IF($T138&gt;$G138+0.001,"BLOQUE",IF(AND($V138&gt;P_TOL,$L138=""),"A JUSTIFIER","OK"))))))</f>
        <v/>
      </c>
      <c r="Y138" s="28" t="n">
        <f aca="false">IF(OR($X138="",$X138="DONNEES MANQUANTES",$X138="EMPLACEMENT INCOHERENT",$X138="STOCK INSUFFISANT"),0,1)</f>
        <v>0</v>
      </c>
      <c r="Z138" s="26" t="str">
        <f aca="false">IF($D138="","",IF($R138=0,"A COMPLETER : "&amp;IF($B138="","DATE ENVOI; ","")&amp;IF($C138="","SOUS-TRAITANT; ","")&amp;IF($E138="","LOT SOURCE; ","")&amp;IF(OR(NOT(ISNUMBER($G138)),$G138&lt;=0),"QTE ENVOYEE &gt; 0; ","")&amp;IF(AND($D138="STOCK EXISTANT",$F138=""),"EMPL. SOURCE; ",""),IF($X138="EMPLACEMENT INCOHERENT","Le lot "&amp;$E138&amp;" n'existe pas sur "&amp;$F138&amp;" (stock 0).",IF($X138="STOCK INSUFFISANT","Disponible avant envoi : "&amp;TEXT($S138,"#,##0.00")&amp;" kg. Ligne NON comptee en stock.",IF($X138="BLOQUE","Total des sorties ("&amp;TEXT($T138,"#,##0.00")&amp;" kg) superieur a la quantite envoyee.",IF($X138="EN COURS","Envoi enregistre, resultats non connus. A completer dans ST_RESULTATS.",IF($X138="A JUSTIFIER","Ecart de "&amp;TEXT($V138,"#,##0.00")&amp;" kg : renseigner JUSTIFICATION ECART (colonne L).",IF($P138="LOT NON REFERENCE","Creer d'abord la fiche du lot dans l'onglet LOTS.",""))))))))</f>
        <v/>
      </c>
      <c r="AA138" s="27" t="n">
        <f aca="false">IF(OR($Y138=0,$U138&gt;0),0,$G138)</f>
        <v>0</v>
      </c>
      <c r="AB138" s="26" t="n">
        <f aca="false">IF($R138=0,0,IF(OR($E138=R_LOT,COUNTIFS(RES_IDST,$A138,RES_LOTEFF,R_LOT)&gt;0),1,0))</f>
        <v>0</v>
      </c>
      <c r="AC138" s="26" t="str">
        <f aca="false">IF($AB138=0,"",COUNTIF($AB$5:$AB138,1))</f>
        <v/>
      </c>
    </row>
    <row r="139" customFormat="false" ht="15" hidden="false" customHeight="false" outlineLevel="0" collapsed="false">
      <c r="A139" s="26" t="str">
        <f aca="false">IF($D139="","","ST-"&amp;TEXT(ROW()-4,"000"))</f>
        <v/>
      </c>
      <c r="B139" s="25"/>
      <c r="C139" s="24"/>
      <c r="D139" s="24"/>
      <c r="E139" s="24"/>
      <c r="F139" s="24"/>
      <c r="G139" s="29"/>
      <c r="H139" s="24"/>
      <c r="I139" s="24"/>
      <c r="J139" s="24"/>
      <c r="K139" s="25"/>
      <c r="L139" s="24"/>
      <c r="M139" s="24"/>
      <c r="N139" s="24"/>
      <c r="O139" s="26" t="str">
        <f aca="false">IF($E139="","",IFERROR(INDEX(LOT_EXTE,MATCH($E139,LOT_KEY,0)),""))</f>
        <v/>
      </c>
      <c r="P139" s="26" t="str">
        <f aca="false">IF($E139="","",IFERROR(INDEX(LOT_PRODE,MATCH($E139,LOT_KEY,0)),"LOT NON REFERENCE"))</f>
        <v/>
      </c>
      <c r="Q139" s="26" t="str">
        <f aca="false">IF($E139="","",IFERROR(INDEX(LOT_FOURNE,MATCH($E139,LOT_KEY,0)),""))</f>
        <v/>
      </c>
      <c r="R139" s="28" t="n">
        <f aca="false">IF($D139="",0,IF(OR($B139="",$C139="",$E139="",NOT(ISNUMBER($G139)),$G139&lt;=0),0,IF($D139="STOCK EXISTANT",IF($F139="",0,1),1)))</f>
        <v>0</v>
      </c>
      <c r="S139" s="27" t="str">
        <f aca="false">IF(OR($R139=0,$D139&lt;&gt;"STOCK EXISTANT"),"",SUMIFS(MVT_BRUT,MVT_LOT,$E139,MVT_EMPL,$F139)+$G139)</f>
        <v/>
      </c>
      <c r="T139" s="27" t="str">
        <f aca="false">IF($A139="","",SUMIFS(RES_QTEVAL,RES_IDST,$A139))</f>
        <v/>
      </c>
      <c r="U139" s="28" t="str">
        <f aca="false">IF($A139="","",COUNTIFS(RES_IDST,$A139))</f>
        <v/>
      </c>
      <c r="V139" s="27" t="str">
        <f aca="false">IF(OR($A139="",$U139=0),"",$G139-$T139)</f>
        <v/>
      </c>
      <c r="W139" s="30" t="str">
        <f aca="false">IF(OR($A139="",$U139=0,NOT(ISNUMBER($G139)),$G139&lt;=0),"",$T139/$G139)</f>
        <v/>
      </c>
      <c r="X139" s="26" t="str">
        <f aca="false">IF($D139="","",IF($R139=0,"DONNEES MANQUANTES",IF($D139="STOCK EXISTANT",IF($S139&lt;=0,"EMPLACEMENT INCOHERENT",IF($G139&gt;$S139+0.001,"STOCK INSUFFISANT",IF($U139=0,"EN COURS",IF($T139&gt;$G139+0.001,"BLOQUE",IF(AND($V139&gt;P_TOL,$L139=""),"A JUSTIFIER","OK"))))),IF($U139=0,"EN COURS",IF($T139&gt;$G139+0.001,"BLOQUE",IF(AND($V139&gt;P_TOL,$L139=""),"A JUSTIFIER","OK"))))))</f>
        <v/>
      </c>
      <c r="Y139" s="28" t="n">
        <f aca="false">IF(OR($X139="",$X139="DONNEES MANQUANTES",$X139="EMPLACEMENT INCOHERENT",$X139="STOCK INSUFFISANT"),0,1)</f>
        <v>0</v>
      </c>
      <c r="Z139" s="26" t="str">
        <f aca="false">IF($D139="","",IF($R139=0,"A COMPLETER : "&amp;IF($B139="","DATE ENVOI; ","")&amp;IF($C139="","SOUS-TRAITANT; ","")&amp;IF($E139="","LOT SOURCE; ","")&amp;IF(OR(NOT(ISNUMBER($G139)),$G139&lt;=0),"QTE ENVOYEE &gt; 0; ","")&amp;IF(AND($D139="STOCK EXISTANT",$F139=""),"EMPL. SOURCE; ",""),IF($X139="EMPLACEMENT INCOHERENT","Le lot "&amp;$E139&amp;" n'existe pas sur "&amp;$F139&amp;" (stock 0).",IF($X139="STOCK INSUFFISANT","Disponible avant envoi : "&amp;TEXT($S139,"#,##0.00")&amp;" kg. Ligne NON comptee en stock.",IF($X139="BLOQUE","Total des sorties ("&amp;TEXT($T139,"#,##0.00")&amp;" kg) superieur a la quantite envoyee.",IF($X139="EN COURS","Envoi enregistre, resultats non connus. A completer dans ST_RESULTATS.",IF($X139="A JUSTIFIER","Ecart de "&amp;TEXT($V139,"#,##0.00")&amp;" kg : renseigner JUSTIFICATION ECART (colonne L).",IF($P139="LOT NON REFERENCE","Creer d'abord la fiche du lot dans l'onglet LOTS.",""))))))))</f>
        <v/>
      </c>
      <c r="AA139" s="27" t="n">
        <f aca="false">IF(OR($Y139=0,$U139&gt;0),0,$G139)</f>
        <v>0</v>
      </c>
      <c r="AB139" s="26" t="n">
        <f aca="false">IF($R139=0,0,IF(OR($E139=R_LOT,COUNTIFS(RES_IDST,$A139,RES_LOTEFF,R_LOT)&gt;0),1,0))</f>
        <v>0</v>
      </c>
      <c r="AC139" s="26" t="str">
        <f aca="false">IF($AB139=0,"",COUNTIF($AB$5:$AB139,1))</f>
        <v/>
      </c>
    </row>
    <row r="140" customFormat="false" ht="15" hidden="false" customHeight="false" outlineLevel="0" collapsed="false">
      <c r="A140" s="26" t="str">
        <f aca="false">IF($D140="","","ST-"&amp;TEXT(ROW()-4,"000"))</f>
        <v/>
      </c>
      <c r="B140" s="25"/>
      <c r="C140" s="24"/>
      <c r="D140" s="24"/>
      <c r="E140" s="24"/>
      <c r="F140" s="24"/>
      <c r="G140" s="29"/>
      <c r="H140" s="24"/>
      <c r="I140" s="24"/>
      <c r="J140" s="24"/>
      <c r="K140" s="25"/>
      <c r="L140" s="24"/>
      <c r="M140" s="24"/>
      <c r="N140" s="24"/>
      <c r="O140" s="26" t="str">
        <f aca="false">IF($E140="","",IFERROR(INDEX(LOT_EXTE,MATCH($E140,LOT_KEY,0)),""))</f>
        <v/>
      </c>
      <c r="P140" s="26" t="str">
        <f aca="false">IF($E140="","",IFERROR(INDEX(LOT_PRODE,MATCH($E140,LOT_KEY,0)),"LOT NON REFERENCE"))</f>
        <v/>
      </c>
      <c r="Q140" s="26" t="str">
        <f aca="false">IF($E140="","",IFERROR(INDEX(LOT_FOURNE,MATCH($E140,LOT_KEY,0)),""))</f>
        <v/>
      </c>
      <c r="R140" s="28" t="n">
        <f aca="false">IF($D140="",0,IF(OR($B140="",$C140="",$E140="",NOT(ISNUMBER($G140)),$G140&lt;=0),0,IF($D140="STOCK EXISTANT",IF($F140="",0,1),1)))</f>
        <v>0</v>
      </c>
      <c r="S140" s="27" t="str">
        <f aca="false">IF(OR($R140=0,$D140&lt;&gt;"STOCK EXISTANT"),"",SUMIFS(MVT_BRUT,MVT_LOT,$E140,MVT_EMPL,$F140)+$G140)</f>
        <v/>
      </c>
      <c r="T140" s="27" t="str">
        <f aca="false">IF($A140="","",SUMIFS(RES_QTEVAL,RES_IDST,$A140))</f>
        <v/>
      </c>
      <c r="U140" s="28" t="str">
        <f aca="false">IF($A140="","",COUNTIFS(RES_IDST,$A140))</f>
        <v/>
      </c>
      <c r="V140" s="27" t="str">
        <f aca="false">IF(OR($A140="",$U140=0),"",$G140-$T140)</f>
        <v/>
      </c>
      <c r="W140" s="30" t="str">
        <f aca="false">IF(OR($A140="",$U140=0,NOT(ISNUMBER($G140)),$G140&lt;=0),"",$T140/$G140)</f>
        <v/>
      </c>
      <c r="X140" s="26" t="str">
        <f aca="false">IF($D140="","",IF($R140=0,"DONNEES MANQUANTES",IF($D140="STOCK EXISTANT",IF($S140&lt;=0,"EMPLACEMENT INCOHERENT",IF($G140&gt;$S140+0.001,"STOCK INSUFFISANT",IF($U140=0,"EN COURS",IF($T140&gt;$G140+0.001,"BLOQUE",IF(AND($V140&gt;P_TOL,$L140=""),"A JUSTIFIER","OK"))))),IF($U140=0,"EN COURS",IF($T140&gt;$G140+0.001,"BLOQUE",IF(AND($V140&gt;P_TOL,$L140=""),"A JUSTIFIER","OK"))))))</f>
        <v/>
      </c>
      <c r="Y140" s="28" t="n">
        <f aca="false">IF(OR($X140="",$X140="DONNEES MANQUANTES",$X140="EMPLACEMENT INCOHERENT",$X140="STOCK INSUFFISANT"),0,1)</f>
        <v>0</v>
      </c>
      <c r="Z140" s="26" t="str">
        <f aca="false">IF($D140="","",IF($R140=0,"A COMPLETER : "&amp;IF($B140="","DATE ENVOI; ","")&amp;IF($C140="","SOUS-TRAITANT; ","")&amp;IF($E140="","LOT SOURCE; ","")&amp;IF(OR(NOT(ISNUMBER($G140)),$G140&lt;=0),"QTE ENVOYEE &gt; 0; ","")&amp;IF(AND($D140="STOCK EXISTANT",$F140=""),"EMPL. SOURCE; ",""),IF($X140="EMPLACEMENT INCOHERENT","Le lot "&amp;$E140&amp;" n'existe pas sur "&amp;$F140&amp;" (stock 0).",IF($X140="STOCK INSUFFISANT","Disponible avant envoi : "&amp;TEXT($S140,"#,##0.00")&amp;" kg. Ligne NON comptee en stock.",IF($X140="BLOQUE","Total des sorties ("&amp;TEXT($T140,"#,##0.00")&amp;" kg) superieur a la quantite envoyee.",IF($X140="EN COURS","Envoi enregistre, resultats non connus. A completer dans ST_RESULTATS.",IF($X140="A JUSTIFIER","Ecart de "&amp;TEXT($V140,"#,##0.00")&amp;" kg : renseigner JUSTIFICATION ECART (colonne L).",IF($P140="LOT NON REFERENCE","Creer d'abord la fiche du lot dans l'onglet LOTS.",""))))))))</f>
        <v/>
      </c>
      <c r="AA140" s="27" t="n">
        <f aca="false">IF(OR($Y140=0,$U140&gt;0),0,$G140)</f>
        <v>0</v>
      </c>
      <c r="AB140" s="26" t="n">
        <f aca="false">IF($R140=0,0,IF(OR($E140=R_LOT,COUNTIFS(RES_IDST,$A140,RES_LOTEFF,R_LOT)&gt;0),1,0))</f>
        <v>0</v>
      </c>
      <c r="AC140" s="26" t="str">
        <f aca="false">IF($AB140=0,"",COUNTIF($AB$5:$AB140,1))</f>
        <v/>
      </c>
    </row>
    <row r="141" customFormat="false" ht="15" hidden="false" customHeight="false" outlineLevel="0" collapsed="false">
      <c r="A141" s="26" t="str">
        <f aca="false">IF($D141="","","ST-"&amp;TEXT(ROW()-4,"000"))</f>
        <v/>
      </c>
      <c r="B141" s="25"/>
      <c r="C141" s="24"/>
      <c r="D141" s="24"/>
      <c r="E141" s="24"/>
      <c r="F141" s="24"/>
      <c r="G141" s="29"/>
      <c r="H141" s="24"/>
      <c r="I141" s="24"/>
      <c r="J141" s="24"/>
      <c r="K141" s="25"/>
      <c r="L141" s="24"/>
      <c r="M141" s="24"/>
      <c r="N141" s="24"/>
      <c r="O141" s="26" t="str">
        <f aca="false">IF($E141="","",IFERROR(INDEX(LOT_EXTE,MATCH($E141,LOT_KEY,0)),""))</f>
        <v/>
      </c>
      <c r="P141" s="26" t="str">
        <f aca="false">IF($E141="","",IFERROR(INDEX(LOT_PRODE,MATCH($E141,LOT_KEY,0)),"LOT NON REFERENCE"))</f>
        <v/>
      </c>
      <c r="Q141" s="26" t="str">
        <f aca="false">IF($E141="","",IFERROR(INDEX(LOT_FOURNE,MATCH($E141,LOT_KEY,0)),""))</f>
        <v/>
      </c>
      <c r="R141" s="28" t="n">
        <f aca="false">IF($D141="",0,IF(OR($B141="",$C141="",$E141="",NOT(ISNUMBER($G141)),$G141&lt;=0),0,IF($D141="STOCK EXISTANT",IF($F141="",0,1),1)))</f>
        <v>0</v>
      </c>
      <c r="S141" s="27" t="str">
        <f aca="false">IF(OR($R141=0,$D141&lt;&gt;"STOCK EXISTANT"),"",SUMIFS(MVT_BRUT,MVT_LOT,$E141,MVT_EMPL,$F141)+$G141)</f>
        <v/>
      </c>
      <c r="T141" s="27" t="str">
        <f aca="false">IF($A141="","",SUMIFS(RES_QTEVAL,RES_IDST,$A141))</f>
        <v/>
      </c>
      <c r="U141" s="28" t="str">
        <f aca="false">IF($A141="","",COUNTIFS(RES_IDST,$A141))</f>
        <v/>
      </c>
      <c r="V141" s="27" t="str">
        <f aca="false">IF(OR($A141="",$U141=0),"",$G141-$T141)</f>
        <v/>
      </c>
      <c r="W141" s="30" t="str">
        <f aca="false">IF(OR($A141="",$U141=0,NOT(ISNUMBER($G141)),$G141&lt;=0),"",$T141/$G141)</f>
        <v/>
      </c>
      <c r="X141" s="26" t="str">
        <f aca="false">IF($D141="","",IF($R141=0,"DONNEES MANQUANTES",IF($D141="STOCK EXISTANT",IF($S141&lt;=0,"EMPLACEMENT INCOHERENT",IF($G141&gt;$S141+0.001,"STOCK INSUFFISANT",IF($U141=0,"EN COURS",IF($T141&gt;$G141+0.001,"BLOQUE",IF(AND($V141&gt;P_TOL,$L141=""),"A JUSTIFIER","OK"))))),IF($U141=0,"EN COURS",IF($T141&gt;$G141+0.001,"BLOQUE",IF(AND($V141&gt;P_TOL,$L141=""),"A JUSTIFIER","OK"))))))</f>
        <v/>
      </c>
      <c r="Y141" s="28" t="n">
        <f aca="false">IF(OR($X141="",$X141="DONNEES MANQUANTES",$X141="EMPLACEMENT INCOHERENT",$X141="STOCK INSUFFISANT"),0,1)</f>
        <v>0</v>
      </c>
      <c r="Z141" s="26" t="str">
        <f aca="false">IF($D141="","",IF($R141=0,"A COMPLETER : "&amp;IF($B141="","DATE ENVOI; ","")&amp;IF($C141="","SOUS-TRAITANT; ","")&amp;IF($E141="","LOT SOURCE; ","")&amp;IF(OR(NOT(ISNUMBER($G141)),$G141&lt;=0),"QTE ENVOYEE &gt; 0; ","")&amp;IF(AND($D141="STOCK EXISTANT",$F141=""),"EMPL. SOURCE; ",""),IF($X141="EMPLACEMENT INCOHERENT","Le lot "&amp;$E141&amp;" n'existe pas sur "&amp;$F141&amp;" (stock 0).",IF($X141="STOCK INSUFFISANT","Disponible avant envoi : "&amp;TEXT($S141,"#,##0.00")&amp;" kg. Ligne NON comptee en stock.",IF($X141="BLOQUE","Total des sorties ("&amp;TEXT($T141,"#,##0.00")&amp;" kg) superieur a la quantite envoyee.",IF($X141="EN COURS","Envoi enregistre, resultats non connus. A completer dans ST_RESULTATS.",IF($X141="A JUSTIFIER","Ecart de "&amp;TEXT($V141,"#,##0.00")&amp;" kg : renseigner JUSTIFICATION ECART (colonne L).",IF($P141="LOT NON REFERENCE","Creer d'abord la fiche du lot dans l'onglet LOTS.",""))))))))</f>
        <v/>
      </c>
      <c r="AA141" s="27" t="n">
        <f aca="false">IF(OR($Y141=0,$U141&gt;0),0,$G141)</f>
        <v>0</v>
      </c>
      <c r="AB141" s="26" t="n">
        <f aca="false">IF($R141=0,0,IF(OR($E141=R_LOT,COUNTIFS(RES_IDST,$A141,RES_LOTEFF,R_LOT)&gt;0),1,0))</f>
        <v>0</v>
      </c>
      <c r="AC141" s="26" t="str">
        <f aca="false">IF($AB141=0,"",COUNTIF($AB$5:$AB141,1))</f>
        <v/>
      </c>
    </row>
    <row r="142" customFormat="false" ht="15" hidden="false" customHeight="false" outlineLevel="0" collapsed="false">
      <c r="A142" s="26" t="str">
        <f aca="false">IF($D142="","","ST-"&amp;TEXT(ROW()-4,"000"))</f>
        <v/>
      </c>
      <c r="B142" s="25"/>
      <c r="C142" s="24"/>
      <c r="D142" s="24"/>
      <c r="E142" s="24"/>
      <c r="F142" s="24"/>
      <c r="G142" s="29"/>
      <c r="H142" s="24"/>
      <c r="I142" s="24"/>
      <c r="J142" s="24"/>
      <c r="K142" s="25"/>
      <c r="L142" s="24"/>
      <c r="M142" s="24"/>
      <c r="N142" s="24"/>
      <c r="O142" s="26" t="str">
        <f aca="false">IF($E142="","",IFERROR(INDEX(LOT_EXTE,MATCH($E142,LOT_KEY,0)),""))</f>
        <v/>
      </c>
      <c r="P142" s="26" t="str">
        <f aca="false">IF($E142="","",IFERROR(INDEX(LOT_PRODE,MATCH($E142,LOT_KEY,0)),"LOT NON REFERENCE"))</f>
        <v/>
      </c>
      <c r="Q142" s="26" t="str">
        <f aca="false">IF($E142="","",IFERROR(INDEX(LOT_FOURNE,MATCH($E142,LOT_KEY,0)),""))</f>
        <v/>
      </c>
      <c r="R142" s="28" t="n">
        <f aca="false">IF($D142="",0,IF(OR($B142="",$C142="",$E142="",NOT(ISNUMBER($G142)),$G142&lt;=0),0,IF($D142="STOCK EXISTANT",IF($F142="",0,1),1)))</f>
        <v>0</v>
      </c>
      <c r="S142" s="27" t="str">
        <f aca="false">IF(OR($R142=0,$D142&lt;&gt;"STOCK EXISTANT"),"",SUMIFS(MVT_BRUT,MVT_LOT,$E142,MVT_EMPL,$F142)+$G142)</f>
        <v/>
      </c>
      <c r="T142" s="27" t="str">
        <f aca="false">IF($A142="","",SUMIFS(RES_QTEVAL,RES_IDST,$A142))</f>
        <v/>
      </c>
      <c r="U142" s="28" t="str">
        <f aca="false">IF($A142="","",COUNTIFS(RES_IDST,$A142))</f>
        <v/>
      </c>
      <c r="V142" s="27" t="str">
        <f aca="false">IF(OR($A142="",$U142=0),"",$G142-$T142)</f>
        <v/>
      </c>
      <c r="W142" s="30" t="str">
        <f aca="false">IF(OR($A142="",$U142=0,NOT(ISNUMBER($G142)),$G142&lt;=0),"",$T142/$G142)</f>
        <v/>
      </c>
      <c r="X142" s="26" t="str">
        <f aca="false">IF($D142="","",IF($R142=0,"DONNEES MANQUANTES",IF($D142="STOCK EXISTANT",IF($S142&lt;=0,"EMPLACEMENT INCOHERENT",IF($G142&gt;$S142+0.001,"STOCK INSUFFISANT",IF($U142=0,"EN COURS",IF($T142&gt;$G142+0.001,"BLOQUE",IF(AND($V142&gt;P_TOL,$L142=""),"A JUSTIFIER","OK"))))),IF($U142=0,"EN COURS",IF($T142&gt;$G142+0.001,"BLOQUE",IF(AND($V142&gt;P_TOL,$L142=""),"A JUSTIFIER","OK"))))))</f>
        <v/>
      </c>
      <c r="Y142" s="28" t="n">
        <f aca="false">IF(OR($X142="",$X142="DONNEES MANQUANTES",$X142="EMPLACEMENT INCOHERENT",$X142="STOCK INSUFFISANT"),0,1)</f>
        <v>0</v>
      </c>
      <c r="Z142" s="26" t="str">
        <f aca="false">IF($D142="","",IF($R142=0,"A COMPLETER : "&amp;IF($B142="","DATE ENVOI; ","")&amp;IF($C142="","SOUS-TRAITANT; ","")&amp;IF($E142="","LOT SOURCE; ","")&amp;IF(OR(NOT(ISNUMBER($G142)),$G142&lt;=0),"QTE ENVOYEE &gt; 0; ","")&amp;IF(AND($D142="STOCK EXISTANT",$F142=""),"EMPL. SOURCE; ",""),IF($X142="EMPLACEMENT INCOHERENT","Le lot "&amp;$E142&amp;" n'existe pas sur "&amp;$F142&amp;" (stock 0).",IF($X142="STOCK INSUFFISANT","Disponible avant envoi : "&amp;TEXT($S142,"#,##0.00")&amp;" kg. Ligne NON comptee en stock.",IF($X142="BLOQUE","Total des sorties ("&amp;TEXT($T142,"#,##0.00")&amp;" kg) superieur a la quantite envoyee.",IF($X142="EN COURS","Envoi enregistre, resultats non connus. A completer dans ST_RESULTATS.",IF($X142="A JUSTIFIER","Ecart de "&amp;TEXT($V142,"#,##0.00")&amp;" kg : renseigner JUSTIFICATION ECART (colonne L).",IF($P142="LOT NON REFERENCE","Creer d'abord la fiche du lot dans l'onglet LOTS.",""))))))))</f>
        <v/>
      </c>
      <c r="AA142" s="27" t="n">
        <f aca="false">IF(OR($Y142=0,$U142&gt;0),0,$G142)</f>
        <v>0</v>
      </c>
      <c r="AB142" s="26" t="n">
        <f aca="false">IF($R142=0,0,IF(OR($E142=R_LOT,COUNTIFS(RES_IDST,$A142,RES_LOTEFF,R_LOT)&gt;0),1,0))</f>
        <v>0</v>
      </c>
      <c r="AC142" s="26" t="str">
        <f aca="false">IF($AB142=0,"",COUNTIF($AB$5:$AB142,1))</f>
        <v/>
      </c>
    </row>
    <row r="143" customFormat="false" ht="15" hidden="false" customHeight="false" outlineLevel="0" collapsed="false">
      <c r="A143" s="26" t="str">
        <f aca="false">IF($D143="","","ST-"&amp;TEXT(ROW()-4,"000"))</f>
        <v/>
      </c>
      <c r="B143" s="25"/>
      <c r="C143" s="24"/>
      <c r="D143" s="24"/>
      <c r="E143" s="24"/>
      <c r="F143" s="24"/>
      <c r="G143" s="29"/>
      <c r="H143" s="24"/>
      <c r="I143" s="24"/>
      <c r="J143" s="24"/>
      <c r="K143" s="25"/>
      <c r="L143" s="24"/>
      <c r="M143" s="24"/>
      <c r="N143" s="24"/>
      <c r="O143" s="26" t="str">
        <f aca="false">IF($E143="","",IFERROR(INDEX(LOT_EXTE,MATCH($E143,LOT_KEY,0)),""))</f>
        <v/>
      </c>
      <c r="P143" s="26" t="str">
        <f aca="false">IF($E143="","",IFERROR(INDEX(LOT_PRODE,MATCH($E143,LOT_KEY,0)),"LOT NON REFERENCE"))</f>
        <v/>
      </c>
      <c r="Q143" s="26" t="str">
        <f aca="false">IF($E143="","",IFERROR(INDEX(LOT_FOURNE,MATCH($E143,LOT_KEY,0)),""))</f>
        <v/>
      </c>
      <c r="R143" s="28" t="n">
        <f aca="false">IF($D143="",0,IF(OR($B143="",$C143="",$E143="",NOT(ISNUMBER($G143)),$G143&lt;=0),0,IF($D143="STOCK EXISTANT",IF($F143="",0,1),1)))</f>
        <v>0</v>
      </c>
      <c r="S143" s="27" t="str">
        <f aca="false">IF(OR($R143=0,$D143&lt;&gt;"STOCK EXISTANT"),"",SUMIFS(MVT_BRUT,MVT_LOT,$E143,MVT_EMPL,$F143)+$G143)</f>
        <v/>
      </c>
      <c r="T143" s="27" t="str">
        <f aca="false">IF($A143="","",SUMIFS(RES_QTEVAL,RES_IDST,$A143))</f>
        <v/>
      </c>
      <c r="U143" s="28" t="str">
        <f aca="false">IF($A143="","",COUNTIFS(RES_IDST,$A143))</f>
        <v/>
      </c>
      <c r="V143" s="27" t="str">
        <f aca="false">IF(OR($A143="",$U143=0),"",$G143-$T143)</f>
        <v/>
      </c>
      <c r="W143" s="30" t="str">
        <f aca="false">IF(OR($A143="",$U143=0,NOT(ISNUMBER($G143)),$G143&lt;=0),"",$T143/$G143)</f>
        <v/>
      </c>
      <c r="X143" s="26" t="str">
        <f aca="false">IF($D143="","",IF($R143=0,"DONNEES MANQUANTES",IF($D143="STOCK EXISTANT",IF($S143&lt;=0,"EMPLACEMENT INCOHERENT",IF($G143&gt;$S143+0.001,"STOCK INSUFFISANT",IF($U143=0,"EN COURS",IF($T143&gt;$G143+0.001,"BLOQUE",IF(AND($V143&gt;P_TOL,$L143=""),"A JUSTIFIER","OK"))))),IF($U143=0,"EN COURS",IF($T143&gt;$G143+0.001,"BLOQUE",IF(AND($V143&gt;P_TOL,$L143=""),"A JUSTIFIER","OK"))))))</f>
        <v/>
      </c>
      <c r="Y143" s="28" t="n">
        <f aca="false">IF(OR($X143="",$X143="DONNEES MANQUANTES",$X143="EMPLACEMENT INCOHERENT",$X143="STOCK INSUFFISANT"),0,1)</f>
        <v>0</v>
      </c>
      <c r="Z143" s="26" t="str">
        <f aca="false">IF($D143="","",IF($R143=0,"A COMPLETER : "&amp;IF($B143="","DATE ENVOI; ","")&amp;IF($C143="","SOUS-TRAITANT; ","")&amp;IF($E143="","LOT SOURCE; ","")&amp;IF(OR(NOT(ISNUMBER($G143)),$G143&lt;=0),"QTE ENVOYEE &gt; 0; ","")&amp;IF(AND($D143="STOCK EXISTANT",$F143=""),"EMPL. SOURCE; ",""),IF($X143="EMPLACEMENT INCOHERENT","Le lot "&amp;$E143&amp;" n'existe pas sur "&amp;$F143&amp;" (stock 0).",IF($X143="STOCK INSUFFISANT","Disponible avant envoi : "&amp;TEXT($S143,"#,##0.00")&amp;" kg. Ligne NON comptee en stock.",IF($X143="BLOQUE","Total des sorties ("&amp;TEXT($T143,"#,##0.00")&amp;" kg) superieur a la quantite envoyee.",IF($X143="EN COURS","Envoi enregistre, resultats non connus. A completer dans ST_RESULTATS.",IF($X143="A JUSTIFIER","Ecart de "&amp;TEXT($V143,"#,##0.00")&amp;" kg : renseigner JUSTIFICATION ECART (colonne L).",IF($P143="LOT NON REFERENCE","Creer d'abord la fiche du lot dans l'onglet LOTS.",""))))))))</f>
        <v/>
      </c>
      <c r="AA143" s="27" t="n">
        <f aca="false">IF(OR($Y143=0,$U143&gt;0),0,$G143)</f>
        <v>0</v>
      </c>
      <c r="AB143" s="26" t="n">
        <f aca="false">IF($R143=0,0,IF(OR($E143=R_LOT,COUNTIFS(RES_IDST,$A143,RES_LOTEFF,R_LOT)&gt;0),1,0))</f>
        <v>0</v>
      </c>
      <c r="AC143" s="26" t="str">
        <f aca="false">IF($AB143=0,"",COUNTIF($AB$5:$AB143,1))</f>
        <v/>
      </c>
    </row>
    <row r="144" customFormat="false" ht="15" hidden="false" customHeight="false" outlineLevel="0" collapsed="false">
      <c r="A144" s="26" t="str">
        <f aca="false">IF($D144="","","ST-"&amp;TEXT(ROW()-4,"000"))</f>
        <v/>
      </c>
      <c r="B144" s="25"/>
      <c r="C144" s="24"/>
      <c r="D144" s="24"/>
      <c r="E144" s="24"/>
      <c r="F144" s="24"/>
      <c r="G144" s="29"/>
      <c r="H144" s="24"/>
      <c r="I144" s="24"/>
      <c r="J144" s="24"/>
      <c r="K144" s="25"/>
      <c r="L144" s="24"/>
      <c r="M144" s="24"/>
      <c r="N144" s="24"/>
      <c r="O144" s="26" t="str">
        <f aca="false">IF($E144="","",IFERROR(INDEX(LOT_EXTE,MATCH($E144,LOT_KEY,0)),""))</f>
        <v/>
      </c>
      <c r="P144" s="26" t="str">
        <f aca="false">IF($E144="","",IFERROR(INDEX(LOT_PRODE,MATCH($E144,LOT_KEY,0)),"LOT NON REFERENCE"))</f>
        <v/>
      </c>
      <c r="Q144" s="26" t="str">
        <f aca="false">IF($E144="","",IFERROR(INDEX(LOT_FOURNE,MATCH($E144,LOT_KEY,0)),""))</f>
        <v/>
      </c>
      <c r="R144" s="28" t="n">
        <f aca="false">IF($D144="",0,IF(OR($B144="",$C144="",$E144="",NOT(ISNUMBER($G144)),$G144&lt;=0),0,IF($D144="STOCK EXISTANT",IF($F144="",0,1),1)))</f>
        <v>0</v>
      </c>
      <c r="S144" s="27" t="str">
        <f aca="false">IF(OR($R144=0,$D144&lt;&gt;"STOCK EXISTANT"),"",SUMIFS(MVT_BRUT,MVT_LOT,$E144,MVT_EMPL,$F144)+$G144)</f>
        <v/>
      </c>
      <c r="T144" s="27" t="str">
        <f aca="false">IF($A144="","",SUMIFS(RES_QTEVAL,RES_IDST,$A144))</f>
        <v/>
      </c>
      <c r="U144" s="28" t="str">
        <f aca="false">IF($A144="","",COUNTIFS(RES_IDST,$A144))</f>
        <v/>
      </c>
      <c r="V144" s="27" t="str">
        <f aca="false">IF(OR($A144="",$U144=0),"",$G144-$T144)</f>
        <v/>
      </c>
      <c r="W144" s="30" t="str">
        <f aca="false">IF(OR($A144="",$U144=0,NOT(ISNUMBER($G144)),$G144&lt;=0),"",$T144/$G144)</f>
        <v/>
      </c>
      <c r="X144" s="26" t="str">
        <f aca="false">IF($D144="","",IF($R144=0,"DONNEES MANQUANTES",IF($D144="STOCK EXISTANT",IF($S144&lt;=0,"EMPLACEMENT INCOHERENT",IF($G144&gt;$S144+0.001,"STOCK INSUFFISANT",IF($U144=0,"EN COURS",IF($T144&gt;$G144+0.001,"BLOQUE",IF(AND($V144&gt;P_TOL,$L144=""),"A JUSTIFIER","OK"))))),IF($U144=0,"EN COURS",IF($T144&gt;$G144+0.001,"BLOQUE",IF(AND($V144&gt;P_TOL,$L144=""),"A JUSTIFIER","OK"))))))</f>
        <v/>
      </c>
      <c r="Y144" s="28" t="n">
        <f aca="false">IF(OR($X144="",$X144="DONNEES MANQUANTES",$X144="EMPLACEMENT INCOHERENT",$X144="STOCK INSUFFISANT"),0,1)</f>
        <v>0</v>
      </c>
      <c r="Z144" s="26" t="str">
        <f aca="false">IF($D144="","",IF($R144=0,"A COMPLETER : "&amp;IF($B144="","DATE ENVOI; ","")&amp;IF($C144="","SOUS-TRAITANT; ","")&amp;IF($E144="","LOT SOURCE; ","")&amp;IF(OR(NOT(ISNUMBER($G144)),$G144&lt;=0),"QTE ENVOYEE &gt; 0; ","")&amp;IF(AND($D144="STOCK EXISTANT",$F144=""),"EMPL. SOURCE; ",""),IF($X144="EMPLACEMENT INCOHERENT","Le lot "&amp;$E144&amp;" n'existe pas sur "&amp;$F144&amp;" (stock 0).",IF($X144="STOCK INSUFFISANT","Disponible avant envoi : "&amp;TEXT($S144,"#,##0.00")&amp;" kg. Ligne NON comptee en stock.",IF($X144="BLOQUE","Total des sorties ("&amp;TEXT($T144,"#,##0.00")&amp;" kg) superieur a la quantite envoyee.",IF($X144="EN COURS","Envoi enregistre, resultats non connus. A completer dans ST_RESULTATS.",IF($X144="A JUSTIFIER","Ecart de "&amp;TEXT($V144,"#,##0.00")&amp;" kg : renseigner JUSTIFICATION ECART (colonne L).",IF($P144="LOT NON REFERENCE","Creer d'abord la fiche du lot dans l'onglet LOTS.",""))))))))</f>
        <v/>
      </c>
      <c r="AA144" s="27" t="n">
        <f aca="false">IF(OR($Y144=0,$U144&gt;0),0,$G144)</f>
        <v>0</v>
      </c>
      <c r="AB144" s="26" t="n">
        <f aca="false">IF($R144=0,0,IF(OR($E144=R_LOT,COUNTIFS(RES_IDST,$A144,RES_LOTEFF,R_LOT)&gt;0),1,0))</f>
        <v>0</v>
      </c>
      <c r="AC144" s="26" t="str">
        <f aca="false">IF($AB144=0,"",COUNTIF($AB$5:$AB144,1))</f>
        <v/>
      </c>
    </row>
    <row r="145" customFormat="false" ht="15" hidden="false" customHeight="false" outlineLevel="0" collapsed="false">
      <c r="A145" s="26" t="str">
        <f aca="false">IF($D145="","","ST-"&amp;TEXT(ROW()-4,"000"))</f>
        <v/>
      </c>
      <c r="B145" s="25"/>
      <c r="C145" s="24"/>
      <c r="D145" s="24"/>
      <c r="E145" s="24"/>
      <c r="F145" s="24"/>
      <c r="G145" s="29"/>
      <c r="H145" s="24"/>
      <c r="I145" s="24"/>
      <c r="J145" s="24"/>
      <c r="K145" s="25"/>
      <c r="L145" s="24"/>
      <c r="M145" s="24"/>
      <c r="N145" s="24"/>
      <c r="O145" s="26" t="str">
        <f aca="false">IF($E145="","",IFERROR(INDEX(LOT_EXTE,MATCH($E145,LOT_KEY,0)),""))</f>
        <v/>
      </c>
      <c r="P145" s="26" t="str">
        <f aca="false">IF($E145="","",IFERROR(INDEX(LOT_PRODE,MATCH($E145,LOT_KEY,0)),"LOT NON REFERENCE"))</f>
        <v/>
      </c>
      <c r="Q145" s="26" t="str">
        <f aca="false">IF($E145="","",IFERROR(INDEX(LOT_FOURNE,MATCH($E145,LOT_KEY,0)),""))</f>
        <v/>
      </c>
      <c r="R145" s="28" t="n">
        <f aca="false">IF($D145="",0,IF(OR($B145="",$C145="",$E145="",NOT(ISNUMBER($G145)),$G145&lt;=0),0,IF($D145="STOCK EXISTANT",IF($F145="",0,1),1)))</f>
        <v>0</v>
      </c>
      <c r="S145" s="27" t="str">
        <f aca="false">IF(OR($R145=0,$D145&lt;&gt;"STOCK EXISTANT"),"",SUMIFS(MVT_BRUT,MVT_LOT,$E145,MVT_EMPL,$F145)+$G145)</f>
        <v/>
      </c>
      <c r="T145" s="27" t="str">
        <f aca="false">IF($A145="","",SUMIFS(RES_QTEVAL,RES_IDST,$A145))</f>
        <v/>
      </c>
      <c r="U145" s="28" t="str">
        <f aca="false">IF($A145="","",COUNTIFS(RES_IDST,$A145))</f>
        <v/>
      </c>
      <c r="V145" s="27" t="str">
        <f aca="false">IF(OR($A145="",$U145=0),"",$G145-$T145)</f>
        <v/>
      </c>
      <c r="W145" s="30" t="str">
        <f aca="false">IF(OR($A145="",$U145=0,NOT(ISNUMBER($G145)),$G145&lt;=0),"",$T145/$G145)</f>
        <v/>
      </c>
      <c r="X145" s="26" t="str">
        <f aca="false">IF($D145="","",IF($R145=0,"DONNEES MANQUANTES",IF($D145="STOCK EXISTANT",IF($S145&lt;=0,"EMPLACEMENT INCOHERENT",IF($G145&gt;$S145+0.001,"STOCK INSUFFISANT",IF($U145=0,"EN COURS",IF($T145&gt;$G145+0.001,"BLOQUE",IF(AND($V145&gt;P_TOL,$L145=""),"A JUSTIFIER","OK"))))),IF($U145=0,"EN COURS",IF($T145&gt;$G145+0.001,"BLOQUE",IF(AND($V145&gt;P_TOL,$L145=""),"A JUSTIFIER","OK"))))))</f>
        <v/>
      </c>
      <c r="Y145" s="28" t="n">
        <f aca="false">IF(OR($X145="",$X145="DONNEES MANQUANTES",$X145="EMPLACEMENT INCOHERENT",$X145="STOCK INSUFFISANT"),0,1)</f>
        <v>0</v>
      </c>
      <c r="Z145" s="26" t="str">
        <f aca="false">IF($D145="","",IF($R145=0,"A COMPLETER : "&amp;IF($B145="","DATE ENVOI; ","")&amp;IF($C145="","SOUS-TRAITANT; ","")&amp;IF($E145="","LOT SOURCE; ","")&amp;IF(OR(NOT(ISNUMBER($G145)),$G145&lt;=0),"QTE ENVOYEE &gt; 0; ","")&amp;IF(AND($D145="STOCK EXISTANT",$F145=""),"EMPL. SOURCE; ",""),IF($X145="EMPLACEMENT INCOHERENT","Le lot "&amp;$E145&amp;" n'existe pas sur "&amp;$F145&amp;" (stock 0).",IF($X145="STOCK INSUFFISANT","Disponible avant envoi : "&amp;TEXT($S145,"#,##0.00")&amp;" kg. Ligne NON comptee en stock.",IF($X145="BLOQUE","Total des sorties ("&amp;TEXT($T145,"#,##0.00")&amp;" kg) superieur a la quantite envoyee.",IF($X145="EN COURS","Envoi enregistre, resultats non connus. A completer dans ST_RESULTATS.",IF($X145="A JUSTIFIER","Ecart de "&amp;TEXT($V145,"#,##0.00")&amp;" kg : renseigner JUSTIFICATION ECART (colonne L).",IF($P145="LOT NON REFERENCE","Creer d'abord la fiche du lot dans l'onglet LOTS.",""))))))))</f>
        <v/>
      </c>
      <c r="AA145" s="27" t="n">
        <f aca="false">IF(OR($Y145=0,$U145&gt;0),0,$G145)</f>
        <v>0</v>
      </c>
      <c r="AB145" s="26" t="n">
        <f aca="false">IF($R145=0,0,IF(OR($E145=R_LOT,COUNTIFS(RES_IDST,$A145,RES_LOTEFF,R_LOT)&gt;0),1,0))</f>
        <v>0</v>
      </c>
      <c r="AC145" s="26" t="str">
        <f aca="false">IF($AB145=0,"",COUNTIF($AB$5:$AB145,1))</f>
        <v/>
      </c>
    </row>
    <row r="146" customFormat="false" ht="15" hidden="false" customHeight="false" outlineLevel="0" collapsed="false">
      <c r="A146" s="26" t="str">
        <f aca="false">IF($D146="","","ST-"&amp;TEXT(ROW()-4,"000"))</f>
        <v/>
      </c>
      <c r="B146" s="25"/>
      <c r="C146" s="24"/>
      <c r="D146" s="24"/>
      <c r="E146" s="24"/>
      <c r="F146" s="24"/>
      <c r="G146" s="29"/>
      <c r="H146" s="24"/>
      <c r="I146" s="24"/>
      <c r="J146" s="24"/>
      <c r="K146" s="25"/>
      <c r="L146" s="24"/>
      <c r="M146" s="24"/>
      <c r="N146" s="24"/>
      <c r="O146" s="26" t="str">
        <f aca="false">IF($E146="","",IFERROR(INDEX(LOT_EXTE,MATCH($E146,LOT_KEY,0)),""))</f>
        <v/>
      </c>
      <c r="P146" s="26" t="str">
        <f aca="false">IF($E146="","",IFERROR(INDEX(LOT_PRODE,MATCH($E146,LOT_KEY,0)),"LOT NON REFERENCE"))</f>
        <v/>
      </c>
      <c r="Q146" s="26" t="str">
        <f aca="false">IF($E146="","",IFERROR(INDEX(LOT_FOURNE,MATCH($E146,LOT_KEY,0)),""))</f>
        <v/>
      </c>
      <c r="R146" s="28" t="n">
        <f aca="false">IF($D146="",0,IF(OR($B146="",$C146="",$E146="",NOT(ISNUMBER($G146)),$G146&lt;=0),0,IF($D146="STOCK EXISTANT",IF($F146="",0,1),1)))</f>
        <v>0</v>
      </c>
      <c r="S146" s="27" t="str">
        <f aca="false">IF(OR($R146=0,$D146&lt;&gt;"STOCK EXISTANT"),"",SUMIFS(MVT_BRUT,MVT_LOT,$E146,MVT_EMPL,$F146)+$G146)</f>
        <v/>
      </c>
      <c r="T146" s="27" t="str">
        <f aca="false">IF($A146="","",SUMIFS(RES_QTEVAL,RES_IDST,$A146))</f>
        <v/>
      </c>
      <c r="U146" s="28" t="str">
        <f aca="false">IF($A146="","",COUNTIFS(RES_IDST,$A146))</f>
        <v/>
      </c>
      <c r="V146" s="27" t="str">
        <f aca="false">IF(OR($A146="",$U146=0),"",$G146-$T146)</f>
        <v/>
      </c>
      <c r="W146" s="30" t="str">
        <f aca="false">IF(OR($A146="",$U146=0,NOT(ISNUMBER($G146)),$G146&lt;=0),"",$T146/$G146)</f>
        <v/>
      </c>
      <c r="X146" s="26" t="str">
        <f aca="false">IF($D146="","",IF($R146=0,"DONNEES MANQUANTES",IF($D146="STOCK EXISTANT",IF($S146&lt;=0,"EMPLACEMENT INCOHERENT",IF($G146&gt;$S146+0.001,"STOCK INSUFFISANT",IF($U146=0,"EN COURS",IF($T146&gt;$G146+0.001,"BLOQUE",IF(AND($V146&gt;P_TOL,$L146=""),"A JUSTIFIER","OK"))))),IF($U146=0,"EN COURS",IF($T146&gt;$G146+0.001,"BLOQUE",IF(AND($V146&gt;P_TOL,$L146=""),"A JUSTIFIER","OK"))))))</f>
        <v/>
      </c>
      <c r="Y146" s="28" t="n">
        <f aca="false">IF(OR($X146="",$X146="DONNEES MANQUANTES",$X146="EMPLACEMENT INCOHERENT",$X146="STOCK INSUFFISANT"),0,1)</f>
        <v>0</v>
      </c>
      <c r="Z146" s="26" t="str">
        <f aca="false">IF($D146="","",IF($R146=0,"A COMPLETER : "&amp;IF($B146="","DATE ENVOI; ","")&amp;IF($C146="","SOUS-TRAITANT; ","")&amp;IF($E146="","LOT SOURCE; ","")&amp;IF(OR(NOT(ISNUMBER($G146)),$G146&lt;=0),"QTE ENVOYEE &gt; 0; ","")&amp;IF(AND($D146="STOCK EXISTANT",$F146=""),"EMPL. SOURCE; ",""),IF($X146="EMPLACEMENT INCOHERENT","Le lot "&amp;$E146&amp;" n'existe pas sur "&amp;$F146&amp;" (stock 0).",IF($X146="STOCK INSUFFISANT","Disponible avant envoi : "&amp;TEXT($S146,"#,##0.00")&amp;" kg. Ligne NON comptee en stock.",IF($X146="BLOQUE","Total des sorties ("&amp;TEXT($T146,"#,##0.00")&amp;" kg) superieur a la quantite envoyee.",IF($X146="EN COURS","Envoi enregistre, resultats non connus. A completer dans ST_RESULTATS.",IF($X146="A JUSTIFIER","Ecart de "&amp;TEXT($V146,"#,##0.00")&amp;" kg : renseigner JUSTIFICATION ECART (colonne L).",IF($P146="LOT NON REFERENCE","Creer d'abord la fiche du lot dans l'onglet LOTS.",""))))))))</f>
        <v/>
      </c>
      <c r="AA146" s="27" t="n">
        <f aca="false">IF(OR($Y146=0,$U146&gt;0),0,$G146)</f>
        <v>0</v>
      </c>
      <c r="AB146" s="26" t="n">
        <f aca="false">IF($R146=0,0,IF(OR($E146=R_LOT,COUNTIFS(RES_IDST,$A146,RES_LOTEFF,R_LOT)&gt;0),1,0))</f>
        <v>0</v>
      </c>
      <c r="AC146" s="26" t="str">
        <f aca="false">IF($AB146=0,"",COUNTIF($AB$5:$AB146,1))</f>
        <v/>
      </c>
    </row>
    <row r="147" customFormat="false" ht="15" hidden="false" customHeight="false" outlineLevel="0" collapsed="false">
      <c r="A147" s="26" t="str">
        <f aca="false">IF($D147="","","ST-"&amp;TEXT(ROW()-4,"000"))</f>
        <v/>
      </c>
      <c r="B147" s="25"/>
      <c r="C147" s="24"/>
      <c r="D147" s="24"/>
      <c r="E147" s="24"/>
      <c r="F147" s="24"/>
      <c r="G147" s="29"/>
      <c r="H147" s="24"/>
      <c r="I147" s="24"/>
      <c r="J147" s="24"/>
      <c r="K147" s="25"/>
      <c r="L147" s="24"/>
      <c r="M147" s="24"/>
      <c r="N147" s="24"/>
      <c r="O147" s="26" t="str">
        <f aca="false">IF($E147="","",IFERROR(INDEX(LOT_EXTE,MATCH($E147,LOT_KEY,0)),""))</f>
        <v/>
      </c>
      <c r="P147" s="26" t="str">
        <f aca="false">IF($E147="","",IFERROR(INDEX(LOT_PRODE,MATCH($E147,LOT_KEY,0)),"LOT NON REFERENCE"))</f>
        <v/>
      </c>
      <c r="Q147" s="26" t="str">
        <f aca="false">IF($E147="","",IFERROR(INDEX(LOT_FOURNE,MATCH($E147,LOT_KEY,0)),""))</f>
        <v/>
      </c>
      <c r="R147" s="28" t="n">
        <f aca="false">IF($D147="",0,IF(OR($B147="",$C147="",$E147="",NOT(ISNUMBER($G147)),$G147&lt;=0),0,IF($D147="STOCK EXISTANT",IF($F147="",0,1),1)))</f>
        <v>0</v>
      </c>
      <c r="S147" s="27" t="str">
        <f aca="false">IF(OR($R147=0,$D147&lt;&gt;"STOCK EXISTANT"),"",SUMIFS(MVT_BRUT,MVT_LOT,$E147,MVT_EMPL,$F147)+$G147)</f>
        <v/>
      </c>
      <c r="T147" s="27" t="str">
        <f aca="false">IF($A147="","",SUMIFS(RES_QTEVAL,RES_IDST,$A147))</f>
        <v/>
      </c>
      <c r="U147" s="28" t="str">
        <f aca="false">IF($A147="","",COUNTIFS(RES_IDST,$A147))</f>
        <v/>
      </c>
      <c r="V147" s="27" t="str">
        <f aca="false">IF(OR($A147="",$U147=0),"",$G147-$T147)</f>
        <v/>
      </c>
      <c r="W147" s="30" t="str">
        <f aca="false">IF(OR($A147="",$U147=0,NOT(ISNUMBER($G147)),$G147&lt;=0),"",$T147/$G147)</f>
        <v/>
      </c>
      <c r="X147" s="26" t="str">
        <f aca="false">IF($D147="","",IF($R147=0,"DONNEES MANQUANTES",IF($D147="STOCK EXISTANT",IF($S147&lt;=0,"EMPLACEMENT INCOHERENT",IF($G147&gt;$S147+0.001,"STOCK INSUFFISANT",IF($U147=0,"EN COURS",IF($T147&gt;$G147+0.001,"BLOQUE",IF(AND($V147&gt;P_TOL,$L147=""),"A JUSTIFIER","OK"))))),IF($U147=0,"EN COURS",IF($T147&gt;$G147+0.001,"BLOQUE",IF(AND($V147&gt;P_TOL,$L147=""),"A JUSTIFIER","OK"))))))</f>
        <v/>
      </c>
      <c r="Y147" s="28" t="n">
        <f aca="false">IF(OR($X147="",$X147="DONNEES MANQUANTES",$X147="EMPLACEMENT INCOHERENT",$X147="STOCK INSUFFISANT"),0,1)</f>
        <v>0</v>
      </c>
      <c r="Z147" s="26" t="str">
        <f aca="false">IF($D147="","",IF($R147=0,"A COMPLETER : "&amp;IF($B147="","DATE ENVOI; ","")&amp;IF($C147="","SOUS-TRAITANT; ","")&amp;IF($E147="","LOT SOURCE; ","")&amp;IF(OR(NOT(ISNUMBER($G147)),$G147&lt;=0),"QTE ENVOYEE &gt; 0; ","")&amp;IF(AND($D147="STOCK EXISTANT",$F147=""),"EMPL. SOURCE; ",""),IF($X147="EMPLACEMENT INCOHERENT","Le lot "&amp;$E147&amp;" n'existe pas sur "&amp;$F147&amp;" (stock 0).",IF($X147="STOCK INSUFFISANT","Disponible avant envoi : "&amp;TEXT($S147,"#,##0.00")&amp;" kg. Ligne NON comptee en stock.",IF($X147="BLOQUE","Total des sorties ("&amp;TEXT($T147,"#,##0.00")&amp;" kg) superieur a la quantite envoyee.",IF($X147="EN COURS","Envoi enregistre, resultats non connus. A completer dans ST_RESULTATS.",IF($X147="A JUSTIFIER","Ecart de "&amp;TEXT($V147,"#,##0.00")&amp;" kg : renseigner JUSTIFICATION ECART (colonne L).",IF($P147="LOT NON REFERENCE","Creer d'abord la fiche du lot dans l'onglet LOTS.",""))))))))</f>
        <v/>
      </c>
      <c r="AA147" s="27" t="n">
        <f aca="false">IF(OR($Y147=0,$U147&gt;0),0,$G147)</f>
        <v>0</v>
      </c>
      <c r="AB147" s="26" t="n">
        <f aca="false">IF($R147=0,0,IF(OR($E147=R_LOT,COUNTIFS(RES_IDST,$A147,RES_LOTEFF,R_LOT)&gt;0),1,0))</f>
        <v>0</v>
      </c>
      <c r="AC147" s="26" t="str">
        <f aca="false">IF($AB147=0,"",COUNTIF($AB$5:$AB147,1))</f>
        <v/>
      </c>
    </row>
    <row r="148" customFormat="false" ht="15" hidden="false" customHeight="false" outlineLevel="0" collapsed="false">
      <c r="A148" s="26" t="str">
        <f aca="false">IF($D148="","","ST-"&amp;TEXT(ROW()-4,"000"))</f>
        <v/>
      </c>
      <c r="B148" s="25"/>
      <c r="C148" s="24"/>
      <c r="D148" s="24"/>
      <c r="E148" s="24"/>
      <c r="F148" s="24"/>
      <c r="G148" s="29"/>
      <c r="H148" s="24"/>
      <c r="I148" s="24"/>
      <c r="J148" s="24"/>
      <c r="K148" s="25"/>
      <c r="L148" s="24"/>
      <c r="M148" s="24"/>
      <c r="N148" s="24"/>
      <c r="O148" s="26" t="str">
        <f aca="false">IF($E148="","",IFERROR(INDEX(LOT_EXTE,MATCH($E148,LOT_KEY,0)),""))</f>
        <v/>
      </c>
      <c r="P148" s="26" t="str">
        <f aca="false">IF($E148="","",IFERROR(INDEX(LOT_PRODE,MATCH($E148,LOT_KEY,0)),"LOT NON REFERENCE"))</f>
        <v/>
      </c>
      <c r="Q148" s="26" t="str">
        <f aca="false">IF($E148="","",IFERROR(INDEX(LOT_FOURNE,MATCH($E148,LOT_KEY,0)),""))</f>
        <v/>
      </c>
      <c r="R148" s="28" t="n">
        <f aca="false">IF($D148="",0,IF(OR($B148="",$C148="",$E148="",NOT(ISNUMBER($G148)),$G148&lt;=0),0,IF($D148="STOCK EXISTANT",IF($F148="",0,1),1)))</f>
        <v>0</v>
      </c>
      <c r="S148" s="27" t="str">
        <f aca="false">IF(OR($R148=0,$D148&lt;&gt;"STOCK EXISTANT"),"",SUMIFS(MVT_BRUT,MVT_LOT,$E148,MVT_EMPL,$F148)+$G148)</f>
        <v/>
      </c>
      <c r="T148" s="27" t="str">
        <f aca="false">IF($A148="","",SUMIFS(RES_QTEVAL,RES_IDST,$A148))</f>
        <v/>
      </c>
      <c r="U148" s="28" t="str">
        <f aca="false">IF($A148="","",COUNTIFS(RES_IDST,$A148))</f>
        <v/>
      </c>
      <c r="V148" s="27" t="str">
        <f aca="false">IF(OR($A148="",$U148=0),"",$G148-$T148)</f>
        <v/>
      </c>
      <c r="W148" s="30" t="str">
        <f aca="false">IF(OR($A148="",$U148=0,NOT(ISNUMBER($G148)),$G148&lt;=0),"",$T148/$G148)</f>
        <v/>
      </c>
      <c r="X148" s="26" t="str">
        <f aca="false">IF($D148="","",IF($R148=0,"DONNEES MANQUANTES",IF($D148="STOCK EXISTANT",IF($S148&lt;=0,"EMPLACEMENT INCOHERENT",IF($G148&gt;$S148+0.001,"STOCK INSUFFISANT",IF($U148=0,"EN COURS",IF($T148&gt;$G148+0.001,"BLOQUE",IF(AND($V148&gt;P_TOL,$L148=""),"A JUSTIFIER","OK"))))),IF($U148=0,"EN COURS",IF($T148&gt;$G148+0.001,"BLOQUE",IF(AND($V148&gt;P_TOL,$L148=""),"A JUSTIFIER","OK"))))))</f>
        <v/>
      </c>
      <c r="Y148" s="28" t="n">
        <f aca="false">IF(OR($X148="",$X148="DONNEES MANQUANTES",$X148="EMPLACEMENT INCOHERENT",$X148="STOCK INSUFFISANT"),0,1)</f>
        <v>0</v>
      </c>
      <c r="Z148" s="26" t="str">
        <f aca="false">IF($D148="","",IF($R148=0,"A COMPLETER : "&amp;IF($B148="","DATE ENVOI; ","")&amp;IF($C148="","SOUS-TRAITANT; ","")&amp;IF($E148="","LOT SOURCE; ","")&amp;IF(OR(NOT(ISNUMBER($G148)),$G148&lt;=0),"QTE ENVOYEE &gt; 0; ","")&amp;IF(AND($D148="STOCK EXISTANT",$F148=""),"EMPL. SOURCE; ",""),IF($X148="EMPLACEMENT INCOHERENT","Le lot "&amp;$E148&amp;" n'existe pas sur "&amp;$F148&amp;" (stock 0).",IF($X148="STOCK INSUFFISANT","Disponible avant envoi : "&amp;TEXT($S148,"#,##0.00")&amp;" kg. Ligne NON comptee en stock.",IF($X148="BLOQUE","Total des sorties ("&amp;TEXT($T148,"#,##0.00")&amp;" kg) superieur a la quantite envoyee.",IF($X148="EN COURS","Envoi enregistre, resultats non connus. A completer dans ST_RESULTATS.",IF($X148="A JUSTIFIER","Ecart de "&amp;TEXT($V148,"#,##0.00")&amp;" kg : renseigner JUSTIFICATION ECART (colonne L).",IF($P148="LOT NON REFERENCE","Creer d'abord la fiche du lot dans l'onglet LOTS.",""))))))))</f>
        <v/>
      </c>
      <c r="AA148" s="27" t="n">
        <f aca="false">IF(OR($Y148=0,$U148&gt;0),0,$G148)</f>
        <v>0</v>
      </c>
      <c r="AB148" s="26" t="n">
        <f aca="false">IF($R148=0,0,IF(OR($E148=R_LOT,COUNTIFS(RES_IDST,$A148,RES_LOTEFF,R_LOT)&gt;0),1,0))</f>
        <v>0</v>
      </c>
      <c r="AC148" s="26" t="str">
        <f aca="false">IF($AB148=0,"",COUNTIF($AB$5:$AB148,1))</f>
        <v/>
      </c>
    </row>
    <row r="149" customFormat="false" ht="15" hidden="false" customHeight="false" outlineLevel="0" collapsed="false">
      <c r="A149" s="26" t="str">
        <f aca="false">IF($D149="","","ST-"&amp;TEXT(ROW()-4,"000"))</f>
        <v/>
      </c>
      <c r="B149" s="25"/>
      <c r="C149" s="24"/>
      <c r="D149" s="24"/>
      <c r="E149" s="24"/>
      <c r="F149" s="24"/>
      <c r="G149" s="29"/>
      <c r="H149" s="24"/>
      <c r="I149" s="24"/>
      <c r="J149" s="24"/>
      <c r="K149" s="25"/>
      <c r="L149" s="24"/>
      <c r="M149" s="24"/>
      <c r="N149" s="24"/>
      <c r="O149" s="26" t="str">
        <f aca="false">IF($E149="","",IFERROR(INDEX(LOT_EXTE,MATCH($E149,LOT_KEY,0)),""))</f>
        <v/>
      </c>
      <c r="P149" s="26" t="str">
        <f aca="false">IF($E149="","",IFERROR(INDEX(LOT_PRODE,MATCH($E149,LOT_KEY,0)),"LOT NON REFERENCE"))</f>
        <v/>
      </c>
      <c r="Q149" s="26" t="str">
        <f aca="false">IF($E149="","",IFERROR(INDEX(LOT_FOURNE,MATCH($E149,LOT_KEY,0)),""))</f>
        <v/>
      </c>
      <c r="R149" s="28" t="n">
        <f aca="false">IF($D149="",0,IF(OR($B149="",$C149="",$E149="",NOT(ISNUMBER($G149)),$G149&lt;=0),0,IF($D149="STOCK EXISTANT",IF($F149="",0,1),1)))</f>
        <v>0</v>
      </c>
      <c r="S149" s="27" t="str">
        <f aca="false">IF(OR($R149=0,$D149&lt;&gt;"STOCK EXISTANT"),"",SUMIFS(MVT_BRUT,MVT_LOT,$E149,MVT_EMPL,$F149)+$G149)</f>
        <v/>
      </c>
      <c r="T149" s="27" t="str">
        <f aca="false">IF($A149="","",SUMIFS(RES_QTEVAL,RES_IDST,$A149))</f>
        <v/>
      </c>
      <c r="U149" s="28" t="str">
        <f aca="false">IF($A149="","",COUNTIFS(RES_IDST,$A149))</f>
        <v/>
      </c>
      <c r="V149" s="27" t="str">
        <f aca="false">IF(OR($A149="",$U149=0),"",$G149-$T149)</f>
        <v/>
      </c>
      <c r="W149" s="30" t="str">
        <f aca="false">IF(OR($A149="",$U149=0,NOT(ISNUMBER($G149)),$G149&lt;=0),"",$T149/$G149)</f>
        <v/>
      </c>
      <c r="X149" s="26" t="str">
        <f aca="false">IF($D149="","",IF($R149=0,"DONNEES MANQUANTES",IF($D149="STOCK EXISTANT",IF($S149&lt;=0,"EMPLACEMENT INCOHERENT",IF($G149&gt;$S149+0.001,"STOCK INSUFFISANT",IF($U149=0,"EN COURS",IF($T149&gt;$G149+0.001,"BLOQUE",IF(AND($V149&gt;P_TOL,$L149=""),"A JUSTIFIER","OK"))))),IF($U149=0,"EN COURS",IF($T149&gt;$G149+0.001,"BLOQUE",IF(AND($V149&gt;P_TOL,$L149=""),"A JUSTIFIER","OK"))))))</f>
        <v/>
      </c>
      <c r="Y149" s="28" t="n">
        <f aca="false">IF(OR($X149="",$X149="DONNEES MANQUANTES",$X149="EMPLACEMENT INCOHERENT",$X149="STOCK INSUFFISANT"),0,1)</f>
        <v>0</v>
      </c>
      <c r="Z149" s="26" t="str">
        <f aca="false">IF($D149="","",IF($R149=0,"A COMPLETER : "&amp;IF($B149="","DATE ENVOI; ","")&amp;IF($C149="","SOUS-TRAITANT; ","")&amp;IF($E149="","LOT SOURCE; ","")&amp;IF(OR(NOT(ISNUMBER($G149)),$G149&lt;=0),"QTE ENVOYEE &gt; 0; ","")&amp;IF(AND($D149="STOCK EXISTANT",$F149=""),"EMPL. SOURCE; ",""),IF($X149="EMPLACEMENT INCOHERENT","Le lot "&amp;$E149&amp;" n'existe pas sur "&amp;$F149&amp;" (stock 0).",IF($X149="STOCK INSUFFISANT","Disponible avant envoi : "&amp;TEXT($S149,"#,##0.00")&amp;" kg. Ligne NON comptee en stock.",IF($X149="BLOQUE","Total des sorties ("&amp;TEXT($T149,"#,##0.00")&amp;" kg) superieur a la quantite envoyee.",IF($X149="EN COURS","Envoi enregistre, resultats non connus. A completer dans ST_RESULTATS.",IF($X149="A JUSTIFIER","Ecart de "&amp;TEXT($V149,"#,##0.00")&amp;" kg : renseigner JUSTIFICATION ECART (colonne L).",IF($P149="LOT NON REFERENCE","Creer d'abord la fiche du lot dans l'onglet LOTS.",""))))))))</f>
        <v/>
      </c>
      <c r="AA149" s="27" t="n">
        <f aca="false">IF(OR($Y149=0,$U149&gt;0),0,$G149)</f>
        <v>0</v>
      </c>
      <c r="AB149" s="26" t="n">
        <f aca="false">IF($R149=0,0,IF(OR($E149=R_LOT,COUNTIFS(RES_IDST,$A149,RES_LOTEFF,R_LOT)&gt;0),1,0))</f>
        <v>0</v>
      </c>
      <c r="AC149" s="26" t="str">
        <f aca="false">IF($AB149=0,"",COUNTIF($AB$5:$AB149,1))</f>
        <v/>
      </c>
    </row>
    <row r="150" customFormat="false" ht="15" hidden="false" customHeight="false" outlineLevel="0" collapsed="false">
      <c r="A150" s="26" t="str">
        <f aca="false">IF($D150="","","ST-"&amp;TEXT(ROW()-4,"000"))</f>
        <v/>
      </c>
      <c r="B150" s="25"/>
      <c r="C150" s="24"/>
      <c r="D150" s="24"/>
      <c r="E150" s="24"/>
      <c r="F150" s="24"/>
      <c r="G150" s="29"/>
      <c r="H150" s="24"/>
      <c r="I150" s="24"/>
      <c r="J150" s="24"/>
      <c r="K150" s="25"/>
      <c r="L150" s="24"/>
      <c r="M150" s="24"/>
      <c r="N150" s="24"/>
      <c r="O150" s="26" t="str">
        <f aca="false">IF($E150="","",IFERROR(INDEX(LOT_EXTE,MATCH($E150,LOT_KEY,0)),""))</f>
        <v/>
      </c>
      <c r="P150" s="26" t="str">
        <f aca="false">IF($E150="","",IFERROR(INDEX(LOT_PRODE,MATCH($E150,LOT_KEY,0)),"LOT NON REFERENCE"))</f>
        <v/>
      </c>
      <c r="Q150" s="26" t="str">
        <f aca="false">IF($E150="","",IFERROR(INDEX(LOT_FOURNE,MATCH($E150,LOT_KEY,0)),""))</f>
        <v/>
      </c>
      <c r="R150" s="28" t="n">
        <f aca="false">IF($D150="",0,IF(OR($B150="",$C150="",$E150="",NOT(ISNUMBER($G150)),$G150&lt;=0),0,IF($D150="STOCK EXISTANT",IF($F150="",0,1),1)))</f>
        <v>0</v>
      </c>
      <c r="S150" s="27" t="str">
        <f aca="false">IF(OR($R150=0,$D150&lt;&gt;"STOCK EXISTANT"),"",SUMIFS(MVT_BRUT,MVT_LOT,$E150,MVT_EMPL,$F150)+$G150)</f>
        <v/>
      </c>
      <c r="T150" s="27" t="str">
        <f aca="false">IF($A150="","",SUMIFS(RES_QTEVAL,RES_IDST,$A150))</f>
        <v/>
      </c>
      <c r="U150" s="28" t="str">
        <f aca="false">IF($A150="","",COUNTIFS(RES_IDST,$A150))</f>
        <v/>
      </c>
      <c r="V150" s="27" t="str">
        <f aca="false">IF(OR($A150="",$U150=0),"",$G150-$T150)</f>
        <v/>
      </c>
      <c r="W150" s="30" t="str">
        <f aca="false">IF(OR($A150="",$U150=0,NOT(ISNUMBER($G150)),$G150&lt;=0),"",$T150/$G150)</f>
        <v/>
      </c>
      <c r="X150" s="26" t="str">
        <f aca="false">IF($D150="","",IF($R150=0,"DONNEES MANQUANTES",IF($D150="STOCK EXISTANT",IF($S150&lt;=0,"EMPLACEMENT INCOHERENT",IF($G150&gt;$S150+0.001,"STOCK INSUFFISANT",IF($U150=0,"EN COURS",IF($T150&gt;$G150+0.001,"BLOQUE",IF(AND($V150&gt;P_TOL,$L150=""),"A JUSTIFIER","OK"))))),IF($U150=0,"EN COURS",IF($T150&gt;$G150+0.001,"BLOQUE",IF(AND($V150&gt;P_TOL,$L150=""),"A JUSTIFIER","OK"))))))</f>
        <v/>
      </c>
      <c r="Y150" s="28" t="n">
        <f aca="false">IF(OR($X150="",$X150="DONNEES MANQUANTES",$X150="EMPLACEMENT INCOHERENT",$X150="STOCK INSUFFISANT"),0,1)</f>
        <v>0</v>
      </c>
      <c r="Z150" s="26" t="str">
        <f aca="false">IF($D150="","",IF($R150=0,"A COMPLETER : "&amp;IF($B150="","DATE ENVOI; ","")&amp;IF($C150="","SOUS-TRAITANT; ","")&amp;IF($E150="","LOT SOURCE; ","")&amp;IF(OR(NOT(ISNUMBER($G150)),$G150&lt;=0),"QTE ENVOYEE &gt; 0; ","")&amp;IF(AND($D150="STOCK EXISTANT",$F150=""),"EMPL. SOURCE; ",""),IF($X150="EMPLACEMENT INCOHERENT","Le lot "&amp;$E150&amp;" n'existe pas sur "&amp;$F150&amp;" (stock 0).",IF($X150="STOCK INSUFFISANT","Disponible avant envoi : "&amp;TEXT($S150,"#,##0.00")&amp;" kg. Ligne NON comptee en stock.",IF($X150="BLOQUE","Total des sorties ("&amp;TEXT($T150,"#,##0.00")&amp;" kg) superieur a la quantite envoyee.",IF($X150="EN COURS","Envoi enregistre, resultats non connus. A completer dans ST_RESULTATS.",IF($X150="A JUSTIFIER","Ecart de "&amp;TEXT($V150,"#,##0.00")&amp;" kg : renseigner JUSTIFICATION ECART (colonne L).",IF($P150="LOT NON REFERENCE","Creer d'abord la fiche du lot dans l'onglet LOTS.",""))))))))</f>
        <v/>
      </c>
      <c r="AA150" s="27" t="n">
        <f aca="false">IF(OR($Y150=0,$U150&gt;0),0,$G150)</f>
        <v>0</v>
      </c>
      <c r="AB150" s="26" t="n">
        <f aca="false">IF($R150=0,0,IF(OR($E150=R_LOT,COUNTIFS(RES_IDST,$A150,RES_LOTEFF,R_LOT)&gt;0),1,0))</f>
        <v>0</v>
      </c>
      <c r="AC150" s="26" t="str">
        <f aca="false">IF($AB150=0,"",COUNTIF($AB$5:$AB150,1))</f>
        <v/>
      </c>
    </row>
    <row r="151" customFormat="false" ht="15" hidden="false" customHeight="false" outlineLevel="0" collapsed="false">
      <c r="A151" s="26" t="str">
        <f aca="false">IF($D151="","","ST-"&amp;TEXT(ROW()-4,"000"))</f>
        <v/>
      </c>
      <c r="B151" s="25"/>
      <c r="C151" s="24"/>
      <c r="D151" s="24"/>
      <c r="E151" s="24"/>
      <c r="F151" s="24"/>
      <c r="G151" s="29"/>
      <c r="H151" s="24"/>
      <c r="I151" s="24"/>
      <c r="J151" s="24"/>
      <c r="K151" s="25"/>
      <c r="L151" s="24"/>
      <c r="M151" s="24"/>
      <c r="N151" s="24"/>
      <c r="O151" s="26" t="str">
        <f aca="false">IF($E151="","",IFERROR(INDEX(LOT_EXTE,MATCH($E151,LOT_KEY,0)),""))</f>
        <v/>
      </c>
      <c r="P151" s="26" t="str">
        <f aca="false">IF($E151="","",IFERROR(INDEX(LOT_PRODE,MATCH($E151,LOT_KEY,0)),"LOT NON REFERENCE"))</f>
        <v/>
      </c>
      <c r="Q151" s="26" t="str">
        <f aca="false">IF($E151="","",IFERROR(INDEX(LOT_FOURNE,MATCH($E151,LOT_KEY,0)),""))</f>
        <v/>
      </c>
      <c r="R151" s="28" t="n">
        <f aca="false">IF($D151="",0,IF(OR($B151="",$C151="",$E151="",NOT(ISNUMBER($G151)),$G151&lt;=0),0,IF($D151="STOCK EXISTANT",IF($F151="",0,1),1)))</f>
        <v>0</v>
      </c>
      <c r="S151" s="27" t="str">
        <f aca="false">IF(OR($R151=0,$D151&lt;&gt;"STOCK EXISTANT"),"",SUMIFS(MVT_BRUT,MVT_LOT,$E151,MVT_EMPL,$F151)+$G151)</f>
        <v/>
      </c>
      <c r="T151" s="27" t="str">
        <f aca="false">IF($A151="","",SUMIFS(RES_QTEVAL,RES_IDST,$A151))</f>
        <v/>
      </c>
      <c r="U151" s="28" t="str">
        <f aca="false">IF($A151="","",COUNTIFS(RES_IDST,$A151))</f>
        <v/>
      </c>
      <c r="V151" s="27" t="str">
        <f aca="false">IF(OR($A151="",$U151=0),"",$G151-$T151)</f>
        <v/>
      </c>
      <c r="W151" s="30" t="str">
        <f aca="false">IF(OR($A151="",$U151=0,NOT(ISNUMBER($G151)),$G151&lt;=0),"",$T151/$G151)</f>
        <v/>
      </c>
      <c r="X151" s="26" t="str">
        <f aca="false">IF($D151="","",IF($R151=0,"DONNEES MANQUANTES",IF($D151="STOCK EXISTANT",IF($S151&lt;=0,"EMPLACEMENT INCOHERENT",IF($G151&gt;$S151+0.001,"STOCK INSUFFISANT",IF($U151=0,"EN COURS",IF($T151&gt;$G151+0.001,"BLOQUE",IF(AND($V151&gt;P_TOL,$L151=""),"A JUSTIFIER","OK"))))),IF($U151=0,"EN COURS",IF($T151&gt;$G151+0.001,"BLOQUE",IF(AND($V151&gt;P_TOL,$L151=""),"A JUSTIFIER","OK"))))))</f>
        <v/>
      </c>
      <c r="Y151" s="28" t="n">
        <f aca="false">IF(OR($X151="",$X151="DONNEES MANQUANTES",$X151="EMPLACEMENT INCOHERENT",$X151="STOCK INSUFFISANT"),0,1)</f>
        <v>0</v>
      </c>
      <c r="Z151" s="26" t="str">
        <f aca="false">IF($D151="","",IF($R151=0,"A COMPLETER : "&amp;IF($B151="","DATE ENVOI; ","")&amp;IF($C151="","SOUS-TRAITANT; ","")&amp;IF($E151="","LOT SOURCE; ","")&amp;IF(OR(NOT(ISNUMBER($G151)),$G151&lt;=0),"QTE ENVOYEE &gt; 0; ","")&amp;IF(AND($D151="STOCK EXISTANT",$F151=""),"EMPL. SOURCE; ",""),IF($X151="EMPLACEMENT INCOHERENT","Le lot "&amp;$E151&amp;" n'existe pas sur "&amp;$F151&amp;" (stock 0).",IF($X151="STOCK INSUFFISANT","Disponible avant envoi : "&amp;TEXT($S151,"#,##0.00")&amp;" kg. Ligne NON comptee en stock.",IF($X151="BLOQUE","Total des sorties ("&amp;TEXT($T151,"#,##0.00")&amp;" kg) superieur a la quantite envoyee.",IF($X151="EN COURS","Envoi enregistre, resultats non connus. A completer dans ST_RESULTATS.",IF($X151="A JUSTIFIER","Ecart de "&amp;TEXT($V151,"#,##0.00")&amp;" kg : renseigner JUSTIFICATION ECART (colonne L).",IF($P151="LOT NON REFERENCE","Creer d'abord la fiche du lot dans l'onglet LOTS.",""))))))))</f>
        <v/>
      </c>
      <c r="AA151" s="27" t="n">
        <f aca="false">IF(OR($Y151=0,$U151&gt;0),0,$G151)</f>
        <v>0</v>
      </c>
      <c r="AB151" s="26" t="n">
        <f aca="false">IF($R151=0,0,IF(OR($E151=R_LOT,COUNTIFS(RES_IDST,$A151,RES_LOTEFF,R_LOT)&gt;0),1,0))</f>
        <v>0</v>
      </c>
      <c r="AC151" s="26" t="str">
        <f aca="false">IF($AB151=0,"",COUNTIF($AB$5:$AB151,1))</f>
        <v/>
      </c>
    </row>
    <row r="152" customFormat="false" ht="15" hidden="false" customHeight="false" outlineLevel="0" collapsed="false">
      <c r="A152" s="26" t="str">
        <f aca="false">IF($D152="","","ST-"&amp;TEXT(ROW()-4,"000"))</f>
        <v/>
      </c>
      <c r="B152" s="25"/>
      <c r="C152" s="24"/>
      <c r="D152" s="24"/>
      <c r="E152" s="24"/>
      <c r="F152" s="24"/>
      <c r="G152" s="29"/>
      <c r="H152" s="24"/>
      <c r="I152" s="24"/>
      <c r="J152" s="24"/>
      <c r="K152" s="25"/>
      <c r="L152" s="24"/>
      <c r="M152" s="24"/>
      <c r="N152" s="24"/>
      <c r="O152" s="26" t="str">
        <f aca="false">IF($E152="","",IFERROR(INDEX(LOT_EXTE,MATCH($E152,LOT_KEY,0)),""))</f>
        <v/>
      </c>
      <c r="P152" s="26" t="str">
        <f aca="false">IF($E152="","",IFERROR(INDEX(LOT_PRODE,MATCH($E152,LOT_KEY,0)),"LOT NON REFERENCE"))</f>
        <v/>
      </c>
      <c r="Q152" s="26" t="str">
        <f aca="false">IF($E152="","",IFERROR(INDEX(LOT_FOURNE,MATCH($E152,LOT_KEY,0)),""))</f>
        <v/>
      </c>
      <c r="R152" s="28" t="n">
        <f aca="false">IF($D152="",0,IF(OR($B152="",$C152="",$E152="",NOT(ISNUMBER($G152)),$G152&lt;=0),0,IF($D152="STOCK EXISTANT",IF($F152="",0,1),1)))</f>
        <v>0</v>
      </c>
      <c r="S152" s="27" t="str">
        <f aca="false">IF(OR($R152=0,$D152&lt;&gt;"STOCK EXISTANT"),"",SUMIFS(MVT_BRUT,MVT_LOT,$E152,MVT_EMPL,$F152)+$G152)</f>
        <v/>
      </c>
      <c r="T152" s="27" t="str">
        <f aca="false">IF($A152="","",SUMIFS(RES_QTEVAL,RES_IDST,$A152))</f>
        <v/>
      </c>
      <c r="U152" s="28" t="str">
        <f aca="false">IF($A152="","",COUNTIFS(RES_IDST,$A152))</f>
        <v/>
      </c>
      <c r="V152" s="27" t="str">
        <f aca="false">IF(OR($A152="",$U152=0),"",$G152-$T152)</f>
        <v/>
      </c>
      <c r="W152" s="30" t="str">
        <f aca="false">IF(OR($A152="",$U152=0,NOT(ISNUMBER($G152)),$G152&lt;=0),"",$T152/$G152)</f>
        <v/>
      </c>
      <c r="X152" s="26" t="str">
        <f aca="false">IF($D152="","",IF($R152=0,"DONNEES MANQUANTES",IF($D152="STOCK EXISTANT",IF($S152&lt;=0,"EMPLACEMENT INCOHERENT",IF($G152&gt;$S152+0.001,"STOCK INSUFFISANT",IF($U152=0,"EN COURS",IF($T152&gt;$G152+0.001,"BLOQUE",IF(AND($V152&gt;P_TOL,$L152=""),"A JUSTIFIER","OK"))))),IF($U152=0,"EN COURS",IF($T152&gt;$G152+0.001,"BLOQUE",IF(AND($V152&gt;P_TOL,$L152=""),"A JUSTIFIER","OK"))))))</f>
        <v/>
      </c>
      <c r="Y152" s="28" t="n">
        <f aca="false">IF(OR($X152="",$X152="DONNEES MANQUANTES",$X152="EMPLACEMENT INCOHERENT",$X152="STOCK INSUFFISANT"),0,1)</f>
        <v>0</v>
      </c>
      <c r="Z152" s="26" t="str">
        <f aca="false">IF($D152="","",IF($R152=0,"A COMPLETER : "&amp;IF($B152="","DATE ENVOI; ","")&amp;IF($C152="","SOUS-TRAITANT; ","")&amp;IF($E152="","LOT SOURCE; ","")&amp;IF(OR(NOT(ISNUMBER($G152)),$G152&lt;=0),"QTE ENVOYEE &gt; 0; ","")&amp;IF(AND($D152="STOCK EXISTANT",$F152=""),"EMPL. SOURCE; ",""),IF($X152="EMPLACEMENT INCOHERENT","Le lot "&amp;$E152&amp;" n'existe pas sur "&amp;$F152&amp;" (stock 0).",IF($X152="STOCK INSUFFISANT","Disponible avant envoi : "&amp;TEXT($S152,"#,##0.00")&amp;" kg. Ligne NON comptee en stock.",IF($X152="BLOQUE","Total des sorties ("&amp;TEXT($T152,"#,##0.00")&amp;" kg) superieur a la quantite envoyee.",IF($X152="EN COURS","Envoi enregistre, resultats non connus. A completer dans ST_RESULTATS.",IF($X152="A JUSTIFIER","Ecart de "&amp;TEXT($V152,"#,##0.00")&amp;" kg : renseigner JUSTIFICATION ECART (colonne L).",IF($P152="LOT NON REFERENCE","Creer d'abord la fiche du lot dans l'onglet LOTS.",""))))))))</f>
        <v/>
      </c>
      <c r="AA152" s="27" t="n">
        <f aca="false">IF(OR($Y152=0,$U152&gt;0),0,$G152)</f>
        <v>0</v>
      </c>
      <c r="AB152" s="26" t="n">
        <f aca="false">IF($R152=0,0,IF(OR($E152=R_LOT,COUNTIFS(RES_IDST,$A152,RES_LOTEFF,R_LOT)&gt;0),1,0))</f>
        <v>0</v>
      </c>
      <c r="AC152" s="26" t="str">
        <f aca="false">IF($AB152=0,"",COUNTIF($AB$5:$AB152,1))</f>
        <v/>
      </c>
    </row>
    <row r="153" customFormat="false" ht="15" hidden="false" customHeight="false" outlineLevel="0" collapsed="false">
      <c r="A153" s="26" t="str">
        <f aca="false">IF($D153="","","ST-"&amp;TEXT(ROW()-4,"000"))</f>
        <v/>
      </c>
      <c r="B153" s="25"/>
      <c r="C153" s="24"/>
      <c r="D153" s="24"/>
      <c r="E153" s="24"/>
      <c r="F153" s="24"/>
      <c r="G153" s="29"/>
      <c r="H153" s="24"/>
      <c r="I153" s="24"/>
      <c r="J153" s="24"/>
      <c r="K153" s="25"/>
      <c r="L153" s="24"/>
      <c r="M153" s="24"/>
      <c r="N153" s="24"/>
      <c r="O153" s="26" t="str">
        <f aca="false">IF($E153="","",IFERROR(INDEX(LOT_EXTE,MATCH($E153,LOT_KEY,0)),""))</f>
        <v/>
      </c>
      <c r="P153" s="26" t="str">
        <f aca="false">IF($E153="","",IFERROR(INDEX(LOT_PRODE,MATCH($E153,LOT_KEY,0)),"LOT NON REFERENCE"))</f>
        <v/>
      </c>
      <c r="Q153" s="26" t="str">
        <f aca="false">IF($E153="","",IFERROR(INDEX(LOT_FOURNE,MATCH($E153,LOT_KEY,0)),""))</f>
        <v/>
      </c>
      <c r="R153" s="28" t="n">
        <f aca="false">IF($D153="",0,IF(OR($B153="",$C153="",$E153="",NOT(ISNUMBER($G153)),$G153&lt;=0),0,IF($D153="STOCK EXISTANT",IF($F153="",0,1),1)))</f>
        <v>0</v>
      </c>
      <c r="S153" s="27" t="str">
        <f aca="false">IF(OR($R153=0,$D153&lt;&gt;"STOCK EXISTANT"),"",SUMIFS(MVT_BRUT,MVT_LOT,$E153,MVT_EMPL,$F153)+$G153)</f>
        <v/>
      </c>
      <c r="T153" s="27" t="str">
        <f aca="false">IF($A153="","",SUMIFS(RES_QTEVAL,RES_IDST,$A153))</f>
        <v/>
      </c>
      <c r="U153" s="28" t="str">
        <f aca="false">IF($A153="","",COUNTIFS(RES_IDST,$A153))</f>
        <v/>
      </c>
      <c r="V153" s="27" t="str">
        <f aca="false">IF(OR($A153="",$U153=0),"",$G153-$T153)</f>
        <v/>
      </c>
      <c r="W153" s="30" t="str">
        <f aca="false">IF(OR($A153="",$U153=0,NOT(ISNUMBER($G153)),$G153&lt;=0),"",$T153/$G153)</f>
        <v/>
      </c>
      <c r="X153" s="26" t="str">
        <f aca="false">IF($D153="","",IF($R153=0,"DONNEES MANQUANTES",IF($D153="STOCK EXISTANT",IF($S153&lt;=0,"EMPLACEMENT INCOHERENT",IF($G153&gt;$S153+0.001,"STOCK INSUFFISANT",IF($U153=0,"EN COURS",IF($T153&gt;$G153+0.001,"BLOQUE",IF(AND($V153&gt;P_TOL,$L153=""),"A JUSTIFIER","OK"))))),IF($U153=0,"EN COURS",IF($T153&gt;$G153+0.001,"BLOQUE",IF(AND($V153&gt;P_TOL,$L153=""),"A JUSTIFIER","OK"))))))</f>
        <v/>
      </c>
      <c r="Y153" s="28" t="n">
        <f aca="false">IF(OR($X153="",$X153="DONNEES MANQUANTES",$X153="EMPLACEMENT INCOHERENT",$X153="STOCK INSUFFISANT"),0,1)</f>
        <v>0</v>
      </c>
      <c r="Z153" s="26" t="str">
        <f aca="false">IF($D153="","",IF($R153=0,"A COMPLETER : "&amp;IF($B153="","DATE ENVOI; ","")&amp;IF($C153="","SOUS-TRAITANT; ","")&amp;IF($E153="","LOT SOURCE; ","")&amp;IF(OR(NOT(ISNUMBER($G153)),$G153&lt;=0),"QTE ENVOYEE &gt; 0; ","")&amp;IF(AND($D153="STOCK EXISTANT",$F153=""),"EMPL. SOURCE; ",""),IF($X153="EMPLACEMENT INCOHERENT","Le lot "&amp;$E153&amp;" n'existe pas sur "&amp;$F153&amp;" (stock 0).",IF($X153="STOCK INSUFFISANT","Disponible avant envoi : "&amp;TEXT($S153,"#,##0.00")&amp;" kg. Ligne NON comptee en stock.",IF($X153="BLOQUE","Total des sorties ("&amp;TEXT($T153,"#,##0.00")&amp;" kg) superieur a la quantite envoyee.",IF($X153="EN COURS","Envoi enregistre, resultats non connus. A completer dans ST_RESULTATS.",IF($X153="A JUSTIFIER","Ecart de "&amp;TEXT($V153,"#,##0.00")&amp;" kg : renseigner JUSTIFICATION ECART (colonne L).",IF($P153="LOT NON REFERENCE","Creer d'abord la fiche du lot dans l'onglet LOTS.",""))))))))</f>
        <v/>
      </c>
      <c r="AA153" s="27" t="n">
        <f aca="false">IF(OR($Y153=0,$U153&gt;0),0,$G153)</f>
        <v>0</v>
      </c>
      <c r="AB153" s="26" t="n">
        <f aca="false">IF($R153=0,0,IF(OR($E153=R_LOT,COUNTIFS(RES_IDST,$A153,RES_LOTEFF,R_LOT)&gt;0),1,0))</f>
        <v>0</v>
      </c>
      <c r="AC153" s="26" t="str">
        <f aca="false">IF($AB153=0,"",COUNTIF($AB$5:$AB153,1))</f>
        <v/>
      </c>
    </row>
    <row r="154" customFormat="false" ht="15" hidden="false" customHeight="false" outlineLevel="0" collapsed="false">
      <c r="A154" s="26" t="str">
        <f aca="false">IF($D154="","","ST-"&amp;TEXT(ROW()-4,"000"))</f>
        <v/>
      </c>
      <c r="B154" s="25"/>
      <c r="C154" s="24"/>
      <c r="D154" s="24"/>
      <c r="E154" s="24"/>
      <c r="F154" s="24"/>
      <c r="G154" s="29"/>
      <c r="H154" s="24"/>
      <c r="I154" s="24"/>
      <c r="J154" s="24"/>
      <c r="K154" s="25"/>
      <c r="L154" s="24"/>
      <c r="M154" s="24"/>
      <c r="N154" s="24"/>
      <c r="O154" s="26" t="str">
        <f aca="false">IF($E154="","",IFERROR(INDEX(LOT_EXTE,MATCH($E154,LOT_KEY,0)),""))</f>
        <v/>
      </c>
      <c r="P154" s="26" t="str">
        <f aca="false">IF($E154="","",IFERROR(INDEX(LOT_PRODE,MATCH($E154,LOT_KEY,0)),"LOT NON REFERENCE"))</f>
        <v/>
      </c>
      <c r="Q154" s="26" t="str">
        <f aca="false">IF($E154="","",IFERROR(INDEX(LOT_FOURNE,MATCH($E154,LOT_KEY,0)),""))</f>
        <v/>
      </c>
      <c r="R154" s="28" t="n">
        <f aca="false">IF($D154="",0,IF(OR($B154="",$C154="",$E154="",NOT(ISNUMBER($G154)),$G154&lt;=0),0,IF($D154="STOCK EXISTANT",IF($F154="",0,1),1)))</f>
        <v>0</v>
      </c>
      <c r="S154" s="27" t="str">
        <f aca="false">IF(OR($R154=0,$D154&lt;&gt;"STOCK EXISTANT"),"",SUMIFS(MVT_BRUT,MVT_LOT,$E154,MVT_EMPL,$F154)+$G154)</f>
        <v/>
      </c>
      <c r="T154" s="27" t="str">
        <f aca="false">IF($A154="","",SUMIFS(RES_QTEVAL,RES_IDST,$A154))</f>
        <v/>
      </c>
      <c r="U154" s="28" t="str">
        <f aca="false">IF($A154="","",COUNTIFS(RES_IDST,$A154))</f>
        <v/>
      </c>
      <c r="V154" s="27" t="str">
        <f aca="false">IF(OR($A154="",$U154=0),"",$G154-$T154)</f>
        <v/>
      </c>
      <c r="W154" s="30" t="str">
        <f aca="false">IF(OR($A154="",$U154=0,NOT(ISNUMBER($G154)),$G154&lt;=0),"",$T154/$G154)</f>
        <v/>
      </c>
      <c r="X154" s="26" t="str">
        <f aca="false">IF($D154="","",IF($R154=0,"DONNEES MANQUANTES",IF($D154="STOCK EXISTANT",IF($S154&lt;=0,"EMPLACEMENT INCOHERENT",IF($G154&gt;$S154+0.001,"STOCK INSUFFISANT",IF($U154=0,"EN COURS",IF($T154&gt;$G154+0.001,"BLOQUE",IF(AND($V154&gt;P_TOL,$L154=""),"A JUSTIFIER","OK"))))),IF($U154=0,"EN COURS",IF($T154&gt;$G154+0.001,"BLOQUE",IF(AND($V154&gt;P_TOL,$L154=""),"A JUSTIFIER","OK"))))))</f>
        <v/>
      </c>
      <c r="Y154" s="28" t="n">
        <f aca="false">IF(OR($X154="",$X154="DONNEES MANQUANTES",$X154="EMPLACEMENT INCOHERENT",$X154="STOCK INSUFFISANT"),0,1)</f>
        <v>0</v>
      </c>
      <c r="Z154" s="26" t="str">
        <f aca="false">IF($D154="","",IF($R154=0,"A COMPLETER : "&amp;IF($B154="","DATE ENVOI; ","")&amp;IF($C154="","SOUS-TRAITANT; ","")&amp;IF($E154="","LOT SOURCE; ","")&amp;IF(OR(NOT(ISNUMBER($G154)),$G154&lt;=0),"QTE ENVOYEE &gt; 0; ","")&amp;IF(AND($D154="STOCK EXISTANT",$F154=""),"EMPL. SOURCE; ",""),IF($X154="EMPLACEMENT INCOHERENT","Le lot "&amp;$E154&amp;" n'existe pas sur "&amp;$F154&amp;" (stock 0).",IF($X154="STOCK INSUFFISANT","Disponible avant envoi : "&amp;TEXT($S154,"#,##0.00")&amp;" kg. Ligne NON comptee en stock.",IF($X154="BLOQUE","Total des sorties ("&amp;TEXT($T154,"#,##0.00")&amp;" kg) superieur a la quantite envoyee.",IF($X154="EN COURS","Envoi enregistre, resultats non connus. A completer dans ST_RESULTATS.",IF($X154="A JUSTIFIER","Ecart de "&amp;TEXT($V154,"#,##0.00")&amp;" kg : renseigner JUSTIFICATION ECART (colonne L).",IF($P154="LOT NON REFERENCE","Creer d'abord la fiche du lot dans l'onglet LOTS.",""))))))))</f>
        <v/>
      </c>
      <c r="AA154" s="27" t="n">
        <f aca="false">IF(OR($Y154=0,$U154&gt;0),0,$G154)</f>
        <v>0</v>
      </c>
      <c r="AB154" s="26" t="n">
        <f aca="false">IF($R154=0,0,IF(OR($E154=R_LOT,COUNTIFS(RES_IDST,$A154,RES_LOTEFF,R_LOT)&gt;0),1,0))</f>
        <v>0</v>
      </c>
      <c r="AC154" s="26" t="str">
        <f aca="false">IF($AB154=0,"",COUNTIF($AB$5:$AB154,1))</f>
        <v/>
      </c>
    </row>
  </sheetData>
  <autoFilter ref="A4:AB154"/>
  <mergeCells count="3">
    <mergeCell ref="A1:AC1"/>
    <mergeCell ref="A2:AC2"/>
    <mergeCell ref="A3:AC3"/>
  </mergeCells>
  <conditionalFormatting sqref="X5:X15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conditionalFormatting sqref="V5:V154">
    <cfRule type="cellIs" priority="11" operator="greaterThan" aboveAverage="0" equalAverage="0" bottom="0" percent="0" rank="0" text="" dxfId="23">
      <formula>0</formula>
    </cfRule>
  </conditionalFormatting>
  <dataValidations count="8">
    <dataValidation allowBlank="true" errorStyle="stop" operator="between" showDropDown="false" showErrorMessage="false" showInputMessage="false" sqref="C5:C154" type="list">
      <formula1>L_STRAIT</formula1>
      <formula2>0</formula2>
    </dataValidation>
    <dataValidation allowBlank="true" error="Choisissez une valeur dans la liste deroulante." errorStyle="stop" errorTitle="Valeur non autorisee" operator="between" prompt="FOURNISSEUR = livraison directe (aucun stock consomme). STOCK EXISTANT = prelevement sur stock." promptTitle="Aide" showDropDown="false" showErrorMessage="true" showInputMessage="true" sqref="D5:D154" type="list">
      <formula1>"FOURNISSEUR,STOCK EXISTANT"</formula1>
      <formula2>0</formula2>
    </dataValidation>
    <dataValidation allowBlank="true" error="Choisissez une valeur dans la liste deroulante." errorStyle="stop" errorTitle="Valeur non autorisee" operator="between" showDropDown="false" showErrorMessage="true" showInputMessage="false" sqref="E5:E154" type="list">
      <formula1>L_LOTS</formula1>
      <formula2>0</formula2>
    </dataValidation>
    <dataValidation allowBlank="true" error="Choisissez une valeur dans la liste deroulante." errorStyle="stop" errorTitle="Valeur non autorisee" operator="between" prompt="A remplir uniquement si SOURCE = STOCK EXISTANT." promptTitle="Aide" showDropDown="false" showErrorMessage="true" showInputMessage="true" sqref="F5:F154" type="list">
      <formula1>L_EMPL</formula1>
      <formula2>0</formula2>
    </dataValidation>
    <dataValidation allowBlank="true" error="Choisissez une valeur dans la liste deroulante." errorStyle="stop" errorTitle="Valeur non autorisee" operator="greaterThan" showDropDown="false" showErrorMessage="true" showInputMessage="false" sqref="G5:G154" type="decimal">
      <formula1>0</formula1>
      <formula2>0</formula2>
    </dataValidation>
    <dataValidation allowBlank="true" errorStyle="stop" operator="between" showDropDown="false" showErrorMessage="false" showInputMessage="false" sqref="H5:H154" type="list">
      <formula1>L_QUALITE</formula1>
      <formula2>0</formula2>
    </dataValidation>
    <dataValidation allowBlank="true" errorStyle="stop" operator="between" showDropDown="false" showErrorMessage="false" showInputMessage="false" sqref="I5:I154" type="list">
      <formula1>L_MOULE</formula1>
      <formula2>0</formula2>
    </dataValidation>
    <dataValidation allowBlank="true" errorStyle="stop" operator="between" showDropDown="false" showErrorMessage="false" showInputMessage="false" sqref="M5:M154" type="list">
      <formula1>L_MOTIF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AA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2"/>
    <col collapsed="false" customWidth="true" hidden="false" outlineLevel="0" max="4" min="4" style="0" width="14"/>
    <col collapsed="false" customWidth="true" hidden="false" outlineLevel="0" max="5" min="5" style="0" width="18"/>
    <col collapsed="false" customWidth="true" hidden="false" outlineLevel="0" max="6" min="6" style="0" width="13"/>
    <col collapsed="false" customWidth="true" hidden="false" outlineLevel="0" max="8" min="7" style="0" width="14"/>
    <col collapsed="false" customWidth="true" hidden="false" outlineLevel="0" max="9" min="9" style="0" width="13"/>
    <col collapsed="false" customWidth="true" hidden="false" outlineLevel="0" max="10" min="10" style="0" width="17"/>
    <col collapsed="false" customWidth="true" hidden="false" outlineLevel="0" max="11" min="11" style="0" width="22"/>
    <col collapsed="false" customWidth="true" hidden="false" outlineLevel="0" max="12" min="12" style="0" width="12"/>
    <col collapsed="false" customWidth="true" hidden="false" outlineLevel="0" max="13" min="13" style="0" width="20"/>
    <col collapsed="false" customWidth="true" hidden="false" outlineLevel="0" max="14" min="14" style="0" width="18"/>
    <col collapsed="false" customWidth="true" hidden="false" outlineLevel="0" max="15" min="15" style="0" width="13"/>
    <col collapsed="false" customWidth="true" hidden="false" outlineLevel="0" max="16" min="16" style="0" width="12"/>
    <col collapsed="false" customWidth="true" hidden="false" outlineLevel="0" max="17" min="17" style="0" width="8"/>
    <col collapsed="false" customWidth="true" hidden="false" outlineLevel="0" max="18" min="18" style="0" width="13"/>
    <col collapsed="false" customWidth="true" hidden="false" outlineLevel="0" max="20" min="19" style="0" width="20"/>
    <col collapsed="false" customWidth="true" hidden="false" outlineLevel="0" max="21" min="21" style="0" width="11"/>
    <col collapsed="false" customWidth="true" hidden="false" outlineLevel="0" max="22" min="22" style="0" width="44"/>
    <col collapsed="false" customWidth="true" hidden="false" outlineLevel="0" max="24" min="23" style="0" width="13"/>
    <col collapsed="false" customWidth="true" hidden="false" outlineLevel="0" max="25" min="25" style="0" width="10"/>
    <col collapsed="false" customWidth="true" hidden="false" outlineLevel="0" max="27" min="26" style="0" width="12"/>
  </cols>
  <sheetData>
    <row r="1" customFormat="false" ht="30" hidden="false" customHeight="true" outlineLevel="0" collapsed="false">
      <c r="A1" s="1" t="s">
        <v>199</v>
      </c>
      <c r="B1" s="1"/>
      <c r="C1" s="1"/>
      <c r="D1" s="1"/>
      <c r="E1" s="1"/>
      <c r="F1" s="1"/>
      <c r="G1" s="1"/>
      <c r="H1" s="1"/>
      <c r="I1" s="1"/>
      <c r="J1" s="1"/>
      <c r="K1" s="1"/>
      <c r="L1" s="1"/>
      <c r="M1" s="1"/>
      <c r="N1" s="1"/>
      <c r="O1" s="1"/>
      <c r="P1" s="1"/>
      <c r="Q1" s="1"/>
      <c r="R1" s="1"/>
      <c r="S1" s="1"/>
      <c r="T1" s="1"/>
      <c r="U1" s="1"/>
      <c r="V1" s="1"/>
      <c r="W1" s="1"/>
      <c r="X1" s="1"/>
      <c r="Y1" s="1"/>
      <c r="Z1" s="1"/>
      <c r="AA1" s="1"/>
    </row>
    <row r="2" customFormat="false" ht="18" hidden="false" customHeight="true" outlineLevel="0" collapsed="false">
      <c r="A2" s="2" t="s">
        <v>200</v>
      </c>
      <c r="B2" s="2"/>
      <c r="C2" s="2"/>
      <c r="D2" s="2"/>
      <c r="E2" s="2"/>
      <c r="F2" s="2"/>
      <c r="G2" s="2"/>
      <c r="H2" s="2"/>
      <c r="I2" s="2"/>
      <c r="J2" s="2"/>
      <c r="K2" s="2"/>
      <c r="L2" s="2"/>
      <c r="M2" s="2"/>
      <c r="N2" s="2"/>
      <c r="O2" s="2"/>
      <c r="P2" s="2"/>
      <c r="Q2" s="2"/>
      <c r="R2" s="2"/>
      <c r="S2" s="2"/>
      <c r="T2" s="2"/>
      <c r="U2" s="2"/>
      <c r="V2" s="2"/>
      <c r="W2" s="2"/>
      <c r="X2" s="2"/>
      <c r="Y2" s="2"/>
      <c r="Z2" s="2"/>
      <c r="AA2" s="2"/>
    </row>
    <row r="3" customFormat="false" ht="19.5" hidden="false" customHeight="true" outlineLevel="0" collapsed="false">
      <c r="A3" s="3" t="s">
        <v>201</v>
      </c>
      <c r="B3" s="3"/>
      <c r="C3" s="3"/>
      <c r="D3" s="3"/>
      <c r="E3" s="3"/>
      <c r="F3" s="3"/>
      <c r="G3" s="3"/>
      <c r="H3" s="3"/>
      <c r="I3" s="3"/>
      <c r="J3" s="3"/>
      <c r="K3" s="3"/>
      <c r="L3" s="3"/>
      <c r="M3" s="3"/>
      <c r="N3" s="3"/>
      <c r="O3" s="3"/>
      <c r="P3" s="3"/>
      <c r="Q3" s="3"/>
      <c r="R3" s="3"/>
      <c r="S3" s="3"/>
      <c r="T3" s="3"/>
      <c r="U3" s="3"/>
      <c r="V3" s="3"/>
      <c r="W3" s="3"/>
      <c r="X3" s="3"/>
      <c r="Y3" s="3"/>
      <c r="Z3" s="3"/>
      <c r="AA3" s="3"/>
    </row>
    <row r="4" customFormat="false" ht="30" hidden="false" customHeight="true" outlineLevel="0" collapsed="false">
      <c r="A4" s="23" t="s">
        <v>202</v>
      </c>
      <c r="B4" s="22" t="s">
        <v>170</v>
      </c>
      <c r="C4" s="22" t="s">
        <v>203</v>
      </c>
      <c r="D4" s="22" t="s">
        <v>204</v>
      </c>
      <c r="E4" s="22" t="s">
        <v>205</v>
      </c>
      <c r="F4" s="22" t="s">
        <v>140</v>
      </c>
      <c r="G4" s="22" t="s">
        <v>206</v>
      </c>
      <c r="H4" s="22" t="s">
        <v>207</v>
      </c>
      <c r="I4" s="22" t="s">
        <v>208</v>
      </c>
      <c r="J4" s="22" t="s">
        <v>139</v>
      </c>
      <c r="K4" s="22" t="s">
        <v>63</v>
      </c>
      <c r="L4" s="23" t="s">
        <v>209</v>
      </c>
      <c r="M4" s="23" t="s">
        <v>172</v>
      </c>
      <c r="N4" s="23" t="s">
        <v>210</v>
      </c>
      <c r="O4" s="23" t="s">
        <v>52</v>
      </c>
      <c r="P4" s="23" t="s">
        <v>144</v>
      </c>
      <c r="Q4" s="23" t="s">
        <v>145</v>
      </c>
      <c r="R4" s="23" t="s">
        <v>211</v>
      </c>
      <c r="S4" s="23" t="s">
        <v>212</v>
      </c>
      <c r="T4" s="23" t="s">
        <v>147</v>
      </c>
      <c r="U4" s="23" t="s">
        <v>148</v>
      </c>
      <c r="V4" s="23" t="s">
        <v>149</v>
      </c>
      <c r="W4" s="23" t="s">
        <v>213</v>
      </c>
      <c r="X4" s="23" t="s">
        <v>214</v>
      </c>
      <c r="Y4" s="23" t="s">
        <v>215</v>
      </c>
      <c r="Z4" s="23" t="s">
        <v>187</v>
      </c>
      <c r="AA4" s="23" t="s">
        <v>188</v>
      </c>
    </row>
    <row r="5" customFormat="false" ht="15" hidden="false" customHeight="false" outlineLevel="0" collapsed="false">
      <c r="A5" s="26" t="str">
        <f aca="false">IF($B5="","","RES-"&amp;TEXT(ROW()-4,"000"))</f>
        <v>RES-001</v>
      </c>
      <c r="B5" s="24" t="s">
        <v>216</v>
      </c>
      <c r="C5" s="25" t="n">
        <v>46248</v>
      </c>
      <c r="D5" s="24" t="s">
        <v>124</v>
      </c>
      <c r="E5" s="24" t="s">
        <v>123</v>
      </c>
      <c r="F5" s="29" t="n">
        <v>300</v>
      </c>
      <c r="G5" s="24" t="s">
        <v>86</v>
      </c>
      <c r="H5" s="24" t="s">
        <v>87</v>
      </c>
      <c r="I5" s="24" t="n">
        <v>40</v>
      </c>
      <c r="J5" s="24" t="s">
        <v>151</v>
      </c>
      <c r="K5" s="24" t="s">
        <v>217</v>
      </c>
      <c r="L5" s="26" t="str">
        <f aca="false">IF($B5="","",IFERROR(INDEX(ST_LOT,MATCH($B5,ST_ID,0)),""))</f>
        <v>255</v>
      </c>
      <c r="M5" s="26" t="str">
        <f aca="false">IF($B5="","",IFERROR(INDEX(ST_STRAIT,MATCH($B5,ST_ID,0)),""))</f>
        <v>USINE SOUS-TRAITANTE</v>
      </c>
      <c r="N5" s="26" t="str">
        <f aca="false">IF($B5="","",IF($E5="",$L5,$E5))</f>
        <v>255-HG</v>
      </c>
      <c r="O5" s="26" t="str">
        <f aca="false">IF($N5="","",IFERROR(INDEX(LOT_EXTE,MATCH($N5,LOT_KEY,0)),""))</f>
        <v>L-EXT-255</v>
      </c>
      <c r="P5" s="26" t="str">
        <f aca="false">IF($J5="","",IFERROR(INDEX(EMPL_CLASSE,MATCH($J5,EMPL_KEY,0)),"?"))</f>
        <v>INTERNE</v>
      </c>
      <c r="Q5" s="28" t="n">
        <f aca="false">IF($B5="",0,IF(OR(ISNA(MATCH($B5,ST_ID,0)),NOT(ISNUMBER($F5)),$F5&lt;=0,$J5="",$N5=""),0,1))</f>
        <v>1</v>
      </c>
      <c r="R5" s="27" t="n">
        <f aca="false">IF($Q5=0,0,$F5)</f>
        <v>300</v>
      </c>
      <c r="S5" s="26" t="str">
        <f aca="false">IF($B5="","",IFERROR(INDEX(ST_STATUT,MATCH($B5,ST_ID,0)),""))</f>
        <v>A JUSTIFIER</v>
      </c>
      <c r="T5" s="26" t="str">
        <f aca="false">IF($B5="","",IF($Q5=0,"DONNEES MANQUANTES",IF(OR($S5="DONNEES MANQUANTES",$S5="STOCK INSUFFISANT",$S5="EMPLACEMENT INCOHERENT",$S5="BLOQUE"),"BLOQUE","OK")))</f>
        <v>OK</v>
      </c>
      <c r="U5" s="28" t="n">
        <f aca="false">IF($T5="OK",1,0)</f>
        <v>1</v>
      </c>
      <c r="V5" s="26" t="str">
        <f aca="false">IF($B5="","",IF($Q5=0,"A COMPLETER : "&amp;IF(ISNA(MATCH($B5,ST_ID,0)),"ID ST valide; ","")&amp;IF(OR(NOT(ISNUMBER($F5)),$F5&lt;=0),"QUANTITE &gt; 0; ","")&amp;IF($J5="","EMPL. DESTINATION; ",""),IF($T5="BLOQUE","Envoi parent en anomalie ("&amp;$S5&amp;") : corriger l'onglet SOUS_TRAITANCE.",IF(AND($E5&lt;&gt;"",ISNA(MATCH($E5,LOT_KEY,0))),"Creer la fiche du lot resultat dans l'onglet LOTS.",""))))</f>
        <v/>
      </c>
      <c r="W5" s="31" t="n">
        <f aca="false">IF($B5="","",IF($C5&lt;&gt;"",$C5,IFERROR(INDEX(ST_DATERET,MATCH($B5,ST_ID,0)),"")))</f>
        <v>46248</v>
      </c>
      <c r="X5" s="26" t="str">
        <f aca="false">IF($Q5=0,"",IF($L5=R_LOT,IF($N5&lt;&gt;R_LOT,$N5,""),IF($N5=R_LOT,$L5,"")))</f>
        <v>255-HG</v>
      </c>
      <c r="Y5" s="26" t="n">
        <f aca="false">IF($X5="","",IF(COUNTIF($X$4:$X4,$X5)&gt;0,"",COUNT($Y$4:$Y4)+1))</f>
        <v>1</v>
      </c>
      <c r="Z5" s="26" t="n">
        <f aca="false">IF($Q5=0,0,IF(OR($L5=R_LOT,$N5=R_LOT),1,0))</f>
        <v>1</v>
      </c>
      <c r="AA5" s="26" t="n">
        <f aca="false">IF($Z5=0,"",COUNTIF($Z$5:$Z5,1))</f>
        <v>1</v>
      </c>
    </row>
    <row r="6" customFormat="false" ht="15" hidden="false" customHeight="false" outlineLevel="0" collapsed="false">
      <c r="A6" s="26" t="str">
        <f aca="false">IF($B6="","","RES-"&amp;TEXT(ROW()-4,"000"))</f>
        <v>RES-002</v>
      </c>
      <c r="B6" s="24" t="s">
        <v>216</v>
      </c>
      <c r="C6" s="25" t="n">
        <v>46248</v>
      </c>
      <c r="D6" s="24" t="s">
        <v>127</v>
      </c>
      <c r="E6" s="24" t="s">
        <v>126</v>
      </c>
      <c r="F6" s="29" t="n">
        <v>150</v>
      </c>
      <c r="G6" s="24" t="s">
        <v>95</v>
      </c>
      <c r="H6" s="24" t="s">
        <v>96</v>
      </c>
      <c r="I6" s="24"/>
      <c r="J6" s="24" t="s">
        <v>218</v>
      </c>
      <c r="K6" s="24" t="s">
        <v>219</v>
      </c>
      <c r="L6" s="26" t="str">
        <f aca="false">IF($B6="","",IFERROR(INDEX(ST_LOT,MATCH($B6,ST_ID,0)),""))</f>
        <v>255</v>
      </c>
      <c r="M6" s="26" t="str">
        <f aca="false">IF($B6="","",IFERROR(INDEX(ST_STRAIT,MATCH($B6,ST_ID,0)),""))</f>
        <v>USINE SOUS-TRAITANTE</v>
      </c>
      <c r="N6" s="26" t="str">
        <f aca="false">IF($B6="","",IF($E6="",$L6,$E6))</f>
        <v>255-HGT</v>
      </c>
      <c r="O6" s="26" t="str">
        <f aca="false">IF($N6="","",IFERROR(INDEX(LOT_EXTE,MATCH($N6,LOT_KEY,0)),""))</f>
        <v>L-EXT-255</v>
      </c>
      <c r="P6" s="26" t="str">
        <f aca="false">IF($J6="","",IFERROR(INDEX(EMPL_CLASSE,MATCH($J6,EMPL_KEY,0)),"?"))</f>
        <v>EXTERNE</v>
      </c>
      <c r="Q6" s="28" t="n">
        <f aca="false">IF($B6="",0,IF(OR(ISNA(MATCH($B6,ST_ID,0)),NOT(ISNUMBER($F6)),$F6&lt;=0,$J6="",$N6=""),0,1))</f>
        <v>1</v>
      </c>
      <c r="R6" s="27" t="n">
        <f aca="false">IF($Q6=0,0,$F6)</f>
        <v>150</v>
      </c>
      <c r="S6" s="26" t="str">
        <f aca="false">IF($B6="","",IFERROR(INDEX(ST_STATUT,MATCH($B6,ST_ID,0)),""))</f>
        <v>A JUSTIFIER</v>
      </c>
      <c r="T6" s="26" t="str">
        <f aca="false">IF($B6="","",IF($Q6=0,"DONNEES MANQUANTES",IF(OR($S6="DONNEES MANQUANTES",$S6="STOCK INSUFFISANT",$S6="EMPLACEMENT INCOHERENT",$S6="BLOQUE"),"BLOQUE","OK")))</f>
        <v>OK</v>
      </c>
      <c r="U6" s="28" t="n">
        <f aca="false">IF($T6="OK",1,0)</f>
        <v>1</v>
      </c>
      <c r="V6" s="26" t="str">
        <f aca="false">IF($B6="","",IF($Q6=0,"A COMPLETER : "&amp;IF(ISNA(MATCH($B6,ST_ID,0)),"ID ST valide; ","")&amp;IF(OR(NOT(ISNUMBER($F6)),$F6&lt;=0),"QUANTITE &gt; 0; ","")&amp;IF($J6="","EMPL. DESTINATION; ",""),IF($T6="BLOQUE","Envoi parent en anomalie ("&amp;$S6&amp;") : corriger l'onglet SOUS_TRAITANCE.",IF(AND($E6&lt;&gt;"",ISNA(MATCH($E6,LOT_KEY,0))),"Creer la fiche du lot resultat dans l'onglet LOTS.",""))))</f>
        <v/>
      </c>
      <c r="W6" s="31" t="n">
        <f aca="false">IF($B6="","",IF($C6&lt;&gt;"",$C6,IFERROR(INDEX(ST_DATERET,MATCH($B6,ST_ID,0)),"")))</f>
        <v>46248</v>
      </c>
      <c r="X6" s="26" t="str">
        <f aca="false">IF($Q6=0,"",IF($L6=R_LOT,IF($N6&lt;&gt;R_LOT,$N6,""),IF($N6=R_LOT,$L6,"")))</f>
        <v>255-HGT</v>
      </c>
      <c r="Y6" s="26" t="n">
        <f aca="false">IF($X6="","",IF(COUNTIF($X$4:$X5,$X6)&gt;0,"",COUNT($Y$4:$Y5)+1))</f>
        <v>2</v>
      </c>
      <c r="Z6" s="26" t="n">
        <f aca="false">IF($Q6=0,0,IF(OR($L6=R_LOT,$N6=R_LOT),1,0))</f>
        <v>1</v>
      </c>
      <c r="AA6" s="26" t="n">
        <f aca="false">IF($Z6=0,"",COUNTIF($Z$5:$Z6,1))</f>
        <v>2</v>
      </c>
    </row>
    <row r="7" customFormat="false" ht="15" hidden="false" customHeight="false" outlineLevel="0" collapsed="false">
      <c r="A7" s="26" t="str">
        <f aca="false">IF($B7="","","RES-"&amp;TEXT(ROW()-4,"000"))</f>
        <v>RES-003</v>
      </c>
      <c r="B7" s="24" t="s">
        <v>220</v>
      </c>
      <c r="C7" s="25" t="n">
        <v>46247</v>
      </c>
      <c r="D7" s="24" t="s">
        <v>130</v>
      </c>
      <c r="E7" s="24" t="s">
        <v>129</v>
      </c>
      <c r="F7" s="29" t="n">
        <v>590</v>
      </c>
      <c r="G7" s="24" t="s">
        <v>86</v>
      </c>
      <c r="H7" s="24" t="s">
        <v>87</v>
      </c>
      <c r="I7" s="24"/>
      <c r="J7" s="24" t="s">
        <v>151</v>
      </c>
      <c r="K7" s="24" t="s">
        <v>221</v>
      </c>
      <c r="L7" s="26" t="str">
        <f aca="false">IF($B7="","",IFERROR(INDEX(ST_LOT,MATCH($B7,ST_ID,0)),""))</f>
        <v>300</v>
      </c>
      <c r="M7" s="26" t="str">
        <f aca="false">IF($B7="","",IFERROR(INDEX(ST_STRAIT,MATCH($B7,ST_ID,0)),""))</f>
        <v>USINE SOUS-TRAITANTE</v>
      </c>
      <c r="N7" s="26" t="str">
        <f aca="false">IF($B7="","",IF($E7="",$L7,$E7))</f>
        <v>300-FIL</v>
      </c>
      <c r="O7" s="26" t="str">
        <f aca="false">IF($N7="","",IFERROR(INDEX(LOT_EXTE,MATCH($N7,LOT_KEY,0)),""))</f>
        <v>L-EXT-300</v>
      </c>
      <c r="P7" s="26" t="str">
        <f aca="false">IF($J7="","",IFERROR(INDEX(EMPL_CLASSE,MATCH($J7,EMPL_KEY,0)),"?"))</f>
        <v>INTERNE</v>
      </c>
      <c r="Q7" s="28" t="n">
        <f aca="false">IF($B7="",0,IF(OR(ISNA(MATCH($B7,ST_ID,0)),NOT(ISNUMBER($F7)),$F7&lt;=0,$J7="",$N7=""),0,1))</f>
        <v>1</v>
      </c>
      <c r="R7" s="27" t="n">
        <f aca="false">IF($Q7=0,0,$F7)</f>
        <v>590</v>
      </c>
      <c r="S7" s="26" t="str">
        <f aca="false">IF($B7="","",IFERROR(INDEX(ST_STATUT,MATCH($B7,ST_ID,0)),""))</f>
        <v>OK</v>
      </c>
      <c r="T7" s="26" t="str">
        <f aca="false">IF($B7="","",IF($Q7=0,"DONNEES MANQUANTES",IF(OR($S7="DONNEES MANQUANTES",$S7="STOCK INSUFFISANT",$S7="EMPLACEMENT INCOHERENT",$S7="BLOQUE"),"BLOQUE","OK")))</f>
        <v>OK</v>
      </c>
      <c r="U7" s="28" t="n">
        <f aca="false">IF($T7="OK",1,0)</f>
        <v>1</v>
      </c>
      <c r="V7" s="26" t="str">
        <f aca="false">IF($B7="","",IF($Q7=0,"A COMPLETER : "&amp;IF(ISNA(MATCH($B7,ST_ID,0)),"ID ST valide; ","")&amp;IF(OR(NOT(ISNUMBER($F7)),$F7&lt;=0),"QUANTITE &gt; 0; ","")&amp;IF($J7="","EMPL. DESTINATION; ",""),IF($T7="BLOQUE","Envoi parent en anomalie ("&amp;$S7&amp;") : corriger l'onglet SOUS_TRAITANCE.",IF(AND($E7&lt;&gt;"",ISNA(MATCH($E7,LOT_KEY,0))),"Creer la fiche du lot resultat dans l'onglet LOTS.",""))))</f>
        <v/>
      </c>
      <c r="W7" s="31" t="n">
        <f aca="false">IF($B7="","",IF($C7&lt;&gt;"",$C7,IFERROR(INDEX(ST_DATERET,MATCH($B7,ST_ID,0)),"")))</f>
        <v>46247</v>
      </c>
      <c r="X7" s="26" t="str">
        <f aca="false">IF($Q7=0,"",IF($L7=R_LOT,IF($N7&lt;&gt;R_LOT,$N7,""),IF($N7=R_LOT,$L7,"")))</f>
        <v/>
      </c>
      <c r="Y7" s="26" t="str">
        <f aca="false">IF($X7="","",IF(COUNTIF($X$4:$X6,$X7)&gt;0,"",COUNT($Y$4:$Y6)+1))</f>
        <v/>
      </c>
      <c r="Z7" s="26" t="n">
        <f aca="false">IF($Q7=0,0,IF(OR($L7=R_LOT,$N7=R_LOT),1,0))</f>
        <v>0</v>
      </c>
      <c r="AA7" s="26" t="str">
        <f aca="false">IF($Z7=0,"",COUNTIF($Z$5:$Z7,1))</f>
        <v/>
      </c>
    </row>
    <row r="8" customFormat="false" ht="15" hidden="false" customHeight="false" outlineLevel="0" collapsed="false">
      <c r="A8" s="26" t="str">
        <f aca="false">IF($B8="","","RES-"&amp;TEXT(ROW()-4,"000"))</f>
        <v/>
      </c>
      <c r="B8" s="24"/>
      <c r="C8" s="25"/>
      <c r="D8" s="24"/>
      <c r="E8" s="24"/>
      <c r="F8" s="29"/>
      <c r="G8" s="24"/>
      <c r="H8" s="24"/>
      <c r="I8" s="24"/>
      <c r="J8" s="24"/>
      <c r="K8" s="24"/>
      <c r="L8" s="26" t="str">
        <f aca="false">IF($B8="","",IFERROR(INDEX(ST_LOT,MATCH($B8,ST_ID,0)),""))</f>
        <v/>
      </c>
      <c r="M8" s="26" t="str">
        <f aca="false">IF($B8="","",IFERROR(INDEX(ST_STRAIT,MATCH($B8,ST_ID,0)),""))</f>
        <v/>
      </c>
      <c r="N8" s="26" t="str">
        <f aca="false">IF($B8="","",IF($E8="",$L8,$E8))</f>
        <v/>
      </c>
      <c r="O8" s="26" t="str">
        <f aca="false">IF($N8="","",IFERROR(INDEX(LOT_EXTE,MATCH($N8,LOT_KEY,0)),""))</f>
        <v/>
      </c>
      <c r="P8" s="26" t="str">
        <f aca="false">IF($J8="","",IFERROR(INDEX(EMPL_CLASSE,MATCH($J8,EMPL_KEY,0)),"?"))</f>
        <v/>
      </c>
      <c r="Q8" s="28" t="n">
        <f aca="false">IF($B8="",0,IF(OR(ISNA(MATCH($B8,ST_ID,0)),NOT(ISNUMBER($F8)),$F8&lt;=0,$J8="",$N8=""),0,1))</f>
        <v>0</v>
      </c>
      <c r="R8" s="27" t="n">
        <f aca="false">IF($Q8=0,0,$F8)</f>
        <v>0</v>
      </c>
      <c r="S8" s="26" t="str">
        <f aca="false">IF($B8="","",IFERROR(INDEX(ST_STATUT,MATCH($B8,ST_ID,0)),""))</f>
        <v/>
      </c>
      <c r="T8" s="26" t="str">
        <f aca="false">IF($B8="","",IF($Q8=0,"DONNEES MANQUANTES",IF(OR($S8="DONNEES MANQUANTES",$S8="STOCK INSUFFISANT",$S8="EMPLACEMENT INCOHERENT",$S8="BLOQUE"),"BLOQUE","OK")))</f>
        <v/>
      </c>
      <c r="U8" s="28" t="n">
        <f aca="false">IF($T8="OK",1,0)</f>
        <v>0</v>
      </c>
      <c r="V8" s="26" t="str">
        <f aca="false">IF($B8="","",IF($Q8=0,"A COMPLETER : "&amp;IF(ISNA(MATCH($B8,ST_ID,0)),"ID ST valide; ","")&amp;IF(OR(NOT(ISNUMBER($F8)),$F8&lt;=0),"QUANTITE &gt; 0; ","")&amp;IF($J8="","EMPL. DESTINATION; ",""),IF($T8="BLOQUE","Envoi parent en anomalie ("&amp;$S8&amp;") : corriger l'onglet SOUS_TRAITANCE.",IF(AND($E8&lt;&gt;"",ISNA(MATCH($E8,LOT_KEY,0))),"Creer la fiche du lot resultat dans l'onglet LOTS.",""))))</f>
        <v/>
      </c>
      <c r="W8" s="31" t="str">
        <f aca="false">IF($B8="","",IF($C8&lt;&gt;"",$C8,IFERROR(INDEX(ST_DATERET,MATCH($B8,ST_ID,0)),"")))</f>
        <v/>
      </c>
      <c r="X8" s="26" t="str">
        <f aca="false">IF($Q8=0,"",IF($L8=R_LOT,IF($N8&lt;&gt;R_LOT,$N8,""),IF($N8=R_LOT,$L8,"")))</f>
        <v/>
      </c>
      <c r="Y8" s="26" t="str">
        <f aca="false">IF($X8="","",IF(COUNTIF($X$4:$X7,$X8)&gt;0,"",COUNT($Y$4:$Y7)+1))</f>
        <v/>
      </c>
      <c r="Z8" s="26" t="n">
        <f aca="false">IF($Q8=0,0,IF(OR($L8=R_LOT,$N8=R_LOT),1,0))</f>
        <v>0</v>
      </c>
      <c r="AA8" s="26" t="str">
        <f aca="false">IF($Z8=0,"",COUNTIF($Z$5:$Z8,1))</f>
        <v/>
      </c>
    </row>
    <row r="9" customFormat="false" ht="15" hidden="false" customHeight="false" outlineLevel="0" collapsed="false">
      <c r="A9" s="26" t="str">
        <f aca="false">IF($B9="","","RES-"&amp;TEXT(ROW()-4,"000"))</f>
        <v/>
      </c>
      <c r="B9" s="24"/>
      <c r="C9" s="25"/>
      <c r="D9" s="24"/>
      <c r="E9" s="24"/>
      <c r="F9" s="29"/>
      <c r="G9" s="24"/>
      <c r="H9" s="24"/>
      <c r="I9" s="24"/>
      <c r="J9" s="24"/>
      <c r="K9" s="24"/>
      <c r="L9" s="26" t="str">
        <f aca="false">IF($B9="","",IFERROR(INDEX(ST_LOT,MATCH($B9,ST_ID,0)),""))</f>
        <v/>
      </c>
      <c r="M9" s="26" t="str">
        <f aca="false">IF($B9="","",IFERROR(INDEX(ST_STRAIT,MATCH($B9,ST_ID,0)),""))</f>
        <v/>
      </c>
      <c r="N9" s="26" t="str">
        <f aca="false">IF($B9="","",IF($E9="",$L9,$E9))</f>
        <v/>
      </c>
      <c r="O9" s="26" t="str">
        <f aca="false">IF($N9="","",IFERROR(INDEX(LOT_EXTE,MATCH($N9,LOT_KEY,0)),""))</f>
        <v/>
      </c>
      <c r="P9" s="26" t="str">
        <f aca="false">IF($J9="","",IFERROR(INDEX(EMPL_CLASSE,MATCH($J9,EMPL_KEY,0)),"?"))</f>
        <v/>
      </c>
      <c r="Q9" s="28" t="n">
        <f aca="false">IF($B9="",0,IF(OR(ISNA(MATCH($B9,ST_ID,0)),NOT(ISNUMBER($F9)),$F9&lt;=0,$J9="",$N9=""),0,1))</f>
        <v>0</v>
      </c>
      <c r="R9" s="27" t="n">
        <f aca="false">IF($Q9=0,0,$F9)</f>
        <v>0</v>
      </c>
      <c r="S9" s="26" t="str">
        <f aca="false">IF($B9="","",IFERROR(INDEX(ST_STATUT,MATCH($B9,ST_ID,0)),""))</f>
        <v/>
      </c>
      <c r="T9" s="26" t="str">
        <f aca="false">IF($B9="","",IF($Q9=0,"DONNEES MANQUANTES",IF(OR($S9="DONNEES MANQUANTES",$S9="STOCK INSUFFISANT",$S9="EMPLACEMENT INCOHERENT",$S9="BLOQUE"),"BLOQUE","OK")))</f>
        <v/>
      </c>
      <c r="U9" s="28" t="n">
        <f aca="false">IF($T9="OK",1,0)</f>
        <v>0</v>
      </c>
      <c r="V9" s="26" t="str">
        <f aca="false">IF($B9="","",IF($Q9=0,"A COMPLETER : "&amp;IF(ISNA(MATCH($B9,ST_ID,0)),"ID ST valide; ","")&amp;IF(OR(NOT(ISNUMBER($F9)),$F9&lt;=0),"QUANTITE &gt; 0; ","")&amp;IF($J9="","EMPL. DESTINATION; ",""),IF($T9="BLOQUE","Envoi parent en anomalie ("&amp;$S9&amp;") : corriger l'onglet SOUS_TRAITANCE.",IF(AND($E9&lt;&gt;"",ISNA(MATCH($E9,LOT_KEY,0))),"Creer la fiche du lot resultat dans l'onglet LOTS.",""))))</f>
        <v/>
      </c>
      <c r="W9" s="31" t="str">
        <f aca="false">IF($B9="","",IF($C9&lt;&gt;"",$C9,IFERROR(INDEX(ST_DATERET,MATCH($B9,ST_ID,0)),"")))</f>
        <v/>
      </c>
      <c r="X9" s="26" t="str">
        <f aca="false">IF($Q9=0,"",IF($L9=R_LOT,IF($N9&lt;&gt;R_LOT,$N9,""),IF($N9=R_LOT,$L9,"")))</f>
        <v/>
      </c>
      <c r="Y9" s="26" t="str">
        <f aca="false">IF($X9="","",IF(COUNTIF($X$4:$X8,$X9)&gt;0,"",COUNT($Y$4:$Y8)+1))</f>
        <v/>
      </c>
      <c r="Z9" s="26" t="n">
        <f aca="false">IF($Q9=0,0,IF(OR($L9=R_LOT,$N9=R_LOT),1,0))</f>
        <v>0</v>
      </c>
      <c r="AA9" s="26" t="str">
        <f aca="false">IF($Z9=0,"",COUNTIF($Z$5:$Z9,1))</f>
        <v/>
      </c>
    </row>
    <row r="10" customFormat="false" ht="15" hidden="false" customHeight="false" outlineLevel="0" collapsed="false">
      <c r="A10" s="26" t="str">
        <f aca="false">IF($B10="","","RES-"&amp;TEXT(ROW()-4,"000"))</f>
        <v/>
      </c>
      <c r="B10" s="24"/>
      <c r="C10" s="25"/>
      <c r="D10" s="24"/>
      <c r="E10" s="24"/>
      <c r="F10" s="29"/>
      <c r="G10" s="24"/>
      <c r="H10" s="24"/>
      <c r="I10" s="24"/>
      <c r="J10" s="24"/>
      <c r="K10" s="24"/>
      <c r="L10" s="26" t="str">
        <f aca="false">IF($B10="","",IFERROR(INDEX(ST_LOT,MATCH($B10,ST_ID,0)),""))</f>
        <v/>
      </c>
      <c r="M10" s="26" t="str">
        <f aca="false">IF($B10="","",IFERROR(INDEX(ST_STRAIT,MATCH($B10,ST_ID,0)),""))</f>
        <v/>
      </c>
      <c r="N10" s="26" t="str">
        <f aca="false">IF($B10="","",IF($E10="",$L10,$E10))</f>
        <v/>
      </c>
      <c r="O10" s="26" t="str">
        <f aca="false">IF($N10="","",IFERROR(INDEX(LOT_EXTE,MATCH($N10,LOT_KEY,0)),""))</f>
        <v/>
      </c>
      <c r="P10" s="26" t="str">
        <f aca="false">IF($J10="","",IFERROR(INDEX(EMPL_CLASSE,MATCH($J10,EMPL_KEY,0)),"?"))</f>
        <v/>
      </c>
      <c r="Q10" s="28" t="n">
        <f aca="false">IF($B10="",0,IF(OR(ISNA(MATCH($B10,ST_ID,0)),NOT(ISNUMBER($F10)),$F10&lt;=0,$J10="",$N10=""),0,1))</f>
        <v>0</v>
      </c>
      <c r="R10" s="27" t="n">
        <f aca="false">IF($Q10=0,0,$F10)</f>
        <v>0</v>
      </c>
      <c r="S10" s="26" t="str">
        <f aca="false">IF($B10="","",IFERROR(INDEX(ST_STATUT,MATCH($B10,ST_ID,0)),""))</f>
        <v/>
      </c>
      <c r="T10" s="26" t="str">
        <f aca="false">IF($B10="","",IF($Q10=0,"DONNEES MANQUANTES",IF(OR($S10="DONNEES MANQUANTES",$S10="STOCK INSUFFISANT",$S10="EMPLACEMENT INCOHERENT",$S10="BLOQUE"),"BLOQUE","OK")))</f>
        <v/>
      </c>
      <c r="U10" s="28" t="n">
        <f aca="false">IF($T10="OK",1,0)</f>
        <v>0</v>
      </c>
      <c r="V10" s="26" t="str">
        <f aca="false">IF($B10="","",IF($Q10=0,"A COMPLETER : "&amp;IF(ISNA(MATCH($B10,ST_ID,0)),"ID ST valide; ","")&amp;IF(OR(NOT(ISNUMBER($F10)),$F10&lt;=0),"QUANTITE &gt; 0; ","")&amp;IF($J10="","EMPL. DESTINATION; ",""),IF($T10="BLOQUE","Envoi parent en anomalie ("&amp;$S10&amp;") : corriger l'onglet SOUS_TRAITANCE.",IF(AND($E10&lt;&gt;"",ISNA(MATCH($E10,LOT_KEY,0))),"Creer la fiche du lot resultat dans l'onglet LOTS.",""))))</f>
        <v/>
      </c>
      <c r="W10" s="31" t="str">
        <f aca="false">IF($B10="","",IF($C10&lt;&gt;"",$C10,IFERROR(INDEX(ST_DATERET,MATCH($B10,ST_ID,0)),"")))</f>
        <v/>
      </c>
      <c r="X10" s="26" t="str">
        <f aca="false">IF($Q10=0,"",IF($L10=R_LOT,IF($N10&lt;&gt;R_LOT,$N10,""),IF($N10=R_LOT,$L10,"")))</f>
        <v/>
      </c>
      <c r="Y10" s="26" t="str">
        <f aca="false">IF($X10="","",IF(COUNTIF($X$4:$X9,$X10)&gt;0,"",COUNT($Y$4:$Y9)+1))</f>
        <v/>
      </c>
      <c r="Z10" s="26" t="n">
        <f aca="false">IF($Q10=0,0,IF(OR($L10=R_LOT,$N10=R_LOT),1,0))</f>
        <v>0</v>
      </c>
      <c r="AA10" s="26" t="str">
        <f aca="false">IF($Z10=0,"",COUNTIF($Z$5:$Z10,1))</f>
        <v/>
      </c>
    </row>
    <row r="11" customFormat="false" ht="15" hidden="false" customHeight="false" outlineLevel="0" collapsed="false">
      <c r="A11" s="26" t="str">
        <f aca="false">IF($B11="","","RES-"&amp;TEXT(ROW()-4,"000"))</f>
        <v/>
      </c>
      <c r="B11" s="24"/>
      <c r="C11" s="25"/>
      <c r="D11" s="24"/>
      <c r="E11" s="24"/>
      <c r="F11" s="29"/>
      <c r="G11" s="24"/>
      <c r="H11" s="24"/>
      <c r="I11" s="24"/>
      <c r="J11" s="24"/>
      <c r="K11" s="24"/>
      <c r="L11" s="26" t="str">
        <f aca="false">IF($B11="","",IFERROR(INDEX(ST_LOT,MATCH($B11,ST_ID,0)),""))</f>
        <v/>
      </c>
      <c r="M11" s="26" t="str">
        <f aca="false">IF($B11="","",IFERROR(INDEX(ST_STRAIT,MATCH($B11,ST_ID,0)),""))</f>
        <v/>
      </c>
      <c r="N11" s="26" t="str">
        <f aca="false">IF($B11="","",IF($E11="",$L11,$E11))</f>
        <v/>
      </c>
      <c r="O11" s="26" t="str">
        <f aca="false">IF($N11="","",IFERROR(INDEX(LOT_EXTE,MATCH($N11,LOT_KEY,0)),""))</f>
        <v/>
      </c>
      <c r="P11" s="26" t="str">
        <f aca="false">IF($J11="","",IFERROR(INDEX(EMPL_CLASSE,MATCH($J11,EMPL_KEY,0)),"?"))</f>
        <v/>
      </c>
      <c r="Q11" s="28" t="n">
        <f aca="false">IF($B11="",0,IF(OR(ISNA(MATCH($B11,ST_ID,0)),NOT(ISNUMBER($F11)),$F11&lt;=0,$J11="",$N11=""),0,1))</f>
        <v>0</v>
      </c>
      <c r="R11" s="27" t="n">
        <f aca="false">IF($Q11=0,0,$F11)</f>
        <v>0</v>
      </c>
      <c r="S11" s="26" t="str">
        <f aca="false">IF($B11="","",IFERROR(INDEX(ST_STATUT,MATCH($B11,ST_ID,0)),""))</f>
        <v/>
      </c>
      <c r="T11" s="26" t="str">
        <f aca="false">IF($B11="","",IF($Q11=0,"DONNEES MANQUANTES",IF(OR($S11="DONNEES MANQUANTES",$S11="STOCK INSUFFISANT",$S11="EMPLACEMENT INCOHERENT",$S11="BLOQUE"),"BLOQUE","OK")))</f>
        <v/>
      </c>
      <c r="U11" s="28" t="n">
        <f aca="false">IF($T11="OK",1,0)</f>
        <v>0</v>
      </c>
      <c r="V11" s="26" t="str">
        <f aca="false">IF($B11="","",IF($Q11=0,"A COMPLETER : "&amp;IF(ISNA(MATCH($B11,ST_ID,0)),"ID ST valide; ","")&amp;IF(OR(NOT(ISNUMBER($F11)),$F11&lt;=0),"QUANTITE &gt; 0; ","")&amp;IF($J11="","EMPL. DESTINATION; ",""),IF($T11="BLOQUE","Envoi parent en anomalie ("&amp;$S11&amp;") : corriger l'onglet SOUS_TRAITANCE.",IF(AND($E11&lt;&gt;"",ISNA(MATCH($E11,LOT_KEY,0))),"Creer la fiche du lot resultat dans l'onglet LOTS.",""))))</f>
        <v/>
      </c>
      <c r="W11" s="31" t="str">
        <f aca="false">IF($B11="","",IF($C11&lt;&gt;"",$C11,IFERROR(INDEX(ST_DATERET,MATCH($B11,ST_ID,0)),"")))</f>
        <v/>
      </c>
      <c r="X11" s="26" t="str">
        <f aca="false">IF($Q11=0,"",IF($L11=R_LOT,IF($N11&lt;&gt;R_LOT,$N11,""),IF($N11=R_LOT,$L11,"")))</f>
        <v/>
      </c>
      <c r="Y11" s="26" t="str">
        <f aca="false">IF($X11="","",IF(COUNTIF($X$4:$X10,$X11)&gt;0,"",COUNT($Y$4:$Y10)+1))</f>
        <v/>
      </c>
      <c r="Z11" s="26" t="n">
        <f aca="false">IF($Q11=0,0,IF(OR($L11=R_LOT,$N11=R_LOT),1,0))</f>
        <v>0</v>
      </c>
      <c r="AA11" s="26" t="str">
        <f aca="false">IF($Z11=0,"",COUNTIF($Z$5:$Z11,1))</f>
        <v/>
      </c>
    </row>
    <row r="12" customFormat="false" ht="15" hidden="false" customHeight="false" outlineLevel="0" collapsed="false">
      <c r="A12" s="26" t="str">
        <f aca="false">IF($B12="","","RES-"&amp;TEXT(ROW()-4,"000"))</f>
        <v/>
      </c>
      <c r="B12" s="24"/>
      <c r="C12" s="25"/>
      <c r="D12" s="24"/>
      <c r="E12" s="24"/>
      <c r="F12" s="29"/>
      <c r="G12" s="24"/>
      <c r="H12" s="24"/>
      <c r="I12" s="24"/>
      <c r="J12" s="24"/>
      <c r="K12" s="24"/>
      <c r="L12" s="26" t="str">
        <f aca="false">IF($B12="","",IFERROR(INDEX(ST_LOT,MATCH($B12,ST_ID,0)),""))</f>
        <v/>
      </c>
      <c r="M12" s="26" t="str">
        <f aca="false">IF($B12="","",IFERROR(INDEX(ST_STRAIT,MATCH($B12,ST_ID,0)),""))</f>
        <v/>
      </c>
      <c r="N12" s="26" t="str">
        <f aca="false">IF($B12="","",IF($E12="",$L12,$E12))</f>
        <v/>
      </c>
      <c r="O12" s="26" t="str">
        <f aca="false">IF($N12="","",IFERROR(INDEX(LOT_EXTE,MATCH($N12,LOT_KEY,0)),""))</f>
        <v/>
      </c>
      <c r="P12" s="26" t="str">
        <f aca="false">IF($J12="","",IFERROR(INDEX(EMPL_CLASSE,MATCH($J12,EMPL_KEY,0)),"?"))</f>
        <v/>
      </c>
      <c r="Q12" s="28" t="n">
        <f aca="false">IF($B12="",0,IF(OR(ISNA(MATCH($B12,ST_ID,0)),NOT(ISNUMBER($F12)),$F12&lt;=0,$J12="",$N12=""),0,1))</f>
        <v>0</v>
      </c>
      <c r="R12" s="27" t="n">
        <f aca="false">IF($Q12=0,0,$F12)</f>
        <v>0</v>
      </c>
      <c r="S12" s="26" t="str">
        <f aca="false">IF($B12="","",IFERROR(INDEX(ST_STATUT,MATCH($B12,ST_ID,0)),""))</f>
        <v/>
      </c>
      <c r="T12" s="26" t="str">
        <f aca="false">IF($B12="","",IF($Q12=0,"DONNEES MANQUANTES",IF(OR($S12="DONNEES MANQUANTES",$S12="STOCK INSUFFISANT",$S12="EMPLACEMENT INCOHERENT",$S12="BLOQUE"),"BLOQUE","OK")))</f>
        <v/>
      </c>
      <c r="U12" s="28" t="n">
        <f aca="false">IF($T12="OK",1,0)</f>
        <v>0</v>
      </c>
      <c r="V12" s="26" t="str">
        <f aca="false">IF($B12="","",IF($Q12=0,"A COMPLETER : "&amp;IF(ISNA(MATCH($B12,ST_ID,0)),"ID ST valide; ","")&amp;IF(OR(NOT(ISNUMBER($F12)),$F12&lt;=0),"QUANTITE &gt; 0; ","")&amp;IF($J12="","EMPL. DESTINATION; ",""),IF($T12="BLOQUE","Envoi parent en anomalie ("&amp;$S12&amp;") : corriger l'onglet SOUS_TRAITANCE.",IF(AND($E12&lt;&gt;"",ISNA(MATCH($E12,LOT_KEY,0))),"Creer la fiche du lot resultat dans l'onglet LOTS.",""))))</f>
        <v/>
      </c>
      <c r="W12" s="31" t="str">
        <f aca="false">IF($B12="","",IF($C12&lt;&gt;"",$C12,IFERROR(INDEX(ST_DATERET,MATCH($B12,ST_ID,0)),"")))</f>
        <v/>
      </c>
      <c r="X12" s="26" t="str">
        <f aca="false">IF($Q12=0,"",IF($L12=R_LOT,IF($N12&lt;&gt;R_LOT,$N12,""),IF($N12=R_LOT,$L12,"")))</f>
        <v/>
      </c>
      <c r="Y12" s="26" t="str">
        <f aca="false">IF($X12="","",IF(COUNTIF($X$4:$X11,$X12)&gt;0,"",COUNT($Y$4:$Y11)+1))</f>
        <v/>
      </c>
      <c r="Z12" s="26" t="n">
        <f aca="false">IF($Q12=0,0,IF(OR($L12=R_LOT,$N12=R_LOT),1,0))</f>
        <v>0</v>
      </c>
      <c r="AA12" s="26" t="str">
        <f aca="false">IF($Z12=0,"",COUNTIF($Z$5:$Z12,1))</f>
        <v/>
      </c>
    </row>
    <row r="13" customFormat="false" ht="15" hidden="false" customHeight="false" outlineLevel="0" collapsed="false">
      <c r="A13" s="26" t="str">
        <f aca="false">IF($B13="","","RES-"&amp;TEXT(ROW()-4,"000"))</f>
        <v/>
      </c>
      <c r="B13" s="24"/>
      <c r="C13" s="25"/>
      <c r="D13" s="24"/>
      <c r="E13" s="24"/>
      <c r="F13" s="29"/>
      <c r="G13" s="24"/>
      <c r="H13" s="24"/>
      <c r="I13" s="24"/>
      <c r="J13" s="24"/>
      <c r="K13" s="24"/>
      <c r="L13" s="26" t="str">
        <f aca="false">IF($B13="","",IFERROR(INDEX(ST_LOT,MATCH($B13,ST_ID,0)),""))</f>
        <v/>
      </c>
      <c r="M13" s="26" t="str">
        <f aca="false">IF($B13="","",IFERROR(INDEX(ST_STRAIT,MATCH($B13,ST_ID,0)),""))</f>
        <v/>
      </c>
      <c r="N13" s="26" t="str">
        <f aca="false">IF($B13="","",IF($E13="",$L13,$E13))</f>
        <v/>
      </c>
      <c r="O13" s="26" t="str">
        <f aca="false">IF($N13="","",IFERROR(INDEX(LOT_EXTE,MATCH($N13,LOT_KEY,0)),""))</f>
        <v/>
      </c>
      <c r="P13" s="26" t="str">
        <f aca="false">IF($J13="","",IFERROR(INDEX(EMPL_CLASSE,MATCH($J13,EMPL_KEY,0)),"?"))</f>
        <v/>
      </c>
      <c r="Q13" s="28" t="n">
        <f aca="false">IF($B13="",0,IF(OR(ISNA(MATCH($B13,ST_ID,0)),NOT(ISNUMBER($F13)),$F13&lt;=0,$J13="",$N13=""),0,1))</f>
        <v>0</v>
      </c>
      <c r="R13" s="27" t="n">
        <f aca="false">IF($Q13=0,0,$F13)</f>
        <v>0</v>
      </c>
      <c r="S13" s="26" t="str">
        <f aca="false">IF($B13="","",IFERROR(INDEX(ST_STATUT,MATCH($B13,ST_ID,0)),""))</f>
        <v/>
      </c>
      <c r="T13" s="26" t="str">
        <f aca="false">IF($B13="","",IF($Q13=0,"DONNEES MANQUANTES",IF(OR($S13="DONNEES MANQUANTES",$S13="STOCK INSUFFISANT",$S13="EMPLACEMENT INCOHERENT",$S13="BLOQUE"),"BLOQUE","OK")))</f>
        <v/>
      </c>
      <c r="U13" s="28" t="n">
        <f aca="false">IF($T13="OK",1,0)</f>
        <v>0</v>
      </c>
      <c r="V13" s="26" t="str">
        <f aca="false">IF($B13="","",IF($Q13=0,"A COMPLETER : "&amp;IF(ISNA(MATCH($B13,ST_ID,0)),"ID ST valide; ","")&amp;IF(OR(NOT(ISNUMBER($F13)),$F13&lt;=0),"QUANTITE &gt; 0; ","")&amp;IF($J13="","EMPL. DESTINATION; ",""),IF($T13="BLOQUE","Envoi parent en anomalie ("&amp;$S13&amp;") : corriger l'onglet SOUS_TRAITANCE.",IF(AND($E13&lt;&gt;"",ISNA(MATCH($E13,LOT_KEY,0))),"Creer la fiche du lot resultat dans l'onglet LOTS.",""))))</f>
        <v/>
      </c>
      <c r="W13" s="31" t="str">
        <f aca="false">IF($B13="","",IF($C13&lt;&gt;"",$C13,IFERROR(INDEX(ST_DATERET,MATCH($B13,ST_ID,0)),"")))</f>
        <v/>
      </c>
      <c r="X13" s="26" t="str">
        <f aca="false">IF($Q13=0,"",IF($L13=R_LOT,IF($N13&lt;&gt;R_LOT,$N13,""),IF($N13=R_LOT,$L13,"")))</f>
        <v/>
      </c>
      <c r="Y13" s="26" t="str">
        <f aca="false">IF($X13="","",IF(COUNTIF($X$4:$X12,$X13)&gt;0,"",COUNT($Y$4:$Y12)+1))</f>
        <v/>
      </c>
      <c r="Z13" s="26" t="n">
        <f aca="false">IF($Q13=0,0,IF(OR($L13=R_LOT,$N13=R_LOT),1,0))</f>
        <v>0</v>
      </c>
      <c r="AA13" s="26" t="str">
        <f aca="false">IF($Z13=0,"",COUNTIF($Z$5:$Z13,1))</f>
        <v/>
      </c>
    </row>
    <row r="14" customFormat="false" ht="15" hidden="false" customHeight="false" outlineLevel="0" collapsed="false">
      <c r="A14" s="26" t="str">
        <f aca="false">IF($B14="","","RES-"&amp;TEXT(ROW()-4,"000"))</f>
        <v/>
      </c>
      <c r="B14" s="24"/>
      <c r="C14" s="25"/>
      <c r="D14" s="24"/>
      <c r="E14" s="24"/>
      <c r="F14" s="29"/>
      <c r="G14" s="24"/>
      <c r="H14" s="24"/>
      <c r="I14" s="24"/>
      <c r="J14" s="24"/>
      <c r="K14" s="24"/>
      <c r="L14" s="26" t="str">
        <f aca="false">IF($B14="","",IFERROR(INDEX(ST_LOT,MATCH($B14,ST_ID,0)),""))</f>
        <v/>
      </c>
      <c r="M14" s="26" t="str">
        <f aca="false">IF($B14="","",IFERROR(INDEX(ST_STRAIT,MATCH($B14,ST_ID,0)),""))</f>
        <v/>
      </c>
      <c r="N14" s="26" t="str">
        <f aca="false">IF($B14="","",IF($E14="",$L14,$E14))</f>
        <v/>
      </c>
      <c r="O14" s="26" t="str">
        <f aca="false">IF($N14="","",IFERROR(INDEX(LOT_EXTE,MATCH($N14,LOT_KEY,0)),""))</f>
        <v/>
      </c>
      <c r="P14" s="26" t="str">
        <f aca="false">IF($J14="","",IFERROR(INDEX(EMPL_CLASSE,MATCH($J14,EMPL_KEY,0)),"?"))</f>
        <v/>
      </c>
      <c r="Q14" s="28" t="n">
        <f aca="false">IF($B14="",0,IF(OR(ISNA(MATCH($B14,ST_ID,0)),NOT(ISNUMBER($F14)),$F14&lt;=0,$J14="",$N14=""),0,1))</f>
        <v>0</v>
      </c>
      <c r="R14" s="27" t="n">
        <f aca="false">IF($Q14=0,0,$F14)</f>
        <v>0</v>
      </c>
      <c r="S14" s="26" t="str">
        <f aca="false">IF($B14="","",IFERROR(INDEX(ST_STATUT,MATCH($B14,ST_ID,0)),""))</f>
        <v/>
      </c>
      <c r="T14" s="26" t="str">
        <f aca="false">IF($B14="","",IF($Q14=0,"DONNEES MANQUANTES",IF(OR($S14="DONNEES MANQUANTES",$S14="STOCK INSUFFISANT",$S14="EMPLACEMENT INCOHERENT",$S14="BLOQUE"),"BLOQUE","OK")))</f>
        <v/>
      </c>
      <c r="U14" s="28" t="n">
        <f aca="false">IF($T14="OK",1,0)</f>
        <v>0</v>
      </c>
      <c r="V14" s="26" t="str">
        <f aca="false">IF($B14="","",IF($Q14=0,"A COMPLETER : "&amp;IF(ISNA(MATCH($B14,ST_ID,0)),"ID ST valide; ","")&amp;IF(OR(NOT(ISNUMBER($F14)),$F14&lt;=0),"QUANTITE &gt; 0; ","")&amp;IF($J14="","EMPL. DESTINATION; ",""),IF($T14="BLOQUE","Envoi parent en anomalie ("&amp;$S14&amp;") : corriger l'onglet SOUS_TRAITANCE.",IF(AND($E14&lt;&gt;"",ISNA(MATCH($E14,LOT_KEY,0))),"Creer la fiche du lot resultat dans l'onglet LOTS.",""))))</f>
        <v/>
      </c>
      <c r="W14" s="31" t="str">
        <f aca="false">IF($B14="","",IF($C14&lt;&gt;"",$C14,IFERROR(INDEX(ST_DATERET,MATCH($B14,ST_ID,0)),"")))</f>
        <v/>
      </c>
      <c r="X14" s="26" t="str">
        <f aca="false">IF($Q14=0,"",IF($L14=R_LOT,IF($N14&lt;&gt;R_LOT,$N14,""),IF($N14=R_LOT,$L14,"")))</f>
        <v/>
      </c>
      <c r="Y14" s="26" t="str">
        <f aca="false">IF($X14="","",IF(COUNTIF($X$4:$X13,$X14)&gt;0,"",COUNT($Y$4:$Y13)+1))</f>
        <v/>
      </c>
      <c r="Z14" s="26" t="n">
        <f aca="false">IF($Q14=0,0,IF(OR($L14=R_LOT,$N14=R_LOT),1,0))</f>
        <v>0</v>
      </c>
      <c r="AA14" s="26" t="str">
        <f aca="false">IF($Z14=0,"",COUNTIF($Z$5:$Z14,1))</f>
        <v/>
      </c>
    </row>
    <row r="15" customFormat="false" ht="15" hidden="false" customHeight="false" outlineLevel="0" collapsed="false">
      <c r="A15" s="26" t="str">
        <f aca="false">IF($B15="","","RES-"&amp;TEXT(ROW()-4,"000"))</f>
        <v/>
      </c>
      <c r="B15" s="24"/>
      <c r="C15" s="25"/>
      <c r="D15" s="24"/>
      <c r="E15" s="24"/>
      <c r="F15" s="29"/>
      <c r="G15" s="24"/>
      <c r="H15" s="24"/>
      <c r="I15" s="24"/>
      <c r="J15" s="24"/>
      <c r="K15" s="24"/>
      <c r="L15" s="26" t="str">
        <f aca="false">IF($B15="","",IFERROR(INDEX(ST_LOT,MATCH($B15,ST_ID,0)),""))</f>
        <v/>
      </c>
      <c r="M15" s="26" t="str">
        <f aca="false">IF($B15="","",IFERROR(INDEX(ST_STRAIT,MATCH($B15,ST_ID,0)),""))</f>
        <v/>
      </c>
      <c r="N15" s="26" t="str">
        <f aca="false">IF($B15="","",IF($E15="",$L15,$E15))</f>
        <v/>
      </c>
      <c r="O15" s="26" t="str">
        <f aca="false">IF($N15="","",IFERROR(INDEX(LOT_EXTE,MATCH($N15,LOT_KEY,0)),""))</f>
        <v/>
      </c>
      <c r="P15" s="26" t="str">
        <f aca="false">IF($J15="","",IFERROR(INDEX(EMPL_CLASSE,MATCH($J15,EMPL_KEY,0)),"?"))</f>
        <v/>
      </c>
      <c r="Q15" s="28" t="n">
        <f aca="false">IF($B15="",0,IF(OR(ISNA(MATCH($B15,ST_ID,0)),NOT(ISNUMBER($F15)),$F15&lt;=0,$J15="",$N15=""),0,1))</f>
        <v>0</v>
      </c>
      <c r="R15" s="27" t="n">
        <f aca="false">IF($Q15=0,0,$F15)</f>
        <v>0</v>
      </c>
      <c r="S15" s="26" t="str">
        <f aca="false">IF($B15="","",IFERROR(INDEX(ST_STATUT,MATCH($B15,ST_ID,0)),""))</f>
        <v/>
      </c>
      <c r="T15" s="26" t="str">
        <f aca="false">IF($B15="","",IF($Q15=0,"DONNEES MANQUANTES",IF(OR($S15="DONNEES MANQUANTES",$S15="STOCK INSUFFISANT",$S15="EMPLACEMENT INCOHERENT",$S15="BLOQUE"),"BLOQUE","OK")))</f>
        <v/>
      </c>
      <c r="U15" s="28" t="n">
        <f aca="false">IF($T15="OK",1,0)</f>
        <v>0</v>
      </c>
      <c r="V15" s="26" t="str">
        <f aca="false">IF($B15="","",IF($Q15=0,"A COMPLETER : "&amp;IF(ISNA(MATCH($B15,ST_ID,0)),"ID ST valide; ","")&amp;IF(OR(NOT(ISNUMBER($F15)),$F15&lt;=0),"QUANTITE &gt; 0; ","")&amp;IF($J15="","EMPL. DESTINATION; ",""),IF($T15="BLOQUE","Envoi parent en anomalie ("&amp;$S15&amp;") : corriger l'onglet SOUS_TRAITANCE.",IF(AND($E15&lt;&gt;"",ISNA(MATCH($E15,LOT_KEY,0))),"Creer la fiche du lot resultat dans l'onglet LOTS.",""))))</f>
        <v/>
      </c>
      <c r="W15" s="31" t="str">
        <f aca="false">IF($B15="","",IF($C15&lt;&gt;"",$C15,IFERROR(INDEX(ST_DATERET,MATCH($B15,ST_ID,0)),"")))</f>
        <v/>
      </c>
      <c r="X15" s="26" t="str">
        <f aca="false">IF($Q15=0,"",IF($L15=R_LOT,IF($N15&lt;&gt;R_LOT,$N15,""),IF($N15=R_LOT,$L15,"")))</f>
        <v/>
      </c>
      <c r="Y15" s="26" t="str">
        <f aca="false">IF($X15="","",IF(COUNTIF($X$4:$X14,$X15)&gt;0,"",COUNT($Y$4:$Y14)+1))</f>
        <v/>
      </c>
      <c r="Z15" s="26" t="n">
        <f aca="false">IF($Q15=0,0,IF(OR($L15=R_LOT,$N15=R_LOT),1,0))</f>
        <v>0</v>
      </c>
      <c r="AA15" s="26" t="str">
        <f aca="false">IF($Z15=0,"",COUNTIF($Z$5:$Z15,1))</f>
        <v/>
      </c>
    </row>
    <row r="16" customFormat="false" ht="15" hidden="false" customHeight="false" outlineLevel="0" collapsed="false">
      <c r="A16" s="26" t="str">
        <f aca="false">IF($B16="","","RES-"&amp;TEXT(ROW()-4,"000"))</f>
        <v/>
      </c>
      <c r="B16" s="24"/>
      <c r="C16" s="25"/>
      <c r="D16" s="24"/>
      <c r="E16" s="24"/>
      <c r="F16" s="29"/>
      <c r="G16" s="24"/>
      <c r="H16" s="24"/>
      <c r="I16" s="24"/>
      <c r="J16" s="24"/>
      <c r="K16" s="24"/>
      <c r="L16" s="26" t="str">
        <f aca="false">IF($B16="","",IFERROR(INDEX(ST_LOT,MATCH($B16,ST_ID,0)),""))</f>
        <v/>
      </c>
      <c r="M16" s="26" t="str">
        <f aca="false">IF($B16="","",IFERROR(INDEX(ST_STRAIT,MATCH($B16,ST_ID,0)),""))</f>
        <v/>
      </c>
      <c r="N16" s="26" t="str">
        <f aca="false">IF($B16="","",IF($E16="",$L16,$E16))</f>
        <v/>
      </c>
      <c r="O16" s="26" t="str">
        <f aca="false">IF($N16="","",IFERROR(INDEX(LOT_EXTE,MATCH($N16,LOT_KEY,0)),""))</f>
        <v/>
      </c>
      <c r="P16" s="26" t="str">
        <f aca="false">IF($J16="","",IFERROR(INDEX(EMPL_CLASSE,MATCH($J16,EMPL_KEY,0)),"?"))</f>
        <v/>
      </c>
      <c r="Q16" s="28" t="n">
        <f aca="false">IF($B16="",0,IF(OR(ISNA(MATCH($B16,ST_ID,0)),NOT(ISNUMBER($F16)),$F16&lt;=0,$J16="",$N16=""),0,1))</f>
        <v>0</v>
      </c>
      <c r="R16" s="27" t="n">
        <f aca="false">IF($Q16=0,0,$F16)</f>
        <v>0</v>
      </c>
      <c r="S16" s="26" t="str">
        <f aca="false">IF($B16="","",IFERROR(INDEX(ST_STATUT,MATCH($B16,ST_ID,0)),""))</f>
        <v/>
      </c>
      <c r="T16" s="26" t="str">
        <f aca="false">IF($B16="","",IF($Q16=0,"DONNEES MANQUANTES",IF(OR($S16="DONNEES MANQUANTES",$S16="STOCK INSUFFISANT",$S16="EMPLACEMENT INCOHERENT",$S16="BLOQUE"),"BLOQUE","OK")))</f>
        <v/>
      </c>
      <c r="U16" s="28" t="n">
        <f aca="false">IF($T16="OK",1,0)</f>
        <v>0</v>
      </c>
      <c r="V16" s="26" t="str">
        <f aca="false">IF($B16="","",IF($Q16=0,"A COMPLETER : "&amp;IF(ISNA(MATCH($B16,ST_ID,0)),"ID ST valide; ","")&amp;IF(OR(NOT(ISNUMBER($F16)),$F16&lt;=0),"QUANTITE &gt; 0; ","")&amp;IF($J16="","EMPL. DESTINATION; ",""),IF($T16="BLOQUE","Envoi parent en anomalie ("&amp;$S16&amp;") : corriger l'onglet SOUS_TRAITANCE.",IF(AND($E16&lt;&gt;"",ISNA(MATCH($E16,LOT_KEY,0))),"Creer la fiche du lot resultat dans l'onglet LOTS.",""))))</f>
        <v/>
      </c>
      <c r="W16" s="31" t="str">
        <f aca="false">IF($B16="","",IF($C16&lt;&gt;"",$C16,IFERROR(INDEX(ST_DATERET,MATCH($B16,ST_ID,0)),"")))</f>
        <v/>
      </c>
      <c r="X16" s="26" t="str">
        <f aca="false">IF($Q16=0,"",IF($L16=R_LOT,IF($N16&lt;&gt;R_LOT,$N16,""),IF($N16=R_LOT,$L16,"")))</f>
        <v/>
      </c>
      <c r="Y16" s="26" t="str">
        <f aca="false">IF($X16="","",IF(COUNTIF($X$4:$X15,$X16)&gt;0,"",COUNT($Y$4:$Y15)+1))</f>
        <v/>
      </c>
      <c r="Z16" s="26" t="n">
        <f aca="false">IF($Q16=0,0,IF(OR($L16=R_LOT,$N16=R_LOT),1,0))</f>
        <v>0</v>
      </c>
      <c r="AA16" s="26" t="str">
        <f aca="false">IF($Z16=0,"",COUNTIF($Z$5:$Z16,1))</f>
        <v/>
      </c>
    </row>
    <row r="17" customFormat="false" ht="15" hidden="false" customHeight="false" outlineLevel="0" collapsed="false">
      <c r="A17" s="26" t="str">
        <f aca="false">IF($B17="","","RES-"&amp;TEXT(ROW()-4,"000"))</f>
        <v/>
      </c>
      <c r="B17" s="24"/>
      <c r="C17" s="25"/>
      <c r="D17" s="24"/>
      <c r="E17" s="24"/>
      <c r="F17" s="29"/>
      <c r="G17" s="24"/>
      <c r="H17" s="24"/>
      <c r="I17" s="24"/>
      <c r="J17" s="24"/>
      <c r="K17" s="24"/>
      <c r="L17" s="26" t="str">
        <f aca="false">IF($B17="","",IFERROR(INDEX(ST_LOT,MATCH($B17,ST_ID,0)),""))</f>
        <v/>
      </c>
      <c r="M17" s="26" t="str">
        <f aca="false">IF($B17="","",IFERROR(INDEX(ST_STRAIT,MATCH($B17,ST_ID,0)),""))</f>
        <v/>
      </c>
      <c r="N17" s="26" t="str">
        <f aca="false">IF($B17="","",IF($E17="",$L17,$E17))</f>
        <v/>
      </c>
      <c r="O17" s="26" t="str">
        <f aca="false">IF($N17="","",IFERROR(INDEX(LOT_EXTE,MATCH($N17,LOT_KEY,0)),""))</f>
        <v/>
      </c>
      <c r="P17" s="26" t="str">
        <f aca="false">IF($J17="","",IFERROR(INDEX(EMPL_CLASSE,MATCH($J17,EMPL_KEY,0)),"?"))</f>
        <v/>
      </c>
      <c r="Q17" s="28" t="n">
        <f aca="false">IF($B17="",0,IF(OR(ISNA(MATCH($B17,ST_ID,0)),NOT(ISNUMBER($F17)),$F17&lt;=0,$J17="",$N17=""),0,1))</f>
        <v>0</v>
      </c>
      <c r="R17" s="27" t="n">
        <f aca="false">IF($Q17=0,0,$F17)</f>
        <v>0</v>
      </c>
      <c r="S17" s="26" t="str">
        <f aca="false">IF($B17="","",IFERROR(INDEX(ST_STATUT,MATCH($B17,ST_ID,0)),""))</f>
        <v/>
      </c>
      <c r="T17" s="26" t="str">
        <f aca="false">IF($B17="","",IF($Q17=0,"DONNEES MANQUANTES",IF(OR($S17="DONNEES MANQUANTES",$S17="STOCK INSUFFISANT",$S17="EMPLACEMENT INCOHERENT",$S17="BLOQUE"),"BLOQUE","OK")))</f>
        <v/>
      </c>
      <c r="U17" s="28" t="n">
        <f aca="false">IF($T17="OK",1,0)</f>
        <v>0</v>
      </c>
      <c r="V17" s="26" t="str">
        <f aca="false">IF($B17="","",IF($Q17=0,"A COMPLETER : "&amp;IF(ISNA(MATCH($B17,ST_ID,0)),"ID ST valide; ","")&amp;IF(OR(NOT(ISNUMBER($F17)),$F17&lt;=0),"QUANTITE &gt; 0; ","")&amp;IF($J17="","EMPL. DESTINATION; ",""),IF($T17="BLOQUE","Envoi parent en anomalie ("&amp;$S17&amp;") : corriger l'onglet SOUS_TRAITANCE.",IF(AND($E17&lt;&gt;"",ISNA(MATCH($E17,LOT_KEY,0))),"Creer la fiche du lot resultat dans l'onglet LOTS.",""))))</f>
        <v/>
      </c>
      <c r="W17" s="31" t="str">
        <f aca="false">IF($B17="","",IF($C17&lt;&gt;"",$C17,IFERROR(INDEX(ST_DATERET,MATCH($B17,ST_ID,0)),"")))</f>
        <v/>
      </c>
      <c r="X17" s="26" t="str">
        <f aca="false">IF($Q17=0,"",IF($L17=R_LOT,IF($N17&lt;&gt;R_LOT,$N17,""),IF($N17=R_LOT,$L17,"")))</f>
        <v/>
      </c>
      <c r="Y17" s="26" t="str">
        <f aca="false">IF($X17="","",IF(COUNTIF($X$4:$X16,$X17)&gt;0,"",COUNT($Y$4:$Y16)+1))</f>
        <v/>
      </c>
      <c r="Z17" s="26" t="n">
        <f aca="false">IF($Q17=0,0,IF(OR($L17=R_LOT,$N17=R_LOT),1,0))</f>
        <v>0</v>
      </c>
      <c r="AA17" s="26" t="str">
        <f aca="false">IF($Z17=0,"",COUNTIF($Z$5:$Z17,1))</f>
        <v/>
      </c>
    </row>
    <row r="18" customFormat="false" ht="15" hidden="false" customHeight="false" outlineLevel="0" collapsed="false">
      <c r="A18" s="26" t="str">
        <f aca="false">IF($B18="","","RES-"&amp;TEXT(ROW()-4,"000"))</f>
        <v/>
      </c>
      <c r="B18" s="24"/>
      <c r="C18" s="25"/>
      <c r="D18" s="24"/>
      <c r="E18" s="24"/>
      <c r="F18" s="29"/>
      <c r="G18" s="24"/>
      <c r="H18" s="24"/>
      <c r="I18" s="24"/>
      <c r="J18" s="24"/>
      <c r="K18" s="24"/>
      <c r="L18" s="26" t="str">
        <f aca="false">IF($B18="","",IFERROR(INDEX(ST_LOT,MATCH($B18,ST_ID,0)),""))</f>
        <v/>
      </c>
      <c r="M18" s="26" t="str">
        <f aca="false">IF($B18="","",IFERROR(INDEX(ST_STRAIT,MATCH($B18,ST_ID,0)),""))</f>
        <v/>
      </c>
      <c r="N18" s="26" t="str">
        <f aca="false">IF($B18="","",IF($E18="",$L18,$E18))</f>
        <v/>
      </c>
      <c r="O18" s="26" t="str">
        <f aca="false">IF($N18="","",IFERROR(INDEX(LOT_EXTE,MATCH($N18,LOT_KEY,0)),""))</f>
        <v/>
      </c>
      <c r="P18" s="26" t="str">
        <f aca="false">IF($J18="","",IFERROR(INDEX(EMPL_CLASSE,MATCH($J18,EMPL_KEY,0)),"?"))</f>
        <v/>
      </c>
      <c r="Q18" s="28" t="n">
        <f aca="false">IF($B18="",0,IF(OR(ISNA(MATCH($B18,ST_ID,0)),NOT(ISNUMBER($F18)),$F18&lt;=0,$J18="",$N18=""),0,1))</f>
        <v>0</v>
      </c>
      <c r="R18" s="27" t="n">
        <f aca="false">IF($Q18=0,0,$F18)</f>
        <v>0</v>
      </c>
      <c r="S18" s="26" t="str">
        <f aca="false">IF($B18="","",IFERROR(INDEX(ST_STATUT,MATCH($B18,ST_ID,0)),""))</f>
        <v/>
      </c>
      <c r="T18" s="26" t="str">
        <f aca="false">IF($B18="","",IF($Q18=0,"DONNEES MANQUANTES",IF(OR($S18="DONNEES MANQUANTES",$S18="STOCK INSUFFISANT",$S18="EMPLACEMENT INCOHERENT",$S18="BLOQUE"),"BLOQUE","OK")))</f>
        <v/>
      </c>
      <c r="U18" s="28" t="n">
        <f aca="false">IF($T18="OK",1,0)</f>
        <v>0</v>
      </c>
      <c r="V18" s="26" t="str">
        <f aca="false">IF($B18="","",IF($Q18=0,"A COMPLETER : "&amp;IF(ISNA(MATCH($B18,ST_ID,0)),"ID ST valide; ","")&amp;IF(OR(NOT(ISNUMBER($F18)),$F18&lt;=0),"QUANTITE &gt; 0; ","")&amp;IF($J18="","EMPL. DESTINATION; ",""),IF($T18="BLOQUE","Envoi parent en anomalie ("&amp;$S18&amp;") : corriger l'onglet SOUS_TRAITANCE.",IF(AND($E18&lt;&gt;"",ISNA(MATCH($E18,LOT_KEY,0))),"Creer la fiche du lot resultat dans l'onglet LOTS.",""))))</f>
        <v/>
      </c>
      <c r="W18" s="31" t="str">
        <f aca="false">IF($B18="","",IF($C18&lt;&gt;"",$C18,IFERROR(INDEX(ST_DATERET,MATCH($B18,ST_ID,0)),"")))</f>
        <v/>
      </c>
      <c r="X18" s="26" t="str">
        <f aca="false">IF($Q18=0,"",IF($L18=R_LOT,IF($N18&lt;&gt;R_LOT,$N18,""),IF($N18=R_LOT,$L18,"")))</f>
        <v/>
      </c>
      <c r="Y18" s="26" t="str">
        <f aca="false">IF($X18="","",IF(COUNTIF($X$4:$X17,$X18)&gt;0,"",COUNT($Y$4:$Y17)+1))</f>
        <v/>
      </c>
      <c r="Z18" s="26" t="n">
        <f aca="false">IF($Q18=0,0,IF(OR($L18=R_LOT,$N18=R_LOT),1,0))</f>
        <v>0</v>
      </c>
      <c r="AA18" s="26" t="str">
        <f aca="false">IF($Z18=0,"",COUNTIF($Z$5:$Z18,1))</f>
        <v/>
      </c>
    </row>
    <row r="19" customFormat="false" ht="15" hidden="false" customHeight="false" outlineLevel="0" collapsed="false">
      <c r="A19" s="26" t="str">
        <f aca="false">IF($B19="","","RES-"&amp;TEXT(ROW()-4,"000"))</f>
        <v/>
      </c>
      <c r="B19" s="24"/>
      <c r="C19" s="25"/>
      <c r="D19" s="24"/>
      <c r="E19" s="24"/>
      <c r="F19" s="29"/>
      <c r="G19" s="24"/>
      <c r="H19" s="24"/>
      <c r="I19" s="24"/>
      <c r="J19" s="24"/>
      <c r="K19" s="24"/>
      <c r="L19" s="26" t="str">
        <f aca="false">IF($B19="","",IFERROR(INDEX(ST_LOT,MATCH($B19,ST_ID,0)),""))</f>
        <v/>
      </c>
      <c r="M19" s="26" t="str">
        <f aca="false">IF($B19="","",IFERROR(INDEX(ST_STRAIT,MATCH($B19,ST_ID,0)),""))</f>
        <v/>
      </c>
      <c r="N19" s="26" t="str">
        <f aca="false">IF($B19="","",IF($E19="",$L19,$E19))</f>
        <v/>
      </c>
      <c r="O19" s="26" t="str">
        <f aca="false">IF($N19="","",IFERROR(INDEX(LOT_EXTE,MATCH($N19,LOT_KEY,0)),""))</f>
        <v/>
      </c>
      <c r="P19" s="26" t="str">
        <f aca="false">IF($J19="","",IFERROR(INDEX(EMPL_CLASSE,MATCH($J19,EMPL_KEY,0)),"?"))</f>
        <v/>
      </c>
      <c r="Q19" s="28" t="n">
        <f aca="false">IF($B19="",0,IF(OR(ISNA(MATCH($B19,ST_ID,0)),NOT(ISNUMBER($F19)),$F19&lt;=0,$J19="",$N19=""),0,1))</f>
        <v>0</v>
      </c>
      <c r="R19" s="27" t="n">
        <f aca="false">IF($Q19=0,0,$F19)</f>
        <v>0</v>
      </c>
      <c r="S19" s="26" t="str">
        <f aca="false">IF($B19="","",IFERROR(INDEX(ST_STATUT,MATCH($B19,ST_ID,0)),""))</f>
        <v/>
      </c>
      <c r="T19" s="26" t="str">
        <f aca="false">IF($B19="","",IF($Q19=0,"DONNEES MANQUANTES",IF(OR($S19="DONNEES MANQUANTES",$S19="STOCK INSUFFISANT",$S19="EMPLACEMENT INCOHERENT",$S19="BLOQUE"),"BLOQUE","OK")))</f>
        <v/>
      </c>
      <c r="U19" s="28" t="n">
        <f aca="false">IF($T19="OK",1,0)</f>
        <v>0</v>
      </c>
      <c r="V19" s="26" t="str">
        <f aca="false">IF($B19="","",IF($Q19=0,"A COMPLETER : "&amp;IF(ISNA(MATCH($B19,ST_ID,0)),"ID ST valide; ","")&amp;IF(OR(NOT(ISNUMBER($F19)),$F19&lt;=0),"QUANTITE &gt; 0; ","")&amp;IF($J19="","EMPL. DESTINATION; ",""),IF($T19="BLOQUE","Envoi parent en anomalie ("&amp;$S19&amp;") : corriger l'onglet SOUS_TRAITANCE.",IF(AND($E19&lt;&gt;"",ISNA(MATCH($E19,LOT_KEY,0))),"Creer la fiche du lot resultat dans l'onglet LOTS.",""))))</f>
        <v/>
      </c>
      <c r="W19" s="31" t="str">
        <f aca="false">IF($B19="","",IF($C19&lt;&gt;"",$C19,IFERROR(INDEX(ST_DATERET,MATCH($B19,ST_ID,0)),"")))</f>
        <v/>
      </c>
      <c r="X19" s="26" t="str">
        <f aca="false">IF($Q19=0,"",IF($L19=R_LOT,IF($N19&lt;&gt;R_LOT,$N19,""),IF($N19=R_LOT,$L19,"")))</f>
        <v/>
      </c>
      <c r="Y19" s="26" t="str">
        <f aca="false">IF($X19="","",IF(COUNTIF($X$4:$X18,$X19)&gt;0,"",COUNT($Y$4:$Y18)+1))</f>
        <v/>
      </c>
      <c r="Z19" s="26" t="n">
        <f aca="false">IF($Q19=0,0,IF(OR($L19=R_LOT,$N19=R_LOT),1,0))</f>
        <v>0</v>
      </c>
      <c r="AA19" s="26" t="str">
        <f aca="false">IF($Z19=0,"",COUNTIF($Z$5:$Z19,1))</f>
        <v/>
      </c>
    </row>
    <row r="20" customFormat="false" ht="15" hidden="false" customHeight="false" outlineLevel="0" collapsed="false">
      <c r="A20" s="26" t="str">
        <f aca="false">IF($B20="","","RES-"&amp;TEXT(ROW()-4,"000"))</f>
        <v/>
      </c>
      <c r="B20" s="24"/>
      <c r="C20" s="25"/>
      <c r="D20" s="24"/>
      <c r="E20" s="24"/>
      <c r="F20" s="29"/>
      <c r="G20" s="24"/>
      <c r="H20" s="24"/>
      <c r="I20" s="24"/>
      <c r="J20" s="24"/>
      <c r="K20" s="24"/>
      <c r="L20" s="26" t="str">
        <f aca="false">IF($B20="","",IFERROR(INDEX(ST_LOT,MATCH($B20,ST_ID,0)),""))</f>
        <v/>
      </c>
      <c r="M20" s="26" t="str">
        <f aca="false">IF($B20="","",IFERROR(INDEX(ST_STRAIT,MATCH($B20,ST_ID,0)),""))</f>
        <v/>
      </c>
      <c r="N20" s="26" t="str">
        <f aca="false">IF($B20="","",IF($E20="",$L20,$E20))</f>
        <v/>
      </c>
      <c r="O20" s="26" t="str">
        <f aca="false">IF($N20="","",IFERROR(INDEX(LOT_EXTE,MATCH($N20,LOT_KEY,0)),""))</f>
        <v/>
      </c>
      <c r="P20" s="26" t="str">
        <f aca="false">IF($J20="","",IFERROR(INDEX(EMPL_CLASSE,MATCH($J20,EMPL_KEY,0)),"?"))</f>
        <v/>
      </c>
      <c r="Q20" s="28" t="n">
        <f aca="false">IF($B20="",0,IF(OR(ISNA(MATCH($B20,ST_ID,0)),NOT(ISNUMBER($F20)),$F20&lt;=0,$J20="",$N20=""),0,1))</f>
        <v>0</v>
      </c>
      <c r="R20" s="27" t="n">
        <f aca="false">IF($Q20=0,0,$F20)</f>
        <v>0</v>
      </c>
      <c r="S20" s="26" t="str">
        <f aca="false">IF($B20="","",IFERROR(INDEX(ST_STATUT,MATCH($B20,ST_ID,0)),""))</f>
        <v/>
      </c>
      <c r="T20" s="26" t="str">
        <f aca="false">IF($B20="","",IF($Q20=0,"DONNEES MANQUANTES",IF(OR($S20="DONNEES MANQUANTES",$S20="STOCK INSUFFISANT",$S20="EMPLACEMENT INCOHERENT",$S20="BLOQUE"),"BLOQUE","OK")))</f>
        <v/>
      </c>
      <c r="U20" s="28" t="n">
        <f aca="false">IF($T20="OK",1,0)</f>
        <v>0</v>
      </c>
      <c r="V20" s="26" t="str">
        <f aca="false">IF($B20="","",IF($Q20=0,"A COMPLETER : "&amp;IF(ISNA(MATCH($B20,ST_ID,0)),"ID ST valide; ","")&amp;IF(OR(NOT(ISNUMBER($F20)),$F20&lt;=0),"QUANTITE &gt; 0; ","")&amp;IF($J20="","EMPL. DESTINATION; ",""),IF($T20="BLOQUE","Envoi parent en anomalie ("&amp;$S20&amp;") : corriger l'onglet SOUS_TRAITANCE.",IF(AND($E20&lt;&gt;"",ISNA(MATCH($E20,LOT_KEY,0))),"Creer la fiche du lot resultat dans l'onglet LOTS.",""))))</f>
        <v/>
      </c>
      <c r="W20" s="31" t="str">
        <f aca="false">IF($B20="","",IF($C20&lt;&gt;"",$C20,IFERROR(INDEX(ST_DATERET,MATCH($B20,ST_ID,0)),"")))</f>
        <v/>
      </c>
      <c r="X20" s="26" t="str">
        <f aca="false">IF($Q20=0,"",IF($L20=R_LOT,IF($N20&lt;&gt;R_LOT,$N20,""),IF($N20=R_LOT,$L20,"")))</f>
        <v/>
      </c>
      <c r="Y20" s="26" t="str">
        <f aca="false">IF($X20="","",IF(COUNTIF($X$4:$X19,$X20)&gt;0,"",COUNT($Y$4:$Y19)+1))</f>
        <v/>
      </c>
      <c r="Z20" s="26" t="n">
        <f aca="false">IF($Q20=0,0,IF(OR($L20=R_LOT,$N20=R_LOT),1,0))</f>
        <v>0</v>
      </c>
      <c r="AA20" s="26" t="str">
        <f aca="false">IF($Z20=0,"",COUNTIF($Z$5:$Z20,1))</f>
        <v/>
      </c>
    </row>
    <row r="21" customFormat="false" ht="15" hidden="false" customHeight="false" outlineLevel="0" collapsed="false">
      <c r="A21" s="26" t="str">
        <f aca="false">IF($B21="","","RES-"&amp;TEXT(ROW()-4,"000"))</f>
        <v/>
      </c>
      <c r="B21" s="24"/>
      <c r="C21" s="25"/>
      <c r="D21" s="24"/>
      <c r="E21" s="24"/>
      <c r="F21" s="29"/>
      <c r="G21" s="24"/>
      <c r="H21" s="24"/>
      <c r="I21" s="24"/>
      <c r="J21" s="24"/>
      <c r="K21" s="24"/>
      <c r="L21" s="26" t="str">
        <f aca="false">IF($B21="","",IFERROR(INDEX(ST_LOT,MATCH($B21,ST_ID,0)),""))</f>
        <v/>
      </c>
      <c r="M21" s="26" t="str">
        <f aca="false">IF($B21="","",IFERROR(INDEX(ST_STRAIT,MATCH($B21,ST_ID,0)),""))</f>
        <v/>
      </c>
      <c r="N21" s="26" t="str">
        <f aca="false">IF($B21="","",IF($E21="",$L21,$E21))</f>
        <v/>
      </c>
      <c r="O21" s="26" t="str">
        <f aca="false">IF($N21="","",IFERROR(INDEX(LOT_EXTE,MATCH($N21,LOT_KEY,0)),""))</f>
        <v/>
      </c>
      <c r="P21" s="26" t="str">
        <f aca="false">IF($J21="","",IFERROR(INDEX(EMPL_CLASSE,MATCH($J21,EMPL_KEY,0)),"?"))</f>
        <v/>
      </c>
      <c r="Q21" s="28" t="n">
        <f aca="false">IF($B21="",0,IF(OR(ISNA(MATCH($B21,ST_ID,0)),NOT(ISNUMBER($F21)),$F21&lt;=0,$J21="",$N21=""),0,1))</f>
        <v>0</v>
      </c>
      <c r="R21" s="27" t="n">
        <f aca="false">IF($Q21=0,0,$F21)</f>
        <v>0</v>
      </c>
      <c r="S21" s="26" t="str">
        <f aca="false">IF($B21="","",IFERROR(INDEX(ST_STATUT,MATCH($B21,ST_ID,0)),""))</f>
        <v/>
      </c>
      <c r="T21" s="26" t="str">
        <f aca="false">IF($B21="","",IF($Q21=0,"DONNEES MANQUANTES",IF(OR($S21="DONNEES MANQUANTES",$S21="STOCK INSUFFISANT",$S21="EMPLACEMENT INCOHERENT",$S21="BLOQUE"),"BLOQUE","OK")))</f>
        <v/>
      </c>
      <c r="U21" s="28" t="n">
        <f aca="false">IF($T21="OK",1,0)</f>
        <v>0</v>
      </c>
      <c r="V21" s="26" t="str">
        <f aca="false">IF($B21="","",IF($Q21=0,"A COMPLETER : "&amp;IF(ISNA(MATCH($B21,ST_ID,0)),"ID ST valide; ","")&amp;IF(OR(NOT(ISNUMBER($F21)),$F21&lt;=0),"QUANTITE &gt; 0; ","")&amp;IF($J21="","EMPL. DESTINATION; ",""),IF($T21="BLOQUE","Envoi parent en anomalie ("&amp;$S21&amp;") : corriger l'onglet SOUS_TRAITANCE.",IF(AND($E21&lt;&gt;"",ISNA(MATCH($E21,LOT_KEY,0))),"Creer la fiche du lot resultat dans l'onglet LOTS.",""))))</f>
        <v/>
      </c>
      <c r="W21" s="31" t="str">
        <f aca="false">IF($B21="","",IF($C21&lt;&gt;"",$C21,IFERROR(INDEX(ST_DATERET,MATCH($B21,ST_ID,0)),"")))</f>
        <v/>
      </c>
      <c r="X21" s="26" t="str">
        <f aca="false">IF($Q21=0,"",IF($L21=R_LOT,IF($N21&lt;&gt;R_LOT,$N21,""),IF($N21=R_LOT,$L21,"")))</f>
        <v/>
      </c>
      <c r="Y21" s="26" t="str">
        <f aca="false">IF($X21="","",IF(COUNTIF($X$4:$X20,$X21)&gt;0,"",COUNT($Y$4:$Y20)+1))</f>
        <v/>
      </c>
      <c r="Z21" s="26" t="n">
        <f aca="false">IF($Q21=0,0,IF(OR($L21=R_LOT,$N21=R_LOT),1,0))</f>
        <v>0</v>
      </c>
      <c r="AA21" s="26" t="str">
        <f aca="false">IF($Z21=0,"",COUNTIF($Z$5:$Z21,1))</f>
        <v/>
      </c>
    </row>
    <row r="22" customFormat="false" ht="15" hidden="false" customHeight="false" outlineLevel="0" collapsed="false">
      <c r="A22" s="26" t="str">
        <f aca="false">IF($B22="","","RES-"&amp;TEXT(ROW()-4,"000"))</f>
        <v/>
      </c>
      <c r="B22" s="24"/>
      <c r="C22" s="25"/>
      <c r="D22" s="24"/>
      <c r="E22" s="24"/>
      <c r="F22" s="29"/>
      <c r="G22" s="24"/>
      <c r="H22" s="24"/>
      <c r="I22" s="24"/>
      <c r="J22" s="24"/>
      <c r="K22" s="24"/>
      <c r="L22" s="26" t="str">
        <f aca="false">IF($B22="","",IFERROR(INDEX(ST_LOT,MATCH($B22,ST_ID,0)),""))</f>
        <v/>
      </c>
      <c r="M22" s="26" t="str">
        <f aca="false">IF($B22="","",IFERROR(INDEX(ST_STRAIT,MATCH($B22,ST_ID,0)),""))</f>
        <v/>
      </c>
      <c r="N22" s="26" t="str">
        <f aca="false">IF($B22="","",IF($E22="",$L22,$E22))</f>
        <v/>
      </c>
      <c r="O22" s="26" t="str">
        <f aca="false">IF($N22="","",IFERROR(INDEX(LOT_EXTE,MATCH($N22,LOT_KEY,0)),""))</f>
        <v/>
      </c>
      <c r="P22" s="26" t="str">
        <f aca="false">IF($J22="","",IFERROR(INDEX(EMPL_CLASSE,MATCH($J22,EMPL_KEY,0)),"?"))</f>
        <v/>
      </c>
      <c r="Q22" s="28" t="n">
        <f aca="false">IF($B22="",0,IF(OR(ISNA(MATCH($B22,ST_ID,0)),NOT(ISNUMBER($F22)),$F22&lt;=0,$J22="",$N22=""),0,1))</f>
        <v>0</v>
      </c>
      <c r="R22" s="27" t="n">
        <f aca="false">IF($Q22=0,0,$F22)</f>
        <v>0</v>
      </c>
      <c r="S22" s="26" t="str">
        <f aca="false">IF($B22="","",IFERROR(INDEX(ST_STATUT,MATCH($B22,ST_ID,0)),""))</f>
        <v/>
      </c>
      <c r="T22" s="26" t="str">
        <f aca="false">IF($B22="","",IF($Q22=0,"DONNEES MANQUANTES",IF(OR($S22="DONNEES MANQUANTES",$S22="STOCK INSUFFISANT",$S22="EMPLACEMENT INCOHERENT",$S22="BLOQUE"),"BLOQUE","OK")))</f>
        <v/>
      </c>
      <c r="U22" s="28" t="n">
        <f aca="false">IF($T22="OK",1,0)</f>
        <v>0</v>
      </c>
      <c r="V22" s="26" t="str">
        <f aca="false">IF($B22="","",IF($Q22=0,"A COMPLETER : "&amp;IF(ISNA(MATCH($B22,ST_ID,0)),"ID ST valide; ","")&amp;IF(OR(NOT(ISNUMBER($F22)),$F22&lt;=0),"QUANTITE &gt; 0; ","")&amp;IF($J22="","EMPL. DESTINATION; ",""),IF($T22="BLOQUE","Envoi parent en anomalie ("&amp;$S22&amp;") : corriger l'onglet SOUS_TRAITANCE.",IF(AND($E22&lt;&gt;"",ISNA(MATCH($E22,LOT_KEY,0))),"Creer la fiche du lot resultat dans l'onglet LOTS.",""))))</f>
        <v/>
      </c>
      <c r="W22" s="31" t="str">
        <f aca="false">IF($B22="","",IF($C22&lt;&gt;"",$C22,IFERROR(INDEX(ST_DATERET,MATCH($B22,ST_ID,0)),"")))</f>
        <v/>
      </c>
      <c r="X22" s="26" t="str">
        <f aca="false">IF($Q22=0,"",IF($L22=R_LOT,IF($N22&lt;&gt;R_LOT,$N22,""),IF($N22=R_LOT,$L22,"")))</f>
        <v/>
      </c>
      <c r="Y22" s="26" t="str">
        <f aca="false">IF($X22="","",IF(COUNTIF($X$4:$X21,$X22)&gt;0,"",COUNT($Y$4:$Y21)+1))</f>
        <v/>
      </c>
      <c r="Z22" s="26" t="n">
        <f aca="false">IF($Q22=0,0,IF(OR($L22=R_LOT,$N22=R_LOT),1,0))</f>
        <v>0</v>
      </c>
      <c r="AA22" s="26" t="str">
        <f aca="false">IF($Z22=0,"",COUNTIF($Z$5:$Z22,1))</f>
        <v/>
      </c>
    </row>
    <row r="23" customFormat="false" ht="15" hidden="false" customHeight="false" outlineLevel="0" collapsed="false">
      <c r="A23" s="26" t="str">
        <f aca="false">IF($B23="","","RES-"&amp;TEXT(ROW()-4,"000"))</f>
        <v/>
      </c>
      <c r="B23" s="24"/>
      <c r="C23" s="25"/>
      <c r="D23" s="24"/>
      <c r="E23" s="24"/>
      <c r="F23" s="29"/>
      <c r="G23" s="24"/>
      <c r="H23" s="24"/>
      <c r="I23" s="24"/>
      <c r="J23" s="24"/>
      <c r="K23" s="24"/>
      <c r="L23" s="26" t="str">
        <f aca="false">IF($B23="","",IFERROR(INDEX(ST_LOT,MATCH($B23,ST_ID,0)),""))</f>
        <v/>
      </c>
      <c r="M23" s="26" t="str">
        <f aca="false">IF($B23="","",IFERROR(INDEX(ST_STRAIT,MATCH($B23,ST_ID,0)),""))</f>
        <v/>
      </c>
      <c r="N23" s="26" t="str">
        <f aca="false">IF($B23="","",IF($E23="",$L23,$E23))</f>
        <v/>
      </c>
      <c r="O23" s="26" t="str">
        <f aca="false">IF($N23="","",IFERROR(INDEX(LOT_EXTE,MATCH($N23,LOT_KEY,0)),""))</f>
        <v/>
      </c>
      <c r="P23" s="26" t="str">
        <f aca="false">IF($J23="","",IFERROR(INDEX(EMPL_CLASSE,MATCH($J23,EMPL_KEY,0)),"?"))</f>
        <v/>
      </c>
      <c r="Q23" s="28" t="n">
        <f aca="false">IF($B23="",0,IF(OR(ISNA(MATCH($B23,ST_ID,0)),NOT(ISNUMBER($F23)),$F23&lt;=0,$J23="",$N23=""),0,1))</f>
        <v>0</v>
      </c>
      <c r="R23" s="27" t="n">
        <f aca="false">IF($Q23=0,0,$F23)</f>
        <v>0</v>
      </c>
      <c r="S23" s="26" t="str">
        <f aca="false">IF($B23="","",IFERROR(INDEX(ST_STATUT,MATCH($B23,ST_ID,0)),""))</f>
        <v/>
      </c>
      <c r="T23" s="26" t="str">
        <f aca="false">IF($B23="","",IF($Q23=0,"DONNEES MANQUANTES",IF(OR($S23="DONNEES MANQUANTES",$S23="STOCK INSUFFISANT",$S23="EMPLACEMENT INCOHERENT",$S23="BLOQUE"),"BLOQUE","OK")))</f>
        <v/>
      </c>
      <c r="U23" s="28" t="n">
        <f aca="false">IF($T23="OK",1,0)</f>
        <v>0</v>
      </c>
      <c r="V23" s="26" t="str">
        <f aca="false">IF($B23="","",IF($Q23=0,"A COMPLETER : "&amp;IF(ISNA(MATCH($B23,ST_ID,0)),"ID ST valide; ","")&amp;IF(OR(NOT(ISNUMBER($F23)),$F23&lt;=0),"QUANTITE &gt; 0; ","")&amp;IF($J23="","EMPL. DESTINATION; ",""),IF($T23="BLOQUE","Envoi parent en anomalie ("&amp;$S23&amp;") : corriger l'onglet SOUS_TRAITANCE.",IF(AND($E23&lt;&gt;"",ISNA(MATCH($E23,LOT_KEY,0))),"Creer la fiche du lot resultat dans l'onglet LOTS.",""))))</f>
        <v/>
      </c>
      <c r="W23" s="31" t="str">
        <f aca="false">IF($B23="","",IF($C23&lt;&gt;"",$C23,IFERROR(INDEX(ST_DATERET,MATCH($B23,ST_ID,0)),"")))</f>
        <v/>
      </c>
      <c r="X23" s="26" t="str">
        <f aca="false">IF($Q23=0,"",IF($L23=R_LOT,IF($N23&lt;&gt;R_LOT,$N23,""),IF($N23=R_LOT,$L23,"")))</f>
        <v/>
      </c>
      <c r="Y23" s="26" t="str">
        <f aca="false">IF($X23="","",IF(COUNTIF($X$4:$X22,$X23)&gt;0,"",COUNT($Y$4:$Y22)+1))</f>
        <v/>
      </c>
      <c r="Z23" s="26" t="n">
        <f aca="false">IF($Q23=0,0,IF(OR($L23=R_LOT,$N23=R_LOT),1,0))</f>
        <v>0</v>
      </c>
      <c r="AA23" s="26" t="str">
        <f aca="false">IF($Z23=0,"",COUNTIF($Z$5:$Z23,1))</f>
        <v/>
      </c>
    </row>
    <row r="24" customFormat="false" ht="15" hidden="false" customHeight="false" outlineLevel="0" collapsed="false">
      <c r="A24" s="26" t="str">
        <f aca="false">IF($B24="","","RES-"&amp;TEXT(ROW()-4,"000"))</f>
        <v/>
      </c>
      <c r="B24" s="24"/>
      <c r="C24" s="25"/>
      <c r="D24" s="24"/>
      <c r="E24" s="24"/>
      <c r="F24" s="29"/>
      <c r="G24" s="24"/>
      <c r="H24" s="24"/>
      <c r="I24" s="24"/>
      <c r="J24" s="24"/>
      <c r="K24" s="24"/>
      <c r="L24" s="26" t="str">
        <f aca="false">IF($B24="","",IFERROR(INDEX(ST_LOT,MATCH($B24,ST_ID,0)),""))</f>
        <v/>
      </c>
      <c r="M24" s="26" t="str">
        <f aca="false">IF($B24="","",IFERROR(INDEX(ST_STRAIT,MATCH($B24,ST_ID,0)),""))</f>
        <v/>
      </c>
      <c r="N24" s="26" t="str">
        <f aca="false">IF($B24="","",IF($E24="",$L24,$E24))</f>
        <v/>
      </c>
      <c r="O24" s="26" t="str">
        <f aca="false">IF($N24="","",IFERROR(INDEX(LOT_EXTE,MATCH($N24,LOT_KEY,0)),""))</f>
        <v/>
      </c>
      <c r="P24" s="26" t="str">
        <f aca="false">IF($J24="","",IFERROR(INDEX(EMPL_CLASSE,MATCH($J24,EMPL_KEY,0)),"?"))</f>
        <v/>
      </c>
      <c r="Q24" s="28" t="n">
        <f aca="false">IF($B24="",0,IF(OR(ISNA(MATCH($B24,ST_ID,0)),NOT(ISNUMBER($F24)),$F24&lt;=0,$J24="",$N24=""),0,1))</f>
        <v>0</v>
      </c>
      <c r="R24" s="27" t="n">
        <f aca="false">IF($Q24=0,0,$F24)</f>
        <v>0</v>
      </c>
      <c r="S24" s="26" t="str">
        <f aca="false">IF($B24="","",IFERROR(INDEX(ST_STATUT,MATCH($B24,ST_ID,0)),""))</f>
        <v/>
      </c>
      <c r="T24" s="26" t="str">
        <f aca="false">IF($B24="","",IF($Q24=0,"DONNEES MANQUANTES",IF(OR($S24="DONNEES MANQUANTES",$S24="STOCK INSUFFISANT",$S24="EMPLACEMENT INCOHERENT",$S24="BLOQUE"),"BLOQUE","OK")))</f>
        <v/>
      </c>
      <c r="U24" s="28" t="n">
        <f aca="false">IF($T24="OK",1,0)</f>
        <v>0</v>
      </c>
      <c r="V24" s="26" t="str">
        <f aca="false">IF($B24="","",IF($Q24=0,"A COMPLETER : "&amp;IF(ISNA(MATCH($B24,ST_ID,0)),"ID ST valide; ","")&amp;IF(OR(NOT(ISNUMBER($F24)),$F24&lt;=0),"QUANTITE &gt; 0; ","")&amp;IF($J24="","EMPL. DESTINATION; ",""),IF($T24="BLOQUE","Envoi parent en anomalie ("&amp;$S24&amp;") : corriger l'onglet SOUS_TRAITANCE.",IF(AND($E24&lt;&gt;"",ISNA(MATCH($E24,LOT_KEY,0))),"Creer la fiche du lot resultat dans l'onglet LOTS.",""))))</f>
        <v/>
      </c>
      <c r="W24" s="31" t="str">
        <f aca="false">IF($B24="","",IF($C24&lt;&gt;"",$C24,IFERROR(INDEX(ST_DATERET,MATCH($B24,ST_ID,0)),"")))</f>
        <v/>
      </c>
      <c r="X24" s="26" t="str">
        <f aca="false">IF($Q24=0,"",IF($L24=R_LOT,IF($N24&lt;&gt;R_LOT,$N24,""),IF($N24=R_LOT,$L24,"")))</f>
        <v/>
      </c>
      <c r="Y24" s="26" t="str">
        <f aca="false">IF($X24="","",IF(COUNTIF($X$4:$X23,$X24)&gt;0,"",COUNT($Y$4:$Y23)+1))</f>
        <v/>
      </c>
      <c r="Z24" s="26" t="n">
        <f aca="false">IF($Q24=0,0,IF(OR($L24=R_LOT,$N24=R_LOT),1,0))</f>
        <v>0</v>
      </c>
      <c r="AA24" s="26" t="str">
        <f aca="false">IF($Z24=0,"",COUNTIF($Z$5:$Z24,1))</f>
        <v/>
      </c>
    </row>
    <row r="25" customFormat="false" ht="15" hidden="false" customHeight="false" outlineLevel="0" collapsed="false">
      <c r="A25" s="26" t="str">
        <f aca="false">IF($B25="","","RES-"&amp;TEXT(ROW()-4,"000"))</f>
        <v/>
      </c>
      <c r="B25" s="24"/>
      <c r="C25" s="25"/>
      <c r="D25" s="24"/>
      <c r="E25" s="24"/>
      <c r="F25" s="29"/>
      <c r="G25" s="24"/>
      <c r="H25" s="24"/>
      <c r="I25" s="24"/>
      <c r="J25" s="24"/>
      <c r="K25" s="24"/>
      <c r="L25" s="26" t="str">
        <f aca="false">IF($B25="","",IFERROR(INDEX(ST_LOT,MATCH($B25,ST_ID,0)),""))</f>
        <v/>
      </c>
      <c r="M25" s="26" t="str">
        <f aca="false">IF($B25="","",IFERROR(INDEX(ST_STRAIT,MATCH($B25,ST_ID,0)),""))</f>
        <v/>
      </c>
      <c r="N25" s="26" t="str">
        <f aca="false">IF($B25="","",IF($E25="",$L25,$E25))</f>
        <v/>
      </c>
      <c r="O25" s="26" t="str">
        <f aca="false">IF($N25="","",IFERROR(INDEX(LOT_EXTE,MATCH($N25,LOT_KEY,0)),""))</f>
        <v/>
      </c>
      <c r="P25" s="26" t="str">
        <f aca="false">IF($J25="","",IFERROR(INDEX(EMPL_CLASSE,MATCH($J25,EMPL_KEY,0)),"?"))</f>
        <v/>
      </c>
      <c r="Q25" s="28" t="n">
        <f aca="false">IF($B25="",0,IF(OR(ISNA(MATCH($B25,ST_ID,0)),NOT(ISNUMBER($F25)),$F25&lt;=0,$J25="",$N25=""),0,1))</f>
        <v>0</v>
      </c>
      <c r="R25" s="27" t="n">
        <f aca="false">IF($Q25=0,0,$F25)</f>
        <v>0</v>
      </c>
      <c r="S25" s="26" t="str">
        <f aca="false">IF($B25="","",IFERROR(INDEX(ST_STATUT,MATCH($B25,ST_ID,0)),""))</f>
        <v/>
      </c>
      <c r="T25" s="26" t="str">
        <f aca="false">IF($B25="","",IF($Q25=0,"DONNEES MANQUANTES",IF(OR($S25="DONNEES MANQUANTES",$S25="STOCK INSUFFISANT",$S25="EMPLACEMENT INCOHERENT",$S25="BLOQUE"),"BLOQUE","OK")))</f>
        <v/>
      </c>
      <c r="U25" s="28" t="n">
        <f aca="false">IF($T25="OK",1,0)</f>
        <v>0</v>
      </c>
      <c r="V25" s="26" t="str">
        <f aca="false">IF($B25="","",IF($Q25=0,"A COMPLETER : "&amp;IF(ISNA(MATCH($B25,ST_ID,0)),"ID ST valide; ","")&amp;IF(OR(NOT(ISNUMBER($F25)),$F25&lt;=0),"QUANTITE &gt; 0; ","")&amp;IF($J25="","EMPL. DESTINATION; ",""),IF($T25="BLOQUE","Envoi parent en anomalie ("&amp;$S25&amp;") : corriger l'onglet SOUS_TRAITANCE.",IF(AND($E25&lt;&gt;"",ISNA(MATCH($E25,LOT_KEY,0))),"Creer la fiche du lot resultat dans l'onglet LOTS.",""))))</f>
        <v/>
      </c>
      <c r="W25" s="31" t="str">
        <f aca="false">IF($B25="","",IF($C25&lt;&gt;"",$C25,IFERROR(INDEX(ST_DATERET,MATCH($B25,ST_ID,0)),"")))</f>
        <v/>
      </c>
      <c r="X25" s="26" t="str">
        <f aca="false">IF($Q25=0,"",IF($L25=R_LOT,IF($N25&lt;&gt;R_LOT,$N25,""),IF($N25=R_LOT,$L25,"")))</f>
        <v/>
      </c>
      <c r="Y25" s="26" t="str">
        <f aca="false">IF($X25="","",IF(COUNTIF($X$4:$X24,$X25)&gt;0,"",COUNT($Y$4:$Y24)+1))</f>
        <v/>
      </c>
      <c r="Z25" s="26" t="n">
        <f aca="false">IF($Q25=0,0,IF(OR($L25=R_LOT,$N25=R_LOT),1,0))</f>
        <v>0</v>
      </c>
      <c r="AA25" s="26" t="str">
        <f aca="false">IF($Z25=0,"",COUNTIF($Z$5:$Z25,1))</f>
        <v/>
      </c>
    </row>
    <row r="26" customFormat="false" ht="15" hidden="false" customHeight="false" outlineLevel="0" collapsed="false">
      <c r="A26" s="26" t="str">
        <f aca="false">IF($B26="","","RES-"&amp;TEXT(ROW()-4,"000"))</f>
        <v/>
      </c>
      <c r="B26" s="24"/>
      <c r="C26" s="25"/>
      <c r="D26" s="24"/>
      <c r="E26" s="24"/>
      <c r="F26" s="29"/>
      <c r="G26" s="24"/>
      <c r="H26" s="24"/>
      <c r="I26" s="24"/>
      <c r="J26" s="24"/>
      <c r="K26" s="24"/>
      <c r="L26" s="26" t="str">
        <f aca="false">IF($B26="","",IFERROR(INDEX(ST_LOT,MATCH($B26,ST_ID,0)),""))</f>
        <v/>
      </c>
      <c r="M26" s="26" t="str">
        <f aca="false">IF($B26="","",IFERROR(INDEX(ST_STRAIT,MATCH($B26,ST_ID,0)),""))</f>
        <v/>
      </c>
      <c r="N26" s="26" t="str">
        <f aca="false">IF($B26="","",IF($E26="",$L26,$E26))</f>
        <v/>
      </c>
      <c r="O26" s="26" t="str">
        <f aca="false">IF($N26="","",IFERROR(INDEX(LOT_EXTE,MATCH($N26,LOT_KEY,0)),""))</f>
        <v/>
      </c>
      <c r="P26" s="26" t="str">
        <f aca="false">IF($J26="","",IFERROR(INDEX(EMPL_CLASSE,MATCH($J26,EMPL_KEY,0)),"?"))</f>
        <v/>
      </c>
      <c r="Q26" s="28" t="n">
        <f aca="false">IF($B26="",0,IF(OR(ISNA(MATCH($B26,ST_ID,0)),NOT(ISNUMBER($F26)),$F26&lt;=0,$J26="",$N26=""),0,1))</f>
        <v>0</v>
      </c>
      <c r="R26" s="27" t="n">
        <f aca="false">IF($Q26=0,0,$F26)</f>
        <v>0</v>
      </c>
      <c r="S26" s="26" t="str">
        <f aca="false">IF($B26="","",IFERROR(INDEX(ST_STATUT,MATCH($B26,ST_ID,0)),""))</f>
        <v/>
      </c>
      <c r="T26" s="26" t="str">
        <f aca="false">IF($B26="","",IF($Q26=0,"DONNEES MANQUANTES",IF(OR($S26="DONNEES MANQUANTES",$S26="STOCK INSUFFISANT",$S26="EMPLACEMENT INCOHERENT",$S26="BLOQUE"),"BLOQUE","OK")))</f>
        <v/>
      </c>
      <c r="U26" s="28" t="n">
        <f aca="false">IF($T26="OK",1,0)</f>
        <v>0</v>
      </c>
      <c r="V26" s="26" t="str">
        <f aca="false">IF($B26="","",IF($Q26=0,"A COMPLETER : "&amp;IF(ISNA(MATCH($B26,ST_ID,0)),"ID ST valide; ","")&amp;IF(OR(NOT(ISNUMBER($F26)),$F26&lt;=0),"QUANTITE &gt; 0; ","")&amp;IF($J26="","EMPL. DESTINATION; ",""),IF($T26="BLOQUE","Envoi parent en anomalie ("&amp;$S26&amp;") : corriger l'onglet SOUS_TRAITANCE.",IF(AND($E26&lt;&gt;"",ISNA(MATCH($E26,LOT_KEY,0))),"Creer la fiche du lot resultat dans l'onglet LOTS.",""))))</f>
        <v/>
      </c>
      <c r="W26" s="31" t="str">
        <f aca="false">IF($B26="","",IF($C26&lt;&gt;"",$C26,IFERROR(INDEX(ST_DATERET,MATCH($B26,ST_ID,0)),"")))</f>
        <v/>
      </c>
      <c r="X26" s="26" t="str">
        <f aca="false">IF($Q26=0,"",IF($L26=R_LOT,IF($N26&lt;&gt;R_LOT,$N26,""),IF($N26=R_LOT,$L26,"")))</f>
        <v/>
      </c>
      <c r="Y26" s="26" t="str">
        <f aca="false">IF($X26="","",IF(COUNTIF($X$4:$X25,$X26)&gt;0,"",COUNT($Y$4:$Y25)+1))</f>
        <v/>
      </c>
      <c r="Z26" s="26" t="n">
        <f aca="false">IF($Q26=0,0,IF(OR($L26=R_LOT,$N26=R_LOT),1,0))</f>
        <v>0</v>
      </c>
      <c r="AA26" s="26" t="str">
        <f aca="false">IF($Z26=0,"",COUNTIF($Z$5:$Z26,1))</f>
        <v/>
      </c>
    </row>
    <row r="27" customFormat="false" ht="15" hidden="false" customHeight="false" outlineLevel="0" collapsed="false">
      <c r="A27" s="26" t="str">
        <f aca="false">IF($B27="","","RES-"&amp;TEXT(ROW()-4,"000"))</f>
        <v/>
      </c>
      <c r="B27" s="24"/>
      <c r="C27" s="25"/>
      <c r="D27" s="24"/>
      <c r="E27" s="24"/>
      <c r="F27" s="29"/>
      <c r="G27" s="24"/>
      <c r="H27" s="24"/>
      <c r="I27" s="24"/>
      <c r="J27" s="24"/>
      <c r="K27" s="24"/>
      <c r="L27" s="26" t="str">
        <f aca="false">IF($B27="","",IFERROR(INDEX(ST_LOT,MATCH($B27,ST_ID,0)),""))</f>
        <v/>
      </c>
      <c r="M27" s="26" t="str">
        <f aca="false">IF($B27="","",IFERROR(INDEX(ST_STRAIT,MATCH($B27,ST_ID,0)),""))</f>
        <v/>
      </c>
      <c r="N27" s="26" t="str">
        <f aca="false">IF($B27="","",IF($E27="",$L27,$E27))</f>
        <v/>
      </c>
      <c r="O27" s="26" t="str">
        <f aca="false">IF($N27="","",IFERROR(INDEX(LOT_EXTE,MATCH($N27,LOT_KEY,0)),""))</f>
        <v/>
      </c>
      <c r="P27" s="26" t="str">
        <f aca="false">IF($J27="","",IFERROR(INDEX(EMPL_CLASSE,MATCH($J27,EMPL_KEY,0)),"?"))</f>
        <v/>
      </c>
      <c r="Q27" s="28" t="n">
        <f aca="false">IF($B27="",0,IF(OR(ISNA(MATCH($B27,ST_ID,0)),NOT(ISNUMBER($F27)),$F27&lt;=0,$J27="",$N27=""),0,1))</f>
        <v>0</v>
      </c>
      <c r="R27" s="27" t="n">
        <f aca="false">IF($Q27=0,0,$F27)</f>
        <v>0</v>
      </c>
      <c r="S27" s="26" t="str">
        <f aca="false">IF($B27="","",IFERROR(INDEX(ST_STATUT,MATCH($B27,ST_ID,0)),""))</f>
        <v/>
      </c>
      <c r="T27" s="26" t="str">
        <f aca="false">IF($B27="","",IF($Q27=0,"DONNEES MANQUANTES",IF(OR($S27="DONNEES MANQUANTES",$S27="STOCK INSUFFISANT",$S27="EMPLACEMENT INCOHERENT",$S27="BLOQUE"),"BLOQUE","OK")))</f>
        <v/>
      </c>
      <c r="U27" s="28" t="n">
        <f aca="false">IF($T27="OK",1,0)</f>
        <v>0</v>
      </c>
      <c r="V27" s="26" t="str">
        <f aca="false">IF($B27="","",IF($Q27=0,"A COMPLETER : "&amp;IF(ISNA(MATCH($B27,ST_ID,0)),"ID ST valide; ","")&amp;IF(OR(NOT(ISNUMBER($F27)),$F27&lt;=0),"QUANTITE &gt; 0; ","")&amp;IF($J27="","EMPL. DESTINATION; ",""),IF($T27="BLOQUE","Envoi parent en anomalie ("&amp;$S27&amp;") : corriger l'onglet SOUS_TRAITANCE.",IF(AND($E27&lt;&gt;"",ISNA(MATCH($E27,LOT_KEY,0))),"Creer la fiche du lot resultat dans l'onglet LOTS.",""))))</f>
        <v/>
      </c>
      <c r="W27" s="31" t="str">
        <f aca="false">IF($B27="","",IF($C27&lt;&gt;"",$C27,IFERROR(INDEX(ST_DATERET,MATCH($B27,ST_ID,0)),"")))</f>
        <v/>
      </c>
      <c r="X27" s="26" t="str">
        <f aca="false">IF($Q27=0,"",IF($L27=R_LOT,IF($N27&lt;&gt;R_LOT,$N27,""),IF($N27=R_LOT,$L27,"")))</f>
        <v/>
      </c>
      <c r="Y27" s="26" t="str">
        <f aca="false">IF($X27="","",IF(COUNTIF($X$4:$X26,$X27)&gt;0,"",COUNT($Y$4:$Y26)+1))</f>
        <v/>
      </c>
      <c r="Z27" s="26" t="n">
        <f aca="false">IF($Q27=0,0,IF(OR($L27=R_LOT,$N27=R_LOT),1,0))</f>
        <v>0</v>
      </c>
      <c r="AA27" s="26" t="str">
        <f aca="false">IF($Z27=0,"",COUNTIF($Z$5:$Z27,1))</f>
        <v/>
      </c>
    </row>
    <row r="28" customFormat="false" ht="15" hidden="false" customHeight="false" outlineLevel="0" collapsed="false">
      <c r="A28" s="26" t="str">
        <f aca="false">IF($B28="","","RES-"&amp;TEXT(ROW()-4,"000"))</f>
        <v/>
      </c>
      <c r="B28" s="24"/>
      <c r="C28" s="25"/>
      <c r="D28" s="24"/>
      <c r="E28" s="24"/>
      <c r="F28" s="29"/>
      <c r="G28" s="24"/>
      <c r="H28" s="24"/>
      <c r="I28" s="24"/>
      <c r="J28" s="24"/>
      <c r="K28" s="24"/>
      <c r="L28" s="26" t="str">
        <f aca="false">IF($B28="","",IFERROR(INDEX(ST_LOT,MATCH($B28,ST_ID,0)),""))</f>
        <v/>
      </c>
      <c r="M28" s="26" t="str">
        <f aca="false">IF($B28="","",IFERROR(INDEX(ST_STRAIT,MATCH($B28,ST_ID,0)),""))</f>
        <v/>
      </c>
      <c r="N28" s="26" t="str">
        <f aca="false">IF($B28="","",IF($E28="",$L28,$E28))</f>
        <v/>
      </c>
      <c r="O28" s="26" t="str">
        <f aca="false">IF($N28="","",IFERROR(INDEX(LOT_EXTE,MATCH($N28,LOT_KEY,0)),""))</f>
        <v/>
      </c>
      <c r="P28" s="26" t="str">
        <f aca="false">IF($J28="","",IFERROR(INDEX(EMPL_CLASSE,MATCH($J28,EMPL_KEY,0)),"?"))</f>
        <v/>
      </c>
      <c r="Q28" s="28" t="n">
        <f aca="false">IF($B28="",0,IF(OR(ISNA(MATCH($B28,ST_ID,0)),NOT(ISNUMBER($F28)),$F28&lt;=0,$J28="",$N28=""),0,1))</f>
        <v>0</v>
      </c>
      <c r="R28" s="27" t="n">
        <f aca="false">IF($Q28=0,0,$F28)</f>
        <v>0</v>
      </c>
      <c r="S28" s="26" t="str">
        <f aca="false">IF($B28="","",IFERROR(INDEX(ST_STATUT,MATCH($B28,ST_ID,0)),""))</f>
        <v/>
      </c>
      <c r="T28" s="26" t="str">
        <f aca="false">IF($B28="","",IF($Q28=0,"DONNEES MANQUANTES",IF(OR($S28="DONNEES MANQUANTES",$S28="STOCK INSUFFISANT",$S28="EMPLACEMENT INCOHERENT",$S28="BLOQUE"),"BLOQUE","OK")))</f>
        <v/>
      </c>
      <c r="U28" s="28" t="n">
        <f aca="false">IF($T28="OK",1,0)</f>
        <v>0</v>
      </c>
      <c r="V28" s="26" t="str">
        <f aca="false">IF($B28="","",IF($Q28=0,"A COMPLETER : "&amp;IF(ISNA(MATCH($B28,ST_ID,0)),"ID ST valide; ","")&amp;IF(OR(NOT(ISNUMBER($F28)),$F28&lt;=0),"QUANTITE &gt; 0; ","")&amp;IF($J28="","EMPL. DESTINATION; ",""),IF($T28="BLOQUE","Envoi parent en anomalie ("&amp;$S28&amp;") : corriger l'onglet SOUS_TRAITANCE.",IF(AND($E28&lt;&gt;"",ISNA(MATCH($E28,LOT_KEY,0))),"Creer la fiche du lot resultat dans l'onglet LOTS.",""))))</f>
        <v/>
      </c>
      <c r="W28" s="31" t="str">
        <f aca="false">IF($B28="","",IF($C28&lt;&gt;"",$C28,IFERROR(INDEX(ST_DATERET,MATCH($B28,ST_ID,0)),"")))</f>
        <v/>
      </c>
      <c r="X28" s="26" t="str">
        <f aca="false">IF($Q28=0,"",IF($L28=R_LOT,IF($N28&lt;&gt;R_LOT,$N28,""),IF($N28=R_LOT,$L28,"")))</f>
        <v/>
      </c>
      <c r="Y28" s="26" t="str">
        <f aca="false">IF($X28="","",IF(COUNTIF($X$4:$X27,$X28)&gt;0,"",COUNT($Y$4:$Y27)+1))</f>
        <v/>
      </c>
      <c r="Z28" s="26" t="n">
        <f aca="false">IF($Q28=0,0,IF(OR($L28=R_LOT,$N28=R_LOT),1,0))</f>
        <v>0</v>
      </c>
      <c r="AA28" s="26" t="str">
        <f aca="false">IF($Z28=0,"",COUNTIF($Z$5:$Z28,1))</f>
        <v/>
      </c>
    </row>
    <row r="29" customFormat="false" ht="15" hidden="false" customHeight="false" outlineLevel="0" collapsed="false">
      <c r="A29" s="26" t="str">
        <f aca="false">IF($B29="","","RES-"&amp;TEXT(ROW()-4,"000"))</f>
        <v/>
      </c>
      <c r="B29" s="24"/>
      <c r="C29" s="25"/>
      <c r="D29" s="24"/>
      <c r="E29" s="24"/>
      <c r="F29" s="29"/>
      <c r="G29" s="24"/>
      <c r="H29" s="24"/>
      <c r="I29" s="24"/>
      <c r="J29" s="24"/>
      <c r="K29" s="24"/>
      <c r="L29" s="26" t="str">
        <f aca="false">IF($B29="","",IFERROR(INDEX(ST_LOT,MATCH($B29,ST_ID,0)),""))</f>
        <v/>
      </c>
      <c r="M29" s="26" t="str">
        <f aca="false">IF($B29="","",IFERROR(INDEX(ST_STRAIT,MATCH($B29,ST_ID,0)),""))</f>
        <v/>
      </c>
      <c r="N29" s="26" t="str">
        <f aca="false">IF($B29="","",IF($E29="",$L29,$E29))</f>
        <v/>
      </c>
      <c r="O29" s="26" t="str">
        <f aca="false">IF($N29="","",IFERROR(INDEX(LOT_EXTE,MATCH($N29,LOT_KEY,0)),""))</f>
        <v/>
      </c>
      <c r="P29" s="26" t="str">
        <f aca="false">IF($J29="","",IFERROR(INDEX(EMPL_CLASSE,MATCH($J29,EMPL_KEY,0)),"?"))</f>
        <v/>
      </c>
      <c r="Q29" s="28" t="n">
        <f aca="false">IF($B29="",0,IF(OR(ISNA(MATCH($B29,ST_ID,0)),NOT(ISNUMBER($F29)),$F29&lt;=0,$J29="",$N29=""),0,1))</f>
        <v>0</v>
      </c>
      <c r="R29" s="27" t="n">
        <f aca="false">IF($Q29=0,0,$F29)</f>
        <v>0</v>
      </c>
      <c r="S29" s="26" t="str">
        <f aca="false">IF($B29="","",IFERROR(INDEX(ST_STATUT,MATCH($B29,ST_ID,0)),""))</f>
        <v/>
      </c>
      <c r="T29" s="26" t="str">
        <f aca="false">IF($B29="","",IF($Q29=0,"DONNEES MANQUANTES",IF(OR($S29="DONNEES MANQUANTES",$S29="STOCK INSUFFISANT",$S29="EMPLACEMENT INCOHERENT",$S29="BLOQUE"),"BLOQUE","OK")))</f>
        <v/>
      </c>
      <c r="U29" s="28" t="n">
        <f aca="false">IF($T29="OK",1,0)</f>
        <v>0</v>
      </c>
      <c r="V29" s="26" t="str">
        <f aca="false">IF($B29="","",IF($Q29=0,"A COMPLETER : "&amp;IF(ISNA(MATCH($B29,ST_ID,0)),"ID ST valide; ","")&amp;IF(OR(NOT(ISNUMBER($F29)),$F29&lt;=0),"QUANTITE &gt; 0; ","")&amp;IF($J29="","EMPL. DESTINATION; ",""),IF($T29="BLOQUE","Envoi parent en anomalie ("&amp;$S29&amp;") : corriger l'onglet SOUS_TRAITANCE.",IF(AND($E29&lt;&gt;"",ISNA(MATCH($E29,LOT_KEY,0))),"Creer la fiche du lot resultat dans l'onglet LOTS.",""))))</f>
        <v/>
      </c>
      <c r="W29" s="31" t="str">
        <f aca="false">IF($B29="","",IF($C29&lt;&gt;"",$C29,IFERROR(INDEX(ST_DATERET,MATCH($B29,ST_ID,0)),"")))</f>
        <v/>
      </c>
      <c r="X29" s="26" t="str">
        <f aca="false">IF($Q29=0,"",IF($L29=R_LOT,IF($N29&lt;&gt;R_LOT,$N29,""),IF($N29=R_LOT,$L29,"")))</f>
        <v/>
      </c>
      <c r="Y29" s="26" t="str">
        <f aca="false">IF($X29="","",IF(COUNTIF($X$4:$X28,$X29)&gt;0,"",COUNT($Y$4:$Y28)+1))</f>
        <v/>
      </c>
      <c r="Z29" s="26" t="n">
        <f aca="false">IF($Q29=0,0,IF(OR($L29=R_LOT,$N29=R_LOT),1,0))</f>
        <v>0</v>
      </c>
      <c r="AA29" s="26" t="str">
        <f aca="false">IF($Z29=0,"",COUNTIF($Z$5:$Z29,1))</f>
        <v/>
      </c>
    </row>
    <row r="30" customFormat="false" ht="15" hidden="false" customHeight="false" outlineLevel="0" collapsed="false">
      <c r="A30" s="26" t="str">
        <f aca="false">IF($B30="","","RES-"&amp;TEXT(ROW()-4,"000"))</f>
        <v/>
      </c>
      <c r="B30" s="24"/>
      <c r="C30" s="25"/>
      <c r="D30" s="24"/>
      <c r="E30" s="24"/>
      <c r="F30" s="29"/>
      <c r="G30" s="24"/>
      <c r="H30" s="24"/>
      <c r="I30" s="24"/>
      <c r="J30" s="24"/>
      <c r="K30" s="24"/>
      <c r="L30" s="26" t="str">
        <f aca="false">IF($B30="","",IFERROR(INDEX(ST_LOT,MATCH($B30,ST_ID,0)),""))</f>
        <v/>
      </c>
      <c r="M30" s="26" t="str">
        <f aca="false">IF($B30="","",IFERROR(INDEX(ST_STRAIT,MATCH($B30,ST_ID,0)),""))</f>
        <v/>
      </c>
      <c r="N30" s="26" t="str">
        <f aca="false">IF($B30="","",IF($E30="",$L30,$E30))</f>
        <v/>
      </c>
      <c r="O30" s="26" t="str">
        <f aca="false">IF($N30="","",IFERROR(INDEX(LOT_EXTE,MATCH($N30,LOT_KEY,0)),""))</f>
        <v/>
      </c>
      <c r="P30" s="26" t="str">
        <f aca="false">IF($J30="","",IFERROR(INDEX(EMPL_CLASSE,MATCH($J30,EMPL_KEY,0)),"?"))</f>
        <v/>
      </c>
      <c r="Q30" s="28" t="n">
        <f aca="false">IF($B30="",0,IF(OR(ISNA(MATCH($B30,ST_ID,0)),NOT(ISNUMBER($F30)),$F30&lt;=0,$J30="",$N30=""),0,1))</f>
        <v>0</v>
      </c>
      <c r="R30" s="27" t="n">
        <f aca="false">IF($Q30=0,0,$F30)</f>
        <v>0</v>
      </c>
      <c r="S30" s="26" t="str">
        <f aca="false">IF($B30="","",IFERROR(INDEX(ST_STATUT,MATCH($B30,ST_ID,0)),""))</f>
        <v/>
      </c>
      <c r="T30" s="26" t="str">
        <f aca="false">IF($B30="","",IF($Q30=0,"DONNEES MANQUANTES",IF(OR($S30="DONNEES MANQUANTES",$S30="STOCK INSUFFISANT",$S30="EMPLACEMENT INCOHERENT",$S30="BLOQUE"),"BLOQUE","OK")))</f>
        <v/>
      </c>
      <c r="U30" s="28" t="n">
        <f aca="false">IF($T30="OK",1,0)</f>
        <v>0</v>
      </c>
      <c r="V30" s="26" t="str">
        <f aca="false">IF($B30="","",IF($Q30=0,"A COMPLETER : "&amp;IF(ISNA(MATCH($B30,ST_ID,0)),"ID ST valide; ","")&amp;IF(OR(NOT(ISNUMBER($F30)),$F30&lt;=0),"QUANTITE &gt; 0; ","")&amp;IF($J30="","EMPL. DESTINATION; ",""),IF($T30="BLOQUE","Envoi parent en anomalie ("&amp;$S30&amp;") : corriger l'onglet SOUS_TRAITANCE.",IF(AND($E30&lt;&gt;"",ISNA(MATCH($E30,LOT_KEY,0))),"Creer la fiche du lot resultat dans l'onglet LOTS.",""))))</f>
        <v/>
      </c>
      <c r="W30" s="31" t="str">
        <f aca="false">IF($B30="","",IF($C30&lt;&gt;"",$C30,IFERROR(INDEX(ST_DATERET,MATCH($B30,ST_ID,0)),"")))</f>
        <v/>
      </c>
      <c r="X30" s="26" t="str">
        <f aca="false">IF($Q30=0,"",IF($L30=R_LOT,IF($N30&lt;&gt;R_LOT,$N30,""),IF($N30=R_LOT,$L30,"")))</f>
        <v/>
      </c>
      <c r="Y30" s="26" t="str">
        <f aca="false">IF($X30="","",IF(COUNTIF($X$4:$X29,$X30)&gt;0,"",COUNT($Y$4:$Y29)+1))</f>
        <v/>
      </c>
      <c r="Z30" s="26" t="n">
        <f aca="false">IF($Q30=0,0,IF(OR($L30=R_LOT,$N30=R_LOT),1,0))</f>
        <v>0</v>
      </c>
      <c r="AA30" s="26" t="str">
        <f aca="false">IF($Z30=0,"",COUNTIF($Z$5:$Z30,1))</f>
        <v/>
      </c>
    </row>
    <row r="31" customFormat="false" ht="15" hidden="false" customHeight="false" outlineLevel="0" collapsed="false">
      <c r="A31" s="26" t="str">
        <f aca="false">IF($B31="","","RES-"&amp;TEXT(ROW()-4,"000"))</f>
        <v/>
      </c>
      <c r="B31" s="24"/>
      <c r="C31" s="25"/>
      <c r="D31" s="24"/>
      <c r="E31" s="24"/>
      <c r="F31" s="29"/>
      <c r="G31" s="24"/>
      <c r="H31" s="24"/>
      <c r="I31" s="24"/>
      <c r="J31" s="24"/>
      <c r="K31" s="24"/>
      <c r="L31" s="26" t="str">
        <f aca="false">IF($B31="","",IFERROR(INDEX(ST_LOT,MATCH($B31,ST_ID,0)),""))</f>
        <v/>
      </c>
      <c r="M31" s="26" t="str">
        <f aca="false">IF($B31="","",IFERROR(INDEX(ST_STRAIT,MATCH($B31,ST_ID,0)),""))</f>
        <v/>
      </c>
      <c r="N31" s="26" t="str">
        <f aca="false">IF($B31="","",IF($E31="",$L31,$E31))</f>
        <v/>
      </c>
      <c r="O31" s="26" t="str">
        <f aca="false">IF($N31="","",IFERROR(INDEX(LOT_EXTE,MATCH($N31,LOT_KEY,0)),""))</f>
        <v/>
      </c>
      <c r="P31" s="26" t="str">
        <f aca="false">IF($J31="","",IFERROR(INDEX(EMPL_CLASSE,MATCH($J31,EMPL_KEY,0)),"?"))</f>
        <v/>
      </c>
      <c r="Q31" s="28" t="n">
        <f aca="false">IF($B31="",0,IF(OR(ISNA(MATCH($B31,ST_ID,0)),NOT(ISNUMBER($F31)),$F31&lt;=0,$J31="",$N31=""),0,1))</f>
        <v>0</v>
      </c>
      <c r="R31" s="27" t="n">
        <f aca="false">IF($Q31=0,0,$F31)</f>
        <v>0</v>
      </c>
      <c r="S31" s="26" t="str">
        <f aca="false">IF($B31="","",IFERROR(INDEX(ST_STATUT,MATCH($B31,ST_ID,0)),""))</f>
        <v/>
      </c>
      <c r="T31" s="26" t="str">
        <f aca="false">IF($B31="","",IF($Q31=0,"DONNEES MANQUANTES",IF(OR($S31="DONNEES MANQUANTES",$S31="STOCK INSUFFISANT",$S31="EMPLACEMENT INCOHERENT",$S31="BLOQUE"),"BLOQUE","OK")))</f>
        <v/>
      </c>
      <c r="U31" s="28" t="n">
        <f aca="false">IF($T31="OK",1,0)</f>
        <v>0</v>
      </c>
      <c r="V31" s="26" t="str">
        <f aca="false">IF($B31="","",IF($Q31=0,"A COMPLETER : "&amp;IF(ISNA(MATCH($B31,ST_ID,0)),"ID ST valide; ","")&amp;IF(OR(NOT(ISNUMBER($F31)),$F31&lt;=0),"QUANTITE &gt; 0; ","")&amp;IF($J31="","EMPL. DESTINATION; ",""),IF($T31="BLOQUE","Envoi parent en anomalie ("&amp;$S31&amp;") : corriger l'onglet SOUS_TRAITANCE.",IF(AND($E31&lt;&gt;"",ISNA(MATCH($E31,LOT_KEY,0))),"Creer la fiche du lot resultat dans l'onglet LOTS.",""))))</f>
        <v/>
      </c>
      <c r="W31" s="31" t="str">
        <f aca="false">IF($B31="","",IF($C31&lt;&gt;"",$C31,IFERROR(INDEX(ST_DATERET,MATCH($B31,ST_ID,0)),"")))</f>
        <v/>
      </c>
      <c r="X31" s="26" t="str">
        <f aca="false">IF($Q31=0,"",IF($L31=R_LOT,IF($N31&lt;&gt;R_LOT,$N31,""),IF($N31=R_LOT,$L31,"")))</f>
        <v/>
      </c>
      <c r="Y31" s="26" t="str">
        <f aca="false">IF($X31="","",IF(COUNTIF($X$4:$X30,$X31)&gt;0,"",COUNT($Y$4:$Y30)+1))</f>
        <v/>
      </c>
      <c r="Z31" s="26" t="n">
        <f aca="false">IF($Q31=0,0,IF(OR($L31=R_LOT,$N31=R_LOT),1,0))</f>
        <v>0</v>
      </c>
      <c r="AA31" s="26" t="str">
        <f aca="false">IF($Z31=0,"",COUNTIF($Z$5:$Z31,1))</f>
        <v/>
      </c>
    </row>
    <row r="32" customFormat="false" ht="15" hidden="false" customHeight="false" outlineLevel="0" collapsed="false">
      <c r="A32" s="26" t="str">
        <f aca="false">IF($B32="","","RES-"&amp;TEXT(ROW()-4,"000"))</f>
        <v/>
      </c>
      <c r="B32" s="24"/>
      <c r="C32" s="25"/>
      <c r="D32" s="24"/>
      <c r="E32" s="24"/>
      <c r="F32" s="29"/>
      <c r="G32" s="24"/>
      <c r="H32" s="24"/>
      <c r="I32" s="24"/>
      <c r="J32" s="24"/>
      <c r="K32" s="24"/>
      <c r="L32" s="26" t="str">
        <f aca="false">IF($B32="","",IFERROR(INDEX(ST_LOT,MATCH($B32,ST_ID,0)),""))</f>
        <v/>
      </c>
      <c r="M32" s="26" t="str">
        <f aca="false">IF($B32="","",IFERROR(INDEX(ST_STRAIT,MATCH($B32,ST_ID,0)),""))</f>
        <v/>
      </c>
      <c r="N32" s="26" t="str">
        <f aca="false">IF($B32="","",IF($E32="",$L32,$E32))</f>
        <v/>
      </c>
      <c r="O32" s="26" t="str">
        <f aca="false">IF($N32="","",IFERROR(INDEX(LOT_EXTE,MATCH($N32,LOT_KEY,0)),""))</f>
        <v/>
      </c>
      <c r="P32" s="26" t="str">
        <f aca="false">IF($J32="","",IFERROR(INDEX(EMPL_CLASSE,MATCH($J32,EMPL_KEY,0)),"?"))</f>
        <v/>
      </c>
      <c r="Q32" s="28" t="n">
        <f aca="false">IF($B32="",0,IF(OR(ISNA(MATCH($B32,ST_ID,0)),NOT(ISNUMBER($F32)),$F32&lt;=0,$J32="",$N32=""),0,1))</f>
        <v>0</v>
      </c>
      <c r="R32" s="27" t="n">
        <f aca="false">IF($Q32=0,0,$F32)</f>
        <v>0</v>
      </c>
      <c r="S32" s="26" t="str">
        <f aca="false">IF($B32="","",IFERROR(INDEX(ST_STATUT,MATCH($B32,ST_ID,0)),""))</f>
        <v/>
      </c>
      <c r="T32" s="26" t="str">
        <f aca="false">IF($B32="","",IF($Q32=0,"DONNEES MANQUANTES",IF(OR($S32="DONNEES MANQUANTES",$S32="STOCK INSUFFISANT",$S32="EMPLACEMENT INCOHERENT",$S32="BLOQUE"),"BLOQUE","OK")))</f>
        <v/>
      </c>
      <c r="U32" s="28" t="n">
        <f aca="false">IF($T32="OK",1,0)</f>
        <v>0</v>
      </c>
      <c r="V32" s="26" t="str">
        <f aca="false">IF($B32="","",IF($Q32=0,"A COMPLETER : "&amp;IF(ISNA(MATCH($B32,ST_ID,0)),"ID ST valide; ","")&amp;IF(OR(NOT(ISNUMBER($F32)),$F32&lt;=0),"QUANTITE &gt; 0; ","")&amp;IF($J32="","EMPL. DESTINATION; ",""),IF($T32="BLOQUE","Envoi parent en anomalie ("&amp;$S32&amp;") : corriger l'onglet SOUS_TRAITANCE.",IF(AND($E32&lt;&gt;"",ISNA(MATCH($E32,LOT_KEY,0))),"Creer la fiche du lot resultat dans l'onglet LOTS.",""))))</f>
        <v/>
      </c>
      <c r="W32" s="31" t="str">
        <f aca="false">IF($B32="","",IF($C32&lt;&gt;"",$C32,IFERROR(INDEX(ST_DATERET,MATCH($B32,ST_ID,0)),"")))</f>
        <v/>
      </c>
      <c r="X32" s="26" t="str">
        <f aca="false">IF($Q32=0,"",IF($L32=R_LOT,IF($N32&lt;&gt;R_LOT,$N32,""),IF($N32=R_LOT,$L32,"")))</f>
        <v/>
      </c>
      <c r="Y32" s="26" t="str">
        <f aca="false">IF($X32="","",IF(COUNTIF($X$4:$X31,$X32)&gt;0,"",COUNT($Y$4:$Y31)+1))</f>
        <v/>
      </c>
      <c r="Z32" s="26" t="n">
        <f aca="false">IF($Q32=0,0,IF(OR($L32=R_LOT,$N32=R_LOT),1,0))</f>
        <v>0</v>
      </c>
      <c r="AA32" s="26" t="str">
        <f aca="false">IF($Z32=0,"",COUNTIF($Z$5:$Z32,1))</f>
        <v/>
      </c>
    </row>
    <row r="33" customFormat="false" ht="15" hidden="false" customHeight="false" outlineLevel="0" collapsed="false">
      <c r="A33" s="26" t="str">
        <f aca="false">IF($B33="","","RES-"&amp;TEXT(ROW()-4,"000"))</f>
        <v/>
      </c>
      <c r="B33" s="24"/>
      <c r="C33" s="25"/>
      <c r="D33" s="24"/>
      <c r="E33" s="24"/>
      <c r="F33" s="29"/>
      <c r="G33" s="24"/>
      <c r="H33" s="24"/>
      <c r="I33" s="24"/>
      <c r="J33" s="24"/>
      <c r="K33" s="24"/>
      <c r="L33" s="26" t="str">
        <f aca="false">IF($B33="","",IFERROR(INDEX(ST_LOT,MATCH($B33,ST_ID,0)),""))</f>
        <v/>
      </c>
      <c r="M33" s="26" t="str">
        <f aca="false">IF($B33="","",IFERROR(INDEX(ST_STRAIT,MATCH($B33,ST_ID,0)),""))</f>
        <v/>
      </c>
      <c r="N33" s="26" t="str">
        <f aca="false">IF($B33="","",IF($E33="",$L33,$E33))</f>
        <v/>
      </c>
      <c r="O33" s="26" t="str">
        <f aca="false">IF($N33="","",IFERROR(INDEX(LOT_EXTE,MATCH($N33,LOT_KEY,0)),""))</f>
        <v/>
      </c>
      <c r="P33" s="26" t="str">
        <f aca="false">IF($J33="","",IFERROR(INDEX(EMPL_CLASSE,MATCH($J33,EMPL_KEY,0)),"?"))</f>
        <v/>
      </c>
      <c r="Q33" s="28" t="n">
        <f aca="false">IF($B33="",0,IF(OR(ISNA(MATCH($B33,ST_ID,0)),NOT(ISNUMBER($F33)),$F33&lt;=0,$J33="",$N33=""),0,1))</f>
        <v>0</v>
      </c>
      <c r="R33" s="27" t="n">
        <f aca="false">IF($Q33=0,0,$F33)</f>
        <v>0</v>
      </c>
      <c r="S33" s="26" t="str">
        <f aca="false">IF($B33="","",IFERROR(INDEX(ST_STATUT,MATCH($B33,ST_ID,0)),""))</f>
        <v/>
      </c>
      <c r="T33" s="26" t="str">
        <f aca="false">IF($B33="","",IF($Q33=0,"DONNEES MANQUANTES",IF(OR($S33="DONNEES MANQUANTES",$S33="STOCK INSUFFISANT",$S33="EMPLACEMENT INCOHERENT",$S33="BLOQUE"),"BLOQUE","OK")))</f>
        <v/>
      </c>
      <c r="U33" s="28" t="n">
        <f aca="false">IF($T33="OK",1,0)</f>
        <v>0</v>
      </c>
      <c r="V33" s="26" t="str">
        <f aca="false">IF($B33="","",IF($Q33=0,"A COMPLETER : "&amp;IF(ISNA(MATCH($B33,ST_ID,0)),"ID ST valide; ","")&amp;IF(OR(NOT(ISNUMBER($F33)),$F33&lt;=0),"QUANTITE &gt; 0; ","")&amp;IF($J33="","EMPL. DESTINATION; ",""),IF($T33="BLOQUE","Envoi parent en anomalie ("&amp;$S33&amp;") : corriger l'onglet SOUS_TRAITANCE.",IF(AND($E33&lt;&gt;"",ISNA(MATCH($E33,LOT_KEY,0))),"Creer la fiche du lot resultat dans l'onglet LOTS.",""))))</f>
        <v/>
      </c>
      <c r="W33" s="31" t="str">
        <f aca="false">IF($B33="","",IF($C33&lt;&gt;"",$C33,IFERROR(INDEX(ST_DATERET,MATCH($B33,ST_ID,0)),"")))</f>
        <v/>
      </c>
      <c r="X33" s="26" t="str">
        <f aca="false">IF($Q33=0,"",IF($L33=R_LOT,IF($N33&lt;&gt;R_LOT,$N33,""),IF($N33=R_LOT,$L33,"")))</f>
        <v/>
      </c>
      <c r="Y33" s="26" t="str">
        <f aca="false">IF($X33="","",IF(COUNTIF($X$4:$X32,$X33)&gt;0,"",COUNT($Y$4:$Y32)+1))</f>
        <v/>
      </c>
      <c r="Z33" s="26" t="n">
        <f aca="false">IF($Q33=0,0,IF(OR($L33=R_LOT,$N33=R_LOT),1,0))</f>
        <v>0</v>
      </c>
      <c r="AA33" s="26" t="str">
        <f aca="false">IF($Z33=0,"",COUNTIF($Z$5:$Z33,1))</f>
        <v/>
      </c>
    </row>
    <row r="34" customFormat="false" ht="15" hidden="false" customHeight="false" outlineLevel="0" collapsed="false">
      <c r="A34" s="26" t="str">
        <f aca="false">IF($B34="","","RES-"&amp;TEXT(ROW()-4,"000"))</f>
        <v/>
      </c>
      <c r="B34" s="24"/>
      <c r="C34" s="25"/>
      <c r="D34" s="24"/>
      <c r="E34" s="24"/>
      <c r="F34" s="29"/>
      <c r="G34" s="24"/>
      <c r="H34" s="24"/>
      <c r="I34" s="24"/>
      <c r="J34" s="24"/>
      <c r="K34" s="24"/>
      <c r="L34" s="26" t="str">
        <f aca="false">IF($B34="","",IFERROR(INDEX(ST_LOT,MATCH($B34,ST_ID,0)),""))</f>
        <v/>
      </c>
      <c r="M34" s="26" t="str">
        <f aca="false">IF($B34="","",IFERROR(INDEX(ST_STRAIT,MATCH($B34,ST_ID,0)),""))</f>
        <v/>
      </c>
      <c r="N34" s="26" t="str">
        <f aca="false">IF($B34="","",IF($E34="",$L34,$E34))</f>
        <v/>
      </c>
      <c r="O34" s="26" t="str">
        <f aca="false">IF($N34="","",IFERROR(INDEX(LOT_EXTE,MATCH($N34,LOT_KEY,0)),""))</f>
        <v/>
      </c>
      <c r="P34" s="26" t="str">
        <f aca="false">IF($J34="","",IFERROR(INDEX(EMPL_CLASSE,MATCH($J34,EMPL_KEY,0)),"?"))</f>
        <v/>
      </c>
      <c r="Q34" s="28" t="n">
        <f aca="false">IF($B34="",0,IF(OR(ISNA(MATCH($B34,ST_ID,0)),NOT(ISNUMBER($F34)),$F34&lt;=0,$J34="",$N34=""),0,1))</f>
        <v>0</v>
      </c>
      <c r="R34" s="27" t="n">
        <f aca="false">IF($Q34=0,0,$F34)</f>
        <v>0</v>
      </c>
      <c r="S34" s="26" t="str">
        <f aca="false">IF($B34="","",IFERROR(INDEX(ST_STATUT,MATCH($B34,ST_ID,0)),""))</f>
        <v/>
      </c>
      <c r="T34" s="26" t="str">
        <f aca="false">IF($B34="","",IF($Q34=0,"DONNEES MANQUANTES",IF(OR($S34="DONNEES MANQUANTES",$S34="STOCK INSUFFISANT",$S34="EMPLACEMENT INCOHERENT",$S34="BLOQUE"),"BLOQUE","OK")))</f>
        <v/>
      </c>
      <c r="U34" s="28" t="n">
        <f aca="false">IF($T34="OK",1,0)</f>
        <v>0</v>
      </c>
      <c r="V34" s="26" t="str">
        <f aca="false">IF($B34="","",IF($Q34=0,"A COMPLETER : "&amp;IF(ISNA(MATCH($B34,ST_ID,0)),"ID ST valide; ","")&amp;IF(OR(NOT(ISNUMBER($F34)),$F34&lt;=0),"QUANTITE &gt; 0; ","")&amp;IF($J34="","EMPL. DESTINATION; ",""),IF($T34="BLOQUE","Envoi parent en anomalie ("&amp;$S34&amp;") : corriger l'onglet SOUS_TRAITANCE.",IF(AND($E34&lt;&gt;"",ISNA(MATCH($E34,LOT_KEY,0))),"Creer la fiche du lot resultat dans l'onglet LOTS.",""))))</f>
        <v/>
      </c>
      <c r="W34" s="31" t="str">
        <f aca="false">IF($B34="","",IF($C34&lt;&gt;"",$C34,IFERROR(INDEX(ST_DATERET,MATCH($B34,ST_ID,0)),"")))</f>
        <v/>
      </c>
      <c r="X34" s="26" t="str">
        <f aca="false">IF($Q34=0,"",IF($L34=R_LOT,IF($N34&lt;&gt;R_LOT,$N34,""),IF($N34=R_LOT,$L34,"")))</f>
        <v/>
      </c>
      <c r="Y34" s="26" t="str">
        <f aca="false">IF($X34="","",IF(COUNTIF($X$4:$X33,$X34)&gt;0,"",COUNT($Y$4:$Y33)+1))</f>
        <v/>
      </c>
      <c r="Z34" s="26" t="n">
        <f aca="false">IF($Q34=0,0,IF(OR($L34=R_LOT,$N34=R_LOT),1,0))</f>
        <v>0</v>
      </c>
      <c r="AA34" s="26" t="str">
        <f aca="false">IF($Z34=0,"",COUNTIF($Z$5:$Z34,1))</f>
        <v/>
      </c>
    </row>
    <row r="35" customFormat="false" ht="15" hidden="false" customHeight="false" outlineLevel="0" collapsed="false">
      <c r="A35" s="26" t="str">
        <f aca="false">IF($B35="","","RES-"&amp;TEXT(ROW()-4,"000"))</f>
        <v/>
      </c>
      <c r="B35" s="24"/>
      <c r="C35" s="25"/>
      <c r="D35" s="24"/>
      <c r="E35" s="24"/>
      <c r="F35" s="29"/>
      <c r="G35" s="24"/>
      <c r="H35" s="24"/>
      <c r="I35" s="24"/>
      <c r="J35" s="24"/>
      <c r="K35" s="24"/>
      <c r="L35" s="26" t="str">
        <f aca="false">IF($B35="","",IFERROR(INDEX(ST_LOT,MATCH($B35,ST_ID,0)),""))</f>
        <v/>
      </c>
      <c r="M35" s="26" t="str">
        <f aca="false">IF($B35="","",IFERROR(INDEX(ST_STRAIT,MATCH($B35,ST_ID,0)),""))</f>
        <v/>
      </c>
      <c r="N35" s="26" t="str">
        <f aca="false">IF($B35="","",IF($E35="",$L35,$E35))</f>
        <v/>
      </c>
      <c r="O35" s="26" t="str">
        <f aca="false">IF($N35="","",IFERROR(INDEX(LOT_EXTE,MATCH($N35,LOT_KEY,0)),""))</f>
        <v/>
      </c>
      <c r="P35" s="26" t="str">
        <f aca="false">IF($J35="","",IFERROR(INDEX(EMPL_CLASSE,MATCH($J35,EMPL_KEY,0)),"?"))</f>
        <v/>
      </c>
      <c r="Q35" s="28" t="n">
        <f aca="false">IF($B35="",0,IF(OR(ISNA(MATCH($B35,ST_ID,0)),NOT(ISNUMBER($F35)),$F35&lt;=0,$J35="",$N35=""),0,1))</f>
        <v>0</v>
      </c>
      <c r="R35" s="27" t="n">
        <f aca="false">IF($Q35=0,0,$F35)</f>
        <v>0</v>
      </c>
      <c r="S35" s="26" t="str">
        <f aca="false">IF($B35="","",IFERROR(INDEX(ST_STATUT,MATCH($B35,ST_ID,0)),""))</f>
        <v/>
      </c>
      <c r="T35" s="26" t="str">
        <f aca="false">IF($B35="","",IF($Q35=0,"DONNEES MANQUANTES",IF(OR($S35="DONNEES MANQUANTES",$S35="STOCK INSUFFISANT",$S35="EMPLACEMENT INCOHERENT",$S35="BLOQUE"),"BLOQUE","OK")))</f>
        <v/>
      </c>
      <c r="U35" s="28" t="n">
        <f aca="false">IF($T35="OK",1,0)</f>
        <v>0</v>
      </c>
      <c r="V35" s="26" t="str">
        <f aca="false">IF($B35="","",IF($Q35=0,"A COMPLETER : "&amp;IF(ISNA(MATCH($B35,ST_ID,0)),"ID ST valide; ","")&amp;IF(OR(NOT(ISNUMBER($F35)),$F35&lt;=0),"QUANTITE &gt; 0; ","")&amp;IF($J35="","EMPL. DESTINATION; ",""),IF($T35="BLOQUE","Envoi parent en anomalie ("&amp;$S35&amp;") : corriger l'onglet SOUS_TRAITANCE.",IF(AND($E35&lt;&gt;"",ISNA(MATCH($E35,LOT_KEY,0))),"Creer la fiche du lot resultat dans l'onglet LOTS.",""))))</f>
        <v/>
      </c>
      <c r="W35" s="31" t="str">
        <f aca="false">IF($B35="","",IF($C35&lt;&gt;"",$C35,IFERROR(INDEX(ST_DATERET,MATCH($B35,ST_ID,0)),"")))</f>
        <v/>
      </c>
      <c r="X35" s="26" t="str">
        <f aca="false">IF($Q35=0,"",IF($L35=R_LOT,IF($N35&lt;&gt;R_LOT,$N35,""),IF($N35=R_LOT,$L35,"")))</f>
        <v/>
      </c>
      <c r="Y35" s="26" t="str">
        <f aca="false">IF($X35="","",IF(COUNTIF($X$4:$X34,$X35)&gt;0,"",COUNT($Y$4:$Y34)+1))</f>
        <v/>
      </c>
      <c r="Z35" s="26" t="n">
        <f aca="false">IF($Q35=0,0,IF(OR($L35=R_LOT,$N35=R_LOT),1,0))</f>
        <v>0</v>
      </c>
      <c r="AA35" s="26" t="str">
        <f aca="false">IF($Z35=0,"",COUNTIF($Z$5:$Z35,1))</f>
        <v/>
      </c>
    </row>
    <row r="36" customFormat="false" ht="15" hidden="false" customHeight="false" outlineLevel="0" collapsed="false">
      <c r="A36" s="26" t="str">
        <f aca="false">IF($B36="","","RES-"&amp;TEXT(ROW()-4,"000"))</f>
        <v/>
      </c>
      <c r="B36" s="24"/>
      <c r="C36" s="25"/>
      <c r="D36" s="24"/>
      <c r="E36" s="24"/>
      <c r="F36" s="29"/>
      <c r="G36" s="24"/>
      <c r="H36" s="24"/>
      <c r="I36" s="24"/>
      <c r="J36" s="24"/>
      <c r="K36" s="24"/>
      <c r="L36" s="26" t="str">
        <f aca="false">IF($B36="","",IFERROR(INDEX(ST_LOT,MATCH($B36,ST_ID,0)),""))</f>
        <v/>
      </c>
      <c r="M36" s="26" t="str">
        <f aca="false">IF($B36="","",IFERROR(INDEX(ST_STRAIT,MATCH($B36,ST_ID,0)),""))</f>
        <v/>
      </c>
      <c r="N36" s="26" t="str">
        <f aca="false">IF($B36="","",IF($E36="",$L36,$E36))</f>
        <v/>
      </c>
      <c r="O36" s="26" t="str">
        <f aca="false">IF($N36="","",IFERROR(INDEX(LOT_EXTE,MATCH($N36,LOT_KEY,0)),""))</f>
        <v/>
      </c>
      <c r="P36" s="26" t="str">
        <f aca="false">IF($J36="","",IFERROR(INDEX(EMPL_CLASSE,MATCH($J36,EMPL_KEY,0)),"?"))</f>
        <v/>
      </c>
      <c r="Q36" s="28" t="n">
        <f aca="false">IF($B36="",0,IF(OR(ISNA(MATCH($B36,ST_ID,0)),NOT(ISNUMBER($F36)),$F36&lt;=0,$J36="",$N36=""),0,1))</f>
        <v>0</v>
      </c>
      <c r="R36" s="27" t="n">
        <f aca="false">IF($Q36=0,0,$F36)</f>
        <v>0</v>
      </c>
      <c r="S36" s="26" t="str">
        <f aca="false">IF($B36="","",IFERROR(INDEX(ST_STATUT,MATCH($B36,ST_ID,0)),""))</f>
        <v/>
      </c>
      <c r="T36" s="26" t="str">
        <f aca="false">IF($B36="","",IF($Q36=0,"DONNEES MANQUANTES",IF(OR($S36="DONNEES MANQUANTES",$S36="STOCK INSUFFISANT",$S36="EMPLACEMENT INCOHERENT",$S36="BLOQUE"),"BLOQUE","OK")))</f>
        <v/>
      </c>
      <c r="U36" s="28" t="n">
        <f aca="false">IF($T36="OK",1,0)</f>
        <v>0</v>
      </c>
      <c r="V36" s="26" t="str">
        <f aca="false">IF($B36="","",IF($Q36=0,"A COMPLETER : "&amp;IF(ISNA(MATCH($B36,ST_ID,0)),"ID ST valide; ","")&amp;IF(OR(NOT(ISNUMBER($F36)),$F36&lt;=0),"QUANTITE &gt; 0; ","")&amp;IF($J36="","EMPL. DESTINATION; ",""),IF($T36="BLOQUE","Envoi parent en anomalie ("&amp;$S36&amp;") : corriger l'onglet SOUS_TRAITANCE.",IF(AND($E36&lt;&gt;"",ISNA(MATCH($E36,LOT_KEY,0))),"Creer la fiche du lot resultat dans l'onglet LOTS.",""))))</f>
        <v/>
      </c>
      <c r="W36" s="31" t="str">
        <f aca="false">IF($B36="","",IF($C36&lt;&gt;"",$C36,IFERROR(INDEX(ST_DATERET,MATCH($B36,ST_ID,0)),"")))</f>
        <v/>
      </c>
      <c r="X36" s="26" t="str">
        <f aca="false">IF($Q36=0,"",IF($L36=R_LOT,IF($N36&lt;&gt;R_LOT,$N36,""),IF($N36=R_LOT,$L36,"")))</f>
        <v/>
      </c>
      <c r="Y36" s="26" t="str">
        <f aca="false">IF($X36="","",IF(COUNTIF($X$4:$X35,$X36)&gt;0,"",COUNT($Y$4:$Y35)+1))</f>
        <v/>
      </c>
      <c r="Z36" s="26" t="n">
        <f aca="false">IF($Q36=0,0,IF(OR($L36=R_LOT,$N36=R_LOT),1,0))</f>
        <v>0</v>
      </c>
      <c r="AA36" s="26" t="str">
        <f aca="false">IF($Z36=0,"",COUNTIF($Z$5:$Z36,1))</f>
        <v/>
      </c>
    </row>
    <row r="37" customFormat="false" ht="15" hidden="false" customHeight="false" outlineLevel="0" collapsed="false">
      <c r="A37" s="26" t="str">
        <f aca="false">IF($B37="","","RES-"&amp;TEXT(ROW()-4,"000"))</f>
        <v/>
      </c>
      <c r="B37" s="24"/>
      <c r="C37" s="25"/>
      <c r="D37" s="24"/>
      <c r="E37" s="24"/>
      <c r="F37" s="29"/>
      <c r="G37" s="24"/>
      <c r="H37" s="24"/>
      <c r="I37" s="24"/>
      <c r="J37" s="24"/>
      <c r="K37" s="24"/>
      <c r="L37" s="26" t="str">
        <f aca="false">IF($B37="","",IFERROR(INDEX(ST_LOT,MATCH($B37,ST_ID,0)),""))</f>
        <v/>
      </c>
      <c r="M37" s="26" t="str">
        <f aca="false">IF($B37="","",IFERROR(INDEX(ST_STRAIT,MATCH($B37,ST_ID,0)),""))</f>
        <v/>
      </c>
      <c r="N37" s="26" t="str">
        <f aca="false">IF($B37="","",IF($E37="",$L37,$E37))</f>
        <v/>
      </c>
      <c r="O37" s="26" t="str">
        <f aca="false">IF($N37="","",IFERROR(INDEX(LOT_EXTE,MATCH($N37,LOT_KEY,0)),""))</f>
        <v/>
      </c>
      <c r="P37" s="26" t="str">
        <f aca="false">IF($J37="","",IFERROR(INDEX(EMPL_CLASSE,MATCH($J37,EMPL_KEY,0)),"?"))</f>
        <v/>
      </c>
      <c r="Q37" s="28" t="n">
        <f aca="false">IF($B37="",0,IF(OR(ISNA(MATCH($B37,ST_ID,0)),NOT(ISNUMBER($F37)),$F37&lt;=0,$J37="",$N37=""),0,1))</f>
        <v>0</v>
      </c>
      <c r="R37" s="27" t="n">
        <f aca="false">IF($Q37=0,0,$F37)</f>
        <v>0</v>
      </c>
      <c r="S37" s="26" t="str">
        <f aca="false">IF($B37="","",IFERROR(INDEX(ST_STATUT,MATCH($B37,ST_ID,0)),""))</f>
        <v/>
      </c>
      <c r="T37" s="26" t="str">
        <f aca="false">IF($B37="","",IF($Q37=0,"DONNEES MANQUANTES",IF(OR($S37="DONNEES MANQUANTES",$S37="STOCK INSUFFISANT",$S37="EMPLACEMENT INCOHERENT",$S37="BLOQUE"),"BLOQUE","OK")))</f>
        <v/>
      </c>
      <c r="U37" s="28" t="n">
        <f aca="false">IF($T37="OK",1,0)</f>
        <v>0</v>
      </c>
      <c r="V37" s="26" t="str">
        <f aca="false">IF($B37="","",IF($Q37=0,"A COMPLETER : "&amp;IF(ISNA(MATCH($B37,ST_ID,0)),"ID ST valide; ","")&amp;IF(OR(NOT(ISNUMBER($F37)),$F37&lt;=0),"QUANTITE &gt; 0; ","")&amp;IF($J37="","EMPL. DESTINATION; ",""),IF($T37="BLOQUE","Envoi parent en anomalie ("&amp;$S37&amp;") : corriger l'onglet SOUS_TRAITANCE.",IF(AND($E37&lt;&gt;"",ISNA(MATCH($E37,LOT_KEY,0))),"Creer la fiche du lot resultat dans l'onglet LOTS.",""))))</f>
        <v/>
      </c>
      <c r="W37" s="31" t="str">
        <f aca="false">IF($B37="","",IF($C37&lt;&gt;"",$C37,IFERROR(INDEX(ST_DATERET,MATCH($B37,ST_ID,0)),"")))</f>
        <v/>
      </c>
      <c r="X37" s="26" t="str">
        <f aca="false">IF($Q37=0,"",IF($L37=R_LOT,IF($N37&lt;&gt;R_LOT,$N37,""),IF($N37=R_LOT,$L37,"")))</f>
        <v/>
      </c>
      <c r="Y37" s="26" t="str">
        <f aca="false">IF($X37="","",IF(COUNTIF($X$4:$X36,$X37)&gt;0,"",COUNT($Y$4:$Y36)+1))</f>
        <v/>
      </c>
      <c r="Z37" s="26" t="n">
        <f aca="false">IF($Q37=0,0,IF(OR($L37=R_LOT,$N37=R_LOT),1,0))</f>
        <v>0</v>
      </c>
      <c r="AA37" s="26" t="str">
        <f aca="false">IF($Z37=0,"",COUNTIF($Z$5:$Z37,1))</f>
        <v/>
      </c>
    </row>
    <row r="38" customFormat="false" ht="15" hidden="false" customHeight="false" outlineLevel="0" collapsed="false">
      <c r="A38" s="26" t="str">
        <f aca="false">IF($B38="","","RES-"&amp;TEXT(ROW()-4,"000"))</f>
        <v/>
      </c>
      <c r="B38" s="24"/>
      <c r="C38" s="25"/>
      <c r="D38" s="24"/>
      <c r="E38" s="24"/>
      <c r="F38" s="29"/>
      <c r="G38" s="24"/>
      <c r="H38" s="24"/>
      <c r="I38" s="24"/>
      <c r="J38" s="24"/>
      <c r="K38" s="24"/>
      <c r="L38" s="26" t="str">
        <f aca="false">IF($B38="","",IFERROR(INDEX(ST_LOT,MATCH($B38,ST_ID,0)),""))</f>
        <v/>
      </c>
      <c r="M38" s="26" t="str">
        <f aca="false">IF($B38="","",IFERROR(INDEX(ST_STRAIT,MATCH($B38,ST_ID,0)),""))</f>
        <v/>
      </c>
      <c r="N38" s="26" t="str">
        <f aca="false">IF($B38="","",IF($E38="",$L38,$E38))</f>
        <v/>
      </c>
      <c r="O38" s="26" t="str">
        <f aca="false">IF($N38="","",IFERROR(INDEX(LOT_EXTE,MATCH($N38,LOT_KEY,0)),""))</f>
        <v/>
      </c>
      <c r="P38" s="26" t="str">
        <f aca="false">IF($J38="","",IFERROR(INDEX(EMPL_CLASSE,MATCH($J38,EMPL_KEY,0)),"?"))</f>
        <v/>
      </c>
      <c r="Q38" s="28" t="n">
        <f aca="false">IF($B38="",0,IF(OR(ISNA(MATCH($B38,ST_ID,0)),NOT(ISNUMBER($F38)),$F38&lt;=0,$J38="",$N38=""),0,1))</f>
        <v>0</v>
      </c>
      <c r="R38" s="27" t="n">
        <f aca="false">IF($Q38=0,0,$F38)</f>
        <v>0</v>
      </c>
      <c r="S38" s="26" t="str">
        <f aca="false">IF($B38="","",IFERROR(INDEX(ST_STATUT,MATCH($B38,ST_ID,0)),""))</f>
        <v/>
      </c>
      <c r="T38" s="26" t="str">
        <f aca="false">IF($B38="","",IF($Q38=0,"DONNEES MANQUANTES",IF(OR($S38="DONNEES MANQUANTES",$S38="STOCK INSUFFISANT",$S38="EMPLACEMENT INCOHERENT",$S38="BLOQUE"),"BLOQUE","OK")))</f>
        <v/>
      </c>
      <c r="U38" s="28" t="n">
        <f aca="false">IF($T38="OK",1,0)</f>
        <v>0</v>
      </c>
      <c r="V38" s="26" t="str">
        <f aca="false">IF($B38="","",IF($Q38=0,"A COMPLETER : "&amp;IF(ISNA(MATCH($B38,ST_ID,0)),"ID ST valide; ","")&amp;IF(OR(NOT(ISNUMBER($F38)),$F38&lt;=0),"QUANTITE &gt; 0; ","")&amp;IF($J38="","EMPL. DESTINATION; ",""),IF($T38="BLOQUE","Envoi parent en anomalie ("&amp;$S38&amp;") : corriger l'onglet SOUS_TRAITANCE.",IF(AND($E38&lt;&gt;"",ISNA(MATCH($E38,LOT_KEY,0))),"Creer la fiche du lot resultat dans l'onglet LOTS.",""))))</f>
        <v/>
      </c>
      <c r="W38" s="31" t="str">
        <f aca="false">IF($B38="","",IF($C38&lt;&gt;"",$C38,IFERROR(INDEX(ST_DATERET,MATCH($B38,ST_ID,0)),"")))</f>
        <v/>
      </c>
      <c r="X38" s="26" t="str">
        <f aca="false">IF($Q38=0,"",IF($L38=R_LOT,IF($N38&lt;&gt;R_LOT,$N38,""),IF($N38=R_LOT,$L38,"")))</f>
        <v/>
      </c>
      <c r="Y38" s="26" t="str">
        <f aca="false">IF($X38="","",IF(COUNTIF($X$4:$X37,$X38)&gt;0,"",COUNT($Y$4:$Y37)+1))</f>
        <v/>
      </c>
      <c r="Z38" s="26" t="n">
        <f aca="false">IF($Q38=0,0,IF(OR($L38=R_LOT,$N38=R_LOT),1,0))</f>
        <v>0</v>
      </c>
      <c r="AA38" s="26" t="str">
        <f aca="false">IF($Z38=0,"",COUNTIF($Z$5:$Z38,1))</f>
        <v/>
      </c>
    </row>
    <row r="39" customFormat="false" ht="15" hidden="false" customHeight="false" outlineLevel="0" collapsed="false">
      <c r="A39" s="26" t="str">
        <f aca="false">IF($B39="","","RES-"&amp;TEXT(ROW()-4,"000"))</f>
        <v/>
      </c>
      <c r="B39" s="24"/>
      <c r="C39" s="25"/>
      <c r="D39" s="24"/>
      <c r="E39" s="24"/>
      <c r="F39" s="29"/>
      <c r="G39" s="24"/>
      <c r="H39" s="24"/>
      <c r="I39" s="24"/>
      <c r="J39" s="24"/>
      <c r="K39" s="24"/>
      <c r="L39" s="26" t="str">
        <f aca="false">IF($B39="","",IFERROR(INDEX(ST_LOT,MATCH($B39,ST_ID,0)),""))</f>
        <v/>
      </c>
      <c r="M39" s="26" t="str">
        <f aca="false">IF($B39="","",IFERROR(INDEX(ST_STRAIT,MATCH($B39,ST_ID,0)),""))</f>
        <v/>
      </c>
      <c r="N39" s="26" t="str">
        <f aca="false">IF($B39="","",IF($E39="",$L39,$E39))</f>
        <v/>
      </c>
      <c r="O39" s="26" t="str">
        <f aca="false">IF($N39="","",IFERROR(INDEX(LOT_EXTE,MATCH($N39,LOT_KEY,0)),""))</f>
        <v/>
      </c>
      <c r="P39" s="26" t="str">
        <f aca="false">IF($J39="","",IFERROR(INDEX(EMPL_CLASSE,MATCH($J39,EMPL_KEY,0)),"?"))</f>
        <v/>
      </c>
      <c r="Q39" s="28" t="n">
        <f aca="false">IF($B39="",0,IF(OR(ISNA(MATCH($B39,ST_ID,0)),NOT(ISNUMBER($F39)),$F39&lt;=0,$J39="",$N39=""),0,1))</f>
        <v>0</v>
      </c>
      <c r="R39" s="27" t="n">
        <f aca="false">IF($Q39=0,0,$F39)</f>
        <v>0</v>
      </c>
      <c r="S39" s="26" t="str">
        <f aca="false">IF($B39="","",IFERROR(INDEX(ST_STATUT,MATCH($B39,ST_ID,0)),""))</f>
        <v/>
      </c>
      <c r="T39" s="26" t="str">
        <f aca="false">IF($B39="","",IF($Q39=0,"DONNEES MANQUANTES",IF(OR($S39="DONNEES MANQUANTES",$S39="STOCK INSUFFISANT",$S39="EMPLACEMENT INCOHERENT",$S39="BLOQUE"),"BLOQUE","OK")))</f>
        <v/>
      </c>
      <c r="U39" s="28" t="n">
        <f aca="false">IF($T39="OK",1,0)</f>
        <v>0</v>
      </c>
      <c r="V39" s="26" t="str">
        <f aca="false">IF($B39="","",IF($Q39=0,"A COMPLETER : "&amp;IF(ISNA(MATCH($B39,ST_ID,0)),"ID ST valide; ","")&amp;IF(OR(NOT(ISNUMBER($F39)),$F39&lt;=0),"QUANTITE &gt; 0; ","")&amp;IF($J39="","EMPL. DESTINATION; ",""),IF($T39="BLOQUE","Envoi parent en anomalie ("&amp;$S39&amp;") : corriger l'onglet SOUS_TRAITANCE.",IF(AND($E39&lt;&gt;"",ISNA(MATCH($E39,LOT_KEY,0))),"Creer la fiche du lot resultat dans l'onglet LOTS.",""))))</f>
        <v/>
      </c>
      <c r="W39" s="31" t="str">
        <f aca="false">IF($B39="","",IF($C39&lt;&gt;"",$C39,IFERROR(INDEX(ST_DATERET,MATCH($B39,ST_ID,0)),"")))</f>
        <v/>
      </c>
      <c r="X39" s="26" t="str">
        <f aca="false">IF($Q39=0,"",IF($L39=R_LOT,IF($N39&lt;&gt;R_LOT,$N39,""),IF($N39=R_LOT,$L39,"")))</f>
        <v/>
      </c>
      <c r="Y39" s="26" t="str">
        <f aca="false">IF($X39="","",IF(COUNTIF($X$4:$X38,$X39)&gt;0,"",COUNT($Y$4:$Y38)+1))</f>
        <v/>
      </c>
      <c r="Z39" s="26" t="n">
        <f aca="false">IF($Q39=0,0,IF(OR($L39=R_LOT,$N39=R_LOT),1,0))</f>
        <v>0</v>
      </c>
      <c r="AA39" s="26" t="str">
        <f aca="false">IF($Z39=0,"",COUNTIF($Z$5:$Z39,1))</f>
        <v/>
      </c>
    </row>
    <row r="40" customFormat="false" ht="15" hidden="false" customHeight="false" outlineLevel="0" collapsed="false">
      <c r="A40" s="26" t="str">
        <f aca="false">IF($B40="","","RES-"&amp;TEXT(ROW()-4,"000"))</f>
        <v/>
      </c>
      <c r="B40" s="24"/>
      <c r="C40" s="25"/>
      <c r="D40" s="24"/>
      <c r="E40" s="24"/>
      <c r="F40" s="29"/>
      <c r="G40" s="24"/>
      <c r="H40" s="24"/>
      <c r="I40" s="24"/>
      <c r="J40" s="24"/>
      <c r="K40" s="24"/>
      <c r="L40" s="26" t="str">
        <f aca="false">IF($B40="","",IFERROR(INDEX(ST_LOT,MATCH($B40,ST_ID,0)),""))</f>
        <v/>
      </c>
      <c r="M40" s="26" t="str">
        <f aca="false">IF($B40="","",IFERROR(INDEX(ST_STRAIT,MATCH($B40,ST_ID,0)),""))</f>
        <v/>
      </c>
      <c r="N40" s="26" t="str">
        <f aca="false">IF($B40="","",IF($E40="",$L40,$E40))</f>
        <v/>
      </c>
      <c r="O40" s="26" t="str">
        <f aca="false">IF($N40="","",IFERROR(INDEX(LOT_EXTE,MATCH($N40,LOT_KEY,0)),""))</f>
        <v/>
      </c>
      <c r="P40" s="26" t="str">
        <f aca="false">IF($J40="","",IFERROR(INDEX(EMPL_CLASSE,MATCH($J40,EMPL_KEY,0)),"?"))</f>
        <v/>
      </c>
      <c r="Q40" s="28" t="n">
        <f aca="false">IF($B40="",0,IF(OR(ISNA(MATCH($B40,ST_ID,0)),NOT(ISNUMBER($F40)),$F40&lt;=0,$J40="",$N40=""),0,1))</f>
        <v>0</v>
      </c>
      <c r="R40" s="27" t="n">
        <f aca="false">IF($Q40=0,0,$F40)</f>
        <v>0</v>
      </c>
      <c r="S40" s="26" t="str">
        <f aca="false">IF($B40="","",IFERROR(INDEX(ST_STATUT,MATCH($B40,ST_ID,0)),""))</f>
        <v/>
      </c>
      <c r="T40" s="26" t="str">
        <f aca="false">IF($B40="","",IF($Q40=0,"DONNEES MANQUANTES",IF(OR($S40="DONNEES MANQUANTES",$S40="STOCK INSUFFISANT",$S40="EMPLACEMENT INCOHERENT",$S40="BLOQUE"),"BLOQUE","OK")))</f>
        <v/>
      </c>
      <c r="U40" s="28" t="n">
        <f aca="false">IF($T40="OK",1,0)</f>
        <v>0</v>
      </c>
      <c r="V40" s="26" t="str">
        <f aca="false">IF($B40="","",IF($Q40=0,"A COMPLETER : "&amp;IF(ISNA(MATCH($B40,ST_ID,0)),"ID ST valide; ","")&amp;IF(OR(NOT(ISNUMBER($F40)),$F40&lt;=0),"QUANTITE &gt; 0; ","")&amp;IF($J40="","EMPL. DESTINATION; ",""),IF($T40="BLOQUE","Envoi parent en anomalie ("&amp;$S40&amp;") : corriger l'onglet SOUS_TRAITANCE.",IF(AND($E40&lt;&gt;"",ISNA(MATCH($E40,LOT_KEY,0))),"Creer la fiche du lot resultat dans l'onglet LOTS.",""))))</f>
        <v/>
      </c>
      <c r="W40" s="31" t="str">
        <f aca="false">IF($B40="","",IF($C40&lt;&gt;"",$C40,IFERROR(INDEX(ST_DATERET,MATCH($B40,ST_ID,0)),"")))</f>
        <v/>
      </c>
      <c r="X40" s="26" t="str">
        <f aca="false">IF($Q40=0,"",IF($L40=R_LOT,IF($N40&lt;&gt;R_LOT,$N40,""),IF($N40=R_LOT,$L40,"")))</f>
        <v/>
      </c>
      <c r="Y40" s="26" t="str">
        <f aca="false">IF($X40="","",IF(COUNTIF($X$4:$X39,$X40)&gt;0,"",COUNT($Y$4:$Y39)+1))</f>
        <v/>
      </c>
      <c r="Z40" s="26" t="n">
        <f aca="false">IF($Q40=0,0,IF(OR($L40=R_LOT,$N40=R_LOT),1,0))</f>
        <v>0</v>
      </c>
      <c r="AA40" s="26" t="str">
        <f aca="false">IF($Z40=0,"",COUNTIF($Z$5:$Z40,1))</f>
        <v/>
      </c>
    </row>
    <row r="41" customFormat="false" ht="15" hidden="false" customHeight="false" outlineLevel="0" collapsed="false">
      <c r="A41" s="26" t="str">
        <f aca="false">IF($B41="","","RES-"&amp;TEXT(ROW()-4,"000"))</f>
        <v/>
      </c>
      <c r="B41" s="24"/>
      <c r="C41" s="25"/>
      <c r="D41" s="24"/>
      <c r="E41" s="24"/>
      <c r="F41" s="29"/>
      <c r="G41" s="24"/>
      <c r="H41" s="24"/>
      <c r="I41" s="24"/>
      <c r="J41" s="24"/>
      <c r="K41" s="24"/>
      <c r="L41" s="26" t="str">
        <f aca="false">IF($B41="","",IFERROR(INDEX(ST_LOT,MATCH($B41,ST_ID,0)),""))</f>
        <v/>
      </c>
      <c r="M41" s="26" t="str">
        <f aca="false">IF($B41="","",IFERROR(INDEX(ST_STRAIT,MATCH($B41,ST_ID,0)),""))</f>
        <v/>
      </c>
      <c r="N41" s="26" t="str">
        <f aca="false">IF($B41="","",IF($E41="",$L41,$E41))</f>
        <v/>
      </c>
      <c r="O41" s="26" t="str">
        <f aca="false">IF($N41="","",IFERROR(INDEX(LOT_EXTE,MATCH($N41,LOT_KEY,0)),""))</f>
        <v/>
      </c>
      <c r="P41" s="26" t="str">
        <f aca="false">IF($J41="","",IFERROR(INDEX(EMPL_CLASSE,MATCH($J41,EMPL_KEY,0)),"?"))</f>
        <v/>
      </c>
      <c r="Q41" s="28" t="n">
        <f aca="false">IF($B41="",0,IF(OR(ISNA(MATCH($B41,ST_ID,0)),NOT(ISNUMBER($F41)),$F41&lt;=0,$J41="",$N41=""),0,1))</f>
        <v>0</v>
      </c>
      <c r="R41" s="27" t="n">
        <f aca="false">IF($Q41=0,0,$F41)</f>
        <v>0</v>
      </c>
      <c r="S41" s="26" t="str">
        <f aca="false">IF($B41="","",IFERROR(INDEX(ST_STATUT,MATCH($B41,ST_ID,0)),""))</f>
        <v/>
      </c>
      <c r="T41" s="26" t="str">
        <f aca="false">IF($B41="","",IF($Q41=0,"DONNEES MANQUANTES",IF(OR($S41="DONNEES MANQUANTES",$S41="STOCK INSUFFISANT",$S41="EMPLACEMENT INCOHERENT",$S41="BLOQUE"),"BLOQUE","OK")))</f>
        <v/>
      </c>
      <c r="U41" s="28" t="n">
        <f aca="false">IF($T41="OK",1,0)</f>
        <v>0</v>
      </c>
      <c r="V41" s="26" t="str">
        <f aca="false">IF($B41="","",IF($Q41=0,"A COMPLETER : "&amp;IF(ISNA(MATCH($B41,ST_ID,0)),"ID ST valide; ","")&amp;IF(OR(NOT(ISNUMBER($F41)),$F41&lt;=0),"QUANTITE &gt; 0; ","")&amp;IF($J41="","EMPL. DESTINATION; ",""),IF($T41="BLOQUE","Envoi parent en anomalie ("&amp;$S41&amp;") : corriger l'onglet SOUS_TRAITANCE.",IF(AND($E41&lt;&gt;"",ISNA(MATCH($E41,LOT_KEY,0))),"Creer la fiche du lot resultat dans l'onglet LOTS.",""))))</f>
        <v/>
      </c>
      <c r="W41" s="31" t="str">
        <f aca="false">IF($B41="","",IF($C41&lt;&gt;"",$C41,IFERROR(INDEX(ST_DATERET,MATCH($B41,ST_ID,0)),"")))</f>
        <v/>
      </c>
      <c r="X41" s="26" t="str">
        <f aca="false">IF($Q41=0,"",IF($L41=R_LOT,IF($N41&lt;&gt;R_LOT,$N41,""),IF($N41=R_LOT,$L41,"")))</f>
        <v/>
      </c>
      <c r="Y41" s="26" t="str">
        <f aca="false">IF($X41="","",IF(COUNTIF($X$4:$X40,$X41)&gt;0,"",COUNT($Y$4:$Y40)+1))</f>
        <v/>
      </c>
      <c r="Z41" s="26" t="n">
        <f aca="false">IF($Q41=0,0,IF(OR($L41=R_LOT,$N41=R_LOT),1,0))</f>
        <v>0</v>
      </c>
      <c r="AA41" s="26" t="str">
        <f aca="false">IF($Z41=0,"",COUNTIF($Z$5:$Z41,1))</f>
        <v/>
      </c>
    </row>
    <row r="42" customFormat="false" ht="15" hidden="false" customHeight="false" outlineLevel="0" collapsed="false">
      <c r="A42" s="26" t="str">
        <f aca="false">IF($B42="","","RES-"&amp;TEXT(ROW()-4,"000"))</f>
        <v/>
      </c>
      <c r="B42" s="24"/>
      <c r="C42" s="25"/>
      <c r="D42" s="24"/>
      <c r="E42" s="24"/>
      <c r="F42" s="29"/>
      <c r="G42" s="24"/>
      <c r="H42" s="24"/>
      <c r="I42" s="24"/>
      <c r="J42" s="24"/>
      <c r="K42" s="24"/>
      <c r="L42" s="26" t="str">
        <f aca="false">IF($B42="","",IFERROR(INDEX(ST_LOT,MATCH($B42,ST_ID,0)),""))</f>
        <v/>
      </c>
      <c r="M42" s="26" t="str">
        <f aca="false">IF($B42="","",IFERROR(INDEX(ST_STRAIT,MATCH($B42,ST_ID,0)),""))</f>
        <v/>
      </c>
      <c r="N42" s="26" t="str">
        <f aca="false">IF($B42="","",IF($E42="",$L42,$E42))</f>
        <v/>
      </c>
      <c r="O42" s="26" t="str">
        <f aca="false">IF($N42="","",IFERROR(INDEX(LOT_EXTE,MATCH($N42,LOT_KEY,0)),""))</f>
        <v/>
      </c>
      <c r="P42" s="26" t="str">
        <f aca="false">IF($J42="","",IFERROR(INDEX(EMPL_CLASSE,MATCH($J42,EMPL_KEY,0)),"?"))</f>
        <v/>
      </c>
      <c r="Q42" s="28" t="n">
        <f aca="false">IF($B42="",0,IF(OR(ISNA(MATCH($B42,ST_ID,0)),NOT(ISNUMBER($F42)),$F42&lt;=0,$J42="",$N42=""),0,1))</f>
        <v>0</v>
      </c>
      <c r="R42" s="27" t="n">
        <f aca="false">IF($Q42=0,0,$F42)</f>
        <v>0</v>
      </c>
      <c r="S42" s="26" t="str">
        <f aca="false">IF($B42="","",IFERROR(INDEX(ST_STATUT,MATCH($B42,ST_ID,0)),""))</f>
        <v/>
      </c>
      <c r="T42" s="26" t="str">
        <f aca="false">IF($B42="","",IF($Q42=0,"DONNEES MANQUANTES",IF(OR($S42="DONNEES MANQUANTES",$S42="STOCK INSUFFISANT",$S42="EMPLACEMENT INCOHERENT",$S42="BLOQUE"),"BLOQUE","OK")))</f>
        <v/>
      </c>
      <c r="U42" s="28" t="n">
        <f aca="false">IF($T42="OK",1,0)</f>
        <v>0</v>
      </c>
      <c r="V42" s="26" t="str">
        <f aca="false">IF($B42="","",IF($Q42=0,"A COMPLETER : "&amp;IF(ISNA(MATCH($B42,ST_ID,0)),"ID ST valide; ","")&amp;IF(OR(NOT(ISNUMBER($F42)),$F42&lt;=0),"QUANTITE &gt; 0; ","")&amp;IF($J42="","EMPL. DESTINATION; ",""),IF($T42="BLOQUE","Envoi parent en anomalie ("&amp;$S42&amp;") : corriger l'onglet SOUS_TRAITANCE.",IF(AND($E42&lt;&gt;"",ISNA(MATCH($E42,LOT_KEY,0))),"Creer la fiche du lot resultat dans l'onglet LOTS.",""))))</f>
        <v/>
      </c>
      <c r="W42" s="31" t="str">
        <f aca="false">IF($B42="","",IF($C42&lt;&gt;"",$C42,IFERROR(INDEX(ST_DATERET,MATCH($B42,ST_ID,0)),"")))</f>
        <v/>
      </c>
      <c r="X42" s="26" t="str">
        <f aca="false">IF($Q42=0,"",IF($L42=R_LOT,IF($N42&lt;&gt;R_LOT,$N42,""),IF($N42=R_LOT,$L42,"")))</f>
        <v/>
      </c>
      <c r="Y42" s="26" t="str">
        <f aca="false">IF($X42="","",IF(COUNTIF($X$4:$X41,$X42)&gt;0,"",COUNT($Y$4:$Y41)+1))</f>
        <v/>
      </c>
      <c r="Z42" s="26" t="n">
        <f aca="false">IF($Q42=0,0,IF(OR($L42=R_LOT,$N42=R_LOT),1,0))</f>
        <v>0</v>
      </c>
      <c r="AA42" s="26" t="str">
        <f aca="false">IF($Z42=0,"",COUNTIF($Z$5:$Z42,1))</f>
        <v/>
      </c>
    </row>
    <row r="43" customFormat="false" ht="15" hidden="false" customHeight="false" outlineLevel="0" collapsed="false">
      <c r="A43" s="26" t="str">
        <f aca="false">IF($B43="","","RES-"&amp;TEXT(ROW()-4,"000"))</f>
        <v/>
      </c>
      <c r="B43" s="24"/>
      <c r="C43" s="25"/>
      <c r="D43" s="24"/>
      <c r="E43" s="24"/>
      <c r="F43" s="29"/>
      <c r="G43" s="24"/>
      <c r="H43" s="24"/>
      <c r="I43" s="24"/>
      <c r="J43" s="24"/>
      <c r="K43" s="24"/>
      <c r="L43" s="26" t="str">
        <f aca="false">IF($B43="","",IFERROR(INDEX(ST_LOT,MATCH($B43,ST_ID,0)),""))</f>
        <v/>
      </c>
      <c r="M43" s="26" t="str">
        <f aca="false">IF($B43="","",IFERROR(INDEX(ST_STRAIT,MATCH($B43,ST_ID,0)),""))</f>
        <v/>
      </c>
      <c r="N43" s="26" t="str">
        <f aca="false">IF($B43="","",IF($E43="",$L43,$E43))</f>
        <v/>
      </c>
      <c r="O43" s="26" t="str">
        <f aca="false">IF($N43="","",IFERROR(INDEX(LOT_EXTE,MATCH($N43,LOT_KEY,0)),""))</f>
        <v/>
      </c>
      <c r="P43" s="26" t="str">
        <f aca="false">IF($J43="","",IFERROR(INDEX(EMPL_CLASSE,MATCH($J43,EMPL_KEY,0)),"?"))</f>
        <v/>
      </c>
      <c r="Q43" s="28" t="n">
        <f aca="false">IF($B43="",0,IF(OR(ISNA(MATCH($B43,ST_ID,0)),NOT(ISNUMBER($F43)),$F43&lt;=0,$J43="",$N43=""),0,1))</f>
        <v>0</v>
      </c>
      <c r="R43" s="27" t="n">
        <f aca="false">IF($Q43=0,0,$F43)</f>
        <v>0</v>
      </c>
      <c r="S43" s="26" t="str">
        <f aca="false">IF($B43="","",IFERROR(INDEX(ST_STATUT,MATCH($B43,ST_ID,0)),""))</f>
        <v/>
      </c>
      <c r="T43" s="26" t="str">
        <f aca="false">IF($B43="","",IF($Q43=0,"DONNEES MANQUANTES",IF(OR($S43="DONNEES MANQUANTES",$S43="STOCK INSUFFISANT",$S43="EMPLACEMENT INCOHERENT",$S43="BLOQUE"),"BLOQUE","OK")))</f>
        <v/>
      </c>
      <c r="U43" s="28" t="n">
        <f aca="false">IF($T43="OK",1,0)</f>
        <v>0</v>
      </c>
      <c r="V43" s="26" t="str">
        <f aca="false">IF($B43="","",IF($Q43=0,"A COMPLETER : "&amp;IF(ISNA(MATCH($B43,ST_ID,0)),"ID ST valide; ","")&amp;IF(OR(NOT(ISNUMBER($F43)),$F43&lt;=0),"QUANTITE &gt; 0; ","")&amp;IF($J43="","EMPL. DESTINATION; ",""),IF($T43="BLOQUE","Envoi parent en anomalie ("&amp;$S43&amp;") : corriger l'onglet SOUS_TRAITANCE.",IF(AND($E43&lt;&gt;"",ISNA(MATCH($E43,LOT_KEY,0))),"Creer la fiche du lot resultat dans l'onglet LOTS.",""))))</f>
        <v/>
      </c>
      <c r="W43" s="31" t="str">
        <f aca="false">IF($B43="","",IF($C43&lt;&gt;"",$C43,IFERROR(INDEX(ST_DATERET,MATCH($B43,ST_ID,0)),"")))</f>
        <v/>
      </c>
      <c r="X43" s="26" t="str">
        <f aca="false">IF($Q43=0,"",IF($L43=R_LOT,IF($N43&lt;&gt;R_LOT,$N43,""),IF($N43=R_LOT,$L43,"")))</f>
        <v/>
      </c>
      <c r="Y43" s="26" t="str">
        <f aca="false">IF($X43="","",IF(COUNTIF($X$4:$X42,$X43)&gt;0,"",COUNT($Y$4:$Y42)+1))</f>
        <v/>
      </c>
      <c r="Z43" s="26" t="n">
        <f aca="false">IF($Q43=0,0,IF(OR($L43=R_LOT,$N43=R_LOT),1,0))</f>
        <v>0</v>
      </c>
      <c r="AA43" s="26" t="str">
        <f aca="false">IF($Z43=0,"",COUNTIF($Z$5:$Z43,1))</f>
        <v/>
      </c>
    </row>
    <row r="44" customFormat="false" ht="15" hidden="false" customHeight="false" outlineLevel="0" collapsed="false">
      <c r="A44" s="26" t="str">
        <f aca="false">IF($B44="","","RES-"&amp;TEXT(ROW()-4,"000"))</f>
        <v/>
      </c>
      <c r="B44" s="24"/>
      <c r="C44" s="25"/>
      <c r="D44" s="24"/>
      <c r="E44" s="24"/>
      <c r="F44" s="29"/>
      <c r="G44" s="24"/>
      <c r="H44" s="24"/>
      <c r="I44" s="24"/>
      <c r="J44" s="24"/>
      <c r="K44" s="24"/>
      <c r="L44" s="26" t="str">
        <f aca="false">IF($B44="","",IFERROR(INDEX(ST_LOT,MATCH($B44,ST_ID,0)),""))</f>
        <v/>
      </c>
      <c r="M44" s="26" t="str">
        <f aca="false">IF($B44="","",IFERROR(INDEX(ST_STRAIT,MATCH($B44,ST_ID,0)),""))</f>
        <v/>
      </c>
      <c r="N44" s="26" t="str">
        <f aca="false">IF($B44="","",IF($E44="",$L44,$E44))</f>
        <v/>
      </c>
      <c r="O44" s="26" t="str">
        <f aca="false">IF($N44="","",IFERROR(INDEX(LOT_EXTE,MATCH($N44,LOT_KEY,0)),""))</f>
        <v/>
      </c>
      <c r="P44" s="26" t="str">
        <f aca="false">IF($J44="","",IFERROR(INDEX(EMPL_CLASSE,MATCH($J44,EMPL_KEY,0)),"?"))</f>
        <v/>
      </c>
      <c r="Q44" s="28" t="n">
        <f aca="false">IF($B44="",0,IF(OR(ISNA(MATCH($B44,ST_ID,0)),NOT(ISNUMBER($F44)),$F44&lt;=0,$J44="",$N44=""),0,1))</f>
        <v>0</v>
      </c>
      <c r="R44" s="27" t="n">
        <f aca="false">IF($Q44=0,0,$F44)</f>
        <v>0</v>
      </c>
      <c r="S44" s="26" t="str">
        <f aca="false">IF($B44="","",IFERROR(INDEX(ST_STATUT,MATCH($B44,ST_ID,0)),""))</f>
        <v/>
      </c>
      <c r="T44" s="26" t="str">
        <f aca="false">IF($B44="","",IF($Q44=0,"DONNEES MANQUANTES",IF(OR($S44="DONNEES MANQUANTES",$S44="STOCK INSUFFISANT",$S44="EMPLACEMENT INCOHERENT",$S44="BLOQUE"),"BLOQUE","OK")))</f>
        <v/>
      </c>
      <c r="U44" s="28" t="n">
        <f aca="false">IF($T44="OK",1,0)</f>
        <v>0</v>
      </c>
      <c r="V44" s="26" t="str">
        <f aca="false">IF($B44="","",IF($Q44=0,"A COMPLETER : "&amp;IF(ISNA(MATCH($B44,ST_ID,0)),"ID ST valide; ","")&amp;IF(OR(NOT(ISNUMBER($F44)),$F44&lt;=0),"QUANTITE &gt; 0; ","")&amp;IF($J44="","EMPL. DESTINATION; ",""),IF($T44="BLOQUE","Envoi parent en anomalie ("&amp;$S44&amp;") : corriger l'onglet SOUS_TRAITANCE.",IF(AND($E44&lt;&gt;"",ISNA(MATCH($E44,LOT_KEY,0))),"Creer la fiche du lot resultat dans l'onglet LOTS.",""))))</f>
        <v/>
      </c>
      <c r="W44" s="31" t="str">
        <f aca="false">IF($B44="","",IF($C44&lt;&gt;"",$C44,IFERROR(INDEX(ST_DATERET,MATCH($B44,ST_ID,0)),"")))</f>
        <v/>
      </c>
      <c r="X44" s="26" t="str">
        <f aca="false">IF($Q44=0,"",IF($L44=R_LOT,IF($N44&lt;&gt;R_LOT,$N44,""),IF($N44=R_LOT,$L44,"")))</f>
        <v/>
      </c>
      <c r="Y44" s="26" t="str">
        <f aca="false">IF($X44="","",IF(COUNTIF($X$4:$X43,$X44)&gt;0,"",COUNT($Y$4:$Y43)+1))</f>
        <v/>
      </c>
      <c r="Z44" s="26" t="n">
        <f aca="false">IF($Q44=0,0,IF(OR($L44=R_LOT,$N44=R_LOT),1,0))</f>
        <v>0</v>
      </c>
      <c r="AA44" s="26" t="str">
        <f aca="false">IF($Z44=0,"",COUNTIF($Z$5:$Z44,1))</f>
        <v/>
      </c>
    </row>
    <row r="45" customFormat="false" ht="15" hidden="false" customHeight="false" outlineLevel="0" collapsed="false">
      <c r="A45" s="26" t="str">
        <f aca="false">IF($B45="","","RES-"&amp;TEXT(ROW()-4,"000"))</f>
        <v/>
      </c>
      <c r="B45" s="24"/>
      <c r="C45" s="25"/>
      <c r="D45" s="24"/>
      <c r="E45" s="24"/>
      <c r="F45" s="29"/>
      <c r="G45" s="24"/>
      <c r="H45" s="24"/>
      <c r="I45" s="24"/>
      <c r="J45" s="24"/>
      <c r="K45" s="24"/>
      <c r="L45" s="26" t="str">
        <f aca="false">IF($B45="","",IFERROR(INDEX(ST_LOT,MATCH($B45,ST_ID,0)),""))</f>
        <v/>
      </c>
      <c r="M45" s="26" t="str">
        <f aca="false">IF($B45="","",IFERROR(INDEX(ST_STRAIT,MATCH($B45,ST_ID,0)),""))</f>
        <v/>
      </c>
      <c r="N45" s="26" t="str">
        <f aca="false">IF($B45="","",IF($E45="",$L45,$E45))</f>
        <v/>
      </c>
      <c r="O45" s="26" t="str">
        <f aca="false">IF($N45="","",IFERROR(INDEX(LOT_EXTE,MATCH($N45,LOT_KEY,0)),""))</f>
        <v/>
      </c>
      <c r="P45" s="26" t="str">
        <f aca="false">IF($J45="","",IFERROR(INDEX(EMPL_CLASSE,MATCH($J45,EMPL_KEY,0)),"?"))</f>
        <v/>
      </c>
      <c r="Q45" s="28" t="n">
        <f aca="false">IF($B45="",0,IF(OR(ISNA(MATCH($B45,ST_ID,0)),NOT(ISNUMBER($F45)),$F45&lt;=0,$J45="",$N45=""),0,1))</f>
        <v>0</v>
      </c>
      <c r="R45" s="27" t="n">
        <f aca="false">IF($Q45=0,0,$F45)</f>
        <v>0</v>
      </c>
      <c r="S45" s="26" t="str">
        <f aca="false">IF($B45="","",IFERROR(INDEX(ST_STATUT,MATCH($B45,ST_ID,0)),""))</f>
        <v/>
      </c>
      <c r="T45" s="26" t="str">
        <f aca="false">IF($B45="","",IF($Q45=0,"DONNEES MANQUANTES",IF(OR($S45="DONNEES MANQUANTES",$S45="STOCK INSUFFISANT",$S45="EMPLACEMENT INCOHERENT",$S45="BLOQUE"),"BLOQUE","OK")))</f>
        <v/>
      </c>
      <c r="U45" s="28" t="n">
        <f aca="false">IF($T45="OK",1,0)</f>
        <v>0</v>
      </c>
      <c r="V45" s="26" t="str">
        <f aca="false">IF($B45="","",IF($Q45=0,"A COMPLETER : "&amp;IF(ISNA(MATCH($B45,ST_ID,0)),"ID ST valide; ","")&amp;IF(OR(NOT(ISNUMBER($F45)),$F45&lt;=0),"QUANTITE &gt; 0; ","")&amp;IF($J45="","EMPL. DESTINATION; ",""),IF($T45="BLOQUE","Envoi parent en anomalie ("&amp;$S45&amp;") : corriger l'onglet SOUS_TRAITANCE.",IF(AND($E45&lt;&gt;"",ISNA(MATCH($E45,LOT_KEY,0))),"Creer la fiche du lot resultat dans l'onglet LOTS.",""))))</f>
        <v/>
      </c>
      <c r="W45" s="31" t="str">
        <f aca="false">IF($B45="","",IF($C45&lt;&gt;"",$C45,IFERROR(INDEX(ST_DATERET,MATCH($B45,ST_ID,0)),"")))</f>
        <v/>
      </c>
      <c r="X45" s="26" t="str">
        <f aca="false">IF($Q45=0,"",IF($L45=R_LOT,IF($N45&lt;&gt;R_LOT,$N45,""),IF($N45=R_LOT,$L45,"")))</f>
        <v/>
      </c>
      <c r="Y45" s="26" t="str">
        <f aca="false">IF($X45="","",IF(COUNTIF($X$4:$X44,$X45)&gt;0,"",COUNT($Y$4:$Y44)+1))</f>
        <v/>
      </c>
      <c r="Z45" s="26" t="n">
        <f aca="false">IF($Q45=0,0,IF(OR($L45=R_LOT,$N45=R_LOT),1,0))</f>
        <v>0</v>
      </c>
      <c r="AA45" s="26" t="str">
        <f aca="false">IF($Z45=0,"",COUNTIF($Z$5:$Z45,1))</f>
        <v/>
      </c>
    </row>
    <row r="46" customFormat="false" ht="15" hidden="false" customHeight="false" outlineLevel="0" collapsed="false">
      <c r="A46" s="26" t="str">
        <f aca="false">IF($B46="","","RES-"&amp;TEXT(ROW()-4,"000"))</f>
        <v/>
      </c>
      <c r="B46" s="24"/>
      <c r="C46" s="25"/>
      <c r="D46" s="24"/>
      <c r="E46" s="24"/>
      <c r="F46" s="29"/>
      <c r="G46" s="24"/>
      <c r="H46" s="24"/>
      <c r="I46" s="24"/>
      <c r="J46" s="24"/>
      <c r="K46" s="24"/>
      <c r="L46" s="26" t="str">
        <f aca="false">IF($B46="","",IFERROR(INDEX(ST_LOT,MATCH($B46,ST_ID,0)),""))</f>
        <v/>
      </c>
      <c r="M46" s="26" t="str">
        <f aca="false">IF($B46="","",IFERROR(INDEX(ST_STRAIT,MATCH($B46,ST_ID,0)),""))</f>
        <v/>
      </c>
      <c r="N46" s="26" t="str">
        <f aca="false">IF($B46="","",IF($E46="",$L46,$E46))</f>
        <v/>
      </c>
      <c r="O46" s="26" t="str">
        <f aca="false">IF($N46="","",IFERROR(INDEX(LOT_EXTE,MATCH($N46,LOT_KEY,0)),""))</f>
        <v/>
      </c>
      <c r="P46" s="26" t="str">
        <f aca="false">IF($J46="","",IFERROR(INDEX(EMPL_CLASSE,MATCH($J46,EMPL_KEY,0)),"?"))</f>
        <v/>
      </c>
      <c r="Q46" s="28" t="n">
        <f aca="false">IF($B46="",0,IF(OR(ISNA(MATCH($B46,ST_ID,0)),NOT(ISNUMBER($F46)),$F46&lt;=0,$J46="",$N46=""),0,1))</f>
        <v>0</v>
      </c>
      <c r="R46" s="27" t="n">
        <f aca="false">IF($Q46=0,0,$F46)</f>
        <v>0</v>
      </c>
      <c r="S46" s="26" t="str">
        <f aca="false">IF($B46="","",IFERROR(INDEX(ST_STATUT,MATCH($B46,ST_ID,0)),""))</f>
        <v/>
      </c>
      <c r="T46" s="26" t="str">
        <f aca="false">IF($B46="","",IF($Q46=0,"DONNEES MANQUANTES",IF(OR($S46="DONNEES MANQUANTES",$S46="STOCK INSUFFISANT",$S46="EMPLACEMENT INCOHERENT",$S46="BLOQUE"),"BLOQUE","OK")))</f>
        <v/>
      </c>
      <c r="U46" s="28" t="n">
        <f aca="false">IF($T46="OK",1,0)</f>
        <v>0</v>
      </c>
      <c r="V46" s="26" t="str">
        <f aca="false">IF($B46="","",IF($Q46=0,"A COMPLETER : "&amp;IF(ISNA(MATCH($B46,ST_ID,0)),"ID ST valide; ","")&amp;IF(OR(NOT(ISNUMBER($F46)),$F46&lt;=0),"QUANTITE &gt; 0; ","")&amp;IF($J46="","EMPL. DESTINATION; ",""),IF($T46="BLOQUE","Envoi parent en anomalie ("&amp;$S46&amp;") : corriger l'onglet SOUS_TRAITANCE.",IF(AND($E46&lt;&gt;"",ISNA(MATCH($E46,LOT_KEY,0))),"Creer la fiche du lot resultat dans l'onglet LOTS.",""))))</f>
        <v/>
      </c>
      <c r="W46" s="31" t="str">
        <f aca="false">IF($B46="","",IF($C46&lt;&gt;"",$C46,IFERROR(INDEX(ST_DATERET,MATCH($B46,ST_ID,0)),"")))</f>
        <v/>
      </c>
      <c r="X46" s="26" t="str">
        <f aca="false">IF($Q46=0,"",IF($L46=R_LOT,IF($N46&lt;&gt;R_LOT,$N46,""),IF($N46=R_LOT,$L46,"")))</f>
        <v/>
      </c>
      <c r="Y46" s="26" t="str">
        <f aca="false">IF($X46="","",IF(COUNTIF($X$4:$X45,$X46)&gt;0,"",COUNT($Y$4:$Y45)+1))</f>
        <v/>
      </c>
      <c r="Z46" s="26" t="n">
        <f aca="false">IF($Q46=0,0,IF(OR($L46=R_LOT,$N46=R_LOT),1,0))</f>
        <v>0</v>
      </c>
      <c r="AA46" s="26" t="str">
        <f aca="false">IF($Z46=0,"",COUNTIF($Z$5:$Z46,1))</f>
        <v/>
      </c>
    </row>
    <row r="47" customFormat="false" ht="15" hidden="false" customHeight="false" outlineLevel="0" collapsed="false">
      <c r="A47" s="26" t="str">
        <f aca="false">IF($B47="","","RES-"&amp;TEXT(ROW()-4,"000"))</f>
        <v/>
      </c>
      <c r="B47" s="24"/>
      <c r="C47" s="25"/>
      <c r="D47" s="24"/>
      <c r="E47" s="24"/>
      <c r="F47" s="29"/>
      <c r="G47" s="24"/>
      <c r="H47" s="24"/>
      <c r="I47" s="24"/>
      <c r="J47" s="24"/>
      <c r="K47" s="24"/>
      <c r="L47" s="26" t="str">
        <f aca="false">IF($B47="","",IFERROR(INDEX(ST_LOT,MATCH($B47,ST_ID,0)),""))</f>
        <v/>
      </c>
      <c r="M47" s="26" t="str">
        <f aca="false">IF($B47="","",IFERROR(INDEX(ST_STRAIT,MATCH($B47,ST_ID,0)),""))</f>
        <v/>
      </c>
      <c r="N47" s="26" t="str">
        <f aca="false">IF($B47="","",IF($E47="",$L47,$E47))</f>
        <v/>
      </c>
      <c r="O47" s="26" t="str">
        <f aca="false">IF($N47="","",IFERROR(INDEX(LOT_EXTE,MATCH($N47,LOT_KEY,0)),""))</f>
        <v/>
      </c>
      <c r="P47" s="26" t="str">
        <f aca="false">IF($J47="","",IFERROR(INDEX(EMPL_CLASSE,MATCH($J47,EMPL_KEY,0)),"?"))</f>
        <v/>
      </c>
      <c r="Q47" s="28" t="n">
        <f aca="false">IF($B47="",0,IF(OR(ISNA(MATCH($B47,ST_ID,0)),NOT(ISNUMBER($F47)),$F47&lt;=0,$J47="",$N47=""),0,1))</f>
        <v>0</v>
      </c>
      <c r="R47" s="27" t="n">
        <f aca="false">IF($Q47=0,0,$F47)</f>
        <v>0</v>
      </c>
      <c r="S47" s="26" t="str">
        <f aca="false">IF($B47="","",IFERROR(INDEX(ST_STATUT,MATCH($B47,ST_ID,0)),""))</f>
        <v/>
      </c>
      <c r="T47" s="26" t="str">
        <f aca="false">IF($B47="","",IF($Q47=0,"DONNEES MANQUANTES",IF(OR($S47="DONNEES MANQUANTES",$S47="STOCK INSUFFISANT",$S47="EMPLACEMENT INCOHERENT",$S47="BLOQUE"),"BLOQUE","OK")))</f>
        <v/>
      </c>
      <c r="U47" s="28" t="n">
        <f aca="false">IF($T47="OK",1,0)</f>
        <v>0</v>
      </c>
      <c r="V47" s="26" t="str">
        <f aca="false">IF($B47="","",IF($Q47=0,"A COMPLETER : "&amp;IF(ISNA(MATCH($B47,ST_ID,0)),"ID ST valide; ","")&amp;IF(OR(NOT(ISNUMBER($F47)),$F47&lt;=0),"QUANTITE &gt; 0; ","")&amp;IF($J47="","EMPL. DESTINATION; ",""),IF($T47="BLOQUE","Envoi parent en anomalie ("&amp;$S47&amp;") : corriger l'onglet SOUS_TRAITANCE.",IF(AND($E47&lt;&gt;"",ISNA(MATCH($E47,LOT_KEY,0))),"Creer la fiche du lot resultat dans l'onglet LOTS.",""))))</f>
        <v/>
      </c>
      <c r="W47" s="31" t="str">
        <f aca="false">IF($B47="","",IF($C47&lt;&gt;"",$C47,IFERROR(INDEX(ST_DATERET,MATCH($B47,ST_ID,0)),"")))</f>
        <v/>
      </c>
      <c r="X47" s="26" t="str">
        <f aca="false">IF($Q47=0,"",IF($L47=R_LOT,IF($N47&lt;&gt;R_LOT,$N47,""),IF($N47=R_LOT,$L47,"")))</f>
        <v/>
      </c>
      <c r="Y47" s="26" t="str">
        <f aca="false">IF($X47="","",IF(COUNTIF($X$4:$X46,$X47)&gt;0,"",COUNT($Y$4:$Y46)+1))</f>
        <v/>
      </c>
      <c r="Z47" s="26" t="n">
        <f aca="false">IF($Q47=0,0,IF(OR($L47=R_LOT,$N47=R_LOT),1,0))</f>
        <v>0</v>
      </c>
      <c r="AA47" s="26" t="str">
        <f aca="false">IF($Z47=0,"",COUNTIF($Z$5:$Z47,1))</f>
        <v/>
      </c>
    </row>
    <row r="48" customFormat="false" ht="15" hidden="false" customHeight="false" outlineLevel="0" collapsed="false">
      <c r="A48" s="26" t="str">
        <f aca="false">IF($B48="","","RES-"&amp;TEXT(ROW()-4,"000"))</f>
        <v/>
      </c>
      <c r="B48" s="24"/>
      <c r="C48" s="25"/>
      <c r="D48" s="24"/>
      <c r="E48" s="24"/>
      <c r="F48" s="29"/>
      <c r="G48" s="24"/>
      <c r="H48" s="24"/>
      <c r="I48" s="24"/>
      <c r="J48" s="24"/>
      <c r="K48" s="24"/>
      <c r="L48" s="26" t="str">
        <f aca="false">IF($B48="","",IFERROR(INDEX(ST_LOT,MATCH($B48,ST_ID,0)),""))</f>
        <v/>
      </c>
      <c r="M48" s="26" t="str">
        <f aca="false">IF($B48="","",IFERROR(INDEX(ST_STRAIT,MATCH($B48,ST_ID,0)),""))</f>
        <v/>
      </c>
      <c r="N48" s="26" t="str">
        <f aca="false">IF($B48="","",IF($E48="",$L48,$E48))</f>
        <v/>
      </c>
      <c r="O48" s="26" t="str">
        <f aca="false">IF($N48="","",IFERROR(INDEX(LOT_EXTE,MATCH($N48,LOT_KEY,0)),""))</f>
        <v/>
      </c>
      <c r="P48" s="26" t="str">
        <f aca="false">IF($J48="","",IFERROR(INDEX(EMPL_CLASSE,MATCH($J48,EMPL_KEY,0)),"?"))</f>
        <v/>
      </c>
      <c r="Q48" s="28" t="n">
        <f aca="false">IF($B48="",0,IF(OR(ISNA(MATCH($B48,ST_ID,0)),NOT(ISNUMBER($F48)),$F48&lt;=0,$J48="",$N48=""),0,1))</f>
        <v>0</v>
      </c>
      <c r="R48" s="27" t="n">
        <f aca="false">IF($Q48=0,0,$F48)</f>
        <v>0</v>
      </c>
      <c r="S48" s="26" t="str">
        <f aca="false">IF($B48="","",IFERROR(INDEX(ST_STATUT,MATCH($B48,ST_ID,0)),""))</f>
        <v/>
      </c>
      <c r="T48" s="26" t="str">
        <f aca="false">IF($B48="","",IF($Q48=0,"DONNEES MANQUANTES",IF(OR($S48="DONNEES MANQUANTES",$S48="STOCK INSUFFISANT",$S48="EMPLACEMENT INCOHERENT",$S48="BLOQUE"),"BLOQUE","OK")))</f>
        <v/>
      </c>
      <c r="U48" s="28" t="n">
        <f aca="false">IF($T48="OK",1,0)</f>
        <v>0</v>
      </c>
      <c r="V48" s="26" t="str">
        <f aca="false">IF($B48="","",IF($Q48=0,"A COMPLETER : "&amp;IF(ISNA(MATCH($B48,ST_ID,0)),"ID ST valide; ","")&amp;IF(OR(NOT(ISNUMBER($F48)),$F48&lt;=0),"QUANTITE &gt; 0; ","")&amp;IF($J48="","EMPL. DESTINATION; ",""),IF($T48="BLOQUE","Envoi parent en anomalie ("&amp;$S48&amp;") : corriger l'onglet SOUS_TRAITANCE.",IF(AND($E48&lt;&gt;"",ISNA(MATCH($E48,LOT_KEY,0))),"Creer la fiche du lot resultat dans l'onglet LOTS.",""))))</f>
        <v/>
      </c>
      <c r="W48" s="31" t="str">
        <f aca="false">IF($B48="","",IF($C48&lt;&gt;"",$C48,IFERROR(INDEX(ST_DATERET,MATCH($B48,ST_ID,0)),"")))</f>
        <v/>
      </c>
      <c r="X48" s="26" t="str">
        <f aca="false">IF($Q48=0,"",IF($L48=R_LOT,IF($N48&lt;&gt;R_LOT,$N48,""),IF($N48=R_LOT,$L48,"")))</f>
        <v/>
      </c>
      <c r="Y48" s="26" t="str">
        <f aca="false">IF($X48="","",IF(COUNTIF($X$4:$X47,$X48)&gt;0,"",COUNT($Y$4:$Y47)+1))</f>
        <v/>
      </c>
      <c r="Z48" s="26" t="n">
        <f aca="false">IF($Q48=0,0,IF(OR($L48=R_LOT,$N48=R_LOT),1,0))</f>
        <v>0</v>
      </c>
      <c r="AA48" s="26" t="str">
        <f aca="false">IF($Z48=0,"",COUNTIF($Z$5:$Z48,1))</f>
        <v/>
      </c>
    </row>
    <row r="49" customFormat="false" ht="15" hidden="false" customHeight="false" outlineLevel="0" collapsed="false">
      <c r="A49" s="26" t="str">
        <f aca="false">IF($B49="","","RES-"&amp;TEXT(ROW()-4,"000"))</f>
        <v/>
      </c>
      <c r="B49" s="24"/>
      <c r="C49" s="25"/>
      <c r="D49" s="24"/>
      <c r="E49" s="24"/>
      <c r="F49" s="29"/>
      <c r="G49" s="24"/>
      <c r="H49" s="24"/>
      <c r="I49" s="24"/>
      <c r="J49" s="24"/>
      <c r="K49" s="24"/>
      <c r="L49" s="26" t="str">
        <f aca="false">IF($B49="","",IFERROR(INDEX(ST_LOT,MATCH($B49,ST_ID,0)),""))</f>
        <v/>
      </c>
      <c r="M49" s="26" t="str">
        <f aca="false">IF($B49="","",IFERROR(INDEX(ST_STRAIT,MATCH($B49,ST_ID,0)),""))</f>
        <v/>
      </c>
      <c r="N49" s="26" t="str">
        <f aca="false">IF($B49="","",IF($E49="",$L49,$E49))</f>
        <v/>
      </c>
      <c r="O49" s="26" t="str">
        <f aca="false">IF($N49="","",IFERROR(INDEX(LOT_EXTE,MATCH($N49,LOT_KEY,0)),""))</f>
        <v/>
      </c>
      <c r="P49" s="26" t="str">
        <f aca="false">IF($J49="","",IFERROR(INDEX(EMPL_CLASSE,MATCH($J49,EMPL_KEY,0)),"?"))</f>
        <v/>
      </c>
      <c r="Q49" s="28" t="n">
        <f aca="false">IF($B49="",0,IF(OR(ISNA(MATCH($B49,ST_ID,0)),NOT(ISNUMBER($F49)),$F49&lt;=0,$J49="",$N49=""),0,1))</f>
        <v>0</v>
      </c>
      <c r="R49" s="27" t="n">
        <f aca="false">IF($Q49=0,0,$F49)</f>
        <v>0</v>
      </c>
      <c r="S49" s="26" t="str">
        <f aca="false">IF($B49="","",IFERROR(INDEX(ST_STATUT,MATCH($B49,ST_ID,0)),""))</f>
        <v/>
      </c>
      <c r="T49" s="26" t="str">
        <f aca="false">IF($B49="","",IF($Q49=0,"DONNEES MANQUANTES",IF(OR($S49="DONNEES MANQUANTES",$S49="STOCK INSUFFISANT",$S49="EMPLACEMENT INCOHERENT",$S49="BLOQUE"),"BLOQUE","OK")))</f>
        <v/>
      </c>
      <c r="U49" s="28" t="n">
        <f aca="false">IF($T49="OK",1,0)</f>
        <v>0</v>
      </c>
      <c r="V49" s="26" t="str">
        <f aca="false">IF($B49="","",IF($Q49=0,"A COMPLETER : "&amp;IF(ISNA(MATCH($B49,ST_ID,0)),"ID ST valide; ","")&amp;IF(OR(NOT(ISNUMBER($F49)),$F49&lt;=0),"QUANTITE &gt; 0; ","")&amp;IF($J49="","EMPL. DESTINATION; ",""),IF($T49="BLOQUE","Envoi parent en anomalie ("&amp;$S49&amp;") : corriger l'onglet SOUS_TRAITANCE.",IF(AND($E49&lt;&gt;"",ISNA(MATCH($E49,LOT_KEY,0))),"Creer la fiche du lot resultat dans l'onglet LOTS.",""))))</f>
        <v/>
      </c>
      <c r="W49" s="31" t="str">
        <f aca="false">IF($B49="","",IF($C49&lt;&gt;"",$C49,IFERROR(INDEX(ST_DATERET,MATCH($B49,ST_ID,0)),"")))</f>
        <v/>
      </c>
      <c r="X49" s="26" t="str">
        <f aca="false">IF($Q49=0,"",IF($L49=R_LOT,IF($N49&lt;&gt;R_LOT,$N49,""),IF($N49=R_LOT,$L49,"")))</f>
        <v/>
      </c>
      <c r="Y49" s="26" t="str">
        <f aca="false">IF($X49="","",IF(COUNTIF($X$4:$X48,$X49)&gt;0,"",COUNT($Y$4:$Y48)+1))</f>
        <v/>
      </c>
      <c r="Z49" s="26" t="n">
        <f aca="false">IF($Q49=0,0,IF(OR($L49=R_LOT,$N49=R_LOT),1,0))</f>
        <v>0</v>
      </c>
      <c r="AA49" s="26" t="str">
        <f aca="false">IF($Z49=0,"",COUNTIF($Z$5:$Z49,1))</f>
        <v/>
      </c>
    </row>
    <row r="50" customFormat="false" ht="15" hidden="false" customHeight="false" outlineLevel="0" collapsed="false">
      <c r="A50" s="26" t="str">
        <f aca="false">IF($B50="","","RES-"&amp;TEXT(ROW()-4,"000"))</f>
        <v/>
      </c>
      <c r="B50" s="24"/>
      <c r="C50" s="25"/>
      <c r="D50" s="24"/>
      <c r="E50" s="24"/>
      <c r="F50" s="29"/>
      <c r="G50" s="24"/>
      <c r="H50" s="24"/>
      <c r="I50" s="24"/>
      <c r="J50" s="24"/>
      <c r="K50" s="24"/>
      <c r="L50" s="26" t="str">
        <f aca="false">IF($B50="","",IFERROR(INDEX(ST_LOT,MATCH($B50,ST_ID,0)),""))</f>
        <v/>
      </c>
      <c r="M50" s="26" t="str">
        <f aca="false">IF($B50="","",IFERROR(INDEX(ST_STRAIT,MATCH($B50,ST_ID,0)),""))</f>
        <v/>
      </c>
      <c r="N50" s="26" t="str">
        <f aca="false">IF($B50="","",IF($E50="",$L50,$E50))</f>
        <v/>
      </c>
      <c r="O50" s="26" t="str">
        <f aca="false">IF($N50="","",IFERROR(INDEX(LOT_EXTE,MATCH($N50,LOT_KEY,0)),""))</f>
        <v/>
      </c>
      <c r="P50" s="26" t="str">
        <f aca="false">IF($J50="","",IFERROR(INDEX(EMPL_CLASSE,MATCH($J50,EMPL_KEY,0)),"?"))</f>
        <v/>
      </c>
      <c r="Q50" s="28" t="n">
        <f aca="false">IF($B50="",0,IF(OR(ISNA(MATCH($B50,ST_ID,0)),NOT(ISNUMBER($F50)),$F50&lt;=0,$J50="",$N50=""),0,1))</f>
        <v>0</v>
      </c>
      <c r="R50" s="27" t="n">
        <f aca="false">IF($Q50=0,0,$F50)</f>
        <v>0</v>
      </c>
      <c r="S50" s="26" t="str">
        <f aca="false">IF($B50="","",IFERROR(INDEX(ST_STATUT,MATCH($B50,ST_ID,0)),""))</f>
        <v/>
      </c>
      <c r="T50" s="26" t="str">
        <f aca="false">IF($B50="","",IF($Q50=0,"DONNEES MANQUANTES",IF(OR($S50="DONNEES MANQUANTES",$S50="STOCK INSUFFISANT",$S50="EMPLACEMENT INCOHERENT",$S50="BLOQUE"),"BLOQUE","OK")))</f>
        <v/>
      </c>
      <c r="U50" s="28" t="n">
        <f aca="false">IF($T50="OK",1,0)</f>
        <v>0</v>
      </c>
      <c r="V50" s="26" t="str">
        <f aca="false">IF($B50="","",IF($Q50=0,"A COMPLETER : "&amp;IF(ISNA(MATCH($B50,ST_ID,0)),"ID ST valide; ","")&amp;IF(OR(NOT(ISNUMBER($F50)),$F50&lt;=0),"QUANTITE &gt; 0; ","")&amp;IF($J50="","EMPL. DESTINATION; ",""),IF($T50="BLOQUE","Envoi parent en anomalie ("&amp;$S50&amp;") : corriger l'onglet SOUS_TRAITANCE.",IF(AND($E50&lt;&gt;"",ISNA(MATCH($E50,LOT_KEY,0))),"Creer la fiche du lot resultat dans l'onglet LOTS.",""))))</f>
        <v/>
      </c>
      <c r="W50" s="31" t="str">
        <f aca="false">IF($B50="","",IF($C50&lt;&gt;"",$C50,IFERROR(INDEX(ST_DATERET,MATCH($B50,ST_ID,0)),"")))</f>
        <v/>
      </c>
      <c r="X50" s="26" t="str">
        <f aca="false">IF($Q50=0,"",IF($L50=R_LOT,IF($N50&lt;&gt;R_LOT,$N50,""),IF($N50=R_LOT,$L50,"")))</f>
        <v/>
      </c>
      <c r="Y50" s="26" t="str">
        <f aca="false">IF($X50="","",IF(COUNTIF($X$4:$X49,$X50)&gt;0,"",COUNT($Y$4:$Y49)+1))</f>
        <v/>
      </c>
      <c r="Z50" s="26" t="n">
        <f aca="false">IF($Q50=0,0,IF(OR($L50=R_LOT,$N50=R_LOT),1,0))</f>
        <v>0</v>
      </c>
      <c r="AA50" s="26" t="str">
        <f aca="false">IF($Z50=0,"",COUNTIF($Z$5:$Z50,1))</f>
        <v/>
      </c>
    </row>
    <row r="51" customFormat="false" ht="15" hidden="false" customHeight="false" outlineLevel="0" collapsed="false">
      <c r="A51" s="26" t="str">
        <f aca="false">IF($B51="","","RES-"&amp;TEXT(ROW()-4,"000"))</f>
        <v/>
      </c>
      <c r="B51" s="24"/>
      <c r="C51" s="25"/>
      <c r="D51" s="24"/>
      <c r="E51" s="24"/>
      <c r="F51" s="29"/>
      <c r="G51" s="24"/>
      <c r="H51" s="24"/>
      <c r="I51" s="24"/>
      <c r="J51" s="24"/>
      <c r="K51" s="24"/>
      <c r="L51" s="26" t="str">
        <f aca="false">IF($B51="","",IFERROR(INDEX(ST_LOT,MATCH($B51,ST_ID,0)),""))</f>
        <v/>
      </c>
      <c r="M51" s="26" t="str">
        <f aca="false">IF($B51="","",IFERROR(INDEX(ST_STRAIT,MATCH($B51,ST_ID,0)),""))</f>
        <v/>
      </c>
      <c r="N51" s="26" t="str">
        <f aca="false">IF($B51="","",IF($E51="",$L51,$E51))</f>
        <v/>
      </c>
      <c r="O51" s="26" t="str">
        <f aca="false">IF($N51="","",IFERROR(INDEX(LOT_EXTE,MATCH($N51,LOT_KEY,0)),""))</f>
        <v/>
      </c>
      <c r="P51" s="26" t="str">
        <f aca="false">IF($J51="","",IFERROR(INDEX(EMPL_CLASSE,MATCH($J51,EMPL_KEY,0)),"?"))</f>
        <v/>
      </c>
      <c r="Q51" s="28" t="n">
        <f aca="false">IF($B51="",0,IF(OR(ISNA(MATCH($B51,ST_ID,0)),NOT(ISNUMBER($F51)),$F51&lt;=0,$J51="",$N51=""),0,1))</f>
        <v>0</v>
      </c>
      <c r="R51" s="27" t="n">
        <f aca="false">IF($Q51=0,0,$F51)</f>
        <v>0</v>
      </c>
      <c r="S51" s="26" t="str">
        <f aca="false">IF($B51="","",IFERROR(INDEX(ST_STATUT,MATCH($B51,ST_ID,0)),""))</f>
        <v/>
      </c>
      <c r="T51" s="26" t="str">
        <f aca="false">IF($B51="","",IF($Q51=0,"DONNEES MANQUANTES",IF(OR($S51="DONNEES MANQUANTES",$S51="STOCK INSUFFISANT",$S51="EMPLACEMENT INCOHERENT",$S51="BLOQUE"),"BLOQUE","OK")))</f>
        <v/>
      </c>
      <c r="U51" s="28" t="n">
        <f aca="false">IF($T51="OK",1,0)</f>
        <v>0</v>
      </c>
      <c r="V51" s="26" t="str">
        <f aca="false">IF($B51="","",IF($Q51=0,"A COMPLETER : "&amp;IF(ISNA(MATCH($B51,ST_ID,0)),"ID ST valide; ","")&amp;IF(OR(NOT(ISNUMBER($F51)),$F51&lt;=0),"QUANTITE &gt; 0; ","")&amp;IF($J51="","EMPL. DESTINATION; ",""),IF($T51="BLOQUE","Envoi parent en anomalie ("&amp;$S51&amp;") : corriger l'onglet SOUS_TRAITANCE.",IF(AND($E51&lt;&gt;"",ISNA(MATCH($E51,LOT_KEY,0))),"Creer la fiche du lot resultat dans l'onglet LOTS.",""))))</f>
        <v/>
      </c>
      <c r="W51" s="31" t="str">
        <f aca="false">IF($B51="","",IF($C51&lt;&gt;"",$C51,IFERROR(INDEX(ST_DATERET,MATCH($B51,ST_ID,0)),"")))</f>
        <v/>
      </c>
      <c r="X51" s="26" t="str">
        <f aca="false">IF($Q51=0,"",IF($L51=R_LOT,IF($N51&lt;&gt;R_LOT,$N51,""),IF($N51=R_LOT,$L51,"")))</f>
        <v/>
      </c>
      <c r="Y51" s="26" t="str">
        <f aca="false">IF($X51="","",IF(COUNTIF($X$4:$X50,$X51)&gt;0,"",COUNT($Y$4:$Y50)+1))</f>
        <v/>
      </c>
      <c r="Z51" s="26" t="n">
        <f aca="false">IF($Q51=0,0,IF(OR($L51=R_LOT,$N51=R_LOT),1,0))</f>
        <v>0</v>
      </c>
      <c r="AA51" s="26" t="str">
        <f aca="false">IF($Z51=0,"",COUNTIF($Z$5:$Z51,1))</f>
        <v/>
      </c>
    </row>
    <row r="52" customFormat="false" ht="15" hidden="false" customHeight="false" outlineLevel="0" collapsed="false">
      <c r="A52" s="26" t="str">
        <f aca="false">IF($B52="","","RES-"&amp;TEXT(ROW()-4,"000"))</f>
        <v/>
      </c>
      <c r="B52" s="24"/>
      <c r="C52" s="25"/>
      <c r="D52" s="24"/>
      <c r="E52" s="24"/>
      <c r="F52" s="29"/>
      <c r="G52" s="24"/>
      <c r="H52" s="24"/>
      <c r="I52" s="24"/>
      <c r="J52" s="24"/>
      <c r="K52" s="24"/>
      <c r="L52" s="26" t="str">
        <f aca="false">IF($B52="","",IFERROR(INDEX(ST_LOT,MATCH($B52,ST_ID,0)),""))</f>
        <v/>
      </c>
      <c r="M52" s="26" t="str">
        <f aca="false">IF($B52="","",IFERROR(INDEX(ST_STRAIT,MATCH($B52,ST_ID,0)),""))</f>
        <v/>
      </c>
      <c r="N52" s="26" t="str">
        <f aca="false">IF($B52="","",IF($E52="",$L52,$E52))</f>
        <v/>
      </c>
      <c r="O52" s="26" t="str">
        <f aca="false">IF($N52="","",IFERROR(INDEX(LOT_EXTE,MATCH($N52,LOT_KEY,0)),""))</f>
        <v/>
      </c>
      <c r="P52" s="26" t="str">
        <f aca="false">IF($J52="","",IFERROR(INDEX(EMPL_CLASSE,MATCH($J52,EMPL_KEY,0)),"?"))</f>
        <v/>
      </c>
      <c r="Q52" s="28" t="n">
        <f aca="false">IF($B52="",0,IF(OR(ISNA(MATCH($B52,ST_ID,0)),NOT(ISNUMBER($F52)),$F52&lt;=0,$J52="",$N52=""),0,1))</f>
        <v>0</v>
      </c>
      <c r="R52" s="27" t="n">
        <f aca="false">IF($Q52=0,0,$F52)</f>
        <v>0</v>
      </c>
      <c r="S52" s="26" t="str">
        <f aca="false">IF($B52="","",IFERROR(INDEX(ST_STATUT,MATCH($B52,ST_ID,0)),""))</f>
        <v/>
      </c>
      <c r="T52" s="26" t="str">
        <f aca="false">IF($B52="","",IF($Q52=0,"DONNEES MANQUANTES",IF(OR($S52="DONNEES MANQUANTES",$S52="STOCK INSUFFISANT",$S52="EMPLACEMENT INCOHERENT",$S52="BLOQUE"),"BLOQUE","OK")))</f>
        <v/>
      </c>
      <c r="U52" s="28" t="n">
        <f aca="false">IF($T52="OK",1,0)</f>
        <v>0</v>
      </c>
      <c r="V52" s="26" t="str">
        <f aca="false">IF($B52="","",IF($Q52=0,"A COMPLETER : "&amp;IF(ISNA(MATCH($B52,ST_ID,0)),"ID ST valide; ","")&amp;IF(OR(NOT(ISNUMBER($F52)),$F52&lt;=0),"QUANTITE &gt; 0; ","")&amp;IF($J52="","EMPL. DESTINATION; ",""),IF($T52="BLOQUE","Envoi parent en anomalie ("&amp;$S52&amp;") : corriger l'onglet SOUS_TRAITANCE.",IF(AND($E52&lt;&gt;"",ISNA(MATCH($E52,LOT_KEY,0))),"Creer la fiche du lot resultat dans l'onglet LOTS.",""))))</f>
        <v/>
      </c>
      <c r="W52" s="31" t="str">
        <f aca="false">IF($B52="","",IF($C52&lt;&gt;"",$C52,IFERROR(INDEX(ST_DATERET,MATCH($B52,ST_ID,0)),"")))</f>
        <v/>
      </c>
      <c r="X52" s="26" t="str">
        <f aca="false">IF($Q52=0,"",IF($L52=R_LOT,IF($N52&lt;&gt;R_LOT,$N52,""),IF($N52=R_LOT,$L52,"")))</f>
        <v/>
      </c>
      <c r="Y52" s="26" t="str">
        <f aca="false">IF($X52="","",IF(COUNTIF($X$4:$X51,$X52)&gt;0,"",COUNT($Y$4:$Y51)+1))</f>
        <v/>
      </c>
      <c r="Z52" s="26" t="n">
        <f aca="false">IF($Q52=0,0,IF(OR($L52=R_LOT,$N52=R_LOT),1,0))</f>
        <v>0</v>
      </c>
      <c r="AA52" s="26" t="str">
        <f aca="false">IF($Z52=0,"",COUNTIF($Z$5:$Z52,1))</f>
        <v/>
      </c>
    </row>
    <row r="53" customFormat="false" ht="15" hidden="false" customHeight="false" outlineLevel="0" collapsed="false">
      <c r="A53" s="26" t="str">
        <f aca="false">IF($B53="","","RES-"&amp;TEXT(ROW()-4,"000"))</f>
        <v/>
      </c>
      <c r="B53" s="24"/>
      <c r="C53" s="25"/>
      <c r="D53" s="24"/>
      <c r="E53" s="24"/>
      <c r="F53" s="29"/>
      <c r="G53" s="24"/>
      <c r="H53" s="24"/>
      <c r="I53" s="24"/>
      <c r="J53" s="24"/>
      <c r="K53" s="24"/>
      <c r="L53" s="26" t="str">
        <f aca="false">IF($B53="","",IFERROR(INDEX(ST_LOT,MATCH($B53,ST_ID,0)),""))</f>
        <v/>
      </c>
      <c r="M53" s="26" t="str">
        <f aca="false">IF($B53="","",IFERROR(INDEX(ST_STRAIT,MATCH($B53,ST_ID,0)),""))</f>
        <v/>
      </c>
      <c r="N53" s="26" t="str">
        <f aca="false">IF($B53="","",IF($E53="",$L53,$E53))</f>
        <v/>
      </c>
      <c r="O53" s="26" t="str">
        <f aca="false">IF($N53="","",IFERROR(INDEX(LOT_EXTE,MATCH($N53,LOT_KEY,0)),""))</f>
        <v/>
      </c>
      <c r="P53" s="26" t="str">
        <f aca="false">IF($J53="","",IFERROR(INDEX(EMPL_CLASSE,MATCH($J53,EMPL_KEY,0)),"?"))</f>
        <v/>
      </c>
      <c r="Q53" s="28" t="n">
        <f aca="false">IF($B53="",0,IF(OR(ISNA(MATCH($B53,ST_ID,0)),NOT(ISNUMBER($F53)),$F53&lt;=0,$J53="",$N53=""),0,1))</f>
        <v>0</v>
      </c>
      <c r="R53" s="27" t="n">
        <f aca="false">IF($Q53=0,0,$F53)</f>
        <v>0</v>
      </c>
      <c r="S53" s="26" t="str">
        <f aca="false">IF($B53="","",IFERROR(INDEX(ST_STATUT,MATCH($B53,ST_ID,0)),""))</f>
        <v/>
      </c>
      <c r="T53" s="26" t="str">
        <f aca="false">IF($B53="","",IF($Q53=0,"DONNEES MANQUANTES",IF(OR($S53="DONNEES MANQUANTES",$S53="STOCK INSUFFISANT",$S53="EMPLACEMENT INCOHERENT",$S53="BLOQUE"),"BLOQUE","OK")))</f>
        <v/>
      </c>
      <c r="U53" s="28" t="n">
        <f aca="false">IF($T53="OK",1,0)</f>
        <v>0</v>
      </c>
      <c r="V53" s="26" t="str">
        <f aca="false">IF($B53="","",IF($Q53=0,"A COMPLETER : "&amp;IF(ISNA(MATCH($B53,ST_ID,0)),"ID ST valide; ","")&amp;IF(OR(NOT(ISNUMBER($F53)),$F53&lt;=0),"QUANTITE &gt; 0; ","")&amp;IF($J53="","EMPL. DESTINATION; ",""),IF($T53="BLOQUE","Envoi parent en anomalie ("&amp;$S53&amp;") : corriger l'onglet SOUS_TRAITANCE.",IF(AND($E53&lt;&gt;"",ISNA(MATCH($E53,LOT_KEY,0))),"Creer la fiche du lot resultat dans l'onglet LOTS.",""))))</f>
        <v/>
      </c>
      <c r="W53" s="31" t="str">
        <f aca="false">IF($B53="","",IF($C53&lt;&gt;"",$C53,IFERROR(INDEX(ST_DATERET,MATCH($B53,ST_ID,0)),"")))</f>
        <v/>
      </c>
      <c r="X53" s="26" t="str">
        <f aca="false">IF($Q53=0,"",IF($L53=R_LOT,IF($N53&lt;&gt;R_LOT,$N53,""),IF($N53=R_LOT,$L53,"")))</f>
        <v/>
      </c>
      <c r="Y53" s="26" t="str">
        <f aca="false">IF($X53="","",IF(COUNTIF($X$4:$X52,$X53)&gt;0,"",COUNT($Y$4:$Y52)+1))</f>
        <v/>
      </c>
      <c r="Z53" s="26" t="n">
        <f aca="false">IF($Q53=0,0,IF(OR($L53=R_LOT,$N53=R_LOT),1,0))</f>
        <v>0</v>
      </c>
      <c r="AA53" s="26" t="str">
        <f aca="false">IF($Z53=0,"",COUNTIF($Z$5:$Z53,1))</f>
        <v/>
      </c>
    </row>
    <row r="54" customFormat="false" ht="15" hidden="false" customHeight="false" outlineLevel="0" collapsed="false">
      <c r="A54" s="26" t="str">
        <f aca="false">IF($B54="","","RES-"&amp;TEXT(ROW()-4,"000"))</f>
        <v/>
      </c>
      <c r="B54" s="24"/>
      <c r="C54" s="25"/>
      <c r="D54" s="24"/>
      <c r="E54" s="24"/>
      <c r="F54" s="29"/>
      <c r="G54" s="24"/>
      <c r="H54" s="24"/>
      <c r="I54" s="24"/>
      <c r="J54" s="24"/>
      <c r="K54" s="24"/>
      <c r="L54" s="26" t="str">
        <f aca="false">IF($B54="","",IFERROR(INDEX(ST_LOT,MATCH($B54,ST_ID,0)),""))</f>
        <v/>
      </c>
      <c r="M54" s="26" t="str">
        <f aca="false">IF($B54="","",IFERROR(INDEX(ST_STRAIT,MATCH($B54,ST_ID,0)),""))</f>
        <v/>
      </c>
      <c r="N54" s="26" t="str">
        <f aca="false">IF($B54="","",IF($E54="",$L54,$E54))</f>
        <v/>
      </c>
      <c r="O54" s="26" t="str">
        <f aca="false">IF($N54="","",IFERROR(INDEX(LOT_EXTE,MATCH($N54,LOT_KEY,0)),""))</f>
        <v/>
      </c>
      <c r="P54" s="26" t="str">
        <f aca="false">IF($J54="","",IFERROR(INDEX(EMPL_CLASSE,MATCH($J54,EMPL_KEY,0)),"?"))</f>
        <v/>
      </c>
      <c r="Q54" s="28" t="n">
        <f aca="false">IF($B54="",0,IF(OR(ISNA(MATCH($B54,ST_ID,0)),NOT(ISNUMBER($F54)),$F54&lt;=0,$J54="",$N54=""),0,1))</f>
        <v>0</v>
      </c>
      <c r="R54" s="27" t="n">
        <f aca="false">IF($Q54=0,0,$F54)</f>
        <v>0</v>
      </c>
      <c r="S54" s="26" t="str">
        <f aca="false">IF($B54="","",IFERROR(INDEX(ST_STATUT,MATCH($B54,ST_ID,0)),""))</f>
        <v/>
      </c>
      <c r="T54" s="26" t="str">
        <f aca="false">IF($B54="","",IF($Q54=0,"DONNEES MANQUANTES",IF(OR($S54="DONNEES MANQUANTES",$S54="STOCK INSUFFISANT",$S54="EMPLACEMENT INCOHERENT",$S54="BLOQUE"),"BLOQUE","OK")))</f>
        <v/>
      </c>
      <c r="U54" s="28" t="n">
        <f aca="false">IF($T54="OK",1,0)</f>
        <v>0</v>
      </c>
      <c r="V54" s="26" t="str">
        <f aca="false">IF($B54="","",IF($Q54=0,"A COMPLETER : "&amp;IF(ISNA(MATCH($B54,ST_ID,0)),"ID ST valide; ","")&amp;IF(OR(NOT(ISNUMBER($F54)),$F54&lt;=0),"QUANTITE &gt; 0; ","")&amp;IF($J54="","EMPL. DESTINATION; ",""),IF($T54="BLOQUE","Envoi parent en anomalie ("&amp;$S54&amp;") : corriger l'onglet SOUS_TRAITANCE.",IF(AND($E54&lt;&gt;"",ISNA(MATCH($E54,LOT_KEY,0))),"Creer la fiche du lot resultat dans l'onglet LOTS.",""))))</f>
        <v/>
      </c>
      <c r="W54" s="31" t="str">
        <f aca="false">IF($B54="","",IF($C54&lt;&gt;"",$C54,IFERROR(INDEX(ST_DATERET,MATCH($B54,ST_ID,0)),"")))</f>
        <v/>
      </c>
      <c r="X54" s="26" t="str">
        <f aca="false">IF($Q54=0,"",IF($L54=R_LOT,IF($N54&lt;&gt;R_LOT,$N54,""),IF($N54=R_LOT,$L54,"")))</f>
        <v/>
      </c>
      <c r="Y54" s="26" t="str">
        <f aca="false">IF($X54="","",IF(COUNTIF($X$4:$X53,$X54)&gt;0,"",COUNT($Y$4:$Y53)+1))</f>
        <v/>
      </c>
      <c r="Z54" s="26" t="n">
        <f aca="false">IF($Q54=0,0,IF(OR($L54=R_LOT,$N54=R_LOT),1,0))</f>
        <v>0</v>
      </c>
      <c r="AA54" s="26" t="str">
        <f aca="false">IF($Z54=0,"",COUNTIF($Z$5:$Z54,1))</f>
        <v/>
      </c>
    </row>
    <row r="55" customFormat="false" ht="15" hidden="false" customHeight="false" outlineLevel="0" collapsed="false">
      <c r="A55" s="26" t="str">
        <f aca="false">IF($B55="","","RES-"&amp;TEXT(ROW()-4,"000"))</f>
        <v/>
      </c>
      <c r="B55" s="24"/>
      <c r="C55" s="25"/>
      <c r="D55" s="24"/>
      <c r="E55" s="24"/>
      <c r="F55" s="29"/>
      <c r="G55" s="24"/>
      <c r="H55" s="24"/>
      <c r="I55" s="24"/>
      <c r="J55" s="24"/>
      <c r="K55" s="24"/>
      <c r="L55" s="26" t="str">
        <f aca="false">IF($B55="","",IFERROR(INDEX(ST_LOT,MATCH($B55,ST_ID,0)),""))</f>
        <v/>
      </c>
      <c r="M55" s="26" t="str">
        <f aca="false">IF($B55="","",IFERROR(INDEX(ST_STRAIT,MATCH($B55,ST_ID,0)),""))</f>
        <v/>
      </c>
      <c r="N55" s="26" t="str">
        <f aca="false">IF($B55="","",IF($E55="",$L55,$E55))</f>
        <v/>
      </c>
      <c r="O55" s="26" t="str">
        <f aca="false">IF($N55="","",IFERROR(INDEX(LOT_EXTE,MATCH($N55,LOT_KEY,0)),""))</f>
        <v/>
      </c>
      <c r="P55" s="26" t="str">
        <f aca="false">IF($J55="","",IFERROR(INDEX(EMPL_CLASSE,MATCH($J55,EMPL_KEY,0)),"?"))</f>
        <v/>
      </c>
      <c r="Q55" s="28" t="n">
        <f aca="false">IF($B55="",0,IF(OR(ISNA(MATCH($B55,ST_ID,0)),NOT(ISNUMBER($F55)),$F55&lt;=0,$J55="",$N55=""),0,1))</f>
        <v>0</v>
      </c>
      <c r="R55" s="27" t="n">
        <f aca="false">IF($Q55=0,0,$F55)</f>
        <v>0</v>
      </c>
      <c r="S55" s="26" t="str">
        <f aca="false">IF($B55="","",IFERROR(INDEX(ST_STATUT,MATCH($B55,ST_ID,0)),""))</f>
        <v/>
      </c>
      <c r="T55" s="26" t="str">
        <f aca="false">IF($B55="","",IF($Q55=0,"DONNEES MANQUANTES",IF(OR($S55="DONNEES MANQUANTES",$S55="STOCK INSUFFISANT",$S55="EMPLACEMENT INCOHERENT",$S55="BLOQUE"),"BLOQUE","OK")))</f>
        <v/>
      </c>
      <c r="U55" s="28" t="n">
        <f aca="false">IF($T55="OK",1,0)</f>
        <v>0</v>
      </c>
      <c r="V55" s="26" t="str">
        <f aca="false">IF($B55="","",IF($Q55=0,"A COMPLETER : "&amp;IF(ISNA(MATCH($B55,ST_ID,0)),"ID ST valide; ","")&amp;IF(OR(NOT(ISNUMBER($F55)),$F55&lt;=0),"QUANTITE &gt; 0; ","")&amp;IF($J55="","EMPL. DESTINATION; ",""),IF($T55="BLOQUE","Envoi parent en anomalie ("&amp;$S55&amp;") : corriger l'onglet SOUS_TRAITANCE.",IF(AND($E55&lt;&gt;"",ISNA(MATCH($E55,LOT_KEY,0))),"Creer la fiche du lot resultat dans l'onglet LOTS.",""))))</f>
        <v/>
      </c>
      <c r="W55" s="31" t="str">
        <f aca="false">IF($B55="","",IF($C55&lt;&gt;"",$C55,IFERROR(INDEX(ST_DATERET,MATCH($B55,ST_ID,0)),"")))</f>
        <v/>
      </c>
      <c r="X55" s="26" t="str">
        <f aca="false">IF($Q55=0,"",IF($L55=R_LOT,IF($N55&lt;&gt;R_LOT,$N55,""),IF($N55=R_LOT,$L55,"")))</f>
        <v/>
      </c>
      <c r="Y55" s="26" t="str">
        <f aca="false">IF($X55="","",IF(COUNTIF($X$4:$X54,$X55)&gt;0,"",COUNT($Y$4:$Y54)+1))</f>
        <v/>
      </c>
      <c r="Z55" s="26" t="n">
        <f aca="false">IF($Q55=0,0,IF(OR($L55=R_LOT,$N55=R_LOT),1,0))</f>
        <v>0</v>
      </c>
      <c r="AA55" s="26" t="str">
        <f aca="false">IF($Z55=0,"",COUNTIF($Z$5:$Z55,1))</f>
        <v/>
      </c>
    </row>
    <row r="56" customFormat="false" ht="15" hidden="false" customHeight="false" outlineLevel="0" collapsed="false">
      <c r="A56" s="26" t="str">
        <f aca="false">IF($B56="","","RES-"&amp;TEXT(ROW()-4,"000"))</f>
        <v/>
      </c>
      <c r="B56" s="24"/>
      <c r="C56" s="25"/>
      <c r="D56" s="24"/>
      <c r="E56" s="24"/>
      <c r="F56" s="29"/>
      <c r="G56" s="24"/>
      <c r="H56" s="24"/>
      <c r="I56" s="24"/>
      <c r="J56" s="24"/>
      <c r="K56" s="24"/>
      <c r="L56" s="26" t="str">
        <f aca="false">IF($B56="","",IFERROR(INDEX(ST_LOT,MATCH($B56,ST_ID,0)),""))</f>
        <v/>
      </c>
      <c r="M56" s="26" t="str">
        <f aca="false">IF($B56="","",IFERROR(INDEX(ST_STRAIT,MATCH($B56,ST_ID,0)),""))</f>
        <v/>
      </c>
      <c r="N56" s="26" t="str">
        <f aca="false">IF($B56="","",IF($E56="",$L56,$E56))</f>
        <v/>
      </c>
      <c r="O56" s="26" t="str">
        <f aca="false">IF($N56="","",IFERROR(INDEX(LOT_EXTE,MATCH($N56,LOT_KEY,0)),""))</f>
        <v/>
      </c>
      <c r="P56" s="26" t="str">
        <f aca="false">IF($J56="","",IFERROR(INDEX(EMPL_CLASSE,MATCH($J56,EMPL_KEY,0)),"?"))</f>
        <v/>
      </c>
      <c r="Q56" s="28" t="n">
        <f aca="false">IF($B56="",0,IF(OR(ISNA(MATCH($B56,ST_ID,0)),NOT(ISNUMBER($F56)),$F56&lt;=0,$J56="",$N56=""),0,1))</f>
        <v>0</v>
      </c>
      <c r="R56" s="27" t="n">
        <f aca="false">IF($Q56=0,0,$F56)</f>
        <v>0</v>
      </c>
      <c r="S56" s="26" t="str">
        <f aca="false">IF($B56="","",IFERROR(INDEX(ST_STATUT,MATCH($B56,ST_ID,0)),""))</f>
        <v/>
      </c>
      <c r="T56" s="26" t="str">
        <f aca="false">IF($B56="","",IF($Q56=0,"DONNEES MANQUANTES",IF(OR($S56="DONNEES MANQUANTES",$S56="STOCK INSUFFISANT",$S56="EMPLACEMENT INCOHERENT",$S56="BLOQUE"),"BLOQUE","OK")))</f>
        <v/>
      </c>
      <c r="U56" s="28" t="n">
        <f aca="false">IF($T56="OK",1,0)</f>
        <v>0</v>
      </c>
      <c r="V56" s="26" t="str">
        <f aca="false">IF($B56="","",IF($Q56=0,"A COMPLETER : "&amp;IF(ISNA(MATCH($B56,ST_ID,0)),"ID ST valide; ","")&amp;IF(OR(NOT(ISNUMBER($F56)),$F56&lt;=0),"QUANTITE &gt; 0; ","")&amp;IF($J56="","EMPL. DESTINATION; ",""),IF($T56="BLOQUE","Envoi parent en anomalie ("&amp;$S56&amp;") : corriger l'onglet SOUS_TRAITANCE.",IF(AND($E56&lt;&gt;"",ISNA(MATCH($E56,LOT_KEY,0))),"Creer la fiche du lot resultat dans l'onglet LOTS.",""))))</f>
        <v/>
      </c>
      <c r="W56" s="31" t="str">
        <f aca="false">IF($B56="","",IF($C56&lt;&gt;"",$C56,IFERROR(INDEX(ST_DATERET,MATCH($B56,ST_ID,0)),"")))</f>
        <v/>
      </c>
      <c r="X56" s="26" t="str">
        <f aca="false">IF($Q56=0,"",IF($L56=R_LOT,IF($N56&lt;&gt;R_LOT,$N56,""),IF($N56=R_LOT,$L56,"")))</f>
        <v/>
      </c>
      <c r="Y56" s="26" t="str">
        <f aca="false">IF($X56="","",IF(COUNTIF($X$4:$X55,$X56)&gt;0,"",COUNT($Y$4:$Y55)+1))</f>
        <v/>
      </c>
      <c r="Z56" s="26" t="n">
        <f aca="false">IF($Q56=0,0,IF(OR($L56=R_LOT,$N56=R_LOT),1,0))</f>
        <v>0</v>
      </c>
      <c r="AA56" s="26" t="str">
        <f aca="false">IF($Z56=0,"",COUNTIF($Z$5:$Z56,1))</f>
        <v/>
      </c>
    </row>
    <row r="57" customFormat="false" ht="15" hidden="false" customHeight="false" outlineLevel="0" collapsed="false">
      <c r="A57" s="26" t="str">
        <f aca="false">IF($B57="","","RES-"&amp;TEXT(ROW()-4,"000"))</f>
        <v/>
      </c>
      <c r="B57" s="24"/>
      <c r="C57" s="25"/>
      <c r="D57" s="24"/>
      <c r="E57" s="24"/>
      <c r="F57" s="29"/>
      <c r="G57" s="24"/>
      <c r="H57" s="24"/>
      <c r="I57" s="24"/>
      <c r="J57" s="24"/>
      <c r="K57" s="24"/>
      <c r="L57" s="26" t="str">
        <f aca="false">IF($B57="","",IFERROR(INDEX(ST_LOT,MATCH($B57,ST_ID,0)),""))</f>
        <v/>
      </c>
      <c r="M57" s="26" t="str">
        <f aca="false">IF($B57="","",IFERROR(INDEX(ST_STRAIT,MATCH($B57,ST_ID,0)),""))</f>
        <v/>
      </c>
      <c r="N57" s="26" t="str">
        <f aca="false">IF($B57="","",IF($E57="",$L57,$E57))</f>
        <v/>
      </c>
      <c r="O57" s="26" t="str">
        <f aca="false">IF($N57="","",IFERROR(INDEX(LOT_EXTE,MATCH($N57,LOT_KEY,0)),""))</f>
        <v/>
      </c>
      <c r="P57" s="26" t="str">
        <f aca="false">IF($J57="","",IFERROR(INDEX(EMPL_CLASSE,MATCH($J57,EMPL_KEY,0)),"?"))</f>
        <v/>
      </c>
      <c r="Q57" s="28" t="n">
        <f aca="false">IF($B57="",0,IF(OR(ISNA(MATCH($B57,ST_ID,0)),NOT(ISNUMBER($F57)),$F57&lt;=0,$J57="",$N57=""),0,1))</f>
        <v>0</v>
      </c>
      <c r="R57" s="27" t="n">
        <f aca="false">IF($Q57=0,0,$F57)</f>
        <v>0</v>
      </c>
      <c r="S57" s="26" t="str">
        <f aca="false">IF($B57="","",IFERROR(INDEX(ST_STATUT,MATCH($B57,ST_ID,0)),""))</f>
        <v/>
      </c>
      <c r="T57" s="26" t="str">
        <f aca="false">IF($B57="","",IF($Q57=0,"DONNEES MANQUANTES",IF(OR($S57="DONNEES MANQUANTES",$S57="STOCK INSUFFISANT",$S57="EMPLACEMENT INCOHERENT",$S57="BLOQUE"),"BLOQUE","OK")))</f>
        <v/>
      </c>
      <c r="U57" s="28" t="n">
        <f aca="false">IF($T57="OK",1,0)</f>
        <v>0</v>
      </c>
      <c r="V57" s="26" t="str">
        <f aca="false">IF($B57="","",IF($Q57=0,"A COMPLETER : "&amp;IF(ISNA(MATCH($B57,ST_ID,0)),"ID ST valide; ","")&amp;IF(OR(NOT(ISNUMBER($F57)),$F57&lt;=0),"QUANTITE &gt; 0; ","")&amp;IF($J57="","EMPL. DESTINATION; ",""),IF($T57="BLOQUE","Envoi parent en anomalie ("&amp;$S57&amp;") : corriger l'onglet SOUS_TRAITANCE.",IF(AND($E57&lt;&gt;"",ISNA(MATCH($E57,LOT_KEY,0))),"Creer la fiche du lot resultat dans l'onglet LOTS.",""))))</f>
        <v/>
      </c>
      <c r="W57" s="31" t="str">
        <f aca="false">IF($B57="","",IF($C57&lt;&gt;"",$C57,IFERROR(INDEX(ST_DATERET,MATCH($B57,ST_ID,0)),"")))</f>
        <v/>
      </c>
      <c r="X57" s="26" t="str">
        <f aca="false">IF($Q57=0,"",IF($L57=R_LOT,IF($N57&lt;&gt;R_LOT,$N57,""),IF($N57=R_LOT,$L57,"")))</f>
        <v/>
      </c>
      <c r="Y57" s="26" t="str">
        <f aca="false">IF($X57="","",IF(COUNTIF($X$4:$X56,$X57)&gt;0,"",COUNT($Y$4:$Y56)+1))</f>
        <v/>
      </c>
      <c r="Z57" s="26" t="n">
        <f aca="false">IF($Q57=0,0,IF(OR($L57=R_LOT,$N57=R_LOT),1,0))</f>
        <v>0</v>
      </c>
      <c r="AA57" s="26" t="str">
        <f aca="false">IF($Z57=0,"",COUNTIF($Z$5:$Z57,1))</f>
        <v/>
      </c>
    </row>
    <row r="58" customFormat="false" ht="15" hidden="false" customHeight="false" outlineLevel="0" collapsed="false">
      <c r="A58" s="26" t="str">
        <f aca="false">IF($B58="","","RES-"&amp;TEXT(ROW()-4,"000"))</f>
        <v/>
      </c>
      <c r="B58" s="24"/>
      <c r="C58" s="25"/>
      <c r="D58" s="24"/>
      <c r="E58" s="24"/>
      <c r="F58" s="29"/>
      <c r="G58" s="24"/>
      <c r="H58" s="24"/>
      <c r="I58" s="24"/>
      <c r="J58" s="24"/>
      <c r="K58" s="24"/>
      <c r="L58" s="26" t="str">
        <f aca="false">IF($B58="","",IFERROR(INDEX(ST_LOT,MATCH($B58,ST_ID,0)),""))</f>
        <v/>
      </c>
      <c r="M58" s="26" t="str">
        <f aca="false">IF($B58="","",IFERROR(INDEX(ST_STRAIT,MATCH($B58,ST_ID,0)),""))</f>
        <v/>
      </c>
      <c r="N58" s="26" t="str">
        <f aca="false">IF($B58="","",IF($E58="",$L58,$E58))</f>
        <v/>
      </c>
      <c r="O58" s="26" t="str">
        <f aca="false">IF($N58="","",IFERROR(INDEX(LOT_EXTE,MATCH($N58,LOT_KEY,0)),""))</f>
        <v/>
      </c>
      <c r="P58" s="26" t="str">
        <f aca="false">IF($J58="","",IFERROR(INDEX(EMPL_CLASSE,MATCH($J58,EMPL_KEY,0)),"?"))</f>
        <v/>
      </c>
      <c r="Q58" s="28" t="n">
        <f aca="false">IF($B58="",0,IF(OR(ISNA(MATCH($B58,ST_ID,0)),NOT(ISNUMBER($F58)),$F58&lt;=0,$J58="",$N58=""),0,1))</f>
        <v>0</v>
      </c>
      <c r="R58" s="27" t="n">
        <f aca="false">IF($Q58=0,0,$F58)</f>
        <v>0</v>
      </c>
      <c r="S58" s="26" t="str">
        <f aca="false">IF($B58="","",IFERROR(INDEX(ST_STATUT,MATCH($B58,ST_ID,0)),""))</f>
        <v/>
      </c>
      <c r="T58" s="26" t="str">
        <f aca="false">IF($B58="","",IF($Q58=0,"DONNEES MANQUANTES",IF(OR($S58="DONNEES MANQUANTES",$S58="STOCK INSUFFISANT",$S58="EMPLACEMENT INCOHERENT",$S58="BLOQUE"),"BLOQUE","OK")))</f>
        <v/>
      </c>
      <c r="U58" s="28" t="n">
        <f aca="false">IF($T58="OK",1,0)</f>
        <v>0</v>
      </c>
      <c r="V58" s="26" t="str">
        <f aca="false">IF($B58="","",IF($Q58=0,"A COMPLETER : "&amp;IF(ISNA(MATCH($B58,ST_ID,0)),"ID ST valide; ","")&amp;IF(OR(NOT(ISNUMBER($F58)),$F58&lt;=0),"QUANTITE &gt; 0; ","")&amp;IF($J58="","EMPL. DESTINATION; ",""),IF($T58="BLOQUE","Envoi parent en anomalie ("&amp;$S58&amp;") : corriger l'onglet SOUS_TRAITANCE.",IF(AND($E58&lt;&gt;"",ISNA(MATCH($E58,LOT_KEY,0))),"Creer la fiche du lot resultat dans l'onglet LOTS.",""))))</f>
        <v/>
      </c>
      <c r="W58" s="31" t="str">
        <f aca="false">IF($B58="","",IF($C58&lt;&gt;"",$C58,IFERROR(INDEX(ST_DATERET,MATCH($B58,ST_ID,0)),"")))</f>
        <v/>
      </c>
      <c r="X58" s="26" t="str">
        <f aca="false">IF($Q58=0,"",IF($L58=R_LOT,IF($N58&lt;&gt;R_LOT,$N58,""),IF($N58=R_LOT,$L58,"")))</f>
        <v/>
      </c>
      <c r="Y58" s="26" t="str">
        <f aca="false">IF($X58="","",IF(COUNTIF($X$4:$X57,$X58)&gt;0,"",COUNT($Y$4:$Y57)+1))</f>
        <v/>
      </c>
      <c r="Z58" s="26" t="n">
        <f aca="false">IF($Q58=0,0,IF(OR($L58=R_LOT,$N58=R_LOT),1,0))</f>
        <v>0</v>
      </c>
      <c r="AA58" s="26" t="str">
        <f aca="false">IF($Z58=0,"",COUNTIF($Z$5:$Z58,1))</f>
        <v/>
      </c>
    </row>
    <row r="59" customFormat="false" ht="15" hidden="false" customHeight="false" outlineLevel="0" collapsed="false">
      <c r="A59" s="26" t="str">
        <f aca="false">IF($B59="","","RES-"&amp;TEXT(ROW()-4,"000"))</f>
        <v/>
      </c>
      <c r="B59" s="24"/>
      <c r="C59" s="25"/>
      <c r="D59" s="24"/>
      <c r="E59" s="24"/>
      <c r="F59" s="29"/>
      <c r="G59" s="24"/>
      <c r="H59" s="24"/>
      <c r="I59" s="24"/>
      <c r="J59" s="24"/>
      <c r="K59" s="24"/>
      <c r="L59" s="26" t="str">
        <f aca="false">IF($B59="","",IFERROR(INDEX(ST_LOT,MATCH($B59,ST_ID,0)),""))</f>
        <v/>
      </c>
      <c r="M59" s="26" t="str">
        <f aca="false">IF($B59="","",IFERROR(INDEX(ST_STRAIT,MATCH($B59,ST_ID,0)),""))</f>
        <v/>
      </c>
      <c r="N59" s="26" t="str">
        <f aca="false">IF($B59="","",IF($E59="",$L59,$E59))</f>
        <v/>
      </c>
      <c r="O59" s="26" t="str">
        <f aca="false">IF($N59="","",IFERROR(INDEX(LOT_EXTE,MATCH($N59,LOT_KEY,0)),""))</f>
        <v/>
      </c>
      <c r="P59" s="26" t="str">
        <f aca="false">IF($J59="","",IFERROR(INDEX(EMPL_CLASSE,MATCH($J59,EMPL_KEY,0)),"?"))</f>
        <v/>
      </c>
      <c r="Q59" s="28" t="n">
        <f aca="false">IF($B59="",0,IF(OR(ISNA(MATCH($B59,ST_ID,0)),NOT(ISNUMBER($F59)),$F59&lt;=0,$J59="",$N59=""),0,1))</f>
        <v>0</v>
      </c>
      <c r="R59" s="27" t="n">
        <f aca="false">IF($Q59=0,0,$F59)</f>
        <v>0</v>
      </c>
      <c r="S59" s="26" t="str">
        <f aca="false">IF($B59="","",IFERROR(INDEX(ST_STATUT,MATCH($B59,ST_ID,0)),""))</f>
        <v/>
      </c>
      <c r="T59" s="26" t="str">
        <f aca="false">IF($B59="","",IF($Q59=0,"DONNEES MANQUANTES",IF(OR($S59="DONNEES MANQUANTES",$S59="STOCK INSUFFISANT",$S59="EMPLACEMENT INCOHERENT",$S59="BLOQUE"),"BLOQUE","OK")))</f>
        <v/>
      </c>
      <c r="U59" s="28" t="n">
        <f aca="false">IF($T59="OK",1,0)</f>
        <v>0</v>
      </c>
      <c r="V59" s="26" t="str">
        <f aca="false">IF($B59="","",IF($Q59=0,"A COMPLETER : "&amp;IF(ISNA(MATCH($B59,ST_ID,0)),"ID ST valide; ","")&amp;IF(OR(NOT(ISNUMBER($F59)),$F59&lt;=0),"QUANTITE &gt; 0; ","")&amp;IF($J59="","EMPL. DESTINATION; ",""),IF($T59="BLOQUE","Envoi parent en anomalie ("&amp;$S59&amp;") : corriger l'onglet SOUS_TRAITANCE.",IF(AND($E59&lt;&gt;"",ISNA(MATCH($E59,LOT_KEY,0))),"Creer la fiche du lot resultat dans l'onglet LOTS.",""))))</f>
        <v/>
      </c>
      <c r="W59" s="31" t="str">
        <f aca="false">IF($B59="","",IF($C59&lt;&gt;"",$C59,IFERROR(INDEX(ST_DATERET,MATCH($B59,ST_ID,0)),"")))</f>
        <v/>
      </c>
      <c r="X59" s="26" t="str">
        <f aca="false">IF($Q59=0,"",IF($L59=R_LOT,IF($N59&lt;&gt;R_LOT,$N59,""),IF($N59=R_LOT,$L59,"")))</f>
        <v/>
      </c>
      <c r="Y59" s="26" t="str">
        <f aca="false">IF($X59="","",IF(COUNTIF($X$4:$X58,$X59)&gt;0,"",COUNT($Y$4:$Y58)+1))</f>
        <v/>
      </c>
      <c r="Z59" s="26" t="n">
        <f aca="false">IF($Q59=0,0,IF(OR($L59=R_LOT,$N59=R_LOT),1,0))</f>
        <v>0</v>
      </c>
      <c r="AA59" s="26" t="str">
        <f aca="false">IF($Z59=0,"",COUNTIF($Z$5:$Z59,1))</f>
        <v/>
      </c>
    </row>
    <row r="60" customFormat="false" ht="15" hidden="false" customHeight="false" outlineLevel="0" collapsed="false">
      <c r="A60" s="26" t="str">
        <f aca="false">IF($B60="","","RES-"&amp;TEXT(ROW()-4,"000"))</f>
        <v/>
      </c>
      <c r="B60" s="24"/>
      <c r="C60" s="25"/>
      <c r="D60" s="24"/>
      <c r="E60" s="24"/>
      <c r="F60" s="29"/>
      <c r="G60" s="24"/>
      <c r="H60" s="24"/>
      <c r="I60" s="24"/>
      <c r="J60" s="24"/>
      <c r="K60" s="24"/>
      <c r="L60" s="26" t="str">
        <f aca="false">IF($B60="","",IFERROR(INDEX(ST_LOT,MATCH($B60,ST_ID,0)),""))</f>
        <v/>
      </c>
      <c r="M60" s="26" t="str">
        <f aca="false">IF($B60="","",IFERROR(INDEX(ST_STRAIT,MATCH($B60,ST_ID,0)),""))</f>
        <v/>
      </c>
      <c r="N60" s="26" t="str">
        <f aca="false">IF($B60="","",IF($E60="",$L60,$E60))</f>
        <v/>
      </c>
      <c r="O60" s="26" t="str">
        <f aca="false">IF($N60="","",IFERROR(INDEX(LOT_EXTE,MATCH($N60,LOT_KEY,0)),""))</f>
        <v/>
      </c>
      <c r="P60" s="26" t="str">
        <f aca="false">IF($J60="","",IFERROR(INDEX(EMPL_CLASSE,MATCH($J60,EMPL_KEY,0)),"?"))</f>
        <v/>
      </c>
      <c r="Q60" s="28" t="n">
        <f aca="false">IF($B60="",0,IF(OR(ISNA(MATCH($B60,ST_ID,0)),NOT(ISNUMBER($F60)),$F60&lt;=0,$J60="",$N60=""),0,1))</f>
        <v>0</v>
      </c>
      <c r="R60" s="27" t="n">
        <f aca="false">IF($Q60=0,0,$F60)</f>
        <v>0</v>
      </c>
      <c r="S60" s="26" t="str">
        <f aca="false">IF($B60="","",IFERROR(INDEX(ST_STATUT,MATCH($B60,ST_ID,0)),""))</f>
        <v/>
      </c>
      <c r="T60" s="26" t="str">
        <f aca="false">IF($B60="","",IF($Q60=0,"DONNEES MANQUANTES",IF(OR($S60="DONNEES MANQUANTES",$S60="STOCK INSUFFISANT",$S60="EMPLACEMENT INCOHERENT",$S60="BLOQUE"),"BLOQUE","OK")))</f>
        <v/>
      </c>
      <c r="U60" s="28" t="n">
        <f aca="false">IF($T60="OK",1,0)</f>
        <v>0</v>
      </c>
      <c r="V60" s="26" t="str">
        <f aca="false">IF($B60="","",IF($Q60=0,"A COMPLETER : "&amp;IF(ISNA(MATCH($B60,ST_ID,0)),"ID ST valide; ","")&amp;IF(OR(NOT(ISNUMBER($F60)),$F60&lt;=0),"QUANTITE &gt; 0; ","")&amp;IF($J60="","EMPL. DESTINATION; ",""),IF($T60="BLOQUE","Envoi parent en anomalie ("&amp;$S60&amp;") : corriger l'onglet SOUS_TRAITANCE.",IF(AND($E60&lt;&gt;"",ISNA(MATCH($E60,LOT_KEY,0))),"Creer la fiche du lot resultat dans l'onglet LOTS.",""))))</f>
        <v/>
      </c>
      <c r="W60" s="31" t="str">
        <f aca="false">IF($B60="","",IF($C60&lt;&gt;"",$C60,IFERROR(INDEX(ST_DATERET,MATCH($B60,ST_ID,0)),"")))</f>
        <v/>
      </c>
      <c r="X60" s="26" t="str">
        <f aca="false">IF($Q60=0,"",IF($L60=R_LOT,IF($N60&lt;&gt;R_LOT,$N60,""),IF($N60=R_LOT,$L60,"")))</f>
        <v/>
      </c>
      <c r="Y60" s="26" t="str">
        <f aca="false">IF($X60="","",IF(COUNTIF($X$4:$X59,$X60)&gt;0,"",COUNT($Y$4:$Y59)+1))</f>
        <v/>
      </c>
      <c r="Z60" s="26" t="n">
        <f aca="false">IF($Q60=0,0,IF(OR($L60=R_LOT,$N60=R_LOT),1,0))</f>
        <v>0</v>
      </c>
      <c r="AA60" s="26" t="str">
        <f aca="false">IF($Z60=0,"",COUNTIF($Z$5:$Z60,1))</f>
        <v/>
      </c>
    </row>
    <row r="61" customFormat="false" ht="15" hidden="false" customHeight="false" outlineLevel="0" collapsed="false">
      <c r="A61" s="26" t="str">
        <f aca="false">IF($B61="","","RES-"&amp;TEXT(ROW()-4,"000"))</f>
        <v/>
      </c>
      <c r="B61" s="24"/>
      <c r="C61" s="25"/>
      <c r="D61" s="24"/>
      <c r="E61" s="24"/>
      <c r="F61" s="29"/>
      <c r="G61" s="24"/>
      <c r="H61" s="24"/>
      <c r="I61" s="24"/>
      <c r="J61" s="24"/>
      <c r="K61" s="24"/>
      <c r="L61" s="26" t="str">
        <f aca="false">IF($B61="","",IFERROR(INDEX(ST_LOT,MATCH($B61,ST_ID,0)),""))</f>
        <v/>
      </c>
      <c r="M61" s="26" t="str">
        <f aca="false">IF($B61="","",IFERROR(INDEX(ST_STRAIT,MATCH($B61,ST_ID,0)),""))</f>
        <v/>
      </c>
      <c r="N61" s="26" t="str">
        <f aca="false">IF($B61="","",IF($E61="",$L61,$E61))</f>
        <v/>
      </c>
      <c r="O61" s="26" t="str">
        <f aca="false">IF($N61="","",IFERROR(INDEX(LOT_EXTE,MATCH($N61,LOT_KEY,0)),""))</f>
        <v/>
      </c>
      <c r="P61" s="26" t="str">
        <f aca="false">IF($J61="","",IFERROR(INDEX(EMPL_CLASSE,MATCH($J61,EMPL_KEY,0)),"?"))</f>
        <v/>
      </c>
      <c r="Q61" s="28" t="n">
        <f aca="false">IF($B61="",0,IF(OR(ISNA(MATCH($B61,ST_ID,0)),NOT(ISNUMBER($F61)),$F61&lt;=0,$J61="",$N61=""),0,1))</f>
        <v>0</v>
      </c>
      <c r="R61" s="27" t="n">
        <f aca="false">IF($Q61=0,0,$F61)</f>
        <v>0</v>
      </c>
      <c r="S61" s="26" t="str">
        <f aca="false">IF($B61="","",IFERROR(INDEX(ST_STATUT,MATCH($B61,ST_ID,0)),""))</f>
        <v/>
      </c>
      <c r="T61" s="26" t="str">
        <f aca="false">IF($B61="","",IF($Q61=0,"DONNEES MANQUANTES",IF(OR($S61="DONNEES MANQUANTES",$S61="STOCK INSUFFISANT",$S61="EMPLACEMENT INCOHERENT",$S61="BLOQUE"),"BLOQUE","OK")))</f>
        <v/>
      </c>
      <c r="U61" s="28" t="n">
        <f aca="false">IF($T61="OK",1,0)</f>
        <v>0</v>
      </c>
      <c r="V61" s="26" t="str">
        <f aca="false">IF($B61="","",IF($Q61=0,"A COMPLETER : "&amp;IF(ISNA(MATCH($B61,ST_ID,0)),"ID ST valide; ","")&amp;IF(OR(NOT(ISNUMBER($F61)),$F61&lt;=0),"QUANTITE &gt; 0; ","")&amp;IF($J61="","EMPL. DESTINATION; ",""),IF($T61="BLOQUE","Envoi parent en anomalie ("&amp;$S61&amp;") : corriger l'onglet SOUS_TRAITANCE.",IF(AND($E61&lt;&gt;"",ISNA(MATCH($E61,LOT_KEY,0))),"Creer la fiche du lot resultat dans l'onglet LOTS.",""))))</f>
        <v/>
      </c>
      <c r="W61" s="31" t="str">
        <f aca="false">IF($B61="","",IF($C61&lt;&gt;"",$C61,IFERROR(INDEX(ST_DATERET,MATCH($B61,ST_ID,0)),"")))</f>
        <v/>
      </c>
      <c r="X61" s="26" t="str">
        <f aca="false">IF($Q61=0,"",IF($L61=R_LOT,IF($N61&lt;&gt;R_LOT,$N61,""),IF($N61=R_LOT,$L61,"")))</f>
        <v/>
      </c>
      <c r="Y61" s="26" t="str">
        <f aca="false">IF($X61="","",IF(COUNTIF($X$4:$X60,$X61)&gt;0,"",COUNT($Y$4:$Y60)+1))</f>
        <v/>
      </c>
      <c r="Z61" s="26" t="n">
        <f aca="false">IF($Q61=0,0,IF(OR($L61=R_LOT,$N61=R_LOT),1,0))</f>
        <v>0</v>
      </c>
      <c r="AA61" s="26" t="str">
        <f aca="false">IF($Z61=0,"",COUNTIF($Z$5:$Z61,1))</f>
        <v/>
      </c>
    </row>
    <row r="62" customFormat="false" ht="15" hidden="false" customHeight="false" outlineLevel="0" collapsed="false">
      <c r="A62" s="26" t="str">
        <f aca="false">IF($B62="","","RES-"&amp;TEXT(ROW()-4,"000"))</f>
        <v/>
      </c>
      <c r="B62" s="24"/>
      <c r="C62" s="25"/>
      <c r="D62" s="24"/>
      <c r="E62" s="24"/>
      <c r="F62" s="29"/>
      <c r="G62" s="24"/>
      <c r="H62" s="24"/>
      <c r="I62" s="24"/>
      <c r="J62" s="24"/>
      <c r="K62" s="24"/>
      <c r="L62" s="26" t="str">
        <f aca="false">IF($B62="","",IFERROR(INDEX(ST_LOT,MATCH($B62,ST_ID,0)),""))</f>
        <v/>
      </c>
      <c r="M62" s="26" t="str">
        <f aca="false">IF($B62="","",IFERROR(INDEX(ST_STRAIT,MATCH($B62,ST_ID,0)),""))</f>
        <v/>
      </c>
      <c r="N62" s="26" t="str">
        <f aca="false">IF($B62="","",IF($E62="",$L62,$E62))</f>
        <v/>
      </c>
      <c r="O62" s="26" t="str">
        <f aca="false">IF($N62="","",IFERROR(INDEX(LOT_EXTE,MATCH($N62,LOT_KEY,0)),""))</f>
        <v/>
      </c>
      <c r="P62" s="26" t="str">
        <f aca="false">IF($J62="","",IFERROR(INDEX(EMPL_CLASSE,MATCH($J62,EMPL_KEY,0)),"?"))</f>
        <v/>
      </c>
      <c r="Q62" s="28" t="n">
        <f aca="false">IF($B62="",0,IF(OR(ISNA(MATCH($B62,ST_ID,0)),NOT(ISNUMBER($F62)),$F62&lt;=0,$J62="",$N62=""),0,1))</f>
        <v>0</v>
      </c>
      <c r="R62" s="27" t="n">
        <f aca="false">IF($Q62=0,0,$F62)</f>
        <v>0</v>
      </c>
      <c r="S62" s="26" t="str">
        <f aca="false">IF($B62="","",IFERROR(INDEX(ST_STATUT,MATCH($B62,ST_ID,0)),""))</f>
        <v/>
      </c>
      <c r="T62" s="26" t="str">
        <f aca="false">IF($B62="","",IF($Q62=0,"DONNEES MANQUANTES",IF(OR($S62="DONNEES MANQUANTES",$S62="STOCK INSUFFISANT",$S62="EMPLACEMENT INCOHERENT",$S62="BLOQUE"),"BLOQUE","OK")))</f>
        <v/>
      </c>
      <c r="U62" s="28" t="n">
        <f aca="false">IF($T62="OK",1,0)</f>
        <v>0</v>
      </c>
      <c r="V62" s="26" t="str">
        <f aca="false">IF($B62="","",IF($Q62=0,"A COMPLETER : "&amp;IF(ISNA(MATCH($B62,ST_ID,0)),"ID ST valide; ","")&amp;IF(OR(NOT(ISNUMBER($F62)),$F62&lt;=0),"QUANTITE &gt; 0; ","")&amp;IF($J62="","EMPL. DESTINATION; ",""),IF($T62="BLOQUE","Envoi parent en anomalie ("&amp;$S62&amp;") : corriger l'onglet SOUS_TRAITANCE.",IF(AND($E62&lt;&gt;"",ISNA(MATCH($E62,LOT_KEY,0))),"Creer la fiche du lot resultat dans l'onglet LOTS.",""))))</f>
        <v/>
      </c>
      <c r="W62" s="31" t="str">
        <f aca="false">IF($B62="","",IF($C62&lt;&gt;"",$C62,IFERROR(INDEX(ST_DATERET,MATCH($B62,ST_ID,0)),"")))</f>
        <v/>
      </c>
      <c r="X62" s="26" t="str">
        <f aca="false">IF($Q62=0,"",IF($L62=R_LOT,IF($N62&lt;&gt;R_LOT,$N62,""),IF($N62=R_LOT,$L62,"")))</f>
        <v/>
      </c>
      <c r="Y62" s="26" t="str">
        <f aca="false">IF($X62="","",IF(COUNTIF($X$4:$X61,$X62)&gt;0,"",COUNT($Y$4:$Y61)+1))</f>
        <v/>
      </c>
      <c r="Z62" s="26" t="n">
        <f aca="false">IF($Q62=0,0,IF(OR($L62=R_LOT,$N62=R_LOT),1,0))</f>
        <v>0</v>
      </c>
      <c r="AA62" s="26" t="str">
        <f aca="false">IF($Z62=0,"",COUNTIF($Z$5:$Z62,1))</f>
        <v/>
      </c>
    </row>
    <row r="63" customFormat="false" ht="15" hidden="false" customHeight="false" outlineLevel="0" collapsed="false">
      <c r="A63" s="26" t="str">
        <f aca="false">IF($B63="","","RES-"&amp;TEXT(ROW()-4,"000"))</f>
        <v/>
      </c>
      <c r="B63" s="24"/>
      <c r="C63" s="25"/>
      <c r="D63" s="24"/>
      <c r="E63" s="24"/>
      <c r="F63" s="29"/>
      <c r="G63" s="24"/>
      <c r="H63" s="24"/>
      <c r="I63" s="24"/>
      <c r="J63" s="24"/>
      <c r="K63" s="24"/>
      <c r="L63" s="26" t="str">
        <f aca="false">IF($B63="","",IFERROR(INDEX(ST_LOT,MATCH($B63,ST_ID,0)),""))</f>
        <v/>
      </c>
      <c r="M63" s="26" t="str">
        <f aca="false">IF($B63="","",IFERROR(INDEX(ST_STRAIT,MATCH($B63,ST_ID,0)),""))</f>
        <v/>
      </c>
      <c r="N63" s="26" t="str">
        <f aca="false">IF($B63="","",IF($E63="",$L63,$E63))</f>
        <v/>
      </c>
      <c r="O63" s="26" t="str">
        <f aca="false">IF($N63="","",IFERROR(INDEX(LOT_EXTE,MATCH($N63,LOT_KEY,0)),""))</f>
        <v/>
      </c>
      <c r="P63" s="26" t="str">
        <f aca="false">IF($J63="","",IFERROR(INDEX(EMPL_CLASSE,MATCH($J63,EMPL_KEY,0)),"?"))</f>
        <v/>
      </c>
      <c r="Q63" s="28" t="n">
        <f aca="false">IF($B63="",0,IF(OR(ISNA(MATCH($B63,ST_ID,0)),NOT(ISNUMBER($F63)),$F63&lt;=0,$J63="",$N63=""),0,1))</f>
        <v>0</v>
      </c>
      <c r="R63" s="27" t="n">
        <f aca="false">IF($Q63=0,0,$F63)</f>
        <v>0</v>
      </c>
      <c r="S63" s="26" t="str">
        <f aca="false">IF($B63="","",IFERROR(INDEX(ST_STATUT,MATCH($B63,ST_ID,0)),""))</f>
        <v/>
      </c>
      <c r="T63" s="26" t="str">
        <f aca="false">IF($B63="","",IF($Q63=0,"DONNEES MANQUANTES",IF(OR($S63="DONNEES MANQUANTES",$S63="STOCK INSUFFISANT",$S63="EMPLACEMENT INCOHERENT",$S63="BLOQUE"),"BLOQUE","OK")))</f>
        <v/>
      </c>
      <c r="U63" s="28" t="n">
        <f aca="false">IF($T63="OK",1,0)</f>
        <v>0</v>
      </c>
      <c r="V63" s="26" t="str">
        <f aca="false">IF($B63="","",IF($Q63=0,"A COMPLETER : "&amp;IF(ISNA(MATCH($B63,ST_ID,0)),"ID ST valide; ","")&amp;IF(OR(NOT(ISNUMBER($F63)),$F63&lt;=0),"QUANTITE &gt; 0; ","")&amp;IF($J63="","EMPL. DESTINATION; ",""),IF($T63="BLOQUE","Envoi parent en anomalie ("&amp;$S63&amp;") : corriger l'onglet SOUS_TRAITANCE.",IF(AND($E63&lt;&gt;"",ISNA(MATCH($E63,LOT_KEY,0))),"Creer la fiche du lot resultat dans l'onglet LOTS.",""))))</f>
        <v/>
      </c>
      <c r="W63" s="31" t="str">
        <f aca="false">IF($B63="","",IF($C63&lt;&gt;"",$C63,IFERROR(INDEX(ST_DATERET,MATCH($B63,ST_ID,0)),"")))</f>
        <v/>
      </c>
      <c r="X63" s="26" t="str">
        <f aca="false">IF($Q63=0,"",IF($L63=R_LOT,IF($N63&lt;&gt;R_LOT,$N63,""),IF($N63=R_LOT,$L63,"")))</f>
        <v/>
      </c>
      <c r="Y63" s="26" t="str">
        <f aca="false">IF($X63="","",IF(COUNTIF($X$4:$X62,$X63)&gt;0,"",COUNT($Y$4:$Y62)+1))</f>
        <v/>
      </c>
      <c r="Z63" s="26" t="n">
        <f aca="false">IF($Q63=0,0,IF(OR($L63=R_LOT,$N63=R_LOT),1,0))</f>
        <v>0</v>
      </c>
      <c r="AA63" s="26" t="str">
        <f aca="false">IF($Z63=0,"",COUNTIF($Z$5:$Z63,1))</f>
        <v/>
      </c>
    </row>
    <row r="64" customFormat="false" ht="15" hidden="false" customHeight="false" outlineLevel="0" collapsed="false">
      <c r="A64" s="26" t="str">
        <f aca="false">IF($B64="","","RES-"&amp;TEXT(ROW()-4,"000"))</f>
        <v/>
      </c>
      <c r="B64" s="24"/>
      <c r="C64" s="25"/>
      <c r="D64" s="24"/>
      <c r="E64" s="24"/>
      <c r="F64" s="29"/>
      <c r="G64" s="24"/>
      <c r="H64" s="24"/>
      <c r="I64" s="24"/>
      <c r="J64" s="24"/>
      <c r="K64" s="24"/>
      <c r="L64" s="26" t="str">
        <f aca="false">IF($B64="","",IFERROR(INDEX(ST_LOT,MATCH($B64,ST_ID,0)),""))</f>
        <v/>
      </c>
      <c r="M64" s="26" t="str">
        <f aca="false">IF($B64="","",IFERROR(INDEX(ST_STRAIT,MATCH($B64,ST_ID,0)),""))</f>
        <v/>
      </c>
      <c r="N64" s="26" t="str">
        <f aca="false">IF($B64="","",IF($E64="",$L64,$E64))</f>
        <v/>
      </c>
      <c r="O64" s="26" t="str">
        <f aca="false">IF($N64="","",IFERROR(INDEX(LOT_EXTE,MATCH($N64,LOT_KEY,0)),""))</f>
        <v/>
      </c>
      <c r="P64" s="26" t="str">
        <f aca="false">IF($J64="","",IFERROR(INDEX(EMPL_CLASSE,MATCH($J64,EMPL_KEY,0)),"?"))</f>
        <v/>
      </c>
      <c r="Q64" s="28" t="n">
        <f aca="false">IF($B64="",0,IF(OR(ISNA(MATCH($B64,ST_ID,0)),NOT(ISNUMBER($F64)),$F64&lt;=0,$J64="",$N64=""),0,1))</f>
        <v>0</v>
      </c>
      <c r="R64" s="27" t="n">
        <f aca="false">IF($Q64=0,0,$F64)</f>
        <v>0</v>
      </c>
      <c r="S64" s="26" t="str">
        <f aca="false">IF($B64="","",IFERROR(INDEX(ST_STATUT,MATCH($B64,ST_ID,0)),""))</f>
        <v/>
      </c>
      <c r="T64" s="26" t="str">
        <f aca="false">IF($B64="","",IF($Q64=0,"DONNEES MANQUANTES",IF(OR($S64="DONNEES MANQUANTES",$S64="STOCK INSUFFISANT",$S64="EMPLACEMENT INCOHERENT",$S64="BLOQUE"),"BLOQUE","OK")))</f>
        <v/>
      </c>
      <c r="U64" s="28" t="n">
        <f aca="false">IF($T64="OK",1,0)</f>
        <v>0</v>
      </c>
      <c r="V64" s="26" t="str">
        <f aca="false">IF($B64="","",IF($Q64=0,"A COMPLETER : "&amp;IF(ISNA(MATCH($B64,ST_ID,0)),"ID ST valide; ","")&amp;IF(OR(NOT(ISNUMBER($F64)),$F64&lt;=0),"QUANTITE &gt; 0; ","")&amp;IF($J64="","EMPL. DESTINATION; ",""),IF($T64="BLOQUE","Envoi parent en anomalie ("&amp;$S64&amp;") : corriger l'onglet SOUS_TRAITANCE.",IF(AND($E64&lt;&gt;"",ISNA(MATCH($E64,LOT_KEY,0))),"Creer la fiche du lot resultat dans l'onglet LOTS.",""))))</f>
        <v/>
      </c>
      <c r="W64" s="31" t="str">
        <f aca="false">IF($B64="","",IF($C64&lt;&gt;"",$C64,IFERROR(INDEX(ST_DATERET,MATCH($B64,ST_ID,0)),"")))</f>
        <v/>
      </c>
      <c r="X64" s="26" t="str">
        <f aca="false">IF($Q64=0,"",IF($L64=R_LOT,IF($N64&lt;&gt;R_LOT,$N64,""),IF($N64=R_LOT,$L64,"")))</f>
        <v/>
      </c>
      <c r="Y64" s="26" t="str">
        <f aca="false">IF($X64="","",IF(COUNTIF($X$4:$X63,$X64)&gt;0,"",COUNT($Y$4:$Y63)+1))</f>
        <v/>
      </c>
      <c r="Z64" s="26" t="n">
        <f aca="false">IF($Q64=0,0,IF(OR($L64=R_LOT,$N64=R_LOT),1,0))</f>
        <v>0</v>
      </c>
      <c r="AA64" s="26" t="str">
        <f aca="false">IF($Z64=0,"",COUNTIF($Z$5:$Z64,1))</f>
        <v/>
      </c>
    </row>
    <row r="65" customFormat="false" ht="15" hidden="false" customHeight="false" outlineLevel="0" collapsed="false">
      <c r="A65" s="26" t="str">
        <f aca="false">IF($B65="","","RES-"&amp;TEXT(ROW()-4,"000"))</f>
        <v/>
      </c>
      <c r="B65" s="24"/>
      <c r="C65" s="25"/>
      <c r="D65" s="24"/>
      <c r="E65" s="24"/>
      <c r="F65" s="29"/>
      <c r="G65" s="24"/>
      <c r="H65" s="24"/>
      <c r="I65" s="24"/>
      <c r="J65" s="24"/>
      <c r="K65" s="24"/>
      <c r="L65" s="26" t="str">
        <f aca="false">IF($B65="","",IFERROR(INDEX(ST_LOT,MATCH($B65,ST_ID,0)),""))</f>
        <v/>
      </c>
      <c r="M65" s="26" t="str">
        <f aca="false">IF($B65="","",IFERROR(INDEX(ST_STRAIT,MATCH($B65,ST_ID,0)),""))</f>
        <v/>
      </c>
      <c r="N65" s="26" t="str">
        <f aca="false">IF($B65="","",IF($E65="",$L65,$E65))</f>
        <v/>
      </c>
      <c r="O65" s="26" t="str">
        <f aca="false">IF($N65="","",IFERROR(INDEX(LOT_EXTE,MATCH($N65,LOT_KEY,0)),""))</f>
        <v/>
      </c>
      <c r="P65" s="26" t="str">
        <f aca="false">IF($J65="","",IFERROR(INDEX(EMPL_CLASSE,MATCH($J65,EMPL_KEY,0)),"?"))</f>
        <v/>
      </c>
      <c r="Q65" s="28" t="n">
        <f aca="false">IF($B65="",0,IF(OR(ISNA(MATCH($B65,ST_ID,0)),NOT(ISNUMBER($F65)),$F65&lt;=0,$J65="",$N65=""),0,1))</f>
        <v>0</v>
      </c>
      <c r="R65" s="27" t="n">
        <f aca="false">IF($Q65=0,0,$F65)</f>
        <v>0</v>
      </c>
      <c r="S65" s="26" t="str">
        <f aca="false">IF($B65="","",IFERROR(INDEX(ST_STATUT,MATCH($B65,ST_ID,0)),""))</f>
        <v/>
      </c>
      <c r="T65" s="26" t="str">
        <f aca="false">IF($B65="","",IF($Q65=0,"DONNEES MANQUANTES",IF(OR($S65="DONNEES MANQUANTES",$S65="STOCK INSUFFISANT",$S65="EMPLACEMENT INCOHERENT",$S65="BLOQUE"),"BLOQUE","OK")))</f>
        <v/>
      </c>
      <c r="U65" s="28" t="n">
        <f aca="false">IF($T65="OK",1,0)</f>
        <v>0</v>
      </c>
      <c r="V65" s="26" t="str">
        <f aca="false">IF($B65="","",IF($Q65=0,"A COMPLETER : "&amp;IF(ISNA(MATCH($B65,ST_ID,0)),"ID ST valide; ","")&amp;IF(OR(NOT(ISNUMBER($F65)),$F65&lt;=0),"QUANTITE &gt; 0; ","")&amp;IF($J65="","EMPL. DESTINATION; ",""),IF($T65="BLOQUE","Envoi parent en anomalie ("&amp;$S65&amp;") : corriger l'onglet SOUS_TRAITANCE.",IF(AND($E65&lt;&gt;"",ISNA(MATCH($E65,LOT_KEY,0))),"Creer la fiche du lot resultat dans l'onglet LOTS.",""))))</f>
        <v/>
      </c>
      <c r="W65" s="31" t="str">
        <f aca="false">IF($B65="","",IF($C65&lt;&gt;"",$C65,IFERROR(INDEX(ST_DATERET,MATCH($B65,ST_ID,0)),"")))</f>
        <v/>
      </c>
      <c r="X65" s="26" t="str">
        <f aca="false">IF($Q65=0,"",IF($L65=R_LOT,IF($N65&lt;&gt;R_LOT,$N65,""),IF($N65=R_LOT,$L65,"")))</f>
        <v/>
      </c>
      <c r="Y65" s="26" t="str">
        <f aca="false">IF($X65="","",IF(COUNTIF($X$4:$X64,$X65)&gt;0,"",COUNT($Y$4:$Y64)+1))</f>
        <v/>
      </c>
      <c r="Z65" s="26" t="n">
        <f aca="false">IF($Q65=0,0,IF(OR($L65=R_LOT,$N65=R_LOT),1,0))</f>
        <v>0</v>
      </c>
      <c r="AA65" s="26" t="str">
        <f aca="false">IF($Z65=0,"",COUNTIF($Z$5:$Z65,1))</f>
        <v/>
      </c>
    </row>
    <row r="66" customFormat="false" ht="15" hidden="false" customHeight="false" outlineLevel="0" collapsed="false">
      <c r="A66" s="26" t="str">
        <f aca="false">IF($B66="","","RES-"&amp;TEXT(ROW()-4,"000"))</f>
        <v/>
      </c>
      <c r="B66" s="24"/>
      <c r="C66" s="25"/>
      <c r="D66" s="24"/>
      <c r="E66" s="24"/>
      <c r="F66" s="29"/>
      <c r="G66" s="24"/>
      <c r="H66" s="24"/>
      <c r="I66" s="24"/>
      <c r="J66" s="24"/>
      <c r="K66" s="24"/>
      <c r="L66" s="26" t="str">
        <f aca="false">IF($B66="","",IFERROR(INDEX(ST_LOT,MATCH($B66,ST_ID,0)),""))</f>
        <v/>
      </c>
      <c r="M66" s="26" t="str">
        <f aca="false">IF($B66="","",IFERROR(INDEX(ST_STRAIT,MATCH($B66,ST_ID,0)),""))</f>
        <v/>
      </c>
      <c r="N66" s="26" t="str">
        <f aca="false">IF($B66="","",IF($E66="",$L66,$E66))</f>
        <v/>
      </c>
      <c r="O66" s="26" t="str">
        <f aca="false">IF($N66="","",IFERROR(INDEX(LOT_EXTE,MATCH($N66,LOT_KEY,0)),""))</f>
        <v/>
      </c>
      <c r="P66" s="26" t="str">
        <f aca="false">IF($J66="","",IFERROR(INDEX(EMPL_CLASSE,MATCH($J66,EMPL_KEY,0)),"?"))</f>
        <v/>
      </c>
      <c r="Q66" s="28" t="n">
        <f aca="false">IF($B66="",0,IF(OR(ISNA(MATCH($B66,ST_ID,0)),NOT(ISNUMBER($F66)),$F66&lt;=0,$J66="",$N66=""),0,1))</f>
        <v>0</v>
      </c>
      <c r="R66" s="27" t="n">
        <f aca="false">IF($Q66=0,0,$F66)</f>
        <v>0</v>
      </c>
      <c r="S66" s="26" t="str">
        <f aca="false">IF($B66="","",IFERROR(INDEX(ST_STATUT,MATCH($B66,ST_ID,0)),""))</f>
        <v/>
      </c>
      <c r="T66" s="26" t="str">
        <f aca="false">IF($B66="","",IF($Q66=0,"DONNEES MANQUANTES",IF(OR($S66="DONNEES MANQUANTES",$S66="STOCK INSUFFISANT",$S66="EMPLACEMENT INCOHERENT",$S66="BLOQUE"),"BLOQUE","OK")))</f>
        <v/>
      </c>
      <c r="U66" s="28" t="n">
        <f aca="false">IF($T66="OK",1,0)</f>
        <v>0</v>
      </c>
      <c r="V66" s="26" t="str">
        <f aca="false">IF($B66="","",IF($Q66=0,"A COMPLETER : "&amp;IF(ISNA(MATCH($B66,ST_ID,0)),"ID ST valide; ","")&amp;IF(OR(NOT(ISNUMBER($F66)),$F66&lt;=0),"QUANTITE &gt; 0; ","")&amp;IF($J66="","EMPL. DESTINATION; ",""),IF($T66="BLOQUE","Envoi parent en anomalie ("&amp;$S66&amp;") : corriger l'onglet SOUS_TRAITANCE.",IF(AND($E66&lt;&gt;"",ISNA(MATCH($E66,LOT_KEY,0))),"Creer la fiche du lot resultat dans l'onglet LOTS.",""))))</f>
        <v/>
      </c>
      <c r="W66" s="31" t="str">
        <f aca="false">IF($B66="","",IF($C66&lt;&gt;"",$C66,IFERROR(INDEX(ST_DATERET,MATCH($B66,ST_ID,0)),"")))</f>
        <v/>
      </c>
      <c r="X66" s="26" t="str">
        <f aca="false">IF($Q66=0,"",IF($L66=R_LOT,IF($N66&lt;&gt;R_LOT,$N66,""),IF($N66=R_LOT,$L66,"")))</f>
        <v/>
      </c>
      <c r="Y66" s="26" t="str">
        <f aca="false">IF($X66="","",IF(COUNTIF($X$4:$X65,$X66)&gt;0,"",COUNT($Y$4:$Y65)+1))</f>
        <v/>
      </c>
      <c r="Z66" s="26" t="n">
        <f aca="false">IF($Q66=0,0,IF(OR($L66=R_LOT,$N66=R_LOT),1,0))</f>
        <v>0</v>
      </c>
      <c r="AA66" s="26" t="str">
        <f aca="false">IF($Z66=0,"",COUNTIF($Z$5:$Z66,1))</f>
        <v/>
      </c>
    </row>
    <row r="67" customFormat="false" ht="15" hidden="false" customHeight="false" outlineLevel="0" collapsed="false">
      <c r="A67" s="26" t="str">
        <f aca="false">IF($B67="","","RES-"&amp;TEXT(ROW()-4,"000"))</f>
        <v/>
      </c>
      <c r="B67" s="24"/>
      <c r="C67" s="25"/>
      <c r="D67" s="24"/>
      <c r="E67" s="24"/>
      <c r="F67" s="29"/>
      <c r="G67" s="24"/>
      <c r="H67" s="24"/>
      <c r="I67" s="24"/>
      <c r="J67" s="24"/>
      <c r="K67" s="24"/>
      <c r="L67" s="26" t="str">
        <f aca="false">IF($B67="","",IFERROR(INDEX(ST_LOT,MATCH($B67,ST_ID,0)),""))</f>
        <v/>
      </c>
      <c r="M67" s="26" t="str">
        <f aca="false">IF($B67="","",IFERROR(INDEX(ST_STRAIT,MATCH($B67,ST_ID,0)),""))</f>
        <v/>
      </c>
      <c r="N67" s="26" t="str">
        <f aca="false">IF($B67="","",IF($E67="",$L67,$E67))</f>
        <v/>
      </c>
      <c r="O67" s="26" t="str">
        <f aca="false">IF($N67="","",IFERROR(INDEX(LOT_EXTE,MATCH($N67,LOT_KEY,0)),""))</f>
        <v/>
      </c>
      <c r="P67" s="26" t="str">
        <f aca="false">IF($J67="","",IFERROR(INDEX(EMPL_CLASSE,MATCH($J67,EMPL_KEY,0)),"?"))</f>
        <v/>
      </c>
      <c r="Q67" s="28" t="n">
        <f aca="false">IF($B67="",0,IF(OR(ISNA(MATCH($B67,ST_ID,0)),NOT(ISNUMBER($F67)),$F67&lt;=0,$J67="",$N67=""),0,1))</f>
        <v>0</v>
      </c>
      <c r="R67" s="27" t="n">
        <f aca="false">IF($Q67=0,0,$F67)</f>
        <v>0</v>
      </c>
      <c r="S67" s="26" t="str">
        <f aca="false">IF($B67="","",IFERROR(INDEX(ST_STATUT,MATCH($B67,ST_ID,0)),""))</f>
        <v/>
      </c>
      <c r="T67" s="26" t="str">
        <f aca="false">IF($B67="","",IF($Q67=0,"DONNEES MANQUANTES",IF(OR($S67="DONNEES MANQUANTES",$S67="STOCK INSUFFISANT",$S67="EMPLACEMENT INCOHERENT",$S67="BLOQUE"),"BLOQUE","OK")))</f>
        <v/>
      </c>
      <c r="U67" s="28" t="n">
        <f aca="false">IF($T67="OK",1,0)</f>
        <v>0</v>
      </c>
      <c r="V67" s="26" t="str">
        <f aca="false">IF($B67="","",IF($Q67=0,"A COMPLETER : "&amp;IF(ISNA(MATCH($B67,ST_ID,0)),"ID ST valide; ","")&amp;IF(OR(NOT(ISNUMBER($F67)),$F67&lt;=0),"QUANTITE &gt; 0; ","")&amp;IF($J67="","EMPL. DESTINATION; ",""),IF($T67="BLOQUE","Envoi parent en anomalie ("&amp;$S67&amp;") : corriger l'onglet SOUS_TRAITANCE.",IF(AND($E67&lt;&gt;"",ISNA(MATCH($E67,LOT_KEY,0))),"Creer la fiche du lot resultat dans l'onglet LOTS.",""))))</f>
        <v/>
      </c>
      <c r="W67" s="31" t="str">
        <f aca="false">IF($B67="","",IF($C67&lt;&gt;"",$C67,IFERROR(INDEX(ST_DATERET,MATCH($B67,ST_ID,0)),"")))</f>
        <v/>
      </c>
      <c r="X67" s="26" t="str">
        <f aca="false">IF($Q67=0,"",IF($L67=R_LOT,IF($N67&lt;&gt;R_LOT,$N67,""),IF($N67=R_LOT,$L67,"")))</f>
        <v/>
      </c>
      <c r="Y67" s="26" t="str">
        <f aca="false">IF($X67="","",IF(COUNTIF($X$4:$X66,$X67)&gt;0,"",COUNT($Y$4:$Y66)+1))</f>
        <v/>
      </c>
      <c r="Z67" s="26" t="n">
        <f aca="false">IF($Q67=0,0,IF(OR($L67=R_LOT,$N67=R_LOT),1,0))</f>
        <v>0</v>
      </c>
      <c r="AA67" s="26" t="str">
        <f aca="false">IF($Z67=0,"",COUNTIF($Z$5:$Z67,1))</f>
        <v/>
      </c>
    </row>
    <row r="68" customFormat="false" ht="15" hidden="false" customHeight="false" outlineLevel="0" collapsed="false">
      <c r="A68" s="26" t="str">
        <f aca="false">IF($B68="","","RES-"&amp;TEXT(ROW()-4,"000"))</f>
        <v/>
      </c>
      <c r="B68" s="24"/>
      <c r="C68" s="25"/>
      <c r="D68" s="24"/>
      <c r="E68" s="24"/>
      <c r="F68" s="29"/>
      <c r="G68" s="24"/>
      <c r="H68" s="24"/>
      <c r="I68" s="24"/>
      <c r="J68" s="24"/>
      <c r="K68" s="24"/>
      <c r="L68" s="26" t="str">
        <f aca="false">IF($B68="","",IFERROR(INDEX(ST_LOT,MATCH($B68,ST_ID,0)),""))</f>
        <v/>
      </c>
      <c r="M68" s="26" t="str">
        <f aca="false">IF($B68="","",IFERROR(INDEX(ST_STRAIT,MATCH($B68,ST_ID,0)),""))</f>
        <v/>
      </c>
      <c r="N68" s="26" t="str">
        <f aca="false">IF($B68="","",IF($E68="",$L68,$E68))</f>
        <v/>
      </c>
      <c r="O68" s="26" t="str">
        <f aca="false">IF($N68="","",IFERROR(INDEX(LOT_EXTE,MATCH($N68,LOT_KEY,0)),""))</f>
        <v/>
      </c>
      <c r="P68" s="26" t="str">
        <f aca="false">IF($J68="","",IFERROR(INDEX(EMPL_CLASSE,MATCH($J68,EMPL_KEY,0)),"?"))</f>
        <v/>
      </c>
      <c r="Q68" s="28" t="n">
        <f aca="false">IF($B68="",0,IF(OR(ISNA(MATCH($B68,ST_ID,0)),NOT(ISNUMBER($F68)),$F68&lt;=0,$J68="",$N68=""),0,1))</f>
        <v>0</v>
      </c>
      <c r="R68" s="27" t="n">
        <f aca="false">IF($Q68=0,0,$F68)</f>
        <v>0</v>
      </c>
      <c r="S68" s="26" t="str">
        <f aca="false">IF($B68="","",IFERROR(INDEX(ST_STATUT,MATCH($B68,ST_ID,0)),""))</f>
        <v/>
      </c>
      <c r="T68" s="26" t="str">
        <f aca="false">IF($B68="","",IF($Q68=0,"DONNEES MANQUANTES",IF(OR($S68="DONNEES MANQUANTES",$S68="STOCK INSUFFISANT",$S68="EMPLACEMENT INCOHERENT",$S68="BLOQUE"),"BLOQUE","OK")))</f>
        <v/>
      </c>
      <c r="U68" s="28" t="n">
        <f aca="false">IF($T68="OK",1,0)</f>
        <v>0</v>
      </c>
      <c r="V68" s="26" t="str">
        <f aca="false">IF($B68="","",IF($Q68=0,"A COMPLETER : "&amp;IF(ISNA(MATCH($B68,ST_ID,0)),"ID ST valide; ","")&amp;IF(OR(NOT(ISNUMBER($F68)),$F68&lt;=0),"QUANTITE &gt; 0; ","")&amp;IF($J68="","EMPL. DESTINATION; ",""),IF($T68="BLOQUE","Envoi parent en anomalie ("&amp;$S68&amp;") : corriger l'onglet SOUS_TRAITANCE.",IF(AND($E68&lt;&gt;"",ISNA(MATCH($E68,LOT_KEY,0))),"Creer la fiche du lot resultat dans l'onglet LOTS.",""))))</f>
        <v/>
      </c>
      <c r="W68" s="31" t="str">
        <f aca="false">IF($B68="","",IF($C68&lt;&gt;"",$C68,IFERROR(INDEX(ST_DATERET,MATCH($B68,ST_ID,0)),"")))</f>
        <v/>
      </c>
      <c r="X68" s="26" t="str">
        <f aca="false">IF($Q68=0,"",IF($L68=R_LOT,IF($N68&lt;&gt;R_LOT,$N68,""),IF($N68=R_LOT,$L68,"")))</f>
        <v/>
      </c>
      <c r="Y68" s="26" t="str">
        <f aca="false">IF($X68="","",IF(COUNTIF($X$4:$X67,$X68)&gt;0,"",COUNT($Y$4:$Y67)+1))</f>
        <v/>
      </c>
      <c r="Z68" s="26" t="n">
        <f aca="false">IF($Q68=0,0,IF(OR($L68=R_LOT,$N68=R_LOT),1,0))</f>
        <v>0</v>
      </c>
      <c r="AA68" s="26" t="str">
        <f aca="false">IF($Z68=0,"",COUNTIF($Z$5:$Z68,1))</f>
        <v/>
      </c>
    </row>
    <row r="69" customFormat="false" ht="15" hidden="false" customHeight="false" outlineLevel="0" collapsed="false">
      <c r="A69" s="26" t="str">
        <f aca="false">IF($B69="","","RES-"&amp;TEXT(ROW()-4,"000"))</f>
        <v/>
      </c>
      <c r="B69" s="24"/>
      <c r="C69" s="25"/>
      <c r="D69" s="24"/>
      <c r="E69" s="24"/>
      <c r="F69" s="29"/>
      <c r="G69" s="24"/>
      <c r="H69" s="24"/>
      <c r="I69" s="24"/>
      <c r="J69" s="24"/>
      <c r="K69" s="24"/>
      <c r="L69" s="26" t="str">
        <f aca="false">IF($B69="","",IFERROR(INDEX(ST_LOT,MATCH($B69,ST_ID,0)),""))</f>
        <v/>
      </c>
      <c r="M69" s="26" t="str">
        <f aca="false">IF($B69="","",IFERROR(INDEX(ST_STRAIT,MATCH($B69,ST_ID,0)),""))</f>
        <v/>
      </c>
      <c r="N69" s="26" t="str">
        <f aca="false">IF($B69="","",IF($E69="",$L69,$E69))</f>
        <v/>
      </c>
      <c r="O69" s="26" t="str">
        <f aca="false">IF($N69="","",IFERROR(INDEX(LOT_EXTE,MATCH($N69,LOT_KEY,0)),""))</f>
        <v/>
      </c>
      <c r="P69" s="26" t="str">
        <f aca="false">IF($J69="","",IFERROR(INDEX(EMPL_CLASSE,MATCH($J69,EMPL_KEY,0)),"?"))</f>
        <v/>
      </c>
      <c r="Q69" s="28" t="n">
        <f aca="false">IF($B69="",0,IF(OR(ISNA(MATCH($B69,ST_ID,0)),NOT(ISNUMBER($F69)),$F69&lt;=0,$J69="",$N69=""),0,1))</f>
        <v>0</v>
      </c>
      <c r="R69" s="27" t="n">
        <f aca="false">IF($Q69=0,0,$F69)</f>
        <v>0</v>
      </c>
      <c r="S69" s="26" t="str">
        <f aca="false">IF($B69="","",IFERROR(INDEX(ST_STATUT,MATCH($B69,ST_ID,0)),""))</f>
        <v/>
      </c>
      <c r="T69" s="26" t="str">
        <f aca="false">IF($B69="","",IF($Q69=0,"DONNEES MANQUANTES",IF(OR($S69="DONNEES MANQUANTES",$S69="STOCK INSUFFISANT",$S69="EMPLACEMENT INCOHERENT",$S69="BLOQUE"),"BLOQUE","OK")))</f>
        <v/>
      </c>
      <c r="U69" s="28" t="n">
        <f aca="false">IF($T69="OK",1,0)</f>
        <v>0</v>
      </c>
      <c r="V69" s="26" t="str">
        <f aca="false">IF($B69="","",IF($Q69=0,"A COMPLETER : "&amp;IF(ISNA(MATCH($B69,ST_ID,0)),"ID ST valide; ","")&amp;IF(OR(NOT(ISNUMBER($F69)),$F69&lt;=0),"QUANTITE &gt; 0; ","")&amp;IF($J69="","EMPL. DESTINATION; ",""),IF($T69="BLOQUE","Envoi parent en anomalie ("&amp;$S69&amp;") : corriger l'onglet SOUS_TRAITANCE.",IF(AND($E69&lt;&gt;"",ISNA(MATCH($E69,LOT_KEY,0))),"Creer la fiche du lot resultat dans l'onglet LOTS.",""))))</f>
        <v/>
      </c>
      <c r="W69" s="31" t="str">
        <f aca="false">IF($B69="","",IF($C69&lt;&gt;"",$C69,IFERROR(INDEX(ST_DATERET,MATCH($B69,ST_ID,0)),"")))</f>
        <v/>
      </c>
      <c r="X69" s="26" t="str">
        <f aca="false">IF($Q69=0,"",IF($L69=R_LOT,IF($N69&lt;&gt;R_LOT,$N69,""),IF($N69=R_LOT,$L69,"")))</f>
        <v/>
      </c>
      <c r="Y69" s="26" t="str">
        <f aca="false">IF($X69="","",IF(COUNTIF($X$4:$X68,$X69)&gt;0,"",COUNT($Y$4:$Y68)+1))</f>
        <v/>
      </c>
      <c r="Z69" s="26" t="n">
        <f aca="false">IF($Q69=0,0,IF(OR($L69=R_LOT,$N69=R_LOT),1,0))</f>
        <v>0</v>
      </c>
      <c r="AA69" s="26" t="str">
        <f aca="false">IF($Z69=0,"",COUNTIF($Z$5:$Z69,1))</f>
        <v/>
      </c>
    </row>
    <row r="70" customFormat="false" ht="15" hidden="false" customHeight="false" outlineLevel="0" collapsed="false">
      <c r="A70" s="26" t="str">
        <f aca="false">IF($B70="","","RES-"&amp;TEXT(ROW()-4,"000"))</f>
        <v/>
      </c>
      <c r="B70" s="24"/>
      <c r="C70" s="25"/>
      <c r="D70" s="24"/>
      <c r="E70" s="24"/>
      <c r="F70" s="29"/>
      <c r="G70" s="24"/>
      <c r="H70" s="24"/>
      <c r="I70" s="24"/>
      <c r="J70" s="24"/>
      <c r="K70" s="24"/>
      <c r="L70" s="26" t="str">
        <f aca="false">IF($B70="","",IFERROR(INDEX(ST_LOT,MATCH($B70,ST_ID,0)),""))</f>
        <v/>
      </c>
      <c r="M70" s="26" t="str">
        <f aca="false">IF($B70="","",IFERROR(INDEX(ST_STRAIT,MATCH($B70,ST_ID,0)),""))</f>
        <v/>
      </c>
      <c r="N70" s="26" t="str">
        <f aca="false">IF($B70="","",IF($E70="",$L70,$E70))</f>
        <v/>
      </c>
      <c r="O70" s="26" t="str">
        <f aca="false">IF($N70="","",IFERROR(INDEX(LOT_EXTE,MATCH($N70,LOT_KEY,0)),""))</f>
        <v/>
      </c>
      <c r="P70" s="26" t="str">
        <f aca="false">IF($J70="","",IFERROR(INDEX(EMPL_CLASSE,MATCH($J70,EMPL_KEY,0)),"?"))</f>
        <v/>
      </c>
      <c r="Q70" s="28" t="n">
        <f aca="false">IF($B70="",0,IF(OR(ISNA(MATCH($B70,ST_ID,0)),NOT(ISNUMBER($F70)),$F70&lt;=0,$J70="",$N70=""),0,1))</f>
        <v>0</v>
      </c>
      <c r="R70" s="27" t="n">
        <f aca="false">IF($Q70=0,0,$F70)</f>
        <v>0</v>
      </c>
      <c r="S70" s="26" t="str">
        <f aca="false">IF($B70="","",IFERROR(INDEX(ST_STATUT,MATCH($B70,ST_ID,0)),""))</f>
        <v/>
      </c>
      <c r="T70" s="26" t="str">
        <f aca="false">IF($B70="","",IF($Q70=0,"DONNEES MANQUANTES",IF(OR($S70="DONNEES MANQUANTES",$S70="STOCK INSUFFISANT",$S70="EMPLACEMENT INCOHERENT",$S70="BLOQUE"),"BLOQUE","OK")))</f>
        <v/>
      </c>
      <c r="U70" s="28" t="n">
        <f aca="false">IF($T70="OK",1,0)</f>
        <v>0</v>
      </c>
      <c r="V70" s="26" t="str">
        <f aca="false">IF($B70="","",IF($Q70=0,"A COMPLETER : "&amp;IF(ISNA(MATCH($B70,ST_ID,0)),"ID ST valide; ","")&amp;IF(OR(NOT(ISNUMBER($F70)),$F70&lt;=0),"QUANTITE &gt; 0; ","")&amp;IF($J70="","EMPL. DESTINATION; ",""),IF($T70="BLOQUE","Envoi parent en anomalie ("&amp;$S70&amp;") : corriger l'onglet SOUS_TRAITANCE.",IF(AND($E70&lt;&gt;"",ISNA(MATCH($E70,LOT_KEY,0))),"Creer la fiche du lot resultat dans l'onglet LOTS.",""))))</f>
        <v/>
      </c>
      <c r="W70" s="31" t="str">
        <f aca="false">IF($B70="","",IF($C70&lt;&gt;"",$C70,IFERROR(INDEX(ST_DATERET,MATCH($B70,ST_ID,0)),"")))</f>
        <v/>
      </c>
      <c r="X70" s="26" t="str">
        <f aca="false">IF($Q70=0,"",IF($L70=R_LOT,IF($N70&lt;&gt;R_LOT,$N70,""),IF($N70=R_LOT,$L70,"")))</f>
        <v/>
      </c>
      <c r="Y70" s="26" t="str">
        <f aca="false">IF($X70="","",IF(COUNTIF($X$4:$X69,$X70)&gt;0,"",COUNT($Y$4:$Y69)+1))</f>
        <v/>
      </c>
      <c r="Z70" s="26" t="n">
        <f aca="false">IF($Q70=0,0,IF(OR($L70=R_LOT,$N70=R_LOT),1,0))</f>
        <v>0</v>
      </c>
      <c r="AA70" s="26" t="str">
        <f aca="false">IF($Z70=0,"",COUNTIF($Z$5:$Z70,1))</f>
        <v/>
      </c>
    </row>
    <row r="71" customFormat="false" ht="15" hidden="false" customHeight="false" outlineLevel="0" collapsed="false">
      <c r="A71" s="26" t="str">
        <f aca="false">IF($B71="","","RES-"&amp;TEXT(ROW()-4,"000"))</f>
        <v/>
      </c>
      <c r="B71" s="24"/>
      <c r="C71" s="25"/>
      <c r="D71" s="24"/>
      <c r="E71" s="24"/>
      <c r="F71" s="29"/>
      <c r="G71" s="24"/>
      <c r="H71" s="24"/>
      <c r="I71" s="24"/>
      <c r="J71" s="24"/>
      <c r="K71" s="24"/>
      <c r="L71" s="26" t="str">
        <f aca="false">IF($B71="","",IFERROR(INDEX(ST_LOT,MATCH($B71,ST_ID,0)),""))</f>
        <v/>
      </c>
      <c r="M71" s="26" t="str">
        <f aca="false">IF($B71="","",IFERROR(INDEX(ST_STRAIT,MATCH($B71,ST_ID,0)),""))</f>
        <v/>
      </c>
      <c r="N71" s="26" t="str">
        <f aca="false">IF($B71="","",IF($E71="",$L71,$E71))</f>
        <v/>
      </c>
      <c r="O71" s="26" t="str">
        <f aca="false">IF($N71="","",IFERROR(INDEX(LOT_EXTE,MATCH($N71,LOT_KEY,0)),""))</f>
        <v/>
      </c>
      <c r="P71" s="26" t="str">
        <f aca="false">IF($J71="","",IFERROR(INDEX(EMPL_CLASSE,MATCH($J71,EMPL_KEY,0)),"?"))</f>
        <v/>
      </c>
      <c r="Q71" s="28" t="n">
        <f aca="false">IF($B71="",0,IF(OR(ISNA(MATCH($B71,ST_ID,0)),NOT(ISNUMBER($F71)),$F71&lt;=0,$J71="",$N71=""),0,1))</f>
        <v>0</v>
      </c>
      <c r="R71" s="27" t="n">
        <f aca="false">IF($Q71=0,0,$F71)</f>
        <v>0</v>
      </c>
      <c r="S71" s="26" t="str">
        <f aca="false">IF($B71="","",IFERROR(INDEX(ST_STATUT,MATCH($B71,ST_ID,0)),""))</f>
        <v/>
      </c>
      <c r="T71" s="26" t="str">
        <f aca="false">IF($B71="","",IF($Q71=0,"DONNEES MANQUANTES",IF(OR($S71="DONNEES MANQUANTES",$S71="STOCK INSUFFISANT",$S71="EMPLACEMENT INCOHERENT",$S71="BLOQUE"),"BLOQUE","OK")))</f>
        <v/>
      </c>
      <c r="U71" s="28" t="n">
        <f aca="false">IF($T71="OK",1,0)</f>
        <v>0</v>
      </c>
      <c r="V71" s="26" t="str">
        <f aca="false">IF($B71="","",IF($Q71=0,"A COMPLETER : "&amp;IF(ISNA(MATCH($B71,ST_ID,0)),"ID ST valide; ","")&amp;IF(OR(NOT(ISNUMBER($F71)),$F71&lt;=0),"QUANTITE &gt; 0; ","")&amp;IF($J71="","EMPL. DESTINATION; ",""),IF($T71="BLOQUE","Envoi parent en anomalie ("&amp;$S71&amp;") : corriger l'onglet SOUS_TRAITANCE.",IF(AND($E71&lt;&gt;"",ISNA(MATCH($E71,LOT_KEY,0))),"Creer la fiche du lot resultat dans l'onglet LOTS.",""))))</f>
        <v/>
      </c>
      <c r="W71" s="31" t="str">
        <f aca="false">IF($B71="","",IF($C71&lt;&gt;"",$C71,IFERROR(INDEX(ST_DATERET,MATCH($B71,ST_ID,0)),"")))</f>
        <v/>
      </c>
      <c r="X71" s="26" t="str">
        <f aca="false">IF($Q71=0,"",IF($L71=R_LOT,IF($N71&lt;&gt;R_LOT,$N71,""),IF($N71=R_LOT,$L71,"")))</f>
        <v/>
      </c>
      <c r="Y71" s="26" t="str">
        <f aca="false">IF($X71="","",IF(COUNTIF($X$4:$X70,$X71)&gt;0,"",COUNT($Y$4:$Y70)+1))</f>
        <v/>
      </c>
      <c r="Z71" s="26" t="n">
        <f aca="false">IF($Q71=0,0,IF(OR($L71=R_LOT,$N71=R_LOT),1,0))</f>
        <v>0</v>
      </c>
      <c r="AA71" s="26" t="str">
        <f aca="false">IF($Z71=0,"",COUNTIF($Z$5:$Z71,1))</f>
        <v/>
      </c>
    </row>
    <row r="72" customFormat="false" ht="15" hidden="false" customHeight="false" outlineLevel="0" collapsed="false">
      <c r="A72" s="26" t="str">
        <f aca="false">IF($B72="","","RES-"&amp;TEXT(ROW()-4,"000"))</f>
        <v/>
      </c>
      <c r="B72" s="24"/>
      <c r="C72" s="25"/>
      <c r="D72" s="24"/>
      <c r="E72" s="24"/>
      <c r="F72" s="29"/>
      <c r="G72" s="24"/>
      <c r="H72" s="24"/>
      <c r="I72" s="24"/>
      <c r="J72" s="24"/>
      <c r="K72" s="24"/>
      <c r="L72" s="26" t="str">
        <f aca="false">IF($B72="","",IFERROR(INDEX(ST_LOT,MATCH($B72,ST_ID,0)),""))</f>
        <v/>
      </c>
      <c r="M72" s="26" t="str">
        <f aca="false">IF($B72="","",IFERROR(INDEX(ST_STRAIT,MATCH($B72,ST_ID,0)),""))</f>
        <v/>
      </c>
      <c r="N72" s="26" t="str">
        <f aca="false">IF($B72="","",IF($E72="",$L72,$E72))</f>
        <v/>
      </c>
      <c r="O72" s="26" t="str">
        <f aca="false">IF($N72="","",IFERROR(INDEX(LOT_EXTE,MATCH($N72,LOT_KEY,0)),""))</f>
        <v/>
      </c>
      <c r="P72" s="26" t="str">
        <f aca="false">IF($J72="","",IFERROR(INDEX(EMPL_CLASSE,MATCH($J72,EMPL_KEY,0)),"?"))</f>
        <v/>
      </c>
      <c r="Q72" s="28" t="n">
        <f aca="false">IF($B72="",0,IF(OR(ISNA(MATCH($B72,ST_ID,0)),NOT(ISNUMBER($F72)),$F72&lt;=0,$J72="",$N72=""),0,1))</f>
        <v>0</v>
      </c>
      <c r="R72" s="27" t="n">
        <f aca="false">IF($Q72=0,0,$F72)</f>
        <v>0</v>
      </c>
      <c r="S72" s="26" t="str">
        <f aca="false">IF($B72="","",IFERROR(INDEX(ST_STATUT,MATCH($B72,ST_ID,0)),""))</f>
        <v/>
      </c>
      <c r="T72" s="26" t="str">
        <f aca="false">IF($B72="","",IF($Q72=0,"DONNEES MANQUANTES",IF(OR($S72="DONNEES MANQUANTES",$S72="STOCK INSUFFISANT",$S72="EMPLACEMENT INCOHERENT",$S72="BLOQUE"),"BLOQUE","OK")))</f>
        <v/>
      </c>
      <c r="U72" s="28" t="n">
        <f aca="false">IF($T72="OK",1,0)</f>
        <v>0</v>
      </c>
      <c r="V72" s="26" t="str">
        <f aca="false">IF($B72="","",IF($Q72=0,"A COMPLETER : "&amp;IF(ISNA(MATCH($B72,ST_ID,0)),"ID ST valide; ","")&amp;IF(OR(NOT(ISNUMBER($F72)),$F72&lt;=0),"QUANTITE &gt; 0; ","")&amp;IF($J72="","EMPL. DESTINATION; ",""),IF($T72="BLOQUE","Envoi parent en anomalie ("&amp;$S72&amp;") : corriger l'onglet SOUS_TRAITANCE.",IF(AND($E72&lt;&gt;"",ISNA(MATCH($E72,LOT_KEY,0))),"Creer la fiche du lot resultat dans l'onglet LOTS.",""))))</f>
        <v/>
      </c>
      <c r="W72" s="31" t="str">
        <f aca="false">IF($B72="","",IF($C72&lt;&gt;"",$C72,IFERROR(INDEX(ST_DATERET,MATCH($B72,ST_ID,0)),"")))</f>
        <v/>
      </c>
      <c r="X72" s="26" t="str">
        <f aca="false">IF($Q72=0,"",IF($L72=R_LOT,IF($N72&lt;&gt;R_LOT,$N72,""),IF($N72=R_LOT,$L72,"")))</f>
        <v/>
      </c>
      <c r="Y72" s="26" t="str">
        <f aca="false">IF($X72="","",IF(COUNTIF($X$4:$X71,$X72)&gt;0,"",COUNT($Y$4:$Y71)+1))</f>
        <v/>
      </c>
      <c r="Z72" s="26" t="n">
        <f aca="false">IF($Q72=0,0,IF(OR($L72=R_LOT,$N72=R_LOT),1,0))</f>
        <v>0</v>
      </c>
      <c r="AA72" s="26" t="str">
        <f aca="false">IF($Z72=0,"",COUNTIF($Z$5:$Z72,1))</f>
        <v/>
      </c>
    </row>
    <row r="73" customFormat="false" ht="15" hidden="false" customHeight="false" outlineLevel="0" collapsed="false">
      <c r="A73" s="26" t="str">
        <f aca="false">IF($B73="","","RES-"&amp;TEXT(ROW()-4,"000"))</f>
        <v/>
      </c>
      <c r="B73" s="24"/>
      <c r="C73" s="25"/>
      <c r="D73" s="24"/>
      <c r="E73" s="24"/>
      <c r="F73" s="29"/>
      <c r="G73" s="24"/>
      <c r="H73" s="24"/>
      <c r="I73" s="24"/>
      <c r="J73" s="24"/>
      <c r="K73" s="24"/>
      <c r="L73" s="26" t="str">
        <f aca="false">IF($B73="","",IFERROR(INDEX(ST_LOT,MATCH($B73,ST_ID,0)),""))</f>
        <v/>
      </c>
      <c r="M73" s="26" t="str">
        <f aca="false">IF($B73="","",IFERROR(INDEX(ST_STRAIT,MATCH($B73,ST_ID,0)),""))</f>
        <v/>
      </c>
      <c r="N73" s="26" t="str">
        <f aca="false">IF($B73="","",IF($E73="",$L73,$E73))</f>
        <v/>
      </c>
      <c r="O73" s="26" t="str">
        <f aca="false">IF($N73="","",IFERROR(INDEX(LOT_EXTE,MATCH($N73,LOT_KEY,0)),""))</f>
        <v/>
      </c>
      <c r="P73" s="26" t="str">
        <f aca="false">IF($J73="","",IFERROR(INDEX(EMPL_CLASSE,MATCH($J73,EMPL_KEY,0)),"?"))</f>
        <v/>
      </c>
      <c r="Q73" s="28" t="n">
        <f aca="false">IF($B73="",0,IF(OR(ISNA(MATCH($B73,ST_ID,0)),NOT(ISNUMBER($F73)),$F73&lt;=0,$J73="",$N73=""),0,1))</f>
        <v>0</v>
      </c>
      <c r="R73" s="27" t="n">
        <f aca="false">IF($Q73=0,0,$F73)</f>
        <v>0</v>
      </c>
      <c r="S73" s="26" t="str">
        <f aca="false">IF($B73="","",IFERROR(INDEX(ST_STATUT,MATCH($B73,ST_ID,0)),""))</f>
        <v/>
      </c>
      <c r="T73" s="26" t="str">
        <f aca="false">IF($B73="","",IF($Q73=0,"DONNEES MANQUANTES",IF(OR($S73="DONNEES MANQUANTES",$S73="STOCK INSUFFISANT",$S73="EMPLACEMENT INCOHERENT",$S73="BLOQUE"),"BLOQUE","OK")))</f>
        <v/>
      </c>
      <c r="U73" s="28" t="n">
        <f aca="false">IF($T73="OK",1,0)</f>
        <v>0</v>
      </c>
      <c r="V73" s="26" t="str">
        <f aca="false">IF($B73="","",IF($Q73=0,"A COMPLETER : "&amp;IF(ISNA(MATCH($B73,ST_ID,0)),"ID ST valide; ","")&amp;IF(OR(NOT(ISNUMBER($F73)),$F73&lt;=0),"QUANTITE &gt; 0; ","")&amp;IF($J73="","EMPL. DESTINATION; ",""),IF($T73="BLOQUE","Envoi parent en anomalie ("&amp;$S73&amp;") : corriger l'onglet SOUS_TRAITANCE.",IF(AND($E73&lt;&gt;"",ISNA(MATCH($E73,LOT_KEY,0))),"Creer la fiche du lot resultat dans l'onglet LOTS.",""))))</f>
        <v/>
      </c>
      <c r="W73" s="31" t="str">
        <f aca="false">IF($B73="","",IF($C73&lt;&gt;"",$C73,IFERROR(INDEX(ST_DATERET,MATCH($B73,ST_ID,0)),"")))</f>
        <v/>
      </c>
      <c r="X73" s="26" t="str">
        <f aca="false">IF($Q73=0,"",IF($L73=R_LOT,IF($N73&lt;&gt;R_LOT,$N73,""),IF($N73=R_LOT,$L73,"")))</f>
        <v/>
      </c>
      <c r="Y73" s="26" t="str">
        <f aca="false">IF($X73="","",IF(COUNTIF($X$4:$X72,$X73)&gt;0,"",COUNT($Y$4:$Y72)+1))</f>
        <v/>
      </c>
      <c r="Z73" s="26" t="n">
        <f aca="false">IF($Q73=0,0,IF(OR($L73=R_LOT,$N73=R_LOT),1,0))</f>
        <v>0</v>
      </c>
      <c r="AA73" s="26" t="str">
        <f aca="false">IF($Z73=0,"",COUNTIF($Z$5:$Z73,1))</f>
        <v/>
      </c>
    </row>
    <row r="74" customFormat="false" ht="15" hidden="false" customHeight="false" outlineLevel="0" collapsed="false">
      <c r="A74" s="26" t="str">
        <f aca="false">IF($B74="","","RES-"&amp;TEXT(ROW()-4,"000"))</f>
        <v/>
      </c>
      <c r="B74" s="24"/>
      <c r="C74" s="25"/>
      <c r="D74" s="24"/>
      <c r="E74" s="24"/>
      <c r="F74" s="29"/>
      <c r="G74" s="24"/>
      <c r="H74" s="24"/>
      <c r="I74" s="24"/>
      <c r="J74" s="24"/>
      <c r="K74" s="24"/>
      <c r="L74" s="26" t="str">
        <f aca="false">IF($B74="","",IFERROR(INDEX(ST_LOT,MATCH($B74,ST_ID,0)),""))</f>
        <v/>
      </c>
      <c r="M74" s="26" t="str">
        <f aca="false">IF($B74="","",IFERROR(INDEX(ST_STRAIT,MATCH($B74,ST_ID,0)),""))</f>
        <v/>
      </c>
      <c r="N74" s="26" t="str">
        <f aca="false">IF($B74="","",IF($E74="",$L74,$E74))</f>
        <v/>
      </c>
      <c r="O74" s="26" t="str">
        <f aca="false">IF($N74="","",IFERROR(INDEX(LOT_EXTE,MATCH($N74,LOT_KEY,0)),""))</f>
        <v/>
      </c>
      <c r="P74" s="26" t="str">
        <f aca="false">IF($J74="","",IFERROR(INDEX(EMPL_CLASSE,MATCH($J74,EMPL_KEY,0)),"?"))</f>
        <v/>
      </c>
      <c r="Q74" s="28" t="n">
        <f aca="false">IF($B74="",0,IF(OR(ISNA(MATCH($B74,ST_ID,0)),NOT(ISNUMBER($F74)),$F74&lt;=0,$J74="",$N74=""),0,1))</f>
        <v>0</v>
      </c>
      <c r="R74" s="27" t="n">
        <f aca="false">IF($Q74=0,0,$F74)</f>
        <v>0</v>
      </c>
      <c r="S74" s="26" t="str">
        <f aca="false">IF($B74="","",IFERROR(INDEX(ST_STATUT,MATCH($B74,ST_ID,0)),""))</f>
        <v/>
      </c>
      <c r="T74" s="26" t="str">
        <f aca="false">IF($B74="","",IF($Q74=0,"DONNEES MANQUANTES",IF(OR($S74="DONNEES MANQUANTES",$S74="STOCK INSUFFISANT",$S74="EMPLACEMENT INCOHERENT",$S74="BLOQUE"),"BLOQUE","OK")))</f>
        <v/>
      </c>
      <c r="U74" s="28" t="n">
        <f aca="false">IF($T74="OK",1,0)</f>
        <v>0</v>
      </c>
      <c r="V74" s="26" t="str">
        <f aca="false">IF($B74="","",IF($Q74=0,"A COMPLETER : "&amp;IF(ISNA(MATCH($B74,ST_ID,0)),"ID ST valide; ","")&amp;IF(OR(NOT(ISNUMBER($F74)),$F74&lt;=0),"QUANTITE &gt; 0; ","")&amp;IF($J74="","EMPL. DESTINATION; ",""),IF($T74="BLOQUE","Envoi parent en anomalie ("&amp;$S74&amp;") : corriger l'onglet SOUS_TRAITANCE.",IF(AND($E74&lt;&gt;"",ISNA(MATCH($E74,LOT_KEY,0))),"Creer la fiche du lot resultat dans l'onglet LOTS.",""))))</f>
        <v/>
      </c>
      <c r="W74" s="31" t="str">
        <f aca="false">IF($B74="","",IF($C74&lt;&gt;"",$C74,IFERROR(INDEX(ST_DATERET,MATCH($B74,ST_ID,0)),"")))</f>
        <v/>
      </c>
      <c r="X74" s="26" t="str">
        <f aca="false">IF($Q74=0,"",IF($L74=R_LOT,IF($N74&lt;&gt;R_LOT,$N74,""),IF($N74=R_LOT,$L74,"")))</f>
        <v/>
      </c>
      <c r="Y74" s="26" t="str">
        <f aca="false">IF($X74="","",IF(COUNTIF($X$4:$X73,$X74)&gt;0,"",COUNT($Y$4:$Y73)+1))</f>
        <v/>
      </c>
      <c r="Z74" s="26" t="n">
        <f aca="false">IF($Q74=0,0,IF(OR($L74=R_LOT,$N74=R_LOT),1,0))</f>
        <v>0</v>
      </c>
      <c r="AA74" s="26" t="str">
        <f aca="false">IF($Z74=0,"",COUNTIF($Z$5:$Z74,1))</f>
        <v/>
      </c>
    </row>
    <row r="75" customFormat="false" ht="15" hidden="false" customHeight="false" outlineLevel="0" collapsed="false">
      <c r="A75" s="26" t="str">
        <f aca="false">IF($B75="","","RES-"&amp;TEXT(ROW()-4,"000"))</f>
        <v/>
      </c>
      <c r="B75" s="24"/>
      <c r="C75" s="25"/>
      <c r="D75" s="24"/>
      <c r="E75" s="24"/>
      <c r="F75" s="29"/>
      <c r="G75" s="24"/>
      <c r="H75" s="24"/>
      <c r="I75" s="24"/>
      <c r="J75" s="24"/>
      <c r="K75" s="24"/>
      <c r="L75" s="26" t="str">
        <f aca="false">IF($B75="","",IFERROR(INDEX(ST_LOT,MATCH($B75,ST_ID,0)),""))</f>
        <v/>
      </c>
      <c r="M75" s="26" t="str">
        <f aca="false">IF($B75="","",IFERROR(INDEX(ST_STRAIT,MATCH($B75,ST_ID,0)),""))</f>
        <v/>
      </c>
      <c r="N75" s="26" t="str">
        <f aca="false">IF($B75="","",IF($E75="",$L75,$E75))</f>
        <v/>
      </c>
      <c r="O75" s="26" t="str">
        <f aca="false">IF($N75="","",IFERROR(INDEX(LOT_EXTE,MATCH($N75,LOT_KEY,0)),""))</f>
        <v/>
      </c>
      <c r="P75" s="26" t="str">
        <f aca="false">IF($J75="","",IFERROR(INDEX(EMPL_CLASSE,MATCH($J75,EMPL_KEY,0)),"?"))</f>
        <v/>
      </c>
      <c r="Q75" s="28" t="n">
        <f aca="false">IF($B75="",0,IF(OR(ISNA(MATCH($B75,ST_ID,0)),NOT(ISNUMBER($F75)),$F75&lt;=0,$J75="",$N75=""),0,1))</f>
        <v>0</v>
      </c>
      <c r="R75" s="27" t="n">
        <f aca="false">IF($Q75=0,0,$F75)</f>
        <v>0</v>
      </c>
      <c r="S75" s="26" t="str">
        <f aca="false">IF($B75="","",IFERROR(INDEX(ST_STATUT,MATCH($B75,ST_ID,0)),""))</f>
        <v/>
      </c>
      <c r="T75" s="26" t="str">
        <f aca="false">IF($B75="","",IF($Q75=0,"DONNEES MANQUANTES",IF(OR($S75="DONNEES MANQUANTES",$S75="STOCK INSUFFISANT",$S75="EMPLACEMENT INCOHERENT",$S75="BLOQUE"),"BLOQUE","OK")))</f>
        <v/>
      </c>
      <c r="U75" s="28" t="n">
        <f aca="false">IF($T75="OK",1,0)</f>
        <v>0</v>
      </c>
      <c r="V75" s="26" t="str">
        <f aca="false">IF($B75="","",IF($Q75=0,"A COMPLETER : "&amp;IF(ISNA(MATCH($B75,ST_ID,0)),"ID ST valide; ","")&amp;IF(OR(NOT(ISNUMBER($F75)),$F75&lt;=0),"QUANTITE &gt; 0; ","")&amp;IF($J75="","EMPL. DESTINATION; ",""),IF($T75="BLOQUE","Envoi parent en anomalie ("&amp;$S75&amp;") : corriger l'onglet SOUS_TRAITANCE.",IF(AND($E75&lt;&gt;"",ISNA(MATCH($E75,LOT_KEY,0))),"Creer la fiche du lot resultat dans l'onglet LOTS.",""))))</f>
        <v/>
      </c>
      <c r="W75" s="31" t="str">
        <f aca="false">IF($B75="","",IF($C75&lt;&gt;"",$C75,IFERROR(INDEX(ST_DATERET,MATCH($B75,ST_ID,0)),"")))</f>
        <v/>
      </c>
      <c r="X75" s="26" t="str">
        <f aca="false">IF($Q75=0,"",IF($L75=R_LOT,IF($N75&lt;&gt;R_LOT,$N75,""),IF($N75=R_LOT,$L75,"")))</f>
        <v/>
      </c>
      <c r="Y75" s="26" t="str">
        <f aca="false">IF($X75="","",IF(COUNTIF($X$4:$X74,$X75)&gt;0,"",COUNT($Y$4:$Y74)+1))</f>
        <v/>
      </c>
      <c r="Z75" s="26" t="n">
        <f aca="false">IF($Q75=0,0,IF(OR($L75=R_LOT,$N75=R_LOT),1,0))</f>
        <v>0</v>
      </c>
      <c r="AA75" s="26" t="str">
        <f aca="false">IF($Z75=0,"",COUNTIF($Z$5:$Z75,1))</f>
        <v/>
      </c>
    </row>
    <row r="76" customFormat="false" ht="15" hidden="false" customHeight="false" outlineLevel="0" collapsed="false">
      <c r="A76" s="26" t="str">
        <f aca="false">IF($B76="","","RES-"&amp;TEXT(ROW()-4,"000"))</f>
        <v/>
      </c>
      <c r="B76" s="24"/>
      <c r="C76" s="25"/>
      <c r="D76" s="24"/>
      <c r="E76" s="24"/>
      <c r="F76" s="29"/>
      <c r="G76" s="24"/>
      <c r="H76" s="24"/>
      <c r="I76" s="24"/>
      <c r="J76" s="24"/>
      <c r="K76" s="24"/>
      <c r="L76" s="26" t="str">
        <f aca="false">IF($B76="","",IFERROR(INDEX(ST_LOT,MATCH($B76,ST_ID,0)),""))</f>
        <v/>
      </c>
      <c r="M76" s="26" t="str">
        <f aca="false">IF($B76="","",IFERROR(INDEX(ST_STRAIT,MATCH($B76,ST_ID,0)),""))</f>
        <v/>
      </c>
      <c r="N76" s="26" t="str">
        <f aca="false">IF($B76="","",IF($E76="",$L76,$E76))</f>
        <v/>
      </c>
      <c r="O76" s="26" t="str">
        <f aca="false">IF($N76="","",IFERROR(INDEX(LOT_EXTE,MATCH($N76,LOT_KEY,0)),""))</f>
        <v/>
      </c>
      <c r="P76" s="26" t="str">
        <f aca="false">IF($J76="","",IFERROR(INDEX(EMPL_CLASSE,MATCH($J76,EMPL_KEY,0)),"?"))</f>
        <v/>
      </c>
      <c r="Q76" s="28" t="n">
        <f aca="false">IF($B76="",0,IF(OR(ISNA(MATCH($B76,ST_ID,0)),NOT(ISNUMBER($F76)),$F76&lt;=0,$J76="",$N76=""),0,1))</f>
        <v>0</v>
      </c>
      <c r="R76" s="27" t="n">
        <f aca="false">IF($Q76=0,0,$F76)</f>
        <v>0</v>
      </c>
      <c r="S76" s="26" t="str">
        <f aca="false">IF($B76="","",IFERROR(INDEX(ST_STATUT,MATCH($B76,ST_ID,0)),""))</f>
        <v/>
      </c>
      <c r="T76" s="26" t="str">
        <f aca="false">IF($B76="","",IF($Q76=0,"DONNEES MANQUANTES",IF(OR($S76="DONNEES MANQUANTES",$S76="STOCK INSUFFISANT",$S76="EMPLACEMENT INCOHERENT",$S76="BLOQUE"),"BLOQUE","OK")))</f>
        <v/>
      </c>
      <c r="U76" s="28" t="n">
        <f aca="false">IF($T76="OK",1,0)</f>
        <v>0</v>
      </c>
      <c r="V76" s="26" t="str">
        <f aca="false">IF($B76="","",IF($Q76=0,"A COMPLETER : "&amp;IF(ISNA(MATCH($B76,ST_ID,0)),"ID ST valide; ","")&amp;IF(OR(NOT(ISNUMBER($F76)),$F76&lt;=0),"QUANTITE &gt; 0; ","")&amp;IF($J76="","EMPL. DESTINATION; ",""),IF($T76="BLOQUE","Envoi parent en anomalie ("&amp;$S76&amp;") : corriger l'onglet SOUS_TRAITANCE.",IF(AND($E76&lt;&gt;"",ISNA(MATCH($E76,LOT_KEY,0))),"Creer la fiche du lot resultat dans l'onglet LOTS.",""))))</f>
        <v/>
      </c>
      <c r="W76" s="31" t="str">
        <f aca="false">IF($B76="","",IF($C76&lt;&gt;"",$C76,IFERROR(INDEX(ST_DATERET,MATCH($B76,ST_ID,0)),"")))</f>
        <v/>
      </c>
      <c r="X76" s="26" t="str">
        <f aca="false">IF($Q76=0,"",IF($L76=R_LOT,IF($N76&lt;&gt;R_LOT,$N76,""),IF($N76=R_LOT,$L76,"")))</f>
        <v/>
      </c>
      <c r="Y76" s="26" t="str">
        <f aca="false">IF($X76="","",IF(COUNTIF($X$4:$X75,$X76)&gt;0,"",COUNT($Y$4:$Y75)+1))</f>
        <v/>
      </c>
      <c r="Z76" s="26" t="n">
        <f aca="false">IF($Q76=0,0,IF(OR($L76=R_LOT,$N76=R_LOT),1,0))</f>
        <v>0</v>
      </c>
      <c r="AA76" s="26" t="str">
        <f aca="false">IF($Z76=0,"",COUNTIF($Z$5:$Z76,1))</f>
        <v/>
      </c>
    </row>
    <row r="77" customFormat="false" ht="15" hidden="false" customHeight="false" outlineLevel="0" collapsed="false">
      <c r="A77" s="26" t="str">
        <f aca="false">IF($B77="","","RES-"&amp;TEXT(ROW()-4,"000"))</f>
        <v/>
      </c>
      <c r="B77" s="24"/>
      <c r="C77" s="25"/>
      <c r="D77" s="24"/>
      <c r="E77" s="24"/>
      <c r="F77" s="29"/>
      <c r="G77" s="24"/>
      <c r="H77" s="24"/>
      <c r="I77" s="24"/>
      <c r="J77" s="24"/>
      <c r="K77" s="24"/>
      <c r="L77" s="26" t="str">
        <f aca="false">IF($B77="","",IFERROR(INDEX(ST_LOT,MATCH($B77,ST_ID,0)),""))</f>
        <v/>
      </c>
      <c r="M77" s="26" t="str">
        <f aca="false">IF($B77="","",IFERROR(INDEX(ST_STRAIT,MATCH($B77,ST_ID,0)),""))</f>
        <v/>
      </c>
      <c r="N77" s="26" t="str">
        <f aca="false">IF($B77="","",IF($E77="",$L77,$E77))</f>
        <v/>
      </c>
      <c r="O77" s="26" t="str">
        <f aca="false">IF($N77="","",IFERROR(INDEX(LOT_EXTE,MATCH($N77,LOT_KEY,0)),""))</f>
        <v/>
      </c>
      <c r="P77" s="26" t="str">
        <f aca="false">IF($J77="","",IFERROR(INDEX(EMPL_CLASSE,MATCH($J77,EMPL_KEY,0)),"?"))</f>
        <v/>
      </c>
      <c r="Q77" s="28" t="n">
        <f aca="false">IF($B77="",0,IF(OR(ISNA(MATCH($B77,ST_ID,0)),NOT(ISNUMBER($F77)),$F77&lt;=0,$J77="",$N77=""),0,1))</f>
        <v>0</v>
      </c>
      <c r="R77" s="27" t="n">
        <f aca="false">IF($Q77=0,0,$F77)</f>
        <v>0</v>
      </c>
      <c r="S77" s="26" t="str">
        <f aca="false">IF($B77="","",IFERROR(INDEX(ST_STATUT,MATCH($B77,ST_ID,0)),""))</f>
        <v/>
      </c>
      <c r="T77" s="26" t="str">
        <f aca="false">IF($B77="","",IF($Q77=0,"DONNEES MANQUANTES",IF(OR($S77="DONNEES MANQUANTES",$S77="STOCK INSUFFISANT",$S77="EMPLACEMENT INCOHERENT",$S77="BLOQUE"),"BLOQUE","OK")))</f>
        <v/>
      </c>
      <c r="U77" s="28" t="n">
        <f aca="false">IF($T77="OK",1,0)</f>
        <v>0</v>
      </c>
      <c r="V77" s="26" t="str">
        <f aca="false">IF($B77="","",IF($Q77=0,"A COMPLETER : "&amp;IF(ISNA(MATCH($B77,ST_ID,0)),"ID ST valide; ","")&amp;IF(OR(NOT(ISNUMBER($F77)),$F77&lt;=0),"QUANTITE &gt; 0; ","")&amp;IF($J77="","EMPL. DESTINATION; ",""),IF($T77="BLOQUE","Envoi parent en anomalie ("&amp;$S77&amp;") : corriger l'onglet SOUS_TRAITANCE.",IF(AND($E77&lt;&gt;"",ISNA(MATCH($E77,LOT_KEY,0))),"Creer la fiche du lot resultat dans l'onglet LOTS.",""))))</f>
        <v/>
      </c>
      <c r="W77" s="31" t="str">
        <f aca="false">IF($B77="","",IF($C77&lt;&gt;"",$C77,IFERROR(INDEX(ST_DATERET,MATCH($B77,ST_ID,0)),"")))</f>
        <v/>
      </c>
      <c r="X77" s="26" t="str">
        <f aca="false">IF($Q77=0,"",IF($L77=R_LOT,IF($N77&lt;&gt;R_LOT,$N77,""),IF($N77=R_LOT,$L77,"")))</f>
        <v/>
      </c>
      <c r="Y77" s="26" t="str">
        <f aca="false">IF($X77="","",IF(COUNTIF($X$4:$X76,$X77)&gt;0,"",COUNT($Y$4:$Y76)+1))</f>
        <v/>
      </c>
      <c r="Z77" s="26" t="n">
        <f aca="false">IF($Q77=0,0,IF(OR($L77=R_LOT,$N77=R_LOT),1,0))</f>
        <v>0</v>
      </c>
      <c r="AA77" s="26" t="str">
        <f aca="false">IF($Z77=0,"",COUNTIF($Z$5:$Z77,1))</f>
        <v/>
      </c>
    </row>
    <row r="78" customFormat="false" ht="15" hidden="false" customHeight="false" outlineLevel="0" collapsed="false">
      <c r="A78" s="26" t="str">
        <f aca="false">IF($B78="","","RES-"&amp;TEXT(ROW()-4,"000"))</f>
        <v/>
      </c>
      <c r="B78" s="24"/>
      <c r="C78" s="25"/>
      <c r="D78" s="24"/>
      <c r="E78" s="24"/>
      <c r="F78" s="29"/>
      <c r="G78" s="24"/>
      <c r="H78" s="24"/>
      <c r="I78" s="24"/>
      <c r="J78" s="24"/>
      <c r="K78" s="24"/>
      <c r="L78" s="26" t="str">
        <f aca="false">IF($B78="","",IFERROR(INDEX(ST_LOT,MATCH($B78,ST_ID,0)),""))</f>
        <v/>
      </c>
      <c r="M78" s="26" t="str">
        <f aca="false">IF($B78="","",IFERROR(INDEX(ST_STRAIT,MATCH($B78,ST_ID,0)),""))</f>
        <v/>
      </c>
      <c r="N78" s="26" t="str">
        <f aca="false">IF($B78="","",IF($E78="",$L78,$E78))</f>
        <v/>
      </c>
      <c r="O78" s="26" t="str">
        <f aca="false">IF($N78="","",IFERROR(INDEX(LOT_EXTE,MATCH($N78,LOT_KEY,0)),""))</f>
        <v/>
      </c>
      <c r="P78" s="26" t="str">
        <f aca="false">IF($J78="","",IFERROR(INDEX(EMPL_CLASSE,MATCH($J78,EMPL_KEY,0)),"?"))</f>
        <v/>
      </c>
      <c r="Q78" s="28" t="n">
        <f aca="false">IF($B78="",0,IF(OR(ISNA(MATCH($B78,ST_ID,0)),NOT(ISNUMBER($F78)),$F78&lt;=0,$J78="",$N78=""),0,1))</f>
        <v>0</v>
      </c>
      <c r="R78" s="27" t="n">
        <f aca="false">IF($Q78=0,0,$F78)</f>
        <v>0</v>
      </c>
      <c r="S78" s="26" t="str">
        <f aca="false">IF($B78="","",IFERROR(INDEX(ST_STATUT,MATCH($B78,ST_ID,0)),""))</f>
        <v/>
      </c>
      <c r="T78" s="26" t="str">
        <f aca="false">IF($B78="","",IF($Q78=0,"DONNEES MANQUANTES",IF(OR($S78="DONNEES MANQUANTES",$S78="STOCK INSUFFISANT",$S78="EMPLACEMENT INCOHERENT",$S78="BLOQUE"),"BLOQUE","OK")))</f>
        <v/>
      </c>
      <c r="U78" s="28" t="n">
        <f aca="false">IF($T78="OK",1,0)</f>
        <v>0</v>
      </c>
      <c r="V78" s="26" t="str">
        <f aca="false">IF($B78="","",IF($Q78=0,"A COMPLETER : "&amp;IF(ISNA(MATCH($B78,ST_ID,0)),"ID ST valide; ","")&amp;IF(OR(NOT(ISNUMBER($F78)),$F78&lt;=0),"QUANTITE &gt; 0; ","")&amp;IF($J78="","EMPL. DESTINATION; ",""),IF($T78="BLOQUE","Envoi parent en anomalie ("&amp;$S78&amp;") : corriger l'onglet SOUS_TRAITANCE.",IF(AND($E78&lt;&gt;"",ISNA(MATCH($E78,LOT_KEY,0))),"Creer la fiche du lot resultat dans l'onglet LOTS.",""))))</f>
        <v/>
      </c>
      <c r="W78" s="31" t="str">
        <f aca="false">IF($B78="","",IF($C78&lt;&gt;"",$C78,IFERROR(INDEX(ST_DATERET,MATCH($B78,ST_ID,0)),"")))</f>
        <v/>
      </c>
      <c r="X78" s="26" t="str">
        <f aca="false">IF($Q78=0,"",IF($L78=R_LOT,IF($N78&lt;&gt;R_LOT,$N78,""),IF($N78=R_LOT,$L78,"")))</f>
        <v/>
      </c>
      <c r="Y78" s="26" t="str">
        <f aca="false">IF($X78="","",IF(COUNTIF($X$4:$X77,$X78)&gt;0,"",COUNT($Y$4:$Y77)+1))</f>
        <v/>
      </c>
      <c r="Z78" s="26" t="n">
        <f aca="false">IF($Q78=0,0,IF(OR($L78=R_LOT,$N78=R_LOT),1,0))</f>
        <v>0</v>
      </c>
      <c r="AA78" s="26" t="str">
        <f aca="false">IF($Z78=0,"",COUNTIF($Z$5:$Z78,1))</f>
        <v/>
      </c>
    </row>
    <row r="79" customFormat="false" ht="15" hidden="false" customHeight="false" outlineLevel="0" collapsed="false">
      <c r="A79" s="26" t="str">
        <f aca="false">IF($B79="","","RES-"&amp;TEXT(ROW()-4,"000"))</f>
        <v/>
      </c>
      <c r="B79" s="24"/>
      <c r="C79" s="25"/>
      <c r="D79" s="24"/>
      <c r="E79" s="24"/>
      <c r="F79" s="29"/>
      <c r="G79" s="24"/>
      <c r="H79" s="24"/>
      <c r="I79" s="24"/>
      <c r="J79" s="24"/>
      <c r="K79" s="24"/>
      <c r="L79" s="26" t="str">
        <f aca="false">IF($B79="","",IFERROR(INDEX(ST_LOT,MATCH($B79,ST_ID,0)),""))</f>
        <v/>
      </c>
      <c r="M79" s="26" t="str">
        <f aca="false">IF($B79="","",IFERROR(INDEX(ST_STRAIT,MATCH($B79,ST_ID,0)),""))</f>
        <v/>
      </c>
      <c r="N79" s="26" t="str">
        <f aca="false">IF($B79="","",IF($E79="",$L79,$E79))</f>
        <v/>
      </c>
      <c r="O79" s="26" t="str">
        <f aca="false">IF($N79="","",IFERROR(INDEX(LOT_EXTE,MATCH($N79,LOT_KEY,0)),""))</f>
        <v/>
      </c>
      <c r="P79" s="26" t="str">
        <f aca="false">IF($J79="","",IFERROR(INDEX(EMPL_CLASSE,MATCH($J79,EMPL_KEY,0)),"?"))</f>
        <v/>
      </c>
      <c r="Q79" s="28" t="n">
        <f aca="false">IF($B79="",0,IF(OR(ISNA(MATCH($B79,ST_ID,0)),NOT(ISNUMBER($F79)),$F79&lt;=0,$J79="",$N79=""),0,1))</f>
        <v>0</v>
      </c>
      <c r="R79" s="27" t="n">
        <f aca="false">IF($Q79=0,0,$F79)</f>
        <v>0</v>
      </c>
      <c r="S79" s="26" t="str">
        <f aca="false">IF($B79="","",IFERROR(INDEX(ST_STATUT,MATCH($B79,ST_ID,0)),""))</f>
        <v/>
      </c>
      <c r="T79" s="26" t="str">
        <f aca="false">IF($B79="","",IF($Q79=0,"DONNEES MANQUANTES",IF(OR($S79="DONNEES MANQUANTES",$S79="STOCK INSUFFISANT",$S79="EMPLACEMENT INCOHERENT",$S79="BLOQUE"),"BLOQUE","OK")))</f>
        <v/>
      </c>
      <c r="U79" s="28" t="n">
        <f aca="false">IF($T79="OK",1,0)</f>
        <v>0</v>
      </c>
      <c r="V79" s="26" t="str">
        <f aca="false">IF($B79="","",IF($Q79=0,"A COMPLETER : "&amp;IF(ISNA(MATCH($B79,ST_ID,0)),"ID ST valide; ","")&amp;IF(OR(NOT(ISNUMBER($F79)),$F79&lt;=0),"QUANTITE &gt; 0; ","")&amp;IF($J79="","EMPL. DESTINATION; ",""),IF($T79="BLOQUE","Envoi parent en anomalie ("&amp;$S79&amp;") : corriger l'onglet SOUS_TRAITANCE.",IF(AND($E79&lt;&gt;"",ISNA(MATCH($E79,LOT_KEY,0))),"Creer la fiche du lot resultat dans l'onglet LOTS.",""))))</f>
        <v/>
      </c>
      <c r="W79" s="31" t="str">
        <f aca="false">IF($B79="","",IF($C79&lt;&gt;"",$C79,IFERROR(INDEX(ST_DATERET,MATCH($B79,ST_ID,0)),"")))</f>
        <v/>
      </c>
      <c r="X79" s="26" t="str">
        <f aca="false">IF($Q79=0,"",IF($L79=R_LOT,IF($N79&lt;&gt;R_LOT,$N79,""),IF($N79=R_LOT,$L79,"")))</f>
        <v/>
      </c>
      <c r="Y79" s="26" t="str">
        <f aca="false">IF($X79="","",IF(COUNTIF($X$4:$X78,$X79)&gt;0,"",COUNT($Y$4:$Y78)+1))</f>
        <v/>
      </c>
      <c r="Z79" s="26" t="n">
        <f aca="false">IF($Q79=0,0,IF(OR($L79=R_LOT,$N79=R_LOT),1,0))</f>
        <v>0</v>
      </c>
      <c r="AA79" s="26" t="str">
        <f aca="false">IF($Z79=0,"",COUNTIF($Z$5:$Z79,1))</f>
        <v/>
      </c>
    </row>
    <row r="80" customFormat="false" ht="15" hidden="false" customHeight="false" outlineLevel="0" collapsed="false">
      <c r="A80" s="26" t="str">
        <f aca="false">IF($B80="","","RES-"&amp;TEXT(ROW()-4,"000"))</f>
        <v/>
      </c>
      <c r="B80" s="24"/>
      <c r="C80" s="25"/>
      <c r="D80" s="24"/>
      <c r="E80" s="24"/>
      <c r="F80" s="29"/>
      <c r="G80" s="24"/>
      <c r="H80" s="24"/>
      <c r="I80" s="24"/>
      <c r="J80" s="24"/>
      <c r="K80" s="24"/>
      <c r="L80" s="26" t="str">
        <f aca="false">IF($B80="","",IFERROR(INDEX(ST_LOT,MATCH($B80,ST_ID,0)),""))</f>
        <v/>
      </c>
      <c r="M80" s="26" t="str">
        <f aca="false">IF($B80="","",IFERROR(INDEX(ST_STRAIT,MATCH($B80,ST_ID,0)),""))</f>
        <v/>
      </c>
      <c r="N80" s="26" t="str">
        <f aca="false">IF($B80="","",IF($E80="",$L80,$E80))</f>
        <v/>
      </c>
      <c r="O80" s="26" t="str">
        <f aca="false">IF($N80="","",IFERROR(INDEX(LOT_EXTE,MATCH($N80,LOT_KEY,0)),""))</f>
        <v/>
      </c>
      <c r="P80" s="26" t="str">
        <f aca="false">IF($J80="","",IFERROR(INDEX(EMPL_CLASSE,MATCH($J80,EMPL_KEY,0)),"?"))</f>
        <v/>
      </c>
      <c r="Q80" s="28" t="n">
        <f aca="false">IF($B80="",0,IF(OR(ISNA(MATCH($B80,ST_ID,0)),NOT(ISNUMBER($F80)),$F80&lt;=0,$J80="",$N80=""),0,1))</f>
        <v>0</v>
      </c>
      <c r="R80" s="27" t="n">
        <f aca="false">IF($Q80=0,0,$F80)</f>
        <v>0</v>
      </c>
      <c r="S80" s="26" t="str">
        <f aca="false">IF($B80="","",IFERROR(INDEX(ST_STATUT,MATCH($B80,ST_ID,0)),""))</f>
        <v/>
      </c>
      <c r="T80" s="26" t="str">
        <f aca="false">IF($B80="","",IF($Q80=0,"DONNEES MANQUANTES",IF(OR($S80="DONNEES MANQUANTES",$S80="STOCK INSUFFISANT",$S80="EMPLACEMENT INCOHERENT",$S80="BLOQUE"),"BLOQUE","OK")))</f>
        <v/>
      </c>
      <c r="U80" s="28" t="n">
        <f aca="false">IF($T80="OK",1,0)</f>
        <v>0</v>
      </c>
      <c r="V80" s="26" t="str">
        <f aca="false">IF($B80="","",IF($Q80=0,"A COMPLETER : "&amp;IF(ISNA(MATCH($B80,ST_ID,0)),"ID ST valide; ","")&amp;IF(OR(NOT(ISNUMBER($F80)),$F80&lt;=0),"QUANTITE &gt; 0; ","")&amp;IF($J80="","EMPL. DESTINATION; ",""),IF($T80="BLOQUE","Envoi parent en anomalie ("&amp;$S80&amp;") : corriger l'onglet SOUS_TRAITANCE.",IF(AND($E80&lt;&gt;"",ISNA(MATCH($E80,LOT_KEY,0))),"Creer la fiche du lot resultat dans l'onglet LOTS.",""))))</f>
        <v/>
      </c>
      <c r="W80" s="31" t="str">
        <f aca="false">IF($B80="","",IF($C80&lt;&gt;"",$C80,IFERROR(INDEX(ST_DATERET,MATCH($B80,ST_ID,0)),"")))</f>
        <v/>
      </c>
      <c r="X80" s="26" t="str">
        <f aca="false">IF($Q80=0,"",IF($L80=R_LOT,IF($N80&lt;&gt;R_LOT,$N80,""),IF($N80=R_LOT,$L80,"")))</f>
        <v/>
      </c>
      <c r="Y80" s="26" t="str">
        <f aca="false">IF($X80="","",IF(COUNTIF($X$4:$X79,$X80)&gt;0,"",COUNT($Y$4:$Y79)+1))</f>
        <v/>
      </c>
      <c r="Z80" s="26" t="n">
        <f aca="false">IF($Q80=0,0,IF(OR($L80=R_LOT,$N80=R_LOT),1,0))</f>
        <v>0</v>
      </c>
      <c r="AA80" s="26" t="str">
        <f aca="false">IF($Z80=0,"",COUNTIF($Z$5:$Z80,1))</f>
        <v/>
      </c>
    </row>
    <row r="81" customFormat="false" ht="15" hidden="false" customHeight="false" outlineLevel="0" collapsed="false">
      <c r="A81" s="26" t="str">
        <f aca="false">IF($B81="","","RES-"&amp;TEXT(ROW()-4,"000"))</f>
        <v/>
      </c>
      <c r="B81" s="24"/>
      <c r="C81" s="25"/>
      <c r="D81" s="24"/>
      <c r="E81" s="24"/>
      <c r="F81" s="29"/>
      <c r="G81" s="24"/>
      <c r="H81" s="24"/>
      <c r="I81" s="24"/>
      <c r="J81" s="24"/>
      <c r="K81" s="24"/>
      <c r="L81" s="26" t="str">
        <f aca="false">IF($B81="","",IFERROR(INDEX(ST_LOT,MATCH($B81,ST_ID,0)),""))</f>
        <v/>
      </c>
      <c r="M81" s="26" t="str">
        <f aca="false">IF($B81="","",IFERROR(INDEX(ST_STRAIT,MATCH($B81,ST_ID,0)),""))</f>
        <v/>
      </c>
      <c r="N81" s="26" t="str">
        <f aca="false">IF($B81="","",IF($E81="",$L81,$E81))</f>
        <v/>
      </c>
      <c r="O81" s="26" t="str">
        <f aca="false">IF($N81="","",IFERROR(INDEX(LOT_EXTE,MATCH($N81,LOT_KEY,0)),""))</f>
        <v/>
      </c>
      <c r="P81" s="26" t="str">
        <f aca="false">IF($J81="","",IFERROR(INDEX(EMPL_CLASSE,MATCH($J81,EMPL_KEY,0)),"?"))</f>
        <v/>
      </c>
      <c r="Q81" s="28" t="n">
        <f aca="false">IF($B81="",0,IF(OR(ISNA(MATCH($B81,ST_ID,0)),NOT(ISNUMBER($F81)),$F81&lt;=0,$J81="",$N81=""),0,1))</f>
        <v>0</v>
      </c>
      <c r="R81" s="27" t="n">
        <f aca="false">IF($Q81=0,0,$F81)</f>
        <v>0</v>
      </c>
      <c r="S81" s="26" t="str">
        <f aca="false">IF($B81="","",IFERROR(INDEX(ST_STATUT,MATCH($B81,ST_ID,0)),""))</f>
        <v/>
      </c>
      <c r="T81" s="26" t="str">
        <f aca="false">IF($B81="","",IF($Q81=0,"DONNEES MANQUANTES",IF(OR($S81="DONNEES MANQUANTES",$S81="STOCK INSUFFISANT",$S81="EMPLACEMENT INCOHERENT",$S81="BLOQUE"),"BLOQUE","OK")))</f>
        <v/>
      </c>
      <c r="U81" s="28" t="n">
        <f aca="false">IF($T81="OK",1,0)</f>
        <v>0</v>
      </c>
      <c r="V81" s="26" t="str">
        <f aca="false">IF($B81="","",IF($Q81=0,"A COMPLETER : "&amp;IF(ISNA(MATCH($B81,ST_ID,0)),"ID ST valide; ","")&amp;IF(OR(NOT(ISNUMBER($F81)),$F81&lt;=0),"QUANTITE &gt; 0; ","")&amp;IF($J81="","EMPL. DESTINATION; ",""),IF($T81="BLOQUE","Envoi parent en anomalie ("&amp;$S81&amp;") : corriger l'onglet SOUS_TRAITANCE.",IF(AND($E81&lt;&gt;"",ISNA(MATCH($E81,LOT_KEY,0))),"Creer la fiche du lot resultat dans l'onglet LOTS.",""))))</f>
        <v/>
      </c>
      <c r="W81" s="31" t="str">
        <f aca="false">IF($B81="","",IF($C81&lt;&gt;"",$C81,IFERROR(INDEX(ST_DATERET,MATCH($B81,ST_ID,0)),"")))</f>
        <v/>
      </c>
      <c r="X81" s="26" t="str">
        <f aca="false">IF($Q81=0,"",IF($L81=R_LOT,IF($N81&lt;&gt;R_LOT,$N81,""),IF($N81=R_LOT,$L81,"")))</f>
        <v/>
      </c>
      <c r="Y81" s="26" t="str">
        <f aca="false">IF($X81="","",IF(COUNTIF($X$4:$X80,$X81)&gt;0,"",COUNT($Y$4:$Y80)+1))</f>
        <v/>
      </c>
      <c r="Z81" s="26" t="n">
        <f aca="false">IF($Q81=0,0,IF(OR($L81=R_LOT,$N81=R_LOT),1,0))</f>
        <v>0</v>
      </c>
      <c r="AA81" s="26" t="str">
        <f aca="false">IF($Z81=0,"",COUNTIF($Z$5:$Z81,1))</f>
        <v/>
      </c>
    </row>
    <row r="82" customFormat="false" ht="15" hidden="false" customHeight="false" outlineLevel="0" collapsed="false">
      <c r="A82" s="26" t="str">
        <f aca="false">IF($B82="","","RES-"&amp;TEXT(ROW()-4,"000"))</f>
        <v/>
      </c>
      <c r="B82" s="24"/>
      <c r="C82" s="25"/>
      <c r="D82" s="24"/>
      <c r="E82" s="24"/>
      <c r="F82" s="29"/>
      <c r="G82" s="24"/>
      <c r="H82" s="24"/>
      <c r="I82" s="24"/>
      <c r="J82" s="24"/>
      <c r="K82" s="24"/>
      <c r="L82" s="26" t="str">
        <f aca="false">IF($B82="","",IFERROR(INDEX(ST_LOT,MATCH($B82,ST_ID,0)),""))</f>
        <v/>
      </c>
      <c r="M82" s="26" t="str">
        <f aca="false">IF($B82="","",IFERROR(INDEX(ST_STRAIT,MATCH($B82,ST_ID,0)),""))</f>
        <v/>
      </c>
      <c r="N82" s="26" t="str">
        <f aca="false">IF($B82="","",IF($E82="",$L82,$E82))</f>
        <v/>
      </c>
      <c r="O82" s="26" t="str">
        <f aca="false">IF($N82="","",IFERROR(INDEX(LOT_EXTE,MATCH($N82,LOT_KEY,0)),""))</f>
        <v/>
      </c>
      <c r="P82" s="26" t="str">
        <f aca="false">IF($J82="","",IFERROR(INDEX(EMPL_CLASSE,MATCH($J82,EMPL_KEY,0)),"?"))</f>
        <v/>
      </c>
      <c r="Q82" s="28" t="n">
        <f aca="false">IF($B82="",0,IF(OR(ISNA(MATCH($B82,ST_ID,0)),NOT(ISNUMBER($F82)),$F82&lt;=0,$J82="",$N82=""),0,1))</f>
        <v>0</v>
      </c>
      <c r="R82" s="27" t="n">
        <f aca="false">IF($Q82=0,0,$F82)</f>
        <v>0</v>
      </c>
      <c r="S82" s="26" t="str">
        <f aca="false">IF($B82="","",IFERROR(INDEX(ST_STATUT,MATCH($B82,ST_ID,0)),""))</f>
        <v/>
      </c>
      <c r="T82" s="26" t="str">
        <f aca="false">IF($B82="","",IF($Q82=0,"DONNEES MANQUANTES",IF(OR($S82="DONNEES MANQUANTES",$S82="STOCK INSUFFISANT",$S82="EMPLACEMENT INCOHERENT",$S82="BLOQUE"),"BLOQUE","OK")))</f>
        <v/>
      </c>
      <c r="U82" s="28" t="n">
        <f aca="false">IF($T82="OK",1,0)</f>
        <v>0</v>
      </c>
      <c r="V82" s="26" t="str">
        <f aca="false">IF($B82="","",IF($Q82=0,"A COMPLETER : "&amp;IF(ISNA(MATCH($B82,ST_ID,0)),"ID ST valide; ","")&amp;IF(OR(NOT(ISNUMBER($F82)),$F82&lt;=0),"QUANTITE &gt; 0; ","")&amp;IF($J82="","EMPL. DESTINATION; ",""),IF($T82="BLOQUE","Envoi parent en anomalie ("&amp;$S82&amp;") : corriger l'onglet SOUS_TRAITANCE.",IF(AND($E82&lt;&gt;"",ISNA(MATCH($E82,LOT_KEY,0))),"Creer la fiche du lot resultat dans l'onglet LOTS.",""))))</f>
        <v/>
      </c>
      <c r="W82" s="31" t="str">
        <f aca="false">IF($B82="","",IF($C82&lt;&gt;"",$C82,IFERROR(INDEX(ST_DATERET,MATCH($B82,ST_ID,0)),"")))</f>
        <v/>
      </c>
      <c r="X82" s="26" t="str">
        <f aca="false">IF($Q82=0,"",IF($L82=R_LOT,IF($N82&lt;&gt;R_LOT,$N82,""),IF($N82=R_LOT,$L82,"")))</f>
        <v/>
      </c>
      <c r="Y82" s="26" t="str">
        <f aca="false">IF($X82="","",IF(COUNTIF($X$4:$X81,$X82)&gt;0,"",COUNT($Y$4:$Y81)+1))</f>
        <v/>
      </c>
      <c r="Z82" s="26" t="n">
        <f aca="false">IF($Q82=0,0,IF(OR($L82=R_LOT,$N82=R_LOT),1,0))</f>
        <v>0</v>
      </c>
      <c r="AA82" s="26" t="str">
        <f aca="false">IF($Z82=0,"",COUNTIF($Z$5:$Z82,1))</f>
        <v/>
      </c>
    </row>
    <row r="83" customFormat="false" ht="15" hidden="false" customHeight="false" outlineLevel="0" collapsed="false">
      <c r="A83" s="26" t="str">
        <f aca="false">IF($B83="","","RES-"&amp;TEXT(ROW()-4,"000"))</f>
        <v/>
      </c>
      <c r="B83" s="24"/>
      <c r="C83" s="25"/>
      <c r="D83" s="24"/>
      <c r="E83" s="24"/>
      <c r="F83" s="29"/>
      <c r="G83" s="24"/>
      <c r="H83" s="24"/>
      <c r="I83" s="24"/>
      <c r="J83" s="24"/>
      <c r="K83" s="24"/>
      <c r="L83" s="26" t="str">
        <f aca="false">IF($B83="","",IFERROR(INDEX(ST_LOT,MATCH($B83,ST_ID,0)),""))</f>
        <v/>
      </c>
      <c r="M83" s="26" t="str">
        <f aca="false">IF($B83="","",IFERROR(INDEX(ST_STRAIT,MATCH($B83,ST_ID,0)),""))</f>
        <v/>
      </c>
      <c r="N83" s="26" t="str">
        <f aca="false">IF($B83="","",IF($E83="",$L83,$E83))</f>
        <v/>
      </c>
      <c r="O83" s="26" t="str">
        <f aca="false">IF($N83="","",IFERROR(INDEX(LOT_EXTE,MATCH($N83,LOT_KEY,0)),""))</f>
        <v/>
      </c>
      <c r="P83" s="26" t="str">
        <f aca="false">IF($J83="","",IFERROR(INDEX(EMPL_CLASSE,MATCH($J83,EMPL_KEY,0)),"?"))</f>
        <v/>
      </c>
      <c r="Q83" s="28" t="n">
        <f aca="false">IF($B83="",0,IF(OR(ISNA(MATCH($B83,ST_ID,0)),NOT(ISNUMBER($F83)),$F83&lt;=0,$J83="",$N83=""),0,1))</f>
        <v>0</v>
      </c>
      <c r="R83" s="27" t="n">
        <f aca="false">IF($Q83=0,0,$F83)</f>
        <v>0</v>
      </c>
      <c r="S83" s="26" t="str">
        <f aca="false">IF($B83="","",IFERROR(INDEX(ST_STATUT,MATCH($B83,ST_ID,0)),""))</f>
        <v/>
      </c>
      <c r="T83" s="26" t="str">
        <f aca="false">IF($B83="","",IF($Q83=0,"DONNEES MANQUANTES",IF(OR($S83="DONNEES MANQUANTES",$S83="STOCK INSUFFISANT",$S83="EMPLACEMENT INCOHERENT",$S83="BLOQUE"),"BLOQUE","OK")))</f>
        <v/>
      </c>
      <c r="U83" s="28" t="n">
        <f aca="false">IF($T83="OK",1,0)</f>
        <v>0</v>
      </c>
      <c r="V83" s="26" t="str">
        <f aca="false">IF($B83="","",IF($Q83=0,"A COMPLETER : "&amp;IF(ISNA(MATCH($B83,ST_ID,0)),"ID ST valide; ","")&amp;IF(OR(NOT(ISNUMBER($F83)),$F83&lt;=0),"QUANTITE &gt; 0; ","")&amp;IF($J83="","EMPL. DESTINATION; ",""),IF($T83="BLOQUE","Envoi parent en anomalie ("&amp;$S83&amp;") : corriger l'onglet SOUS_TRAITANCE.",IF(AND($E83&lt;&gt;"",ISNA(MATCH($E83,LOT_KEY,0))),"Creer la fiche du lot resultat dans l'onglet LOTS.",""))))</f>
        <v/>
      </c>
      <c r="W83" s="31" t="str">
        <f aca="false">IF($B83="","",IF($C83&lt;&gt;"",$C83,IFERROR(INDEX(ST_DATERET,MATCH($B83,ST_ID,0)),"")))</f>
        <v/>
      </c>
      <c r="X83" s="26" t="str">
        <f aca="false">IF($Q83=0,"",IF($L83=R_LOT,IF($N83&lt;&gt;R_LOT,$N83,""),IF($N83=R_LOT,$L83,"")))</f>
        <v/>
      </c>
      <c r="Y83" s="26" t="str">
        <f aca="false">IF($X83="","",IF(COUNTIF($X$4:$X82,$X83)&gt;0,"",COUNT($Y$4:$Y82)+1))</f>
        <v/>
      </c>
      <c r="Z83" s="26" t="n">
        <f aca="false">IF($Q83=0,0,IF(OR($L83=R_LOT,$N83=R_LOT),1,0))</f>
        <v>0</v>
      </c>
      <c r="AA83" s="26" t="str">
        <f aca="false">IF($Z83=0,"",COUNTIF($Z$5:$Z83,1))</f>
        <v/>
      </c>
    </row>
    <row r="84" customFormat="false" ht="15" hidden="false" customHeight="false" outlineLevel="0" collapsed="false">
      <c r="A84" s="26" t="str">
        <f aca="false">IF($B84="","","RES-"&amp;TEXT(ROW()-4,"000"))</f>
        <v/>
      </c>
      <c r="B84" s="24"/>
      <c r="C84" s="25"/>
      <c r="D84" s="24"/>
      <c r="E84" s="24"/>
      <c r="F84" s="29"/>
      <c r="G84" s="24"/>
      <c r="H84" s="24"/>
      <c r="I84" s="24"/>
      <c r="J84" s="24"/>
      <c r="K84" s="24"/>
      <c r="L84" s="26" t="str">
        <f aca="false">IF($B84="","",IFERROR(INDEX(ST_LOT,MATCH($B84,ST_ID,0)),""))</f>
        <v/>
      </c>
      <c r="M84" s="26" t="str">
        <f aca="false">IF($B84="","",IFERROR(INDEX(ST_STRAIT,MATCH($B84,ST_ID,0)),""))</f>
        <v/>
      </c>
      <c r="N84" s="26" t="str">
        <f aca="false">IF($B84="","",IF($E84="",$L84,$E84))</f>
        <v/>
      </c>
      <c r="O84" s="26" t="str">
        <f aca="false">IF($N84="","",IFERROR(INDEX(LOT_EXTE,MATCH($N84,LOT_KEY,0)),""))</f>
        <v/>
      </c>
      <c r="P84" s="26" t="str">
        <f aca="false">IF($J84="","",IFERROR(INDEX(EMPL_CLASSE,MATCH($J84,EMPL_KEY,0)),"?"))</f>
        <v/>
      </c>
      <c r="Q84" s="28" t="n">
        <f aca="false">IF($B84="",0,IF(OR(ISNA(MATCH($B84,ST_ID,0)),NOT(ISNUMBER($F84)),$F84&lt;=0,$J84="",$N84=""),0,1))</f>
        <v>0</v>
      </c>
      <c r="R84" s="27" t="n">
        <f aca="false">IF($Q84=0,0,$F84)</f>
        <v>0</v>
      </c>
      <c r="S84" s="26" t="str">
        <f aca="false">IF($B84="","",IFERROR(INDEX(ST_STATUT,MATCH($B84,ST_ID,0)),""))</f>
        <v/>
      </c>
      <c r="T84" s="26" t="str">
        <f aca="false">IF($B84="","",IF($Q84=0,"DONNEES MANQUANTES",IF(OR($S84="DONNEES MANQUANTES",$S84="STOCK INSUFFISANT",$S84="EMPLACEMENT INCOHERENT",$S84="BLOQUE"),"BLOQUE","OK")))</f>
        <v/>
      </c>
      <c r="U84" s="28" t="n">
        <f aca="false">IF($T84="OK",1,0)</f>
        <v>0</v>
      </c>
      <c r="V84" s="26" t="str">
        <f aca="false">IF($B84="","",IF($Q84=0,"A COMPLETER : "&amp;IF(ISNA(MATCH($B84,ST_ID,0)),"ID ST valide; ","")&amp;IF(OR(NOT(ISNUMBER($F84)),$F84&lt;=0),"QUANTITE &gt; 0; ","")&amp;IF($J84="","EMPL. DESTINATION; ",""),IF($T84="BLOQUE","Envoi parent en anomalie ("&amp;$S84&amp;") : corriger l'onglet SOUS_TRAITANCE.",IF(AND($E84&lt;&gt;"",ISNA(MATCH($E84,LOT_KEY,0))),"Creer la fiche du lot resultat dans l'onglet LOTS.",""))))</f>
        <v/>
      </c>
      <c r="W84" s="31" t="str">
        <f aca="false">IF($B84="","",IF($C84&lt;&gt;"",$C84,IFERROR(INDEX(ST_DATERET,MATCH($B84,ST_ID,0)),"")))</f>
        <v/>
      </c>
      <c r="X84" s="26" t="str">
        <f aca="false">IF($Q84=0,"",IF($L84=R_LOT,IF($N84&lt;&gt;R_LOT,$N84,""),IF($N84=R_LOT,$L84,"")))</f>
        <v/>
      </c>
      <c r="Y84" s="26" t="str">
        <f aca="false">IF($X84="","",IF(COUNTIF($X$4:$X83,$X84)&gt;0,"",COUNT($Y$4:$Y83)+1))</f>
        <v/>
      </c>
      <c r="Z84" s="26" t="n">
        <f aca="false">IF($Q84=0,0,IF(OR($L84=R_LOT,$N84=R_LOT),1,0))</f>
        <v>0</v>
      </c>
      <c r="AA84" s="26" t="str">
        <f aca="false">IF($Z84=0,"",COUNTIF($Z$5:$Z84,1))</f>
        <v/>
      </c>
    </row>
    <row r="85" customFormat="false" ht="15" hidden="false" customHeight="false" outlineLevel="0" collapsed="false">
      <c r="A85" s="26" t="str">
        <f aca="false">IF($B85="","","RES-"&amp;TEXT(ROW()-4,"000"))</f>
        <v/>
      </c>
      <c r="B85" s="24"/>
      <c r="C85" s="25"/>
      <c r="D85" s="24"/>
      <c r="E85" s="24"/>
      <c r="F85" s="29"/>
      <c r="G85" s="24"/>
      <c r="H85" s="24"/>
      <c r="I85" s="24"/>
      <c r="J85" s="24"/>
      <c r="K85" s="24"/>
      <c r="L85" s="26" t="str">
        <f aca="false">IF($B85="","",IFERROR(INDEX(ST_LOT,MATCH($B85,ST_ID,0)),""))</f>
        <v/>
      </c>
      <c r="M85" s="26" t="str">
        <f aca="false">IF($B85="","",IFERROR(INDEX(ST_STRAIT,MATCH($B85,ST_ID,0)),""))</f>
        <v/>
      </c>
      <c r="N85" s="26" t="str">
        <f aca="false">IF($B85="","",IF($E85="",$L85,$E85))</f>
        <v/>
      </c>
      <c r="O85" s="26" t="str">
        <f aca="false">IF($N85="","",IFERROR(INDEX(LOT_EXTE,MATCH($N85,LOT_KEY,0)),""))</f>
        <v/>
      </c>
      <c r="P85" s="26" t="str">
        <f aca="false">IF($J85="","",IFERROR(INDEX(EMPL_CLASSE,MATCH($J85,EMPL_KEY,0)),"?"))</f>
        <v/>
      </c>
      <c r="Q85" s="28" t="n">
        <f aca="false">IF($B85="",0,IF(OR(ISNA(MATCH($B85,ST_ID,0)),NOT(ISNUMBER($F85)),$F85&lt;=0,$J85="",$N85=""),0,1))</f>
        <v>0</v>
      </c>
      <c r="R85" s="27" t="n">
        <f aca="false">IF($Q85=0,0,$F85)</f>
        <v>0</v>
      </c>
      <c r="S85" s="26" t="str">
        <f aca="false">IF($B85="","",IFERROR(INDEX(ST_STATUT,MATCH($B85,ST_ID,0)),""))</f>
        <v/>
      </c>
      <c r="T85" s="26" t="str">
        <f aca="false">IF($B85="","",IF($Q85=0,"DONNEES MANQUANTES",IF(OR($S85="DONNEES MANQUANTES",$S85="STOCK INSUFFISANT",$S85="EMPLACEMENT INCOHERENT",$S85="BLOQUE"),"BLOQUE","OK")))</f>
        <v/>
      </c>
      <c r="U85" s="28" t="n">
        <f aca="false">IF($T85="OK",1,0)</f>
        <v>0</v>
      </c>
      <c r="V85" s="26" t="str">
        <f aca="false">IF($B85="","",IF($Q85=0,"A COMPLETER : "&amp;IF(ISNA(MATCH($B85,ST_ID,0)),"ID ST valide; ","")&amp;IF(OR(NOT(ISNUMBER($F85)),$F85&lt;=0),"QUANTITE &gt; 0; ","")&amp;IF($J85="","EMPL. DESTINATION; ",""),IF($T85="BLOQUE","Envoi parent en anomalie ("&amp;$S85&amp;") : corriger l'onglet SOUS_TRAITANCE.",IF(AND($E85&lt;&gt;"",ISNA(MATCH($E85,LOT_KEY,0))),"Creer la fiche du lot resultat dans l'onglet LOTS.",""))))</f>
        <v/>
      </c>
      <c r="W85" s="31" t="str">
        <f aca="false">IF($B85="","",IF($C85&lt;&gt;"",$C85,IFERROR(INDEX(ST_DATERET,MATCH($B85,ST_ID,0)),"")))</f>
        <v/>
      </c>
      <c r="X85" s="26" t="str">
        <f aca="false">IF($Q85=0,"",IF($L85=R_LOT,IF($N85&lt;&gt;R_LOT,$N85,""),IF($N85=R_LOT,$L85,"")))</f>
        <v/>
      </c>
      <c r="Y85" s="26" t="str">
        <f aca="false">IF($X85="","",IF(COUNTIF($X$4:$X84,$X85)&gt;0,"",COUNT($Y$4:$Y84)+1))</f>
        <v/>
      </c>
      <c r="Z85" s="26" t="n">
        <f aca="false">IF($Q85=0,0,IF(OR($L85=R_LOT,$N85=R_LOT),1,0))</f>
        <v>0</v>
      </c>
      <c r="AA85" s="26" t="str">
        <f aca="false">IF($Z85=0,"",COUNTIF($Z$5:$Z85,1))</f>
        <v/>
      </c>
    </row>
    <row r="86" customFormat="false" ht="15" hidden="false" customHeight="false" outlineLevel="0" collapsed="false">
      <c r="A86" s="26" t="str">
        <f aca="false">IF($B86="","","RES-"&amp;TEXT(ROW()-4,"000"))</f>
        <v/>
      </c>
      <c r="B86" s="24"/>
      <c r="C86" s="25"/>
      <c r="D86" s="24"/>
      <c r="E86" s="24"/>
      <c r="F86" s="29"/>
      <c r="G86" s="24"/>
      <c r="H86" s="24"/>
      <c r="I86" s="24"/>
      <c r="J86" s="24"/>
      <c r="K86" s="24"/>
      <c r="L86" s="26" t="str">
        <f aca="false">IF($B86="","",IFERROR(INDEX(ST_LOT,MATCH($B86,ST_ID,0)),""))</f>
        <v/>
      </c>
      <c r="M86" s="26" t="str">
        <f aca="false">IF($B86="","",IFERROR(INDEX(ST_STRAIT,MATCH($B86,ST_ID,0)),""))</f>
        <v/>
      </c>
      <c r="N86" s="26" t="str">
        <f aca="false">IF($B86="","",IF($E86="",$L86,$E86))</f>
        <v/>
      </c>
      <c r="O86" s="26" t="str">
        <f aca="false">IF($N86="","",IFERROR(INDEX(LOT_EXTE,MATCH($N86,LOT_KEY,0)),""))</f>
        <v/>
      </c>
      <c r="P86" s="26" t="str">
        <f aca="false">IF($J86="","",IFERROR(INDEX(EMPL_CLASSE,MATCH($J86,EMPL_KEY,0)),"?"))</f>
        <v/>
      </c>
      <c r="Q86" s="28" t="n">
        <f aca="false">IF($B86="",0,IF(OR(ISNA(MATCH($B86,ST_ID,0)),NOT(ISNUMBER($F86)),$F86&lt;=0,$J86="",$N86=""),0,1))</f>
        <v>0</v>
      </c>
      <c r="R86" s="27" t="n">
        <f aca="false">IF($Q86=0,0,$F86)</f>
        <v>0</v>
      </c>
      <c r="S86" s="26" t="str">
        <f aca="false">IF($B86="","",IFERROR(INDEX(ST_STATUT,MATCH($B86,ST_ID,0)),""))</f>
        <v/>
      </c>
      <c r="T86" s="26" t="str">
        <f aca="false">IF($B86="","",IF($Q86=0,"DONNEES MANQUANTES",IF(OR($S86="DONNEES MANQUANTES",$S86="STOCK INSUFFISANT",$S86="EMPLACEMENT INCOHERENT",$S86="BLOQUE"),"BLOQUE","OK")))</f>
        <v/>
      </c>
      <c r="U86" s="28" t="n">
        <f aca="false">IF($T86="OK",1,0)</f>
        <v>0</v>
      </c>
      <c r="V86" s="26" t="str">
        <f aca="false">IF($B86="","",IF($Q86=0,"A COMPLETER : "&amp;IF(ISNA(MATCH($B86,ST_ID,0)),"ID ST valide; ","")&amp;IF(OR(NOT(ISNUMBER($F86)),$F86&lt;=0),"QUANTITE &gt; 0; ","")&amp;IF($J86="","EMPL. DESTINATION; ",""),IF($T86="BLOQUE","Envoi parent en anomalie ("&amp;$S86&amp;") : corriger l'onglet SOUS_TRAITANCE.",IF(AND($E86&lt;&gt;"",ISNA(MATCH($E86,LOT_KEY,0))),"Creer la fiche du lot resultat dans l'onglet LOTS.",""))))</f>
        <v/>
      </c>
      <c r="W86" s="31" t="str">
        <f aca="false">IF($B86="","",IF($C86&lt;&gt;"",$C86,IFERROR(INDEX(ST_DATERET,MATCH($B86,ST_ID,0)),"")))</f>
        <v/>
      </c>
      <c r="X86" s="26" t="str">
        <f aca="false">IF($Q86=0,"",IF($L86=R_LOT,IF($N86&lt;&gt;R_LOT,$N86,""),IF($N86=R_LOT,$L86,"")))</f>
        <v/>
      </c>
      <c r="Y86" s="26" t="str">
        <f aca="false">IF($X86="","",IF(COUNTIF($X$4:$X85,$X86)&gt;0,"",COUNT($Y$4:$Y85)+1))</f>
        <v/>
      </c>
      <c r="Z86" s="26" t="n">
        <f aca="false">IF($Q86=0,0,IF(OR($L86=R_LOT,$N86=R_LOT),1,0))</f>
        <v>0</v>
      </c>
      <c r="AA86" s="26" t="str">
        <f aca="false">IF($Z86=0,"",COUNTIF($Z$5:$Z86,1))</f>
        <v/>
      </c>
    </row>
    <row r="87" customFormat="false" ht="15" hidden="false" customHeight="false" outlineLevel="0" collapsed="false">
      <c r="A87" s="26" t="str">
        <f aca="false">IF($B87="","","RES-"&amp;TEXT(ROW()-4,"000"))</f>
        <v/>
      </c>
      <c r="B87" s="24"/>
      <c r="C87" s="25"/>
      <c r="D87" s="24"/>
      <c r="E87" s="24"/>
      <c r="F87" s="29"/>
      <c r="G87" s="24"/>
      <c r="H87" s="24"/>
      <c r="I87" s="24"/>
      <c r="J87" s="24"/>
      <c r="K87" s="24"/>
      <c r="L87" s="26" t="str">
        <f aca="false">IF($B87="","",IFERROR(INDEX(ST_LOT,MATCH($B87,ST_ID,0)),""))</f>
        <v/>
      </c>
      <c r="M87" s="26" t="str">
        <f aca="false">IF($B87="","",IFERROR(INDEX(ST_STRAIT,MATCH($B87,ST_ID,0)),""))</f>
        <v/>
      </c>
      <c r="N87" s="26" t="str">
        <f aca="false">IF($B87="","",IF($E87="",$L87,$E87))</f>
        <v/>
      </c>
      <c r="O87" s="26" t="str">
        <f aca="false">IF($N87="","",IFERROR(INDEX(LOT_EXTE,MATCH($N87,LOT_KEY,0)),""))</f>
        <v/>
      </c>
      <c r="P87" s="26" t="str">
        <f aca="false">IF($J87="","",IFERROR(INDEX(EMPL_CLASSE,MATCH($J87,EMPL_KEY,0)),"?"))</f>
        <v/>
      </c>
      <c r="Q87" s="28" t="n">
        <f aca="false">IF($B87="",0,IF(OR(ISNA(MATCH($B87,ST_ID,0)),NOT(ISNUMBER($F87)),$F87&lt;=0,$J87="",$N87=""),0,1))</f>
        <v>0</v>
      </c>
      <c r="R87" s="27" t="n">
        <f aca="false">IF($Q87=0,0,$F87)</f>
        <v>0</v>
      </c>
      <c r="S87" s="26" t="str">
        <f aca="false">IF($B87="","",IFERROR(INDEX(ST_STATUT,MATCH($B87,ST_ID,0)),""))</f>
        <v/>
      </c>
      <c r="T87" s="26" t="str">
        <f aca="false">IF($B87="","",IF($Q87=0,"DONNEES MANQUANTES",IF(OR($S87="DONNEES MANQUANTES",$S87="STOCK INSUFFISANT",$S87="EMPLACEMENT INCOHERENT",$S87="BLOQUE"),"BLOQUE","OK")))</f>
        <v/>
      </c>
      <c r="U87" s="28" t="n">
        <f aca="false">IF($T87="OK",1,0)</f>
        <v>0</v>
      </c>
      <c r="V87" s="26" t="str">
        <f aca="false">IF($B87="","",IF($Q87=0,"A COMPLETER : "&amp;IF(ISNA(MATCH($B87,ST_ID,0)),"ID ST valide; ","")&amp;IF(OR(NOT(ISNUMBER($F87)),$F87&lt;=0),"QUANTITE &gt; 0; ","")&amp;IF($J87="","EMPL. DESTINATION; ",""),IF($T87="BLOQUE","Envoi parent en anomalie ("&amp;$S87&amp;") : corriger l'onglet SOUS_TRAITANCE.",IF(AND($E87&lt;&gt;"",ISNA(MATCH($E87,LOT_KEY,0))),"Creer la fiche du lot resultat dans l'onglet LOTS.",""))))</f>
        <v/>
      </c>
      <c r="W87" s="31" t="str">
        <f aca="false">IF($B87="","",IF($C87&lt;&gt;"",$C87,IFERROR(INDEX(ST_DATERET,MATCH($B87,ST_ID,0)),"")))</f>
        <v/>
      </c>
      <c r="X87" s="26" t="str">
        <f aca="false">IF($Q87=0,"",IF($L87=R_LOT,IF($N87&lt;&gt;R_LOT,$N87,""),IF($N87=R_LOT,$L87,"")))</f>
        <v/>
      </c>
      <c r="Y87" s="26" t="str">
        <f aca="false">IF($X87="","",IF(COUNTIF($X$4:$X86,$X87)&gt;0,"",COUNT($Y$4:$Y86)+1))</f>
        <v/>
      </c>
      <c r="Z87" s="26" t="n">
        <f aca="false">IF($Q87=0,0,IF(OR($L87=R_LOT,$N87=R_LOT),1,0))</f>
        <v>0</v>
      </c>
      <c r="AA87" s="26" t="str">
        <f aca="false">IF($Z87=0,"",COUNTIF($Z$5:$Z87,1))</f>
        <v/>
      </c>
    </row>
    <row r="88" customFormat="false" ht="15" hidden="false" customHeight="false" outlineLevel="0" collapsed="false">
      <c r="A88" s="26" t="str">
        <f aca="false">IF($B88="","","RES-"&amp;TEXT(ROW()-4,"000"))</f>
        <v/>
      </c>
      <c r="B88" s="24"/>
      <c r="C88" s="25"/>
      <c r="D88" s="24"/>
      <c r="E88" s="24"/>
      <c r="F88" s="29"/>
      <c r="G88" s="24"/>
      <c r="H88" s="24"/>
      <c r="I88" s="24"/>
      <c r="J88" s="24"/>
      <c r="K88" s="24"/>
      <c r="L88" s="26" t="str">
        <f aca="false">IF($B88="","",IFERROR(INDEX(ST_LOT,MATCH($B88,ST_ID,0)),""))</f>
        <v/>
      </c>
      <c r="M88" s="26" t="str">
        <f aca="false">IF($B88="","",IFERROR(INDEX(ST_STRAIT,MATCH($B88,ST_ID,0)),""))</f>
        <v/>
      </c>
      <c r="N88" s="26" t="str">
        <f aca="false">IF($B88="","",IF($E88="",$L88,$E88))</f>
        <v/>
      </c>
      <c r="O88" s="26" t="str">
        <f aca="false">IF($N88="","",IFERROR(INDEX(LOT_EXTE,MATCH($N88,LOT_KEY,0)),""))</f>
        <v/>
      </c>
      <c r="P88" s="26" t="str">
        <f aca="false">IF($J88="","",IFERROR(INDEX(EMPL_CLASSE,MATCH($J88,EMPL_KEY,0)),"?"))</f>
        <v/>
      </c>
      <c r="Q88" s="28" t="n">
        <f aca="false">IF($B88="",0,IF(OR(ISNA(MATCH($B88,ST_ID,0)),NOT(ISNUMBER($F88)),$F88&lt;=0,$J88="",$N88=""),0,1))</f>
        <v>0</v>
      </c>
      <c r="R88" s="27" t="n">
        <f aca="false">IF($Q88=0,0,$F88)</f>
        <v>0</v>
      </c>
      <c r="S88" s="26" t="str">
        <f aca="false">IF($B88="","",IFERROR(INDEX(ST_STATUT,MATCH($B88,ST_ID,0)),""))</f>
        <v/>
      </c>
      <c r="T88" s="26" t="str">
        <f aca="false">IF($B88="","",IF($Q88=0,"DONNEES MANQUANTES",IF(OR($S88="DONNEES MANQUANTES",$S88="STOCK INSUFFISANT",$S88="EMPLACEMENT INCOHERENT",$S88="BLOQUE"),"BLOQUE","OK")))</f>
        <v/>
      </c>
      <c r="U88" s="28" t="n">
        <f aca="false">IF($T88="OK",1,0)</f>
        <v>0</v>
      </c>
      <c r="V88" s="26" t="str">
        <f aca="false">IF($B88="","",IF($Q88=0,"A COMPLETER : "&amp;IF(ISNA(MATCH($B88,ST_ID,0)),"ID ST valide; ","")&amp;IF(OR(NOT(ISNUMBER($F88)),$F88&lt;=0),"QUANTITE &gt; 0; ","")&amp;IF($J88="","EMPL. DESTINATION; ",""),IF($T88="BLOQUE","Envoi parent en anomalie ("&amp;$S88&amp;") : corriger l'onglet SOUS_TRAITANCE.",IF(AND($E88&lt;&gt;"",ISNA(MATCH($E88,LOT_KEY,0))),"Creer la fiche du lot resultat dans l'onglet LOTS.",""))))</f>
        <v/>
      </c>
      <c r="W88" s="31" t="str">
        <f aca="false">IF($B88="","",IF($C88&lt;&gt;"",$C88,IFERROR(INDEX(ST_DATERET,MATCH($B88,ST_ID,0)),"")))</f>
        <v/>
      </c>
      <c r="X88" s="26" t="str">
        <f aca="false">IF($Q88=0,"",IF($L88=R_LOT,IF($N88&lt;&gt;R_LOT,$N88,""),IF($N88=R_LOT,$L88,"")))</f>
        <v/>
      </c>
      <c r="Y88" s="26" t="str">
        <f aca="false">IF($X88="","",IF(COUNTIF($X$4:$X87,$X88)&gt;0,"",COUNT($Y$4:$Y87)+1))</f>
        <v/>
      </c>
      <c r="Z88" s="26" t="n">
        <f aca="false">IF($Q88=0,0,IF(OR($L88=R_LOT,$N88=R_LOT),1,0))</f>
        <v>0</v>
      </c>
      <c r="AA88" s="26" t="str">
        <f aca="false">IF($Z88=0,"",COUNTIF($Z$5:$Z88,1))</f>
        <v/>
      </c>
    </row>
    <row r="89" customFormat="false" ht="15" hidden="false" customHeight="false" outlineLevel="0" collapsed="false">
      <c r="A89" s="26" t="str">
        <f aca="false">IF($B89="","","RES-"&amp;TEXT(ROW()-4,"000"))</f>
        <v/>
      </c>
      <c r="B89" s="24"/>
      <c r="C89" s="25"/>
      <c r="D89" s="24"/>
      <c r="E89" s="24"/>
      <c r="F89" s="29"/>
      <c r="G89" s="24"/>
      <c r="H89" s="24"/>
      <c r="I89" s="24"/>
      <c r="J89" s="24"/>
      <c r="K89" s="24"/>
      <c r="L89" s="26" t="str">
        <f aca="false">IF($B89="","",IFERROR(INDEX(ST_LOT,MATCH($B89,ST_ID,0)),""))</f>
        <v/>
      </c>
      <c r="M89" s="26" t="str">
        <f aca="false">IF($B89="","",IFERROR(INDEX(ST_STRAIT,MATCH($B89,ST_ID,0)),""))</f>
        <v/>
      </c>
      <c r="N89" s="26" t="str">
        <f aca="false">IF($B89="","",IF($E89="",$L89,$E89))</f>
        <v/>
      </c>
      <c r="O89" s="26" t="str">
        <f aca="false">IF($N89="","",IFERROR(INDEX(LOT_EXTE,MATCH($N89,LOT_KEY,0)),""))</f>
        <v/>
      </c>
      <c r="P89" s="26" t="str">
        <f aca="false">IF($J89="","",IFERROR(INDEX(EMPL_CLASSE,MATCH($J89,EMPL_KEY,0)),"?"))</f>
        <v/>
      </c>
      <c r="Q89" s="28" t="n">
        <f aca="false">IF($B89="",0,IF(OR(ISNA(MATCH($B89,ST_ID,0)),NOT(ISNUMBER($F89)),$F89&lt;=0,$J89="",$N89=""),0,1))</f>
        <v>0</v>
      </c>
      <c r="R89" s="27" t="n">
        <f aca="false">IF($Q89=0,0,$F89)</f>
        <v>0</v>
      </c>
      <c r="S89" s="26" t="str">
        <f aca="false">IF($B89="","",IFERROR(INDEX(ST_STATUT,MATCH($B89,ST_ID,0)),""))</f>
        <v/>
      </c>
      <c r="T89" s="26" t="str">
        <f aca="false">IF($B89="","",IF($Q89=0,"DONNEES MANQUANTES",IF(OR($S89="DONNEES MANQUANTES",$S89="STOCK INSUFFISANT",$S89="EMPLACEMENT INCOHERENT",$S89="BLOQUE"),"BLOQUE","OK")))</f>
        <v/>
      </c>
      <c r="U89" s="28" t="n">
        <f aca="false">IF($T89="OK",1,0)</f>
        <v>0</v>
      </c>
      <c r="V89" s="26" t="str">
        <f aca="false">IF($B89="","",IF($Q89=0,"A COMPLETER : "&amp;IF(ISNA(MATCH($B89,ST_ID,0)),"ID ST valide; ","")&amp;IF(OR(NOT(ISNUMBER($F89)),$F89&lt;=0),"QUANTITE &gt; 0; ","")&amp;IF($J89="","EMPL. DESTINATION; ",""),IF($T89="BLOQUE","Envoi parent en anomalie ("&amp;$S89&amp;") : corriger l'onglet SOUS_TRAITANCE.",IF(AND($E89&lt;&gt;"",ISNA(MATCH($E89,LOT_KEY,0))),"Creer la fiche du lot resultat dans l'onglet LOTS.",""))))</f>
        <v/>
      </c>
      <c r="W89" s="31" t="str">
        <f aca="false">IF($B89="","",IF($C89&lt;&gt;"",$C89,IFERROR(INDEX(ST_DATERET,MATCH($B89,ST_ID,0)),"")))</f>
        <v/>
      </c>
      <c r="X89" s="26" t="str">
        <f aca="false">IF($Q89=0,"",IF($L89=R_LOT,IF($N89&lt;&gt;R_LOT,$N89,""),IF($N89=R_LOT,$L89,"")))</f>
        <v/>
      </c>
      <c r="Y89" s="26" t="str">
        <f aca="false">IF($X89="","",IF(COUNTIF($X$4:$X88,$X89)&gt;0,"",COUNT($Y$4:$Y88)+1))</f>
        <v/>
      </c>
      <c r="Z89" s="26" t="n">
        <f aca="false">IF($Q89=0,0,IF(OR($L89=R_LOT,$N89=R_LOT),1,0))</f>
        <v>0</v>
      </c>
      <c r="AA89" s="26" t="str">
        <f aca="false">IF($Z89=0,"",COUNTIF($Z$5:$Z89,1))</f>
        <v/>
      </c>
    </row>
    <row r="90" customFormat="false" ht="15" hidden="false" customHeight="false" outlineLevel="0" collapsed="false">
      <c r="A90" s="26" t="str">
        <f aca="false">IF($B90="","","RES-"&amp;TEXT(ROW()-4,"000"))</f>
        <v/>
      </c>
      <c r="B90" s="24"/>
      <c r="C90" s="25"/>
      <c r="D90" s="24"/>
      <c r="E90" s="24"/>
      <c r="F90" s="29"/>
      <c r="G90" s="24"/>
      <c r="H90" s="24"/>
      <c r="I90" s="24"/>
      <c r="J90" s="24"/>
      <c r="K90" s="24"/>
      <c r="L90" s="26" t="str">
        <f aca="false">IF($B90="","",IFERROR(INDEX(ST_LOT,MATCH($B90,ST_ID,0)),""))</f>
        <v/>
      </c>
      <c r="M90" s="26" t="str">
        <f aca="false">IF($B90="","",IFERROR(INDEX(ST_STRAIT,MATCH($B90,ST_ID,0)),""))</f>
        <v/>
      </c>
      <c r="N90" s="26" t="str">
        <f aca="false">IF($B90="","",IF($E90="",$L90,$E90))</f>
        <v/>
      </c>
      <c r="O90" s="26" t="str">
        <f aca="false">IF($N90="","",IFERROR(INDEX(LOT_EXTE,MATCH($N90,LOT_KEY,0)),""))</f>
        <v/>
      </c>
      <c r="P90" s="26" t="str">
        <f aca="false">IF($J90="","",IFERROR(INDEX(EMPL_CLASSE,MATCH($J90,EMPL_KEY,0)),"?"))</f>
        <v/>
      </c>
      <c r="Q90" s="28" t="n">
        <f aca="false">IF($B90="",0,IF(OR(ISNA(MATCH($B90,ST_ID,0)),NOT(ISNUMBER($F90)),$F90&lt;=0,$J90="",$N90=""),0,1))</f>
        <v>0</v>
      </c>
      <c r="R90" s="27" t="n">
        <f aca="false">IF($Q90=0,0,$F90)</f>
        <v>0</v>
      </c>
      <c r="S90" s="26" t="str">
        <f aca="false">IF($B90="","",IFERROR(INDEX(ST_STATUT,MATCH($B90,ST_ID,0)),""))</f>
        <v/>
      </c>
      <c r="T90" s="26" t="str">
        <f aca="false">IF($B90="","",IF($Q90=0,"DONNEES MANQUANTES",IF(OR($S90="DONNEES MANQUANTES",$S90="STOCK INSUFFISANT",$S90="EMPLACEMENT INCOHERENT",$S90="BLOQUE"),"BLOQUE","OK")))</f>
        <v/>
      </c>
      <c r="U90" s="28" t="n">
        <f aca="false">IF($T90="OK",1,0)</f>
        <v>0</v>
      </c>
      <c r="V90" s="26" t="str">
        <f aca="false">IF($B90="","",IF($Q90=0,"A COMPLETER : "&amp;IF(ISNA(MATCH($B90,ST_ID,0)),"ID ST valide; ","")&amp;IF(OR(NOT(ISNUMBER($F90)),$F90&lt;=0),"QUANTITE &gt; 0; ","")&amp;IF($J90="","EMPL. DESTINATION; ",""),IF($T90="BLOQUE","Envoi parent en anomalie ("&amp;$S90&amp;") : corriger l'onglet SOUS_TRAITANCE.",IF(AND($E90&lt;&gt;"",ISNA(MATCH($E90,LOT_KEY,0))),"Creer la fiche du lot resultat dans l'onglet LOTS.",""))))</f>
        <v/>
      </c>
      <c r="W90" s="31" t="str">
        <f aca="false">IF($B90="","",IF($C90&lt;&gt;"",$C90,IFERROR(INDEX(ST_DATERET,MATCH($B90,ST_ID,0)),"")))</f>
        <v/>
      </c>
      <c r="X90" s="26" t="str">
        <f aca="false">IF($Q90=0,"",IF($L90=R_LOT,IF($N90&lt;&gt;R_LOT,$N90,""),IF($N90=R_LOT,$L90,"")))</f>
        <v/>
      </c>
      <c r="Y90" s="26" t="str">
        <f aca="false">IF($X90="","",IF(COUNTIF($X$4:$X89,$X90)&gt;0,"",COUNT($Y$4:$Y89)+1))</f>
        <v/>
      </c>
      <c r="Z90" s="26" t="n">
        <f aca="false">IF($Q90=0,0,IF(OR($L90=R_LOT,$N90=R_LOT),1,0))</f>
        <v>0</v>
      </c>
      <c r="AA90" s="26" t="str">
        <f aca="false">IF($Z90=0,"",COUNTIF($Z$5:$Z90,1))</f>
        <v/>
      </c>
    </row>
    <row r="91" customFormat="false" ht="15" hidden="false" customHeight="false" outlineLevel="0" collapsed="false">
      <c r="A91" s="26" t="str">
        <f aca="false">IF($B91="","","RES-"&amp;TEXT(ROW()-4,"000"))</f>
        <v/>
      </c>
      <c r="B91" s="24"/>
      <c r="C91" s="25"/>
      <c r="D91" s="24"/>
      <c r="E91" s="24"/>
      <c r="F91" s="29"/>
      <c r="G91" s="24"/>
      <c r="H91" s="24"/>
      <c r="I91" s="24"/>
      <c r="J91" s="24"/>
      <c r="K91" s="24"/>
      <c r="L91" s="26" t="str">
        <f aca="false">IF($B91="","",IFERROR(INDEX(ST_LOT,MATCH($B91,ST_ID,0)),""))</f>
        <v/>
      </c>
      <c r="M91" s="26" t="str">
        <f aca="false">IF($B91="","",IFERROR(INDEX(ST_STRAIT,MATCH($B91,ST_ID,0)),""))</f>
        <v/>
      </c>
      <c r="N91" s="26" t="str">
        <f aca="false">IF($B91="","",IF($E91="",$L91,$E91))</f>
        <v/>
      </c>
      <c r="O91" s="26" t="str">
        <f aca="false">IF($N91="","",IFERROR(INDEX(LOT_EXTE,MATCH($N91,LOT_KEY,0)),""))</f>
        <v/>
      </c>
      <c r="P91" s="26" t="str">
        <f aca="false">IF($J91="","",IFERROR(INDEX(EMPL_CLASSE,MATCH($J91,EMPL_KEY,0)),"?"))</f>
        <v/>
      </c>
      <c r="Q91" s="28" t="n">
        <f aca="false">IF($B91="",0,IF(OR(ISNA(MATCH($B91,ST_ID,0)),NOT(ISNUMBER($F91)),$F91&lt;=0,$J91="",$N91=""),0,1))</f>
        <v>0</v>
      </c>
      <c r="R91" s="27" t="n">
        <f aca="false">IF($Q91=0,0,$F91)</f>
        <v>0</v>
      </c>
      <c r="S91" s="26" t="str">
        <f aca="false">IF($B91="","",IFERROR(INDEX(ST_STATUT,MATCH($B91,ST_ID,0)),""))</f>
        <v/>
      </c>
      <c r="T91" s="26" t="str">
        <f aca="false">IF($B91="","",IF($Q91=0,"DONNEES MANQUANTES",IF(OR($S91="DONNEES MANQUANTES",$S91="STOCK INSUFFISANT",$S91="EMPLACEMENT INCOHERENT",$S91="BLOQUE"),"BLOQUE","OK")))</f>
        <v/>
      </c>
      <c r="U91" s="28" t="n">
        <f aca="false">IF($T91="OK",1,0)</f>
        <v>0</v>
      </c>
      <c r="V91" s="26" t="str">
        <f aca="false">IF($B91="","",IF($Q91=0,"A COMPLETER : "&amp;IF(ISNA(MATCH($B91,ST_ID,0)),"ID ST valide; ","")&amp;IF(OR(NOT(ISNUMBER($F91)),$F91&lt;=0),"QUANTITE &gt; 0; ","")&amp;IF($J91="","EMPL. DESTINATION; ",""),IF($T91="BLOQUE","Envoi parent en anomalie ("&amp;$S91&amp;") : corriger l'onglet SOUS_TRAITANCE.",IF(AND($E91&lt;&gt;"",ISNA(MATCH($E91,LOT_KEY,0))),"Creer la fiche du lot resultat dans l'onglet LOTS.",""))))</f>
        <v/>
      </c>
      <c r="W91" s="31" t="str">
        <f aca="false">IF($B91="","",IF($C91&lt;&gt;"",$C91,IFERROR(INDEX(ST_DATERET,MATCH($B91,ST_ID,0)),"")))</f>
        <v/>
      </c>
      <c r="X91" s="26" t="str">
        <f aca="false">IF($Q91=0,"",IF($L91=R_LOT,IF($N91&lt;&gt;R_LOT,$N91,""),IF($N91=R_LOT,$L91,"")))</f>
        <v/>
      </c>
      <c r="Y91" s="26" t="str">
        <f aca="false">IF($X91="","",IF(COUNTIF($X$4:$X90,$X91)&gt;0,"",COUNT($Y$4:$Y90)+1))</f>
        <v/>
      </c>
      <c r="Z91" s="26" t="n">
        <f aca="false">IF($Q91=0,0,IF(OR($L91=R_LOT,$N91=R_LOT),1,0))</f>
        <v>0</v>
      </c>
      <c r="AA91" s="26" t="str">
        <f aca="false">IF($Z91=0,"",COUNTIF($Z$5:$Z91,1))</f>
        <v/>
      </c>
    </row>
    <row r="92" customFormat="false" ht="15" hidden="false" customHeight="false" outlineLevel="0" collapsed="false">
      <c r="A92" s="26" t="str">
        <f aca="false">IF($B92="","","RES-"&amp;TEXT(ROW()-4,"000"))</f>
        <v/>
      </c>
      <c r="B92" s="24"/>
      <c r="C92" s="25"/>
      <c r="D92" s="24"/>
      <c r="E92" s="24"/>
      <c r="F92" s="29"/>
      <c r="G92" s="24"/>
      <c r="H92" s="24"/>
      <c r="I92" s="24"/>
      <c r="J92" s="24"/>
      <c r="K92" s="24"/>
      <c r="L92" s="26" t="str">
        <f aca="false">IF($B92="","",IFERROR(INDEX(ST_LOT,MATCH($B92,ST_ID,0)),""))</f>
        <v/>
      </c>
      <c r="M92" s="26" t="str">
        <f aca="false">IF($B92="","",IFERROR(INDEX(ST_STRAIT,MATCH($B92,ST_ID,0)),""))</f>
        <v/>
      </c>
      <c r="N92" s="26" t="str">
        <f aca="false">IF($B92="","",IF($E92="",$L92,$E92))</f>
        <v/>
      </c>
      <c r="O92" s="26" t="str">
        <f aca="false">IF($N92="","",IFERROR(INDEX(LOT_EXTE,MATCH($N92,LOT_KEY,0)),""))</f>
        <v/>
      </c>
      <c r="P92" s="26" t="str">
        <f aca="false">IF($J92="","",IFERROR(INDEX(EMPL_CLASSE,MATCH($J92,EMPL_KEY,0)),"?"))</f>
        <v/>
      </c>
      <c r="Q92" s="28" t="n">
        <f aca="false">IF($B92="",0,IF(OR(ISNA(MATCH($B92,ST_ID,0)),NOT(ISNUMBER($F92)),$F92&lt;=0,$J92="",$N92=""),0,1))</f>
        <v>0</v>
      </c>
      <c r="R92" s="27" t="n">
        <f aca="false">IF($Q92=0,0,$F92)</f>
        <v>0</v>
      </c>
      <c r="S92" s="26" t="str">
        <f aca="false">IF($B92="","",IFERROR(INDEX(ST_STATUT,MATCH($B92,ST_ID,0)),""))</f>
        <v/>
      </c>
      <c r="T92" s="26" t="str">
        <f aca="false">IF($B92="","",IF($Q92=0,"DONNEES MANQUANTES",IF(OR($S92="DONNEES MANQUANTES",$S92="STOCK INSUFFISANT",$S92="EMPLACEMENT INCOHERENT",$S92="BLOQUE"),"BLOQUE","OK")))</f>
        <v/>
      </c>
      <c r="U92" s="28" t="n">
        <f aca="false">IF($T92="OK",1,0)</f>
        <v>0</v>
      </c>
      <c r="V92" s="26" t="str">
        <f aca="false">IF($B92="","",IF($Q92=0,"A COMPLETER : "&amp;IF(ISNA(MATCH($B92,ST_ID,0)),"ID ST valide; ","")&amp;IF(OR(NOT(ISNUMBER($F92)),$F92&lt;=0),"QUANTITE &gt; 0; ","")&amp;IF($J92="","EMPL. DESTINATION; ",""),IF($T92="BLOQUE","Envoi parent en anomalie ("&amp;$S92&amp;") : corriger l'onglet SOUS_TRAITANCE.",IF(AND($E92&lt;&gt;"",ISNA(MATCH($E92,LOT_KEY,0))),"Creer la fiche du lot resultat dans l'onglet LOTS.",""))))</f>
        <v/>
      </c>
      <c r="W92" s="31" t="str">
        <f aca="false">IF($B92="","",IF($C92&lt;&gt;"",$C92,IFERROR(INDEX(ST_DATERET,MATCH($B92,ST_ID,0)),"")))</f>
        <v/>
      </c>
      <c r="X92" s="26" t="str">
        <f aca="false">IF($Q92=0,"",IF($L92=R_LOT,IF($N92&lt;&gt;R_LOT,$N92,""),IF($N92=R_LOT,$L92,"")))</f>
        <v/>
      </c>
      <c r="Y92" s="26" t="str">
        <f aca="false">IF($X92="","",IF(COUNTIF($X$4:$X91,$X92)&gt;0,"",COUNT($Y$4:$Y91)+1))</f>
        <v/>
      </c>
      <c r="Z92" s="26" t="n">
        <f aca="false">IF($Q92=0,0,IF(OR($L92=R_LOT,$N92=R_LOT),1,0))</f>
        <v>0</v>
      </c>
      <c r="AA92" s="26" t="str">
        <f aca="false">IF($Z92=0,"",COUNTIF($Z$5:$Z92,1))</f>
        <v/>
      </c>
    </row>
    <row r="93" customFormat="false" ht="15" hidden="false" customHeight="false" outlineLevel="0" collapsed="false">
      <c r="A93" s="26" t="str">
        <f aca="false">IF($B93="","","RES-"&amp;TEXT(ROW()-4,"000"))</f>
        <v/>
      </c>
      <c r="B93" s="24"/>
      <c r="C93" s="25"/>
      <c r="D93" s="24"/>
      <c r="E93" s="24"/>
      <c r="F93" s="29"/>
      <c r="G93" s="24"/>
      <c r="H93" s="24"/>
      <c r="I93" s="24"/>
      <c r="J93" s="24"/>
      <c r="K93" s="24"/>
      <c r="L93" s="26" t="str">
        <f aca="false">IF($B93="","",IFERROR(INDEX(ST_LOT,MATCH($B93,ST_ID,0)),""))</f>
        <v/>
      </c>
      <c r="M93" s="26" t="str">
        <f aca="false">IF($B93="","",IFERROR(INDEX(ST_STRAIT,MATCH($B93,ST_ID,0)),""))</f>
        <v/>
      </c>
      <c r="N93" s="26" t="str">
        <f aca="false">IF($B93="","",IF($E93="",$L93,$E93))</f>
        <v/>
      </c>
      <c r="O93" s="26" t="str">
        <f aca="false">IF($N93="","",IFERROR(INDEX(LOT_EXTE,MATCH($N93,LOT_KEY,0)),""))</f>
        <v/>
      </c>
      <c r="P93" s="26" t="str">
        <f aca="false">IF($J93="","",IFERROR(INDEX(EMPL_CLASSE,MATCH($J93,EMPL_KEY,0)),"?"))</f>
        <v/>
      </c>
      <c r="Q93" s="28" t="n">
        <f aca="false">IF($B93="",0,IF(OR(ISNA(MATCH($B93,ST_ID,0)),NOT(ISNUMBER($F93)),$F93&lt;=0,$J93="",$N93=""),0,1))</f>
        <v>0</v>
      </c>
      <c r="R93" s="27" t="n">
        <f aca="false">IF($Q93=0,0,$F93)</f>
        <v>0</v>
      </c>
      <c r="S93" s="26" t="str">
        <f aca="false">IF($B93="","",IFERROR(INDEX(ST_STATUT,MATCH($B93,ST_ID,0)),""))</f>
        <v/>
      </c>
      <c r="T93" s="26" t="str">
        <f aca="false">IF($B93="","",IF($Q93=0,"DONNEES MANQUANTES",IF(OR($S93="DONNEES MANQUANTES",$S93="STOCK INSUFFISANT",$S93="EMPLACEMENT INCOHERENT",$S93="BLOQUE"),"BLOQUE","OK")))</f>
        <v/>
      </c>
      <c r="U93" s="28" t="n">
        <f aca="false">IF($T93="OK",1,0)</f>
        <v>0</v>
      </c>
      <c r="V93" s="26" t="str">
        <f aca="false">IF($B93="","",IF($Q93=0,"A COMPLETER : "&amp;IF(ISNA(MATCH($B93,ST_ID,0)),"ID ST valide; ","")&amp;IF(OR(NOT(ISNUMBER($F93)),$F93&lt;=0),"QUANTITE &gt; 0; ","")&amp;IF($J93="","EMPL. DESTINATION; ",""),IF($T93="BLOQUE","Envoi parent en anomalie ("&amp;$S93&amp;") : corriger l'onglet SOUS_TRAITANCE.",IF(AND($E93&lt;&gt;"",ISNA(MATCH($E93,LOT_KEY,0))),"Creer la fiche du lot resultat dans l'onglet LOTS.",""))))</f>
        <v/>
      </c>
      <c r="W93" s="31" t="str">
        <f aca="false">IF($B93="","",IF($C93&lt;&gt;"",$C93,IFERROR(INDEX(ST_DATERET,MATCH($B93,ST_ID,0)),"")))</f>
        <v/>
      </c>
      <c r="X93" s="26" t="str">
        <f aca="false">IF($Q93=0,"",IF($L93=R_LOT,IF($N93&lt;&gt;R_LOT,$N93,""),IF($N93=R_LOT,$L93,"")))</f>
        <v/>
      </c>
      <c r="Y93" s="26" t="str">
        <f aca="false">IF($X93="","",IF(COUNTIF($X$4:$X92,$X93)&gt;0,"",COUNT($Y$4:$Y92)+1))</f>
        <v/>
      </c>
      <c r="Z93" s="26" t="n">
        <f aca="false">IF($Q93=0,0,IF(OR($L93=R_LOT,$N93=R_LOT),1,0))</f>
        <v>0</v>
      </c>
      <c r="AA93" s="26" t="str">
        <f aca="false">IF($Z93=0,"",COUNTIF($Z$5:$Z93,1))</f>
        <v/>
      </c>
    </row>
    <row r="94" customFormat="false" ht="15" hidden="false" customHeight="false" outlineLevel="0" collapsed="false">
      <c r="A94" s="26" t="str">
        <f aca="false">IF($B94="","","RES-"&amp;TEXT(ROW()-4,"000"))</f>
        <v/>
      </c>
      <c r="B94" s="24"/>
      <c r="C94" s="25"/>
      <c r="D94" s="24"/>
      <c r="E94" s="24"/>
      <c r="F94" s="29"/>
      <c r="G94" s="24"/>
      <c r="H94" s="24"/>
      <c r="I94" s="24"/>
      <c r="J94" s="24"/>
      <c r="K94" s="24"/>
      <c r="L94" s="26" t="str">
        <f aca="false">IF($B94="","",IFERROR(INDEX(ST_LOT,MATCH($B94,ST_ID,0)),""))</f>
        <v/>
      </c>
      <c r="M94" s="26" t="str">
        <f aca="false">IF($B94="","",IFERROR(INDEX(ST_STRAIT,MATCH($B94,ST_ID,0)),""))</f>
        <v/>
      </c>
      <c r="N94" s="26" t="str">
        <f aca="false">IF($B94="","",IF($E94="",$L94,$E94))</f>
        <v/>
      </c>
      <c r="O94" s="26" t="str">
        <f aca="false">IF($N94="","",IFERROR(INDEX(LOT_EXTE,MATCH($N94,LOT_KEY,0)),""))</f>
        <v/>
      </c>
      <c r="P94" s="26" t="str">
        <f aca="false">IF($J94="","",IFERROR(INDEX(EMPL_CLASSE,MATCH($J94,EMPL_KEY,0)),"?"))</f>
        <v/>
      </c>
      <c r="Q94" s="28" t="n">
        <f aca="false">IF($B94="",0,IF(OR(ISNA(MATCH($B94,ST_ID,0)),NOT(ISNUMBER($F94)),$F94&lt;=0,$J94="",$N94=""),0,1))</f>
        <v>0</v>
      </c>
      <c r="R94" s="27" t="n">
        <f aca="false">IF($Q94=0,0,$F94)</f>
        <v>0</v>
      </c>
      <c r="S94" s="26" t="str">
        <f aca="false">IF($B94="","",IFERROR(INDEX(ST_STATUT,MATCH($B94,ST_ID,0)),""))</f>
        <v/>
      </c>
      <c r="T94" s="26" t="str">
        <f aca="false">IF($B94="","",IF($Q94=0,"DONNEES MANQUANTES",IF(OR($S94="DONNEES MANQUANTES",$S94="STOCK INSUFFISANT",$S94="EMPLACEMENT INCOHERENT",$S94="BLOQUE"),"BLOQUE","OK")))</f>
        <v/>
      </c>
      <c r="U94" s="28" t="n">
        <f aca="false">IF($T94="OK",1,0)</f>
        <v>0</v>
      </c>
      <c r="V94" s="26" t="str">
        <f aca="false">IF($B94="","",IF($Q94=0,"A COMPLETER : "&amp;IF(ISNA(MATCH($B94,ST_ID,0)),"ID ST valide; ","")&amp;IF(OR(NOT(ISNUMBER($F94)),$F94&lt;=0),"QUANTITE &gt; 0; ","")&amp;IF($J94="","EMPL. DESTINATION; ",""),IF($T94="BLOQUE","Envoi parent en anomalie ("&amp;$S94&amp;") : corriger l'onglet SOUS_TRAITANCE.",IF(AND($E94&lt;&gt;"",ISNA(MATCH($E94,LOT_KEY,0))),"Creer la fiche du lot resultat dans l'onglet LOTS.",""))))</f>
        <v/>
      </c>
      <c r="W94" s="31" t="str">
        <f aca="false">IF($B94="","",IF($C94&lt;&gt;"",$C94,IFERROR(INDEX(ST_DATERET,MATCH($B94,ST_ID,0)),"")))</f>
        <v/>
      </c>
      <c r="X94" s="26" t="str">
        <f aca="false">IF($Q94=0,"",IF($L94=R_LOT,IF($N94&lt;&gt;R_LOT,$N94,""),IF($N94=R_LOT,$L94,"")))</f>
        <v/>
      </c>
      <c r="Y94" s="26" t="str">
        <f aca="false">IF($X94="","",IF(COUNTIF($X$4:$X93,$X94)&gt;0,"",COUNT($Y$4:$Y93)+1))</f>
        <v/>
      </c>
      <c r="Z94" s="26" t="n">
        <f aca="false">IF($Q94=0,0,IF(OR($L94=R_LOT,$N94=R_LOT),1,0))</f>
        <v>0</v>
      </c>
      <c r="AA94" s="26" t="str">
        <f aca="false">IF($Z94=0,"",COUNTIF($Z$5:$Z94,1))</f>
        <v/>
      </c>
    </row>
    <row r="95" customFormat="false" ht="15" hidden="false" customHeight="false" outlineLevel="0" collapsed="false">
      <c r="A95" s="26" t="str">
        <f aca="false">IF($B95="","","RES-"&amp;TEXT(ROW()-4,"000"))</f>
        <v/>
      </c>
      <c r="B95" s="24"/>
      <c r="C95" s="25"/>
      <c r="D95" s="24"/>
      <c r="E95" s="24"/>
      <c r="F95" s="29"/>
      <c r="G95" s="24"/>
      <c r="H95" s="24"/>
      <c r="I95" s="24"/>
      <c r="J95" s="24"/>
      <c r="K95" s="24"/>
      <c r="L95" s="26" t="str">
        <f aca="false">IF($B95="","",IFERROR(INDEX(ST_LOT,MATCH($B95,ST_ID,0)),""))</f>
        <v/>
      </c>
      <c r="M95" s="26" t="str">
        <f aca="false">IF($B95="","",IFERROR(INDEX(ST_STRAIT,MATCH($B95,ST_ID,0)),""))</f>
        <v/>
      </c>
      <c r="N95" s="26" t="str">
        <f aca="false">IF($B95="","",IF($E95="",$L95,$E95))</f>
        <v/>
      </c>
      <c r="O95" s="26" t="str">
        <f aca="false">IF($N95="","",IFERROR(INDEX(LOT_EXTE,MATCH($N95,LOT_KEY,0)),""))</f>
        <v/>
      </c>
      <c r="P95" s="26" t="str">
        <f aca="false">IF($J95="","",IFERROR(INDEX(EMPL_CLASSE,MATCH($J95,EMPL_KEY,0)),"?"))</f>
        <v/>
      </c>
      <c r="Q95" s="28" t="n">
        <f aca="false">IF($B95="",0,IF(OR(ISNA(MATCH($B95,ST_ID,0)),NOT(ISNUMBER($F95)),$F95&lt;=0,$J95="",$N95=""),0,1))</f>
        <v>0</v>
      </c>
      <c r="R95" s="27" t="n">
        <f aca="false">IF($Q95=0,0,$F95)</f>
        <v>0</v>
      </c>
      <c r="S95" s="26" t="str">
        <f aca="false">IF($B95="","",IFERROR(INDEX(ST_STATUT,MATCH($B95,ST_ID,0)),""))</f>
        <v/>
      </c>
      <c r="T95" s="26" t="str">
        <f aca="false">IF($B95="","",IF($Q95=0,"DONNEES MANQUANTES",IF(OR($S95="DONNEES MANQUANTES",$S95="STOCK INSUFFISANT",$S95="EMPLACEMENT INCOHERENT",$S95="BLOQUE"),"BLOQUE","OK")))</f>
        <v/>
      </c>
      <c r="U95" s="28" t="n">
        <f aca="false">IF($T95="OK",1,0)</f>
        <v>0</v>
      </c>
      <c r="V95" s="26" t="str">
        <f aca="false">IF($B95="","",IF($Q95=0,"A COMPLETER : "&amp;IF(ISNA(MATCH($B95,ST_ID,0)),"ID ST valide; ","")&amp;IF(OR(NOT(ISNUMBER($F95)),$F95&lt;=0),"QUANTITE &gt; 0; ","")&amp;IF($J95="","EMPL. DESTINATION; ",""),IF($T95="BLOQUE","Envoi parent en anomalie ("&amp;$S95&amp;") : corriger l'onglet SOUS_TRAITANCE.",IF(AND($E95&lt;&gt;"",ISNA(MATCH($E95,LOT_KEY,0))),"Creer la fiche du lot resultat dans l'onglet LOTS.",""))))</f>
        <v/>
      </c>
      <c r="W95" s="31" t="str">
        <f aca="false">IF($B95="","",IF($C95&lt;&gt;"",$C95,IFERROR(INDEX(ST_DATERET,MATCH($B95,ST_ID,0)),"")))</f>
        <v/>
      </c>
      <c r="X95" s="26" t="str">
        <f aca="false">IF($Q95=0,"",IF($L95=R_LOT,IF($N95&lt;&gt;R_LOT,$N95,""),IF($N95=R_LOT,$L95,"")))</f>
        <v/>
      </c>
      <c r="Y95" s="26" t="str">
        <f aca="false">IF($X95="","",IF(COUNTIF($X$4:$X94,$X95)&gt;0,"",COUNT($Y$4:$Y94)+1))</f>
        <v/>
      </c>
      <c r="Z95" s="26" t="n">
        <f aca="false">IF($Q95=0,0,IF(OR($L95=R_LOT,$N95=R_LOT),1,0))</f>
        <v>0</v>
      </c>
      <c r="AA95" s="26" t="str">
        <f aca="false">IF($Z95=0,"",COUNTIF($Z$5:$Z95,1))</f>
        <v/>
      </c>
    </row>
    <row r="96" customFormat="false" ht="15" hidden="false" customHeight="false" outlineLevel="0" collapsed="false">
      <c r="A96" s="26" t="str">
        <f aca="false">IF($B96="","","RES-"&amp;TEXT(ROW()-4,"000"))</f>
        <v/>
      </c>
      <c r="B96" s="24"/>
      <c r="C96" s="25"/>
      <c r="D96" s="24"/>
      <c r="E96" s="24"/>
      <c r="F96" s="29"/>
      <c r="G96" s="24"/>
      <c r="H96" s="24"/>
      <c r="I96" s="24"/>
      <c r="J96" s="24"/>
      <c r="K96" s="24"/>
      <c r="L96" s="26" t="str">
        <f aca="false">IF($B96="","",IFERROR(INDEX(ST_LOT,MATCH($B96,ST_ID,0)),""))</f>
        <v/>
      </c>
      <c r="M96" s="26" t="str">
        <f aca="false">IF($B96="","",IFERROR(INDEX(ST_STRAIT,MATCH($B96,ST_ID,0)),""))</f>
        <v/>
      </c>
      <c r="N96" s="26" t="str">
        <f aca="false">IF($B96="","",IF($E96="",$L96,$E96))</f>
        <v/>
      </c>
      <c r="O96" s="26" t="str">
        <f aca="false">IF($N96="","",IFERROR(INDEX(LOT_EXTE,MATCH($N96,LOT_KEY,0)),""))</f>
        <v/>
      </c>
      <c r="P96" s="26" t="str">
        <f aca="false">IF($J96="","",IFERROR(INDEX(EMPL_CLASSE,MATCH($J96,EMPL_KEY,0)),"?"))</f>
        <v/>
      </c>
      <c r="Q96" s="28" t="n">
        <f aca="false">IF($B96="",0,IF(OR(ISNA(MATCH($B96,ST_ID,0)),NOT(ISNUMBER($F96)),$F96&lt;=0,$J96="",$N96=""),0,1))</f>
        <v>0</v>
      </c>
      <c r="R96" s="27" t="n">
        <f aca="false">IF($Q96=0,0,$F96)</f>
        <v>0</v>
      </c>
      <c r="S96" s="26" t="str">
        <f aca="false">IF($B96="","",IFERROR(INDEX(ST_STATUT,MATCH($B96,ST_ID,0)),""))</f>
        <v/>
      </c>
      <c r="T96" s="26" t="str">
        <f aca="false">IF($B96="","",IF($Q96=0,"DONNEES MANQUANTES",IF(OR($S96="DONNEES MANQUANTES",$S96="STOCK INSUFFISANT",$S96="EMPLACEMENT INCOHERENT",$S96="BLOQUE"),"BLOQUE","OK")))</f>
        <v/>
      </c>
      <c r="U96" s="28" t="n">
        <f aca="false">IF($T96="OK",1,0)</f>
        <v>0</v>
      </c>
      <c r="V96" s="26" t="str">
        <f aca="false">IF($B96="","",IF($Q96=0,"A COMPLETER : "&amp;IF(ISNA(MATCH($B96,ST_ID,0)),"ID ST valide; ","")&amp;IF(OR(NOT(ISNUMBER($F96)),$F96&lt;=0),"QUANTITE &gt; 0; ","")&amp;IF($J96="","EMPL. DESTINATION; ",""),IF($T96="BLOQUE","Envoi parent en anomalie ("&amp;$S96&amp;") : corriger l'onglet SOUS_TRAITANCE.",IF(AND($E96&lt;&gt;"",ISNA(MATCH($E96,LOT_KEY,0))),"Creer la fiche du lot resultat dans l'onglet LOTS.",""))))</f>
        <v/>
      </c>
      <c r="W96" s="31" t="str">
        <f aca="false">IF($B96="","",IF($C96&lt;&gt;"",$C96,IFERROR(INDEX(ST_DATERET,MATCH($B96,ST_ID,0)),"")))</f>
        <v/>
      </c>
      <c r="X96" s="26" t="str">
        <f aca="false">IF($Q96=0,"",IF($L96=R_LOT,IF($N96&lt;&gt;R_LOT,$N96,""),IF($N96=R_LOT,$L96,"")))</f>
        <v/>
      </c>
      <c r="Y96" s="26" t="str">
        <f aca="false">IF($X96="","",IF(COUNTIF($X$4:$X95,$X96)&gt;0,"",COUNT($Y$4:$Y95)+1))</f>
        <v/>
      </c>
      <c r="Z96" s="26" t="n">
        <f aca="false">IF($Q96=0,0,IF(OR($L96=R_LOT,$N96=R_LOT),1,0))</f>
        <v>0</v>
      </c>
      <c r="AA96" s="26" t="str">
        <f aca="false">IF($Z96=0,"",COUNTIF($Z$5:$Z96,1))</f>
        <v/>
      </c>
    </row>
    <row r="97" customFormat="false" ht="15" hidden="false" customHeight="false" outlineLevel="0" collapsed="false">
      <c r="A97" s="26" t="str">
        <f aca="false">IF($B97="","","RES-"&amp;TEXT(ROW()-4,"000"))</f>
        <v/>
      </c>
      <c r="B97" s="24"/>
      <c r="C97" s="25"/>
      <c r="D97" s="24"/>
      <c r="E97" s="24"/>
      <c r="F97" s="29"/>
      <c r="G97" s="24"/>
      <c r="H97" s="24"/>
      <c r="I97" s="24"/>
      <c r="J97" s="24"/>
      <c r="K97" s="24"/>
      <c r="L97" s="26" t="str">
        <f aca="false">IF($B97="","",IFERROR(INDEX(ST_LOT,MATCH($B97,ST_ID,0)),""))</f>
        <v/>
      </c>
      <c r="M97" s="26" t="str">
        <f aca="false">IF($B97="","",IFERROR(INDEX(ST_STRAIT,MATCH($B97,ST_ID,0)),""))</f>
        <v/>
      </c>
      <c r="N97" s="26" t="str">
        <f aca="false">IF($B97="","",IF($E97="",$L97,$E97))</f>
        <v/>
      </c>
      <c r="O97" s="26" t="str">
        <f aca="false">IF($N97="","",IFERROR(INDEX(LOT_EXTE,MATCH($N97,LOT_KEY,0)),""))</f>
        <v/>
      </c>
      <c r="P97" s="26" t="str">
        <f aca="false">IF($J97="","",IFERROR(INDEX(EMPL_CLASSE,MATCH($J97,EMPL_KEY,0)),"?"))</f>
        <v/>
      </c>
      <c r="Q97" s="28" t="n">
        <f aca="false">IF($B97="",0,IF(OR(ISNA(MATCH($B97,ST_ID,0)),NOT(ISNUMBER($F97)),$F97&lt;=0,$J97="",$N97=""),0,1))</f>
        <v>0</v>
      </c>
      <c r="R97" s="27" t="n">
        <f aca="false">IF($Q97=0,0,$F97)</f>
        <v>0</v>
      </c>
      <c r="S97" s="26" t="str">
        <f aca="false">IF($B97="","",IFERROR(INDEX(ST_STATUT,MATCH($B97,ST_ID,0)),""))</f>
        <v/>
      </c>
      <c r="T97" s="26" t="str">
        <f aca="false">IF($B97="","",IF($Q97=0,"DONNEES MANQUANTES",IF(OR($S97="DONNEES MANQUANTES",$S97="STOCK INSUFFISANT",$S97="EMPLACEMENT INCOHERENT",$S97="BLOQUE"),"BLOQUE","OK")))</f>
        <v/>
      </c>
      <c r="U97" s="28" t="n">
        <f aca="false">IF($T97="OK",1,0)</f>
        <v>0</v>
      </c>
      <c r="V97" s="26" t="str">
        <f aca="false">IF($B97="","",IF($Q97=0,"A COMPLETER : "&amp;IF(ISNA(MATCH($B97,ST_ID,0)),"ID ST valide; ","")&amp;IF(OR(NOT(ISNUMBER($F97)),$F97&lt;=0),"QUANTITE &gt; 0; ","")&amp;IF($J97="","EMPL. DESTINATION; ",""),IF($T97="BLOQUE","Envoi parent en anomalie ("&amp;$S97&amp;") : corriger l'onglet SOUS_TRAITANCE.",IF(AND($E97&lt;&gt;"",ISNA(MATCH($E97,LOT_KEY,0))),"Creer la fiche du lot resultat dans l'onglet LOTS.",""))))</f>
        <v/>
      </c>
      <c r="W97" s="31" t="str">
        <f aca="false">IF($B97="","",IF($C97&lt;&gt;"",$C97,IFERROR(INDEX(ST_DATERET,MATCH($B97,ST_ID,0)),"")))</f>
        <v/>
      </c>
      <c r="X97" s="26" t="str">
        <f aca="false">IF($Q97=0,"",IF($L97=R_LOT,IF($N97&lt;&gt;R_LOT,$N97,""),IF($N97=R_LOT,$L97,"")))</f>
        <v/>
      </c>
      <c r="Y97" s="26" t="str">
        <f aca="false">IF($X97="","",IF(COUNTIF($X$4:$X96,$X97)&gt;0,"",COUNT($Y$4:$Y96)+1))</f>
        <v/>
      </c>
      <c r="Z97" s="26" t="n">
        <f aca="false">IF($Q97=0,0,IF(OR($L97=R_LOT,$N97=R_LOT),1,0))</f>
        <v>0</v>
      </c>
      <c r="AA97" s="26" t="str">
        <f aca="false">IF($Z97=0,"",COUNTIF($Z$5:$Z97,1))</f>
        <v/>
      </c>
    </row>
    <row r="98" customFormat="false" ht="15" hidden="false" customHeight="false" outlineLevel="0" collapsed="false">
      <c r="A98" s="26" t="str">
        <f aca="false">IF($B98="","","RES-"&amp;TEXT(ROW()-4,"000"))</f>
        <v/>
      </c>
      <c r="B98" s="24"/>
      <c r="C98" s="25"/>
      <c r="D98" s="24"/>
      <c r="E98" s="24"/>
      <c r="F98" s="29"/>
      <c r="G98" s="24"/>
      <c r="H98" s="24"/>
      <c r="I98" s="24"/>
      <c r="J98" s="24"/>
      <c r="K98" s="24"/>
      <c r="L98" s="26" t="str">
        <f aca="false">IF($B98="","",IFERROR(INDEX(ST_LOT,MATCH($B98,ST_ID,0)),""))</f>
        <v/>
      </c>
      <c r="M98" s="26" t="str">
        <f aca="false">IF($B98="","",IFERROR(INDEX(ST_STRAIT,MATCH($B98,ST_ID,0)),""))</f>
        <v/>
      </c>
      <c r="N98" s="26" t="str">
        <f aca="false">IF($B98="","",IF($E98="",$L98,$E98))</f>
        <v/>
      </c>
      <c r="O98" s="26" t="str">
        <f aca="false">IF($N98="","",IFERROR(INDEX(LOT_EXTE,MATCH($N98,LOT_KEY,0)),""))</f>
        <v/>
      </c>
      <c r="P98" s="26" t="str">
        <f aca="false">IF($J98="","",IFERROR(INDEX(EMPL_CLASSE,MATCH($J98,EMPL_KEY,0)),"?"))</f>
        <v/>
      </c>
      <c r="Q98" s="28" t="n">
        <f aca="false">IF($B98="",0,IF(OR(ISNA(MATCH($B98,ST_ID,0)),NOT(ISNUMBER($F98)),$F98&lt;=0,$J98="",$N98=""),0,1))</f>
        <v>0</v>
      </c>
      <c r="R98" s="27" t="n">
        <f aca="false">IF($Q98=0,0,$F98)</f>
        <v>0</v>
      </c>
      <c r="S98" s="26" t="str">
        <f aca="false">IF($B98="","",IFERROR(INDEX(ST_STATUT,MATCH($B98,ST_ID,0)),""))</f>
        <v/>
      </c>
      <c r="T98" s="26" t="str">
        <f aca="false">IF($B98="","",IF($Q98=0,"DONNEES MANQUANTES",IF(OR($S98="DONNEES MANQUANTES",$S98="STOCK INSUFFISANT",$S98="EMPLACEMENT INCOHERENT",$S98="BLOQUE"),"BLOQUE","OK")))</f>
        <v/>
      </c>
      <c r="U98" s="28" t="n">
        <f aca="false">IF($T98="OK",1,0)</f>
        <v>0</v>
      </c>
      <c r="V98" s="26" t="str">
        <f aca="false">IF($B98="","",IF($Q98=0,"A COMPLETER : "&amp;IF(ISNA(MATCH($B98,ST_ID,0)),"ID ST valide; ","")&amp;IF(OR(NOT(ISNUMBER($F98)),$F98&lt;=0),"QUANTITE &gt; 0; ","")&amp;IF($J98="","EMPL. DESTINATION; ",""),IF($T98="BLOQUE","Envoi parent en anomalie ("&amp;$S98&amp;") : corriger l'onglet SOUS_TRAITANCE.",IF(AND($E98&lt;&gt;"",ISNA(MATCH($E98,LOT_KEY,0))),"Creer la fiche du lot resultat dans l'onglet LOTS.",""))))</f>
        <v/>
      </c>
      <c r="W98" s="31" t="str">
        <f aca="false">IF($B98="","",IF($C98&lt;&gt;"",$C98,IFERROR(INDEX(ST_DATERET,MATCH($B98,ST_ID,0)),"")))</f>
        <v/>
      </c>
      <c r="X98" s="26" t="str">
        <f aca="false">IF($Q98=0,"",IF($L98=R_LOT,IF($N98&lt;&gt;R_LOT,$N98,""),IF($N98=R_LOT,$L98,"")))</f>
        <v/>
      </c>
      <c r="Y98" s="26" t="str">
        <f aca="false">IF($X98="","",IF(COUNTIF($X$4:$X97,$X98)&gt;0,"",COUNT($Y$4:$Y97)+1))</f>
        <v/>
      </c>
      <c r="Z98" s="26" t="n">
        <f aca="false">IF($Q98=0,0,IF(OR($L98=R_LOT,$N98=R_LOT),1,0))</f>
        <v>0</v>
      </c>
      <c r="AA98" s="26" t="str">
        <f aca="false">IF($Z98=0,"",COUNTIF($Z$5:$Z98,1))</f>
        <v/>
      </c>
    </row>
    <row r="99" customFormat="false" ht="15" hidden="false" customHeight="false" outlineLevel="0" collapsed="false">
      <c r="A99" s="26" t="str">
        <f aca="false">IF($B99="","","RES-"&amp;TEXT(ROW()-4,"000"))</f>
        <v/>
      </c>
      <c r="B99" s="24"/>
      <c r="C99" s="25"/>
      <c r="D99" s="24"/>
      <c r="E99" s="24"/>
      <c r="F99" s="29"/>
      <c r="G99" s="24"/>
      <c r="H99" s="24"/>
      <c r="I99" s="24"/>
      <c r="J99" s="24"/>
      <c r="K99" s="24"/>
      <c r="L99" s="26" t="str">
        <f aca="false">IF($B99="","",IFERROR(INDEX(ST_LOT,MATCH($B99,ST_ID,0)),""))</f>
        <v/>
      </c>
      <c r="M99" s="26" t="str">
        <f aca="false">IF($B99="","",IFERROR(INDEX(ST_STRAIT,MATCH($B99,ST_ID,0)),""))</f>
        <v/>
      </c>
      <c r="N99" s="26" t="str">
        <f aca="false">IF($B99="","",IF($E99="",$L99,$E99))</f>
        <v/>
      </c>
      <c r="O99" s="26" t="str">
        <f aca="false">IF($N99="","",IFERROR(INDEX(LOT_EXTE,MATCH($N99,LOT_KEY,0)),""))</f>
        <v/>
      </c>
      <c r="P99" s="26" t="str">
        <f aca="false">IF($J99="","",IFERROR(INDEX(EMPL_CLASSE,MATCH($J99,EMPL_KEY,0)),"?"))</f>
        <v/>
      </c>
      <c r="Q99" s="28" t="n">
        <f aca="false">IF($B99="",0,IF(OR(ISNA(MATCH($B99,ST_ID,0)),NOT(ISNUMBER($F99)),$F99&lt;=0,$J99="",$N99=""),0,1))</f>
        <v>0</v>
      </c>
      <c r="R99" s="27" t="n">
        <f aca="false">IF($Q99=0,0,$F99)</f>
        <v>0</v>
      </c>
      <c r="S99" s="26" t="str">
        <f aca="false">IF($B99="","",IFERROR(INDEX(ST_STATUT,MATCH($B99,ST_ID,0)),""))</f>
        <v/>
      </c>
      <c r="T99" s="26" t="str">
        <f aca="false">IF($B99="","",IF($Q99=0,"DONNEES MANQUANTES",IF(OR($S99="DONNEES MANQUANTES",$S99="STOCK INSUFFISANT",$S99="EMPLACEMENT INCOHERENT",$S99="BLOQUE"),"BLOQUE","OK")))</f>
        <v/>
      </c>
      <c r="U99" s="28" t="n">
        <f aca="false">IF($T99="OK",1,0)</f>
        <v>0</v>
      </c>
      <c r="V99" s="26" t="str">
        <f aca="false">IF($B99="","",IF($Q99=0,"A COMPLETER : "&amp;IF(ISNA(MATCH($B99,ST_ID,0)),"ID ST valide; ","")&amp;IF(OR(NOT(ISNUMBER($F99)),$F99&lt;=0),"QUANTITE &gt; 0; ","")&amp;IF($J99="","EMPL. DESTINATION; ",""),IF($T99="BLOQUE","Envoi parent en anomalie ("&amp;$S99&amp;") : corriger l'onglet SOUS_TRAITANCE.",IF(AND($E99&lt;&gt;"",ISNA(MATCH($E99,LOT_KEY,0))),"Creer la fiche du lot resultat dans l'onglet LOTS.",""))))</f>
        <v/>
      </c>
      <c r="W99" s="31" t="str">
        <f aca="false">IF($B99="","",IF($C99&lt;&gt;"",$C99,IFERROR(INDEX(ST_DATERET,MATCH($B99,ST_ID,0)),"")))</f>
        <v/>
      </c>
      <c r="X99" s="26" t="str">
        <f aca="false">IF($Q99=0,"",IF($L99=R_LOT,IF($N99&lt;&gt;R_LOT,$N99,""),IF($N99=R_LOT,$L99,"")))</f>
        <v/>
      </c>
      <c r="Y99" s="26" t="str">
        <f aca="false">IF($X99="","",IF(COUNTIF($X$4:$X98,$X99)&gt;0,"",COUNT($Y$4:$Y98)+1))</f>
        <v/>
      </c>
      <c r="Z99" s="26" t="n">
        <f aca="false">IF($Q99=0,0,IF(OR($L99=R_LOT,$N99=R_LOT),1,0))</f>
        <v>0</v>
      </c>
      <c r="AA99" s="26" t="str">
        <f aca="false">IF($Z99=0,"",COUNTIF($Z$5:$Z99,1))</f>
        <v/>
      </c>
    </row>
    <row r="100" customFormat="false" ht="15" hidden="false" customHeight="false" outlineLevel="0" collapsed="false">
      <c r="A100" s="26" t="str">
        <f aca="false">IF($B100="","","RES-"&amp;TEXT(ROW()-4,"000"))</f>
        <v/>
      </c>
      <c r="B100" s="24"/>
      <c r="C100" s="25"/>
      <c r="D100" s="24"/>
      <c r="E100" s="24"/>
      <c r="F100" s="29"/>
      <c r="G100" s="24"/>
      <c r="H100" s="24"/>
      <c r="I100" s="24"/>
      <c r="J100" s="24"/>
      <c r="K100" s="24"/>
      <c r="L100" s="26" t="str">
        <f aca="false">IF($B100="","",IFERROR(INDEX(ST_LOT,MATCH($B100,ST_ID,0)),""))</f>
        <v/>
      </c>
      <c r="M100" s="26" t="str">
        <f aca="false">IF($B100="","",IFERROR(INDEX(ST_STRAIT,MATCH($B100,ST_ID,0)),""))</f>
        <v/>
      </c>
      <c r="N100" s="26" t="str">
        <f aca="false">IF($B100="","",IF($E100="",$L100,$E100))</f>
        <v/>
      </c>
      <c r="O100" s="26" t="str">
        <f aca="false">IF($N100="","",IFERROR(INDEX(LOT_EXTE,MATCH($N100,LOT_KEY,0)),""))</f>
        <v/>
      </c>
      <c r="P100" s="26" t="str">
        <f aca="false">IF($J100="","",IFERROR(INDEX(EMPL_CLASSE,MATCH($J100,EMPL_KEY,0)),"?"))</f>
        <v/>
      </c>
      <c r="Q100" s="28" t="n">
        <f aca="false">IF($B100="",0,IF(OR(ISNA(MATCH($B100,ST_ID,0)),NOT(ISNUMBER($F100)),$F100&lt;=0,$J100="",$N100=""),0,1))</f>
        <v>0</v>
      </c>
      <c r="R100" s="27" t="n">
        <f aca="false">IF($Q100=0,0,$F100)</f>
        <v>0</v>
      </c>
      <c r="S100" s="26" t="str">
        <f aca="false">IF($B100="","",IFERROR(INDEX(ST_STATUT,MATCH($B100,ST_ID,0)),""))</f>
        <v/>
      </c>
      <c r="T100" s="26" t="str">
        <f aca="false">IF($B100="","",IF($Q100=0,"DONNEES MANQUANTES",IF(OR($S100="DONNEES MANQUANTES",$S100="STOCK INSUFFISANT",$S100="EMPLACEMENT INCOHERENT",$S100="BLOQUE"),"BLOQUE","OK")))</f>
        <v/>
      </c>
      <c r="U100" s="28" t="n">
        <f aca="false">IF($T100="OK",1,0)</f>
        <v>0</v>
      </c>
      <c r="V100" s="26" t="str">
        <f aca="false">IF($B100="","",IF($Q100=0,"A COMPLETER : "&amp;IF(ISNA(MATCH($B100,ST_ID,0)),"ID ST valide; ","")&amp;IF(OR(NOT(ISNUMBER($F100)),$F100&lt;=0),"QUANTITE &gt; 0; ","")&amp;IF($J100="","EMPL. DESTINATION; ",""),IF($T100="BLOQUE","Envoi parent en anomalie ("&amp;$S100&amp;") : corriger l'onglet SOUS_TRAITANCE.",IF(AND($E100&lt;&gt;"",ISNA(MATCH($E100,LOT_KEY,0))),"Creer la fiche du lot resultat dans l'onglet LOTS.",""))))</f>
        <v/>
      </c>
      <c r="W100" s="31" t="str">
        <f aca="false">IF($B100="","",IF($C100&lt;&gt;"",$C100,IFERROR(INDEX(ST_DATERET,MATCH($B100,ST_ID,0)),"")))</f>
        <v/>
      </c>
      <c r="X100" s="26" t="str">
        <f aca="false">IF($Q100=0,"",IF($L100=R_LOT,IF($N100&lt;&gt;R_LOT,$N100,""),IF($N100=R_LOT,$L100,"")))</f>
        <v/>
      </c>
      <c r="Y100" s="26" t="str">
        <f aca="false">IF($X100="","",IF(COUNTIF($X$4:$X99,$X100)&gt;0,"",COUNT($Y$4:$Y99)+1))</f>
        <v/>
      </c>
      <c r="Z100" s="26" t="n">
        <f aca="false">IF($Q100=0,0,IF(OR($L100=R_LOT,$N100=R_LOT),1,0))</f>
        <v>0</v>
      </c>
      <c r="AA100" s="26" t="str">
        <f aca="false">IF($Z100=0,"",COUNTIF($Z$5:$Z100,1))</f>
        <v/>
      </c>
    </row>
    <row r="101" customFormat="false" ht="15" hidden="false" customHeight="false" outlineLevel="0" collapsed="false">
      <c r="A101" s="26" t="str">
        <f aca="false">IF($B101="","","RES-"&amp;TEXT(ROW()-4,"000"))</f>
        <v/>
      </c>
      <c r="B101" s="24"/>
      <c r="C101" s="25"/>
      <c r="D101" s="24"/>
      <c r="E101" s="24"/>
      <c r="F101" s="29"/>
      <c r="G101" s="24"/>
      <c r="H101" s="24"/>
      <c r="I101" s="24"/>
      <c r="J101" s="24"/>
      <c r="K101" s="24"/>
      <c r="L101" s="26" t="str">
        <f aca="false">IF($B101="","",IFERROR(INDEX(ST_LOT,MATCH($B101,ST_ID,0)),""))</f>
        <v/>
      </c>
      <c r="M101" s="26" t="str">
        <f aca="false">IF($B101="","",IFERROR(INDEX(ST_STRAIT,MATCH($B101,ST_ID,0)),""))</f>
        <v/>
      </c>
      <c r="N101" s="26" t="str">
        <f aca="false">IF($B101="","",IF($E101="",$L101,$E101))</f>
        <v/>
      </c>
      <c r="O101" s="26" t="str">
        <f aca="false">IF($N101="","",IFERROR(INDEX(LOT_EXTE,MATCH($N101,LOT_KEY,0)),""))</f>
        <v/>
      </c>
      <c r="P101" s="26" t="str">
        <f aca="false">IF($J101="","",IFERROR(INDEX(EMPL_CLASSE,MATCH($J101,EMPL_KEY,0)),"?"))</f>
        <v/>
      </c>
      <c r="Q101" s="28" t="n">
        <f aca="false">IF($B101="",0,IF(OR(ISNA(MATCH($B101,ST_ID,0)),NOT(ISNUMBER($F101)),$F101&lt;=0,$J101="",$N101=""),0,1))</f>
        <v>0</v>
      </c>
      <c r="R101" s="27" t="n">
        <f aca="false">IF($Q101=0,0,$F101)</f>
        <v>0</v>
      </c>
      <c r="S101" s="26" t="str">
        <f aca="false">IF($B101="","",IFERROR(INDEX(ST_STATUT,MATCH($B101,ST_ID,0)),""))</f>
        <v/>
      </c>
      <c r="T101" s="26" t="str">
        <f aca="false">IF($B101="","",IF($Q101=0,"DONNEES MANQUANTES",IF(OR($S101="DONNEES MANQUANTES",$S101="STOCK INSUFFISANT",$S101="EMPLACEMENT INCOHERENT",$S101="BLOQUE"),"BLOQUE","OK")))</f>
        <v/>
      </c>
      <c r="U101" s="28" t="n">
        <f aca="false">IF($T101="OK",1,0)</f>
        <v>0</v>
      </c>
      <c r="V101" s="26" t="str">
        <f aca="false">IF($B101="","",IF($Q101=0,"A COMPLETER : "&amp;IF(ISNA(MATCH($B101,ST_ID,0)),"ID ST valide; ","")&amp;IF(OR(NOT(ISNUMBER($F101)),$F101&lt;=0),"QUANTITE &gt; 0; ","")&amp;IF($J101="","EMPL. DESTINATION; ",""),IF($T101="BLOQUE","Envoi parent en anomalie ("&amp;$S101&amp;") : corriger l'onglet SOUS_TRAITANCE.",IF(AND($E101&lt;&gt;"",ISNA(MATCH($E101,LOT_KEY,0))),"Creer la fiche du lot resultat dans l'onglet LOTS.",""))))</f>
        <v/>
      </c>
      <c r="W101" s="31" t="str">
        <f aca="false">IF($B101="","",IF($C101&lt;&gt;"",$C101,IFERROR(INDEX(ST_DATERET,MATCH($B101,ST_ID,0)),"")))</f>
        <v/>
      </c>
      <c r="X101" s="26" t="str">
        <f aca="false">IF($Q101=0,"",IF($L101=R_LOT,IF($N101&lt;&gt;R_LOT,$N101,""),IF($N101=R_LOT,$L101,"")))</f>
        <v/>
      </c>
      <c r="Y101" s="26" t="str">
        <f aca="false">IF($X101="","",IF(COUNTIF($X$4:$X100,$X101)&gt;0,"",COUNT($Y$4:$Y100)+1))</f>
        <v/>
      </c>
      <c r="Z101" s="26" t="n">
        <f aca="false">IF($Q101=0,0,IF(OR($L101=R_LOT,$N101=R_LOT),1,0))</f>
        <v>0</v>
      </c>
      <c r="AA101" s="26" t="str">
        <f aca="false">IF($Z101=0,"",COUNTIF($Z$5:$Z101,1))</f>
        <v/>
      </c>
    </row>
    <row r="102" customFormat="false" ht="15" hidden="false" customHeight="false" outlineLevel="0" collapsed="false">
      <c r="A102" s="26" t="str">
        <f aca="false">IF($B102="","","RES-"&amp;TEXT(ROW()-4,"000"))</f>
        <v/>
      </c>
      <c r="B102" s="24"/>
      <c r="C102" s="25"/>
      <c r="D102" s="24"/>
      <c r="E102" s="24"/>
      <c r="F102" s="29"/>
      <c r="G102" s="24"/>
      <c r="H102" s="24"/>
      <c r="I102" s="24"/>
      <c r="J102" s="24"/>
      <c r="K102" s="24"/>
      <c r="L102" s="26" t="str">
        <f aca="false">IF($B102="","",IFERROR(INDEX(ST_LOT,MATCH($B102,ST_ID,0)),""))</f>
        <v/>
      </c>
      <c r="M102" s="26" t="str">
        <f aca="false">IF($B102="","",IFERROR(INDEX(ST_STRAIT,MATCH($B102,ST_ID,0)),""))</f>
        <v/>
      </c>
      <c r="N102" s="26" t="str">
        <f aca="false">IF($B102="","",IF($E102="",$L102,$E102))</f>
        <v/>
      </c>
      <c r="O102" s="26" t="str">
        <f aca="false">IF($N102="","",IFERROR(INDEX(LOT_EXTE,MATCH($N102,LOT_KEY,0)),""))</f>
        <v/>
      </c>
      <c r="P102" s="26" t="str">
        <f aca="false">IF($J102="","",IFERROR(INDEX(EMPL_CLASSE,MATCH($J102,EMPL_KEY,0)),"?"))</f>
        <v/>
      </c>
      <c r="Q102" s="28" t="n">
        <f aca="false">IF($B102="",0,IF(OR(ISNA(MATCH($B102,ST_ID,0)),NOT(ISNUMBER($F102)),$F102&lt;=0,$J102="",$N102=""),0,1))</f>
        <v>0</v>
      </c>
      <c r="R102" s="27" t="n">
        <f aca="false">IF($Q102=0,0,$F102)</f>
        <v>0</v>
      </c>
      <c r="S102" s="26" t="str">
        <f aca="false">IF($B102="","",IFERROR(INDEX(ST_STATUT,MATCH($B102,ST_ID,0)),""))</f>
        <v/>
      </c>
      <c r="T102" s="26" t="str">
        <f aca="false">IF($B102="","",IF($Q102=0,"DONNEES MANQUANTES",IF(OR($S102="DONNEES MANQUANTES",$S102="STOCK INSUFFISANT",$S102="EMPLACEMENT INCOHERENT",$S102="BLOQUE"),"BLOQUE","OK")))</f>
        <v/>
      </c>
      <c r="U102" s="28" t="n">
        <f aca="false">IF($T102="OK",1,0)</f>
        <v>0</v>
      </c>
      <c r="V102" s="26" t="str">
        <f aca="false">IF($B102="","",IF($Q102=0,"A COMPLETER : "&amp;IF(ISNA(MATCH($B102,ST_ID,0)),"ID ST valide; ","")&amp;IF(OR(NOT(ISNUMBER($F102)),$F102&lt;=0),"QUANTITE &gt; 0; ","")&amp;IF($J102="","EMPL. DESTINATION; ",""),IF($T102="BLOQUE","Envoi parent en anomalie ("&amp;$S102&amp;") : corriger l'onglet SOUS_TRAITANCE.",IF(AND($E102&lt;&gt;"",ISNA(MATCH($E102,LOT_KEY,0))),"Creer la fiche du lot resultat dans l'onglet LOTS.",""))))</f>
        <v/>
      </c>
      <c r="W102" s="31" t="str">
        <f aca="false">IF($B102="","",IF($C102&lt;&gt;"",$C102,IFERROR(INDEX(ST_DATERET,MATCH($B102,ST_ID,0)),"")))</f>
        <v/>
      </c>
      <c r="X102" s="26" t="str">
        <f aca="false">IF($Q102=0,"",IF($L102=R_LOT,IF($N102&lt;&gt;R_LOT,$N102,""),IF($N102=R_LOT,$L102,"")))</f>
        <v/>
      </c>
      <c r="Y102" s="26" t="str">
        <f aca="false">IF($X102="","",IF(COUNTIF($X$4:$X101,$X102)&gt;0,"",COUNT($Y$4:$Y101)+1))</f>
        <v/>
      </c>
      <c r="Z102" s="26" t="n">
        <f aca="false">IF($Q102=0,0,IF(OR($L102=R_LOT,$N102=R_LOT),1,0))</f>
        <v>0</v>
      </c>
      <c r="AA102" s="26" t="str">
        <f aca="false">IF($Z102=0,"",COUNTIF($Z$5:$Z102,1))</f>
        <v/>
      </c>
    </row>
    <row r="103" customFormat="false" ht="15" hidden="false" customHeight="false" outlineLevel="0" collapsed="false">
      <c r="A103" s="26" t="str">
        <f aca="false">IF($B103="","","RES-"&amp;TEXT(ROW()-4,"000"))</f>
        <v/>
      </c>
      <c r="B103" s="24"/>
      <c r="C103" s="25"/>
      <c r="D103" s="24"/>
      <c r="E103" s="24"/>
      <c r="F103" s="29"/>
      <c r="G103" s="24"/>
      <c r="H103" s="24"/>
      <c r="I103" s="24"/>
      <c r="J103" s="24"/>
      <c r="K103" s="24"/>
      <c r="L103" s="26" t="str">
        <f aca="false">IF($B103="","",IFERROR(INDEX(ST_LOT,MATCH($B103,ST_ID,0)),""))</f>
        <v/>
      </c>
      <c r="M103" s="26" t="str">
        <f aca="false">IF($B103="","",IFERROR(INDEX(ST_STRAIT,MATCH($B103,ST_ID,0)),""))</f>
        <v/>
      </c>
      <c r="N103" s="26" t="str">
        <f aca="false">IF($B103="","",IF($E103="",$L103,$E103))</f>
        <v/>
      </c>
      <c r="O103" s="26" t="str">
        <f aca="false">IF($N103="","",IFERROR(INDEX(LOT_EXTE,MATCH($N103,LOT_KEY,0)),""))</f>
        <v/>
      </c>
      <c r="P103" s="26" t="str">
        <f aca="false">IF($J103="","",IFERROR(INDEX(EMPL_CLASSE,MATCH($J103,EMPL_KEY,0)),"?"))</f>
        <v/>
      </c>
      <c r="Q103" s="28" t="n">
        <f aca="false">IF($B103="",0,IF(OR(ISNA(MATCH($B103,ST_ID,0)),NOT(ISNUMBER($F103)),$F103&lt;=0,$J103="",$N103=""),0,1))</f>
        <v>0</v>
      </c>
      <c r="R103" s="27" t="n">
        <f aca="false">IF($Q103=0,0,$F103)</f>
        <v>0</v>
      </c>
      <c r="S103" s="26" t="str">
        <f aca="false">IF($B103="","",IFERROR(INDEX(ST_STATUT,MATCH($B103,ST_ID,0)),""))</f>
        <v/>
      </c>
      <c r="T103" s="26" t="str">
        <f aca="false">IF($B103="","",IF($Q103=0,"DONNEES MANQUANTES",IF(OR($S103="DONNEES MANQUANTES",$S103="STOCK INSUFFISANT",$S103="EMPLACEMENT INCOHERENT",$S103="BLOQUE"),"BLOQUE","OK")))</f>
        <v/>
      </c>
      <c r="U103" s="28" t="n">
        <f aca="false">IF($T103="OK",1,0)</f>
        <v>0</v>
      </c>
      <c r="V103" s="26" t="str">
        <f aca="false">IF($B103="","",IF($Q103=0,"A COMPLETER : "&amp;IF(ISNA(MATCH($B103,ST_ID,0)),"ID ST valide; ","")&amp;IF(OR(NOT(ISNUMBER($F103)),$F103&lt;=0),"QUANTITE &gt; 0; ","")&amp;IF($J103="","EMPL. DESTINATION; ",""),IF($T103="BLOQUE","Envoi parent en anomalie ("&amp;$S103&amp;") : corriger l'onglet SOUS_TRAITANCE.",IF(AND($E103&lt;&gt;"",ISNA(MATCH($E103,LOT_KEY,0))),"Creer la fiche du lot resultat dans l'onglet LOTS.",""))))</f>
        <v/>
      </c>
      <c r="W103" s="31" t="str">
        <f aca="false">IF($B103="","",IF($C103&lt;&gt;"",$C103,IFERROR(INDEX(ST_DATERET,MATCH($B103,ST_ID,0)),"")))</f>
        <v/>
      </c>
      <c r="X103" s="26" t="str">
        <f aca="false">IF($Q103=0,"",IF($L103=R_LOT,IF($N103&lt;&gt;R_LOT,$N103,""),IF($N103=R_LOT,$L103,"")))</f>
        <v/>
      </c>
      <c r="Y103" s="26" t="str">
        <f aca="false">IF($X103="","",IF(COUNTIF($X$4:$X102,$X103)&gt;0,"",COUNT($Y$4:$Y102)+1))</f>
        <v/>
      </c>
      <c r="Z103" s="26" t="n">
        <f aca="false">IF($Q103=0,0,IF(OR($L103=R_LOT,$N103=R_LOT),1,0))</f>
        <v>0</v>
      </c>
      <c r="AA103" s="26" t="str">
        <f aca="false">IF($Z103=0,"",COUNTIF($Z$5:$Z103,1))</f>
        <v/>
      </c>
    </row>
    <row r="104" customFormat="false" ht="15" hidden="false" customHeight="false" outlineLevel="0" collapsed="false">
      <c r="A104" s="26" t="str">
        <f aca="false">IF($B104="","","RES-"&amp;TEXT(ROW()-4,"000"))</f>
        <v/>
      </c>
      <c r="B104" s="24"/>
      <c r="C104" s="25"/>
      <c r="D104" s="24"/>
      <c r="E104" s="24"/>
      <c r="F104" s="29"/>
      <c r="G104" s="24"/>
      <c r="H104" s="24"/>
      <c r="I104" s="24"/>
      <c r="J104" s="24"/>
      <c r="K104" s="24"/>
      <c r="L104" s="26" t="str">
        <f aca="false">IF($B104="","",IFERROR(INDEX(ST_LOT,MATCH($B104,ST_ID,0)),""))</f>
        <v/>
      </c>
      <c r="M104" s="26" t="str">
        <f aca="false">IF($B104="","",IFERROR(INDEX(ST_STRAIT,MATCH($B104,ST_ID,0)),""))</f>
        <v/>
      </c>
      <c r="N104" s="26" t="str">
        <f aca="false">IF($B104="","",IF($E104="",$L104,$E104))</f>
        <v/>
      </c>
      <c r="O104" s="26" t="str">
        <f aca="false">IF($N104="","",IFERROR(INDEX(LOT_EXTE,MATCH($N104,LOT_KEY,0)),""))</f>
        <v/>
      </c>
      <c r="P104" s="26" t="str">
        <f aca="false">IF($J104="","",IFERROR(INDEX(EMPL_CLASSE,MATCH($J104,EMPL_KEY,0)),"?"))</f>
        <v/>
      </c>
      <c r="Q104" s="28" t="n">
        <f aca="false">IF($B104="",0,IF(OR(ISNA(MATCH($B104,ST_ID,0)),NOT(ISNUMBER($F104)),$F104&lt;=0,$J104="",$N104=""),0,1))</f>
        <v>0</v>
      </c>
      <c r="R104" s="27" t="n">
        <f aca="false">IF($Q104=0,0,$F104)</f>
        <v>0</v>
      </c>
      <c r="S104" s="26" t="str">
        <f aca="false">IF($B104="","",IFERROR(INDEX(ST_STATUT,MATCH($B104,ST_ID,0)),""))</f>
        <v/>
      </c>
      <c r="T104" s="26" t="str">
        <f aca="false">IF($B104="","",IF($Q104=0,"DONNEES MANQUANTES",IF(OR($S104="DONNEES MANQUANTES",$S104="STOCK INSUFFISANT",$S104="EMPLACEMENT INCOHERENT",$S104="BLOQUE"),"BLOQUE","OK")))</f>
        <v/>
      </c>
      <c r="U104" s="28" t="n">
        <f aca="false">IF($T104="OK",1,0)</f>
        <v>0</v>
      </c>
      <c r="V104" s="26" t="str">
        <f aca="false">IF($B104="","",IF($Q104=0,"A COMPLETER : "&amp;IF(ISNA(MATCH($B104,ST_ID,0)),"ID ST valide; ","")&amp;IF(OR(NOT(ISNUMBER($F104)),$F104&lt;=0),"QUANTITE &gt; 0; ","")&amp;IF($J104="","EMPL. DESTINATION; ",""),IF($T104="BLOQUE","Envoi parent en anomalie ("&amp;$S104&amp;") : corriger l'onglet SOUS_TRAITANCE.",IF(AND($E104&lt;&gt;"",ISNA(MATCH($E104,LOT_KEY,0))),"Creer la fiche du lot resultat dans l'onglet LOTS.",""))))</f>
        <v/>
      </c>
      <c r="W104" s="31" t="str">
        <f aca="false">IF($B104="","",IF($C104&lt;&gt;"",$C104,IFERROR(INDEX(ST_DATERET,MATCH($B104,ST_ID,0)),"")))</f>
        <v/>
      </c>
      <c r="X104" s="26" t="str">
        <f aca="false">IF($Q104=0,"",IF($L104=R_LOT,IF($N104&lt;&gt;R_LOT,$N104,""),IF($N104=R_LOT,$L104,"")))</f>
        <v/>
      </c>
      <c r="Y104" s="26" t="str">
        <f aca="false">IF($X104="","",IF(COUNTIF($X$4:$X103,$X104)&gt;0,"",COUNT($Y$4:$Y103)+1))</f>
        <v/>
      </c>
      <c r="Z104" s="26" t="n">
        <f aca="false">IF($Q104=0,0,IF(OR($L104=R_LOT,$N104=R_LOT),1,0))</f>
        <v>0</v>
      </c>
      <c r="AA104" s="26" t="str">
        <f aca="false">IF($Z104=0,"",COUNTIF($Z$5:$Z104,1))</f>
        <v/>
      </c>
    </row>
    <row r="105" customFormat="false" ht="15" hidden="false" customHeight="false" outlineLevel="0" collapsed="false">
      <c r="A105" s="26" t="str">
        <f aca="false">IF($B105="","","RES-"&amp;TEXT(ROW()-4,"000"))</f>
        <v/>
      </c>
      <c r="B105" s="24"/>
      <c r="C105" s="25"/>
      <c r="D105" s="24"/>
      <c r="E105" s="24"/>
      <c r="F105" s="29"/>
      <c r="G105" s="24"/>
      <c r="H105" s="24"/>
      <c r="I105" s="24"/>
      <c r="J105" s="24"/>
      <c r="K105" s="24"/>
      <c r="L105" s="26" t="str">
        <f aca="false">IF($B105="","",IFERROR(INDEX(ST_LOT,MATCH($B105,ST_ID,0)),""))</f>
        <v/>
      </c>
      <c r="M105" s="26" t="str">
        <f aca="false">IF($B105="","",IFERROR(INDEX(ST_STRAIT,MATCH($B105,ST_ID,0)),""))</f>
        <v/>
      </c>
      <c r="N105" s="26" t="str">
        <f aca="false">IF($B105="","",IF($E105="",$L105,$E105))</f>
        <v/>
      </c>
      <c r="O105" s="26" t="str">
        <f aca="false">IF($N105="","",IFERROR(INDEX(LOT_EXTE,MATCH($N105,LOT_KEY,0)),""))</f>
        <v/>
      </c>
      <c r="P105" s="26" t="str">
        <f aca="false">IF($J105="","",IFERROR(INDEX(EMPL_CLASSE,MATCH($J105,EMPL_KEY,0)),"?"))</f>
        <v/>
      </c>
      <c r="Q105" s="28" t="n">
        <f aca="false">IF($B105="",0,IF(OR(ISNA(MATCH($B105,ST_ID,0)),NOT(ISNUMBER($F105)),$F105&lt;=0,$J105="",$N105=""),0,1))</f>
        <v>0</v>
      </c>
      <c r="R105" s="27" t="n">
        <f aca="false">IF($Q105=0,0,$F105)</f>
        <v>0</v>
      </c>
      <c r="S105" s="26" t="str">
        <f aca="false">IF($B105="","",IFERROR(INDEX(ST_STATUT,MATCH($B105,ST_ID,0)),""))</f>
        <v/>
      </c>
      <c r="T105" s="26" t="str">
        <f aca="false">IF($B105="","",IF($Q105=0,"DONNEES MANQUANTES",IF(OR($S105="DONNEES MANQUANTES",$S105="STOCK INSUFFISANT",$S105="EMPLACEMENT INCOHERENT",$S105="BLOQUE"),"BLOQUE","OK")))</f>
        <v/>
      </c>
      <c r="U105" s="28" t="n">
        <f aca="false">IF($T105="OK",1,0)</f>
        <v>0</v>
      </c>
      <c r="V105" s="26" t="str">
        <f aca="false">IF($B105="","",IF($Q105=0,"A COMPLETER : "&amp;IF(ISNA(MATCH($B105,ST_ID,0)),"ID ST valide; ","")&amp;IF(OR(NOT(ISNUMBER($F105)),$F105&lt;=0),"QUANTITE &gt; 0; ","")&amp;IF($J105="","EMPL. DESTINATION; ",""),IF($T105="BLOQUE","Envoi parent en anomalie ("&amp;$S105&amp;") : corriger l'onglet SOUS_TRAITANCE.",IF(AND($E105&lt;&gt;"",ISNA(MATCH($E105,LOT_KEY,0))),"Creer la fiche du lot resultat dans l'onglet LOTS.",""))))</f>
        <v/>
      </c>
      <c r="W105" s="31" t="str">
        <f aca="false">IF($B105="","",IF($C105&lt;&gt;"",$C105,IFERROR(INDEX(ST_DATERET,MATCH($B105,ST_ID,0)),"")))</f>
        <v/>
      </c>
      <c r="X105" s="26" t="str">
        <f aca="false">IF($Q105=0,"",IF($L105=R_LOT,IF($N105&lt;&gt;R_LOT,$N105,""),IF($N105=R_LOT,$L105,"")))</f>
        <v/>
      </c>
      <c r="Y105" s="26" t="str">
        <f aca="false">IF($X105="","",IF(COUNTIF($X$4:$X104,$X105)&gt;0,"",COUNT($Y$4:$Y104)+1))</f>
        <v/>
      </c>
      <c r="Z105" s="26" t="n">
        <f aca="false">IF($Q105=0,0,IF(OR($L105=R_LOT,$N105=R_LOT),1,0))</f>
        <v>0</v>
      </c>
      <c r="AA105" s="26" t="str">
        <f aca="false">IF($Z105=0,"",COUNTIF($Z$5:$Z105,1))</f>
        <v/>
      </c>
    </row>
    <row r="106" customFormat="false" ht="15" hidden="false" customHeight="false" outlineLevel="0" collapsed="false">
      <c r="A106" s="26" t="str">
        <f aca="false">IF($B106="","","RES-"&amp;TEXT(ROW()-4,"000"))</f>
        <v/>
      </c>
      <c r="B106" s="24"/>
      <c r="C106" s="25"/>
      <c r="D106" s="24"/>
      <c r="E106" s="24"/>
      <c r="F106" s="29"/>
      <c r="G106" s="24"/>
      <c r="H106" s="24"/>
      <c r="I106" s="24"/>
      <c r="J106" s="24"/>
      <c r="K106" s="24"/>
      <c r="L106" s="26" t="str">
        <f aca="false">IF($B106="","",IFERROR(INDEX(ST_LOT,MATCH($B106,ST_ID,0)),""))</f>
        <v/>
      </c>
      <c r="M106" s="26" t="str">
        <f aca="false">IF($B106="","",IFERROR(INDEX(ST_STRAIT,MATCH($B106,ST_ID,0)),""))</f>
        <v/>
      </c>
      <c r="N106" s="26" t="str">
        <f aca="false">IF($B106="","",IF($E106="",$L106,$E106))</f>
        <v/>
      </c>
      <c r="O106" s="26" t="str">
        <f aca="false">IF($N106="","",IFERROR(INDEX(LOT_EXTE,MATCH($N106,LOT_KEY,0)),""))</f>
        <v/>
      </c>
      <c r="P106" s="26" t="str">
        <f aca="false">IF($J106="","",IFERROR(INDEX(EMPL_CLASSE,MATCH($J106,EMPL_KEY,0)),"?"))</f>
        <v/>
      </c>
      <c r="Q106" s="28" t="n">
        <f aca="false">IF($B106="",0,IF(OR(ISNA(MATCH($B106,ST_ID,0)),NOT(ISNUMBER($F106)),$F106&lt;=0,$J106="",$N106=""),0,1))</f>
        <v>0</v>
      </c>
      <c r="R106" s="27" t="n">
        <f aca="false">IF($Q106=0,0,$F106)</f>
        <v>0</v>
      </c>
      <c r="S106" s="26" t="str">
        <f aca="false">IF($B106="","",IFERROR(INDEX(ST_STATUT,MATCH($B106,ST_ID,0)),""))</f>
        <v/>
      </c>
      <c r="T106" s="26" t="str">
        <f aca="false">IF($B106="","",IF($Q106=0,"DONNEES MANQUANTES",IF(OR($S106="DONNEES MANQUANTES",$S106="STOCK INSUFFISANT",$S106="EMPLACEMENT INCOHERENT",$S106="BLOQUE"),"BLOQUE","OK")))</f>
        <v/>
      </c>
      <c r="U106" s="28" t="n">
        <f aca="false">IF($T106="OK",1,0)</f>
        <v>0</v>
      </c>
      <c r="V106" s="26" t="str">
        <f aca="false">IF($B106="","",IF($Q106=0,"A COMPLETER : "&amp;IF(ISNA(MATCH($B106,ST_ID,0)),"ID ST valide; ","")&amp;IF(OR(NOT(ISNUMBER($F106)),$F106&lt;=0),"QUANTITE &gt; 0; ","")&amp;IF($J106="","EMPL. DESTINATION; ",""),IF($T106="BLOQUE","Envoi parent en anomalie ("&amp;$S106&amp;") : corriger l'onglet SOUS_TRAITANCE.",IF(AND($E106&lt;&gt;"",ISNA(MATCH($E106,LOT_KEY,0))),"Creer la fiche du lot resultat dans l'onglet LOTS.",""))))</f>
        <v/>
      </c>
      <c r="W106" s="31" t="str">
        <f aca="false">IF($B106="","",IF($C106&lt;&gt;"",$C106,IFERROR(INDEX(ST_DATERET,MATCH($B106,ST_ID,0)),"")))</f>
        <v/>
      </c>
      <c r="X106" s="26" t="str">
        <f aca="false">IF($Q106=0,"",IF($L106=R_LOT,IF($N106&lt;&gt;R_LOT,$N106,""),IF($N106=R_LOT,$L106,"")))</f>
        <v/>
      </c>
      <c r="Y106" s="26" t="str">
        <f aca="false">IF($X106="","",IF(COUNTIF($X$4:$X105,$X106)&gt;0,"",COUNT($Y$4:$Y105)+1))</f>
        <v/>
      </c>
      <c r="Z106" s="26" t="n">
        <f aca="false">IF($Q106=0,0,IF(OR($L106=R_LOT,$N106=R_LOT),1,0))</f>
        <v>0</v>
      </c>
      <c r="AA106" s="26" t="str">
        <f aca="false">IF($Z106=0,"",COUNTIF($Z$5:$Z106,1))</f>
        <v/>
      </c>
    </row>
    <row r="107" customFormat="false" ht="15" hidden="false" customHeight="false" outlineLevel="0" collapsed="false">
      <c r="A107" s="26" t="str">
        <f aca="false">IF($B107="","","RES-"&amp;TEXT(ROW()-4,"000"))</f>
        <v/>
      </c>
      <c r="B107" s="24"/>
      <c r="C107" s="25"/>
      <c r="D107" s="24"/>
      <c r="E107" s="24"/>
      <c r="F107" s="29"/>
      <c r="G107" s="24"/>
      <c r="H107" s="24"/>
      <c r="I107" s="24"/>
      <c r="J107" s="24"/>
      <c r="K107" s="24"/>
      <c r="L107" s="26" t="str">
        <f aca="false">IF($B107="","",IFERROR(INDEX(ST_LOT,MATCH($B107,ST_ID,0)),""))</f>
        <v/>
      </c>
      <c r="M107" s="26" t="str">
        <f aca="false">IF($B107="","",IFERROR(INDEX(ST_STRAIT,MATCH($B107,ST_ID,0)),""))</f>
        <v/>
      </c>
      <c r="N107" s="26" t="str">
        <f aca="false">IF($B107="","",IF($E107="",$L107,$E107))</f>
        <v/>
      </c>
      <c r="O107" s="26" t="str">
        <f aca="false">IF($N107="","",IFERROR(INDEX(LOT_EXTE,MATCH($N107,LOT_KEY,0)),""))</f>
        <v/>
      </c>
      <c r="P107" s="26" t="str">
        <f aca="false">IF($J107="","",IFERROR(INDEX(EMPL_CLASSE,MATCH($J107,EMPL_KEY,0)),"?"))</f>
        <v/>
      </c>
      <c r="Q107" s="28" t="n">
        <f aca="false">IF($B107="",0,IF(OR(ISNA(MATCH($B107,ST_ID,0)),NOT(ISNUMBER($F107)),$F107&lt;=0,$J107="",$N107=""),0,1))</f>
        <v>0</v>
      </c>
      <c r="R107" s="27" t="n">
        <f aca="false">IF($Q107=0,0,$F107)</f>
        <v>0</v>
      </c>
      <c r="S107" s="26" t="str">
        <f aca="false">IF($B107="","",IFERROR(INDEX(ST_STATUT,MATCH($B107,ST_ID,0)),""))</f>
        <v/>
      </c>
      <c r="T107" s="26" t="str">
        <f aca="false">IF($B107="","",IF($Q107=0,"DONNEES MANQUANTES",IF(OR($S107="DONNEES MANQUANTES",$S107="STOCK INSUFFISANT",$S107="EMPLACEMENT INCOHERENT",$S107="BLOQUE"),"BLOQUE","OK")))</f>
        <v/>
      </c>
      <c r="U107" s="28" t="n">
        <f aca="false">IF($T107="OK",1,0)</f>
        <v>0</v>
      </c>
      <c r="V107" s="26" t="str">
        <f aca="false">IF($B107="","",IF($Q107=0,"A COMPLETER : "&amp;IF(ISNA(MATCH($B107,ST_ID,0)),"ID ST valide; ","")&amp;IF(OR(NOT(ISNUMBER($F107)),$F107&lt;=0),"QUANTITE &gt; 0; ","")&amp;IF($J107="","EMPL. DESTINATION; ",""),IF($T107="BLOQUE","Envoi parent en anomalie ("&amp;$S107&amp;") : corriger l'onglet SOUS_TRAITANCE.",IF(AND($E107&lt;&gt;"",ISNA(MATCH($E107,LOT_KEY,0))),"Creer la fiche du lot resultat dans l'onglet LOTS.",""))))</f>
        <v/>
      </c>
      <c r="W107" s="31" t="str">
        <f aca="false">IF($B107="","",IF($C107&lt;&gt;"",$C107,IFERROR(INDEX(ST_DATERET,MATCH($B107,ST_ID,0)),"")))</f>
        <v/>
      </c>
      <c r="X107" s="26" t="str">
        <f aca="false">IF($Q107=0,"",IF($L107=R_LOT,IF($N107&lt;&gt;R_LOT,$N107,""),IF($N107=R_LOT,$L107,"")))</f>
        <v/>
      </c>
      <c r="Y107" s="26" t="str">
        <f aca="false">IF($X107="","",IF(COUNTIF($X$4:$X106,$X107)&gt;0,"",COUNT($Y$4:$Y106)+1))</f>
        <v/>
      </c>
      <c r="Z107" s="26" t="n">
        <f aca="false">IF($Q107=0,0,IF(OR($L107=R_LOT,$N107=R_LOT),1,0))</f>
        <v>0</v>
      </c>
      <c r="AA107" s="26" t="str">
        <f aca="false">IF($Z107=0,"",COUNTIF($Z$5:$Z107,1))</f>
        <v/>
      </c>
    </row>
    <row r="108" customFormat="false" ht="15" hidden="false" customHeight="false" outlineLevel="0" collapsed="false">
      <c r="A108" s="26" t="str">
        <f aca="false">IF($B108="","","RES-"&amp;TEXT(ROW()-4,"000"))</f>
        <v/>
      </c>
      <c r="B108" s="24"/>
      <c r="C108" s="25"/>
      <c r="D108" s="24"/>
      <c r="E108" s="24"/>
      <c r="F108" s="29"/>
      <c r="G108" s="24"/>
      <c r="H108" s="24"/>
      <c r="I108" s="24"/>
      <c r="J108" s="24"/>
      <c r="K108" s="24"/>
      <c r="L108" s="26" t="str">
        <f aca="false">IF($B108="","",IFERROR(INDEX(ST_LOT,MATCH($B108,ST_ID,0)),""))</f>
        <v/>
      </c>
      <c r="M108" s="26" t="str">
        <f aca="false">IF($B108="","",IFERROR(INDEX(ST_STRAIT,MATCH($B108,ST_ID,0)),""))</f>
        <v/>
      </c>
      <c r="N108" s="26" t="str">
        <f aca="false">IF($B108="","",IF($E108="",$L108,$E108))</f>
        <v/>
      </c>
      <c r="O108" s="26" t="str">
        <f aca="false">IF($N108="","",IFERROR(INDEX(LOT_EXTE,MATCH($N108,LOT_KEY,0)),""))</f>
        <v/>
      </c>
      <c r="P108" s="26" t="str">
        <f aca="false">IF($J108="","",IFERROR(INDEX(EMPL_CLASSE,MATCH($J108,EMPL_KEY,0)),"?"))</f>
        <v/>
      </c>
      <c r="Q108" s="28" t="n">
        <f aca="false">IF($B108="",0,IF(OR(ISNA(MATCH($B108,ST_ID,0)),NOT(ISNUMBER($F108)),$F108&lt;=0,$J108="",$N108=""),0,1))</f>
        <v>0</v>
      </c>
      <c r="R108" s="27" t="n">
        <f aca="false">IF($Q108=0,0,$F108)</f>
        <v>0</v>
      </c>
      <c r="S108" s="26" t="str">
        <f aca="false">IF($B108="","",IFERROR(INDEX(ST_STATUT,MATCH($B108,ST_ID,0)),""))</f>
        <v/>
      </c>
      <c r="T108" s="26" t="str">
        <f aca="false">IF($B108="","",IF($Q108=0,"DONNEES MANQUANTES",IF(OR($S108="DONNEES MANQUANTES",$S108="STOCK INSUFFISANT",$S108="EMPLACEMENT INCOHERENT",$S108="BLOQUE"),"BLOQUE","OK")))</f>
        <v/>
      </c>
      <c r="U108" s="28" t="n">
        <f aca="false">IF($T108="OK",1,0)</f>
        <v>0</v>
      </c>
      <c r="V108" s="26" t="str">
        <f aca="false">IF($B108="","",IF($Q108=0,"A COMPLETER : "&amp;IF(ISNA(MATCH($B108,ST_ID,0)),"ID ST valide; ","")&amp;IF(OR(NOT(ISNUMBER($F108)),$F108&lt;=0),"QUANTITE &gt; 0; ","")&amp;IF($J108="","EMPL. DESTINATION; ",""),IF($T108="BLOQUE","Envoi parent en anomalie ("&amp;$S108&amp;") : corriger l'onglet SOUS_TRAITANCE.",IF(AND($E108&lt;&gt;"",ISNA(MATCH($E108,LOT_KEY,0))),"Creer la fiche du lot resultat dans l'onglet LOTS.",""))))</f>
        <v/>
      </c>
      <c r="W108" s="31" t="str">
        <f aca="false">IF($B108="","",IF($C108&lt;&gt;"",$C108,IFERROR(INDEX(ST_DATERET,MATCH($B108,ST_ID,0)),"")))</f>
        <v/>
      </c>
      <c r="X108" s="26" t="str">
        <f aca="false">IF($Q108=0,"",IF($L108=R_LOT,IF($N108&lt;&gt;R_LOT,$N108,""),IF($N108=R_LOT,$L108,"")))</f>
        <v/>
      </c>
      <c r="Y108" s="26" t="str">
        <f aca="false">IF($X108="","",IF(COUNTIF($X$4:$X107,$X108)&gt;0,"",COUNT($Y$4:$Y107)+1))</f>
        <v/>
      </c>
      <c r="Z108" s="26" t="n">
        <f aca="false">IF($Q108=0,0,IF(OR($L108=R_LOT,$N108=R_LOT),1,0))</f>
        <v>0</v>
      </c>
      <c r="AA108" s="26" t="str">
        <f aca="false">IF($Z108=0,"",COUNTIF($Z$5:$Z108,1))</f>
        <v/>
      </c>
    </row>
    <row r="109" customFormat="false" ht="15" hidden="false" customHeight="false" outlineLevel="0" collapsed="false">
      <c r="A109" s="26" t="str">
        <f aca="false">IF($B109="","","RES-"&amp;TEXT(ROW()-4,"000"))</f>
        <v/>
      </c>
      <c r="B109" s="24"/>
      <c r="C109" s="25"/>
      <c r="D109" s="24"/>
      <c r="E109" s="24"/>
      <c r="F109" s="29"/>
      <c r="G109" s="24"/>
      <c r="H109" s="24"/>
      <c r="I109" s="24"/>
      <c r="J109" s="24"/>
      <c r="K109" s="24"/>
      <c r="L109" s="26" t="str">
        <f aca="false">IF($B109="","",IFERROR(INDEX(ST_LOT,MATCH($B109,ST_ID,0)),""))</f>
        <v/>
      </c>
      <c r="M109" s="26" t="str">
        <f aca="false">IF($B109="","",IFERROR(INDEX(ST_STRAIT,MATCH($B109,ST_ID,0)),""))</f>
        <v/>
      </c>
      <c r="N109" s="26" t="str">
        <f aca="false">IF($B109="","",IF($E109="",$L109,$E109))</f>
        <v/>
      </c>
      <c r="O109" s="26" t="str">
        <f aca="false">IF($N109="","",IFERROR(INDEX(LOT_EXTE,MATCH($N109,LOT_KEY,0)),""))</f>
        <v/>
      </c>
      <c r="P109" s="26" t="str">
        <f aca="false">IF($J109="","",IFERROR(INDEX(EMPL_CLASSE,MATCH($J109,EMPL_KEY,0)),"?"))</f>
        <v/>
      </c>
      <c r="Q109" s="28" t="n">
        <f aca="false">IF($B109="",0,IF(OR(ISNA(MATCH($B109,ST_ID,0)),NOT(ISNUMBER($F109)),$F109&lt;=0,$J109="",$N109=""),0,1))</f>
        <v>0</v>
      </c>
      <c r="R109" s="27" t="n">
        <f aca="false">IF($Q109=0,0,$F109)</f>
        <v>0</v>
      </c>
      <c r="S109" s="26" t="str">
        <f aca="false">IF($B109="","",IFERROR(INDEX(ST_STATUT,MATCH($B109,ST_ID,0)),""))</f>
        <v/>
      </c>
      <c r="T109" s="26" t="str">
        <f aca="false">IF($B109="","",IF($Q109=0,"DONNEES MANQUANTES",IF(OR($S109="DONNEES MANQUANTES",$S109="STOCK INSUFFISANT",$S109="EMPLACEMENT INCOHERENT",$S109="BLOQUE"),"BLOQUE","OK")))</f>
        <v/>
      </c>
      <c r="U109" s="28" t="n">
        <f aca="false">IF($T109="OK",1,0)</f>
        <v>0</v>
      </c>
      <c r="V109" s="26" t="str">
        <f aca="false">IF($B109="","",IF($Q109=0,"A COMPLETER : "&amp;IF(ISNA(MATCH($B109,ST_ID,0)),"ID ST valide; ","")&amp;IF(OR(NOT(ISNUMBER($F109)),$F109&lt;=0),"QUANTITE &gt; 0; ","")&amp;IF($J109="","EMPL. DESTINATION; ",""),IF($T109="BLOQUE","Envoi parent en anomalie ("&amp;$S109&amp;") : corriger l'onglet SOUS_TRAITANCE.",IF(AND($E109&lt;&gt;"",ISNA(MATCH($E109,LOT_KEY,0))),"Creer la fiche du lot resultat dans l'onglet LOTS.",""))))</f>
        <v/>
      </c>
      <c r="W109" s="31" t="str">
        <f aca="false">IF($B109="","",IF($C109&lt;&gt;"",$C109,IFERROR(INDEX(ST_DATERET,MATCH($B109,ST_ID,0)),"")))</f>
        <v/>
      </c>
      <c r="X109" s="26" t="str">
        <f aca="false">IF($Q109=0,"",IF($L109=R_LOT,IF($N109&lt;&gt;R_LOT,$N109,""),IF($N109=R_LOT,$L109,"")))</f>
        <v/>
      </c>
      <c r="Y109" s="26" t="str">
        <f aca="false">IF($X109="","",IF(COUNTIF($X$4:$X108,$X109)&gt;0,"",COUNT($Y$4:$Y108)+1))</f>
        <v/>
      </c>
      <c r="Z109" s="26" t="n">
        <f aca="false">IF($Q109=0,0,IF(OR($L109=R_LOT,$N109=R_LOT),1,0))</f>
        <v>0</v>
      </c>
      <c r="AA109" s="26" t="str">
        <f aca="false">IF($Z109=0,"",COUNTIF($Z$5:$Z109,1))</f>
        <v/>
      </c>
    </row>
    <row r="110" customFormat="false" ht="15" hidden="false" customHeight="false" outlineLevel="0" collapsed="false">
      <c r="A110" s="26" t="str">
        <f aca="false">IF($B110="","","RES-"&amp;TEXT(ROW()-4,"000"))</f>
        <v/>
      </c>
      <c r="B110" s="24"/>
      <c r="C110" s="25"/>
      <c r="D110" s="24"/>
      <c r="E110" s="24"/>
      <c r="F110" s="29"/>
      <c r="G110" s="24"/>
      <c r="H110" s="24"/>
      <c r="I110" s="24"/>
      <c r="J110" s="24"/>
      <c r="K110" s="24"/>
      <c r="L110" s="26" t="str">
        <f aca="false">IF($B110="","",IFERROR(INDEX(ST_LOT,MATCH($B110,ST_ID,0)),""))</f>
        <v/>
      </c>
      <c r="M110" s="26" t="str">
        <f aca="false">IF($B110="","",IFERROR(INDEX(ST_STRAIT,MATCH($B110,ST_ID,0)),""))</f>
        <v/>
      </c>
      <c r="N110" s="26" t="str">
        <f aca="false">IF($B110="","",IF($E110="",$L110,$E110))</f>
        <v/>
      </c>
      <c r="O110" s="26" t="str">
        <f aca="false">IF($N110="","",IFERROR(INDEX(LOT_EXTE,MATCH($N110,LOT_KEY,0)),""))</f>
        <v/>
      </c>
      <c r="P110" s="26" t="str">
        <f aca="false">IF($J110="","",IFERROR(INDEX(EMPL_CLASSE,MATCH($J110,EMPL_KEY,0)),"?"))</f>
        <v/>
      </c>
      <c r="Q110" s="28" t="n">
        <f aca="false">IF($B110="",0,IF(OR(ISNA(MATCH($B110,ST_ID,0)),NOT(ISNUMBER($F110)),$F110&lt;=0,$J110="",$N110=""),0,1))</f>
        <v>0</v>
      </c>
      <c r="R110" s="27" t="n">
        <f aca="false">IF($Q110=0,0,$F110)</f>
        <v>0</v>
      </c>
      <c r="S110" s="26" t="str">
        <f aca="false">IF($B110="","",IFERROR(INDEX(ST_STATUT,MATCH($B110,ST_ID,0)),""))</f>
        <v/>
      </c>
      <c r="T110" s="26" t="str">
        <f aca="false">IF($B110="","",IF($Q110=0,"DONNEES MANQUANTES",IF(OR($S110="DONNEES MANQUANTES",$S110="STOCK INSUFFISANT",$S110="EMPLACEMENT INCOHERENT",$S110="BLOQUE"),"BLOQUE","OK")))</f>
        <v/>
      </c>
      <c r="U110" s="28" t="n">
        <f aca="false">IF($T110="OK",1,0)</f>
        <v>0</v>
      </c>
      <c r="V110" s="26" t="str">
        <f aca="false">IF($B110="","",IF($Q110=0,"A COMPLETER : "&amp;IF(ISNA(MATCH($B110,ST_ID,0)),"ID ST valide; ","")&amp;IF(OR(NOT(ISNUMBER($F110)),$F110&lt;=0),"QUANTITE &gt; 0; ","")&amp;IF($J110="","EMPL. DESTINATION; ",""),IF($T110="BLOQUE","Envoi parent en anomalie ("&amp;$S110&amp;") : corriger l'onglet SOUS_TRAITANCE.",IF(AND($E110&lt;&gt;"",ISNA(MATCH($E110,LOT_KEY,0))),"Creer la fiche du lot resultat dans l'onglet LOTS.",""))))</f>
        <v/>
      </c>
      <c r="W110" s="31" t="str">
        <f aca="false">IF($B110="","",IF($C110&lt;&gt;"",$C110,IFERROR(INDEX(ST_DATERET,MATCH($B110,ST_ID,0)),"")))</f>
        <v/>
      </c>
      <c r="X110" s="26" t="str">
        <f aca="false">IF($Q110=0,"",IF($L110=R_LOT,IF($N110&lt;&gt;R_LOT,$N110,""),IF($N110=R_LOT,$L110,"")))</f>
        <v/>
      </c>
      <c r="Y110" s="26" t="str">
        <f aca="false">IF($X110="","",IF(COUNTIF($X$4:$X109,$X110)&gt;0,"",COUNT($Y$4:$Y109)+1))</f>
        <v/>
      </c>
      <c r="Z110" s="26" t="n">
        <f aca="false">IF($Q110=0,0,IF(OR($L110=R_LOT,$N110=R_LOT),1,0))</f>
        <v>0</v>
      </c>
      <c r="AA110" s="26" t="str">
        <f aca="false">IF($Z110=0,"",COUNTIF($Z$5:$Z110,1))</f>
        <v/>
      </c>
    </row>
    <row r="111" customFormat="false" ht="15" hidden="false" customHeight="false" outlineLevel="0" collapsed="false">
      <c r="A111" s="26" t="str">
        <f aca="false">IF($B111="","","RES-"&amp;TEXT(ROW()-4,"000"))</f>
        <v/>
      </c>
      <c r="B111" s="24"/>
      <c r="C111" s="25"/>
      <c r="D111" s="24"/>
      <c r="E111" s="24"/>
      <c r="F111" s="29"/>
      <c r="G111" s="24"/>
      <c r="H111" s="24"/>
      <c r="I111" s="24"/>
      <c r="J111" s="24"/>
      <c r="K111" s="24"/>
      <c r="L111" s="26" t="str">
        <f aca="false">IF($B111="","",IFERROR(INDEX(ST_LOT,MATCH($B111,ST_ID,0)),""))</f>
        <v/>
      </c>
      <c r="M111" s="26" t="str">
        <f aca="false">IF($B111="","",IFERROR(INDEX(ST_STRAIT,MATCH($B111,ST_ID,0)),""))</f>
        <v/>
      </c>
      <c r="N111" s="26" t="str">
        <f aca="false">IF($B111="","",IF($E111="",$L111,$E111))</f>
        <v/>
      </c>
      <c r="O111" s="26" t="str">
        <f aca="false">IF($N111="","",IFERROR(INDEX(LOT_EXTE,MATCH($N111,LOT_KEY,0)),""))</f>
        <v/>
      </c>
      <c r="P111" s="26" t="str">
        <f aca="false">IF($J111="","",IFERROR(INDEX(EMPL_CLASSE,MATCH($J111,EMPL_KEY,0)),"?"))</f>
        <v/>
      </c>
      <c r="Q111" s="28" t="n">
        <f aca="false">IF($B111="",0,IF(OR(ISNA(MATCH($B111,ST_ID,0)),NOT(ISNUMBER($F111)),$F111&lt;=0,$J111="",$N111=""),0,1))</f>
        <v>0</v>
      </c>
      <c r="R111" s="27" t="n">
        <f aca="false">IF($Q111=0,0,$F111)</f>
        <v>0</v>
      </c>
      <c r="S111" s="26" t="str">
        <f aca="false">IF($B111="","",IFERROR(INDEX(ST_STATUT,MATCH($B111,ST_ID,0)),""))</f>
        <v/>
      </c>
      <c r="T111" s="26" t="str">
        <f aca="false">IF($B111="","",IF($Q111=0,"DONNEES MANQUANTES",IF(OR($S111="DONNEES MANQUANTES",$S111="STOCK INSUFFISANT",$S111="EMPLACEMENT INCOHERENT",$S111="BLOQUE"),"BLOQUE","OK")))</f>
        <v/>
      </c>
      <c r="U111" s="28" t="n">
        <f aca="false">IF($T111="OK",1,0)</f>
        <v>0</v>
      </c>
      <c r="V111" s="26" t="str">
        <f aca="false">IF($B111="","",IF($Q111=0,"A COMPLETER : "&amp;IF(ISNA(MATCH($B111,ST_ID,0)),"ID ST valide; ","")&amp;IF(OR(NOT(ISNUMBER($F111)),$F111&lt;=0),"QUANTITE &gt; 0; ","")&amp;IF($J111="","EMPL. DESTINATION; ",""),IF($T111="BLOQUE","Envoi parent en anomalie ("&amp;$S111&amp;") : corriger l'onglet SOUS_TRAITANCE.",IF(AND($E111&lt;&gt;"",ISNA(MATCH($E111,LOT_KEY,0))),"Creer la fiche du lot resultat dans l'onglet LOTS.",""))))</f>
        <v/>
      </c>
      <c r="W111" s="31" t="str">
        <f aca="false">IF($B111="","",IF($C111&lt;&gt;"",$C111,IFERROR(INDEX(ST_DATERET,MATCH($B111,ST_ID,0)),"")))</f>
        <v/>
      </c>
      <c r="X111" s="26" t="str">
        <f aca="false">IF($Q111=0,"",IF($L111=R_LOT,IF($N111&lt;&gt;R_LOT,$N111,""),IF($N111=R_LOT,$L111,"")))</f>
        <v/>
      </c>
      <c r="Y111" s="26" t="str">
        <f aca="false">IF($X111="","",IF(COUNTIF($X$4:$X110,$X111)&gt;0,"",COUNT($Y$4:$Y110)+1))</f>
        <v/>
      </c>
      <c r="Z111" s="26" t="n">
        <f aca="false">IF($Q111=0,0,IF(OR($L111=R_LOT,$N111=R_LOT),1,0))</f>
        <v>0</v>
      </c>
      <c r="AA111" s="26" t="str">
        <f aca="false">IF($Z111=0,"",COUNTIF($Z$5:$Z111,1))</f>
        <v/>
      </c>
    </row>
    <row r="112" customFormat="false" ht="15" hidden="false" customHeight="false" outlineLevel="0" collapsed="false">
      <c r="A112" s="26" t="str">
        <f aca="false">IF($B112="","","RES-"&amp;TEXT(ROW()-4,"000"))</f>
        <v/>
      </c>
      <c r="B112" s="24"/>
      <c r="C112" s="25"/>
      <c r="D112" s="24"/>
      <c r="E112" s="24"/>
      <c r="F112" s="29"/>
      <c r="G112" s="24"/>
      <c r="H112" s="24"/>
      <c r="I112" s="24"/>
      <c r="J112" s="24"/>
      <c r="K112" s="24"/>
      <c r="L112" s="26" t="str">
        <f aca="false">IF($B112="","",IFERROR(INDEX(ST_LOT,MATCH($B112,ST_ID,0)),""))</f>
        <v/>
      </c>
      <c r="M112" s="26" t="str">
        <f aca="false">IF($B112="","",IFERROR(INDEX(ST_STRAIT,MATCH($B112,ST_ID,0)),""))</f>
        <v/>
      </c>
      <c r="N112" s="26" t="str">
        <f aca="false">IF($B112="","",IF($E112="",$L112,$E112))</f>
        <v/>
      </c>
      <c r="O112" s="26" t="str">
        <f aca="false">IF($N112="","",IFERROR(INDEX(LOT_EXTE,MATCH($N112,LOT_KEY,0)),""))</f>
        <v/>
      </c>
      <c r="P112" s="26" t="str">
        <f aca="false">IF($J112="","",IFERROR(INDEX(EMPL_CLASSE,MATCH($J112,EMPL_KEY,0)),"?"))</f>
        <v/>
      </c>
      <c r="Q112" s="28" t="n">
        <f aca="false">IF($B112="",0,IF(OR(ISNA(MATCH($B112,ST_ID,0)),NOT(ISNUMBER($F112)),$F112&lt;=0,$J112="",$N112=""),0,1))</f>
        <v>0</v>
      </c>
      <c r="R112" s="27" t="n">
        <f aca="false">IF($Q112=0,0,$F112)</f>
        <v>0</v>
      </c>
      <c r="S112" s="26" t="str">
        <f aca="false">IF($B112="","",IFERROR(INDEX(ST_STATUT,MATCH($B112,ST_ID,0)),""))</f>
        <v/>
      </c>
      <c r="T112" s="26" t="str">
        <f aca="false">IF($B112="","",IF($Q112=0,"DONNEES MANQUANTES",IF(OR($S112="DONNEES MANQUANTES",$S112="STOCK INSUFFISANT",$S112="EMPLACEMENT INCOHERENT",$S112="BLOQUE"),"BLOQUE","OK")))</f>
        <v/>
      </c>
      <c r="U112" s="28" t="n">
        <f aca="false">IF($T112="OK",1,0)</f>
        <v>0</v>
      </c>
      <c r="V112" s="26" t="str">
        <f aca="false">IF($B112="","",IF($Q112=0,"A COMPLETER : "&amp;IF(ISNA(MATCH($B112,ST_ID,0)),"ID ST valide; ","")&amp;IF(OR(NOT(ISNUMBER($F112)),$F112&lt;=0),"QUANTITE &gt; 0; ","")&amp;IF($J112="","EMPL. DESTINATION; ",""),IF($T112="BLOQUE","Envoi parent en anomalie ("&amp;$S112&amp;") : corriger l'onglet SOUS_TRAITANCE.",IF(AND($E112&lt;&gt;"",ISNA(MATCH($E112,LOT_KEY,0))),"Creer la fiche du lot resultat dans l'onglet LOTS.",""))))</f>
        <v/>
      </c>
      <c r="W112" s="31" t="str">
        <f aca="false">IF($B112="","",IF($C112&lt;&gt;"",$C112,IFERROR(INDEX(ST_DATERET,MATCH($B112,ST_ID,0)),"")))</f>
        <v/>
      </c>
      <c r="X112" s="26" t="str">
        <f aca="false">IF($Q112=0,"",IF($L112=R_LOT,IF($N112&lt;&gt;R_LOT,$N112,""),IF($N112=R_LOT,$L112,"")))</f>
        <v/>
      </c>
      <c r="Y112" s="26" t="str">
        <f aca="false">IF($X112="","",IF(COUNTIF($X$4:$X111,$X112)&gt;0,"",COUNT($Y$4:$Y111)+1))</f>
        <v/>
      </c>
      <c r="Z112" s="26" t="n">
        <f aca="false">IF($Q112=0,0,IF(OR($L112=R_LOT,$N112=R_LOT),1,0))</f>
        <v>0</v>
      </c>
      <c r="AA112" s="26" t="str">
        <f aca="false">IF($Z112=0,"",COUNTIF($Z$5:$Z112,1))</f>
        <v/>
      </c>
    </row>
    <row r="113" customFormat="false" ht="15" hidden="false" customHeight="false" outlineLevel="0" collapsed="false">
      <c r="A113" s="26" t="str">
        <f aca="false">IF($B113="","","RES-"&amp;TEXT(ROW()-4,"000"))</f>
        <v/>
      </c>
      <c r="B113" s="24"/>
      <c r="C113" s="25"/>
      <c r="D113" s="24"/>
      <c r="E113" s="24"/>
      <c r="F113" s="29"/>
      <c r="G113" s="24"/>
      <c r="H113" s="24"/>
      <c r="I113" s="24"/>
      <c r="J113" s="24"/>
      <c r="K113" s="24"/>
      <c r="L113" s="26" t="str">
        <f aca="false">IF($B113="","",IFERROR(INDEX(ST_LOT,MATCH($B113,ST_ID,0)),""))</f>
        <v/>
      </c>
      <c r="M113" s="26" t="str">
        <f aca="false">IF($B113="","",IFERROR(INDEX(ST_STRAIT,MATCH($B113,ST_ID,0)),""))</f>
        <v/>
      </c>
      <c r="N113" s="26" t="str">
        <f aca="false">IF($B113="","",IF($E113="",$L113,$E113))</f>
        <v/>
      </c>
      <c r="O113" s="26" t="str">
        <f aca="false">IF($N113="","",IFERROR(INDEX(LOT_EXTE,MATCH($N113,LOT_KEY,0)),""))</f>
        <v/>
      </c>
      <c r="P113" s="26" t="str">
        <f aca="false">IF($J113="","",IFERROR(INDEX(EMPL_CLASSE,MATCH($J113,EMPL_KEY,0)),"?"))</f>
        <v/>
      </c>
      <c r="Q113" s="28" t="n">
        <f aca="false">IF($B113="",0,IF(OR(ISNA(MATCH($B113,ST_ID,0)),NOT(ISNUMBER($F113)),$F113&lt;=0,$J113="",$N113=""),0,1))</f>
        <v>0</v>
      </c>
      <c r="R113" s="27" t="n">
        <f aca="false">IF($Q113=0,0,$F113)</f>
        <v>0</v>
      </c>
      <c r="S113" s="26" t="str">
        <f aca="false">IF($B113="","",IFERROR(INDEX(ST_STATUT,MATCH($B113,ST_ID,0)),""))</f>
        <v/>
      </c>
      <c r="T113" s="26" t="str">
        <f aca="false">IF($B113="","",IF($Q113=0,"DONNEES MANQUANTES",IF(OR($S113="DONNEES MANQUANTES",$S113="STOCK INSUFFISANT",$S113="EMPLACEMENT INCOHERENT",$S113="BLOQUE"),"BLOQUE","OK")))</f>
        <v/>
      </c>
      <c r="U113" s="28" t="n">
        <f aca="false">IF($T113="OK",1,0)</f>
        <v>0</v>
      </c>
      <c r="V113" s="26" t="str">
        <f aca="false">IF($B113="","",IF($Q113=0,"A COMPLETER : "&amp;IF(ISNA(MATCH($B113,ST_ID,0)),"ID ST valide; ","")&amp;IF(OR(NOT(ISNUMBER($F113)),$F113&lt;=0),"QUANTITE &gt; 0; ","")&amp;IF($J113="","EMPL. DESTINATION; ",""),IF($T113="BLOQUE","Envoi parent en anomalie ("&amp;$S113&amp;") : corriger l'onglet SOUS_TRAITANCE.",IF(AND($E113&lt;&gt;"",ISNA(MATCH($E113,LOT_KEY,0))),"Creer la fiche du lot resultat dans l'onglet LOTS.",""))))</f>
        <v/>
      </c>
      <c r="W113" s="31" t="str">
        <f aca="false">IF($B113="","",IF($C113&lt;&gt;"",$C113,IFERROR(INDEX(ST_DATERET,MATCH($B113,ST_ID,0)),"")))</f>
        <v/>
      </c>
      <c r="X113" s="26" t="str">
        <f aca="false">IF($Q113=0,"",IF($L113=R_LOT,IF($N113&lt;&gt;R_LOT,$N113,""),IF($N113=R_LOT,$L113,"")))</f>
        <v/>
      </c>
      <c r="Y113" s="26" t="str">
        <f aca="false">IF($X113="","",IF(COUNTIF($X$4:$X112,$X113)&gt;0,"",COUNT($Y$4:$Y112)+1))</f>
        <v/>
      </c>
      <c r="Z113" s="26" t="n">
        <f aca="false">IF($Q113=0,0,IF(OR($L113=R_LOT,$N113=R_LOT),1,0))</f>
        <v>0</v>
      </c>
      <c r="AA113" s="26" t="str">
        <f aca="false">IF($Z113=0,"",COUNTIF($Z$5:$Z113,1))</f>
        <v/>
      </c>
    </row>
    <row r="114" customFormat="false" ht="15" hidden="false" customHeight="false" outlineLevel="0" collapsed="false">
      <c r="A114" s="26" t="str">
        <f aca="false">IF($B114="","","RES-"&amp;TEXT(ROW()-4,"000"))</f>
        <v/>
      </c>
      <c r="B114" s="24"/>
      <c r="C114" s="25"/>
      <c r="D114" s="24"/>
      <c r="E114" s="24"/>
      <c r="F114" s="29"/>
      <c r="G114" s="24"/>
      <c r="H114" s="24"/>
      <c r="I114" s="24"/>
      <c r="J114" s="24"/>
      <c r="K114" s="24"/>
      <c r="L114" s="26" t="str">
        <f aca="false">IF($B114="","",IFERROR(INDEX(ST_LOT,MATCH($B114,ST_ID,0)),""))</f>
        <v/>
      </c>
      <c r="M114" s="26" t="str">
        <f aca="false">IF($B114="","",IFERROR(INDEX(ST_STRAIT,MATCH($B114,ST_ID,0)),""))</f>
        <v/>
      </c>
      <c r="N114" s="26" t="str">
        <f aca="false">IF($B114="","",IF($E114="",$L114,$E114))</f>
        <v/>
      </c>
      <c r="O114" s="26" t="str">
        <f aca="false">IF($N114="","",IFERROR(INDEX(LOT_EXTE,MATCH($N114,LOT_KEY,0)),""))</f>
        <v/>
      </c>
      <c r="P114" s="26" t="str">
        <f aca="false">IF($J114="","",IFERROR(INDEX(EMPL_CLASSE,MATCH($J114,EMPL_KEY,0)),"?"))</f>
        <v/>
      </c>
      <c r="Q114" s="28" t="n">
        <f aca="false">IF($B114="",0,IF(OR(ISNA(MATCH($B114,ST_ID,0)),NOT(ISNUMBER($F114)),$F114&lt;=0,$J114="",$N114=""),0,1))</f>
        <v>0</v>
      </c>
      <c r="R114" s="27" t="n">
        <f aca="false">IF($Q114=0,0,$F114)</f>
        <v>0</v>
      </c>
      <c r="S114" s="26" t="str">
        <f aca="false">IF($B114="","",IFERROR(INDEX(ST_STATUT,MATCH($B114,ST_ID,0)),""))</f>
        <v/>
      </c>
      <c r="T114" s="26" t="str">
        <f aca="false">IF($B114="","",IF($Q114=0,"DONNEES MANQUANTES",IF(OR($S114="DONNEES MANQUANTES",$S114="STOCK INSUFFISANT",$S114="EMPLACEMENT INCOHERENT",$S114="BLOQUE"),"BLOQUE","OK")))</f>
        <v/>
      </c>
      <c r="U114" s="28" t="n">
        <f aca="false">IF($T114="OK",1,0)</f>
        <v>0</v>
      </c>
      <c r="V114" s="26" t="str">
        <f aca="false">IF($B114="","",IF($Q114=0,"A COMPLETER : "&amp;IF(ISNA(MATCH($B114,ST_ID,0)),"ID ST valide; ","")&amp;IF(OR(NOT(ISNUMBER($F114)),$F114&lt;=0),"QUANTITE &gt; 0; ","")&amp;IF($J114="","EMPL. DESTINATION; ",""),IF($T114="BLOQUE","Envoi parent en anomalie ("&amp;$S114&amp;") : corriger l'onglet SOUS_TRAITANCE.",IF(AND($E114&lt;&gt;"",ISNA(MATCH($E114,LOT_KEY,0))),"Creer la fiche du lot resultat dans l'onglet LOTS.",""))))</f>
        <v/>
      </c>
      <c r="W114" s="31" t="str">
        <f aca="false">IF($B114="","",IF($C114&lt;&gt;"",$C114,IFERROR(INDEX(ST_DATERET,MATCH($B114,ST_ID,0)),"")))</f>
        <v/>
      </c>
      <c r="X114" s="26" t="str">
        <f aca="false">IF($Q114=0,"",IF($L114=R_LOT,IF($N114&lt;&gt;R_LOT,$N114,""),IF($N114=R_LOT,$L114,"")))</f>
        <v/>
      </c>
      <c r="Y114" s="26" t="str">
        <f aca="false">IF($X114="","",IF(COUNTIF($X$4:$X113,$X114)&gt;0,"",COUNT($Y$4:$Y113)+1))</f>
        <v/>
      </c>
      <c r="Z114" s="26" t="n">
        <f aca="false">IF($Q114=0,0,IF(OR($L114=R_LOT,$N114=R_LOT),1,0))</f>
        <v>0</v>
      </c>
      <c r="AA114" s="26" t="str">
        <f aca="false">IF($Z114=0,"",COUNTIF($Z$5:$Z114,1))</f>
        <v/>
      </c>
    </row>
    <row r="115" customFormat="false" ht="15" hidden="false" customHeight="false" outlineLevel="0" collapsed="false">
      <c r="A115" s="26" t="str">
        <f aca="false">IF($B115="","","RES-"&amp;TEXT(ROW()-4,"000"))</f>
        <v/>
      </c>
      <c r="B115" s="24"/>
      <c r="C115" s="25"/>
      <c r="D115" s="24"/>
      <c r="E115" s="24"/>
      <c r="F115" s="29"/>
      <c r="G115" s="24"/>
      <c r="H115" s="24"/>
      <c r="I115" s="24"/>
      <c r="J115" s="24"/>
      <c r="K115" s="24"/>
      <c r="L115" s="26" t="str">
        <f aca="false">IF($B115="","",IFERROR(INDEX(ST_LOT,MATCH($B115,ST_ID,0)),""))</f>
        <v/>
      </c>
      <c r="M115" s="26" t="str">
        <f aca="false">IF($B115="","",IFERROR(INDEX(ST_STRAIT,MATCH($B115,ST_ID,0)),""))</f>
        <v/>
      </c>
      <c r="N115" s="26" t="str">
        <f aca="false">IF($B115="","",IF($E115="",$L115,$E115))</f>
        <v/>
      </c>
      <c r="O115" s="26" t="str">
        <f aca="false">IF($N115="","",IFERROR(INDEX(LOT_EXTE,MATCH($N115,LOT_KEY,0)),""))</f>
        <v/>
      </c>
      <c r="P115" s="26" t="str">
        <f aca="false">IF($J115="","",IFERROR(INDEX(EMPL_CLASSE,MATCH($J115,EMPL_KEY,0)),"?"))</f>
        <v/>
      </c>
      <c r="Q115" s="28" t="n">
        <f aca="false">IF($B115="",0,IF(OR(ISNA(MATCH($B115,ST_ID,0)),NOT(ISNUMBER($F115)),$F115&lt;=0,$J115="",$N115=""),0,1))</f>
        <v>0</v>
      </c>
      <c r="R115" s="27" t="n">
        <f aca="false">IF($Q115=0,0,$F115)</f>
        <v>0</v>
      </c>
      <c r="S115" s="26" t="str">
        <f aca="false">IF($B115="","",IFERROR(INDEX(ST_STATUT,MATCH($B115,ST_ID,0)),""))</f>
        <v/>
      </c>
      <c r="T115" s="26" t="str">
        <f aca="false">IF($B115="","",IF($Q115=0,"DONNEES MANQUANTES",IF(OR($S115="DONNEES MANQUANTES",$S115="STOCK INSUFFISANT",$S115="EMPLACEMENT INCOHERENT",$S115="BLOQUE"),"BLOQUE","OK")))</f>
        <v/>
      </c>
      <c r="U115" s="28" t="n">
        <f aca="false">IF($T115="OK",1,0)</f>
        <v>0</v>
      </c>
      <c r="V115" s="26" t="str">
        <f aca="false">IF($B115="","",IF($Q115=0,"A COMPLETER : "&amp;IF(ISNA(MATCH($B115,ST_ID,0)),"ID ST valide; ","")&amp;IF(OR(NOT(ISNUMBER($F115)),$F115&lt;=0),"QUANTITE &gt; 0; ","")&amp;IF($J115="","EMPL. DESTINATION; ",""),IF($T115="BLOQUE","Envoi parent en anomalie ("&amp;$S115&amp;") : corriger l'onglet SOUS_TRAITANCE.",IF(AND($E115&lt;&gt;"",ISNA(MATCH($E115,LOT_KEY,0))),"Creer la fiche du lot resultat dans l'onglet LOTS.",""))))</f>
        <v/>
      </c>
      <c r="W115" s="31" t="str">
        <f aca="false">IF($B115="","",IF($C115&lt;&gt;"",$C115,IFERROR(INDEX(ST_DATERET,MATCH($B115,ST_ID,0)),"")))</f>
        <v/>
      </c>
      <c r="X115" s="26" t="str">
        <f aca="false">IF($Q115=0,"",IF($L115=R_LOT,IF($N115&lt;&gt;R_LOT,$N115,""),IF($N115=R_LOT,$L115,"")))</f>
        <v/>
      </c>
      <c r="Y115" s="26" t="str">
        <f aca="false">IF($X115="","",IF(COUNTIF($X$4:$X114,$X115)&gt;0,"",COUNT($Y$4:$Y114)+1))</f>
        <v/>
      </c>
      <c r="Z115" s="26" t="n">
        <f aca="false">IF($Q115=0,0,IF(OR($L115=R_LOT,$N115=R_LOT),1,0))</f>
        <v>0</v>
      </c>
      <c r="AA115" s="26" t="str">
        <f aca="false">IF($Z115=0,"",COUNTIF($Z$5:$Z115,1))</f>
        <v/>
      </c>
    </row>
    <row r="116" customFormat="false" ht="15" hidden="false" customHeight="false" outlineLevel="0" collapsed="false">
      <c r="A116" s="26" t="str">
        <f aca="false">IF($B116="","","RES-"&amp;TEXT(ROW()-4,"000"))</f>
        <v/>
      </c>
      <c r="B116" s="24"/>
      <c r="C116" s="25"/>
      <c r="D116" s="24"/>
      <c r="E116" s="24"/>
      <c r="F116" s="29"/>
      <c r="G116" s="24"/>
      <c r="H116" s="24"/>
      <c r="I116" s="24"/>
      <c r="J116" s="24"/>
      <c r="K116" s="24"/>
      <c r="L116" s="26" t="str">
        <f aca="false">IF($B116="","",IFERROR(INDEX(ST_LOT,MATCH($B116,ST_ID,0)),""))</f>
        <v/>
      </c>
      <c r="M116" s="26" t="str">
        <f aca="false">IF($B116="","",IFERROR(INDEX(ST_STRAIT,MATCH($B116,ST_ID,0)),""))</f>
        <v/>
      </c>
      <c r="N116" s="26" t="str">
        <f aca="false">IF($B116="","",IF($E116="",$L116,$E116))</f>
        <v/>
      </c>
      <c r="O116" s="26" t="str">
        <f aca="false">IF($N116="","",IFERROR(INDEX(LOT_EXTE,MATCH($N116,LOT_KEY,0)),""))</f>
        <v/>
      </c>
      <c r="P116" s="26" t="str">
        <f aca="false">IF($J116="","",IFERROR(INDEX(EMPL_CLASSE,MATCH($J116,EMPL_KEY,0)),"?"))</f>
        <v/>
      </c>
      <c r="Q116" s="28" t="n">
        <f aca="false">IF($B116="",0,IF(OR(ISNA(MATCH($B116,ST_ID,0)),NOT(ISNUMBER($F116)),$F116&lt;=0,$J116="",$N116=""),0,1))</f>
        <v>0</v>
      </c>
      <c r="R116" s="27" t="n">
        <f aca="false">IF($Q116=0,0,$F116)</f>
        <v>0</v>
      </c>
      <c r="S116" s="26" t="str">
        <f aca="false">IF($B116="","",IFERROR(INDEX(ST_STATUT,MATCH($B116,ST_ID,0)),""))</f>
        <v/>
      </c>
      <c r="T116" s="26" t="str">
        <f aca="false">IF($B116="","",IF($Q116=0,"DONNEES MANQUANTES",IF(OR($S116="DONNEES MANQUANTES",$S116="STOCK INSUFFISANT",$S116="EMPLACEMENT INCOHERENT",$S116="BLOQUE"),"BLOQUE","OK")))</f>
        <v/>
      </c>
      <c r="U116" s="28" t="n">
        <f aca="false">IF($T116="OK",1,0)</f>
        <v>0</v>
      </c>
      <c r="V116" s="26" t="str">
        <f aca="false">IF($B116="","",IF($Q116=0,"A COMPLETER : "&amp;IF(ISNA(MATCH($B116,ST_ID,0)),"ID ST valide; ","")&amp;IF(OR(NOT(ISNUMBER($F116)),$F116&lt;=0),"QUANTITE &gt; 0; ","")&amp;IF($J116="","EMPL. DESTINATION; ",""),IF($T116="BLOQUE","Envoi parent en anomalie ("&amp;$S116&amp;") : corriger l'onglet SOUS_TRAITANCE.",IF(AND($E116&lt;&gt;"",ISNA(MATCH($E116,LOT_KEY,0))),"Creer la fiche du lot resultat dans l'onglet LOTS.",""))))</f>
        <v/>
      </c>
      <c r="W116" s="31" t="str">
        <f aca="false">IF($B116="","",IF($C116&lt;&gt;"",$C116,IFERROR(INDEX(ST_DATERET,MATCH($B116,ST_ID,0)),"")))</f>
        <v/>
      </c>
      <c r="X116" s="26" t="str">
        <f aca="false">IF($Q116=0,"",IF($L116=R_LOT,IF($N116&lt;&gt;R_LOT,$N116,""),IF($N116=R_LOT,$L116,"")))</f>
        <v/>
      </c>
      <c r="Y116" s="26" t="str">
        <f aca="false">IF($X116="","",IF(COUNTIF($X$4:$X115,$X116)&gt;0,"",COUNT($Y$4:$Y115)+1))</f>
        <v/>
      </c>
      <c r="Z116" s="26" t="n">
        <f aca="false">IF($Q116=0,0,IF(OR($L116=R_LOT,$N116=R_LOT),1,0))</f>
        <v>0</v>
      </c>
      <c r="AA116" s="26" t="str">
        <f aca="false">IF($Z116=0,"",COUNTIF($Z$5:$Z116,1))</f>
        <v/>
      </c>
    </row>
    <row r="117" customFormat="false" ht="15" hidden="false" customHeight="false" outlineLevel="0" collapsed="false">
      <c r="A117" s="26" t="str">
        <f aca="false">IF($B117="","","RES-"&amp;TEXT(ROW()-4,"000"))</f>
        <v/>
      </c>
      <c r="B117" s="24"/>
      <c r="C117" s="25"/>
      <c r="D117" s="24"/>
      <c r="E117" s="24"/>
      <c r="F117" s="29"/>
      <c r="G117" s="24"/>
      <c r="H117" s="24"/>
      <c r="I117" s="24"/>
      <c r="J117" s="24"/>
      <c r="K117" s="24"/>
      <c r="L117" s="26" t="str">
        <f aca="false">IF($B117="","",IFERROR(INDEX(ST_LOT,MATCH($B117,ST_ID,0)),""))</f>
        <v/>
      </c>
      <c r="M117" s="26" t="str">
        <f aca="false">IF($B117="","",IFERROR(INDEX(ST_STRAIT,MATCH($B117,ST_ID,0)),""))</f>
        <v/>
      </c>
      <c r="N117" s="26" t="str">
        <f aca="false">IF($B117="","",IF($E117="",$L117,$E117))</f>
        <v/>
      </c>
      <c r="O117" s="26" t="str">
        <f aca="false">IF($N117="","",IFERROR(INDEX(LOT_EXTE,MATCH($N117,LOT_KEY,0)),""))</f>
        <v/>
      </c>
      <c r="P117" s="26" t="str">
        <f aca="false">IF($J117="","",IFERROR(INDEX(EMPL_CLASSE,MATCH($J117,EMPL_KEY,0)),"?"))</f>
        <v/>
      </c>
      <c r="Q117" s="28" t="n">
        <f aca="false">IF($B117="",0,IF(OR(ISNA(MATCH($B117,ST_ID,0)),NOT(ISNUMBER($F117)),$F117&lt;=0,$J117="",$N117=""),0,1))</f>
        <v>0</v>
      </c>
      <c r="R117" s="27" t="n">
        <f aca="false">IF($Q117=0,0,$F117)</f>
        <v>0</v>
      </c>
      <c r="S117" s="26" t="str">
        <f aca="false">IF($B117="","",IFERROR(INDEX(ST_STATUT,MATCH($B117,ST_ID,0)),""))</f>
        <v/>
      </c>
      <c r="T117" s="26" t="str">
        <f aca="false">IF($B117="","",IF($Q117=0,"DONNEES MANQUANTES",IF(OR($S117="DONNEES MANQUANTES",$S117="STOCK INSUFFISANT",$S117="EMPLACEMENT INCOHERENT",$S117="BLOQUE"),"BLOQUE","OK")))</f>
        <v/>
      </c>
      <c r="U117" s="28" t="n">
        <f aca="false">IF($T117="OK",1,0)</f>
        <v>0</v>
      </c>
      <c r="V117" s="26" t="str">
        <f aca="false">IF($B117="","",IF($Q117=0,"A COMPLETER : "&amp;IF(ISNA(MATCH($B117,ST_ID,0)),"ID ST valide; ","")&amp;IF(OR(NOT(ISNUMBER($F117)),$F117&lt;=0),"QUANTITE &gt; 0; ","")&amp;IF($J117="","EMPL. DESTINATION; ",""),IF($T117="BLOQUE","Envoi parent en anomalie ("&amp;$S117&amp;") : corriger l'onglet SOUS_TRAITANCE.",IF(AND($E117&lt;&gt;"",ISNA(MATCH($E117,LOT_KEY,0))),"Creer la fiche du lot resultat dans l'onglet LOTS.",""))))</f>
        <v/>
      </c>
      <c r="W117" s="31" t="str">
        <f aca="false">IF($B117="","",IF($C117&lt;&gt;"",$C117,IFERROR(INDEX(ST_DATERET,MATCH($B117,ST_ID,0)),"")))</f>
        <v/>
      </c>
      <c r="X117" s="26" t="str">
        <f aca="false">IF($Q117=0,"",IF($L117=R_LOT,IF($N117&lt;&gt;R_LOT,$N117,""),IF($N117=R_LOT,$L117,"")))</f>
        <v/>
      </c>
      <c r="Y117" s="26" t="str">
        <f aca="false">IF($X117="","",IF(COUNTIF($X$4:$X116,$X117)&gt;0,"",COUNT($Y$4:$Y116)+1))</f>
        <v/>
      </c>
      <c r="Z117" s="26" t="n">
        <f aca="false">IF($Q117=0,0,IF(OR($L117=R_LOT,$N117=R_LOT),1,0))</f>
        <v>0</v>
      </c>
      <c r="AA117" s="26" t="str">
        <f aca="false">IF($Z117=0,"",COUNTIF($Z$5:$Z117,1))</f>
        <v/>
      </c>
    </row>
    <row r="118" customFormat="false" ht="15" hidden="false" customHeight="false" outlineLevel="0" collapsed="false">
      <c r="A118" s="26" t="str">
        <f aca="false">IF($B118="","","RES-"&amp;TEXT(ROW()-4,"000"))</f>
        <v/>
      </c>
      <c r="B118" s="24"/>
      <c r="C118" s="25"/>
      <c r="D118" s="24"/>
      <c r="E118" s="24"/>
      <c r="F118" s="29"/>
      <c r="G118" s="24"/>
      <c r="H118" s="24"/>
      <c r="I118" s="24"/>
      <c r="J118" s="24"/>
      <c r="K118" s="24"/>
      <c r="L118" s="26" t="str">
        <f aca="false">IF($B118="","",IFERROR(INDEX(ST_LOT,MATCH($B118,ST_ID,0)),""))</f>
        <v/>
      </c>
      <c r="M118" s="26" t="str">
        <f aca="false">IF($B118="","",IFERROR(INDEX(ST_STRAIT,MATCH($B118,ST_ID,0)),""))</f>
        <v/>
      </c>
      <c r="N118" s="26" t="str">
        <f aca="false">IF($B118="","",IF($E118="",$L118,$E118))</f>
        <v/>
      </c>
      <c r="O118" s="26" t="str">
        <f aca="false">IF($N118="","",IFERROR(INDEX(LOT_EXTE,MATCH($N118,LOT_KEY,0)),""))</f>
        <v/>
      </c>
      <c r="P118" s="26" t="str">
        <f aca="false">IF($J118="","",IFERROR(INDEX(EMPL_CLASSE,MATCH($J118,EMPL_KEY,0)),"?"))</f>
        <v/>
      </c>
      <c r="Q118" s="28" t="n">
        <f aca="false">IF($B118="",0,IF(OR(ISNA(MATCH($B118,ST_ID,0)),NOT(ISNUMBER($F118)),$F118&lt;=0,$J118="",$N118=""),0,1))</f>
        <v>0</v>
      </c>
      <c r="R118" s="27" t="n">
        <f aca="false">IF($Q118=0,0,$F118)</f>
        <v>0</v>
      </c>
      <c r="S118" s="26" t="str">
        <f aca="false">IF($B118="","",IFERROR(INDEX(ST_STATUT,MATCH($B118,ST_ID,0)),""))</f>
        <v/>
      </c>
      <c r="T118" s="26" t="str">
        <f aca="false">IF($B118="","",IF($Q118=0,"DONNEES MANQUANTES",IF(OR($S118="DONNEES MANQUANTES",$S118="STOCK INSUFFISANT",$S118="EMPLACEMENT INCOHERENT",$S118="BLOQUE"),"BLOQUE","OK")))</f>
        <v/>
      </c>
      <c r="U118" s="28" t="n">
        <f aca="false">IF($T118="OK",1,0)</f>
        <v>0</v>
      </c>
      <c r="V118" s="26" t="str">
        <f aca="false">IF($B118="","",IF($Q118=0,"A COMPLETER : "&amp;IF(ISNA(MATCH($B118,ST_ID,0)),"ID ST valide; ","")&amp;IF(OR(NOT(ISNUMBER($F118)),$F118&lt;=0),"QUANTITE &gt; 0; ","")&amp;IF($J118="","EMPL. DESTINATION; ",""),IF($T118="BLOQUE","Envoi parent en anomalie ("&amp;$S118&amp;") : corriger l'onglet SOUS_TRAITANCE.",IF(AND($E118&lt;&gt;"",ISNA(MATCH($E118,LOT_KEY,0))),"Creer la fiche du lot resultat dans l'onglet LOTS.",""))))</f>
        <v/>
      </c>
      <c r="W118" s="31" t="str">
        <f aca="false">IF($B118="","",IF($C118&lt;&gt;"",$C118,IFERROR(INDEX(ST_DATERET,MATCH($B118,ST_ID,0)),"")))</f>
        <v/>
      </c>
      <c r="X118" s="26" t="str">
        <f aca="false">IF($Q118=0,"",IF($L118=R_LOT,IF($N118&lt;&gt;R_LOT,$N118,""),IF($N118=R_LOT,$L118,"")))</f>
        <v/>
      </c>
      <c r="Y118" s="26" t="str">
        <f aca="false">IF($X118="","",IF(COUNTIF($X$4:$X117,$X118)&gt;0,"",COUNT($Y$4:$Y117)+1))</f>
        <v/>
      </c>
      <c r="Z118" s="26" t="n">
        <f aca="false">IF($Q118=0,0,IF(OR($L118=R_LOT,$N118=R_LOT),1,0))</f>
        <v>0</v>
      </c>
      <c r="AA118" s="26" t="str">
        <f aca="false">IF($Z118=0,"",COUNTIF($Z$5:$Z118,1))</f>
        <v/>
      </c>
    </row>
    <row r="119" customFormat="false" ht="15" hidden="false" customHeight="false" outlineLevel="0" collapsed="false">
      <c r="A119" s="26" t="str">
        <f aca="false">IF($B119="","","RES-"&amp;TEXT(ROW()-4,"000"))</f>
        <v/>
      </c>
      <c r="B119" s="24"/>
      <c r="C119" s="25"/>
      <c r="D119" s="24"/>
      <c r="E119" s="24"/>
      <c r="F119" s="29"/>
      <c r="G119" s="24"/>
      <c r="H119" s="24"/>
      <c r="I119" s="24"/>
      <c r="J119" s="24"/>
      <c r="K119" s="24"/>
      <c r="L119" s="26" t="str">
        <f aca="false">IF($B119="","",IFERROR(INDEX(ST_LOT,MATCH($B119,ST_ID,0)),""))</f>
        <v/>
      </c>
      <c r="M119" s="26" t="str">
        <f aca="false">IF($B119="","",IFERROR(INDEX(ST_STRAIT,MATCH($B119,ST_ID,0)),""))</f>
        <v/>
      </c>
      <c r="N119" s="26" t="str">
        <f aca="false">IF($B119="","",IF($E119="",$L119,$E119))</f>
        <v/>
      </c>
      <c r="O119" s="26" t="str">
        <f aca="false">IF($N119="","",IFERROR(INDEX(LOT_EXTE,MATCH($N119,LOT_KEY,0)),""))</f>
        <v/>
      </c>
      <c r="P119" s="26" t="str">
        <f aca="false">IF($J119="","",IFERROR(INDEX(EMPL_CLASSE,MATCH($J119,EMPL_KEY,0)),"?"))</f>
        <v/>
      </c>
      <c r="Q119" s="28" t="n">
        <f aca="false">IF($B119="",0,IF(OR(ISNA(MATCH($B119,ST_ID,0)),NOT(ISNUMBER($F119)),$F119&lt;=0,$J119="",$N119=""),0,1))</f>
        <v>0</v>
      </c>
      <c r="R119" s="27" t="n">
        <f aca="false">IF($Q119=0,0,$F119)</f>
        <v>0</v>
      </c>
      <c r="S119" s="26" t="str">
        <f aca="false">IF($B119="","",IFERROR(INDEX(ST_STATUT,MATCH($B119,ST_ID,0)),""))</f>
        <v/>
      </c>
      <c r="T119" s="26" t="str">
        <f aca="false">IF($B119="","",IF($Q119=0,"DONNEES MANQUANTES",IF(OR($S119="DONNEES MANQUANTES",$S119="STOCK INSUFFISANT",$S119="EMPLACEMENT INCOHERENT",$S119="BLOQUE"),"BLOQUE","OK")))</f>
        <v/>
      </c>
      <c r="U119" s="28" t="n">
        <f aca="false">IF($T119="OK",1,0)</f>
        <v>0</v>
      </c>
      <c r="V119" s="26" t="str">
        <f aca="false">IF($B119="","",IF($Q119=0,"A COMPLETER : "&amp;IF(ISNA(MATCH($B119,ST_ID,0)),"ID ST valide; ","")&amp;IF(OR(NOT(ISNUMBER($F119)),$F119&lt;=0),"QUANTITE &gt; 0; ","")&amp;IF($J119="","EMPL. DESTINATION; ",""),IF($T119="BLOQUE","Envoi parent en anomalie ("&amp;$S119&amp;") : corriger l'onglet SOUS_TRAITANCE.",IF(AND($E119&lt;&gt;"",ISNA(MATCH($E119,LOT_KEY,0))),"Creer la fiche du lot resultat dans l'onglet LOTS.",""))))</f>
        <v/>
      </c>
      <c r="W119" s="31" t="str">
        <f aca="false">IF($B119="","",IF($C119&lt;&gt;"",$C119,IFERROR(INDEX(ST_DATERET,MATCH($B119,ST_ID,0)),"")))</f>
        <v/>
      </c>
      <c r="X119" s="26" t="str">
        <f aca="false">IF($Q119=0,"",IF($L119=R_LOT,IF($N119&lt;&gt;R_LOT,$N119,""),IF($N119=R_LOT,$L119,"")))</f>
        <v/>
      </c>
      <c r="Y119" s="26" t="str">
        <f aca="false">IF($X119="","",IF(COUNTIF($X$4:$X118,$X119)&gt;0,"",COUNT($Y$4:$Y118)+1))</f>
        <v/>
      </c>
      <c r="Z119" s="26" t="n">
        <f aca="false">IF($Q119=0,0,IF(OR($L119=R_LOT,$N119=R_LOT),1,0))</f>
        <v>0</v>
      </c>
      <c r="AA119" s="26" t="str">
        <f aca="false">IF($Z119=0,"",COUNTIF($Z$5:$Z119,1))</f>
        <v/>
      </c>
    </row>
    <row r="120" customFormat="false" ht="15" hidden="false" customHeight="false" outlineLevel="0" collapsed="false">
      <c r="A120" s="26" t="str">
        <f aca="false">IF($B120="","","RES-"&amp;TEXT(ROW()-4,"000"))</f>
        <v/>
      </c>
      <c r="B120" s="24"/>
      <c r="C120" s="25"/>
      <c r="D120" s="24"/>
      <c r="E120" s="24"/>
      <c r="F120" s="29"/>
      <c r="G120" s="24"/>
      <c r="H120" s="24"/>
      <c r="I120" s="24"/>
      <c r="J120" s="24"/>
      <c r="K120" s="24"/>
      <c r="L120" s="26" t="str">
        <f aca="false">IF($B120="","",IFERROR(INDEX(ST_LOT,MATCH($B120,ST_ID,0)),""))</f>
        <v/>
      </c>
      <c r="M120" s="26" t="str">
        <f aca="false">IF($B120="","",IFERROR(INDEX(ST_STRAIT,MATCH($B120,ST_ID,0)),""))</f>
        <v/>
      </c>
      <c r="N120" s="26" t="str">
        <f aca="false">IF($B120="","",IF($E120="",$L120,$E120))</f>
        <v/>
      </c>
      <c r="O120" s="26" t="str">
        <f aca="false">IF($N120="","",IFERROR(INDEX(LOT_EXTE,MATCH($N120,LOT_KEY,0)),""))</f>
        <v/>
      </c>
      <c r="P120" s="26" t="str">
        <f aca="false">IF($J120="","",IFERROR(INDEX(EMPL_CLASSE,MATCH($J120,EMPL_KEY,0)),"?"))</f>
        <v/>
      </c>
      <c r="Q120" s="28" t="n">
        <f aca="false">IF($B120="",0,IF(OR(ISNA(MATCH($B120,ST_ID,0)),NOT(ISNUMBER($F120)),$F120&lt;=0,$J120="",$N120=""),0,1))</f>
        <v>0</v>
      </c>
      <c r="R120" s="27" t="n">
        <f aca="false">IF($Q120=0,0,$F120)</f>
        <v>0</v>
      </c>
      <c r="S120" s="26" t="str">
        <f aca="false">IF($B120="","",IFERROR(INDEX(ST_STATUT,MATCH($B120,ST_ID,0)),""))</f>
        <v/>
      </c>
      <c r="T120" s="26" t="str">
        <f aca="false">IF($B120="","",IF($Q120=0,"DONNEES MANQUANTES",IF(OR($S120="DONNEES MANQUANTES",$S120="STOCK INSUFFISANT",$S120="EMPLACEMENT INCOHERENT",$S120="BLOQUE"),"BLOQUE","OK")))</f>
        <v/>
      </c>
      <c r="U120" s="28" t="n">
        <f aca="false">IF($T120="OK",1,0)</f>
        <v>0</v>
      </c>
      <c r="V120" s="26" t="str">
        <f aca="false">IF($B120="","",IF($Q120=0,"A COMPLETER : "&amp;IF(ISNA(MATCH($B120,ST_ID,0)),"ID ST valide; ","")&amp;IF(OR(NOT(ISNUMBER($F120)),$F120&lt;=0),"QUANTITE &gt; 0; ","")&amp;IF($J120="","EMPL. DESTINATION; ",""),IF($T120="BLOQUE","Envoi parent en anomalie ("&amp;$S120&amp;") : corriger l'onglet SOUS_TRAITANCE.",IF(AND($E120&lt;&gt;"",ISNA(MATCH($E120,LOT_KEY,0))),"Creer la fiche du lot resultat dans l'onglet LOTS.",""))))</f>
        <v/>
      </c>
      <c r="W120" s="31" t="str">
        <f aca="false">IF($B120="","",IF($C120&lt;&gt;"",$C120,IFERROR(INDEX(ST_DATERET,MATCH($B120,ST_ID,0)),"")))</f>
        <v/>
      </c>
      <c r="X120" s="26" t="str">
        <f aca="false">IF($Q120=0,"",IF($L120=R_LOT,IF($N120&lt;&gt;R_LOT,$N120,""),IF($N120=R_LOT,$L120,"")))</f>
        <v/>
      </c>
      <c r="Y120" s="26" t="str">
        <f aca="false">IF($X120="","",IF(COUNTIF($X$4:$X119,$X120)&gt;0,"",COUNT($Y$4:$Y119)+1))</f>
        <v/>
      </c>
      <c r="Z120" s="26" t="n">
        <f aca="false">IF($Q120=0,0,IF(OR($L120=R_LOT,$N120=R_LOT),1,0))</f>
        <v>0</v>
      </c>
      <c r="AA120" s="26" t="str">
        <f aca="false">IF($Z120=0,"",COUNTIF($Z$5:$Z120,1))</f>
        <v/>
      </c>
    </row>
    <row r="121" customFormat="false" ht="15" hidden="false" customHeight="false" outlineLevel="0" collapsed="false">
      <c r="A121" s="26" t="str">
        <f aca="false">IF($B121="","","RES-"&amp;TEXT(ROW()-4,"000"))</f>
        <v/>
      </c>
      <c r="B121" s="24"/>
      <c r="C121" s="25"/>
      <c r="D121" s="24"/>
      <c r="E121" s="24"/>
      <c r="F121" s="29"/>
      <c r="G121" s="24"/>
      <c r="H121" s="24"/>
      <c r="I121" s="24"/>
      <c r="J121" s="24"/>
      <c r="K121" s="24"/>
      <c r="L121" s="26" t="str">
        <f aca="false">IF($B121="","",IFERROR(INDEX(ST_LOT,MATCH($B121,ST_ID,0)),""))</f>
        <v/>
      </c>
      <c r="M121" s="26" t="str">
        <f aca="false">IF($B121="","",IFERROR(INDEX(ST_STRAIT,MATCH($B121,ST_ID,0)),""))</f>
        <v/>
      </c>
      <c r="N121" s="26" t="str">
        <f aca="false">IF($B121="","",IF($E121="",$L121,$E121))</f>
        <v/>
      </c>
      <c r="O121" s="26" t="str">
        <f aca="false">IF($N121="","",IFERROR(INDEX(LOT_EXTE,MATCH($N121,LOT_KEY,0)),""))</f>
        <v/>
      </c>
      <c r="P121" s="26" t="str">
        <f aca="false">IF($J121="","",IFERROR(INDEX(EMPL_CLASSE,MATCH($J121,EMPL_KEY,0)),"?"))</f>
        <v/>
      </c>
      <c r="Q121" s="28" t="n">
        <f aca="false">IF($B121="",0,IF(OR(ISNA(MATCH($B121,ST_ID,0)),NOT(ISNUMBER($F121)),$F121&lt;=0,$J121="",$N121=""),0,1))</f>
        <v>0</v>
      </c>
      <c r="R121" s="27" t="n">
        <f aca="false">IF($Q121=0,0,$F121)</f>
        <v>0</v>
      </c>
      <c r="S121" s="26" t="str">
        <f aca="false">IF($B121="","",IFERROR(INDEX(ST_STATUT,MATCH($B121,ST_ID,0)),""))</f>
        <v/>
      </c>
      <c r="T121" s="26" t="str">
        <f aca="false">IF($B121="","",IF($Q121=0,"DONNEES MANQUANTES",IF(OR($S121="DONNEES MANQUANTES",$S121="STOCK INSUFFISANT",$S121="EMPLACEMENT INCOHERENT",$S121="BLOQUE"),"BLOQUE","OK")))</f>
        <v/>
      </c>
      <c r="U121" s="28" t="n">
        <f aca="false">IF($T121="OK",1,0)</f>
        <v>0</v>
      </c>
      <c r="V121" s="26" t="str">
        <f aca="false">IF($B121="","",IF($Q121=0,"A COMPLETER : "&amp;IF(ISNA(MATCH($B121,ST_ID,0)),"ID ST valide; ","")&amp;IF(OR(NOT(ISNUMBER($F121)),$F121&lt;=0),"QUANTITE &gt; 0; ","")&amp;IF($J121="","EMPL. DESTINATION; ",""),IF($T121="BLOQUE","Envoi parent en anomalie ("&amp;$S121&amp;") : corriger l'onglet SOUS_TRAITANCE.",IF(AND($E121&lt;&gt;"",ISNA(MATCH($E121,LOT_KEY,0))),"Creer la fiche du lot resultat dans l'onglet LOTS.",""))))</f>
        <v/>
      </c>
      <c r="W121" s="31" t="str">
        <f aca="false">IF($B121="","",IF($C121&lt;&gt;"",$C121,IFERROR(INDEX(ST_DATERET,MATCH($B121,ST_ID,0)),"")))</f>
        <v/>
      </c>
      <c r="X121" s="26" t="str">
        <f aca="false">IF($Q121=0,"",IF($L121=R_LOT,IF($N121&lt;&gt;R_LOT,$N121,""),IF($N121=R_LOT,$L121,"")))</f>
        <v/>
      </c>
      <c r="Y121" s="26" t="str">
        <f aca="false">IF($X121="","",IF(COUNTIF($X$4:$X120,$X121)&gt;0,"",COUNT($Y$4:$Y120)+1))</f>
        <v/>
      </c>
      <c r="Z121" s="26" t="n">
        <f aca="false">IF($Q121=0,0,IF(OR($L121=R_LOT,$N121=R_LOT),1,0))</f>
        <v>0</v>
      </c>
      <c r="AA121" s="26" t="str">
        <f aca="false">IF($Z121=0,"",COUNTIF($Z$5:$Z121,1))</f>
        <v/>
      </c>
    </row>
    <row r="122" customFormat="false" ht="15" hidden="false" customHeight="false" outlineLevel="0" collapsed="false">
      <c r="A122" s="26" t="str">
        <f aca="false">IF($B122="","","RES-"&amp;TEXT(ROW()-4,"000"))</f>
        <v/>
      </c>
      <c r="B122" s="24"/>
      <c r="C122" s="25"/>
      <c r="D122" s="24"/>
      <c r="E122" s="24"/>
      <c r="F122" s="29"/>
      <c r="G122" s="24"/>
      <c r="H122" s="24"/>
      <c r="I122" s="24"/>
      <c r="J122" s="24"/>
      <c r="K122" s="24"/>
      <c r="L122" s="26" t="str">
        <f aca="false">IF($B122="","",IFERROR(INDEX(ST_LOT,MATCH($B122,ST_ID,0)),""))</f>
        <v/>
      </c>
      <c r="M122" s="26" t="str">
        <f aca="false">IF($B122="","",IFERROR(INDEX(ST_STRAIT,MATCH($B122,ST_ID,0)),""))</f>
        <v/>
      </c>
      <c r="N122" s="26" t="str">
        <f aca="false">IF($B122="","",IF($E122="",$L122,$E122))</f>
        <v/>
      </c>
      <c r="O122" s="26" t="str">
        <f aca="false">IF($N122="","",IFERROR(INDEX(LOT_EXTE,MATCH($N122,LOT_KEY,0)),""))</f>
        <v/>
      </c>
      <c r="P122" s="26" t="str">
        <f aca="false">IF($J122="","",IFERROR(INDEX(EMPL_CLASSE,MATCH($J122,EMPL_KEY,0)),"?"))</f>
        <v/>
      </c>
      <c r="Q122" s="28" t="n">
        <f aca="false">IF($B122="",0,IF(OR(ISNA(MATCH($B122,ST_ID,0)),NOT(ISNUMBER($F122)),$F122&lt;=0,$J122="",$N122=""),0,1))</f>
        <v>0</v>
      </c>
      <c r="R122" s="27" t="n">
        <f aca="false">IF($Q122=0,0,$F122)</f>
        <v>0</v>
      </c>
      <c r="S122" s="26" t="str">
        <f aca="false">IF($B122="","",IFERROR(INDEX(ST_STATUT,MATCH($B122,ST_ID,0)),""))</f>
        <v/>
      </c>
      <c r="T122" s="26" t="str">
        <f aca="false">IF($B122="","",IF($Q122=0,"DONNEES MANQUANTES",IF(OR($S122="DONNEES MANQUANTES",$S122="STOCK INSUFFISANT",$S122="EMPLACEMENT INCOHERENT",$S122="BLOQUE"),"BLOQUE","OK")))</f>
        <v/>
      </c>
      <c r="U122" s="28" t="n">
        <f aca="false">IF($T122="OK",1,0)</f>
        <v>0</v>
      </c>
      <c r="V122" s="26" t="str">
        <f aca="false">IF($B122="","",IF($Q122=0,"A COMPLETER : "&amp;IF(ISNA(MATCH($B122,ST_ID,0)),"ID ST valide; ","")&amp;IF(OR(NOT(ISNUMBER($F122)),$F122&lt;=0),"QUANTITE &gt; 0; ","")&amp;IF($J122="","EMPL. DESTINATION; ",""),IF($T122="BLOQUE","Envoi parent en anomalie ("&amp;$S122&amp;") : corriger l'onglet SOUS_TRAITANCE.",IF(AND($E122&lt;&gt;"",ISNA(MATCH($E122,LOT_KEY,0))),"Creer la fiche du lot resultat dans l'onglet LOTS.",""))))</f>
        <v/>
      </c>
      <c r="W122" s="31" t="str">
        <f aca="false">IF($B122="","",IF($C122&lt;&gt;"",$C122,IFERROR(INDEX(ST_DATERET,MATCH($B122,ST_ID,0)),"")))</f>
        <v/>
      </c>
      <c r="X122" s="26" t="str">
        <f aca="false">IF($Q122=0,"",IF($L122=R_LOT,IF($N122&lt;&gt;R_LOT,$N122,""),IF($N122=R_LOT,$L122,"")))</f>
        <v/>
      </c>
      <c r="Y122" s="26" t="str">
        <f aca="false">IF($X122="","",IF(COUNTIF($X$4:$X121,$X122)&gt;0,"",COUNT($Y$4:$Y121)+1))</f>
        <v/>
      </c>
      <c r="Z122" s="26" t="n">
        <f aca="false">IF($Q122=0,0,IF(OR($L122=R_LOT,$N122=R_LOT),1,0))</f>
        <v>0</v>
      </c>
      <c r="AA122" s="26" t="str">
        <f aca="false">IF($Z122=0,"",COUNTIF($Z$5:$Z122,1))</f>
        <v/>
      </c>
    </row>
    <row r="123" customFormat="false" ht="15" hidden="false" customHeight="false" outlineLevel="0" collapsed="false">
      <c r="A123" s="26" t="str">
        <f aca="false">IF($B123="","","RES-"&amp;TEXT(ROW()-4,"000"))</f>
        <v/>
      </c>
      <c r="B123" s="24"/>
      <c r="C123" s="25"/>
      <c r="D123" s="24"/>
      <c r="E123" s="24"/>
      <c r="F123" s="29"/>
      <c r="G123" s="24"/>
      <c r="H123" s="24"/>
      <c r="I123" s="24"/>
      <c r="J123" s="24"/>
      <c r="K123" s="24"/>
      <c r="L123" s="26" t="str">
        <f aca="false">IF($B123="","",IFERROR(INDEX(ST_LOT,MATCH($B123,ST_ID,0)),""))</f>
        <v/>
      </c>
      <c r="M123" s="26" t="str">
        <f aca="false">IF($B123="","",IFERROR(INDEX(ST_STRAIT,MATCH($B123,ST_ID,0)),""))</f>
        <v/>
      </c>
      <c r="N123" s="26" t="str">
        <f aca="false">IF($B123="","",IF($E123="",$L123,$E123))</f>
        <v/>
      </c>
      <c r="O123" s="26" t="str">
        <f aca="false">IF($N123="","",IFERROR(INDEX(LOT_EXTE,MATCH($N123,LOT_KEY,0)),""))</f>
        <v/>
      </c>
      <c r="P123" s="26" t="str">
        <f aca="false">IF($J123="","",IFERROR(INDEX(EMPL_CLASSE,MATCH($J123,EMPL_KEY,0)),"?"))</f>
        <v/>
      </c>
      <c r="Q123" s="28" t="n">
        <f aca="false">IF($B123="",0,IF(OR(ISNA(MATCH($B123,ST_ID,0)),NOT(ISNUMBER($F123)),$F123&lt;=0,$J123="",$N123=""),0,1))</f>
        <v>0</v>
      </c>
      <c r="R123" s="27" t="n">
        <f aca="false">IF($Q123=0,0,$F123)</f>
        <v>0</v>
      </c>
      <c r="S123" s="26" t="str">
        <f aca="false">IF($B123="","",IFERROR(INDEX(ST_STATUT,MATCH($B123,ST_ID,0)),""))</f>
        <v/>
      </c>
      <c r="T123" s="26" t="str">
        <f aca="false">IF($B123="","",IF($Q123=0,"DONNEES MANQUANTES",IF(OR($S123="DONNEES MANQUANTES",$S123="STOCK INSUFFISANT",$S123="EMPLACEMENT INCOHERENT",$S123="BLOQUE"),"BLOQUE","OK")))</f>
        <v/>
      </c>
      <c r="U123" s="28" t="n">
        <f aca="false">IF($T123="OK",1,0)</f>
        <v>0</v>
      </c>
      <c r="V123" s="26" t="str">
        <f aca="false">IF($B123="","",IF($Q123=0,"A COMPLETER : "&amp;IF(ISNA(MATCH($B123,ST_ID,0)),"ID ST valide; ","")&amp;IF(OR(NOT(ISNUMBER($F123)),$F123&lt;=0),"QUANTITE &gt; 0; ","")&amp;IF($J123="","EMPL. DESTINATION; ",""),IF($T123="BLOQUE","Envoi parent en anomalie ("&amp;$S123&amp;") : corriger l'onglet SOUS_TRAITANCE.",IF(AND($E123&lt;&gt;"",ISNA(MATCH($E123,LOT_KEY,0))),"Creer la fiche du lot resultat dans l'onglet LOTS.",""))))</f>
        <v/>
      </c>
      <c r="W123" s="31" t="str">
        <f aca="false">IF($B123="","",IF($C123&lt;&gt;"",$C123,IFERROR(INDEX(ST_DATERET,MATCH($B123,ST_ID,0)),"")))</f>
        <v/>
      </c>
      <c r="X123" s="26" t="str">
        <f aca="false">IF($Q123=0,"",IF($L123=R_LOT,IF($N123&lt;&gt;R_LOT,$N123,""),IF($N123=R_LOT,$L123,"")))</f>
        <v/>
      </c>
      <c r="Y123" s="26" t="str">
        <f aca="false">IF($X123="","",IF(COUNTIF($X$4:$X122,$X123)&gt;0,"",COUNT($Y$4:$Y122)+1))</f>
        <v/>
      </c>
      <c r="Z123" s="26" t="n">
        <f aca="false">IF($Q123=0,0,IF(OR($L123=R_LOT,$N123=R_LOT),1,0))</f>
        <v>0</v>
      </c>
      <c r="AA123" s="26" t="str">
        <f aca="false">IF($Z123=0,"",COUNTIF($Z$5:$Z123,1))</f>
        <v/>
      </c>
    </row>
    <row r="124" customFormat="false" ht="15" hidden="false" customHeight="false" outlineLevel="0" collapsed="false">
      <c r="A124" s="26" t="str">
        <f aca="false">IF($B124="","","RES-"&amp;TEXT(ROW()-4,"000"))</f>
        <v/>
      </c>
      <c r="B124" s="24"/>
      <c r="C124" s="25"/>
      <c r="D124" s="24"/>
      <c r="E124" s="24"/>
      <c r="F124" s="29"/>
      <c r="G124" s="24"/>
      <c r="H124" s="24"/>
      <c r="I124" s="24"/>
      <c r="J124" s="24"/>
      <c r="K124" s="24"/>
      <c r="L124" s="26" t="str">
        <f aca="false">IF($B124="","",IFERROR(INDEX(ST_LOT,MATCH($B124,ST_ID,0)),""))</f>
        <v/>
      </c>
      <c r="M124" s="26" t="str">
        <f aca="false">IF($B124="","",IFERROR(INDEX(ST_STRAIT,MATCH($B124,ST_ID,0)),""))</f>
        <v/>
      </c>
      <c r="N124" s="26" t="str">
        <f aca="false">IF($B124="","",IF($E124="",$L124,$E124))</f>
        <v/>
      </c>
      <c r="O124" s="26" t="str">
        <f aca="false">IF($N124="","",IFERROR(INDEX(LOT_EXTE,MATCH($N124,LOT_KEY,0)),""))</f>
        <v/>
      </c>
      <c r="P124" s="26" t="str">
        <f aca="false">IF($J124="","",IFERROR(INDEX(EMPL_CLASSE,MATCH($J124,EMPL_KEY,0)),"?"))</f>
        <v/>
      </c>
      <c r="Q124" s="28" t="n">
        <f aca="false">IF($B124="",0,IF(OR(ISNA(MATCH($B124,ST_ID,0)),NOT(ISNUMBER($F124)),$F124&lt;=0,$J124="",$N124=""),0,1))</f>
        <v>0</v>
      </c>
      <c r="R124" s="27" t="n">
        <f aca="false">IF($Q124=0,0,$F124)</f>
        <v>0</v>
      </c>
      <c r="S124" s="26" t="str">
        <f aca="false">IF($B124="","",IFERROR(INDEX(ST_STATUT,MATCH($B124,ST_ID,0)),""))</f>
        <v/>
      </c>
      <c r="T124" s="26" t="str">
        <f aca="false">IF($B124="","",IF($Q124=0,"DONNEES MANQUANTES",IF(OR($S124="DONNEES MANQUANTES",$S124="STOCK INSUFFISANT",$S124="EMPLACEMENT INCOHERENT",$S124="BLOQUE"),"BLOQUE","OK")))</f>
        <v/>
      </c>
      <c r="U124" s="28" t="n">
        <f aca="false">IF($T124="OK",1,0)</f>
        <v>0</v>
      </c>
      <c r="V124" s="26" t="str">
        <f aca="false">IF($B124="","",IF($Q124=0,"A COMPLETER : "&amp;IF(ISNA(MATCH($B124,ST_ID,0)),"ID ST valide; ","")&amp;IF(OR(NOT(ISNUMBER($F124)),$F124&lt;=0),"QUANTITE &gt; 0; ","")&amp;IF($J124="","EMPL. DESTINATION; ",""),IF($T124="BLOQUE","Envoi parent en anomalie ("&amp;$S124&amp;") : corriger l'onglet SOUS_TRAITANCE.",IF(AND($E124&lt;&gt;"",ISNA(MATCH($E124,LOT_KEY,0))),"Creer la fiche du lot resultat dans l'onglet LOTS.",""))))</f>
        <v/>
      </c>
      <c r="W124" s="31" t="str">
        <f aca="false">IF($B124="","",IF($C124&lt;&gt;"",$C124,IFERROR(INDEX(ST_DATERET,MATCH($B124,ST_ID,0)),"")))</f>
        <v/>
      </c>
      <c r="X124" s="26" t="str">
        <f aca="false">IF($Q124=0,"",IF($L124=R_LOT,IF($N124&lt;&gt;R_LOT,$N124,""),IF($N124=R_LOT,$L124,"")))</f>
        <v/>
      </c>
      <c r="Y124" s="26" t="str">
        <f aca="false">IF($X124="","",IF(COUNTIF($X$4:$X123,$X124)&gt;0,"",COUNT($Y$4:$Y123)+1))</f>
        <v/>
      </c>
      <c r="Z124" s="26" t="n">
        <f aca="false">IF($Q124=0,0,IF(OR($L124=R_LOT,$N124=R_LOT),1,0))</f>
        <v>0</v>
      </c>
      <c r="AA124" s="26" t="str">
        <f aca="false">IF($Z124=0,"",COUNTIF($Z$5:$Z124,1))</f>
        <v/>
      </c>
    </row>
    <row r="125" customFormat="false" ht="15" hidden="false" customHeight="false" outlineLevel="0" collapsed="false">
      <c r="A125" s="26" t="str">
        <f aca="false">IF($B125="","","RES-"&amp;TEXT(ROW()-4,"000"))</f>
        <v/>
      </c>
      <c r="B125" s="24"/>
      <c r="C125" s="25"/>
      <c r="D125" s="24"/>
      <c r="E125" s="24"/>
      <c r="F125" s="29"/>
      <c r="G125" s="24"/>
      <c r="H125" s="24"/>
      <c r="I125" s="24"/>
      <c r="J125" s="24"/>
      <c r="K125" s="24"/>
      <c r="L125" s="26" t="str">
        <f aca="false">IF($B125="","",IFERROR(INDEX(ST_LOT,MATCH($B125,ST_ID,0)),""))</f>
        <v/>
      </c>
      <c r="M125" s="26" t="str">
        <f aca="false">IF($B125="","",IFERROR(INDEX(ST_STRAIT,MATCH($B125,ST_ID,0)),""))</f>
        <v/>
      </c>
      <c r="N125" s="26" t="str">
        <f aca="false">IF($B125="","",IF($E125="",$L125,$E125))</f>
        <v/>
      </c>
      <c r="O125" s="26" t="str">
        <f aca="false">IF($N125="","",IFERROR(INDEX(LOT_EXTE,MATCH($N125,LOT_KEY,0)),""))</f>
        <v/>
      </c>
      <c r="P125" s="26" t="str">
        <f aca="false">IF($J125="","",IFERROR(INDEX(EMPL_CLASSE,MATCH($J125,EMPL_KEY,0)),"?"))</f>
        <v/>
      </c>
      <c r="Q125" s="28" t="n">
        <f aca="false">IF($B125="",0,IF(OR(ISNA(MATCH($B125,ST_ID,0)),NOT(ISNUMBER($F125)),$F125&lt;=0,$J125="",$N125=""),0,1))</f>
        <v>0</v>
      </c>
      <c r="R125" s="27" t="n">
        <f aca="false">IF($Q125=0,0,$F125)</f>
        <v>0</v>
      </c>
      <c r="S125" s="26" t="str">
        <f aca="false">IF($B125="","",IFERROR(INDEX(ST_STATUT,MATCH($B125,ST_ID,0)),""))</f>
        <v/>
      </c>
      <c r="T125" s="26" t="str">
        <f aca="false">IF($B125="","",IF($Q125=0,"DONNEES MANQUANTES",IF(OR($S125="DONNEES MANQUANTES",$S125="STOCK INSUFFISANT",$S125="EMPLACEMENT INCOHERENT",$S125="BLOQUE"),"BLOQUE","OK")))</f>
        <v/>
      </c>
      <c r="U125" s="28" t="n">
        <f aca="false">IF($T125="OK",1,0)</f>
        <v>0</v>
      </c>
      <c r="V125" s="26" t="str">
        <f aca="false">IF($B125="","",IF($Q125=0,"A COMPLETER : "&amp;IF(ISNA(MATCH($B125,ST_ID,0)),"ID ST valide; ","")&amp;IF(OR(NOT(ISNUMBER($F125)),$F125&lt;=0),"QUANTITE &gt; 0; ","")&amp;IF($J125="","EMPL. DESTINATION; ",""),IF($T125="BLOQUE","Envoi parent en anomalie ("&amp;$S125&amp;") : corriger l'onglet SOUS_TRAITANCE.",IF(AND($E125&lt;&gt;"",ISNA(MATCH($E125,LOT_KEY,0))),"Creer la fiche du lot resultat dans l'onglet LOTS.",""))))</f>
        <v/>
      </c>
      <c r="W125" s="31" t="str">
        <f aca="false">IF($B125="","",IF($C125&lt;&gt;"",$C125,IFERROR(INDEX(ST_DATERET,MATCH($B125,ST_ID,0)),"")))</f>
        <v/>
      </c>
      <c r="X125" s="26" t="str">
        <f aca="false">IF($Q125=0,"",IF($L125=R_LOT,IF($N125&lt;&gt;R_LOT,$N125,""),IF($N125=R_LOT,$L125,"")))</f>
        <v/>
      </c>
      <c r="Y125" s="26" t="str">
        <f aca="false">IF($X125="","",IF(COUNTIF($X$4:$X124,$X125)&gt;0,"",COUNT($Y$4:$Y124)+1))</f>
        <v/>
      </c>
      <c r="Z125" s="26" t="n">
        <f aca="false">IF($Q125=0,0,IF(OR($L125=R_LOT,$N125=R_LOT),1,0))</f>
        <v>0</v>
      </c>
      <c r="AA125" s="26" t="str">
        <f aca="false">IF($Z125=0,"",COUNTIF($Z$5:$Z125,1))</f>
        <v/>
      </c>
    </row>
    <row r="126" customFormat="false" ht="15" hidden="false" customHeight="false" outlineLevel="0" collapsed="false">
      <c r="A126" s="26" t="str">
        <f aca="false">IF($B126="","","RES-"&amp;TEXT(ROW()-4,"000"))</f>
        <v/>
      </c>
      <c r="B126" s="24"/>
      <c r="C126" s="25"/>
      <c r="D126" s="24"/>
      <c r="E126" s="24"/>
      <c r="F126" s="29"/>
      <c r="G126" s="24"/>
      <c r="H126" s="24"/>
      <c r="I126" s="24"/>
      <c r="J126" s="24"/>
      <c r="K126" s="24"/>
      <c r="L126" s="26" t="str">
        <f aca="false">IF($B126="","",IFERROR(INDEX(ST_LOT,MATCH($B126,ST_ID,0)),""))</f>
        <v/>
      </c>
      <c r="M126" s="26" t="str">
        <f aca="false">IF($B126="","",IFERROR(INDEX(ST_STRAIT,MATCH($B126,ST_ID,0)),""))</f>
        <v/>
      </c>
      <c r="N126" s="26" t="str">
        <f aca="false">IF($B126="","",IF($E126="",$L126,$E126))</f>
        <v/>
      </c>
      <c r="O126" s="26" t="str">
        <f aca="false">IF($N126="","",IFERROR(INDEX(LOT_EXTE,MATCH($N126,LOT_KEY,0)),""))</f>
        <v/>
      </c>
      <c r="P126" s="26" t="str">
        <f aca="false">IF($J126="","",IFERROR(INDEX(EMPL_CLASSE,MATCH($J126,EMPL_KEY,0)),"?"))</f>
        <v/>
      </c>
      <c r="Q126" s="28" t="n">
        <f aca="false">IF($B126="",0,IF(OR(ISNA(MATCH($B126,ST_ID,0)),NOT(ISNUMBER($F126)),$F126&lt;=0,$J126="",$N126=""),0,1))</f>
        <v>0</v>
      </c>
      <c r="R126" s="27" t="n">
        <f aca="false">IF($Q126=0,0,$F126)</f>
        <v>0</v>
      </c>
      <c r="S126" s="26" t="str">
        <f aca="false">IF($B126="","",IFERROR(INDEX(ST_STATUT,MATCH($B126,ST_ID,0)),""))</f>
        <v/>
      </c>
      <c r="T126" s="26" t="str">
        <f aca="false">IF($B126="","",IF($Q126=0,"DONNEES MANQUANTES",IF(OR($S126="DONNEES MANQUANTES",$S126="STOCK INSUFFISANT",$S126="EMPLACEMENT INCOHERENT",$S126="BLOQUE"),"BLOQUE","OK")))</f>
        <v/>
      </c>
      <c r="U126" s="28" t="n">
        <f aca="false">IF($T126="OK",1,0)</f>
        <v>0</v>
      </c>
      <c r="V126" s="26" t="str">
        <f aca="false">IF($B126="","",IF($Q126=0,"A COMPLETER : "&amp;IF(ISNA(MATCH($B126,ST_ID,0)),"ID ST valide; ","")&amp;IF(OR(NOT(ISNUMBER($F126)),$F126&lt;=0),"QUANTITE &gt; 0; ","")&amp;IF($J126="","EMPL. DESTINATION; ",""),IF($T126="BLOQUE","Envoi parent en anomalie ("&amp;$S126&amp;") : corriger l'onglet SOUS_TRAITANCE.",IF(AND($E126&lt;&gt;"",ISNA(MATCH($E126,LOT_KEY,0))),"Creer la fiche du lot resultat dans l'onglet LOTS.",""))))</f>
        <v/>
      </c>
      <c r="W126" s="31" t="str">
        <f aca="false">IF($B126="","",IF($C126&lt;&gt;"",$C126,IFERROR(INDEX(ST_DATERET,MATCH($B126,ST_ID,0)),"")))</f>
        <v/>
      </c>
      <c r="X126" s="26" t="str">
        <f aca="false">IF($Q126=0,"",IF($L126=R_LOT,IF($N126&lt;&gt;R_LOT,$N126,""),IF($N126=R_LOT,$L126,"")))</f>
        <v/>
      </c>
      <c r="Y126" s="26" t="str">
        <f aca="false">IF($X126="","",IF(COUNTIF($X$4:$X125,$X126)&gt;0,"",COUNT($Y$4:$Y125)+1))</f>
        <v/>
      </c>
      <c r="Z126" s="26" t="n">
        <f aca="false">IF($Q126=0,0,IF(OR($L126=R_LOT,$N126=R_LOT),1,0))</f>
        <v>0</v>
      </c>
      <c r="AA126" s="26" t="str">
        <f aca="false">IF($Z126=0,"",COUNTIF($Z$5:$Z126,1))</f>
        <v/>
      </c>
    </row>
    <row r="127" customFormat="false" ht="15" hidden="false" customHeight="false" outlineLevel="0" collapsed="false">
      <c r="A127" s="26" t="str">
        <f aca="false">IF($B127="","","RES-"&amp;TEXT(ROW()-4,"000"))</f>
        <v/>
      </c>
      <c r="B127" s="24"/>
      <c r="C127" s="25"/>
      <c r="D127" s="24"/>
      <c r="E127" s="24"/>
      <c r="F127" s="29"/>
      <c r="G127" s="24"/>
      <c r="H127" s="24"/>
      <c r="I127" s="24"/>
      <c r="J127" s="24"/>
      <c r="K127" s="24"/>
      <c r="L127" s="26" t="str">
        <f aca="false">IF($B127="","",IFERROR(INDEX(ST_LOT,MATCH($B127,ST_ID,0)),""))</f>
        <v/>
      </c>
      <c r="M127" s="26" t="str">
        <f aca="false">IF($B127="","",IFERROR(INDEX(ST_STRAIT,MATCH($B127,ST_ID,0)),""))</f>
        <v/>
      </c>
      <c r="N127" s="26" t="str">
        <f aca="false">IF($B127="","",IF($E127="",$L127,$E127))</f>
        <v/>
      </c>
      <c r="O127" s="26" t="str">
        <f aca="false">IF($N127="","",IFERROR(INDEX(LOT_EXTE,MATCH($N127,LOT_KEY,0)),""))</f>
        <v/>
      </c>
      <c r="P127" s="26" t="str">
        <f aca="false">IF($J127="","",IFERROR(INDEX(EMPL_CLASSE,MATCH($J127,EMPL_KEY,0)),"?"))</f>
        <v/>
      </c>
      <c r="Q127" s="28" t="n">
        <f aca="false">IF($B127="",0,IF(OR(ISNA(MATCH($B127,ST_ID,0)),NOT(ISNUMBER($F127)),$F127&lt;=0,$J127="",$N127=""),0,1))</f>
        <v>0</v>
      </c>
      <c r="R127" s="27" t="n">
        <f aca="false">IF($Q127=0,0,$F127)</f>
        <v>0</v>
      </c>
      <c r="S127" s="26" t="str">
        <f aca="false">IF($B127="","",IFERROR(INDEX(ST_STATUT,MATCH($B127,ST_ID,0)),""))</f>
        <v/>
      </c>
      <c r="T127" s="26" t="str">
        <f aca="false">IF($B127="","",IF($Q127=0,"DONNEES MANQUANTES",IF(OR($S127="DONNEES MANQUANTES",$S127="STOCK INSUFFISANT",$S127="EMPLACEMENT INCOHERENT",$S127="BLOQUE"),"BLOQUE","OK")))</f>
        <v/>
      </c>
      <c r="U127" s="28" t="n">
        <f aca="false">IF($T127="OK",1,0)</f>
        <v>0</v>
      </c>
      <c r="V127" s="26" t="str">
        <f aca="false">IF($B127="","",IF($Q127=0,"A COMPLETER : "&amp;IF(ISNA(MATCH($B127,ST_ID,0)),"ID ST valide; ","")&amp;IF(OR(NOT(ISNUMBER($F127)),$F127&lt;=0),"QUANTITE &gt; 0; ","")&amp;IF($J127="","EMPL. DESTINATION; ",""),IF($T127="BLOQUE","Envoi parent en anomalie ("&amp;$S127&amp;") : corriger l'onglet SOUS_TRAITANCE.",IF(AND($E127&lt;&gt;"",ISNA(MATCH($E127,LOT_KEY,0))),"Creer la fiche du lot resultat dans l'onglet LOTS.",""))))</f>
        <v/>
      </c>
      <c r="W127" s="31" t="str">
        <f aca="false">IF($B127="","",IF($C127&lt;&gt;"",$C127,IFERROR(INDEX(ST_DATERET,MATCH($B127,ST_ID,0)),"")))</f>
        <v/>
      </c>
      <c r="X127" s="26" t="str">
        <f aca="false">IF($Q127=0,"",IF($L127=R_LOT,IF($N127&lt;&gt;R_LOT,$N127,""),IF($N127=R_LOT,$L127,"")))</f>
        <v/>
      </c>
      <c r="Y127" s="26" t="str">
        <f aca="false">IF($X127="","",IF(COUNTIF($X$4:$X126,$X127)&gt;0,"",COUNT($Y$4:$Y126)+1))</f>
        <v/>
      </c>
      <c r="Z127" s="26" t="n">
        <f aca="false">IF($Q127=0,0,IF(OR($L127=R_LOT,$N127=R_LOT),1,0))</f>
        <v>0</v>
      </c>
      <c r="AA127" s="26" t="str">
        <f aca="false">IF($Z127=0,"",COUNTIF($Z$5:$Z127,1))</f>
        <v/>
      </c>
    </row>
    <row r="128" customFormat="false" ht="15" hidden="false" customHeight="false" outlineLevel="0" collapsed="false">
      <c r="A128" s="26" t="str">
        <f aca="false">IF($B128="","","RES-"&amp;TEXT(ROW()-4,"000"))</f>
        <v/>
      </c>
      <c r="B128" s="24"/>
      <c r="C128" s="25"/>
      <c r="D128" s="24"/>
      <c r="E128" s="24"/>
      <c r="F128" s="29"/>
      <c r="G128" s="24"/>
      <c r="H128" s="24"/>
      <c r="I128" s="24"/>
      <c r="J128" s="24"/>
      <c r="K128" s="24"/>
      <c r="L128" s="26" t="str">
        <f aca="false">IF($B128="","",IFERROR(INDEX(ST_LOT,MATCH($B128,ST_ID,0)),""))</f>
        <v/>
      </c>
      <c r="M128" s="26" t="str">
        <f aca="false">IF($B128="","",IFERROR(INDEX(ST_STRAIT,MATCH($B128,ST_ID,0)),""))</f>
        <v/>
      </c>
      <c r="N128" s="26" t="str">
        <f aca="false">IF($B128="","",IF($E128="",$L128,$E128))</f>
        <v/>
      </c>
      <c r="O128" s="26" t="str">
        <f aca="false">IF($N128="","",IFERROR(INDEX(LOT_EXTE,MATCH($N128,LOT_KEY,0)),""))</f>
        <v/>
      </c>
      <c r="P128" s="26" t="str">
        <f aca="false">IF($J128="","",IFERROR(INDEX(EMPL_CLASSE,MATCH($J128,EMPL_KEY,0)),"?"))</f>
        <v/>
      </c>
      <c r="Q128" s="28" t="n">
        <f aca="false">IF($B128="",0,IF(OR(ISNA(MATCH($B128,ST_ID,0)),NOT(ISNUMBER($F128)),$F128&lt;=0,$J128="",$N128=""),0,1))</f>
        <v>0</v>
      </c>
      <c r="R128" s="27" t="n">
        <f aca="false">IF($Q128=0,0,$F128)</f>
        <v>0</v>
      </c>
      <c r="S128" s="26" t="str">
        <f aca="false">IF($B128="","",IFERROR(INDEX(ST_STATUT,MATCH($B128,ST_ID,0)),""))</f>
        <v/>
      </c>
      <c r="T128" s="26" t="str">
        <f aca="false">IF($B128="","",IF($Q128=0,"DONNEES MANQUANTES",IF(OR($S128="DONNEES MANQUANTES",$S128="STOCK INSUFFISANT",$S128="EMPLACEMENT INCOHERENT",$S128="BLOQUE"),"BLOQUE","OK")))</f>
        <v/>
      </c>
      <c r="U128" s="28" t="n">
        <f aca="false">IF($T128="OK",1,0)</f>
        <v>0</v>
      </c>
      <c r="V128" s="26" t="str">
        <f aca="false">IF($B128="","",IF($Q128=0,"A COMPLETER : "&amp;IF(ISNA(MATCH($B128,ST_ID,0)),"ID ST valide; ","")&amp;IF(OR(NOT(ISNUMBER($F128)),$F128&lt;=0),"QUANTITE &gt; 0; ","")&amp;IF($J128="","EMPL. DESTINATION; ",""),IF($T128="BLOQUE","Envoi parent en anomalie ("&amp;$S128&amp;") : corriger l'onglet SOUS_TRAITANCE.",IF(AND($E128&lt;&gt;"",ISNA(MATCH($E128,LOT_KEY,0))),"Creer la fiche du lot resultat dans l'onglet LOTS.",""))))</f>
        <v/>
      </c>
      <c r="W128" s="31" t="str">
        <f aca="false">IF($B128="","",IF($C128&lt;&gt;"",$C128,IFERROR(INDEX(ST_DATERET,MATCH($B128,ST_ID,0)),"")))</f>
        <v/>
      </c>
      <c r="X128" s="26" t="str">
        <f aca="false">IF($Q128=0,"",IF($L128=R_LOT,IF($N128&lt;&gt;R_LOT,$N128,""),IF($N128=R_LOT,$L128,"")))</f>
        <v/>
      </c>
      <c r="Y128" s="26" t="str">
        <f aca="false">IF($X128="","",IF(COUNTIF($X$4:$X127,$X128)&gt;0,"",COUNT($Y$4:$Y127)+1))</f>
        <v/>
      </c>
      <c r="Z128" s="26" t="n">
        <f aca="false">IF($Q128=0,0,IF(OR($L128=R_LOT,$N128=R_LOT),1,0))</f>
        <v>0</v>
      </c>
      <c r="AA128" s="26" t="str">
        <f aca="false">IF($Z128=0,"",COUNTIF($Z$5:$Z128,1))</f>
        <v/>
      </c>
    </row>
    <row r="129" customFormat="false" ht="15" hidden="false" customHeight="false" outlineLevel="0" collapsed="false">
      <c r="A129" s="26" t="str">
        <f aca="false">IF($B129="","","RES-"&amp;TEXT(ROW()-4,"000"))</f>
        <v/>
      </c>
      <c r="B129" s="24"/>
      <c r="C129" s="25"/>
      <c r="D129" s="24"/>
      <c r="E129" s="24"/>
      <c r="F129" s="29"/>
      <c r="G129" s="24"/>
      <c r="H129" s="24"/>
      <c r="I129" s="24"/>
      <c r="J129" s="24"/>
      <c r="K129" s="24"/>
      <c r="L129" s="26" t="str">
        <f aca="false">IF($B129="","",IFERROR(INDEX(ST_LOT,MATCH($B129,ST_ID,0)),""))</f>
        <v/>
      </c>
      <c r="M129" s="26" t="str">
        <f aca="false">IF($B129="","",IFERROR(INDEX(ST_STRAIT,MATCH($B129,ST_ID,0)),""))</f>
        <v/>
      </c>
      <c r="N129" s="26" t="str">
        <f aca="false">IF($B129="","",IF($E129="",$L129,$E129))</f>
        <v/>
      </c>
      <c r="O129" s="26" t="str">
        <f aca="false">IF($N129="","",IFERROR(INDEX(LOT_EXTE,MATCH($N129,LOT_KEY,0)),""))</f>
        <v/>
      </c>
      <c r="P129" s="26" t="str">
        <f aca="false">IF($J129="","",IFERROR(INDEX(EMPL_CLASSE,MATCH($J129,EMPL_KEY,0)),"?"))</f>
        <v/>
      </c>
      <c r="Q129" s="28" t="n">
        <f aca="false">IF($B129="",0,IF(OR(ISNA(MATCH($B129,ST_ID,0)),NOT(ISNUMBER($F129)),$F129&lt;=0,$J129="",$N129=""),0,1))</f>
        <v>0</v>
      </c>
      <c r="R129" s="27" t="n">
        <f aca="false">IF($Q129=0,0,$F129)</f>
        <v>0</v>
      </c>
      <c r="S129" s="26" t="str">
        <f aca="false">IF($B129="","",IFERROR(INDEX(ST_STATUT,MATCH($B129,ST_ID,0)),""))</f>
        <v/>
      </c>
      <c r="T129" s="26" t="str">
        <f aca="false">IF($B129="","",IF($Q129=0,"DONNEES MANQUANTES",IF(OR($S129="DONNEES MANQUANTES",$S129="STOCK INSUFFISANT",$S129="EMPLACEMENT INCOHERENT",$S129="BLOQUE"),"BLOQUE","OK")))</f>
        <v/>
      </c>
      <c r="U129" s="28" t="n">
        <f aca="false">IF($T129="OK",1,0)</f>
        <v>0</v>
      </c>
      <c r="V129" s="26" t="str">
        <f aca="false">IF($B129="","",IF($Q129=0,"A COMPLETER : "&amp;IF(ISNA(MATCH($B129,ST_ID,0)),"ID ST valide; ","")&amp;IF(OR(NOT(ISNUMBER($F129)),$F129&lt;=0),"QUANTITE &gt; 0; ","")&amp;IF($J129="","EMPL. DESTINATION; ",""),IF($T129="BLOQUE","Envoi parent en anomalie ("&amp;$S129&amp;") : corriger l'onglet SOUS_TRAITANCE.",IF(AND($E129&lt;&gt;"",ISNA(MATCH($E129,LOT_KEY,0))),"Creer la fiche du lot resultat dans l'onglet LOTS.",""))))</f>
        <v/>
      </c>
      <c r="W129" s="31" t="str">
        <f aca="false">IF($B129="","",IF($C129&lt;&gt;"",$C129,IFERROR(INDEX(ST_DATERET,MATCH($B129,ST_ID,0)),"")))</f>
        <v/>
      </c>
      <c r="X129" s="26" t="str">
        <f aca="false">IF($Q129=0,"",IF($L129=R_LOT,IF($N129&lt;&gt;R_LOT,$N129,""),IF($N129=R_LOT,$L129,"")))</f>
        <v/>
      </c>
      <c r="Y129" s="26" t="str">
        <f aca="false">IF($X129="","",IF(COUNTIF($X$4:$X128,$X129)&gt;0,"",COUNT($Y$4:$Y128)+1))</f>
        <v/>
      </c>
      <c r="Z129" s="26" t="n">
        <f aca="false">IF($Q129=0,0,IF(OR($L129=R_LOT,$N129=R_LOT),1,0))</f>
        <v>0</v>
      </c>
      <c r="AA129" s="26" t="str">
        <f aca="false">IF($Z129=0,"",COUNTIF($Z$5:$Z129,1))</f>
        <v/>
      </c>
    </row>
    <row r="130" customFormat="false" ht="15" hidden="false" customHeight="false" outlineLevel="0" collapsed="false">
      <c r="A130" s="26" t="str">
        <f aca="false">IF($B130="","","RES-"&amp;TEXT(ROW()-4,"000"))</f>
        <v/>
      </c>
      <c r="B130" s="24"/>
      <c r="C130" s="25"/>
      <c r="D130" s="24"/>
      <c r="E130" s="24"/>
      <c r="F130" s="29"/>
      <c r="G130" s="24"/>
      <c r="H130" s="24"/>
      <c r="I130" s="24"/>
      <c r="J130" s="24"/>
      <c r="K130" s="24"/>
      <c r="L130" s="26" t="str">
        <f aca="false">IF($B130="","",IFERROR(INDEX(ST_LOT,MATCH($B130,ST_ID,0)),""))</f>
        <v/>
      </c>
      <c r="M130" s="26" t="str">
        <f aca="false">IF($B130="","",IFERROR(INDEX(ST_STRAIT,MATCH($B130,ST_ID,0)),""))</f>
        <v/>
      </c>
      <c r="N130" s="26" t="str">
        <f aca="false">IF($B130="","",IF($E130="",$L130,$E130))</f>
        <v/>
      </c>
      <c r="O130" s="26" t="str">
        <f aca="false">IF($N130="","",IFERROR(INDEX(LOT_EXTE,MATCH($N130,LOT_KEY,0)),""))</f>
        <v/>
      </c>
      <c r="P130" s="26" t="str">
        <f aca="false">IF($J130="","",IFERROR(INDEX(EMPL_CLASSE,MATCH($J130,EMPL_KEY,0)),"?"))</f>
        <v/>
      </c>
      <c r="Q130" s="28" t="n">
        <f aca="false">IF($B130="",0,IF(OR(ISNA(MATCH($B130,ST_ID,0)),NOT(ISNUMBER($F130)),$F130&lt;=0,$J130="",$N130=""),0,1))</f>
        <v>0</v>
      </c>
      <c r="R130" s="27" t="n">
        <f aca="false">IF($Q130=0,0,$F130)</f>
        <v>0</v>
      </c>
      <c r="S130" s="26" t="str">
        <f aca="false">IF($B130="","",IFERROR(INDEX(ST_STATUT,MATCH($B130,ST_ID,0)),""))</f>
        <v/>
      </c>
      <c r="T130" s="26" t="str">
        <f aca="false">IF($B130="","",IF($Q130=0,"DONNEES MANQUANTES",IF(OR($S130="DONNEES MANQUANTES",$S130="STOCK INSUFFISANT",$S130="EMPLACEMENT INCOHERENT",$S130="BLOQUE"),"BLOQUE","OK")))</f>
        <v/>
      </c>
      <c r="U130" s="28" t="n">
        <f aca="false">IF($T130="OK",1,0)</f>
        <v>0</v>
      </c>
      <c r="V130" s="26" t="str">
        <f aca="false">IF($B130="","",IF($Q130=0,"A COMPLETER : "&amp;IF(ISNA(MATCH($B130,ST_ID,0)),"ID ST valide; ","")&amp;IF(OR(NOT(ISNUMBER($F130)),$F130&lt;=0),"QUANTITE &gt; 0; ","")&amp;IF($J130="","EMPL. DESTINATION; ",""),IF($T130="BLOQUE","Envoi parent en anomalie ("&amp;$S130&amp;") : corriger l'onglet SOUS_TRAITANCE.",IF(AND($E130&lt;&gt;"",ISNA(MATCH($E130,LOT_KEY,0))),"Creer la fiche du lot resultat dans l'onglet LOTS.",""))))</f>
        <v/>
      </c>
      <c r="W130" s="31" t="str">
        <f aca="false">IF($B130="","",IF($C130&lt;&gt;"",$C130,IFERROR(INDEX(ST_DATERET,MATCH($B130,ST_ID,0)),"")))</f>
        <v/>
      </c>
      <c r="X130" s="26" t="str">
        <f aca="false">IF($Q130=0,"",IF($L130=R_LOT,IF($N130&lt;&gt;R_LOT,$N130,""),IF($N130=R_LOT,$L130,"")))</f>
        <v/>
      </c>
      <c r="Y130" s="26" t="str">
        <f aca="false">IF($X130="","",IF(COUNTIF($X$4:$X129,$X130)&gt;0,"",COUNT($Y$4:$Y129)+1))</f>
        <v/>
      </c>
      <c r="Z130" s="26" t="n">
        <f aca="false">IF($Q130=0,0,IF(OR($L130=R_LOT,$N130=R_LOT),1,0))</f>
        <v>0</v>
      </c>
      <c r="AA130" s="26" t="str">
        <f aca="false">IF($Z130=0,"",COUNTIF($Z$5:$Z130,1))</f>
        <v/>
      </c>
    </row>
    <row r="131" customFormat="false" ht="15" hidden="false" customHeight="false" outlineLevel="0" collapsed="false">
      <c r="A131" s="26" t="str">
        <f aca="false">IF($B131="","","RES-"&amp;TEXT(ROW()-4,"000"))</f>
        <v/>
      </c>
      <c r="B131" s="24"/>
      <c r="C131" s="25"/>
      <c r="D131" s="24"/>
      <c r="E131" s="24"/>
      <c r="F131" s="29"/>
      <c r="G131" s="24"/>
      <c r="H131" s="24"/>
      <c r="I131" s="24"/>
      <c r="J131" s="24"/>
      <c r="K131" s="24"/>
      <c r="L131" s="26" t="str">
        <f aca="false">IF($B131="","",IFERROR(INDEX(ST_LOT,MATCH($B131,ST_ID,0)),""))</f>
        <v/>
      </c>
      <c r="M131" s="26" t="str">
        <f aca="false">IF($B131="","",IFERROR(INDEX(ST_STRAIT,MATCH($B131,ST_ID,0)),""))</f>
        <v/>
      </c>
      <c r="N131" s="26" t="str">
        <f aca="false">IF($B131="","",IF($E131="",$L131,$E131))</f>
        <v/>
      </c>
      <c r="O131" s="26" t="str">
        <f aca="false">IF($N131="","",IFERROR(INDEX(LOT_EXTE,MATCH($N131,LOT_KEY,0)),""))</f>
        <v/>
      </c>
      <c r="P131" s="26" t="str">
        <f aca="false">IF($J131="","",IFERROR(INDEX(EMPL_CLASSE,MATCH($J131,EMPL_KEY,0)),"?"))</f>
        <v/>
      </c>
      <c r="Q131" s="28" t="n">
        <f aca="false">IF($B131="",0,IF(OR(ISNA(MATCH($B131,ST_ID,0)),NOT(ISNUMBER($F131)),$F131&lt;=0,$J131="",$N131=""),0,1))</f>
        <v>0</v>
      </c>
      <c r="R131" s="27" t="n">
        <f aca="false">IF($Q131=0,0,$F131)</f>
        <v>0</v>
      </c>
      <c r="S131" s="26" t="str">
        <f aca="false">IF($B131="","",IFERROR(INDEX(ST_STATUT,MATCH($B131,ST_ID,0)),""))</f>
        <v/>
      </c>
      <c r="T131" s="26" t="str">
        <f aca="false">IF($B131="","",IF($Q131=0,"DONNEES MANQUANTES",IF(OR($S131="DONNEES MANQUANTES",$S131="STOCK INSUFFISANT",$S131="EMPLACEMENT INCOHERENT",$S131="BLOQUE"),"BLOQUE","OK")))</f>
        <v/>
      </c>
      <c r="U131" s="28" t="n">
        <f aca="false">IF($T131="OK",1,0)</f>
        <v>0</v>
      </c>
      <c r="V131" s="26" t="str">
        <f aca="false">IF($B131="","",IF($Q131=0,"A COMPLETER : "&amp;IF(ISNA(MATCH($B131,ST_ID,0)),"ID ST valide; ","")&amp;IF(OR(NOT(ISNUMBER($F131)),$F131&lt;=0),"QUANTITE &gt; 0; ","")&amp;IF($J131="","EMPL. DESTINATION; ",""),IF($T131="BLOQUE","Envoi parent en anomalie ("&amp;$S131&amp;") : corriger l'onglet SOUS_TRAITANCE.",IF(AND($E131&lt;&gt;"",ISNA(MATCH($E131,LOT_KEY,0))),"Creer la fiche du lot resultat dans l'onglet LOTS.",""))))</f>
        <v/>
      </c>
      <c r="W131" s="31" t="str">
        <f aca="false">IF($B131="","",IF($C131&lt;&gt;"",$C131,IFERROR(INDEX(ST_DATERET,MATCH($B131,ST_ID,0)),"")))</f>
        <v/>
      </c>
      <c r="X131" s="26" t="str">
        <f aca="false">IF($Q131=0,"",IF($L131=R_LOT,IF($N131&lt;&gt;R_LOT,$N131,""),IF($N131=R_LOT,$L131,"")))</f>
        <v/>
      </c>
      <c r="Y131" s="26" t="str">
        <f aca="false">IF($X131="","",IF(COUNTIF($X$4:$X130,$X131)&gt;0,"",COUNT($Y$4:$Y130)+1))</f>
        <v/>
      </c>
      <c r="Z131" s="26" t="n">
        <f aca="false">IF($Q131=0,0,IF(OR($L131=R_LOT,$N131=R_LOT),1,0))</f>
        <v>0</v>
      </c>
      <c r="AA131" s="26" t="str">
        <f aca="false">IF($Z131=0,"",COUNTIF($Z$5:$Z131,1))</f>
        <v/>
      </c>
    </row>
    <row r="132" customFormat="false" ht="15" hidden="false" customHeight="false" outlineLevel="0" collapsed="false">
      <c r="A132" s="26" t="str">
        <f aca="false">IF($B132="","","RES-"&amp;TEXT(ROW()-4,"000"))</f>
        <v/>
      </c>
      <c r="B132" s="24"/>
      <c r="C132" s="25"/>
      <c r="D132" s="24"/>
      <c r="E132" s="24"/>
      <c r="F132" s="29"/>
      <c r="G132" s="24"/>
      <c r="H132" s="24"/>
      <c r="I132" s="24"/>
      <c r="J132" s="24"/>
      <c r="K132" s="24"/>
      <c r="L132" s="26" t="str">
        <f aca="false">IF($B132="","",IFERROR(INDEX(ST_LOT,MATCH($B132,ST_ID,0)),""))</f>
        <v/>
      </c>
      <c r="M132" s="26" t="str">
        <f aca="false">IF($B132="","",IFERROR(INDEX(ST_STRAIT,MATCH($B132,ST_ID,0)),""))</f>
        <v/>
      </c>
      <c r="N132" s="26" t="str">
        <f aca="false">IF($B132="","",IF($E132="",$L132,$E132))</f>
        <v/>
      </c>
      <c r="O132" s="26" t="str">
        <f aca="false">IF($N132="","",IFERROR(INDEX(LOT_EXTE,MATCH($N132,LOT_KEY,0)),""))</f>
        <v/>
      </c>
      <c r="P132" s="26" t="str">
        <f aca="false">IF($J132="","",IFERROR(INDEX(EMPL_CLASSE,MATCH($J132,EMPL_KEY,0)),"?"))</f>
        <v/>
      </c>
      <c r="Q132" s="28" t="n">
        <f aca="false">IF($B132="",0,IF(OR(ISNA(MATCH($B132,ST_ID,0)),NOT(ISNUMBER($F132)),$F132&lt;=0,$J132="",$N132=""),0,1))</f>
        <v>0</v>
      </c>
      <c r="R132" s="27" t="n">
        <f aca="false">IF($Q132=0,0,$F132)</f>
        <v>0</v>
      </c>
      <c r="S132" s="26" t="str">
        <f aca="false">IF($B132="","",IFERROR(INDEX(ST_STATUT,MATCH($B132,ST_ID,0)),""))</f>
        <v/>
      </c>
      <c r="T132" s="26" t="str">
        <f aca="false">IF($B132="","",IF($Q132=0,"DONNEES MANQUANTES",IF(OR($S132="DONNEES MANQUANTES",$S132="STOCK INSUFFISANT",$S132="EMPLACEMENT INCOHERENT",$S132="BLOQUE"),"BLOQUE","OK")))</f>
        <v/>
      </c>
      <c r="U132" s="28" t="n">
        <f aca="false">IF($T132="OK",1,0)</f>
        <v>0</v>
      </c>
      <c r="V132" s="26" t="str">
        <f aca="false">IF($B132="","",IF($Q132=0,"A COMPLETER : "&amp;IF(ISNA(MATCH($B132,ST_ID,0)),"ID ST valide; ","")&amp;IF(OR(NOT(ISNUMBER($F132)),$F132&lt;=0),"QUANTITE &gt; 0; ","")&amp;IF($J132="","EMPL. DESTINATION; ",""),IF($T132="BLOQUE","Envoi parent en anomalie ("&amp;$S132&amp;") : corriger l'onglet SOUS_TRAITANCE.",IF(AND($E132&lt;&gt;"",ISNA(MATCH($E132,LOT_KEY,0))),"Creer la fiche du lot resultat dans l'onglet LOTS.",""))))</f>
        <v/>
      </c>
      <c r="W132" s="31" t="str">
        <f aca="false">IF($B132="","",IF($C132&lt;&gt;"",$C132,IFERROR(INDEX(ST_DATERET,MATCH($B132,ST_ID,0)),"")))</f>
        <v/>
      </c>
      <c r="X132" s="26" t="str">
        <f aca="false">IF($Q132=0,"",IF($L132=R_LOT,IF($N132&lt;&gt;R_LOT,$N132,""),IF($N132=R_LOT,$L132,"")))</f>
        <v/>
      </c>
      <c r="Y132" s="26" t="str">
        <f aca="false">IF($X132="","",IF(COUNTIF($X$4:$X131,$X132)&gt;0,"",COUNT($Y$4:$Y131)+1))</f>
        <v/>
      </c>
      <c r="Z132" s="26" t="n">
        <f aca="false">IF($Q132=0,0,IF(OR($L132=R_LOT,$N132=R_LOT),1,0))</f>
        <v>0</v>
      </c>
      <c r="AA132" s="26" t="str">
        <f aca="false">IF($Z132=0,"",COUNTIF($Z$5:$Z132,1))</f>
        <v/>
      </c>
    </row>
    <row r="133" customFormat="false" ht="15" hidden="false" customHeight="false" outlineLevel="0" collapsed="false">
      <c r="A133" s="26" t="str">
        <f aca="false">IF($B133="","","RES-"&amp;TEXT(ROW()-4,"000"))</f>
        <v/>
      </c>
      <c r="B133" s="24"/>
      <c r="C133" s="25"/>
      <c r="D133" s="24"/>
      <c r="E133" s="24"/>
      <c r="F133" s="29"/>
      <c r="G133" s="24"/>
      <c r="H133" s="24"/>
      <c r="I133" s="24"/>
      <c r="J133" s="24"/>
      <c r="K133" s="24"/>
      <c r="L133" s="26" t="str">
        <f aca="false">IF($B133="","",IFERROR(INDEX(ST_LOT,MATCH($B133,ST_ID,0)),""))</f>
        <v/>
      </c>
      <c r="M133" s="26" t="str">
        <f aca="false">IF($B133="","",IFERROR(INDEX(ST_STRAIT,MATCH($B133,ST_ID,0)),""))</f>
        <v/>
      </c>
      <c r="N133" s="26" t="str">
        <f aca="false">IF($B133="","",IF($E133="",$L133,$E133))</f>
        <v/>
      </c>
      <c r="O133" s="26" t="str">
        <f aca="false">IF($N133="","",IFERROR(INDEX(LOT_EXTE,MATCH($N133,LOT_KEY,0)),""))</f>
        <v/>
      </c>
      <c r="P133" s="26" t="str">
        <f aca="false">IF($J133="","",IFERROR(INDEX(EMPL_CLASSE,MATCH($J133,EMPL_KEY,0)),"?"))</f>
        <v/>
      </c>
      <c r="Q133" s="28" t="n">
        <f aca="false">IF($B133="",0,IF(OR(ISNA(MATCH($B133,ST_ID,0)),NOT(ISNUMBER($F133)),$F133&lt;=0,$J133="",$N133=""),0,1))</f>
        <v>0</v>
      </c>
      <c r="R133" s="27" t="n">
        <f aca="false">IF($Q133=0,0,$F133)</f>
        <v>0</v>
      </c>
      <c r="S133" s="26" t="str">
        <f aca="false">IF($B133="","",IFERROR(INDEX(ST_STATUT,MATCH($B133,ST_ID,0)),""))</f>
        <v/>
      </c>
      <c r="T133" s="26" t="str">
        <f aca="false">IF($B133="","",IF($Q133=0,"DONNEES MANQUANTES",IF(OR($S133="DONNEES MANQUANTES",$S133="STOCK INSUFFISANT",$S133="EMPLACEMENT INCOHERENT",$S133="BLOQUE"),"BLOQUE","OK")))</f>
        <v/>
      </c>
      <c r="U133" s="28" t="n">
        <f aca="false">IF($T133="OK",1,0)</f>
        <v>0</v>
      </c>
      <c r="V133" s="26" t="str">
        <f aca="false">IF($B133="","",IF($Q133=0,"A COMPLETER : "&amp;IF(ISNA(MATCH($B133,ST_ID,0)),"ID ST valide; ","")&amp;IF(OR(NOT(ISNUMBER($F133)),$F133&lt;=0),"QUANTITE &gt; 0; ","")&amp;IF($J133="","EMPL. DESTINATION; ",""),IF($T133="BLOQUE","Envoi parent en anomalie ("&amp;$S133&amp;") : corriger l'onglet SOUS_TRAITANCE.",IF(AND($E133&lt;&gt;"",ISNA(MATCH($E133,LOT_KEY,0))),"Creer la fiche du lot resultat dans l'onglet LOTS.",""))))</f>
        <v/>
      </c>
      <c r="W133" s="31" t="str">
        <f aca="false">IF($B133="","",IF($C133&lt;&gt;"",$C133,IFERROR(INDEX(ST_DATERET,MATCH($B133,ST_ID,0)),"")))</f>
        <v/>
      </c>
      <c r="X133" s="26" t="str">
        <f aca="false">IF($Q133=0,"",IF($L133=R_LOT,IF($N133&lt;&gt;R_LOT,$N133,""),IF($N133=R_LOT,$L133,"")))</f>
        <v/>
      </c>
      <c r="Y133" s="26" t="str">
        <f aca="false">IF($X133="","",IF(COUNTIF($X$4:$X132,$X133)&gt;0,"",COUNT($Y$4:$Y132)+1))</f>
        <v/>
      </c>
      <c r="Z133" s="26" t="n">
        <f aca="false">IF($Q133=0,0,IF(OR($L133=R_LOT,$N133=R_LOT),1,0))</f>
        <v>0</v>
      </c>
      <c r="AA133" s="26" t="str">
        <f aca="false">IF($Z133=0,"",COUNTIF($Z$5:$Z133,1))</f>
        <v/>
      </c>
    </row>
    <row r="134" customFormat="false" ht="15" hidden="false" customHeight="false" outlineLevel="0" collapsed="false">
      <c r="A134" s="26" t="str">
        <f aca="false">IF($B134="","","RES-"&amp;TEXT(ROW()-4,"000"))</f>
        <v/>
      </c>
      <c r="B134" s="24"/>
      <c r="C134" s="25"/>
      <c r="D134" s="24"/>
      <c r="E134" s="24"/>
      <c r="F134" s="29"/>
      <c r="G134" s="24"/>
      <c r="H134" s="24"/>
      <c r="I134" s="24"/>
      <c r="J134" s="24"/>
      <c r="K134" s="24"/>
      <c r="L134" s="26" t="str">
        <f aca="false">IF($B134="","",IFERROR(INDEX(ST_LOT,MATCH($B134,ST_ID,0)),""))</f>
        <v/>
      </c>
      <c r="M134" s="26" t="str">
        <f aca="false">IF($B134="","",IFERROR(INDEX(ST_STRAIT,MATCH($B134,ST_ID,0)),""))</f>
        <v/>
      </c>
      <c r="N134" s="26" t="str">
        <f aca="false">IF($B134="","",IF($E134="",$L134,$E134))</f>
        <v/>
      </c>
      <c r="O134" s="26" t="str">
        <f aca="false">IF($N134="","",IFERROR(INDEX(LOT_EXTE,MATCH($N134,LOT_KEY,0)),""))</f>
        <v/>
      </c>
      <c r="P134" s="26" t="str">
        <f aca="false">IF($J134="","",IFERROR(INDEX(EMPL_CLASSE,MATCH($J134,EMPL_KEY,0)),"?"))</f>
        <v/>
      </c>
      <c r="Q134" s="28" t="n">
        <f aca="false">IF($B134="",0,IF(OR(ISNA(MATCH($B134,ST_ID,0)),NOT(ISNUMBER($F134)),$F134&lt;=0,$J134="",$N134=""),0,1))</f>
        <v>0</v>
      </c>
      <c r="R134" s="27" t="n">
        <f aca="false">IF($Q134=0,0,$F134)</f>
        <v>0</v>
      </c>
      <c r="S134" s="26" t="str">
        <f aca="false">IF($B134="","",IFERROR(INDEX(ST_STATUT,MATCH($B134,ST_ID,0)),""))</f>
        <v/>
      </c>
      <c r="T134" s="26" t="str">
        <f aca="false">IF($B134="","",IF($Q134=0,"DONNEES MANQUANTES",IF(OR($S134="DONNEES MANQUANTES",$S134="STOCK INSUFFISANT",$S134="EMPLACEMENT INCOHERENT",$S134="BLOQUE"),"BLOQUE","OK")))</f>
        <v/>
      </c>
      <c r="U134" s="28" t="n">
        <f aca="false">IF($T134="OK",1,0)</f>
        <v>0</v>
      </c>
      <c r="V134" s="26" t="str">
        <f aca="false">IF($B134="","",IF($Q134=0,"A COMPLETER : "&amp;IF(ISNA(MATCH($B134,ST_ID,0)),"ID ST valide; ","")&amp;IF(OR(NOT(ISNUMBER($F134)),$F134&lt;=0),"QUANTITE &gt; 0; ","")&amp;IF($J134="","EMPL. DESTINATION; ",""),IF($T134="BLOQUE","Envoi parent en anomalie ("&amp;$S134&amp;") : corriger l'onglet SOUS_TRAITANCE.",IF(AND($E134&lt;&gt;"",ISNA(MATCH($E134,LOT_KEY,0))),"Creer la fiche du lot resultat dans l'onglet LOTS.",""))))</f>
        <v/>
      </c>
      <c r="W134" s="31" t="str">
        <f aca="false">IF($B134="","",IF($C134&lt;&gt;"",$C134,IFERROR(INDEX(ST_DATERET,MATCH($B134,ST_ID,0)),"")))</f>
        <v/>
      </c>
      <c r="X134" s="26" t="str">
        <f aca="false">IF($Q134=0,"",IF($L134=R_LOT,IF($N134&lt;&gt;R_LOT,$N134,""),IF($N134=R_LOT,$L134,"")))</f>
        <v/>
      </c>
      <c r="Y134" s="26" t="str">
        <f aca="false">IF($X134="","",IF(COUNTIF($X$4:$X133,$X134)&gt;0,"",COUNT($Y$4:$Y133)+1))</f>
        <v/>
      </c>
      <c r="Z134" s="26" t="n">
        <f aca="false">IF($Q134=0,0,IF(OR($L134=R_LOT,$N134=R_LOT),1,0))</f>
        <v>0</v>
      </c>
      <c r="AA134" s="26" t="str">
        <f aca="false">IF($Z134=0,"",COUNTIF($Z$5:$Z134,1))</f>
        <v/>
      </c>
    </row>
    <row r="135" customFormat="false" ht="15" hidden="false" customHeight="false" outlineLevel="0" collapsed="false">
      <c r="A135" s="26" t="str">
        <f aca="false">IF($B135="","","RES-"&amp;TEXT(ROW()-4,"000"))</f>
        <v/>
      </c>
      <c r="B135" s="24"/>
      <c r="C135" s="25"/>
      <c r="D135" s="24"/>
      <c r="E135" s="24"/>
      <c r="F135" s="29"/>
      <c r="G135" s="24"/>
      <c r="H135" s="24"/>
      <c r="I135" s="24"/>
      <c r="J135" s="24"/>
      <c r="K135" s="24"/>
      <c r="L135" s="26" t="str">
        <f aca="false">IF($B135="","",IFERROR(INDEX(ST_LOT,MATCH($B135,ST_ID,0)),""))</f>
        <v/>
      </c>
      <c r="M135" s="26" t="str">
        <f aca="false">IF($B135="","",IFERROR(INDEX(ST_STRAIT,MATCH($B135,ST_ID,0)),""))</f>
        <v/>
      </c>
      <c r="N135" s="26" t="str">
        <f aca="false">IF($B135="","",IF($E135="",$L135,$E135))</f>
        <v/>
      </c>
      <c r="O135" s="26" t="str">
        <f aca="false">IF($N135="","",IFERROR(INDEX(LOT_EXTE,MATCH($N135,LOT_KEY,0)),""))</f>
        <v/>
      </c>
      <c r="P135" s="26" t="str">
        <f aca="false">IF($J135="","",IFERROR(INDEX(EMPL_CLASSE,MATCH($J135,EMPL_KEY,0)),"?"))</f>
        <v/>
      </c>
      <c r="Q135" s="28" t="n">
        <f aca="false">IF($B135="",0,IF(OR(ISNA(MATCH($B135,ST_ID,0)),NOT(ISNUMBER($F135)),$F135&lt;=0,$J135="",$N135=""),0,1))</f>
        <v>0</v>
      </c>
      <c r="R135" s="27" t="n">
        <f aca="false">IF($Q135=0,0,$F135)</f>
        <v>0</v>
      </c>
      <c r="S135" s="26" t="str">
        <f aca="false">IF($B135="","",IFERROR(INDEX(ST_STATUT,MATCH($B135,ST_ID,0)),""))</f>
        <v/>
      </c>
      <c r="T135" s="26" t="str">
        <f aca="false">IF($B135="","",IF($Q135=0,"DONNEES MANQUANTES",IF(OR($S135="DONNEES MANQUANTES",$S135="STOCK INSUFFISANT",$S135="EMPLACEMENT INCOHERENT",$S135="BLOQUE"),"BLOQUE","OK")))</f>
        <v/>
      </c>
      <c r="U135" s="28" t="n">
        <f aca="false">IF($T135="OK",1,0)</f>
        <v>0</v>
      </c>
      <c r="V135" s="26" t="str">
        <f aca="false">IF($B135="","",IF($Q135=0,"A COMPLETER : "&amp;IF(ISNA(MATCH($B135,ST_ID,0)),"ID ST valide; ","")&amp;IF(OR(NOT(ISNUMBER($F135)),$F135&lt;=0),"QUANTITE &gt; 0; ","")&amp;IF($J135="","EMPL. DESTINATION; ",""),IF($T135="BLOQUE","Envoi parent en anomalie ("&amp;$S135&amp;") : corriger l'onglet SOUS_TRAITANCE.",IF(AND($E135&lt;&gt;"",ISNA(MATCH($E135,LOT_KEY,0))),"Creer la fiche du lot resultat dans l'onglet LOTS.",""))))</f>
        <v/>
      </c>
      <c r="W135" s="31" t="str">
        <f aca="false">IF($B135="","",IF($C135&lt;&gt;"",$C135,IFERROR(INDEX(ST_DATERET,MATCH($B135,ST_ID,0)),"")))</f>
        <v/>
      </c>
      <c r="X135" s="26" t="str">
        <f aca="false">IF($Q135=0,"",IF($L135=R_LOT,IF($N135&lt;&gt;R_LOT,$N135,""),IF($N135=R_LOT,$L135,"")))</f>
        <v/>
      </c>
      <c r="Y135" s="26" t="str">
        <f aca="false">IF($X135="","",IF(COUNTIF($X$4:$X134,$X135)&gt;0,"",COUNT($Y$4:$Y134)+1))</f>
        <v/>
      </c>
      <c r="Z135" s="26" t="n">
        <f aca="false">IF($Q135=0,0,IF(OR($L135=R_LOT,$N135=R_LOT),1,0))</f>
        <v>0</v>
      </c>
      <c r="AA135" s="26" t="str">
        <f aca="false">IF($Z135=0,"",COUNTIF($Z$5:$Z135,1))</f>
        <v/>
      </c>
    </row>
    <row r="136" customFormat="false" ht="15" hidden="false" customHeight="false" outlineLevel="0" collapsed="false">
      <c r="A136" s="26" t="str">
        <f aca="false">IF($B136="","","RES-"&amp;TEXT(ROW()-4,"000"))</f>
        <v/>
      </c>
      <c r="B136" s="24"/>
      <c r="C136" s="25"/>
      <c r="D136" s="24"/>
      <c r="E136" s="24"/>
      <c r="F136" s="29"/>
      <c r="G136" s="24"/>
      <c r="H136" s="24"/>
      <c r="I136" s="24"/>
      <c r="J136" s="24"/>
      <c r="K136" s="24"/>
      <c r="L136" s="26" t="str">
        <f aca="false">IF($B136="","",IFERROR(INDEX(ST_LOT,MATCH($B136,ST_ID,0)),""))</f>
        <v/>
      </c>
      <c r="M136" s="26" t="str">
        <f aca="false">IF($B136="","",IFERROR(INDEX(ST_STRAIT,MATCH($B136,ST_ID,0)),""))</f>
        <v/>
      </c>
      <c r="N136" s="26" t="str">
        <f aca="false">IF($B136="","",IF($E136="",$L136,$E136))</f>
        <v/>
      </c>
      <c r="O136" s="26" t="str">
        <f aca="false">IF($N136="","",IFERROR(INDEX(LOT_EXTE,MATCH($N136,LOT_KEY,0)),""))</f>
        <v/>
      </c>
      <c r="P136" s="26" t="str">
        <f aca="false">IF($J136="","",IFERROR(INDEX(EMPL_CLASSE,MATCH($J136,EMPL_KEY,0)),"?"))</f>
        <v/>
      </c>
      <c r="Q136" s="28" t="n">
        <f aca="false">IF($B136="",0,IF(OR(ISNA(MATCH($B136,ST_ID,0)),NOT(ISNUMBER($F136)),$F136&lt;=0,$J136="",$N136=""),0,1))</f>
        <v>0</v>
      </c>
      <c r="R136" s="27" t="n">
        <f aca="false">IF($Q136=0,0,$F136)</f>
        <v>0</v>
      </c>
      <c r="S136" s="26" t="str">
        <f aca="false">IF($B136="","",IFERROR(INDEX(ST_STATUT,MATCH($B136,ST_ID,0)),""))</f>
        <v/>
      </c>
      <c r="T136" s="26" t="str">
        <f aca="false">IF($B136="","",IF($Q136=0,"DONNEES MANQUANTES",IF(OR($S136="DONNEES MANQUANTES",$S136="STOCK INSUFFISANT",$S136="EMPLACEMENT INCOHERENT",$S136="BLOQUE"),"BLOQUE","OK")))</f>
        <v/>
      </c>
      <c r="U136" s="28" t="n">
        <f aca="false">IF($T136="OK",1,0)</f>
        <v>0</v>
      </c>
      <c r="V136" s="26" t="str">
        <f aca="false">IF($B136="","",IF($Q136=0,"A COMPLETER : "&amp;IF(ISNA(MATCH($B136,ST_ID,0)),"ID ST valide; ","")&amp;IF(OR(NOT(ISNUMBER($F136)),$F136&lt;=0),"QUANTITE &gt; 0; ","")&amp;IF($J136="","EMPL. DESTINATION; ",""),IF($T136="BLOQUE","Envoi parent en anomalie ("&amp;$S136&amp;") : corriger l'onglet SOUS_TRAITANCE.",IF(AND($E136&lt;&gt;"",ISNA(MATCH($E136,LOT_KEY,0))),"Creer la fiche du lot resultat dans l'onglet LOTS.",""))))</f>
        <v/>
      </c>
      <c r="W136" s="31" t="str">
        <f aca="false">IF($B136="","",IF($C136&lt;&gt;"",$C136,IFERROR(INDEX(ST_DATERET,MATCH($B136,ST_ID,0)),"")))</f>
        <v/>
      </c>
      <c r="X136" s="26" t="str">
        <f aca="false">IF($Q136=0,"",IF($L136=R_LOT,IF($N136&lt;&gt;R_LOT,$N136,""),IF($N136=R_LOT,$L136,"")))</f>
        <v/>
      </c>
      <c r="Y136" s="26" t="str">
        <f aca="false">IF($X136="","",IF(COUNTIF($X$4:$X135,$X136)&gt;0,"",COUNT($Y$4:$Y135)+1))</f>
        <v/>
      </c>
      <c r="Z136" s="26" t="n">
        <f aca="false">IF($Q136=0,0,IF(OR($L136=R_LOT,$N136=R_LOT),1,0))</f>
        <v>0</v>
      </c>
      <c r="AA136" s="26" t="str">
        <f aca="false">IF($Z136=0,"",COUNTIF($Z$5:$Z136,1))</f>
        <v/>
      </c>
    </row>
    <row r="137" customFormat="false" ht="15" hidden="false" customHeight="false" outlineLevel="0" collapsed="false">
      <c r="A137" s="26" t="str">
        <f aca="false">IF($B137="","","RES-"&amp;TEXT(ROW()-4,"000"))</f>
        <v/>
      </c>
      <c r="B137" s="24"/>
      <c r="C137" s="25"/>
      <c r="D137" s="24"/>
      <c r="E137" s="24"/>
      <c r="F137" s="29"/>
      <c r="G137" s="24"/>
      <c r="H137" s="24"/>
      <c r="I137" s="24"/>
      <c r="J137" s="24"/>
      <c r="K137" s="24"/>
      <c r="L137" s="26" t="str">
        <f aca="false">IF($B137="","",IFERROR(INDEX(ST_LOT,MATCH($B137,ST_ID,0)),""))</f>
        <v/>
      </c>
      <c r="M137" s="26" t="str">
        <f aca="false">IF($B137="","",IFERROR(INDEX(ST_STRAIT,MATCH($B137,ST_ID,0)),""))</f>
        <v/>
      </c>
      <c r="N137" s="26" t="str">
        <f aca="false">IF($B137="","",IF($E137="",$L137,$E137))</f>
        <v/>
      </c>
      <c r="O137" s="26" t="str">
        <f aca="false">IF($N137="","",IFERROR(INDEX(LOT_EXTE,MATCH($N137,LOT_KEY,0)),""))</f>
        <v/>
      </c>
      <c r="P137" s="26" t="str">
        <f aca="false">IF($J137="","",IFERROR(INDEX(EMPL_CLASSE,MATCH($J137,EMPL_KEY,0)),"?"))</f>
        <v/>
      </c>
      <c r="Q137" s="28" t="n">
        <f aca="false">IF($B137="",0,IF(OR(ISNA(MATCH($B137,ST_ID,0)),NOT(ISNUMBER($F137)),$F137&lt;=0,$J137="",$N137=""),0,1))</f>
        <v>0</v>
      </c>
      <c r="R137" s="27" t="n">
        <f aca="false">IF($Q137=0,0,$F137)</f>
        <v>0</v>
      </c>
      <c r="S137" s="26" t="str">
        <f aca="false">IF($B137="","",IFERROR(INDEX(ST_STATUT,MATCH($B137,ST_ID,0)),""))</f>
        <v/>
      </c>
      <c r="T137" s="26" t="str">
        <f aca="false">IF($B137="","",IF($Q137=0,"DONNEES MANQUANTES",IF(OR($S137="DONNEES MANQUANTES",$S137="STOCK INSUFFISANT",$S137="EMPLACEMENT INCOHERENT",$S137="BLOQUE"),"BLOQUE","OK")))</f>
        <v/>
      </c>
      <c r="U137" s="28" t="n">
        <f aca="false">IF($T137="OK",1,0)</f>
        <v>0</v>
      </c>
      <c r="V137" s="26" t="str">
        <f aca="false">IF($B137="","",IF($Q137=0,"A COMPLETER : "&amp;IF(ISNA(MATCH($B137,ST_ID,0)),"ID ST valide; ","")&amp;IF(OR(NOT(ISNUMBER($F137)),$F137&lt;=0),"QUANTITE &gt; 0; ","")&amp;IF($J137="","EMPL. DESTINATION; ",""),IF($T137="BLOQUE","Envoi parent en anomalie ("&amp;$S137&amp;") : corriger l'onglet SOUS_TRAITANCE.",IF(AND($E137&lt;&gt;"",ISNA(MATCH($E137,LOT_KEY,0))),"Creer la fiche du lot resultat dans l'onglet LOTS.",""))))</f>
        <v/>
      </c>
      <c r="W137" s="31" t="str">
        <f aca="false">IF($B137="","",IF($C137&lt;&gt;"",$C137,IFERROR(INDEX(ST_DATERET,MATCH($B137,ST_ID,0)),"")))</f>
        <v/>
      </c>
      <c r="X137" s="26" t="str">
        <f aca="false">IF($Q137=0,"",IF($L137=R_LOT,IF($N137&lt;&gt;R_LOT,$N137,""),IF($N137=R_LOT,$L137,"")))</f>
        <v/>
      </c>
      <c r="Y137" s="26" t="str">
        <f aca="false">IF($X137="","",IF(COUNTIF($X$4:$X136,$X137)&gt;0,"",COUNT($Y$4:$Y136)+1))</f>
        <v/>
      </c>
      <c r="Z137" s="26" t="n">
        <f aca="false">IF($Q137=0,0,IF(OR($L137=R_LOT,$N137=R_LOT),1,0))</f>
        <v>0</v>
      </c>
      <c r="AA137" s="26" t="str">
        <f aca="false">IF($Z137=0,"",COUNTIF($Z$5:$Z137,1))</f>
        <v/>
      </c>
    </row>
    <row r="138" customFormat="false" ht="15" hidden="false" customHeight="false" outlineLevel="0" collapsed="false">
      <c r="A138" s="26" t="str">
        <f aca="false">IF($B138="","","RES-"&amp;TEXT(ROW()-4,"000"))</f>
        <v/>
      </c>
      <c r="B138" s="24"/>
      <c r="C138" s="25"/>
      <c r="D138" s="24"/>
      <c r="E138" s="24"/>
      <c r="F138" s="29"/>
      <c r="G138" s="24"/>
      <c r="H138" s="24"/>
      <c r="I138" s="24"/>
      <c r="J138" s="24"/>
      <c r="K138" s="24"/>
      <c r="L138" s="26" t="str">
        <f aca="false">IF($B138="","",IFERROR(INDEX(ST_LOT,MATCH($B138,ST_ID,0)),""))</f>
        <v/>
      </c>
      <c r="M138" s="26" t="str">
        <f aca="false">IF($B138="","",IFERROR(INDEX(ST_STRAIT,MATCH($B138,ST_ID,0)),""))</f>
        <v/>
      </c>
      <c r="N138" s="26" t="str">
        <f aca="false">IF($B138="","",IF($E138="",$L138,$E138))</f>
        <v/>
      </c>
      <c r="O138" s="26" t="str">
        <f aca="false">IF($N138="","",IFERROR(INDEX(LOT_EXTE,MATCH($N138,LOT_KEY,0)),""))</f>
        <v/>
      </c>
      <c r="P138" s="26" t="str">
        <f aca="false">IF($J138="","",IFERROR(INDEX(EMPL_CLASSE,MATCH($J138,EMPL_KEY,0)),"?"))</f>
        <v/>
      </c>
      <c r="Q138" s="28" t="n">
        <f aca="false">IF($B138="",0,IF(OR(ISNA(MATCH($B138,ST_ID,0)),NOT(ISNUMBER($F138)),$F138&lt;=0,$J138="",$N138=""),0,1))</f>
        <v>0</v>
      </c>
      <c r="R138" s="27" t="n">
        <f aca="false">IF($Q138=0,0,$F138)</f>
        <v>0</v>
      </c>
      <c r="S138" s="26" t="str">
        <f aca="false">IF($B138="","",IFERROR(INDEX(ST_STATUT,MATCH($B138,ST_ID,0)),""))</f>
        <v/>
      </c>
      <c r="T138" s="26" t="str">
        <f aca="false">IF($B138="","",IF($Q138=0,"DONNEES MANQUANTES",IF(OR($S138="DONNEES MANQUANTES",$S138="STOCK INSUFFISANT",$S138="EMPLACEMENT INCOHERENT",$S138="BLOQUE"),"BLOQUE","OK")))</f>
        <v/>
      </c>
      <c r="U138" s="28" t="n">
        <f aca="false">IF($T138="OK",1,0)</f>
        <v>0</v>
      </c>
      <c r="V138" s="26" t="str">
        <f aca="false">IF($B138="","",IF($Q138=0,"A COMPLETER : "&amp;IF(ISNA(MATCH($B138,ST_ID,0)),"ID ST valide; ","")&amp;IF(OR(NOT(ISNUMBER($F138)),$F138&lt;=0),"QUANTITE &gt; 0; ","")&amp;IF($J138="","EMPL. DESTINATION; ",""),IF($T138="BLOQUE","Envoi parent en anomalie ("&amp;$S138&amp;") : corriger l'onglet SOUS_TRAITANCE.",IF(AND($E138&lt;&gt;"",ISNA(MATCH($E138,LOT_KEY,0))),"Creer la fiche du lot resultat dans l'onglet LOTS.",""))))</f>
        <v/>
      </c>
      <c r="W138" s="31" t="str">
        <f aca="false">IF($B138="","",IF($C138&lt;&gt;"",$C138,IFERROR(INDEX(ST_DATERET,MATCH($B138,ST_ID,0)),"")))</f>
        <v/>
      </c>
      <c r="X138" s="26" t="str">
        <f aca="false">IF($Q138=0,"",IF($L138=R_LOT,IF($N138&lt;&gt;R_LOT,$N138,""),IF($N138=R_LOT,$L138,"")))</f>
        <v/>
      </c>
      <c r="Y138" s="26" t="str">
        <f aca="false">IF($X138="","",IF(COUNTIF($X$4:$X137,$X138)&gt;0,"",COUNT($Y$4:$Y137)+1))</f>
        <v/>
      </c>
      <c r="Z138" s="26" t="n">
        <f aca="false">IF($Q138=0,0,IF(OR($L138=R_LOT,$N138=R_LOT),1,0))</f>
        <v>0</v>
      </c>
      <c r="AA138" s="26" t="str">
        <f aca="false">IF($Z138=0,"",COUNTIF($Z$5:$Z138,1))</f>
        <v/>
      </c>
    </row>
    <row r="139" customFormat="false" ht="15" hidden="false" customHeight="false" outlineLevel="0" collapsed="false">
      <c r="A139" s="26" t="str">
        <f aca="false">IF($B139="","","RES-"&amp;TEXT(ROW()-4,"000"))</f>
        <v/>
      </c>
      <c r="B139" s="24"/>
      <c r="C139" s="25"/>
      <c r="D139" s="24"/>
      <c r="E139" s="24"/>
      <c r="F139" s="29"/>
      <c r="G139" s="24"/>
      <c r="H139" s="24"/>
      <c r="I139" s="24"/>
      <c r="J139" s="24"/>
      <c r="K139" s="24"/>
      <c r="L139" s="26" t="str">
        <f aca="false">IF($B139="","",IFERROR(INDEX(ST_LOT,MATCH($B139,ST_ID,0)),""))</f>
        <v/>
      </c>
      <c r="M139" s="26" t="str">
        <f aca="false">IF($B139="","",IFERROR(INDEX(ST_STRAIT,MATCH($B139,ST_ID,0)),""))</f>
        <v/>
      </c>
      <c r="N139" s="26" t="str">
        <f aca="false">IF($B139="","",IF($E139="",$L139,$E139))</f>
        <v/>
      </c>
      <c r="O139" s="26" t="str">
        <f aca="false">IF($N139="","",IFERROR(INDEX(LOT_EXTE,MATCH($N139,LOT_KEY,0)),""))</f>
        <v/>
      </c>
      <c r="P139" s="26" t="str">
        <f aca="false">IF($J139="","",IFERROR(INDEX(EMPL_CLASSE,MATCH($J139,EMPL_KEY,0)),"?"))</f>
        <v/>
      </c>
      <c r="Q139" s="28" t="n">
        <f aca="false">IF($B139="",0,IF(OR(ISNA(MATCH($B139,ST_ID,0)),NOT(ISNUMBER($F139)),$F139&lt;=0,$J139="",$N139=""),0,1))</f>
        <v>0</v>
      </c>
      <c r="R139" s="27" t="n">
        <f aca="false">IF($Q139=0,0,$F139)</f>
        <v>0</v>
      </c>
      <c r="S139" s="26" t="str">
        <f aca="false">IF($B139="","",IFERROR(INDEX(ST_STATUT,MATCH($B139,ST_ID,0)),""))</f>
        <v/>
      </c>
      <c r="T139" s="26" t="str">
        <f aca="false">IF($B139="","",IF($Q139=0,"DONNEES MANQUANTES",IF(OR($S139="DONNEES MANQUANTES",$S139="STOCK INSUFFISANT",$S139="EMPLACEMENT INCOHERENT",$S139="BLOQUE"),"BLOQUE","OK")))</f>
        <v/>
      </c>
      <c r="U139" s="28" t="n">
        <f aca="false">IF($T139="OK",1,0)</f>
        <v>0</v>
      </c>
      <c r="V139" s="26" t="str">
        <f aca="false">IF($B139="","",IF($Q139=0,"A COMPLETER : "&amp;IF(ISNA(MATCH($B139,ST_ID,0)),"ID ST valide; ","")&amp;IF(OR(NOT(ISNUMBER($F139)),$F139&lt;=0),"QUANTITE &gt; 0; ","")&amp;IF($J139="","EMPL. DESTINATION; ",""),IF($T139="BLOQUE","Envoi parent en anomalie ("&amp;$S139&amp;") : corriger l'onglet SOUS_TRAITANCE.",IF(AND($E139&lt;&gt;"",ISNA(MATCH($E139,LOT_KEY,0))),"Creer la fiche du lot resultat dans l'onglet LOTS.",""))))</f>
        <v/>
      </c>
      <c r="W139" s="31" t="str">
        <f aca="false">IF($B139="","",IF($C139&lt;&gt;"",$C139,IFERROR(INDEX(ST_DATERET,MATCH($B139,ST_ID,0)),"")))</f>
        <v/>
      </c>
      <c r="X139" s="26" t="str">
        <f aca="false">IF($Q139=0,"",IF($L139=R_LOT,IF($N139&lt;&gt;R_LOT,$N139,""),IF($N139=R_LOT,$L139,"")))</f>
        <v/>
      </c>
      <c r="Y139" s="26" t="str">
        <f aca="false">IF($X139="","",IF(COUNTIF($X$4:$X138,$X139)&gt;0,"",COUNT($Y$4:$Y138)+1))</f>
        <v/>
      </c>
      <c r="Z139" s="26" t="n">
        <f aca="false">IF($Q139=0,0,IF(OR($L139=R_LOT,$N139=R_LOT),1,0))</f>
        <v>0</v>
      </c>
      <c r="AA139" s="26" t="str">
        <f aca="false">IF($Z139=0,"",COUNTIF($Z$5:$Z139,1))</f>
        <v/>
      </c>
    </row>
    <row r="140" customFormat="false" ht="15" hidden="false" customHeight="false" outlineLevel="0" collapsed="false">
      <c r="A140" s="26" t="str">
        <f aca="false">IF($B140="","","RES-"&amp;TEXT(ROW()-4,"000"))</f>
        <v/>
      </c>
      <c r="B140" s="24"/>
      <c r="C140" s="25"/>
      <c r="D140" s="24"/>
      <c r="E140" s="24"/>
      <c r="F140" s="29"/>
      <c r="G140" s="24"/>
      <c r="H140" s="24"/>
      <c r="I140" s="24"/>
      <c r="J140" s="24"/>
      <c r="K140" s="24"/>
      <c r="L140" s="26" t="str">
        <f aca="false">IF($B140="","",IFERROR(INDEX(ST_LOT,MATCH($B140,ST_ID,0)),""))</f>
        <v/>
      </c>
      <c r="M140" s="26" t="str">
        <f aca="false">IF($B140="","",IFERROR(INDEX(ST_STRAIT,MATCH($B140,ST_ID,0)),""))</f>
        <v/>
      </c>
      <c r="N140" s="26" t="str">
        <f aca="false">IF($B140="","",IF($E140="",$L140,$E140))</f>
        <v/>
      </c>
      <c r="O140" s="26" t="str">
        <f aca="false">IF($N140="","",IFERROR(INDEX(LOT_EXTE,MATCH($N140,LOT_KEY,0)),""))</f>
        <v/>
      </c>
      <c r="P140" s="26" t="str">
        <f aca="false">IF($J140="","",IFERROR(INDEX(EMPL_CLASSE,MATCH($J140,EMPL_KEY,0)),"?"))</f>
        <v/>
      </c>
      <c r="Q140" s="28" t="n">
        <f aca="false">IF($B140="",0,IF(OR(ISNA(MATCH($B140,ST_ID,0)),NOT(ISNUMBER($F140)),$F140&lt;=0,$J140="",$N140=""),0,1))</f>
        <v>0</v>
      </c>
      <c r="R140" s="27" t="n">
        <f aca="false">IF($Q140=0,0,$F140)</f>
        <v>0</v>
      </c>
      <c r="S140" s="26" t="str">
        <f aca="false">IF($B140="","",IFERROR(INDEX(ST_STATUT,MATCH($B140,ST_ID,0)),""))</f>
        <v/>
      </c>
      <c r="T140" s="26" t="str">
        <f aca="false">IF($B140="","",IF($Q140=0,"DONNEES MANQUANTES",IF(OR($S140="DONNEES MANQUANTES",$S140="STOCK INSUFFISANT",$S140="EMPLACEMENT INCOHERENT",$S140="BLOQUE"),"BLOQUE","OK")))</f>
        <v/>
      </c>
      <c r="U140" s="28" t="n">
        <f aca="false">IF($T140="OK",1,0)</f>
        <v>0</v>
      </c>
      <c r="V140" s="26" t="str">
        <f aca="false">IF($B140="","",IF($Q140=0,"A COMPLETER : "&amp;IF(ISNA(MATCH($B140,ST_ID,0)),"ID ST valide; ","")&amp;IF(OR(NOT(ISNUMBER($F140)),$F140&lt;=0),"QUANTITE &gt; 0; ","")&amp;IF($J140="","EMPL. DESTINATION; ",""),IF($T140="BLOQUE","Envoi parent en anomalie ("&amp;$S140&amp;") : corriger l'onglet SOUS_TRAITANCE.",IF(AND($E140&lt;&gt;"",ISNA(MATCH($E140,LOT_KEY,0))),"Creer la fiche du lot resultat dans l'onglet LOTS.",""))))</f>
        <v/>
      </c>
      <c r="W140" s="31" t="str">
        <f aca="false">IF($B140="","",IF($C140&lt;&gt;"",$C140,IFERROR(INDEX(ST_DATERET,MATCH($B140,ST_ID,0)),"")))</f>
        <v/>
      </c>
      <c r="X140" s="26" t="str">
        <f aca="false">IF($Q140=0,"",IF($L140=R_LOT,IF($N140&lt;&gt;R_LOT,$N140,""),IF($N140=R_LOT,$L140,"")))</f>
        <v/>
      </c>
      <c r="Y140" s="26" t="str">
        <f aca="false">IF($X140="","",IF(COUNTIF($X$4:$X139,$X140)&gt;0,"",COUNT($Y$4:$Y139)+1))</f>
        <v/>
      </c>
      <c r="Z140" s="26" t="n">
        <f aca="false">IF($Q140=0,0,IF(OR($L140=R_LOT,$N140=R_LOT),1,0))</f>
        <v>0</v>
      </c>
      <c r="AA140" s="26" t="str">
        <f aca="false">IF($Z140=0,"",COUNTIF($Z$5:$Z140,1))</f>
        <v/>
      </c>
    </row>
    <row r="141" customFormat="false" ht="15" hidden="false" customHeight="false" outlineLevel="0" collapsed="false">
      <c r="A141" s="26" t="str">
        <f aca="false">IF($B141="","","RES-"&amp;TEXT(ROW()-4,"000"))</f>
        <v/>
      </c>
      <c r="B141" s="24"/>
      <c r="C141" s="25"/>
      <c r="D141" s="24"/>
      <c r="E141" s="24"/>
      <c r="F141" s="29"/>
      <c r="G141" s="24"/>
      <c r="H141" s="24"/>
      <c r="I141" s="24"/>
      <c r="J141" s="24"/>
      <c r="K141" s="24"/>
      <c r="L141" s="26" t="str">
        <f aca="false">IF($B141="","",IFERROR(INDEX(ST_LOT,MATCH($B141,ST_ID,0)),""))</f>
        <v/>
      </c>
      <c r="M141" s="26" t="str">
        <f aca="false">IF($B141="","",IFERROR(INDEX(ST_STRAIT,MATCH($B141,ST_ID,0)),""))</f>
        <v/>
      </c>
      <c r="N141" s="26" t="str">
        <f aca="false">IF($B141="","",IF($E141="",$L141,$E141))</f>
        <v/>
      </c>
      <c r="O141" s="26" t="str">
        <f aca="false">IF($N141="","",IFERROR(INDEX(LOT_EXTE,MATCH($N141,LOT_KEY,0)),""))</f>
        <v/>
      </c>
      <c r="P141" s="26" t="str">
        <f aca="false">IF($J141="","",IFERROR(INDEX(EMPL_CLASSE,MATCH($J141,EMPL_KEY,0)),"?"))</f>
        <v/>
      </c>
      <c r="Q141" s="28" t="n">
        <f aca="false">IF($B141="",0,IF(OR(ISNA(MATCH($B141,ST_ID,0)),NOT(ISNUMBER($F141)),$F141&lt;=0,$J141="",$N141=""),0,1))</f>
        <v>0</v>
      </c>
      <c r="R141" s="27" t="n">
        <f aca="false">IF($Q141=0,0,$F141)</f>
        <v>0</v>
      </c>
      <c r="S141" s="26" t="str">
        <f aca="false">IF($B141="","",IFERROR(INDEX(ST_STATUT,MATCH($B141,ST_ID,0)),""))</f>
        <v/>
      </c>
      <c r="T141" s="26" t="str">
        <f aca="false">IF($B141="","",IF($Q141=0,"DONNEES MANQUANTES",IF(OR($S141="DONNEES MANQUANTES",$S141="STOCK INSUFFISANT",$S141="EMPLACEMENT INCOHERENT",$S141="BLOQUE"),"BLOQUE","OK")))</f>
        <v/>
      </c>
      <c r="U141" s="28" t="n">
        <f aca="false">IF($T141="OK",1,0)</f>
        <v>0</v>
      </c>
      <c r="V141" s="26" t="str">
        <f aca="false">IF($B141="","",IF($Q141=0,"A COMPLETER : "&amp;IF(ISNA(MATCH($B141,ST_ID,0)),"ID ST valide; ","")&amp;IF(OR(NOT(ISNUMBER($F141)),$F141&lt;=0),"QUANTITE &gt; 0; ","")&amp;IF($J141="","EMPL. DESTINATION; ",""),IF($T141="BLOQUE","Envoi parent en anomalie ("&amp;$S141&amp;") : corriger l'onglet SOUS_TRAITANCE.",IF(AND($E141&lt;&gt;"",ISNA(MATCH($E141,LOT_KEY,0))),"Creer la fiche du lot resultat dans l'onglet LOTS.",""))))</f>
        <v/>
      </c>
      <c r="W141" s="31" t="str">
        <f aca="false">IF($B141="","",IF($C141&lt;&gt;"",$C141,IFERROR(INDEX(ST_DATERET,MATCH($B141,ST_ID,0)),"")))</f>
        <v/>
      </c>
      <c r="X141" s="26" t="str">
        <f aca="false">IF($Q141=0,"",IF($L141=R_LOT,IF($N141&lt;&gt;R_LOT,$N141,""),IF($N141=R_LOT,$L141,"")))</f>
        <v/>
      </c>
      <c r="Y141" s="26" t="str">
        <f aca="false">IF($X141="","",IF(COUNTIF($X$4:$X140,$X141)&gt;0,"",COUNT($Y$4:$Y140)+1))</f>
        <v/>
      </c>
      <c r="Z141" s="26" t="n">
        <f aca="false">IF($Q141=0,0,IF(OR($L141=R_LOT,$N141=R_LOT),1,0))</f>
        <v>0</v>
      </c>
      <c r="AA141" s="26" t="str">
        <f aca="false">IF($Z141=0,"",COUNTIF($Z$5:$Z141,1))</f>
        <v/>
      </c>
    </row>
    <row r="142" customFormat="false" ht="15" hidden="false" customHeight="false" outlineLevel="0" collapsed="false">
      <c r="A142" s="26" t="str">
        <f aca="false">IF($B142="","","RES-"&amp;TEXT(ROW()-4,"000"))</f>
        <v/>
      </c>
      <c r="B142" s="24"/>
      <c r="C142" s="25"/>
      <c r="D142" s="24"/>
      <c r="E142" s="24"/>
      <c r="F142" s="29"/>
      <c r="G142" s="24"/>
      <c r="H142" s="24"/>
      <c r="I142" s="24"/>
      <c r="J142" s="24"/>
      <c r="K142" s="24"/>
      <c r="L142" s="26" t="str">
        <f aca="false">IF($B142="","",IFERROR(INDEX(ST_LOT,MATCH($B142,ST_ID,0)),""))</f>
        <v/>
      </c>
      <c r="M142" s="26" t="str">
        <f aca="false">IF($B142="","",IFERROR(INDEX(ST_STRAIT,MATCH($B142,ST_ID,0)),""))</f>
        <v/>
      </c>
      <c r="N142" s="26" t="str">
        <f aca="false">IF($B142="","",IF($E142="",$L142,$E142))</f>
        <v/>
      </c>
      <c r="O142" s="26" t="str">
        <f aca="false">IF($N142="","",IFERROR(INDEX(LOT_EXTE,MATCH($N142,LOT_KEY,0)),""))</f>
        <v/>
      </c>
      <c r="P142" s="26" t="str">
        <f aca="false">IF($J142="","",IFERROR(INDEX(EMPL_CLASSE,MATCH($J142,EMPL_KEY,0)),"?"))</f>
        <v/>
      </c>
      <c r="Q142" s="28" t="n">
        <f aca="false">IF($B142="",0,IF(OR(ISNA(MATCH($B142,ST_ID,0)),NOT(ISNUMBER($F142)),$F142&lt;=0,$J142="",$N142=""),0,1))</f>
        <v>0</v>
      </c>
      <c r="R142" s="27" t="n">
        <f aca="false">IF($Q142=0,0,$F142)</f>
        <v>0</v>
      </c>
      <c r="S142" s="26" t="str">
        <f aca="false">IF($B142="","",IFERROR(INDEX(ST_STATUT,MATCH($B142,ST_ID,0)),""))</f>
        <v/>
      </c>
      <c r="T142" s="26" t="str">
        <f aca="false">IF($B142="","",IF($Q142=0,"DONNEES MANQUANTES",IF(OR($S142="DONNEES MANQUANTES",$S142="STOCK INSUFFISANT",$S142="EMPLACEMENT INCOHERENT",$S142="BLOQUE"),"BLOQUE","OK")))</f>
        <v/>
      </c>
      <c r="U142" s="28" t="n">
        <f aca="false">IF($T142="OK",1,0)</f>
        <v>0</v>
      </c>
      <c r="V142" s="26" t="str">
        <f aca="false">IF($B142="","",IF($Q142=0,"A COMPLETER : "&amp;IF(ISNA(MATCH($B142,ST_ID,0)),"ID ST valide; ","")&amp;IF(OR(NOT(ISNUMBER($F142)),$F142&lt;=0),"QUANTITE &gt; 0; ","")&amp;IF($J142="","EMPL. DESTINATION; ",""),IF($T142="BLOQUE","Envoi parent en anomalie ("&amp;$S142&amp;") : corriger l'onglet SOUS_TRAITANCE.",IF(AND($E142&lt;&gt;"",ISNA(MATCH($E142,LOT_KEY,0))),"Creer la fiche du lot resultat dans l'onglet LOTS.",""))))</f>
        <v/>
      </c>
      <c r="W142" s="31" t="str">
        <f aca="false">IF($B142="","",IF($C142&lt;&gt;"",$C142,IFERROR(INDEX(ST_DATERET,MATCH($B142,ST_ID,0)),"")))</f>
        <v/>
      </c>
      <c r="X142" s="26" t="str">
        <f aca="false">IF($Q142=0,"",IF($L142=R_LOT,IF($N142&lt;&gt;R_LOT,$N142,""),IF($N142=R_LOT,$L142,"")))</f>
        <v/>
      </c>
      <c r="Y142" s="26" t="str">
        <f aca="false">IF($X142="","",IF(COUNTIF($X$4:$X141,$X142)&gt;0,"",COUNT($Y$4:$Y141)+1))</f>
        <v/>
      </c>
      <c r="Z142" s="26" t="n">
        <f aca="false">IF($Q142=0,0,IF(OR($L142=R_LOT,$N142=R_LOT),1,0))</f>
        <v>0</v>
      </c>
      <c r="AA142" s="26" t="str">
        <f aca="false">IF($Z142=0,"",COUNTIF($Z$5:$Z142,1))</f>
        <v/>
      </c>
    </row>
    <row r="143" customFormat="false" ht="15" hidden="false" customHeight="false" outlineLevel="0" collapsed="false">
      <c r="A143" s="26" t="str">
        <f aca="false">IF($B143="","","RES-"&amp;TEXT(ROW()-4,"000"))</f>
        <v/>
      </c>
      <c r="B143" s="24"/>
      <c r="C143" s="25"/>
      <c r="D143" s="24"/>
      <c r="E143" s="24"/>
      <c r="F143" s="29"/>
      <c r="G143" s="24"/>
      <c r="H143" s="24"/>
      <c r="I143" s="24"/>
      <c r="J143" s="24"/>
      <c r="K143" s="24"/>
      <c r="L143" s="26" t="str">
        <f aca="false">IF($B143="","",IFERROR(INDEX(ST_LOT,MATCH($B143,ST_ID,0)),""))</f>
        <v/>
      </c>
      <c r="M143" s="26" t="str">
        <f aca="false">IF($B143="","",IFERROR(INDEX(ST_STRAIT,MATCH($B143,ST_ID,0)),""))</f>
        <v/>
      </c>
      <c r="N143" s="26" t="str">
        <f aca="false">IF($B143="","",IF($E143="",$L143,$E143))</f>
        <v/>
      </c>
      <c r="O143" s="26" t="str">
        <f aca="false">IF($N143="","",IFERROR(INDEX(LOT_EXTE,MATCH($N143,LOT_KEY,0)),""))</f>
        <v/>
      </c>
      <c r="P143" s="26" t="str">
        <f aca="false">IF($J143="","",IFERROR(INDEX(EMPL_CLASSE,MATCH($J143,EMPL_KEY,0)),"?"))</f>
        <v/>
      </c>
      <c r="Q143" s="28" t="n">
        <f aca="false">IF($B143="",0,IF(OR(ISNA(MATCH($B143,ST_ID,0)),NOT(ISNUMBER($F143)),$F143&lt;=0,$J143="",$N143=""),0,1))</f>
        <v>0</v>
      </c>
      <c r="R143" s="27" t="n">
        <f aca="false">IF($Q143=0,0,$F143)</f>
        <v>0</v>
      </c>
      <c r="S143" s="26" t="str">
        <f aca="false">IF($B143="","",IFERROR(INDEX(ST_STATUT,MATCH($B143,ST_ID,0)),""))</f>
        <v/>
      </c>
      <c r="T143" s="26" t="str">
        <f aca="false">IF($B143="","",IF($Q143=0,"DONNEES MANQUANTES",IF(OR($S143="DONNEES MANQUANTES",$S143="STOCK INSUFFISANT",$S143="EMPLACEMENT INCOHERENT",$S143="BLOQUE"),"BLOQUE","OK")))</f>
        <v/>
      </c>
      <c r="U143" s="28" t="n">
        <f aca="false">IF($T143="OK",1,0)</f>
        <v>0</v>
      </c>
      <c r="V143" s="26" t="str">
        <f aca="false">IF($B143="","",IF($Q143=0,"A COMPLETER : "&amp;IF(ISNA(MATCH($B143,ST_ID,0)),"ID ST valide; ","")&amp;IF(OR(NOT(ISNUMBER($F143)),$F143&lt;=0),"QUANTITE &gt; 0; ","")&amp;IF($J143="","EMPL. DESTINATION; ",""),IF($T143="BLOQUE","Envoi parent en anomalie ("&amp;$S143&amp;") : corriger l'onglet SOUS_TRAITANCE.",IF(AND($E143&lt;&gt;"",ISNA(MATCH($E143,LOT_KEY,0))),"Creer la fiche du lot resultat dans l'onglet LOTS.",""))))</f>
        <v/>
      </c>
      <c r="W143" s="31" t="str">
        <f aca="false">IF($B143="","",IF($C143&lt;&gt;"",$C143,IFERROR(INDEX(ST_DATERET,MATCH($B143,ST_ID,0)),"")))</f>
        <v/>
      </c>
      <c r="X143" s="26" t="str">
        <f aca="false">IF($Q143=0,"",IF($L143=R_LOT,IF($N143&lt;&gt;R_LOT,$N143,""),IF($N143=R_LOT,$L143,"")))</f>
        <v/>
      </c>
      <c r="Y143" s="26" t="str">
        <f aca="false">IF($X143="","",IF(COUNTIF($X$4:$X142,$X143)&gt;0,"",COUNT($Y$4:$Y142)+1))</f>
        <v/>
      </c>
      <c r="Z143" s="26" t="n">
        <f aca="false">IF($Q143=0,0,IF(OR($L143=R_LOT,$N143=R_LOT),1,0))</f>
        <v>0</v>
      </c>
      <c r="AA143" s="26" t="str">
        <f aca="false">IF($Z143=0,"",COUNTIF($Z$5:$Z143,1))</f>
        <v/>
      </c>
    </row>
    <row r="144" customFormat="false" ht="15" hidden="false" customHeight="false" outlineLevel="0" collapsed="false">
      <c r="A144" s="26" t="str">
        <f aca="false">IF($B144="","","RES-"&amp;TEXT(ROW()-4,"000"))</f>
        <v/>
      </c>
      <c r="B144" s="24"/>
      <c r="C144" s="25"/>
      <c r="D144" s="24"/>
      <c r="E144" s="24"/>
      <c r="F144" s="29"/>
      <c r="G144" s="24"/>
      <c r="H144" s="24"/>
      <c r="I144" s="24"/>
      <c r="J144" s="24"/>
      <c r="K144" s="24"/>
      <c r="L144" s="26" t="str">
        <f aca="false">IF($B144="","",IFERROR(INDEX(ST_LOT,MATCH($B144,ST_ID,0)),""))</f>
        <v/>
      </c>
      <c r="M144" s="26" t="str">
        <f aca="false">IF($B144="","",IFERROR(INDEX(ST_STRAIT,MATCH($B144,ST_ID,0)),""))</f>
        <v/>
      </c>
      <c r="N144" s="26" t="str">
        <f aca="false">IF($B144="","",IF($E144="",$L144,$E144))</f>
        <v/>
      </c>
      <c r="O144" s="26" t="str">
        <f aca="false">IF($N144="","",IFERROR(INDEX(LOT_EXTE,MATCH($N144,LOT_KEY,0)),""))</f>
        <v/>
      </c>
      <c r="P144" s="26" t="str">
        <f aca="false">IF($J144="","",IFERROR(INDEX(EMPL_CLASSE,MATCH($J144,EMPL_KEY,0)),"?"))</f>
        <v/>
      </c>
      <c r="Q144" s="28" t="n">
        <f aca="false">IF($B144="",0,IF(OR(ISNA(MATCH($B144,ST_ID,0)),NOT(ISNUMBER($F144)),$F144&lt;=0,$J144="",$N144=""),0,1))</f>
        <v>0</v>
      </c>
      <c r="R144" s="27" t="n">
        <f aca="false">IF($Q144=0,0,$F144)</f>
        <v>0</v>
      </c>
      <c r="S144" s="26" t="str">
        <f aca="false">IF($B144="","",IFERROR(INDEX(ST_STATUT,MATCH($B144,ST_ID,0)),""))</f>
        <v/>
      </c>
      <c r="T144" s="26" t="str">
        <f aca="false">IF($B144="","",IF($Q144=0,"DONNEES MANQUANTES",IF(OR($S144="DONNEES MANQUANTES",$S144="STOCK INSUFFISANT",$S144="EMPLACEMENT INCOHERENT",$S144="BLOQUE"),"BLOQUE","OK")))</f>
        <v/>
      </c>
      <c r="U144" s="28" t="n">
        <f aca="false">IF($T144="OK",1,0)</f>
        <v>0</v>
      </c>
      <c r="V144" s="26" t="str">
        <f aca="false">IF($B144="","",IF($Q144=0,"A COMPLETER : "&amp;IF(ISNA(MATCH($B144,ST_ID,0)),"ID ST valide; ","")&amp;IF(OR(NOT(ISNUMBER($F144)),$F144&lt;=0),"QUANTITE &gt; 0; ","")&amp;IF($J144="","EMPL. DESTINATION; ",""),IF($T144="BLOQUE","Envoi parent en anomalie ("&amp;$S144&amp;") : corriger l'onglet SOUS_TRAITANCE.",IF(AND($E144&lt;&gt;"",ISNA(MATCH($E144,LOT_KEY,0))),"Creer la fiche du lot resultat dans l'onglet LOTS.",""))))</f>
        <v/>
      </c>
      <c r="W144" s="31" t="str">
        <f aca="false">IF($B144="","",IF($C144&lt;&gt;"",$C144,IFERROR(INDEX(ST_DATERET,MATCH($B144,ST_ID,0)),"")))</f>
        <v/>
      </c>
      <c r="X144" s="26" t="str">
        <f aca="false">IF($Q144=0,"",IF($L144=R_LOT,IF($N144&lt;&gt;R_LOT,$N144,""),IF($N144=R_LOT,$L144,"")))</f>
        <v/>
      </c>
      <c r="Y144" s="26" t="str">
        <f aca="false">IF($X144="","",IF(COUNTIF($X$4:$X143,$X144)&gt;0,"",COUNT($Y$4:$Y143)+1))</f>
        <v/>
      </c>
      <c r="Z144" s="26" t="n">
        <f aca="false">IF($Q144=0,0,IF(OR($L144=R_LOT,$N144=R_LOT),1,0))</f>
        <v>0</v>
      </c>
      <c r="AA144" s="26" t="str">
        <f aca="false">IF($Z144=0,"",COUNTIF($Z$5:$Z144,1))</f>
        <v/>
      </c>
    </row>
    <row r="145" customFormat="false" ht="15" hidden="false" customHeight="false" outlineLevel="0" collapsed="false">
      <c r="A145" s="26" t="str">
        <f aca="false">IF($B145="","","RES-"&amp;TEXT(ROW()-4,"000"))</f>
        <v/>
      </c>
      <c r="B145" s="24"/>
      <c r="C145" s="25"/>
      <c r="D145" s="24"/>
      <c r="E145" s="24"/>
      <c r="F145" s="29"/>
      <c r="G145" s="24"/>
      <c r="H145" s="24"/>
      <c r="I145" s="24"/>
      <c r="J145" s="24"/>
      <c r="K145" s="24"/>
      <c r="L145" s="26" t="str">
        <f aca="false">IF($B145="","",IFERROR(INDEX(ST_LOT,MATCH($B145,ST_ID,0)),""))</f>
        <v/>
      </c>
      <c r="M145" s="26" t="str">
        <f aca="false">IF($B145="","",IFERROR(INDEX(ST_STRAIT,MATCH($B145,ST_ID,0)),""))</f>
        <v/>
      </c>
      <c r="N145" s="26" t="str">
        <f aca="false">IF($B145="","",IF($E145="",$L145,$E145))</f>
        <v/>
      </c>
      <c r="O145" s="26" t="str">
        <f aca="false">IF($N145="","",IFERROR(INDEX(LOT_EXTE,MATCH($N145,LOT_KEY,0)),""))</f>
        <v/>
      </c>
      <c r="P145" s="26" t="str">
        <f aca="false">IF($J145="","",IFERROR(INDEX(EMPL_CLASSE,MATCH($J145,EMPL_KEY,0)),"?"))</f>
        <v/>
      </c>
      <c r="Q145" s="28" t="n">
        <f aca="false">IF($B145="",0,IF(OR(ISNA(MATCH($B145,ST_ID,0)),NOT(ISNUMBER($F145)),$F145&lt;=0,$J145="",$N145=""),0,1))</f>
        <v>0</v>
      </c>
      <c r="R145" s="27" t="n">
        <f aca="false">IF($Q145=0,0,$F145)</f>
        <v>0</v>
      </c>
      <c r="S145" s="26" t="str">
        <f aca="false">IF($B145="","",IFERROR(INDEX(ST_STATUT,MATCH($B145,ST_ID,0)),""))</f>
        <v/>
      </c>
      <c r="T145" s="26" t="str">
        <f aca="false">IF($B145="","",IF($Q145=0,"DONNEES MANQUANTES",IF(OR($S145="DONNEES MANQUANTES",$S145="STOCK INSUFFISANT",$S145="EMPLACEMENT INCOHERENT",$S145="BLOQUE"),"BLOQUE","OK")))</f>
        <v/>
      </c>
      <c r="U145" s="28" t="n">
        <f aca="false">IF($T145="OK",1,0)</f>
        <v>0</v>
      </c>
      <c r="V145" s="26" t="str">
        <f aca="false">IF($B145="","",IF($Q145=0,"A COMPLETER : "&amp;IF(ISNA(MATCH($B145,ST_ID,0)),"ID ST valide; ","")&amp;IF(OR(NOT(ISNUMBER($F145)),$F145&lt;=0),"QUANTITE &gt; 0; ","")&amp;IF($J145="","EMPL. DESTINATION; ",""),IF($T145="BLOQUE","Envoi parent en anomalie ("&amp;$S145&amp;") : corriger l'onglet SOUS_TRAITANCE.",IF(AND($E145&lt;&gt;"",ISNA(MATCH($E145,LOT_KEY,0))),"Creer la fiche du lot resultat dans l'onglet LOTS.",""))))</f>
        <v/>
      </c>
      <c r="W145" s="31" t="str">
        <f aca="false">IF($B145="","",IF($C145&lt;&gt;"",$C145,IFERROR(INDEX(ST_DATERET,MATCH($B145,ST_ID,0)),"")))</f>
        <v/>
      </c>
      <c r="X145" s="26" t="str">
        <f aca="false">IF($Q145=0,"",IF($L145=R_LOT,IF($N145&lt;&gt;R_LOT,$N145,""),IF($N145=R_LOT,$L145,"")))</f>
        <v/>
      </c>
      <c r="Y145" s="26" t="str">
        <f aca="false">IF($X145="","",IF(COUNTIF($X$4:$X144,$X145)&gt;0,"",COUNT($Y$4:$Y144)+1))</f>
        <v/>
      </c>
      <c r="Z145" s="26" t="n">
        <f aca="false">IF($Q145=0,0,IF(OR($L145=R_LOT,$N145=R_LOT),1,0))</f>
        <v>0</v>
      </c>
      <c r="AA145" s="26" t="str">
        <f aca="false">IF($Z145=0,"",COUNTIF($Z$5:$Z145,1))</f>
        <v/>
      </c>
    </row>
    <row r="146" customFormat="false" ht="15" hidden="false" customHeight="false" outlineLevel="0" collapsed="false">
      <c r="A146" s="26" t="str">
        <f aca="false">IF($B146="","","RES-"&amp;TEXT(ROW()-4,"000"))</f>
        <v/>
      </c>
      <c r="B146" s="24"/>
      <c r="C146" s="25"/>
      <c r="D146" s="24"/>
      <c r="E146" s="24"/>
      <c r="F146" s="29"/>
      <c r="G146" s="24"/>
      <c r="H146" s="24"/>
      <c r="I146" s="24"/>
      <c r="J146" s="24"/>
      <c r="K146" s="24"/>
      <c r="L146" s="26" t="str">
        <f aca="false">IF($B146="","",IFERROR(INDEX(ST_LOT,MATCH($B146,ST_ID,0)),""))</f>
        <v/>
      </c>
      <c r="M146" s="26" t="str">
        <f aca="false">IF($B146="","",IFERROR(INDEX(ST_STRAIT,MATCH($B146,ST_ID,0)),""))</f>
        <v/>
      </c>
      <c r="N146" s="26" t="str">
        <f aca="false">IF($B146="","",IF($E146="",$L146,$E146))</f>
        <v/>
      </c>
      <c r="O146" s="26" t="str">
        <f aca="false">IF($N146="","",IFERROR(INDEX(LOT_EXTE,MATCH($N146,LOT_KEY,0)),""))</f>
        <v/>
      </c>
      <c r="P146" s="26" t="str">
        <f aca="false">IF($J146="","",IFERROR(INDEX(EMPL_CLASSE,MATCH($J146,EMPL_KEY,0)),"?"))</f>
        <v/>
      </c>
      <c r="Q146" s="28" t="n">
        <f aca="false">IF($B146="",0,IF(OR(ISNA(MATCH($B146,ST_ID,0)),NOT(ISNUMBER($F146)),$F146&lt;=0,$J146="",$N146=""),0,1))</f>
        <v>0</v>
      </c>
      <c r="R146" s="27" t="n">
        <f aca="false">IF($Q146=0,0,$F146)</f>
        <v>0</v>
      </c>
      <c r="S146" s="26" t="str">
        <f aca="false">IF($B146="","",IFERROR(INDEX(ST_STATUT,MATCH($B146,ST_ID,0)),""))</f>
        <v/>
      </c>
      <c r="T146" s="26" t="str">
        <f aca="false">IF($B146="","",IF($Q146=0,"DONNEES MANQUANTES",IF(OR($S146="DONNEES MANQUANTES",$S146="STOCK INSUFFISANT",$S146="EMPLACEMENT INCOHERENT",$S146="BLOQUE"),"BLOQUE","OK")))</f>
        <v/>
      </c>
      <c r="U146" s="28" t="n">
        <f aca="false">IF($T146="OK",1,0)</f>
        <v>0</v>
      </c>
      <c r="V146" s="26" t="str">
        <f aca="false">IF($B146="","",IF($Q146=0,"A COMPLETER : "&amp;IF(ISNA(MATCH($B146,ST_ID,0)),"ID ST valide; ","")&amp;IF(OR(NOT(ISNUMBER($F146)),$F146&lt;=0),"QUANTITE &gt; 0; ","")&amp;IF($J146="","EMPL. DESTINATION; ",""),IF($T146="BLOQUE","Envoi parent en anomalie ("&amp;$S146&amp;") : corriger l'onglet SOUS_TRAITANCE.",IF(AND($E146&lt;&gt;"",ISNA(MATCH($E146,LOT_KEY,0))),"Creer la fiche du lot resultat dans l'onglet LOTS.",""))))</f>
        <v/>
      </c>
      <c r="W146" s="31" t="str">
        <f aca="false">IF($B146="","",IF($C146&lt;&gt;"",$C146,IFERROR(INDEX(ST_DATERET,MATCH($B146,ST_ID,0)),"")))</f>
        <v/>
      </c>
      <c r="X146" s="26" t="str">
        <f aca="false">IF($Q146=0,"",IF($L146=R_LOT,IF($N146&lt;&gt;R_LOT,$N146,""),IF($N146=R_LOT,$L146,"")))</f>
        <v/>
      </c>
      <c r="Y146" s="26" t="str">
        <f aca="false">IF($X146="","",IF(COUNTIF($X$4:$X145,$X146)&gt;0,"",COUNT($Y$4:$Y145)+1))</f>
        <v/>
      </c>
      <c r="Z146" s="26" t="n">
        <f aca="false">IF($Q146=0,0,IF(OR($L146=R_LOT,$N146=R_LOT),1,0))</f>
        <v>0</v>
      </c>
      <c r="AA146" s="26" t="str">
        <f aca="false">IF($Z146=0,"",COUNTIF($Z$5:$Z146,1))</f>
        <v/>
      </c>
    </row>
    <row r="147" customFormat="false" ht="15" hidden="false" customHeight="false" outlineLevel="0" collapsed="false">
      <c r="A147" s="26" t="str">
        <f aca="false">IF($B147="","","RES-"&amp;TEXT(ROW()-4,"000"))</f>
        <v/>
      </c>
      <c r="B147" s="24"/>
      <c r="C147" s="25"/>
      <c r="D147" s="24"/>
      <c r="E147" s="24"/>
      <c r="F147" s="29"/>
      <c r="G147" s="24"/>
      <c r="H147" s="24"/>
      <c r="I147" s="24"/>
      <c r="J147" s="24"/>
      <c r="K147" s="24"/>
      <c r="L147" s="26" t="str">
        <f aca="false">IF($B147="","",IFERROR(INDEX(ST_LOT,MATCH($B147,ST_ID,0)),""))</f>
        <v/>
      </c>
      <c r="M147" s="26" t="str">
        <f aca="false">IF($B147="","",IFERROR(INDEX(ST_STRAIT,MATCH($B147,ST_ID,0)),""))</f>
        <v/>
      </c>
      <c r="N147" s="26" t="str">
        <f aca="false">IF($B147="","",IF($E147="",$L147,$E147))</f>
        <v/>
      </c>
      <c r="O147" s="26" t="str">
        <f aca="false">IF($N147="","",IFERROR(INDEX(LOT_EXTE,MATCH($N147,LOT_KEY,0)),""))</f>
        <v/>
      </c>
      <c r="P147" s="26" t="str">
        <f aca="false">IF($J147="","",IFERROR(INDEX(EMPL_CLASSE,MATCH($J147,EMPL_KEY,0)),"?"))</f>
        <v/>
      </c>
      <c r="Q147" s="28" t="n">
        <f aca="false">IF($B147="",0,IF(OR(ISNA(MATCH($B147,ST_ID,0)),NOT(ISNUMBER($F147)),$F147&lt;=0,$J147="",$N147=""),0,1))</f>
        <v>0</v>
      </c>
      <c r="R147" s="27" t="n">
        <f aca="false">IF($Q147=0,0,$F147)</f>
        <v>0</v>
      </c>
      <c r="S147" s="26" t="str">
        <f aca="false">IF($B147="","",IFERROR(INDEX(ST_STATUT,MATCH($B147,ST_ID,0)),""))</f>
        <v/>
      </c>
      <c r="T147" s="26" t="str">
        <f aca="false">IF($B147="","",IF($Q147=0,"DONNEES MANQUANTES",IF(OR($S147="DONNEES MANQUANTES",$S147="STOCK INSUFFISANT",$S147="EMPLACEMENT INCOHERENT",$S147="BLOQUE"),"BLOQUE","OK")))</f>
        <v/>
      </c>
      <c r="U147" s="28" t="n">
        <f aca="false">IF($T147="OK",1,0)</f>
        <v>0</v>
      </c>
      <c r="V147" s="26" t="str">
        <f aca="false">IF($B147="","",IF($Q147=0,"A COMPLETER : "&amp;IF(ISNA(MATCH($B147,ST_ID,0)),"ID ST valide; ","")&amp;IF(OR(NOT(ISNUMBER($F147)),$F147&lt;=0),"QUANTITE &gt; 0; ","")&amp;IF($J147="","EMPL. DESTINATION; ",""),IF($T147="BLOQUE","Envoi parent en anomalie ("&amp;$S147&amp;") : corriger l'onglet SOUS_TRAITANCE.",IF(AND($E147&lt;&gt;"",ISNA(MATCH($E147,LOT_KEY,0))),"Creer la fiche du lot resultat dans l'onglet LOTS.",""))))</f>
        <v/>
      </c>
      <c r="W147" s="31" t="str">
        <f aca="false">IF($B147="","",IF($C147&lt;&gt;"",$C147,IFERROR(INDEX(ST_DATERET,MATCH($B147,ST_ID,0)),"")))</f>
        <v/>
      </c>
      <c r="X147" s="26" t="str">
        <f aca="false">IF($Q147=0,"",IF($L147=R_LOT,IF($N147&lt;&gt;R_LOT,$N147,""),IF($N147=R_LOT,$L147,"")))</f>
        <v/>
      </c>
      <c r="Y147" s="26" t="str">
        <f aca="false">IF($X147="","",IF(COUNTIF($X$4:$X146,$X147)&gt;0,"",COUNT($Y$4:$Y146)+1))</f>
        <v/>
      </c>
      <c r="Z147" s="26" t="n">
        <f aca="false">IF($Q147=0,0,IF(OR($L147=R_LOT,$N147=R_LOT),1,0))</f>
        <v>0</v>
      </c>
      <c r="AA147" s="26" t="str">
        <f aca="false">IF($Z147=0,"",COUNTIF($Z$5:$Z147,1))</f>
        <v/>
      </c>
    </row>
    <row r="148" customFormat="false" ht="15" hidden="false" customHeight="false" outlineLevel="0" collapsed="false">
      <c r="A148" s="26" t="str">
        <f aca="false">IF($B148="","","RES-"&amp;TEXT(ROW()-4,"000"))</f>
        <v/>
      </c>
      <c r="B148" s="24"/>
      <c r="C148" s="25"/>
      <c r="D148" s="24"/>
      <c r="E148" s="24"/>
      <c r="F148" s="29"/>
      <c r="G148" s="24"/>
      <c r="H148" s="24"/>
      <c r="I148" s="24"/>
      <c r="J148" s="24"/>
      <c r="K148" s="24"/>
      <c r="L148" s="26" t="str">
        <f aca="false">IF($B148="","",IFERROR(INDEX(ST_LOT,MATCH($B148,ST_ID,0)),""))</f>
        <v/>
      </c>
      <c r="M148" s="26" t="str">
        <f aca="false">IF($B148="","",IFERROR(INDEX(ST_STRAIT,MATCH($B148,ST_ID,0)),""))</f>
        <v/>
      </c>
      <c r="N148" s="26" t="str">
        <f aca="false">IF($B148="","",IF($E148="",$L148,$E148))</f>
        <v/>
      </c>
      <c r="O148" s="26" t="str">
        <f aca="false">IF($N148="","",IFERROR(INDEX(LOT_EXTE,MATCH($N148,LOT_KEY,0)),""))</f>
        <v/>
      </c>
      <c r="P148" s="26" t="str">
        <f aca="false">IF($J148="","",IFERROR(INDEX(EMPL_CLASSE,MATCH($J148,EMPL_KEY,0)),"?"))</f>
        <v/>
      </c>
      <c r="Q148" s="28" t="n">
        <f aca="false">IF($B148="",0,IF(OR(ISNA(MATCH($B148,ST_ID,0)),NOT(ISNUMBER($F148)),$F148&lt;=0,$J148="",$N148=""),0,1))</f>
        <v>0</v>
      </c>
      <c r="R148" s="27" t="n">
        <f aca="false">IF($Q148=0,0,$F148)</f>
        <v>0</v>
      </c>
      <c r="S148" s="26" t="str">
        <f aca="false">IF($B148="","",IFERROR(INDEX(ST_STATUT,MATCH($B148,ST_ID,0)),""))</f>
        <v/>
      </c>
      <c r="T148" s="26" t="str">
        <f aca="false">IF($B148="","",IF($Q148=0,"DONNEES MANQUANTES",IF(OR($S148="DONNEES MANQUANTES",$S148="STOCK INSUFFISANT",$S148="EMPLACEMENT INCOHERENT",$S148="BLOQUE"),"BLOQUE","OK")))</f>
        <v/>
      </c>
      <c r="U148" s="28" t="n">
        <f aca="false">IF($T148="OK",1,0)</f>
        <v>0</v>
      </c>
      <c r="V148" s="26" t="str">
        <f aca="false">IF($B148="","",IF($Q148=0,"A COMPLETER : "&amp;IF(ISNA(MATCH($B148,ST_ID,0)),"ID ST valide; ","")&amp;IF(OR(NOT(ISNUMBER($F148)),$F148&lt;=0),"QUANTITE &gt; 0; ","")&amp;IF($J148="","EMPL. DESTINATION; ",""),IF($T148="BLOQUE","Envoi parent en anomalie ("&amp;$S148&amp;") : corriger l'onglet SOUS_TRAITANCE.",IF(AND($E148&lt;&gt;"",ISNA(MATCH($E148,LOT_KEY,0))),"Creer la fiche du lot resultat dans l'onglet LOTS.",""))))</f>
        <v/>
      </c>
      <c r="W148" s="31" t="str">
        <f aca="false">IF($B148="","",IF($C148&lt;&gt;"",$C148,IFERROR(INDEX(ST_DATERET,MATCH($B148,ST_ID,0)),"")))</f>
        <v/>
      </c>
      <c r="X148" s="26" t="str">
        <f aca="false">IF($Q148=0,"",IF($L148=R_LOT,IF($N148&lt;&gt;R_LOT,$N148,""),IF($N148=R_LOT,$L148,"")))</f>
        <v/>
      </c>
      <c r="Y148" s="26" t="str">
        <f aca="false">IF($X148="","",IF(COUNTIF($X$4:$X147,$X148)&gt;0,"",COUNT($Y$4:$Y147)+1))</f>
        <v/>
      </c>
      <c r="Z148" s="26" t="n">
        <f aca="false">IF($Q148=0,0,IF(OR($L148=R_LOT,$N148=R_LOT),1,0))</f>
        <v>0</v>
      </c>
      <c r="AA148" s="26" t="str">
        <f aca="false">IF($Z148=0,"",COUNTIF($Z$5:$Z148,1))</f>
        <v/>
      </c>
    </row>
    <row r="149" customFormat="false" ht="15" hidden="false" customHeight="false" outlineLevel="0" collapsed="false">
      <c r="A149" s="26" t="str">
        <f aca="false">IF($B149="","","RES-"&amp;TEXT(ROW()-4,"000"))</f>
        <v/>
      </c>
      <c r="B149" s="24"/>
      <c r="C149" s="25"/>
      <c r="D149" s="24"/>
      <c r="E149" s="24"/>
      <c r="F149" s="29"/>
      <c r="G149" s="24"/>
      <c r="H149" s="24"/>
      <c r="I149" s="24"/>
      <c r="J149" s="24"/>
      <c r="K149" s="24"/>
      <c r="L149" s="26" t="str">
        <f aca="false">IF($B149="","",IFERROR(INDEX(ST_LOT,MATCH($B149,ST_ID,0)),""))</f>
        <v/>
      </c>
      <c r="M149" s="26" t="str">
        <f aca="false">IF($B149="","",IFERROR(INDEX(ST_STRAIT,MATCH($B149,ST_ID,0)),""))</f>
        <v/>
      </c>
      <c r="N149" s="26" t="str">
        <f aca="false">IF($B149="","",IF($E149="",$L149,$E149))</f>
        <v/>
      </c>
      <c r="O149" s="26" t="str">
        <f aca="false">IF($N149="","",IFERROR(INDEX(LOT_EXTE,MATCH($N149,LOT_KEY,0)),""))</f>
        <v/>
      </c>
      <c r="P149" s="26" t="str">
        <f aca="false">IF($J149="","",IFERROR(INDEX(EMPL_CLASSE,MATCH($J149,EMPL_KEY,0)),"?"))</f>
        <v/>
      </c>
      <c r="Q149" s="28" t="n">
        <f aca="false">IF($B149="",0,IF(OR(ISNA(MATCH($B149,ST_ID,0)),NOT(ISNUMBER($F149)),$F149&lt;=0,$J149="",$N149=""),0,1))</f>
        <v>0</v>
      </c>
      <c r="R149" s="27" t="n">
        <f aca="false">IF($Q149=0,0,$F149)</f>
        <v>0</v>
      </c>
      <c r="S149" s="26" t="str">
        <f aca="false">IF($B149="","",IFERROR(INDEX(ST_STATUT,MATCH($B149,ST_ID,0)),""))</f>
        <v/>
      </c>
      <c r="T149" s="26" t="str">
        <f aca="false">IF($B149="","",IF($Q149=0,"DONNEES MANQUANTES",IF(OR($S149="DONNEES MANQUANTES",$S149="STOCK INSUFFISANT",$S149="EMPLACEMENT INCOHERENT",$S149="BLOQUE"),"BLOQUE","OK")))</f>
        <v/>
      </c>
      <c r="U149" s="28" t="n">
        <f aca="false">IF($T149="OK",1,0)</f>
        <v>0</v>
      </c>
      <c r="V149" s="26" t="str">
        <f aca="false">IF($B149="","",IF($Q149=0,"A COMPLETER : "&amp;IF(ISNA(MATCH($B149,ST_ID,0)),"ID ST valide; ","")&amp;IF(OR(NOT(ISNUMBER($F149)),$F149&lt;=0),"QUANTITE &gt; 0; ","")&amp;IF($J149="","EMPL. DESTINATION; ",""),IF($T149="BLOQUE","Envoi parent en anomalie ("&amp;$S149&amp;") : corriger l'onglet SOUS_TRAITANCE.",IF(AND($E149&lt;&gt;"",ISNA(MATCH($E149,LOT_KEY,0))),"Creer la fiche du lot resultat dans l'onglet LOTS.",""))))</f>
        <v/>
      </c>
      <c r="W149" s="31" t="str">
        <f aca="false">IF($B149="","",IF($C149&lt;&gt;"",$C149,IFERROR(INDEX(ST_DATERET,MATCH($B149,ST_ID,0)),"")))</f>
        <v/>
      </c>
      <c r="X149" s="26" t="str">
        <f aca="false">IF($Q149=0,"",IF($L149=R_LOT,IF($N149&lt;&gt;R_LOT,$N149,""),IF($N149=R_LOT,$L149,"")))</f>
        <v/>
      </c>
      <c r="Y149" s="26" t="str">
        <f aca="false">IF($X149="","",IF(COUNTIF($X$4:$X148,$X149)&gt;0,"",COUNT($Y$4:$Y148)+1))</f>
        <v/>
      </c>
      <c r="Z149" s="26" t="n">
        <f aca="false">IF($Q149=0,0,IF(OR($L149=R_LOT,$N149=R_LOT),1,0))</f>
        <v>0</v>
      </c>
      <c r="AA149" s="26" t="str">
        <f aca="false">IF($Z149=0,"",COUNTIF($Z$5:$Z149,1))</f>
        <v/>
      </c>
    </row>
    <row r="150" customFormat="false" ht="15" hidden="false" customHeight="false" outlineLevel="0" collapsed="false">
      <c r="A150" s="26" t="str">
        <f aca="false">IF($B150="","","RES-"&amp;TEXT(ROW()-4,"000"))</f>
        <v/>
      </c>
      <c r="B150" s="24"/>
      <c r="C150" s="25"/>
      <c r="D150" s="24"/>
      <c r="E150" s="24"/>
      <c r="F150" s="29"/>
      <c r="G150" s="24"/>
      <c r="H150" s="24"/>
      <c r="I150" s="24"/>
      <c r="J150" s="24"/>
      <c r="K150" s="24"/>
      <c r="L150" s="26" t="str">
        <f aca="false">IF($B150="","",IFERROR(INDEX(ST_LOT,MATCH($B150,ST_ID,0)),""))</f>
        <v/>
      </c>
      <c r="M150" s="26" t="str">
        <f aca="false">IF($B150="","",IFERROR(INDEX(ST_STRAIT,MATCH($B150,ST_ID,0)),""))</f>
        <v/>
      </c>
      <c r="N150" s="26" t="str">
        <f aca="false">IF($B150="","",IF($E150="",$L150,$E150))</f>
        <v/>
      </c>
      <c r="O150" s="26" t="str">
        <f aca="false">IF($N150="","",IFERROR(INDEX(LOT_EXTE,MATCH($N150,LOT_KEY,0)),""))</f>
        <v/>
      </c>
      <c r="P150" s="26" t="str">
        <f aca="false">IF($J150="","",IFERROR(INDEX(EMPL_CLASSE,MATCH($J150,EMPL_KEY,0)),"?"))</f>
        <v/>
      </c>
      <c r="Q150" s="28" t="n">
        <f aca="false">IF($B150="",0,IF(OR(ISNA(MATCH($B150,ST_ID,0)),NOT(ISNUMBER($F150)),$F150&lt;=0,$J150="",$N150=""),0,1))</f>
        <v>0</v>
      </c>
      <c r="R150" s="27" t="n">
        <f aca="false">IF($Q150=0,0,$F150)</f>
        <v>0</v>
      </c>
      <c r="S150" s="26" t="str">
        <f aca="false">IF($B150="","",IFERROR(INDEX(ST_STATUT,MATCH($B150,ST_ID,0)),""))</f>
        <v/>
      </c>
      <c r="T150" s="26" t="str">
        <f aca="false">IF($B150="","",IF($Q150=0,"DONNEES MANQUANTES",IF(OR($S150="DONNEES MANQUANTES",$S150="STOCK INSUFFISANT",$S150="EMPLACEMENT INCOHERENT",$S150="BLOQUE"),"BLOQUE","OK")))</f>
        <v/>
      </c>
      <c r="U150" s="28" t="n">
        <f aca="false">IF($T150="OK",1,0)</f>
        <v>0</v>
      </c>
      <c r="V150" s="26" t="str">
        <f aca="false">IF($B150="","",IF($Q150=0,"A COMPLETER : "&amp;IF(ISNA(MATCH($B150,ST_ID,0)),"ID ST valide; ","")&amp;IF(OR(NOT(ISNUMBER($F150)),$F150&lt;=0),"QUANTITE &gt; 0; ","")&amp;IF($J150="","EMPL. DESTINATION; ",""),IF($T150="BLOQUE","Envoi parent en anomalie ("&amp;$S150&amp;") : corriger l'onglet SOUS_TRAITANCE.",IF(AND($E150&lt;&gt;"",ISNA(MATCH($E150,LOT_KEY,0))),"Creer la fiche du lot resultat dans l'onglet LOTS.",""))))</f>
        <v/>
      </c>
      <c r="W150" s="31" t="str">
        <f aca="false">IF($B150="","",IF($C150&lt;&gt;"",$C150,IFERROR(INDEX(ST_DATERET,MATCH($B150,ST_ID,0)),"")))</f>
        <v/>
      </c>
      <c r="X150" s="26" t="str">
        <f aca="false">IF($Q150=0,"",IF($L150=R_LOT,IF($N150&lt;&gt;R_LOT,$N150,""),IF($N150=R_LOT,$L150,"")))</f>
        <v/>
      </c>
      <c r="Y150" s="26" t="str">
        <f aca="false">IF($X150="","",IF(COUNTIF($X$4:$X149,$X150)&gt;0,"",COUNT($Y$4:$Y149)+1))</f>
        <v/>
      </c>
      <c r="Z150" s="26" t="n">
        <f aca="false">IF($Q150=0,0,IF(OR($L150=R_LOT,$N150=R_LOT),1,0))</f>
        <v>0</v>
      </c>
      <c r="AA150" s="26" t="str">
        <f aca="false">IF($Z150=0,"",COUNTIF($Z$5:$Z150,1))</f>
        <v/>
      </c>
    </row>
    <row r="151" customFormat="false" ht="15" hidden="false" customHeight="false" outlineLevel="0" collapsed="false">
      <c r="A151" s="26" t="str">
        <f aca="false">IF($B151="","","RES-"&amp;TEXT(ROW()-4,"000"))</f>
        <v/>
      </c>
      <c r="B151" s="24"/>
      <c r="C151" s="25"/>
      <c r="D151" s="24"/>
      <c r="E151" s="24"/>
      <c r="F151" s="29"/>
      <c r="G151" s="24"/>
      <c r="H151" s="24"/>
      <c r="I151" s="24"/>
      <c r="J151" s="24"/>
      <c r="K151" s="24"/>
      <c r="L151" s="26" t="str">
        <f aca="false">IF($B151="","",IFERROR(INDEX(ST_LOT,MATCH($B151,ST_ID,0)),""))</f>
        <v/>
      </c>
      <c r="M151" s="26" t="str">
        <f aca="false">IF($B151="","",IFERROR(INDEX(ST_STRAIT,MATCH($B151,ST_ID,0)),""))</f>
        <v/>
      </c>
      <c r="N151" s="26" t="str">
        <f aca="false">IF($B151="","",IF($E151="",$L151,$E151))</f>
        <v/>
      </c>
      <c r="O151" s="26" t="str">
        <f aca="false">IF($N151="","",IFERROR(INDEX(LOT_EXTE,MATCH($N151,LOT_KEY,0)),""))</f>
        <v/>
      </c>
      <c r="P151" s="26" t="str">
        <f aca="false">IF($J151="","",IFERROR(INDEX(EMPL_CLASSE,MATCH($J151,EMPL_KEY,0)),"?"))</f>
        <v/>
      </c>
      <c r="Q151" s="28" t="n">
        <f aca="false">IF($B151="",0,IF(OR(ISNA(MATCH($B151,ST_ID,0)),NOT(ISNUMBER($F151)),$F151&lt;=0,$J151="",$N151=""),0,1))</f>
        <v>0</v>
      </c>
      <c r="R151" s="27" t="n">
        <f aca="false">IF($Q151=0,0,$F151)</f>
        <v>0</v>
      </c>
      <c r="S151" s="26" t="str">
        <f aca="false">IF($B151="","",IFERROR(INDEX(ST_STATUT,MATCH($B151,ST_ID,0)),""))</f>
        <v/>
      </c>
      <c r="T151" s="26" t="str">
        <f aca="false">IF($B151="","",IF($Q151=0,"DONNEES MANQUANTES",IF(OR($S151="DONNEES MANQUANTES",$S151="STOCK INSUFFISANT",$S151="EMPLACEMENT INCOHERENT",$S151="BLOQUE"),"BLOQUE","OK")))</f>
        <v/>
      </c>
      <c r="U151" s="28" t="n">
        <f aca="false">IF($T151="OK",1,0)</f>
        <v>0</v>
      </c>
      <c r="V151" s="26" t="str">
        <f aca="false">IF($B151="","",IF($Q151=0,"A COMPLETER : "&amp;IF(ISNA(MATCH($B151,ST_ID,0)),"ID ST valide; ","")&amp;IF(OR(NOT(ISNUMBER($F151)),$F151&lt;=0),"QUANTITE &gt; 0; ","")&amp;IF($J151="","EMPL. DESTINATION; ",""),IF($T151="BLOQUE","Envoi parent en anomalie ("&amp;$S151&amp;") : corriger l'onglet SOUS_TRAITANCE.",IF(AND($E151&lt;&gt;"",ISNA(MATCH($E151,LOT_KEY,0))),"Creer la fiche du lot resultat dans l'onglet LOTS.",""))))</f>
        <v/>
      </c>
      <c r="W151" s="31" t="str">
        <f aca="false">IF($B151="","",IF($C151&lt;&gt;"",$C151,IFERROR(INDEX(ST_DATERET,MATCH($B151,ST_ID,0)),"")))</f>
        <v/>
      </c>
      <c r="X151" s="26" t="str">
        <f aca="false">IF($Q151=0,"",IF($L151=R_LOT,IF($N151&lt;&gt;R_LOT,$N151,""),IF($N151=R_LOT,$L151,"")))</f>
        <v/>
      </c>
      <c r="Y151" s="26" t="str">
        <f aca="false">IF($X151="","",IF(COUNTIF($X$4:$X150,$X151)&gt;0,"",COUNT($Y$4:$Y150)+1))</f>
        <v/>
      </c>
      <c r="Z151" s="26" t="n">
        <f aca="false">IF($Q151=0,0,IF(OR($L151=R_LOT,$N151=R_LOT),1,0))</f>
        <v>0</v>
      </c>
      <c r="AA151" s="26" t="str">
        <f aca="false">IF($Z151=0,"",COUNTIF($Z$5:$Z151,1))</f>
        <v/>
      </c>
    </row>
    <row r="152" customFormat="false" ht="15" hidden="false" customHeight="false" outlineLevel="0" collapsed="false">
      <c r="A152" s="26" t="str">
        <f aca="false">IF($B152="","","RES-"&amp;TEXT(ROW()-4,"000"))</f>
        <v/>
      </c>
      <c r="B152" s="24"/>
      <c r="C152" s="25"/>
      <c r="D152" s="24"/>
      <c r="E152" s="24"/>
      <c r="F152" s="29"/>
      <c r="G152" s="24"/>
      <c r="H152" s="24"/>
      <c r="I152" s="24"/>
      <c r="J152" s="24"/>
      <c r="K152" s="24"/>
      <c r="L152" s="26" t="str">
        <f aca="false">IF($B152="","",IFERROR(INDEX(ST_LOT,MATCH($B152,ST_ID,0)),""))</f>
        <v/>
      </c>
      <c r="M152" s="26" t="str">
        <f aca="false">IF($B152="","",IFERROR(INDEX(ST_STRAIT,MATCH($B152,ST_ID,0)),""))</f>
        <v/>
      </c>
      <c r="N152" s="26" t="str">
        <f aca="false">IF($B152="","",IF($E152="",$L152,$E152))</f>
        <v/>
      </c>
      <c r="O152" s="26" t="str">
        <f aca="false">IF($N152="","",IFERROR(INDEX(LOT_EXTE,MATCH($N152,LOT_KEY,0)),""))</f>
        <v/>
      </c>
      <c r="P152" s="26" t="str">
        <f aca="false">IF($J152="","",IFERROR(INDEX(EMPL_CLASSE,MATCH($J152,EMPL_KEY,0)),"?"))</f>
        <v/>
      </c>
      <c r="Q152" s="28" t="n">
        <f aca="false">IF($B152="",0,IF(OR(ISNA(MATCH($B152,ST_ID,0)),NOT(ISNUMBER($F152)),$F152&lt;=0,$J152="",$N152=""),0,1))</f>
        <v>0</v>
      </c>
      <c r="R152" s="27" t="n">
        <f aca="false">IF($Q152=0,0,$F152)</f>
        <v>0</v>
      </c>
      <c r="S152" s="26" t="str">
        <f aca="false">IF($B152="","",IFERROR(INDEX(ST_STATUT,MATCH($B152,ST_ID,0)),""))</f>
        <v/>
      </c>
      <c r="T152" s="26" t="str">
        <f aca="false">IF($B152="","",IF($Q152=0,"DONNEES MANQUANTES",IF(OR($S152="DONNEES MANQUANTES",$S152="STOCK INSUFFISANT",$S152="EMPLACEMENT INCOHERENT",$S152="BLOQUE"),"BLOQUE","OK")))</f>
        <v/>
      </c>
      <c r="U152" s="28" t="n">
        <f aca="false">IF($T152="OK",1,0)</f>
        <v>0</v>
      </c>
      <c r="V152" s="26" t="str">
        <f aca="false">IF($B152="","",IF($Q152=0,"A COMPLETER : "&amp;IF(ISNA(MATCH($B152,ST_ID,0)),"ID ST valide; ","")&amp;IF(OR(NOT(ISNUMBER($F152)),$F152&lt;=0),"QUANTITE &gt; 0; ","")&amp;IF($J152="","EMPL. DESTINATION; ",""),IF($T152="BLOQUE","Envoi parent en anomalie ("&amp;$S152&amp;") : corriger l'onglet SOUS_TRAITANCE.",IF(AND($E152&lt;&gt;"",ISNA(MATCH($E152,LOT_KEY,0))),"Creer la fiche du lot resultat dans l'onglet LOTS.",""))))</f>
        <v/>
      </c>
      <c r="W152" s="31" t="str">
        <f aca="false">IF($B152="","",IF($C152&lt;&gt;"",$C152,IFERROR(INDEX(ST_DATERET,MATCH($B152,ST_ID,0)),"")))</f>
        <v/>
      </c>
      <c r="X152" s="26" t="str">
        <f aca="false">IF($Q152=0,"",IF($L152=R_LOT,IF($N152&lt;&gt;R_LOT,$N152,""),IF($N152=R_LOT,$L152,"")))</f>
        <v/>
      </c>
      <c r="Y152" s="26" t="str">
        <f aca="false">IF($X152="","",IF(COUNTIF($X$4:$X151,$X152)&gt;0,"",COUNT($Y$4:$Y151)+1))</f>
        <v/>
      </c>
      <c r="Z152" s="26" t="n">
        <f aca="false">IF($Q152=0,0,IF(OR($L152=R_LOT,$N152=R_LOT),1,0))</f>
        <v>0</v>
      </c>
      <c r="AA152" s="26" t="str">
        <f aca="false">IF($Z152=0,"",COUNTIF($Z$5:$Z152,1))</f>
        <v/>
      </c>
    </row>
    <row r="153" customFormat="false" ht="15" hidden="false" customHeight="false" outlineLevel="0" collapsed="false">
      <c r="A153" s="26" t="str">
        <f aca="false">IF($B153="","","RES-"&amp;TEXT(ROW()-4,"000"))</f>
        <v/>
      </c>
      <c r="B153" s="24"/>
      <c r="C153" s="25"/>
      <c r="D153" s="24"/>
      <c r="E153" s="24"/>
      <c r="F153" s="29"/>
      <c r="G153" s="24"/>
      <c r="H153" s="24"/>
      <c r="I153" s="24"/>
      <c r="J153" s="24"/>
      <c r="K153" s="24"/>
      <c r="L153" s="26" t="str">
        <f aca="false">IF($B153="","",IFERROR(INDEX(ST_LOT,MATCH($B153,ST_ID,0)),""))</f>
        <v/>
      </c>
      <c r="M153" s="26" t="str">
        <f aca="false">IF($B153="","",IFERROR(INDEX(ST_STRAIT,MATCH($B153,ST_ID,0)),""))</f>
        <v/>
      </c>
      <c r="N153" s="26" t="str">
        <f aca="false">IF($B153="","",IF($E153="",$L153,$E153))</f>
        <v/>
      </c>
      <c r="O153" s="26" t="str">
        <f aca="false">IF($N153="","",IFERROR(INDEX(LOT_EXTE,MATCH($N153,LOT_KEY,0)),""))</f>
        <v/>
      </c>
      <c r="P153" s="26" t="str">
        <f aca="false">IF($J153="","",IFERROR(INDEX(EMPL_CLASSE,MATCH($J153,EMPL_KEY,0)),"?"))</f>
        <v/>
      </c>
      <c r="Q153" s="28" t="n">
        <f aca="false">IF($B153="",0,IF(OR(ISNA(MATCH($B153,ST_ID,0)),NOT(ISNUMBER($F153)),$F153&lt;=0,$J153="",$N153=""),0,1))</f>
        <v>0</v>
      </c>
      <c r="R153" s="27" t="n">
        <f aca="false">IF($Q153=0,0,$F153)</f>
        <v>0</v>
      </c>
      <c r="S153" s="26" t="str">
        <f aca="false">IF($B153="","",IFERROR(INDEX(ST_STATUT,MATCH($B153,ST_ID,0)),""))</f>
        <v/>
      </c>
      <c r="T153" s="26" t="str">
        <f aca="false">IF($B153="","",IF($Q153=0,"DONNEES MANQUANTES",IF(OR($S153="DONNEES MANQUANTES",$S153="STOCK INSUFFISANT",$S153="EMPLACEMENT INCOHERENT",$S153="BLOQUE"),"BLOQUE","OK")))</f>
        <v/>
      </c>
      <c r="U153" s="28" t="n">
        <f aca="false">IF($T153="OK",1,0)</f>
        <v>0</v>
      </c>
      <c r="V153" s="26" t="str">
        <f aca="false">IF($B153="","",IF($Q153=0,"A COMPLETER : "&amp;IF(ISNA(MATCH($B153,ST_ID,0)),"ID ST valide; ","")&amp;IF(OR(NOT(ISNUMBER($F153)),$F153&lt;=0),"QUANTITE &gt; 0; ","")&amp;IF($J153="","EMPL. DESTINATION; ",""),IF($T153="BLOQUE","Envoi parent en anomalie ("&amp;$S153&amp;") : corriger l'onglet SOUS_TRAITANCE.",IF(AND($E153&lt;&gt;"",ISNA(MATCH($E153,LOT_KEY,0))),"Creer la fiche du lot resultat dans l'onglet LOTS.",""))))</f>
        <v/>
      </c>
      <c r="W153" s="31" t="str">
        <f aca="false">IF($B153="","",IF($C153&lt;&gt;"",$C153,IFERROR(INDEX(ST_DATERET,MATCH($B153,ST_ID,0)),"")))</f>
        <v/>
      </c>
      <c r="X153" s="26" t="str">
        <f aca="false">IF($Q153=0,"",IF($L153=R_LOT,IF($N153&lt;&gt;R_LOT,$N153,""),IF($N153=R_LOT,$L153,"")))</f>
        <v/>
      </c>
      <c r="Y153" s="26" t="str">
        <f aca="false">IF($X153="","",IF(COUNTIF($X$4:$X152,$X153)&gt;0,"",COUNT($Y$4:$Y152)+1))</f>
        <v/>
      </c>
      <c r="Z153" s="26" t="n">
        <f aca="false">IF($Q153=0,0,IF(OR($L153=R_LOT,$N153=R_LOT),1,0))</f>
        <v>0</v>
      </c>
      <c r="AA153" s="26" t="str">
        <f aca="false">IF($Z153=0,"",COUNTIF($Z$5:$Z153,1))</f>
        <v/>
      </c>
    </row>
    <row r="154" customFormat="false" ht="15" hidden="false" customHeight="false" outlineLevel="0" collapsed="false">
      <c r="A154" s="26" t="str">
        <f aca="false">IF($B154="","","RES-"&amp;TEXT(ROW()-4,"000"))</f>
        <v/>
      </c>
      <c r="B154" s="24"/>
      <c r="C154" s="25"/>
      <c r="D154" s="24"/>
      <c r="E154" s="24"/>
      <c r="F154" s="29"/>
      <c r="G154" s="24"/>
      <c r="H154" s="24"/>
      <c r="I154" s="24"/>
      <c r="J154" s="24"/>
      <c r="K154" s="24"/>
      <c r="L154" s="26" t="str">
        <f aca="false">IF($B154="","",IFERROR(INDEX(ST_LOT,MATCH($B154,ST_ID,0)),""))</f>
        <v/>
      </c>
      <c r="M154" s="26" t="str">
        <f aca="false">IF($B154="","",IFERROR(INDEX(ST_STRAIT,MATCH($B154,ST_ID,0)),""))</f>
        <v/>
      </c>
      <c r="N154" s="26" t="str">
        <f aca="false">IF($B154="","",IF($E154="",$L154,$E154))</f>
        <v/>
      </c>
      <c r="O154" s="26" t="str">
        <f aca="false">IF($N154="","",IFERROR(INDEX(LOT_EXTE,MATCH($N154,LOT_KEY,0)),""))</f>
        <v/>
      </c>
      <c r="P154" s="26" t="str">
        <f aca="false">IF($J154="","",IFERROR(INDEX(EMPL_CLASSE,MATCH($J154,EMPL_KEY,0)),"?"))</f>
        <v/>
      </c>
      <c r="Q154" s="28" t="n">
        <f aca="false">IF($B154="",0,IF(OR(ISNA(MATCH($B154,ST_ID,0)),NOT(ISNUMBER($F154)),$F154&lt;=0,$J154="",$N154=""),0,1))</f>
        <v>0</v>
      </c>
      <c r="R154" s="27" t="n">
        <f aca="false">IF($Q154=0,0,$F154)</f>
        <v>0</v>
      </c>
      <c r="S154" s="26" t="str">
        <f aca="false">IF($B154="","",IFERROR(INDEX(ST_STATUT,MATCH($B154,ST_ID,0)),""))</f>
        <v/>
      </c>
      <c r="T154" s="26" t="str">
        <f aca="false">IF($B154="","",IF($Q154=0,"DONNEES MANQUANTES",IF(OR($S154="DONNEES MANQUANTES",$S154="STOCK INSUFFISANT",$S154="EMPLACEMENT INCOHERENT",$S154="BLOQUE"),"BLOQUE","OK")))</f>
        <v/>
      </c>
      <c r="U154" s="28" t="n">
        <f aca="false">IF($T154="OK",1,0)</f>
        <v>0</v>
      </c>
      <c r="V154" s="26" t="str">
        <f aca="false">IF($B154="","",IF($Q154=0,"A COMPLETER : "&amp;IF(ISNA(MATCH($B154,ST_ID,0)),"ID ST valide; ","")&amp;IF(OR(NOT(ISNUMBER($F154)),$F154&lt;=0),"QUANTITE &gt; 0; ","")&amp;IF($J154="","EMPL. DESTINATION; ",""),IF($T154="BLOQUE","Envoi parent en anomalie ("&amp;$S154&amp;") : corriger l'onglet SOUS_TRAITANCE.",IF(AND($E154&lt;&gt;"",ISNA(MATCH($E154,LOT_KEY,0))),"Creer la fiche du lot resultat dans l'onglet LOTS.",""))))</f>
        <v/>
      </c>
      <c r="W154" s="31" t="str">
        <f aca="false">IF($B154="","",IF($C154&lt;&gt;"",$C154,IFERROR(INDEX(ST_DATERET,MATCH($B154,ST_ID,0)),"")))</f>
        <v/>
      </c>
      <c r="X154" s="26" t="str">
        <f aca="false">IF($Q154=0,"",IF($L154=R_LOT,IF($N154&lt;&gt;R_LOT,$N154,""),IF($N154=R_LOT,$L154,"")))</f>
        <v/>
      </c>
      <c r="Y154" s="26" t="str">
        <f aca="false">IF($X154="","",IF(COUNTIF($X$4:$X153,$X154)&gt;0,"",COUNT($Y$4:$Y153)+1))</f>
        <v/>
      </c>
      <c r="Z154" s="26" t="n">
        <f aca="false">IF($Q154=0,0,IF(OR($L154=R_LOT,$N154=R_LOT),1,0))</f>
        <v>0</v>
      </c>
      <c r="AA154" s="26" t="str">
        <f aca="false">IF($Z154=0,"",COUNTIF($Z$5:$Z154,1))</f>
        <v/>
      </c>
    </row>
    <row r="155" customFormat="false" ht="15" hidden="false" customHeight="false" outlineLevel="0" collapsed="false">
      <c r="A155" s="26" t="str">
        <f aca="false">IF($B155="","","RES-"&amp;TEXT(ROW()-4,"000"))</f>
        <v/>
      </c>
      <c r="B155" s="24"/>
      <c r="C155" s="25"/>
      <c r="D155" s="24"/>
      <c r="E155" s="24"/>
      <c r="F155" s="29"/>
      <c r="G155" s="24"/>
      <c r="H155" s="24"/>
      <c r="I155" s="24"/>
      <c r="J155" s="24"/>
      <c r="K155" s="24"/>
      <c r="L155" s="26" t="str">
        <f aca="false">IF($B155="","",IFERROR(INDEX(ST_LOT,MATCH($B155,ST_ID,0)),""))</f>
        <v/>
      </c>
      <c r="M155" s="26" t="str">
        <f aca="false">IF($B155="","",IFERROR(INDEX(ST_STRAIT,MATCH($B155,ST_ID,0)),""))</f>
        <v/>
      </c>
      <c r="N155" s="26" t="str">
        <f aca="false">IF($B155="","",IF($E155="",$L155,$E155))</f>
        <v/>
      </c>
      <c r="O155" s="26" t="str">
        <f aca="false">IF($N155="","",IFERROR(INDEX(LOT_EXTE,MATCH($N155,LOT_KEY,0)),""))</f>
        <v/>
      </c>
      <c r="P155" s="26" t="str">
        <f aca="false">IF($J155="","",IFERROR(INDEX(EMPL_CLASSE,MATCH($J155,EMPL_KEY,0)),"?"))</f>
        <v/>
      </c>
      <c r="Q155" s="28" t="n">
        <f aca="false">IF($B155="",0,IF(OR(ISNA(MATCH($B155,ST_ID,0)),NOT(ISNUMBER($F155)),$F155&lt;=0,$J155="",$N155=""),0,1))</f>
        <v>0</v>
      </c>
      <c r="R155" s="27" t="n">
        <f aca="false">IF($Q155=0,0,$F155)</f>
        <v>0</v>
      </c>
      <c r="S155" s="26" t="str">
        <f aca="false">IF($B155="","",IFERROR(INDEX(ST_STATUT,MATCH($B155,ST_ID,0)),""))</f>
        <v/>
      </c>
      <c r="T155" s="26" t="str">
        <f aca="false">IF($B155="","",IF($Q155=0,"DONNEES MANQUANTES",IF(OR($S155="DONNEES MANQUANTES",$S155="STOCK INSUFFISANT",$S155="EMPLACEMENT INCOHERENT",$S155="BLOQUE"),"BLOQUE","OK")))</f>
        <v/>
      </c>
      <c r="U155" s="28" t="n">
        <f aca="false">IF($T155="OK",1,0)</f>
        <v>0</v>
      </c>
      <c r="V155" s="26" t="str">
        <f aca="false">IF($B155="","",IF($Q155=0,"A COMPLETER : "&amp;IF(ISNA(MATCH($B155,ST_ID,0)),"ID ST valide; ","")&amp;IF(OR(NOT(ISNUMBER($F155)),$F155&lt;=0),"QUANTITE &gt; 0; ","")&amp;IF($J155="","EMPL. DESTINATION; ",""),IF($T155="BLOQUE","Envoi parent en anomalie ("&amp;$S155&amp;") : corriger l'onglet SOUS_TRAITANCE.",IF(AND($E155&lt;&gt;"",ISNA(MATCH($E155,LOT_KEY,0))),"Creer la fiche du lot resultat dans l'onglet LOTS.",""))))</f>
        <v/>
      </c>
      <c r="W155" s="31" t="str">
        <f aca="false">IF($B155="","",IF($C155&lt;&gt;"",$C155,IFERROR(INDEX(ST_DATERET,MATCH($B155,ST_ID,0)),"")))</f>
        <v/>
      </c>
      <c r="X155" s="26" t="str">
        <f aca="false">IF($Q155=0,"",IF($L155=R_LOT,IF($N155&lt;&gt;R_LOT,$N155,""),IF($N155=R_LOT,$L155,"")))</f>
        <v/>
      </c>
      <c r="Y155" s="26" t="str">
        <f aca="false">IF($X155="","",IF(COUNTIF($X$4:$X154,$X155)&gt;0,"",COUNT($Y$4:$Y154)+1))</f>
        <v/>
      </c>
      <c r="Z155" s="26" t="n">
        <f aca="false">IF($Q155=0,0,IF(OR($L155=R_LOT,$N155=R_LOT),1,0))</f>
        <v>0</v>
      </c>
      <c r="AA155" s="26" t="str">
        <f aca="false">IF($Z155=0,"",COUNTIF($Z$5:$Z155,1))</f>
        <v/>
      </c>
    </row>
    <row r="156" customFormat="false" ht="15" hidden="false" customHeight="false" outlineLevel="0" collapsed="false">
      <c r="A156" s="26" t="str">
        <f aca="false">IF($B156="","","RES-"&amp;TEXT(ROW()-4,"000"))</f>
        <v/>
      </c>
      <c r="B156" s="24"/>
      <c r="C156" s="25"/>
      <c r="D156" s="24"/>
      <c r="E156" s="24"/>
      <c r="F156" s="29"/>
      <c r="G156" s="24"/>
      <c r="H156" s="24"/>
      <c r="I156" s="24"/>
      <c r="J156" s="24"/>
      <c r="K156" s="24"/>
      <c r="L156" s="26" t="str">
        <f aca="false">IF($B156="","",IFERROR(INDEX(ST_LOT,MATCH($B156,ST_ID,0)),""))</f>
        <v/>
      </c>
      <c r="M156" s="26" t="str">
        <f aca="false">IF($B156="","",IFERROR(INDEX(ST_STRAIT,MATCH($B156,ST_ID,0)),""))</f>
        <v/>
      </c>
      <c r="N156" s="26" t="str">
        <f aca="false">IF($B156="","",IF($E156="",$L156,$E156))</f>
        <v/>
      </c>
      <c r="O156" s="26" t="str">
        <f aca="false">IF($N156="","",IFERROR(INDEX(LOT_EXTE,MATCH($N156,LOT_KEY,0)),""))</f>
        <v/>
      </c>
      <c r="P156" s="26" t="str">
        <f aca="false">IF($J156="","",IFERROR(INDEX(EMPL_CLASSE,MATCH($J156,EMPL_KEY,0)),"?"))</f>
        <v/>
      </c>
      <c r="Q156" s="28" t="n">
        <f aca="false">IF($B156="",0,IF(OR(ISNA(MATCH($B156,ST_ID,0)),NOT(ISNUMBER($F156)),$F156&lt;=0,$J156="",$N156=""),0,1))</f>
        <v>0</v>
      </c>
      <c r="R156" s="27" t="n">
        <f aca="false">IF($Q156=0,0,$F156)</f>
        <v>0</v>
      </c>
      <c r="S156" s="26" t="str">
        <f aca="false">IF($B156="","",IFERROR(INDEX(ST_STATUT,MATCH($B156,ST_ID,0)),""))</f>
        <v/>
      </c>
      <c r="T156" s="26" t="str">
        <f aca="false">IF($B156="","",IF($Q156=0,"DONNEES MANQUANTES",IF(OR($S156="DONNEES MANQUANTES",$S156="STOCK INSUFFISANT",$S156="EMPLACEMENT INCOHERENT",$S156="BLOQUE"),"BLOQUE","OK")))</f>
        <v/>
      </c>
      <c r="U156" s="28" t="n">
        <f aca="false">IF($T156="OK",1,0)</f>
        <v>0</v>
      </c>
      <c r="V156" s="26" t="str">
        <f aca="false">IF($B156="","",IF($Q156=0,"A COMPLETER : "&amp;IF(ISNA(MATCH($B156,ST_ID,0)),"ID ST valide; ","")&amp;IF(OR(NOT(ISNUMBER($F156)),$F156&lt;=0),"QUANTITE &gt; 0; ","")&amp;IF($J156="","EMPL. DESTINATION; ",""),IF($T156="BLOQUE","Envoi parent en anomalie ("&amp;$S156&amp;") : corriger l'onglet SOUS_TRAITANCE.",IF(AND($E156&lt;&gt;"",ISNA(MATCH($E156,LOT_KEY,0))),"Creer la fiche du lot resultat dans l'onglet LOTS.",""))))</f>
        <v/>
      </c>
      <c r="W156" s="31" t="str">
        <f aca="false">IF($B156="","",IF($C156&lt;&gt;"",$C156,IFERROR(INDEX(ST_DATERET,MATCH($B156,ST_ID,0)),"")))</f>
        <v/>
      </c>
      <c r="X156" s="26" t="str">
        <f aca="false">IF($Q156=0,"",IF($L156=R_LOT,IF($N156&lt;&gt;R_LOT,$N156,""),IF($N156=R_LOT,$L156,"")))</f>
        <v/>
      </c>
      <c r="Y156" s="26" t="str">
        <f aca="false">IF($X156="","",IF(COUNTIF($X$4:$X155,$X156)&gt;0,"",COUNT($Y$4:$Y155)+1))</f>
        <v/>
      </c>
      <c r="Z156" s="26" t="n">
        <f aca="false">IF($Q156=0,0,IF(OR($L156=R_LOT,$N156=R_LOT),1,0))</f>
        <v>0</v>
      </c>
      <c r="AA156" s="26" t="str">
        <f aca="false">IF($Z156=0,"",COUNTIF($Z$5:$Z156,1))</f>
        <v/>
      </c>
    </row>
    <row r="157" customFormat="false" ht="15" hidden="false" customHeight="false" outlineLevel="0" collapsed="false">
      <c r="A157" s="26" t="str">
        <f aca="false">IF($B157="","","RES-"&amp;TEXT(ROW()-4,"000"))</f>
        <v/>
      </c>
      <c r="B157" s="24"/>
      <c r="C157" s="25"/>
      <c r="D157" s="24"/>
      <c r="E157" s="24"/>
      <c r="F157" s="29"/>
      <c r="G157" s="24"/>
      <c r="H157" s="24"/>
      <c r="I157" s="24"/>
      <c r="J157" s="24"/>
      <c r="K157" s="24"/>
      <c r="L157" s="26" t="str">
        <f aca="false">IF($B157="","",IFERROR(INDEX(ST_LOT,MATCH($B157,ST_ID,0)),""))</f>
        <v/>
      </c>
      <c r="M157" s="26" t="str">
        <f aca="false">IF($B157="","",IFERROR(INDEX(ST_STRAIT,MATCH($B157,ST_ID,0)),""))</f>
        <v/>
      </c>
      <c r="N157" s="26" t="str">
        <f aca="false">IF($B157="","",IF($E157="",$L157,$E157))</f>
        <v/>
      </c>
      <c r="O157" s="26" t="str">
        <f aca="false">IF($N157="","",IFERROR(INDEX(LOT_EXTE,MATCH($N157,LOT_KEY,0)),""))</f>
        <v/>
      </c>
      <c r="P157" s="26" t="str">
        <f aca="false">IF($J157="","",IFERROR(INDEX(EMPL_CLASSE,MATCH($J157,EMPL_KEY,0)),"?"))</f>
        <v/>
      </c>
      <c r="Q157" s="28" t="n">
        <f aca="false">IF($B157="",0,IF(OR(ISNA(MATCH($B157,ST_ID,0)),NOT(ISNUMBER($F157)),$F157&lt;=0,$J157="",$N157=""),0,1))</f>
        <v>0</v>
      </c>
      <c r="R157" s="27" t="n">
        <f aca="false">IF($Q157=0,0,$F157)</f>
        <v>0</v>
      </c>
      <c r="S157" s="26" t="str">
        <f aca="false">IF($B157="","",IFERROR(INDEX(ST_STATUT,MATCH($B157,ST_ID,0)),""))</f>
        <v/>
      </c>
      <c r="T157" s="26" t="str">
        <f aca="false">IF($B157="","",IF($Q157=0,"DONNEES MANQUANTES",IF(OR($S157="DONNEES MANQUANTES",$S157="STOCK INSUFFISANT",$S157="EMPLACEMENT INCOHERENT",$S157="BLOQUE"),"BLOQUE","OK")))</f>
        <v/>
      </c>
      <c r="U157" s="28" t="n">
        <f aca="false">IF($T157="OK",1,0)</f>
        <v>0</v>
      </c>
      <c r="V157" s="26" t="str">
        <f aca="false">IF($B157="","",IF($Q157=0,"A COMPLETER : "&amp;IF(ISNA(MATCH($B157,ST_ID,0)),"ID ST valide; ","")&amp;IF(OR(NOT(ISNUMBER($F157)),$F157&lt;=0),"QUANTITE &gt; 0; ","")&amp;IF($J157="","EMPL. DESTINATION; ",""),IF($T157="BLOQUE","Envoi parent en anomalie ("&amp;$S157&amp;") : corriger l'onglet SOUS_TRAITANCE.",IF(AND($E157&lt;&gt;"",ISNA(MATCH($E157,LOT_KEY,0))),"Creer la fiche du lot resultat dans l'onglet LOTS.",""))))</f>
        <v/>
      </c>
      <c r="W157" s="31" t="str">
        <f aca="false">IF($B157="","",IF($C157&lt;&gt;"",$C157,IFERROR(INDEX(ST_DATERET,MATCH($B157,ST_ID,0)),"")))</f>
        <v/>
      </c>
      <c r="X157" s="26" t="str">
        <f aca="false">IF($Q157=0,"",IF($L157=R_LOT,IF($N157&lt;&gt;R_LOT,$N157,""),IF($N157=R_LOT,$L157,"")))</f>
        <v/>
      </c>
      <c r="Y157" s="26" t="str">
        <f aca="false">IF($X157="","",IF(COUNTIF($X$4:$X156,$X157)&gt;0,"",COUNT($Y$4:$Y156)+1))</f>
        <v/>
      </c>
      <c r="Z157" s="26" t="n">
        <f aca="false">IF($Q157=0,0,IF(OR($L157=R_LOT,$N157=R_LOT),1,0))</f>
        <v>0</v>
      </c>
      <c r="AA157" s="26" t="str">
        <f aca="false">IF($Z157=0,"",COUNTIF($Z$5:$Z157,1))</f>
        <v/>
      </c>
    </row>
    <row r="158" customFormat="false" ht="15" hidden="false" customHeight="false" outlineLevel="0" collapsed="false">
      <c r="A158" s="26" t="str">
        <f aca="false">IF($B158="","","RES-"&amp;TEXT(ROW()-4,"000"))</f>
        <v/>
      </c>
      <c r="B158" s="24"/>
      <c r="C158" s="25"/>
      <c r="D158" s="24"/>
      <c r="E158" s="24"/>
      <c r="F158" s="29"/>
      <c r="G158" s="24"/>
      <c r="H158" s="24"/>
      <c r="I158" s="24"/>
      <c r="J158" s="24"/>
      <c r="K158" s="24"/>
      <c r="L158" s="26" t="str">
        <f aca="false">IF($B158="","",IFERROR(INDEX(ST_LOT,MATCH($B158,ST_ID,0)),""))</f>
        <v/>
      </c>
      <c r="M158" s="26" t="str">
        <f aca="false">IF($B158="","",IFERROR(INDEX(ST_STRAIT,MATCH($B158,ST_ID,0)),""))</f>
        <v/>
      </c>
      <c r="N158" s="26" t="str">
        <f aca="false">IF($B158="","",IF($E158="",$L158,$E158))</f>
        <v/>
      </c>
      <c r="O158" s="26" t="str">
        <f aca="false">IF($N158="","",IFERROR(INDEX(LOT_EXTE,MATCH($N158,LOT_KEY,0)),""))</f>
        <v/>
      </c>
      <c r="P158" s="26" t="str">
        <f aca="false">IF($J158="","",IFERROR(INDEX(EMPL_CLASSE,MATCH($J158,EMPL_KEY,0)),"?"))</f>
        <v/>
      </c>
      <c r="Q158" s="28" t="n">
        <f aca="false">IF($B158="",0,IF(OR(ISNA(MATCH($B158,ST_ID,0)),NOT(ISNUMBER($F158)),$F158&lt;=0,$J158="",$N158=""),0,1))</f>
        <v>0</v>
      </c>
      <c r="R158" s="27" t="n">
        <f aca="false">IF($Q158=0,0,$F158)</f>
        <v>0</v>
      </c>
      <c r="S158" s="26" t="str">
        <f aca="false">IF($B158="","",IFERROR(INDEX(ST_STATUT,MATCH($B158,ST_ID,0)),""))</f>
        <v/>
      </c>
      <c r="T158" s="26" t="str">
        <f aca="false">IF($B158="","",IF($Q158=0,"DONNEES MANQUANTES",IF(OR($S158="DONNEES MANQUANTES",$S158="STOCK INSUFFISANT",$S158="EMPLACEMENT INCOHERENT",$S158="BLOQUE"),"BLOQUE","OK")))</f>
        <v/>
      </c>
      <c r="U158" s="28" t="n">
        <f aca="false">IF($T158="OK",1,0)</f>
        <v>0</v>
      </c>
      <c r="V158" s="26" t="str">
        <f aca="false">IF($B158="","",IF($Q158=0,"A COMPLETER : "&amp;IF(ISNA(MATCH($B158,ST_ID,0)),"ID ST valide; ","")&amp;IF(OR(NOT(ISNUMBER($F158)),$F158&lt;=0),"QUANTITE &gt; 0; ","")&amp;IF($J158="","EMPL. DESTINATION; ",""),IF($T158="BLOQUE","Envoi parent en anomalie ("&amp;$S158&amp;") : corriger l'onglet SOUS_TRAITANCE.",IF(AND($E158&lt;&gt;"",ISNA(MATCH($E158,LOT_KEY,0))),"Creer la fiche du lot resultat dans l'onglet LOTS.",""))))</f>
        <v/>
      </c>
      <c r="W158" s="31" t="str">
        <f aca="false">IF($B158="","",IF($C158&lt;&gt;"",$C158,IFERROR(INDEX(ST_DATERET,MATCH($B158,ST_ID,0)),"")))</f>
        <v/>
      </c>
      <c r="X158" s="26" t="str">
        <f aca="false">IF($Q158=0,"",IF($L158=R_LOT,IF($N158&lt;&gt;R_LOT,$N158,""),IF($N158=R_LOT,$L158,"")))</f>
        <v/>
      </c>
      <c r="Y158" s="26" t="str">
        <f aca="false">IF($X158="","",IF(COUNTIF($X$4:$X157,$X158)&gt;0,"",COUNT($Y$4:$Y157)+1))</f>
        <v/>
      </c>
      <c r="Z158" s="26" t="n">
        <f aca="false">IF($Q158=0,0,IF(OR($L158=R_LOT,$N158=R_LOT),1,0))</f>
        <v>0</v>
      </c>
      <c r="AA158" s="26" t="str">
        <f aca="false">IF($Z158=0,"",COUNTIF($Z$5:$Z158,1))</f>
        <v/>
      </c>
    </row>
    <row r="159" customFormat="false" ht="15" hidden="false" customHeight="false" outlineLevel="0" collapsed="false">
      <c r="A159" s="26" t="str">
        <f aca="false">IF($B159="","","RES-"&amp;TEXT(ROW()-4,"000"))</f>
        <v/>
      </c>
      <c r="B159" s="24"/>
      <c r="C159" s="25"/>
      <c r="D159" s="24"/>
      <c r="E159" s="24"/>
      <c r="F159" s="29"/>
      <c r="G159" s="24"/>
      <c r="H159" s="24"/>
      <c r="I159" s="24"/>
      <c r="J159" s="24"/>
      <c r="K159" s="24"/>
      <c r="L159" s="26" t="str">
        <f aca="false">IF($B159="","",IFERROR(INDEX(ST_LOT,MATCH($B159,ST_ID,0)),""))</f>
        <v/>
      </c>
      <c r="M159" s="26" t="str">
        <f aca="false">IF($B159="","",IFERROR(INDEX(ST_STRAIT,MATCH($B159,ST_ID,0)),""))</f>
        <v/>
      </c>
      <c r="N159" s="26" t="str">
        <f aca="false">IF($B159="","",IF($E159="",$L159,$E159))</f>
        <v/>
      </c>
      <c r="O159" s="26" t="str">
        <f aca="false">IF($N159="","",IFERROR(INDEX(LOT_EXTE,MATCH($N159,LOT_KEY,0)),""))</f>
        <v/>
      </c>
      <c r="P159" s="26" t="str">
        <f aca="false">IF($J159="","",IFERROR(INDEX(EMPL_CLASSE,MATCH($J159,EMPL_KEY,0)),"?"))</f>
        <v/>
      </c>
      <c r="Q159" s="28" t="n">
        <f aca="false">IF($B159="",0,IF(OR(ISNA(MATCH($B159,ST_ID,0)),NOT(ISNUMBER($F159)),$F159&lt;=0,$J159="",$N159=""),0,1))</f>
        <v>0</v>
      </c>
      <c r="R159" s="27" t="n">
        <f aca="false">IF($Q159=0,0,$F159)</f>
        <v>0</v>
      </c>
      <c r="S159" s="26" t="str">
        <f aca="false">IF($B159="","",IFERROR(INDEX(ST_STATUT,MATCH($B159,ST_ID,0)),""))</f>
        <v/>
      </c>
      <c r="T159" s="26" t="str">
        <f aca="false">IF($B159="","",IF($Q159=0,"DONNEES MANQUANTES",IF(OR($S159="DONNEES MANQUANTES",$S159="STOCK INSUFFISANT",$S159="EMPLACEMENT INCOHERENT",$S159="BLOQUE"),"BLOQUE","OK")))</f>
        <v/>
      </c>
      <c r="U159" s="28" t="n">
        <f aca="false">IF($T159="OK",1,0)</f>
        <v>0</v>
      </c>
      <c r="V159" s="26" t="str">
        <f aca="false">IF($B159="","",IF($Q159=0,"A COMPLETER : "&amp;IF(ISNA(MATCH($B159,ST_ID,0)),"ID ST valide; ","")&amp;IF(OR(NOT(ISNUMBER($F159)),$F159&lt;=0),"QUANTITE &gt; 0; ","")&amp;IF($J159="","EMPL. DESTINATION; ",""),IF($T159="BLOQUE","Envoi parent en anomalie ("&amp;$S159&amp;") : corriger l'onglet SOUS_TRAITANCE.",IF(AND($E159&lt;&gt;"",ISNA(MATCH($E159,LOT_KEY,0))),"Creer la fiche du lot resultat dans l'onglet LOTS.",""))))</f>
        <v/>
      </c>
      <c r="W159" s="31" t="str">
        <f aca="false">IF($B159="","",IF($C159&lt;&gt;"",$C159,IFERROR(INDEX(ST_DATERET,MATCH($B159,ST_ID,0)),"")))</f>
        <v/>
      </c>
      <c r="X159" s="26" t="str">
        <f aca="false">IF($Q159=0,"",IF($L159=R_LOT,IF($N159&lt;&gt;R_LOT,$N159,""),IF($N159=R_LOT,$L159,"")))</f>
        <v/>
      </c>
      <c r="Y159" s="26" t="str">
        <f aca="false">IF($X159="","",IF(COUNTIF($X$4:$X158,$X159)&gt;0,"",COUNT($Y$4:$Y158)+1))</f>
        <v/>
      </c>
      <c r="Z159" s="26" t="n">
        <f aca="false">IF($Q159=0,0,IF(OR($L159=R_LOT,$N159=R_LOT),1,0))</f>
        <v>0</v>
      </c>
      <c r="AA159" s="26" t="str">
        <f aca="false">IF($Z159=0,"",COUNTIF($Z$5:$Z159,1))</f>
        <v/>
      </c>
    </row>
    <row r="160" customFormat="false" ht="15" hidden="false" customHeight="false" outlineLevel="0" collapsed="false">
      <c r="A160" s="26" t="str">
        <f aca="false">IF($B160="","","RES-"&amp;TEXT(ROW()-4,"000"))</f>
        <v/>
      </c>
      <c r="B160" s="24"/>
      <c r="C160" s="25"/>
      <c r="D160" s="24"/>
      <c r="E160" s="24"/>
      <c r="F160" s="29"/>
      <c r="G160" s="24"/>
      <c r="H160" s="24"/>
      <c r="I160" s="24"/>
      <c r="J160" s="24"/>
      <c r="K160" s="24"/>
      <c r="L160" s="26" t="str">
        <f aca="false">IF($B160="","",IFERROR(INDEX(ST_LOT,MATCH($B160,ST_ID,0)),""))</f>
        <v/>
      </c>
      <c r="M160" s="26" t="str">
        <f aca="false">IF($B160="","",IFERROR(INDEX(ST_STRAIT,MATCH($B160,ST_ID,0)),""))</f>
        <v/>
      </c>
      <c r="N160" s="26" t="str">
        <f aca="false">IF($B160="","",IF($E160="",$L160,$E160))</f>
        <v/>
      </c>
      <c r="O160" s="26" t="str">
        <f aca="false">IF($N160="","",IFERROR(INDEX(LOT_EXTE,MATCH($N160,LOT_KEY,0)),""))</f>
        <v/>
      </c>
      <c r="P160" s="26" t="str">
        <f aca="false">IF($J160="","",IFERROR(INDEX(EMPL_CLASSE,MATCH($J160,EMPL_KEY,0)),"?"))</f>
        <v/>
      </c>
      <c r="Q160" s="28" t="n">
        <f aca="false">IF($B160="",0,IF(OR(ISNA(MATCH($B160,ST_ID,0)),NOT(ISNUMBER($F160)),$F160&lt;=0,$J160="",$N160=""),0,1))</f>
        <v>0</v>
      </c>
      <c r="R160" s="27" t="n">
        <f aca="false">IF($Q160=0,0,$F160)</f>
        <v>0</v>
      </c>
      <c r="S160" s="26" t="str">
        <f aca="false">IF($B160="","",IFERROR(INDEX(ST_STATUT,MATCH($B160,ST_ID,0)),""))</f>
        <v/>
      </c>
      <c r="T160" s="26" t="str">
        <f aca="false">IF($B160="","",IF($Q160=0,"DONNEES MANQUANTES",IF(OR($S160="DONNEES MANQUANTES",$S160="STOCK INSUFFISANT",$S160="EMPLACEMENT INCOHERENT",$S160="BLOQUE"),"BLOQUE","OK")))</f>
        <v/>
      </c>
      <c r="U160" s="28" t="n">
        <f aca="false">IF($T160="OK",1,0)</f>
        <v>0</v>
      </c>
      <c r="V160" s="26" t="str">
        <f aca="false">IF($B160="","",IF($Q160=0,"A COMPLETER : "&amp;IF(ISNA(MATCH($B160,ST_ID,0)),"ID ST valide; ","")&amp;IF(OR(NOT(ISNUMBER($F160)),$F160&lt;=0),"QUANTITE &gt; 0; ","")&amp;IF($J160="","EMPL. DESTINATION; ",""),IF($T160="BLOQUE","Envoi parent en anomalie ("&amp;$S160&amp;") : corriger l'onglet SOUS_TRAITANCE.",IF(AND($E160&lt;&gt;"",ISNA(MATCH($E160,LOT_KEY,0))),"Creer la fiche du lot resultat dans l'onglet LOTS.",""))))</f>
        <v/>
      </c>
      <c r="W160" s="31" t="str">
        <f aca="false">IF($B160="","",IF($C160&lt;&gt;"",$C160,IFERROR(INDEX(ST_DATERET,MATCH($B160,ST_ID,0)),"")))</f>
        <v/>
      </c>
      <c r="X160" s="26" t="str">
        <f aca="false">IF($Q160=0,"",IF($L160=R_LOT,IF($N160&lt;&gt;R_LOT,$N160,""),IF($N160=R_LOT,$L160,"")))</f>
        <v/>
      </c>
      <c r="Y160" s="26" t="str">
        <f aca="false">IF($X160="","",IF(COUNTIF($X$4:$X159,$X160)&gt;0,"",COUNT($Y$4:$Y159)+1))</f>
        <v/>
      </c>
      <c r="Z160" s="26" t="n">
        <f aca="false">IF($Q160=0,0,IF(OR($L160=R_LOT,$N160=R_LOT),1,0))</f>
        <v>0</v>
      </c>
      <c r="AA160" s="26" t="str">
        <f aca="false">IF($Z160=0,"",COUNTIF($Z$5:$Z160,1))</f>
        <v/>
      </c>
    </row>
    <row r="161" customFormat="false" ht="15" hidden="false" customHeight="false" outlineLevel="0" collapsed="false">
      <c r="A161" s="26" t="str">
        <f aca="false">IF($B161="","","RES-"&amp;TEXT(ROW()-4,"000"))</f>
        <v/>
      </c>
      <c r="B161" s="24"/>
      <c r="C161" s="25"/>
      <c r="D161" s="24"/>
      <c r="E161" s="24"/>
      <c r="F161" s="29"/>
      <c r="G161" s="24"/>
      <c r="H161" s="24"/>
      <c r="I161" s="24"/>
      <c r="J161" s="24"/>
      <c r="K161" s="24"/>
      <c r="L161" s="26" t="str">
        <f aca="false">IF($B161="","",IFERROR(INDEX(ST_LOT,MATCH($B161,ST_ID,0)),""))</f>
        <v/>
      </c>
      <c r="M161" s="26" t="str">
        <f aca="false">IF($B161="","",IFERROR(INDEX(ST_STRAIT,MATCH($B161,ST_ID,0)),""))</f>
        <v/>
      </c>
      <c r="N161" s="26" t="str">
        <f aca="false">IF($B161="","",IF($E161="",$L161,$E161))</f>
        <v/>
      </c>
      <c r="O161" s="26" t="str">
        <f aca="false">IF($N161="","",IFERROR(INDEX(LOT_EXTE,MATCH($N161,LOT_KEY,0)),""))</f>
        <v/>
      </c>
      <c r="P161" s="26" t="str">
        <f aca="false">IF($J161="","",IFERROR(INDEX(EMPL_CLASSE,MATCH($J161,EMPL_KEY,0)),"?"))</f>
        <v/>
      </c>
      <c r="Q161" s="28" t="n">
        <f aca="false">IF($B161="",0,IF(OR(ISNA(MATCH($B161,ST_ID,0)),NOT(ISNUMBER($F161)),$F161&lt;=0,$J161="",$N161=""),0,1))</f>
        <v>0</v>
      </c>
      <c r="R161" s="27" t="n">
        <f aca="false">IF($Q161=0,0,$F161)</f>
        <v>0</v>
      </c>
      <c r="S161" s="26" t="str">
        <f aca="false">IF($B161="","",IFERROR(INDEX(ST_STATUT,MATCH($B161,ST_ID,0)),""))</f>
        <v/>
      </c>
      <c r="T161" s="26" t="str">
        <f aca="false">IF($B161="","",IF($Q161=0,"DONNEES MANQUANTES",IF(OR($S161="DONNEES MANQUANTES",$S161="STOCK INSUFFISANT",$S161="EMPLACEMENT INCOHERENT",$S161="BLOQUE"),"BLOQUE","OK")))</f>
        <v/>
      </c>
      <c r="U161" s="28" t="n">
        <f aca="false">IF($T161="OK",1,0)</f>
        <v>0</v>
      </c>
      <c r="V161" s="26" t="str">
        <f aca="false">IF($B161="","",IF($Q161=0,"A COMPLETER : "&amp;IF(ISNA(MATCH($B161,ST_ID,0)),"ID ST valide; ","")&amp;IF(OR(NOT(ISNUMBER($F161)),$F161&lt;=0),"QUANTITE &gt; 0; ","")&amp;IF($J161="","EMPL. DESTINATION; ",""),IF($T161="BLOQUE","Envoi parent en anomalie ("&amp;$S161&amp;") : corriger l'onglet SOUS_TRAITANCE.",IF(AND($E161&lt;&gt;"",ISNA(MATCH($E161,LOT_KEY,0))),"Creer la fiche du lot resultat dans l'onglet LOTS.",""))))</f>
        <v/>
      </c>
      <c r="W161" s="31" t="str">
        <f aca="false">IF($B161="","",IF($C161&lt;&gt;"",$C161,IFERROR(INDEX(ST_DATERET,MATCH($B161,ST_ID,0)),"")))</f>
        <v/>
      </c>
      <c r="X161" s="26" t="str">
        <f aca="false">IF($Q161=0,"",IF($L161=R_LOT,IF($N161&lt;&gt;R_LOT,$N161,""),IF($N161=R_LOT,$L161,"")))</f>
        <v/>
      </c>
      <c r="Y161" s="26" t="str">
        <f aca="false">IF($X161="","",IF(COUNTIF($X$4:$X160,$X161)&gt;0,"",COUNT($Y$4:$Y160)+1))</f>
        <v/>
      </c>
      <c r="Z161" s="26" t="n">
        <f aca="false">IF($Q161=0,0,IF(OR($L161=R_LOT,$N161=R_LOT),1,0))</f>
        <v>0</v>
      </c>
      <c r="AA161" s="26" t="str">
        <f aca="false">IF($Z161=0,"",COUNTIF($Z$5:$Z161,1))</f>
        <v/>
      </c>
    </row>
    <row r="162" customFormat="false" ht="15" hidden="false" customHeight="false" outlineLevel="0" collapsed="false">
      <c r="A162" s="26" t="str">
        <f aca="false">IF($B162="","","RES-"&amp;TEXT(ROW()-4,"000"))</f>
        <v/>
      </c>
      <c r="B162" s="24"/>
      <c r="C162" s="25"/>
      <c r="D162" s="24"/>
      <c r="E162" s="24"/>
      <c r="F162" s="29"/>
      <c r="G162" s="24"/>
      <c r="H162" s="24"/>
      <c r="I162" s="24"/>
      <c r="J162" s="24"/>
      <c r="K162" s="24"/>
      <c r="L162" s="26" t="str">
        <f aca="false">IF($B162="","",IFERROR(INDEX(ST_LOT,MATCH($B162,ST_ID,0)),""))</f>
        <v/>
      </c>
      <c r="M162" s="26" t="str">
        <f aca="false">IF($B162="","",IFERROR(INDEX(ST_STRAIT,MATCH($B162,ST_ID,0)),""))</f>
        <v/>
      </c>
      <c r="N162" s="26" t="str">
        <f aca="false">IF($B162="","",IF($E162="",$L162,$E162))</f>
        <v/>
      </c>
      <c r="O162" s="26" t="str">
        <f aca="false">IF($N162="","",IFERROR(INDEX(LOT_EXTE,MATCH($N162,LOT_KEY,0)),""))</f>
        <v/>
      </c>
      <c r="P162" s="26" t="str">
        <f aca="false">IF($J162="","",IFERROR(INDEX(EMPL_CLASSE,MATCH($J162,EMPL_KEY,0)),"?"))</f>
        <v/>
      </c>
      <c r="Q162" s="28" t="n">
        <f aca="false">IF($B162="",0,IF(OR(ISNA(MATCH($B162,ST_ID,0)),NOT(ISNUMBER($F162)),$F162&lt;=0,$J162="",$N162=""),0,1))</f>
        <v>0</v>
      </c>
      <c r="R162" s="27" t="n">
        <f aca="false">IF($Q162=0,0,$F162)</f>
        <v>0</v>
      </c>
      <c r="S162" s="26" t="str">
        <f aca="false">IF($B162="","",IFERROR(INDEX(ST_STATUT,MATCH($B162,ST_ID,0)),""))</f>
        <v/>
      </c>
      <c r="T162" s="26" t="str">
        <f aca="false">IF($B162="","",IF($Q162=0,"DONNEES MANQUANTES",IF(OR($S162="DONNEES MANQUANTES",$S162="STOCK INSUFFISANT",$S162="EMPLACEMENT INCOHERENT",$S162="BLOQUE"),"BLOQUE","OK")))</f>
        <v/>
      </c>
      <c r="U162" s="28" t="n">
        <f aca="false">IF($T162="OK",1,0)</f>
        <v>0</v>
      </c>
      <c r="V162" s="26" t="str">
        <f aca="false">IF($B162="","",IF($Q162=0,"A COMPLETER : "&amp;IF(ISNA(MATCH($B162,ST_ID,0)),"ID ST valide; ","")&amp;IF(OR(NOT(ISNUMBER($F162)),$F162&lt;=0),"QUANTITE &gt; 0; ","")&amp;IF($J162="","EMPL. DESTINATION; ",""),IF($T162="BLOQUE","Envoi parent en anomalie ("&amp;$S162&amp;") : corriger l'onglet SOUS_TRAITANCE.",IF(AND($E162&lt;&gt;"",ISNA(MATCH($E162,LOT_KEY,0))),"Creer la fiche du lot resultat dans l'onglet LOTS.",""))))</f>
        <v/>
      </c>
      <c r="W162" s="31" t="str">
        <f aca="false">IF($B162="","",IF($C162&lt;&gt;"",$C162,IFERROR(INDEX(ST_DATERET,MATCH($B162,ST_ID,0)),"")))</f>
        <v/>
      </c>
      <c r="X162" s="26" t="str">
        <f aca="false">IF($Q162=0,"",IF($L162=R_LOT,IF($N162&lt;&gt;R_LOT,$N162,""),IF($N162=R_LOT,$L162,"")))</f>
        <v/>
      </c>
      <c r="Y162" s="26" t="str">
        <f aca="false">IF($X162="","",IF(COUNTIF($X$4:$X161,$X162)&gt;0,"",COUNT($Y$4:$Y161)+1))</f>
        <v/>
      </c>
      <c r="Z162" s="26" t="n">
        <f aca="false">IF($Q162=0,0,IF(OR($L162=R_LOT,$N162=R_LOT),1,0))</f>
        <v>0</v>
      </c>
      <c r="AA162" s="26" t="str">
        <f aca="false">IF($Z162=0,"",COUNTIF($Z$5:$Z162,1))</f>
        <v/>
      </c>
    </row>
    <row r="163" customFormat="false" ht="15" hidden="false" customHeight="false" outlineLevel="0" collapsed="false">
      <c r="A163" s="26" t="str">
        <f aca="false">IF($B163="","","RES-"&amp;TEXT(ROW()-4,"000"))</f>
        <v/>
      </c>
      <c r="B163" s="24"/>
      <c r="C163" s="25"/>
      <c r="D163" s="24"/>
      <c r="E163" s="24"/>
      <c r="F163" s="29"/>
      <c r="G163" s="24"/>
      <c r="H163" s="24"/>
      <c r="I163" s="24"/>
      <c r="J163" s="24"/>
      <c r="K163" s="24"/>
      <c r="L163" s="26" t="str">
        <f aca="false">IF($B163="","",IFERROR(INDEX(ST_LOT,MATCH($B163,ST_ID,0)),""))</f>
        <v/>
      </c>
      <c r="M163" s="26" t="str">
        <f aca="false">IF($B163="","",IFERROR(INDEX(ST_STRAIT,MATCH($B163,ST_ID,0)),""))</f>
        <v/>
      </c>
      <c r="N163" s="26" t="str">
        <f aca="false">IF($B163="","",IF($E163="",$L163,$E163))</f>
        <v/>
      </c>
      <c r="O163" s="26" t="str">
        <f aca="false">IF($N163="","",IFERROR(INDEX(LOT_EXTE,MATCH($N163,LOT_KEY,0)),""))</f>
        <v/>
      </c>
      <c r="P163" s="26" t="str">
        <f aca="false">IF($J163="","",IFERROR(INDEX(EMPL_CLASSE,MATCH($J163,EMPL_KEY,0)),"?"))</f>
        <v/>
      </c>
      <c r="Q163" s="28" t="n">
        <f aca="false">IF($B163="",0,IF(OR(ISNA(MATCH($B163,ST_ID,0)),NOT(ISNUMBER($F163)),$F163&lt;=0,$J163="",$N163=""),0,1))</f>
        <v>0</v>
      </c>
      <c r="R163" s="27" t="n">
        <f aca="false">IF($Q163=0,0,$F163)</f>
        <v>0</v>
      </c>
      <c r="S163" s="26" t="str">
        <f aca="false">IF($B163="","",IFERROR(INDEX(ST_STATUT,MATCH($B163,ST_ID,0)),""))</f>
        <v/>
      </c>
      <c r="T163" s="26" t="str">
        <f aca="false">IF($B163="","",IF($Q163=0,"DONNEES MANQUANTES",IF(OR($S163="DONNEES MANQUANTES",$S163="STOCK INSUFFISANT",$S163="EMPLACEMENT INCOHERENT",$S163="BLOQUE"),"BLOQUE","OK")))</f>
        <v/>
      </c>
      <c r="U163" s="28" t="n">
        <f aca="false">IF($T163="OK",1,0)</f>
        <v>0</v>
      </c>
      <c r="V163" s="26" t="str">
        <f aca="false">IF($B163="","",IF($Q163=0,"A COMPLETER : "&amp;IF(ISNA(MATCH($B163,ST_ID,0)),"ID ST valide; ","")&amp;IF(OR(NOT(ISNUMBER($F163)),$F163&lt;=0),"QUANTITE &gt; 0; ","")&amp;IF($J163="","EMPL. DESTINATION; ",""),IF($T163="BLOQUE","Envoi parent en anomalie ("&amp;$S163&amp;") : corriger l'onglet SOUS_TRAITANCE.",IF(AND($E163&lt;&gt;"",ISNA(MATCH($E163,LOT_KEY,0))),"Creer la fiche du lot resultat dans l'onglet LOTS.",""))))</f>
        <v/>
      </c>
      <c r="W163" s="31" t="str">
        <f aca="false">IF($B163="","",IF($C163&lt;&gt;"",$C163,IFERROR(INDEX(ST_DATERET,MATCH($B163,ST_ID,0)),"")))</f>
        <v/>
      </c>
      <c r="X163" s="26" t="str">
        <f aca="false">IF($Q163=0,"",IF($L163=R_LOT,IF($N163&lt;&gt;R_LOT,$N163,""),IF($N163=R_LOT,$L163,"")))</f>
        <v/>
      </c>
      <c r="Y163" s="26" t="str">
        <f aca="false">IF($X163="","",IF(COUNTIF($X$4:$X162,$X163)&gt;0,"",COUNT($Y$4:$Y162)+1))</f>
        <v/>
      </c>
      <c r="Z163" s="26" t="n">
        <f aca="false">IF($Q163=0,0,IF(OR($L163=R_LOT,$N163=R_LOT),1,0))</f>
        <v>0</v>
      </c>
      <c r="AA163" s="26" t="str">
        <f aca="false">IF($Z163=0,"",COUNTIF($Z$5:$Z163,1))</f>
        <v/>
      </c>
    </row>
    <row r="164" customFormat="false" ht="15" hidden="false" customHeight="false" outlineLevel="0" collapsed="false">
      <c r="A164" s="26" t="str">
        <f aca="false">IF($B164="","","RES-"&amp;TEXT(ROW()-4,"000"))</f>
        <v/>
      </c>
      <c r="B164" s="24"/>
      <c r="C164" s="25"/>
      <c r="D164" s="24"/>
      <c r="E164" s="24"/>
      <c r="F164" s="29"/>
      <c r="G164" s="24"/>
      <c r="H164" s="24"/>
      <c r="I164" s="24"/>
      <c r="J164" s="24"/>
      <c r="K164" s="24"/>
      <c r="L164" s="26" t="str">
        <f aca="false">IF($B164="","",IFERROR(INDEX(ST_LOT,MATCH($B164,ST_ID,0)),""))</f>
        <v/>
      </c>
      <c r="M164" s="26" t="str">
        <f aca="false">IF($B164="","",IFERROR(INDEX(ST_STRAIT,MATCH($B164,ST_ID,0)),""))</f>
        <v/>
      </c>
      <c r="N164" s="26" t="str">
        <f aca="false">IF($B164="","",IF($E164="",$L164,$E164))</f>
        <v/>
      </c>
      <c r="O164" s="26" t="str">
        <f aca="false">IF($N164="","",IFERROR(INDEX(LOT_EXTE,MATCH($N164,LOT_KEY,0)),""))</f>
        <v/>
      </c>
      <c r="P164" s="26" t="str">
        <f aca="false">IF($J164="","",IFERROR(INDEX(EMPL_CLASSE,MATCH($J164,EMPL_KEY,0)),"?"))</f>
        <v/>
      </c>
      <c r="Q164" s="28" t="n">
        <f aca="false">IF($B164="",0,IF(OR(ISNA(MATCH($B164,ST_ID,0)),NOT(ISNUMBER($F164)),$F164&lt;=0,$J164="",$N164=""),0,1))</f>
        <v>0</v>
      </c>
      <c r="R164" s="27" t="n">
        <f aca="false">IF($Q164=0,0,$F164)</f>
        <v>0</v>
      </c>
      <c r="S164" s="26" t="str">
        <f aca="false">IF($B164="","",IFERROR(INDEX(ST_STATUT,MATCH($B164,ST_ID,0)),""))</f>
        <v/>
      </c>
      <c r="T164" s="26" t="str">
        <f aca="false">IF($B164="","",IF($Q164=0,"DONNEES MANQUANTES",IF(OR($S164="DONNEES MANQUANTES",$S164="STOCK INSUFFISANT",$S164="EMPLACEMENT INCOHERENT",$S164="BLOQUE"),"BLOQUE","OK")))</f>
        <v/>
      </c>
      <c r="U164" s="28" t="n">
        <f aca="false">IF($T164="OK",1,0)</f>
        <v>0</v>
      </c>
      <c r="V164" s="26" t="str">
        <f aca="false">IF($B164="","",IF($Q164=0,"A COMPLETER : "&amp;IF(ISNA(MATCH($B164,ST_ID,0)),"ID ST valide; ","")&amp;IF(OR(NOT(ISNUMBER($F164)),$F164&lt;=0),"QUANTITE &gt; 0; ","")&amp;IF($J164="","EMPL. DESTINATION; ",""),IF($T164="BLOQUE","Envoi parent en anomalie ("&amp;$S164&amp;") : corriger l'onglet SOUS_TRAITANCE.",IF(AND($E164&lt;&gt;"",ISNA(MATCH($E164,LOT_KEY,0))),"Creer la fiche du lot resultat dans l'onglet LOTS.",""))))</f>
        <v/>
      </c>
      <c r="W164" s="31" t="str">
        <f aca="false">IF($B164="","",IF($C164&lt;&gt;"",$C164,IFERROR(INDEX(ST_DATERET,MATCH($B164,ST_ID,0)),"")))</f>
        <v/>
      </c>
      <c r="X164" s="26" t="str">
        <f aca="false">IF($Q164=0,"",IF($L164=R_LOT,IF($N164&lt;&gt;R_LOT,$N164,""),IF($N164=R_LOT,$L164,"")))</f>
        <v/>
      </c>
      <c r="Y164" s="26" t="str">
        <f aca="false">IF($X164="","",IF(COUNTIF($X$4:$X163,$X164)&gt;0,"",COUNT($Y$4:$Y163)+1))</f>
        <v/>
      </c>
      <c r="Z164" s="26" t="n">
        <f aca="false">IF($Q164=0,0,IF(OR($L164=R_LOT,$N164=R_LOT),1,0))</f>
        <v>0</v>
      </c>
      <c r="AA164" s="26" t="str">
        <f aca="false">IF($Z164=0,"",COUNTIF($Z$5:$Z164,1))</f>
        <v/>
      </c>
    </row>
    <row r="165" customFormat="false" ht="15" hidden="false" customHeight="false" outlineLevel="0" collapsed="false">
      <c r="A165" s="26" t="str">
        <f aca="false">IF($B165="","","RES-"&amp;TEXT(ROW()-4,"000"))</f>
        <v/>
      </c>
      <c r="B165" s="24"/>
      <c r="C165" s="25"/>
      <c r="D165" s="24"/>
      <c r="E165" s="24"/>
      <c r="F165" s="29"/>
      <c r="G165" s="24"/>
      <c r="H165" s="24"/>
      <c r="I165" s="24"/>
      <c r="J165" s="24"/>
      <c r="K165" s="24"/>
      <c r="L165" s="26" t="str">
        <f aca="false">IF($B165="","",IFERROR(INDEX(ST_LOT,MATCH($B165,ST_ID,0)),""))</f>
        <v/>
      </c>
      <c r="M165" s="26" t="str">
        <f aca="false">IF($B165="","",IFERROR(INDEX(ST_STRAIT,MATCH($B165,ST_ID,0)),""))</f>
        <v/>
      </c>
      <c r="N165" s="26" t="str">
        <f aca="false">IF($B165="","",IF($E165="",$L165,$E165))</f>
        <v/>
      </c>
      <c r="O165" s="26" t="str">
        <f aca="false">IF($N165="","",IFERROR(INDEX(LOT_EXTE,MATCH($N165,LOT_KEY,0)),""))</f>
        <v/>
      </c>
      <c r="P165" s="26" t="str">
        <f aca="false">IF($J165="","",IFERROR(INDEX(EMPL_CLASSE,MATCH($J165,EMPL_KEY,0)),"?"))</f>
        <v/>
      </c>
      <c r="Q165" s="28" t="n">
        <f aca="false">IF($B165="",0,IF(OR(ISNA(MATCH($B165,ST_ID,0)),NOT(ISNUMBER($F165)),$F165&lt;=0,$J165="",$N165=""),0,1))</f>
        <v>0</v>
      </c>
      <c r="R165" s="27" t="n">
        <f aca="false">IF($Q165=0,0,$F165)</f>
        <v>0</v>
      </c>
      <c r="S165" s="26" t="str">
        <f aca="false">IF($B165="","",IFERROR(INDEX(ST_STATUT,MATCH($B165,ST_ID,0)),""))</f>
        <v/>
      </c>
      <c r="T165" s="26" t="str">
        <f aca="false">IF($B165="","",IF($Q165=0,"DONNEES MANQUANTES",IF(OR($S165="DONNEES MANQUANTES",$S165="STOCK INSUFFISANT",$S165="EMPLACEMENT INCOHERENT",$S165="BLOQUE"),"BLOQUE","OK")))</f>
        <v/>
      </c>
      <c r="U165" s="28" t="n">
        <f aca="false">IF($T165="OK",1,0)</f>
        <v>0</v>
      </c>
      <c r="V165" s="26" t="str">
        <f aca="false">IF($B165="","",IF($Q165=0,"A COMPLETER : "&amp;IF(ISNA(MATCH($B165,ST_ID,0)),"ID ST valide; ","")&amp;IF(OR(NOT(ISNUMBER($F165)),$F165&lt;=0),"QUANTITE &gt; 0; ","")&amp;IF($J165="","EMPL. DESTINATION; ",""),IF($T165="BLOQUE","Envoi parent en anomalie ("&amp;$S165&amp;") : corriger l'onglet SOUS_TRAITANCE.",IF(AND($E165&lt;&gt;"",ISNA(MATCH($E165,LOT_KEY,0))),"Creer la fiche du lot resultat dans l'onglet LOTS.",""))))</f>
        <v/>
      </c>
      <c r="W165" s="31" t="str">
        <f aca="false">IF($B165="","",IF($C165&lt;&gt;"",$C165,IFERROR(INDEX(ST_DATERET,MATCH($B165,ST_ID,0)),"")))</f>
        <v/>
      </c>
      <c r="X165" s="26" t="str">
        <f aca="false">IF($Q165=0,"",IF($L165=R_LOT,IF($N165&lt;&gt;R_LOT,$N165,""),IF($N165=R_LOT,$L165,"")))</f>
        <v/>
      </c>
      <c r="Y165" s="26" t="str">
        <f aca="false">IF($X165="","",IF(COUNTIF($X$4:$X164,$X165)&gt;0,"",COUNT($Y$4:$Y164)+1))</f>
        <v/>
      </c>
      <c r="Z165" s="26" t="n">
        <f aca="false">IF($Q165=0,0,IF(OR($L165=R_LOT,$N165=R_LOT),1,0))</f>
        <v>0</v>
      </c>
      <c r="AA165" s="26" t="str">
        <f aca="false">IF($Z165=0,"",COUNTIF($Z$5:$Z165,1))</f>
        <v/>
      </c>
    </row>
    <row r="166" customFormat="false" ht="15" hidden="false" customHeight="false" outlineLevel="0" collapsed="false">
      <c r="A166" s="26" t="str">
        <f aca="false">IF($B166="","","RES-"&amp;TEXT(ROW()-4,"000"))</f>
        <v/>
      </c>
      <c r="B166" s="24"/>
      <c r="C166" s="25"/>
      <c r="D166" s="24"/>
      <c r="E166" s="24"/>
      <c r="F166" s="29"/>
      <c r="G166" s="24"/>
      <c r="H166" s="24"/>
      <c r="I166" s="24"/>
      <c r="J166" s="24"/>
      <c r="K166" s="24"/>
      <c r="L166" s="26" t="str">
        <f aca="false">IF($B166="","",IFERROR(INDEX(ST_LOT,MATCH($B166,ST_ID,0)),""))</f>
        <v/>
      </c>
      <c r="M166" s="26" t="str">
        <f aca="false">IF($B166="","",IFERROR(INDEX(ST_STRAIT,MATCH($B166,ST_ID,0)),""))</f>
        <v/>
      </c>
      <c r="N166" s="26" t="str">
        <f aca="false">IF($B166="","",IF($E166="",$L166,$E166))</f>
        <v/>
      </c>
      <c r="O166" s="26" t="str">
        <f aca="false">IF($N166="","",IFERROR(INDEX(LOT_EXTE,MATCH($N166,LOT_KEY,0)),""))</f>
        <v/>
      </c>
      <c r="P166" s="26" t="str">
        <f aca="false">IF($J166="","",IFERROR(INDEX(EMPL_CLASSE,MATCH($J166,EMPL_KEY,0)),"?"))</f>
        <v/>
      </c>
      <c r="Q166" s="28" t="n">
        <f aca="false">IF($B166="",0,IF(OR(ISNA(MATCH($B166,ST_ID,0)),NOT(ISNUMBER($F166)),$F166&lt;=0,$J166="",$N166=""),0,1))</f>
        <v>0</v>
      </c>
      <c r="R166" s="27" t="n">
        <f aca="false">IF($Q166=0,0,$F166)</f>
        <v>0</v>
      </c>
      <c r="S166" s="26" t="str">
        <f aca="false">IF($B166="","",IFERROR(INDEX(ST_STATUT,MATCH($B166,ST_ID,0)),""))</f>
        <v/>
      </c>
      <c r="T166" s="26" t="str">
        <f aca="false">IF($B166="","",IF($Q166=0,"DONNEES MANQUANTES",IF(OR($S166="DONNEES MANQUANTES",$S166="STOCK INSUFFISANT",$S166="EMPLACEMENT INCOHERENT",$S166="BLOQUE"),"BLOQUE","OK")))</f>
        <v/>
      </c>
      <c r="U166" s="28" t="n">
        <f aca="false">IF($T166="OK",1,0)</f>
        <v>0</v>
      </c>
      <c r="V166" s="26" t="str">
        <f aca="false">IF($B166="","",IF($Q166=0,"A COMPLETER : "&amp;IF(ISNA(MATCH($B166,ST_ID,0)),"ID ST valide; ","")&amp;IF(OR(NOT(ISNUMBER($F166)),$F166&lt;=0),"QUANTITE &gt; 0; ","")&amp;IF($J166="","EMPL. DESTINATION; ",""),IF($T166="BLOQUE","Envoi parent en anomalie ("&amp;$S166&amp;") : corriger l'onglet SOUS_TRAITANCE.",IF(AND($E166&lt;&gt;"",ISNA(MATCH($E166,LOT_KEY,0))),"Creer la fiche du lot resultat dans l'onglet LOTS.",""))))</f>
        <v/>
      </c>
      <c r="W166" s="31" t="str">
        <f aca="false">IF($B166="","",IF($C166&lt;&gt;"",$C166,IFERROR(INDEX(ST_DATERET,MATCH($B166,ST_ID,0)),"")))</f>
        <v/>
      </c>
      <c r="X166" s="26" t="str">
        <f aca="false">IF($Q166=0,"",IF($L166=R_LOT,IF($N166&lt;&gt;R_LOT,$N166,""),IF($N166=R_LOT,$L166,"")))</f>
        <v/>
      </c>
      <c r="Y166" s="26" t="str">
        <f aca="false">IF($X166="","",IF(COUNTIF($X$4:$X165,$X166)&gt;0,"",COUNT($Y$4:$Y165)+1))</f>
        <v/>
      </c>
      <c r="Z166" s="26" t="n">
        <f aca="false">IF($Q166=0,0,IF(OR($L166=R_LOT,$N166=R_LOT),1,0))</f>
        <v>0</v>
      </c>
      <c r="AA166" s="26" t="str">
        <f aca="false">IF($Z166=0,"",COUNTIF($Z$5:$Z166,1))</f>
        <v/>
      </c>
    </row>
    <row r="167" customFormat="false" ht="15" hidden="false" customHeight="false" outlineLevel="0" collapsed="false">
      <c r="A167" s="26" t="str">
        <f aca="false">IF($B167="","","RES-"&amp;TEXT(ROW()-4,"000"))</f>
        <v/>
      </c>
      <c r="B167" s="24"/>
      <c r="C167" s="25"/>
      <c r="D167" s="24"/>
      <c r="E167" s="24"/>
      <c r="F167" s="29"/>
      <c r="G167" s="24"/>
      <c r="H167" s="24"/>
      <c r="I167" s="24"/>
      <c r="J167" s="24"/>
      <c r="K167" s="24"/>
      <c r="L167" s="26" t="str">
        <f aca="false">IF($B167="","",IFERROR(INDEX(ST_LOT,MATCH($B167,ST_ID,0)),""))</f>
        <v/>
      </c>
      <c r="M167" s="26" t="str">
        <f aca="false">IF($B167="","",IFERROR(INDEX(ST_STRAIT,MATCH($B167,ST_ID,0)),""))</f>
        <v/>
      </c>
      <c r="N167" s="26" t="str">
        <f aca="false">IF($B167="","",IF($E167="",$L167,$E167))</f>
        <v/>
      </c>
      <c r="O167" s="26" t="str">
        <f aca="false">IF($N167="","",IFERROR(INDEX(LOT_EXTE,MATCH($N167,LOT_KEY,0)),""))</f>
        <v/>
      </c>
      <c r="P167" s="26" t="str">
        <f aca="false">IF($J167="","",IFERROR(INDEX(EMPL_CLASSE,MATCH($J167,EMPL_KEY,0)),"?"))</f>
        <v/>
      </c>
      <c r="Q167" s="28" t="n">
        <f aca="false">IF($B167="",0,IF(OR(ISNA(MATCH($B167,ST_ID,0)),NOT(ISNUMBER($F167)),$F167&lt;=0,$J167="",$N167=""),0,1))</f>
        <v>0</v>
      </c>
      <c r="R167" s="27" t="n">
        <f aca="false">IF($Q167=0,0,$F167)</f>
        <v>0</v>
      </c>
      <c r="S167" s="26" t="str">
        <f aca="false">IF($B167="","",IFERROR(INDEX(ST_STATUT,MATCH($B167,ST_ID,0)),""))</f>
        <v/>
      </c>
      <c r="T167" s="26" t="str">
        <f aca="false">IF($B167="","",IF($Q167=0,"DONNEES MANQUANTES",IF(OR($S167="DONNEES MANQUANTES",$S167="STOCK INSUFFISANT",$S167="EMPLACEMENT INCOHERENT",$S167="BLOQUE"),"BLOQUE","OK")))</f>
        <v/>
      </c>
      <c r="U167" s="28" t="n">
        <f aca="false">IF($T167="OK",1,0)</f>
        <v>0</v>
      </c>
      <c r="V167" s="26" t="str">
        <f aca="false">IF($B167="","",IF($Q167=0,"A COMPLETER : "&amp;IF(ISNA(MATCH($B167,ST_ID,0)),"ID ST valide; ","")&amp;IF(OR(NOT(ISNUMBER($F167)),$F167&lt;=0),"QUANTITE &gt; 0; ","")&amp;IF($J167="","EMPL. DESTINATION; ",""),IF($T167="BLOQUE","Envoi parent en anomalie ("&amp;$S167&amp;") : corriger l'onglet SOUS_TRAITANCE.",IF(AND($E167&lt;&gt;"",ISNA(MATCH($E167,LOT_KEY,0))),"Creer la fiche du lot resultat dans l'onglet LOTS.",""))))</f>
        <v/>
      </c>
      <c r="W167" s="31" t="str">
        <f aca="false">IF($B167="","",IF($C167&lt;&gt;"",$C167,IFERROR(INDEX(ST_DATERET,MATCH($B167,ST_ID,0)),"")))</f>
        <v/>
      </c>
      <c r="X167" s="26" t="str">
        <f aca="false">IF($Q167=0,"",IF($L167=R_LOT,IF($N167&lt;&gt;R_LOT,$N167,""),IF($N167=R_LOT,$L167,"")))</f>
        <v/>
      </c>
      <c r="Y167" s="26" t="str">
        <f aca="false">IF($X167="","",IF(COUNTIF($X$4:$X166,$X167)&gt;0,"",COUNT($Y$4:$Y166)+1))</f>
        <v/>
      </c>
      <c r="Z167" s="26" t="n">
        <f aca="false">IF($Q167=0,0,IF(OR($L167=R_LOT,$N167=R_LOT),1,0))</f>
        <v>0</v>
      </c>
      <c r="AA167" s="26" t="str">
        <f aca="false">IF($Z167=0,"",COUNTIF($Z$5:$Z167,1))</f>
        <v/>
      </c>
    </row>
    <row r="168" customFormat="false" ht="15" hidden="false" customHeight="false" outlineLevel="0" collapsed="false">
      <c r="A168" s="26" t="str">
        <f aca="false">IF($B168="","","RES-"&amp;TEXT(ROW()-4,"000"))</f>
        <v/>
      </c>
      <c r="B168" s="24"/>
      <c r="C168" s="25"/>
      <c r="D168" s="24"/>
      <c r="E168" s="24"/>
      <c r="F168" s="29"/>
      <c r="G168" s="24"/>
      <c r="H168" s="24"/>
      <c r="I168" s="24"/>
      <c r="J168" s="24"/>
      <c r="K168" s="24"/>
      <c r="L168" s="26" t="str">
        <f aca="false">IF($B168="","",IFERROR(INDEX(ST_LOT,MATCH($B168,ST_ID,0)),""))</f>
        <v/>
      </c>
      <c r="M168" s="26" t="str">
        <f aca="false">IF($B168="","",IFERROR(INDEX(ST_STRAIT,MATCH($B168,ST_ID,0)),""))</f>
        <v/>
      </c>
      <c r="N168" s="26" t="str">
        <f aca="false">IF($B168="","",IF($E168="",$L168,$E168))</f>
        <v/>
      </c>
      <c r="O168" s="26" t="str">
        <f aca="false">IF($N168="","",IFERROR(INDEX(LOT_EXTE,MATCH($N168,LOT_KEY,0)),""))</f>
        <v/>
      </c>
      <c r="P168" s="26" t="str">
        <f aca="false">IF($J168="","",IFERROR(INDEX(EMPL_CLASSE,MATCH($J168,EMPL_KEY,0)),"?"))</f>
        <v/>
      </c>
      <c r="Q168" s="28" t="n">
        <f aca="false">IF($B168="",0,IF(OR(ISNA(MATCH($B168,ST_ID,0)),NOT(ISNUMBER($F168)),$F168&lt;=0,$J168="",$N168=""),0,1))</f>
        <v>0</v>
      </c>
      <c r="R168" s="27" t="n">
        <f aca="false">IF($Q168=0,0,$F168)</f>
        <v>0</v>
      </c>
      <c r="S168" s="26" t="str">
        <f aca="false">IF($B168="","",IFERROR(INDEX(ST_STATUT,MATCH($B168,ST_ID,0)),""))</f>
        <v/>
      </c>
      <c r="T168" s="26" t="str">
        <f aca="false">IF($B168="","",IF($Q168=0,"DONNEES MANQUANTES",IF(OR($S168="DONNEES MANQUANTES",$S168="STOCK INSUFFISANT",$S168="EMPLACEMENT INCOHERENT",$S168="BLOQUE"),"BLOQUE","OK")))</f>
        <v/>
      </c>
      <c r="U168" s="28" t="n">
        <f aca="false">IF($T168="OK",1,0)</f>
        <v>0</v>
      </c>
      <c r="V168" s="26" t="str">
        <f aca="false">IF($B168="","",IF($Q168=0,"A COMPLETER : "&amp;IF(ISNA(MATCH($B168,ST_ID,0)),"ID ST valide; ","")&amp;IF(OR(NOT(ISNUMBER($F168)),$F168&lt;=0),"QUANTITE &gt; 0; ","")&amp;IF($J168="","EMPL. DESTINATION; ",""),IF($T168="BLOQUE","Envoi parent en anomalie ("&amp;$S168&amp;") : corriger l'onglet SOUS_TRAITANCE.",IF(AND($E168&lt;&gt;"",ISNA(MATCH($E168,LOT_KEY,0))),"Creer la fiche du lot resultat dans l'onglet LOTS.",""))))</f>
        <v/>
      </c>
      <c r="W168" s="31" t="str">
        <f aca="false">IF($B168="","",IF($C168&lt;&gt;"",$C168,IFERROR(INDEX(ST_DATERET,MATCH($B168,ST_ID,0)),"")))</f>
        <v/>
      </c>
      <c r="X168" s="26" t="str">
        <f aca="false">IF($Q168=0,"",IF($L168=R_LOT,IF($N168&lt;&gt;R_LOT,$N168,""),IF($N168=R_LOT,$L168,"")))</f>
        <v/>
      </c>
      <c r="Y168" s="26" t="str">
        <f aca="false">IF($X168="","",IF(COUNTIF($X$4:$X167,$X168)&gt;0,"",COUNT($Y$4:$Y167)+1))</f>
        <v/>
      </c>
      <c r="Z168" s="26" t="n">
        <f aca="false">IF($Q168=0,0,IF(OR($L168=R_LOT,$N168=R_LOT),1,0))</f>
        <v>0</v>
      </c>
      <c r="AA168" s="26" t="str">
        <f aca="false">IF($Z168=0,"",COUNTIF($Z$5:$Z168,1))</f>
        <v/>
      </c>
    </row>
    <row r="169" customFormat="false" ht="15" hidden="false" customHeight="false" outlineLevel="0" collapsed="false">
      <c r="A169" s="26" t="str">
        <f aca="false">IF($B169="","","RES-"&amp;TEXT(ROW()-4,"000"))</f>
        <v/>
      </c>
      <c r="B169" s="24"/>
      <c r="C169" s="25"/>
      <c r="D169" s="24"/>
      <c r="E169" s="24"/>
      <c r="F169" s="29"/>
      <c r="G169" s="24"/>
      <c r="H169" s="24"/>
      <c r="I169" s="24"/>
      <c r="J169" s="24"/>
      <c r="K169" s="24"/>
      <c r="L169" s="26" t="str">
        <f aca="false">IF($B169="","",IFERROR(INDEX(ST_LOT,MATCH($B169,ST_ID,0)),""))</f>
        <v/>
      </c>
      <c r="M169" s="26" t="str">
        <f aca="false">IF($B169="","",IFERROR(INDEX(ST_STRAIT,MATCH($B169,ST_ID,0)),""))</f>
        <v/>
      </c>
      <c r="N169" s="26" t="str">
        <f aca="false">IF($B169="","",IF($E169="",$L169,$E169))</f>
        <v/>
      </c>
      <c r="O169" s="26" t="str">
        <f aca="false">IF($N169="","",IFERROR(INDEX(LOT_EXTE,MATCH($N169,LOT_KEY,0)),""))</f>
        <v/>
      </c>
      <c r="P169" s="26" t="str">
        <f aca="false">IF($J169="","",IFERROR(INDEX(EMPL_CLASSE,MATCH($J169,EMPL_KEY,0)),"?"))</f>
        <v/>
      </c>
      <c r="Q169" s="28" t="n">
        <f aca="false">IF($B169="",0,IF(OR(ISNA(MATCH($B169,ST_ID,0)),NOT(ISNUMBER($F169)),$F169&lt;=0,$J169="",$N169=""),0,1))</f>
        <v>0</v>
      </c>
      <c r="R169" s="27" t="n">
        <f aca="false">IF($Q169=0,0,$F169)</f>
        <v>0</v>
      </c>
      <c r="S169" s="26" t="str">
        <f aca="false">IF($B169="","",IFERROR(INDEX(ST_STATUT,MATCH($B169,ST_ID,0)),""))</f>
        <v/>
      </c>
      <c r="T169" s="26" t="str">
        <f aca="false">IF($B169="","",IF($Q169=0,"DONNEES MANQUANTES",IF(OR($S169="DONNEES MANQUANTES",$S169="STOCK INSUFFISANT",$S169="EMPLACEMENT INCOHERENT",$S169="BLOQUE"),"BLOQUE","OK")))</f>
        <v/>
      </c>
      <c r="U169" s="28" t="n">
        <f aca="false">IF($T169="OK",1,0)</f>
        <v>0</v>
      </c>
      <c r="V169" s="26" t="str">
        <f aca="false">IF($B169="","",IF($Q169=0,"A COMPLETER : "&amp;IF(ISNA(MATCH($B169,ST_ID,0)),"ID ST valide; ","")&amp;IF(OR(NOT(ISNUMBER($F169)),$F169&lt;=0),"QUANTITE &gt; 0; ","")&amp;IF($J169="","EMPL. DESTINATION; ",""),IF($T169="BLOQUE","Envoi parent en anomalie ("&amp;$S169&amp;") : corriger l'onglet SOUS_TRAITANCE.",IF(AND($E169&lt;&gt;"",ISNA(MATCH($E169,LOT_KEY,0))),"Creer la fiche du lot resultat dans l'onglet LOTS.",""))))</f>
        <v/>
      </c>
      <c r="W169" s="31" t="str">
        <f aca="false">IF($B169="","",IF($C169&lt;&gt;"",$C169,IFERROR(INDEX(ST_DATERET,MATCH($B169,ST_ID,0)),"")))</f>
        <v/>
      </c>
      <c r="X169" s="26" t="str">
        <f aca="false">IF($Q169=0,"",IF($L169=R_LOT,IF($N169&lt;&gt;R_LOT,$N169,""),IF($N169=R_LOT,$L169,"")))</f>
        <v/>
      </c>
      <c r="Y169" s="26" t="str">
        <f aca="false">IF($X169="","",IF(COUNTIF($X$4:$X168,$X169)&gt;0,"",COUNT($Y$4:$Y168)+1))</f>
        <v/>
      </c>
      <c r="Z169" s="26" t="n">
        <f aca="false">IF($Q169=0,0,IF(OR($L169=R_LOT,$N169=R_LOT),1,0))</f>
        <v>0</v>
      </c>
      <c r="AA169" s="26" t="str">
        <f aca="false">IF($Z169=0,"",COUNTIF($Z$5:$Z169,1))</f>
        <v/>
      </c>
    </row>
    <row r="170" customFormat="false" ht="15" hidden="false" customHeight="false" outlineLevel="0" collapsed="false">
      <c r="A170" s="26" t="str">
        <f aca="false">IF($B170="","","RES-"&amp;TEXT(ROW()-4,"000"))</f>
        <v/>
      </c>
      <c r="B170" s="24"/>
      <c r="C170" s="25"/>
      <c r="D170" s="24"/>
      <c r="E170" s="24"/>
      <c r="F170" s="29"/>
      <c r="G170" s="24"/>
      <c r="H170" s="24"/>
      <c r="I170" s="24"/>
      <c r="J170" s="24"/>
      <c r="K170" s="24"/>
      <c r="L170" s="26" t="str">
        <f aca="false">IF($B170="","",IFERROR(INDEX(ST_LOT,MATCH($B170,ST_ID,0)),""))</f>
        <v/>
      </c>
      <c r="M170" s="26" t="str">
        <f aca="false">IF($B170="","",IFERROR(INDEX(ST_STRAIT,MATCH($B170,ST_ID,0)),""))</f>
        <v/>
      </c>
      <c r="N170" s="26" t="str">
        <f aca="false">IF($B170="","",IF($E170="",$L170,$E170))</f>
        <v/>
      </c>
      <c r="O170" s="26" t="str">
        <f aca="false">IF($N170="","",IFERROR(INDEX(LOT_EXTE,MATCH($N170,LOT_KEY,0)),""))</f>
        <v/>
      </c>
      <c r="P170" s="26" t="str">
        <f aca="false">IF($J170="","",IFERROR(INDEX(EMPL_CLASSE,MATCH($J170,EMPL_KEY,0)),"?"))</f>
        <v/>
      </c>
      <c r="Q170" s="28" t="n">
        <f aca="false">IF($B170="",0,IF(OR(ISNA(MATCH($B170,ST_ID,0)),NOT(ISNUMBER($F170)),$F170&lt;=0,$J170="",$N170=""),0,1))</f>
        <v>0</v>
      </c>
      <c r="R170" s="27" t="n">
        <f aca="false">IF($Q170=0,0,$F170)</f>
        <v>0</v>
      </c>
      <c r="S170" s="26" t="str">
        <f aca="false">IF($B170="","",IFERROR(INDEX(ST_STATUT,MATCH($B170,ST_ID,0)),""))</f>
        <v/>
      </c>
      <c r="T170" s="26" t="str">
        <f aca="false">IF($B170="","",IF($Q170=0,"DONNEES MANQUANTES",IF(OR($S170="DONNEES MANQUANTES",$S170="STOCK INSUFFISANT",$S170="EMPLACEMENT INCOHERENT",$S170="BLOQUE"),"BLOQUE","OK")))</f>
        <v/>
      </c>
      <c r="U170" s="28" t="n">
        <f aca="false">IF($T170="OK",1,0)</f>
        <v>0</v>
      </c>
      <c r="V170" s="26" t="str">
        <f aca="false">IF($B170="","",IF($Q170=0,"A COMPLETER : "&amp;IF(ISNA(MATCH($B170,ST_ID,0)),"ID ST valide; ","")&amp;IF(OR(NOT(ISNUMBER($F170)),$F170&lt;=0),"QUANTITE &gt; 0; ","")&amp;IF($J170="","EMPL. DESTINATION; ",""),IF($T170="BLOQUE","Envoi parent en anomalie ("&amp;$S170&amp;") : corriger l'onglet SOUS_TRAITANCE.",IF(AND($E170&lt;&gt;"",ISNA(MATCH($E170,LOT_KEY,0))),"Creer la fiche du lot resultat dans l'onglet LOTS.",""))))</f>
        <v/>
      </c>
      <c r="W170" s="31" t="str">
        <f aca="false">IF($B170="","",IF($C170&lt;&gt;"",$C170,IFERROR(INDEX(ST_DATERET,MATCH($B170,ST_ID,0)),"")))</f>
        <v/>
      </c>
      <c r="X170" s="26" t="str">
        <f aca="false">IF($Q170=0,"",IF($L170=R_LOT,IF($N170&lt;&gt;R_LOT,$N170,""),IF($N170=R_LOT,$L170,"")))</f>
        <v/>
      </c>
      <c r="Y170" s="26" t="str">
        <f aca="false">IF($X170="","",IF(COUNTIF($X$4:$X169,$X170)&gt;0,"",COUNT($Y$4:$Y169)+1))</f>
        <v/>
      </c>
      <c r="Z170" s="26" t="n">
        <f aca="false">IF($Q170=0,0,IF(OR($L170=R_LOT,$N170=R_LOT),1,0))</f>
        <v>0</v>
      </c>
      <c r="AA170" s="26" t="str">
        <f aca="false">IF($Z170=0,"",COUNTIF($Z$5:$Z170,1))</f>
        <v/>
      </c>
    </row>
    <row r="171" customFormat="false" ht="15" hidden="false" customHeight="false" outlineLevel="0" collapsed="false">
      <c r="A171" s="26" t="str">
        <f aca="false">IF($B171="","","RES-"&amp;TEXT(ROW()-4,"000"))</f>
        <v/>
      </c>
      <c r="B171" s="24"/>
      <c r="C171" s="25"/>
      <c r="D171" s="24"/>
      <c r="E171" s="24"/>
      <c r="F171" s="29"/>
      <c r="G171" s="24"/>
      <c r="H171" s="24"/>
      <c r="I171" s="24"/>
      <c r="J171" s="24"/>
      <c r="K171" s="24"/>
      <c r="L171" s="26" t="str">
        <f aca="false">IF($B171="","",IFERROR(INDEX(ST_LOT,MATCH($B171,ST_ID,0)),""))</f>
        <v/>
      </c>
      <c r="M171" s="26" t="str">
        <f aca="false">IF($B171="","",IFERROR(INDEX(ST_STRAIT,MATCH($B171,ST_ID,0)),""))</f>
        <v/>
      </c>
      <c r="N171" s="26" t="str">
        <f aca="false">IF($B171="","",IF($E171="",$L171,$E171))</f>
        <v/>
      </c>
      <c r="O171" s="26" t="str">
        <f aca="false">IF($N171="","",IFERROR(INDEX(LOT_EXTE,MATCH($N171,LOT_KEY,0)),""))</f>
        <v/>
      </c>
      <c r="P171" s="26" t="str">
        <f aca="false">IF($J171="","",IFERROR(INDEX(EMPL_CLASSE,MATCH($J171,EMPL_KEY,0)),"?"))</f>
        <v/>
      </c>
      <c r="Q171" s="28" t="n">
        <f aca="false">IF($B171="",0,IF(OR(ISNA(MATCH($B171,ST_ID,0)),NOT(ISNUMBER($F171)),$F171&lt;=0,$J171="",$N171=""),0,1))</f>
        <v>0</v>
      </c>
      <c r="R171" s="27" t="n">
        <f aca="false">IF($Q171=0,0,$F171)</f>
        <v>0</v>
      </c>
      <c r="S171" s="26" t="str">
        <f aca="false">IF($B171="","",IFERROR(INDEX(ST_STATUT,MATCH($B171,ST_ID,0)),""))</f>
        <v/>
      </c>
      <c r="T171" s="26" t="str">
        <f aca="false">IF($B171="","",IF($Q171=0,"DONNEES MANQUANTES",IF(OR($S171="DONNEES MANQUANTES",$S171="STOCK INSUFFISANT",$S171="EMPLACEMENT INCOHERENT",$S171="BLOQUE"),"BLOQUE","OK")))</f>
        <v/>
      </c>
      <c r="U171" s="28" t="n">
        <f aca="false">IF($T171="OK",1,0)</f>
        <v>0</v>
      </c>
      <c r="V171" s="26" t="str">
        <f aca="false">IF($B171="","",IF($Q171=0,"A COMPLETER : "&amp;IF(ISNA(MATCH($B171,ST_ID,0)),"ID ST valide; ","")&amp;IF(OR(NOT(ISNUMBER($F171)),$F171&lt;=0),"QUANTITE &gt; 0; ","")&amp;IF($J171="","EMPL. DESTINATION; ",""),IF($T171="BLOQUE","Envoi parent en anomalie ("&amp;$S171&amp;") : corriger l'onglet SOUS_TRAITANCE.",IF(AND($E171&lt;&gt;"",ISNA(MATCH($E171,LOT_KEY,0))),"Creer la fiche du lot resultat dans l'onglet LOTS.",""))))</f>
        <v/>
      </c>
      <c r="W171" s="31" t="str">
        <f aca="false">IF($B171="","",IF($C171&lt;&gt;"",$C171,IFERROR(INDEX(ST_DATERET,MATCH($B171,ST_ID,0)),"")))</f>
        <v/>
      </c>
      <c r="X171" s="26" t="str">
        <f aca="false">IF($Q171=0,"",IF($L171=R_LOT,IF($N171&lt;&gt;R_LOT,$N171,""),IF($N171=R_LOT,$L171,"")))</f>
        <v/>
      </c>
      <c r="Y171" s="26" t="str">
        <f aca="false">IF($X171="","",IF(COUNTIF($X$4:$X170,$X171)&gt;0,"",COUNT($Y$4:$Y170)+1))</f>
        <v/>
      </c>
      <c r="Z171" s="26" t="n">
        <f aca="false">IF($Q171=0,0,IF(OR($L171=R_LOT,$N171=R_LOT),1,0))</f>
        <v>0</v>
      </c>
      <c r="AA171" s="26" t="str">
        <f aca="false">IF($Z171=0,"",COUNTIF($Z$5:$Z171,1))</f>
        <v/>
      </c>
    </row>
    <row r="172" customFormat="false" ht="15" hidden="false" customHeight="false" outlineLevel="0" collapsed="false">
      <c r="A172" s="26" t="str">
        <f aca="false">IF($B172="","","RES-"&amp;TEXT(ROW()-4,"000"))</f>
        <v/>
      </c>
      <c r="B172" s="24"/>
      <c r="C172" s="25"/>
      <c r="D172" s="24"/>
      <c r="E172" s="24"/>
      <c r="F172" s="29"/>
      <c r="G172" s="24"/>
      <c r="H172" s="24"/>
      <c r="I172" s="24"/>
      <c r="J172" s="24"/>
      <c r="K172" s="24"/>
      <c r="L172" s="26" t="str">
        <f aca="false">IF($B172="","",IFERROR(INDEX(ST_LOT,MATCH($B172,ST_ID,0)),""))</f>
        <v/>
      </c>
      <c r="M172" s="26" t="str">
        <f aca="false">IF($B172="","",IFERROR(INDEX(ST_STRAIT,MATCH($B172,ST_ID,0)),""))</f>
        <v/>
      </c>
      <c r="N172" s="26" t="str">
        <f aca="false">IF($B172="","",IF($E172="",$L172,$E172))</f>
        <v/>
      </c>
      <c r="O172" s="26" t="str">
        <f aca="false">IF($N172="","",IFERROR(INDEX(LOT_EXTE,MATCH($N172,LOT_KEY,0)),""))</f>
        <v/>
      </c>
      <c r="P172" s="26" t="str">
        <f aca="false">IF($J172="","",IFERROR(INDEX(EMPL_CLASSE,MATCH($J172,EMPL_KEY,0)),"?"))</f>
        <v/>
      </c>
      <c r="Q172" s="28" t="n">
        <f aca="false">IF($B172="",0,IF(OR(ISNA(MATCH($B172,ST_ID,0)),NOT(ISNUMBER($F172)),$F172&lt;=0,$J172="",$N172=""),0,1))</f>
        <v>0</v>
      </c>
      <c r="R172" s="27" t="n">
        <f aca="false">IF($Q172=0,0,$F172)</f>
        <v>0</v>
      </c>
      <c r="S172" s="26" t="str">
        <f aca="false">IF($B172="","",IFERROR(INDEX(ST_STATUT,MATCH($B172,ST_ID,0)),""))</f>
        <v/>
      </c>
      <c r="T172" s="26" t="str">
        <f aca="false">IF($B172="","",IF($Q172=0,"DONNEES MANQUANTES",IF(OR($S172="DONNEES MANQUANTES",$S172="STOCK INSUFFISANT",$S172="EMPLACEMENT INCOHERENT",$S172="BLOQUE"),"BLOQUE","OK")))</f>
        <v/>
      </c>
      <c r="U172" s="28" t="n">
        <f aca="false">IF($T172="OK",1,0)</f>
        <v>0</v>
      </c>
      <c r="V172" s="26" t="str">
        <f aca="false">IF($B172="","",IF($Q172=0,"A COMPLETER : "&amp;IF(ISNA(MATCH($B172,ST_ID,0)),"ID ST valide; ","")&amp;IF(OR(NOT(ISNUMBER($F172)),$F172&lt;=0),"QUANTITE &gt; 0; ","")&amp;IF($J172="","EMPL. DESTINATION; ",""),IF($T172="BLOQUE","Envoi parent en anomalie ("&amp;$S172&amp;") : corriger l'onglet SOUS_TRAITANCE.",IF(AND($E172&lt;&gt;"",ISNA(MATCH($E172,LOT_KEY,0))),"Creer la fiche du lot resultat dans l'onglet LOTS.",""))))</f>
        <v/>
      </c>
      <c r="W172" s="31" t="str">
        <f aca="false">IF($B172="","",IF($C172&lt;&gt;"",$C172,IFERROR(INDEX(ST_DATERET,MATCH($B172,ST_ID,0)),"")))</f>
        <v/>
      </c>
      <c r="X172" s="26" t="str">
        <f aca="false">IF($Q172=0,"",IF($L172=R_LOT,IF($N172&lt;&gt;R_LOT,$N172,""),IF($N172=R_LOT,$L172,"")))</f>
        <v/>
      </c>
      <c r="Y172" s="26" t="str">
        <f aca="false">IF($X172="","",IF(COUNTIF($X$4:$X171,$X172)&gt;0,"",COUNT($Y$4:$Y171)+1))</f>
        <v/>
      </c>
      <c r="Z172" s="26" t="n">
        <f aca="false">IF($Q172=0,0,IF(OR($L172=R_LOT,$N172=R_LOT),1,0))</f>
        <v>0</v>
      </c>
      <c r="AA172" s="26" t="str">
        <f aca="false">IF($Z172=0,"",COUNTIF($Z$5:$Z172,1))</f>
        <v/>
      </c>
    </row>
    <row r="173" customFormat="false" ht="15" hidden="false" customHeight="false" outlineLevel="0" collapsed="false">
      <c r="A173" s="26" t="str">
        <f aca="false">IF($B173="","","RES-"&amp;TEXT(ROW()-4,"000"))</f>
        <v/>
      </c>
      <c r="B173" s="24"/>
      <c r="C173" s="25"/>
      <c r="D173" s="24"/>
      <c r="E173" s="24"/>
      <c r="F173" s="29"/>
      <c r="G173" s="24"/>
      <c r="H173" s="24"/>
      <c r="I173" s="24"/>
      <c r="J173" s="24"/>
      <c r="K173" s="24"/>
      <c r="L173" s="26" t="str">
        <f aca="false">IF($B173="","",IFERROR(INDEX(ST_LOT,MATCH($B173,ST_ID,0)),""))</f>
        <v/>
      </c>
      <c r="M173" s="26" t="str">
        <f aca="false">IF($B173="","",IFERROR(INDEX(ST_STRAIT,MATCH($B173,ST_ID,0)),""))</f>
        <v/>
      </c>
      <c r="N173" s="26" t="str">
        <f aca="false">IF($B173="","",IF($E173="",$L173,$E173))</f>
        <v/>
      </c>
      <c r="O173" s="26" t="str">
        <f aca="false">IF($N173="","",IFERROR(INDEX(LOT_EXTE,MATCH($N173,LOT_KEY,0)),""))</f>
        <v/>
      </c>
      <c r="P173" s="26" t="str">
        <f aca="false">IF($J173="","",IFERROR(INDEX(EMPL_CLASSE,MATCH($J173,EMPL_KEY,0)),"?"))</f>
        <v/>
      </c>
      <c r="Q173" s="28" t="n">
        <f aca="false">IF($B173="",0,IF(OR(ISNA(MATCH($B173,ST_ID,0)),NOT(ISNUMBER($F173)),$F173&lt;=0,$J173="",$N173=""),0,1))</f>
        <v>0</v>
      </c>
      <c r="R173" s="27" t="n">
        <f aca="false">IF($Q173=0,0,$F173)</f>
        <v>0</v>
      </c>
      <c r="S173" s="26" t="str">
        <f aca="false">IF($B173="","",IFERROR(INDEX(ST_STATUT,MATCH($B173,ST_ID,0)),""))</f>
        <v/>
      </c>
      <c r="T173" s="26" t="str">
        <f aca="false">IF($B173="","",IF($Q173=0,"DONNEES MANQUANTES",IF(OR($S173="DONNEES MANQUANTES",$S173="STOCK INSUFFISANT",$S173="EMPLACEMENT INCOHERENT",$S173="BLOQUE"),"BLOQUE","OK")))</f>
        <v/>
      </c>
      <c r="U173" s="28" t="n">
        <f aca="false">IF($T173="OK",1,0)</f>
        <v>0</v>
      </c>
      <c r="V173" s="26" t="str">
        <f aca="false">IF($B173="","",IF($Q173=0,"A COMPLETER : "&amp;IF(ISNA(MATCH($B173,ST_ID,0)),"ID ST valide; ","")&amp;IF(OR(NOT(ISNUMBER($F173)),$F173&lt;=0),"QUANTITE &gt; 0; ","")&amp;IF($J173="","EMPL. DESTINATION; ",""),IF($T173="BLOQUE","Envoi parent en anomalie ("&amp;$S173&amp;") : corriger l'onglet SOUS_TRAITANCE.",IF(AND($E173&lt;&gt;"",ISNA(MATCH($E173,LOT_KEY,0))),"Creer la fiche du lot resultat dans l'onglet LOTS.",""))))</f>
        <v/>
      </c>
      <c r="W173" s="31" t="str">
        <f aca="false">IF($B173="","",IF($C173&lt;&gt;"",$C173,IFERROR(INDEX(ST_DATERET,MATCH($B173,ST_ID,0)),"")))</f>
        <v/>
      </c>
      <c r="X173" s="26" t="str">
        <f aca="false">IF($Q173=0,"",IF($L173=R_LOT,IF($N173&lt;&gt;R_LOT,$N173,""),IF($N173=R_LOT,$L173,"")))</f>
        <v/>
      </c>
      <c r="Y173" s="26" t="str">
        <f aca="false">IF($X173="","",IF(COUNTIF($X$4:$X172,$X173)&gt;0,"",COUNT($Y$4:$Y172)+1))</f>
        <v/>
      </c>
      <c r="Z173" s="26" t="n">
        <f aca="false">IF($Q173=0,0,IF(OR($L173=R_LOT,$N173=R_LOT),1,0))</f>
        <v>0</v>
      </c>
      <c r="AA173" s="26" t="str">
        <f aca="false">IF($Z173=0,"",COUNTIF($Z$5:$Z173,1))</f>
        <v/>
      </c>
    </row>
    <row r="174" customFormat="false" ht="15" hidden="false" customHeight="false" outlineLevel="0" collapsed="false">
      <c r="A174" s="26" t="str">
        <f aca="false">IF($B174="","","RES-"&amp;TEXT(ROW()-4,"000"))</f>
        <v/>
      </c>
      <c r="B174" s="24"/>
      <c r="C174" s="25"/>
      <c r="D174" s="24"/>
      <c r="E174" s="24"/>
      <c r="F174" s="29"/>
      <c r="G174" s="24"/>
      <c r="H174" s="24"/>
      <c r="I174" s="24"/>
      <c r="J174" s="24"/>
      <c r="K174" s="24"/>
      <c r="L174" s="26" t="str">
        <f aca="false">IF($B174="","",IFERROR(INDEX(ST_LOT,MATCH($B174,ST_ID,0)),""))</f>
        <v/>
      </c>
      <c r="M174" s="26" t="str">
        <f aca="false">IF($B174="","",IFERROR(INDEX(ST_STRAIT,MATCH($B174,ST_ID,0)),""))</f>
        <v/>
      </c>
      <c r="N174" s="26" t="str">
        <f aca="false">IF($B174="","",IF($E174="",$L174,$E174))</f>
        <v/>
      </c>
      <c r="O174" s="26" t="str">
        <f aca="false">IF($N174="","",IFERROR(INDEX(LOT_EXTE,MATCH($N174,LOT_KEY,0)),""))</f>
        <v/>
      </c>
      <c r="P174" s="26" t="str">
        <f aca="false">IF($J174="","",IFERROR(INDEX(EMPL_CLASSE,MATCH($J174,EMPL_KEY,0)),"?"))</f>
        <v/>
      </c>
      <c r="Q174" s="28" t="n">
        <f aca="false">IF($B174="",0,IF(OR(ISNA(MATCH($B174,ST_ID,0)),NOT(ISNUMBER($F174)),$F174&lt;=0,$J174="",$N174=""),0,1))</f>
        <v>0</v>
      </c>
      <c r="R174" s="27" t="n">
        <f aca="false">IF($Q174=0,0,$F174)</f>
        <v>0</v>
      </c>
      <c r="S174" s="26" t="str">
        <f aca="false">IF($B174="","",IFERROR(INDEX(ST_STATUT,MATCH($B174,ST_ID,0)),""))</f>
        <v/>
      </c>
      <c r="T174" s="26" t="str">
        <f aca="false">IF($B174="","",IF($Q174=0,"DONNEES MANQUANTES",IF(OR($S174="DONNEES MANQUANTES",$S174="STOCK INSUFFISANT",$S174="EMPLACEMENT INCOHERENT",$S174="BLOQUE"),"BLOQUE","OK")))</f>
        <v/>
      </c>
      <c r="U174" s="28" t="n">
        <f aca="false">IF($T174="OK",1,0)</f>
        <v>0</v>
      </c>
      <c r="V174" s="26" t="str">
        <f aca="false">IF($B174="","",IF($Q174=0,"A COMPLETER : "&amp;IF(ISNA(MATCH($B174,ST_ID,0)),"ID ST valide; ","")&amp;IF(OR(NOT(ISNUMBER($F174)),$F174&lt;=0),"QUANTITE &gt; 0; ","")&amp;IF($J174="","EMPL. DESTINATION; ",""),IF($T174="BLOQUE","Envoi parent en anomalie ("&amp;$S174&amp;") : corriger l'onglet SOUS_TRAITANCE.",IF(AND($E174&lt;&gt;"",ISNA(MATCH($E174,LOT_KEY,0))),"Creer la fiche du lot resultat dans l'onglet LOTS.",""))))</f>
        <v/>
      </c>
      <c r="W174" s="31" t="str">
        <f aca="false">IF($B174="","",IF($C174&lt;&gt;"",$C174,IFERROR(INDEX(ST_DATERET,MATCH($B174,ST_ID,0)),"")))</f>
        <v/>
      </c>
      <c r="X174" s="26" t="str">
        <f aca="false">IF($Q174=0,"",IF($L174=R_LOT,IF($N174&lt;&gt;R_LOT,$N174,""),IF($N174=R_LOT,$L174,"")))</f>
        <v/>
      </c>
      <c r="Y174" s="26" t="str">
        <f aca="false">IF($X174="","",IF(COUNTIF($X$4:$X173,$X174)&gt;0,"",COUNT($Y$4:$Y173)+1))</f>
        <v/>
      </c>
      <c r="Z174" s="26" t="n">
        <f aca="false">IF($Q174=0,0,IF(OR($L174=R_LOT,$N174=R_LOT),1,0))</f>
        <v>0</v>
      </c>
      <c r="AA174" s="26" t="str">
        <f aca="false">IF($Z174=0,"",COUNTIF($Z$5:$Z174,1))</f>
        <v/>
      </c>
    </row>
    <row r="175" customFormat="false" ht="15" hidden="false" customHeight="false" outlineLevel="0" collapsed="false">
      <c r="A175" s="26" t="str">
        <f aca="false">IF($B175="","","RES-"&amp;TEXT(ROW()-4,"000"))</f>
        <v/>
      </c>
      <c r="B175" s="24"/>
      <c r="C175" s="25"/>
      <c r="D175" s="24"/>
      <c r="E175" s="24"/>
      <c r="F175" s="29"/>
      <c r="G175" s="24"/>
      <c r="H175" s="24"/>
      <c r="I175" s="24"/>
      <c r="J175" s="24"/>
      <c r="K175" s="24"/>
      <c r="L175" s="26" t="str">
        <f aca="false">IF($B175="","",IFERROR(INDEX(ST_LOT,MATCH($B175,ST_ID,0)),""))</f>
        <v/>
      </c>
      <c r="M175" s="26" t="str">
        <f aca="false">IF($B175="","",IFERROR(INDEX(ST_STRAIT,MATCH($B175,ST_ID,0)),""))</f>
        <v/>
      </c>
      <c r="N175" s="26" t="str">
        <f aca="false">IF($B175="","",IF($E175="",$L175,$E175))</f>
        <v/>
      </c>
      <c r="O175" s="26" t="str">
        <f aca="false">IF($N175="","",IFERROR(INDEX(LOT_EXTE,MATCH($N175,LOT_KEY,0)),""))</f>
        <v/>
      </c>
      <c r="P175" s="26" t="str">
        <f aca="false">IF($J175="","",IFERROR(INDEX(EMPL_CLASSE,MATCH($J175,EMPL_KEY,0)),"?"))</f>
        <v/>
      </c>
      <c r="Q175" s="28" t="n">
        <f aca="false">IF($B175="",0,IF(OR(ISNA(MATCH($B175,ST_ID,0)),NOT(ISNUMBER($F175)),$F175&lt;=0,$J175="",$N175=""),0,1))</f>
        <v>0</v>
      </c>
      <c r="R175" s="27" t="n">
        <f aca="false">IF($Q175=0,0,$F175)</f>
        <v>0</v>
      </c>
      <c r="S175" s="26" t="str">
        <f aca="false">IF($B175="","",IFERROR(INDEX(ST_STATUT,MATCH($B175,ST_ID,0)),""))</f>
        <v/>
      </c>
      <c r="T175" s="26" t="str">
        <f aca="false">IF($B175="","",IF($Q175=0,"DONNEES MANQUANTES",IF(OR($S175="DONNEES MANQUANTES",$S175="STOCK INSUFFISANT",$S175="EMPLACEMENT INCOHERENT",$S175="BLOQUE"),"BLOQUE","OK")))</f>
        <v/>
      </c>
      <c r="U175" s="28" t="n">
        <f aca="false">IF($T175="OK",1,0)</f>
        <v>0</v>
      </c>
      <c r="V175" s="26" t="str">
        <f aca="false">IF($B175="","",IF($Q175=0,"A COMPLETER : "&amp;IF(ISNA(MATCH($B175,ST_ID,0)),"ID ST valide; ","")&amp;IF(OR(NOT(ISNUMBER($F175)),$F175&lt;=0),"QUANTITE &gt; 0; ","")&amp;IF($J175="","EMPL. DESTINATION; ",""),IF($T175="BLOQUE","Envoi parent en anomalie ("&amp;$S175&amp;") : corriger l'onglet SOUS_TRAITANCE.",IF(AND($E175&lt;&gt;"",ISNA(MATCH($E175,LOT_KEY,0))),"Creer la fiche du lot resultat dans l'onglet LOTS.",""))))</f>
        <v/>
      </c>
      <c r="W175" s="31" t="str">
        <f aca="false">IF($B175="","",IF($C175&lt;&gt;"",$C175,IFERROR(INDEX(ST_DATERET,MATCH($B175,ST_ID,0)),"")))</f>
        <v/>
      </c>
      <c r="X175" s="26" t="str">
        <f aca="false">IF($Q175=0,"",IF($L175=R_LOT,IF($N175&lt;&gt;R_LOT,$N175,""),IF($N175=R_LOT,$L175,"")))</f>
        <v/>
      </c>
      <c r="Y175" s="26" t="str">
        <f aca="false">IF($X175="","",IF(COUNTIF($X$4:$X174,$X175)&gt;0,"",COUNT($Y$4:$Y174)+1))</f>
        <v/>
      </c>
      <c r="Z175" s="26" t="n">
        <f aca="false">IF($Q175=0,0,IF(OR($L175=R_LOT,$N175=R_LOT),1,0))</f>
        <v>0</v>
      </c>
      <c r="AA175" s="26" t="str">
        <f aca="false">IF($Z175=0,"",COUNTIF($Z$5:$Z175,1))</f>
        <v/>
      </c>
    </row>
    <row r="176" customFormat="false" ht="15" hidden="false" customHeight="false" outlineLevel="0" collapsed="false">
      <c r="A176" s="26" t="str">
        <f aca="false">IF($B176="","","RES-"&amp;TEXT(ROW()-4,"000"))</f>
        <v/>
      </c>
      <c r="B176" s="24"/>
      <c r="C176" s="25"/>
      <c r="D176" s="24"/>
      <c r="E176" s="24"/>
      <c r="F176" s="29"/>
      <c r="G176" s="24"/>
      <c r="H176" s="24"/>
      <c r="I176" s="24"/>
      <c r="J176" s="24"/>
      <c r="K176" s="24"/>
      <c r="L176" s="26" t="str">
        <f aca="false">IF($B176="","",IFERROR(INDEX(ST_LOT,MATCH($B176,ST_ID,0)),""))</f>
        <v/>
      </c>
      <c r="M176" s="26" t="str">
        <f aca="false">IF($B176="","",IFERROR(INDEX(ST_STRAIT,MATCH($B176,ST_ID,0)),""))</f>
        <v/>
      </c>
      <c r="N176" s="26" t="str">
        <f aca="false">IF($B176="","",IF($E176="",$L176,$E176))</f>
        <v/>
      </c>
      <c r="O176" s="26" t="str">
        <f aca="false">IF($N176="","",IFERROR(INDEX(LOT_EXTE,MATCH($N176,LOT_KEY,0)),""))</f>
        <v/>
      </c>
      <c r="P176" s="26" t="str">
        <f aca="false">IF($J176="","",IFERROR(INDEX(EMPL_CLASSE,MATCH($J176,EMPL_KEY,0)),"?"))</f>
        <v/>
      </c>
      <c r="Q176" s="28" t="n">
        <f aca="false">IF($B176="",0,IF(OR(ISNA(MATCH($B176,ST_ID,0)),NOT(ISNUMBER($F176)),$F176&lt;=0,$J176="",$N176=""),0,1))</f>
        <v>0</v>
      </c>
      <c r="R176" s="27" t="n">
        <f aca="false">IF($Q176=0,0,$F176)</f>
        <v>0</v>
      </c>
      <c r="S176" s="26" t="str">
        <f aca="false">IF($B176="","",IFERROR(INDEX(ST_STATUT,MATCH($B176,ST_ID,0)),""))</f>
        <v/>
      </c>
      <c r="T176" s="26" t="str">
        <f aca="false">IF($B176="","",IF($Q176=0,"DONNEES MANQUANTES",IF(OR($S176="DONNEES MANQUANTES",$S176="STOCK INSUFFISANT",$S176="EMPLACEMENT INCOHERENT",$S176="BLOQUE"),"BLOQUE","OK")))</f>
        <v/>
      </c>
      <c r="U176" s="28" t="n">
        <f aca="false">IF($T176="OK",1,0)</f>
        <v>0</v>
      </c>
      <c r="V176" s="26" t="str">
        <f aca="false">IF($B176="","",IF($Q176=0,"A COMPLETER : "&amp;IF(ISNA(MATCH($B176,ST_ID,0)),"ID ST valide; ","")&amp;IF(OR(NOT(ISNUMBER($F176)),$F176&lt;=0),"QUANTITE &gt; 0; ","")&amp;IF($J176="","EMPL. DESTINATION; ",""),IF($T176="BLOQUE","Envoi parent en anomalie ("&amp;$S176&amp;") : corriger l'onglet SOUS_TRAITANCE.",IF(AND($E176&lt;&gt;"",ISNA(MATCH($E176,LOT_KEY,0))),"Creer la fiche du lot resultat dans l'onglet LOTS.",""))))</f>
        <v/>
      </c>
      <c r="W176" s="31" t="str">
        <f aca="false">IF($B176="","",IF($C176&lt;&gt;"",$C176,IFERROR(INDEX(ST_DATERET,MATCH($B176,ST_ID,0)),"")))</f>
        <v/>
      </c>
      <c r="X176" s="26" t="str">
        <f aca="false">IF($Q176=0,"",IF($L176=R_LOT,IF($N176&lt;&gt;R_LOT,$N176,""),IF($N176=R_LOT,$L176,"")))</f>
        <v/>
      </c>
      <c r="Y176" s="26" t="str">
        <f aca="false">IF($X176="","",IF(COUNTIF($X$4:$X175,$X176)&gt;0,"",COUNT($Y$4:$Y175)+1))</f>
        <v/>
      </c>
      <c r="Z176" s="26" t="n">
        <f aca="false">IF($Q176=0,0,IF(OR($L176=R_LOT,$N176=R_LOT),1,0))</f>
        <v>0</v>
      </c>
      <c r="AA176" s="26" t="str">
        <f aca="false">IF($Z176=0,"",COUNTIF($Z$5:$Z176,1))</f>
        <v/>
      </c>
    </row>
    <row r="177" customFormat="false" ht="15" hidden="false" customHeight="false" outlineLevel="0" collapsed="false">
      <c r="A177" s="26" t="str">
        <f aca="false">IF($B177="","","RES-"&amp;TEXT(ROW()-4,"000"))</f>
        <v/>
      </c>
      <c r="B177" s="24"/>
      <c r="C177" s="25"/>
      <c r="D177" s="24"/>
      <c r="E177" s="24"/>
      <c r="F177" s="29"/>
      <c r="G177" s="24"/>
      <c r="H177" s="24"/>
      <c r="I177" s="24"/>
      <c r="J177" s="24"/>
      <c r="K177" s="24"/>
      <c r="L177" s="26" t="str">
        <f aca="false">IF($B177="","",IFERROR(INDEX(ST_LOT,MATCH($B177,ST_ID,0)),""))</f>
        <v/>
      </c>
      <c r="M177" s="26" t="str">
        <f aca="false">IF($B177="","",IFERROR(INDEX(ST_STRAIT,MATCH($B177,ST_ID,0)),""))</f>
        <v/>
      </c>
      <c r="N177" s="26" t="str">
        <f aca="false">IF($B177="","",IF($E177="",$L177,$E177))</f>
        <v/>
      </c>
      <c r="O177" s="26" t="str">
        <f aca="false">IF($N177="","",IFERROR(INDEX(LOT_EXTE,MATCH($N177,LOT_KEY,0)),""))</f>
        <v/>
      </c>
      <c r="P177" s="26" t="str">
        <f aca="false">IF($J177="","",IFERROR(INDEX(EMPL_CLASSE,MATCH($J177,EMPL_KEY,0)),"?"))</f>
        <v/>
      </c>
      <c r="Q177" s="28" t="n">
        <f aca="false">IF($B177="",0,IF(OR(ISNA(MATCH($B177,ST_ID,0)),NOT(ISNUMBER($F177)),$F177&lt;=0,$J177="",$N177=""),0,1))</f>
        <v>0</v>
      </c>
      <c r="R177" s="27" t="n">
        <f aca="false">IF($Q177=0,0,$F177)</f>
        <v>0</v>
      </c>
      <c r="S177" s="26" t="str">
        <f aca="false">IF($B177="","",IFERROR(INDEX(ST_STATUT,MATCH($B177,ST_ID,0)),""))</f>
        <v/>
      </c>
      <c r="T177" s="26" t="str">
        <f aca="false">IF($B177="","",IF($Q177=0,"DONNEES MANQUANTES",IF(OR($S177="DONNEES MANQUANTES",$S177="STOCK INSUFFISANT",$S177="EMPLACEMENT INCOHERENT",$S177="BLOQUE"),"BLOQUE","OK")))</f>
        <v/>
      </c>
      <c r="U177" s="28" t="n">
        <f aca="false">IF($T177="OK",1,0)</f>
        <v>0</v>
      </c>
      <c r="V177" s="26" t="str">
        <f aca="false">IF($B177="","",IF($Q177=0,"A COMPLETER : "&amp;IF(ISNA(MATCH($B177,ST_ID,0)),"ID ST valide; ","")&amp;IF(OR(NOT(ISNUMBER($F177)),$F177&lt;=0),"QUANTITE &gt; 0; ","")&amp;IF($J177="","EMPL. DESTINATION; ",""),IF($T177="BLOQUE","Envoi parent en anomalie ("&amp;$S177&amp;") : corriger l'onglet SOUS_TRAITANCE.",IF(AND($E177&lt;&gt;"",ISNA(MATCH($E177,LOT_KEY,0))),"Creer la fiche du lot resultat dans l'onglet LOTS.",""))))</f>
        <v/>
      </c>
      <c r="W177" s="31" t="str">
        <f aca="false">IF($B177="","",IF($C177&lt;&gt;"",$C177,IFERROR(INDEX(ST_DATERET,MATCH($B177,ST_ID,0)),"")))</f>
        <v/>
      </c>
      <c r="X177" s="26" t="str">
        <f aca="false">IF($Q177=0,"",IF($L177=R_LOT,IF($N177&lt;&gt;R_LOT,$N177,""),IF($N177=R_LOT,$L177,"")))</f>
        <v/>
      </c>
      <c r="Y177" s="26" t="str">
        <f aca="false">IF($X177="","",IF(COUNTIF($X$4:$X176,$X177)&gt;0,"",COUNT($Y$4:$Y176)+1))</f>
        <v/>
      </c>
      <c r="Z177" s="26" t="n">
        <f aca="false">IF($Q177=0,0,IF(OR($L177=R_LOT,$N177=R_LOT),1,0))</f>
        <v>0</v>
      </c>
      <c r="AA177" s="26" t="str">
        <f aca="false">IF($Z177=0,"",COUNTIF($Z$5:$Z177,1))</f>
        <v/>
      </c>
    </row>
    <row r="178" customFormat="false" ht="15" hidden="false" customHeight="false" outlineLevel="0" collapsed="false">
      <c r="A178" s="26" t="str">
        <f aca="false">IF($B178="","","RES-"&amp;TEXT(ROW()-4,"000"))</f>
        <v/>
      </c>
      <c r="B178" s="24"/>
      <c r="C178" s="25"/>
      <c r="D178" s="24"/>
      <c r="E178" s="24"/>
      <c r="F178" s="29"/>
      <c r="G178" s="24"/>
      <c r="H178" s="24"/>
      <c r="I178" s="24"/>
      <c r="J178" s="24"/>
      <c r="K178" s="24"/>
      <c r="L178" s="26" t="str">
        <f aca="false">IF($B178="","",IFERROR(INDEX(ST_LOT,MATCH($B178,ST_ID,0)),""))</f>
        <v/>
      </c>
      <c r="M178" s="26" t="str">
        <f aca="false">IF($B178="","",IFERROR(INDEX(ST_STRAIT,MATCH($B178,ST_ID,0)),""))</f>
        <v/>
      </c>
      <c r="N178" s="26" t="str">
        <f aca="false">IF($B178="","",IF($E178="",$L178,$E178))</f>
        <v/>
      </c>
      <c r="O178" s="26" t="str">
        <f aca="false">IF($N178="","",IFERROR(INDEX(LOT_EXTE,MATCH($N178,LOT_KEY,0)),""))</f>
        <v/>
      </c>
      <c r="P178" s="26" t="str">
        <f aca="false">IF($J178="","",IFERROR(INDEX(EMPL_CLASSE,MATCH($J178,EMPL_KEY,0)),"?"))</f>
        <v/>
      </c>
      <c r="Q178" s="28" t="n">
        <f aca="false">IF($B178="",0,IF(OR(ISNA(MATCH($B178,ST_ID,0)),NOT(ISNUMBER($F178)),$F178&lt;=0,$J178="",$N178=""),0,1))</f>
        <v>0</v>
      </c>
      <c r="R178" s="27" t="n">
        <f aca="false">IF($Q178=0,0,$F178)</f>
        <v>0</v>
      </c>
      <c r="S178" s="26" t="str">
        <f aca="false">IF($B178="","",IFERROR(INDEX(ST_STATUT,MATCH($B178,ST_ID,0)),""))</f>
        <v/>
      </c>
      <c r="T178" s="26" t="str">
        <f aca="false">IF($B178="","",IF($Q178=0,"DONNEES MANQUANTES",IF(OR($S178="DONNEES MANQUANTES",$S178="STOCK INSUFFISANT",$S178="EMPLACEMENT INCOHERENT",$S178="BLOQUE"),"BLOQUE","OK")))</f>
        <v/>
      </c>
      <c r="U178" s="28" t="n">
        <f aca="false">IF($T178="OK",1,0)</f>
        <v>0</v>
      </c>
      <c r="V178" s="26" t="str">
        <f aca="false">IF($B178="","",IF($Q178=0,"A COMPLETER : "&amp;IF(ISNA(MATCH($B178,ST_ID,0)),"ID ST valide; ","")&amp;IF(OR(NOT(ISNUMBER($F178)),$F178&lt;=0),"QUANTITE &gt; 0; ","")&amp;IF($J178="","EMPL. DESTINATION; ",""),IF($T178="BLOQUE","Envoi parent en anomalie ("&amp;$S178&amp;") : corriger l'onglet SOUS_TRAITANCE.",IF(AND($E178&lt;&gt;"",ISNA(MATCH($E178,LOT_KEY,0))),"Creer la fiche du lot resultat dans l'onglet LOTS.",""))))</f>
        <v/>
      </c>
      <c r="W178" s="31" t="str">
        <f aca="false">IF($B178="","",IF($C178&lt;&gt;"",$C178,IFERROR(INDEX(ST_DATERET,MATCH($B178,ST_ID,0)),"")))</f>
        <v/>
      </c>
      <c r="X178" s="26" t="str">
        <f aca="false">IF($Q178=0,"",IF($L178=R_LOT,IF($N178&lt;&gt;R_LOT,$N178,""),IF($N178=R_LOT,$L178,"")))</f>
        <v/>
      </c>
      <c r="Y178" s="26" t="str">
        <f aca="false">IF($X178="","",IF(COUNTIF($X$4:$X177,$X178)&gt;0,"",COUNT($Y$4:$Y177)+1))</f>
        <v/>
      </c>
      <c r="Z178" s="26" t="n">
        <f aca="false">IF($Q178=0,0,IF(OR($L178=R_LOT,$N178=R_LOT),1,0))</f>
        <v>0</v>
      </c>
      <c r="AA178" s="26" t="str">
        <f aca="false">IF($Z178=0,"",COUNTIF($Z$5:$Z178,1))</f>
        <v/>
      </c>
    </row>
    <row r="179" customFormat="false" ht="15" hidden="false" customHeight="false" outlineLevel="0" collapsed="false">
      <c r="A179" s="26" t="str">
        <f aca="false">IF($B179="","","RES-"&amp;TEXT(ROW()-4,"000"))</f>
        <v/>
      </c>
      <c r="B179" s="24"/>
      <c r="C179" s="25"/>
      <c r="D179" s="24"/>
      <c r="E179" s="24"/>
      <c r="F179" s="29"/>
      <c r="G179" s="24"/>
      <c r="H179" s="24"/>
      <c r="I179" s="24"/>
      <c r="J179" s="24"/>
      <c r="K179" s="24"/>
      <c r="L179" s="26" t="str">
        <f aca="false">IF($B179="","",IFERROR(INDEX(ST_LOT,MATCH($B179,ST_ID,0)),""))</f>
        <v/>
      </c>
      <c r="M179" s="26" t="str">
        <f aca="false">IF($B179="","",IFERROR(INDEX(ST_STRAIT,MATCH($B179,ST_ID,0)),""))</f>
        <v/>
      </c>
      <c r="N179" s="26" t="str">
        <f aca="false">IF($B179="","",IF($E179="",$L179,$E179))</f>
        <v/>
      </c>
      <c r="O179" s="26" t="str">
        <f aca="false">IF($N179="","",IFERROR(INDEX(LOT_EXTE,MATCH($N179,LOT_KEY,0)),""))</f>
        <v/>
      </c>
      <c r="P179" s="26" t="str">
        <f aca="false">IF($J179="","",IFERROR(INDEX(EMPL_CLASSE,MATCH($J179,EMPL_KEY,0)),"?"))</f>
        <v/>
      </c>
      <c r="Q179" s="28" t="n">
        <f aca="false">IF($B179="",0,IF(OR(ISNA(MATCH($B179,ST_ID,0)),NOT(ISNUMBER($F179)),$F179&lt;=0,$J179="",$N179=""),0,1))</f>
        <v>0</v>
      </c>
      <c r="R179" s="27" t="n">
        <f aca="false">IF($Q179=0,0,$F179)</f>
        <v>0</v>
      </c>
      <c r="S179" s="26" t="str">
        <f aca="false">IF($B179="","",IFERROR(INDEX(ST_STATUT,MATCH($B179,ST_ID,0)),""))</f>
        <v/>
      </c>
      <c r="T179" s="26" t="str">
        <f aca="false">IF($B179="","",IF($Q179=0,"DONNEES MANQUANTES",IF(OR($S179="DONNEES MANQUANTES",$S179="STOCK INSUFFISANT",$S179="EMPLACEMENT INCOHERENT",$S179="BLOQUE"),"BLOQUE","OK")))</f>
        <v/>
      </c>
      <c r="U179" s="28" t="n">
        <f aca="false">IF($T179="OK",1,0)</f>
        <v>0</v>
      </c>
      <c r="V179" s="26" t="str">
        <f aca="false">IF($B179="","",IF($Q179=0,"A COMPLETER : "&amp;IF(ISNA(MATCH($B179,ST_ID,0)),"ID ST valide; ","")&amp;IF(OR(NOT(ISNUMBER($F179)),$F179&lt;=0),"QUANTITE &gt; 0; ","")&amp;IF($J179="","EMPL. DESTINATION; ",""),IF($T179="BLOQUE","Envoi parent en anomalie ("&amp;$S179&amp;") : corriger l'onglet SOUS_TRAITANCE.",IF(AND($E179&lt;&gt;"",ISNA(MATCH($E179,LOT_KEY,0))),"Creer la fiche du lot resultat dans l'onglet LOTS.",""))))</f>
        <v/>
      </c>
      <c r="W179" s="31" t="str">
        <f aca="false">IF($B179="","",IF($C179&lt;&gt;"",$C179,IFERROR(INDEX(ST_DATERET,MATCH($B179,ST_ID,0)),"")))</f>
        <v/>
      </c>
      <c r="X179" s="26" t="str">
        <f aca="false">IF($Q179=0,"",IF($L179=R_LOT,IF($N179&lt;&gt;R_LOT,$N179,""),IF($N179=R_LOT,$L179,"")))</f>
        <v/>
      </c>
      <c r="Y179" s="26" t="str">
        <f aca="false">IF($X179="","",IF(COUNTIF($X$4:$X178,$X179)&gt;0,"",COUNT($Y$4:$Y178)+1))</f>
        <v/>
      </c>
      <c r="Z179" s="26" t="n">
        <f aca="false">IF($Q179=0,0,IF(OR($L179=R_LOT,$N179=R_LOT),1,0))</f>
        <v>0</v>
      </c>
      <c r="AA179" s="26" t="str">
        <f aca="false">IF($Z179=0,"",COUNTIF($Z$5:$Z179,1))</f>
        <v/>
      </c>
    </row>
    <row r="180" customFormat="false" ht="15" hidden="false" customHeight="false" outlineLevel="0" collapsed="false">
      <c r="A180" s="26" t="str">
        <f aca="false">IF($B180="","","RES-"&amp;TEXT(ROW()-4,"000"))</f>
        <v/>
      </c>
      <c r="B180" s="24"/>
      <c r="C180" s="25"/>
      <c r="D180" s="24"/>
      <c r="E180" s="24"/>
      <c r="F180" s="29"/>
      <c r="G180" s="24"/>
      <c r="H180" s="24"/>
      <c r="I180" s="24"/>
      <c r="J180" s="24"/>
      <c r="K180" s="24"/>
      <c r="L180" s="26" t="str">
        <f aca="false">IF($B180="","",IFERROR(INDEX(ST_LOT,MATCH($B180,ST_ID,0)),""))</f>
        <v/>
      </c>
      <c r="M180" s="26" t="str">
        <f aca="false">IF($B180="","",IFERROR(INDEX(ST_STRAIT,MATCH($B180,ST_ID,0)),""))</f>
        <v/>
      </c>
      <c r="N180" s="26" t="str">
        <f aca="false">IF($B180="","",IF($E180="",$L180,$E180))</f>
        <v/>
      </c>
      <c r="O180" s="26" t="str">
        <f aca="false">IF($N180="","",IFERROR(INDEX(LOT_EXTE,MATCH($N180,LOT_KEY,0)),""))</f>
        <v/>
      </c>
      <c r="P180" s="26" t="str">
        <f aca="false">IF($J180="","",IFERROR(INDEX(EMPL_CLASSE,MATCH($J180,EMPL_KEY,0)),"?"))</f>
        <v/>
      </c>
      <c r="Q180" s="28" t="n">
        <f aca="false">IF($B180="",0,IF(OR(ISNA(MATCH($B180,ST_ID,0)),NOT(ISNUMBER($F180)),$F180&lt;=0,$J180="",$N180=""),0,1))</f>
        <v>0</v>
      </c>
      <c r="R180" s="27" t="n">
        <f aca="false">IF($Q180=0,0,$F180)</f>
        <v>0</v>
      </c>
      <c r="S180" s="26" t="str">
        <f aca="false">IF($B180="","",IFERROR(INDEX(ST_STATUT,MATCH($B180,ST_ID,0)),""))</f>
        <v/>
      </c>
      <c r="T180" s="26" t="str">
        <f aca="false">IF($B180="","",IF($Q180=0,"DONNEES MANQUANTES",IF(OR($S180="DONNEES MANQUANTES",$S180="STOCK INSUFFISANT",$S180="EMPLACEMENT INCOHERENT",$S180="BLOQUE"),"BLOQUE","OK")))</f>
        <v/>
      </c>
      <c r="U180" s="28" t="n">
        <f aca="false">IF($T180="OK",1,0)</f>
        <v>0</v>
      </c>
      <c r="V180" s="26" t="str">
        <f aca="false">IF($B180="","",IF($Q180=0,"A COMPLETER : "&amp;IF(ISNA(MATCH($B180,ST_ID,0)),"ID ST valide; ","")&amp;IF(OR(NOT(ISNUMBER($F180)),$F180&lt;=0),"QUANTITE &gt; 0; ","")&amp;IF($J180="","EMPL. DESTINATION; ",""),IF($T180="BLOQUE","Envoi parent en anomalie ("&amp;$S180&amp;") : corriger l'onglet SOUS_TRAITANCE.",IF(AND($E180&lt;&gt;"",ISNA(MATCH($E180,LOT_KEY,0))),"Creer la fiche du lot resultat dans l'onglet LOTS.",""))))</f>
        <v/>
      </c>
      <c r="W180" s="31" t="str">
        <f aca="false">IF($B180="","",IF($C180&lt;&gt;"",$C180,IFERROR(INDEX(ST_DATERET,MATCH($B180,ST_ID,0)),"")))</f>
        <v/>
      </c>
      <c r="X180" s="26" t="str">
        <f aca="false">IF($Q180=0,"",IF($L180=R_LOT,IF($N180&lt;&gt;R_LOT,$N180,""),IF($N180=R_LOT,$L180,"")))</f>
        <v/>
      </c>
      <c r="Y180" s="26" t="str">
        <f aca="false">IF($X180="","",IF(COUNTIF($X$4:$X179,$X180)&gt;0,"",COUNT($Y$4:$Y179)+1))</f>
        <v/>
      </c>
      <c r="Z180" s="26" t="n">
        <f aca="false">IF($Q180=0,0,IF(OR($L180=R_LOT,$N180=R_LOT),1,0))</f>
        <v>0</v>
      </c>
      <c r="AA180" s="26" t="str">
        <f aca="false">IF($Z180=0,"",COUNTIF($Z$5:$Z180,1))</f>
        <v/>
      </c>
    </row>
    <row r="181" customFormat="false" ht="15" hidden="false" customHeight="false" outlineLevel="0" collapsed="false">
      <c r="A181" s="26" t="str">
        <f aca="false">IF($B181="","","RES-"&amp;TEXT(ROW()-4,"000"))</f>
        <v/>
      </c>
      <c r="B181" s="24"/>
      <c r="C181" s="25"/>
      <c r="D181" s="24"/>
      <c r="E181" s="24"/>
      <c r="F181" s="29"/>
      <c r="G181" s="24"/>
      <c r="H181" s="24"/>
      <c r="I181" s="24"/>
      <c r="J181" s="24"/>
      <c r="K181" s="24"/>
      <c r="L181" s="26" t="str">
        <f aca="false">IF($B181="","",IFERROR(INDEX(ST_LOT,MATCH($B181,ST_ID,0)),""))</f>
        <v/>
      </c>
      <c r="M181" s="26" t="str">
        <f aca="false">IF($B181="","",IFERROR(INDEX(ST_STRAIT,MATCH($B181,ST_ID,0)),""))</f>
        <v/>
      </c>
      <c r="N181" s="26" t="str">
        <f aca="false">IF($B181="","",IF($E181="",$L181,$E181))</f>
        <v/>
      </c>
      <c r="O181" s="26" t="str">
        <f aca="false">IF($N181="","",IFERROR(INDEX(LOT_EXTE,MATCH($N181,LOT_KEY,0)),""))</f>
        <v/>
      </c>
      <c r="P181" s="26" t="str">
        <f aca="false">IF($J181="","",IFERROR(INDEX(EMPL_CLASSE,MATCH($J181,EMPL_KEY,0)),"?"))</f>
        <v/>
      </c>
      <c r="Q181" s="28" t="n">
        <f aca="false">IF($B181="",0,IF(OR(ISNA(MATCH($B181,ST_ID,0)),NOT(ISNUMBER($F181)),$F181&lt;=0,$J181="",$N181=""),0,1))</f>
        <v>0</v>
      </c>
      <c r="R181" s="27" t="n">
        <f aca="false">IF($Q181=0,0,$F181)</f>
        <v>0</v>
      </c>
      <c r="S181" s="26" t="str">
        <f aca="false">IF($B181="","",IFERROR(INDEX(ST_STATUT,MATCH($B181,ST_ID,0)),""))</f>
        <v/>
      </c>
      <c r="T181" s="26" t="str">
        <f aca="false">IF($B181="","",IF($Q181=0,"DONNEES MANQUANTES",IF(OR($S181="DONNEES MANQUANTES",$S181="STOCK INSUFFISANT",$S181="EMPLACEMENT INCOHERENT",$S181="BLOQUE"),"BLOQUE","OK")))</f>
        <v/>
      </c>
      <c r="U181" s="28" t="n">
        <f aca="false">IF($T181="OK",1,0)</f>
        <v>0</v>
      </c>
      <c r="V181" s="26" t="str">
        <f aca="false">IF($B181="","",IF($Q181=0,"A COMPLETER : "&amp;IF(ISNA(MATCH($B181,ST_ID,0)),"ID ST valide; ","")&amp;IF(OR(NOT(ISNUMBER($F181)),$F181&lt;=0),"QUANTITE &gt; 0; ","")&amp;IF($J181="","EMPL. DESTINATION; ",""),IF($T181="BLOQUE","Envoi parent en anomalie ("&amp;$S181&amp;") : corriger l'onglet SOUS_TRAITANCE.",IF(AND($E181&lt;&gt;"",ISNA(MATCH($E181,LOT_KEY,0))),"Creer la fiche du lot resultat dans l'onglet LOTS.",""))))</f>
        <v/>
      </c>
      <c r="W181" s="31" t="str">
        <f aca="false">IF($B181="","",IF($C181&lt;&gt;"",$C181,IFERROR(INDEX(ST_DATERET,MATCH($B181,ST_ID,0)),"")))</f>
        <v/>
      </c>
      <c r="X181" s="26" t="str">
        <f aca="false">IF($Q181=0,"",IF($L181=R_LOT,IF($N181&lt;&gt;R_LOT,$N181,""),IF($N181=R_LOT,$L181,"")))</f>
        <v/>
      </c>
      <c r="Y181" s="26" t="str">
        <f aca="false">IF($X181="","",IF(COUNTIF($X$4:$X180,$X181)&gt;0,"",COUNT($Y$4:$Y180)+1))</f>
        <v/>
      </c>
      <c r="Z181" s="26" t="n">
        <f aca="false">IF($Q181=0,0,IF(OR($L181=R_LOT,$N181=R_LOT),1,0))</f>
        <v>0</v>
      </c>
      <c r="AA181" s="26" t="str">
        <f aca="false">IF($Z181=0,"",COUNTIF($Z$5:$Z181,1))</f>
        <v/>
      </c>
    </row>
    <row r="182" customFormat="false" ht="15" hidden="false" customHeight="false" outlineLevel="0" collapsed="false">
      <c r="A182" s="26" t="str">
        <f aca="false">IF($B182="","","RES-"&amp;TEXT(ROW()-4,"000"))</f>
        <v/>
      </c>
      <c r="B182" s="24"/>
      <c r="C182" s="25"/>
      <c r="D182" s="24"/>
      <c r="E182" s="24"/>
      <c r="F182" s="29"/>
      <c r="G182" s="24"/>
      <c r="H182" s="24"/>
      <c r="I182" s="24"/>
      <c r="J182" s="24"/>
      <c r="K182" s="24"/>
      <c r="L182" s="26" t="str">
        <f aca="false">IF($B182="","",IFERROR(INDEX(ST_LOT,MATCH($B182,ST_ID,0)),""))</f>
        <v/>
      </c>
      <c r="M182" s="26" t="str">
        <f aca="false">IF($B182="","",IFERROR(INDEX(ST_STRAIT,MATCH($B182,ST_ID,0)),""))</f>
        <v/>
      </c>
      <c r="N182" s="26" t="str">
        <f aca="false">IF($B182="","",IF($E182="",$L182,$E182))</f>
        <v/>
      </c>
      <c r="O182" s="26" t="str">
        <f aca="false">IF($N182="","",IFERROR(INDEX(LOT_EXTE,MATCH($N182,LOT_KEY,0)),""))</f>
        <v/>
      </c>
      <c r="P182" s="26" t="str">
        <f aca="false">IF($J182="","",IFERROR(INDEX(EMPL_CLASSE,MATCH($J182,EMPL_KEY,0)),"?"))</f>
        <v/>
      </c>
      <c r="Q182" s="28" t="n">
        <f aca="false">IF($B182="",0,IF(OR(ISNA(MATCH($B182,ST_ID,0)),NOT(ISNUMBER($F182)),$F182&lt;=0,$J182="",$N182=""),0,1))</f>
        <v>0</v>
      </c>
      <c r="R182" s="27" t="n">
        <f aca="false">IF($Q182=0,0,$F182)</f>
        <v>0</v>
      </c>
      <c r="S182" s="26" t="str">
        <f aca="false">IF($B182="","",IFERROR(INDEX(ST_STATUT,MATCH($B182,ST_ID,0)),""))</f>
        <v/>
      </c>
      <c r="T182" s="26" t="str">
        <f aca="false">IF($B182="","",IF($Q182=0,"DONNEES MANQUANTES",IF(OR($S182="DONNEES MANQUANTES",$S182="STOCK INSUFFISANT",$S182="EMPLACEMENT INCOHERENT",$S182="BLOQUE"),"BLOQUE","OK")))</f>
        <v/>
      </c>
      <c r="U182" s="28" t="n">
        <f aca="false">IF($T182="OK",1,0)</f>
        <v>0</v>
      </c>
      <c r="V182" s="26" t="str">
        <f aca="false">IF($B182="","",IF($Q182=0,"A COMPLETER : "&amp;IF(ISNA(MATCH($B182,ST_ID,0)),"ID ST valide; ","")&amp;IF(OR(NOT(ISNUMBER($F182)),$F182&lt;=0),"QUANTITE &gt; 0; ","")&amp;IF($J182="","EMPL. DESTINATION; ",""),IF($T182="BLOQUE","Envoi parent en anomalie ("&amp;$S182&amp;") : corriger l'onglet SOUS_TRAITANCE.",IF(AND($E182&lt;&gt;"",ISNA(MATCH($E182,LOT_KEY,0))),"Creer la fiche du lot resultat dans l'onglet LOTS.",""))))</f>
        <v/>
      </c>
      <c r="W182" s="31" t="str">
        <f aca="false">IF($B182="","",IF($C182&lt;&gt;"",$C182,IFERROR(INDEX(ST_DATERET,MATCH($B182,ST_ID,0)),"")))</f>
        <v/>
      </c>
      <c r="X182" s="26" t="str">
        <f aca="false">IF($Q182=0,"",IF($L182=R_LOT,IF($N182&lt;&gt;R_LOT,$N182,""),IF($N182=R_LOT,$L182,"")))</f>
        <v/>
      </c>
      <c r="Y182" s="26" t="str">
        <f aca="false">IF($X182="","",IF(COUNTIF($X$4:$X181,$X182)&gt;0,"",COUNT($Y$4:$Y181)+1))</f>
        <v/>
      </c>
      <c r="Z182" s="26" t="n">
        <f aca="false">IF($Q182=0,0,IF(OR($L182=R_LOT,$N182=R_LOT),1,0))</f>
        <v>0</v>
      </c>
      <c r="AA182" s="26" t="str">
        <f aca="false">IF($Z182=0,"",COUNTIF($Z$5:$Z182,1))</f>
        <v/>
      </c>
    </row>
    <row r="183" customFormat="false" ht="15" hidden="false" customHeight="false" outlineLevel="0" collapsed="false">
      <c r="A183" s="26" t="str">
        <f aca="false">IF($B183="","","RES-"&amp;TEXT(ROW()-4,"000"))</f>
        <v/>
      </c>
      <c r="B183" s="24"/>
      <c r="C183" s="25"/>
      <c r="D183" s="24"/>
      <c r="E183" s="24"/>
      <c r="F183" s="29"/>
      <c r="G183" s="24"/>
      <c r="H183" s="24"/>
      <c r="I183" s="24"/>
      <c r="J183" s="24"/>
      <c r="K183" s="24"/>
      <c r="L183" s="26" t="str">
        <f aca="false">IF($B183="","",IFERROR(INDEX(ST_LOT,MATCH($B183,ST_ID,0)),""))</f>
        <v/>
      </c>
      <c r="M183" s="26" t="str">
        <f aca="false">IF($B183="","",IFERROR(INDEX(ST_STRAIT,MATCH($B183,ST_ID,0)),""))</f>
        <v/>
      </c>
      <c r="N183" s="26" t="str">
        <f aca="false">IF($B183="","",IF($E183="",$L183,$E183))</f>
        <v/>
      </c>
      <c r="O183" s="26" t="str">
        <f aca="false">IF($N183="","",IFERROR(INDEX(LOT_EXTE,MATCH($N183,LOT_KEY,0)),""))</f>
        <v/>
      </c>
      <c r="P183" s="26" t="str">
        <f aca="false">IF($J183="","",IFERROR(INDEX(EMPL_CLASSE,MATCH($J183,EMPL_KEY,0)),"?"))</f>
        <v/>
      </c>
      <c r="Q183" s="28" t="n">
        <f aca="false">IF($B183="",0,IF(OR(ISNA(MATCH($B183,ST_ID,0)),NOT(ISNUMBER($F183)),$F183&lt;=0,$J183="",$N183=""),0,1))</f>
        <v>0</v>
      </c>
      <c r="R183" s="27" t="n">
        <f aca="false">IF($Q183=0,0,$F183)</f>
        <v>0</v>
      </c>
      <c r="S183" s="26" t="str">
        <f aca="false">IF($B183="","",IFERROR(INDEX(ST_STATUT,MATCH($B183,ST_ID,0)),""))</f>
        <v/>
      </c>
      <c r="T183" s="26" t="str">
        <f aca="false">IF($B183="","",IF($Q183=0,"DONNEES MANQUANTES",IF(OR($S183="DONNEES MANQUANTES",$S183="STOCK INSUFFISANT",$S183="EMPLACEMENT INCOHERENT",$S183="BLOQUE"),"BLOQUE","OK")))</f>
        <v/>
      </c>
      <c r="U183" s="28" t="n">
        <f aca="false">IF($T183="OK",1,0)</f>
        <v>0</v>
      </c>
      <c r="V183" s="26" t="str">
        <f aca="false">IF($B183="","",IF($Q183=0,"A COMPLETER : "&amp;IF(ISNA(MATCH($B183,ST_ID,0)),"ID ST valide; ","")&amp;IF(OR(NOT(ISNUMBER($F183)),$F183&lt;=0),"QUANTITE &gt; 0; ","")&amp;IF($J183="","EMPL. DESTINATION; ",""),IF($T183="BLOQUE","Envoi parent en anomalie ("&amp;$S183&amp;") : corriger l'onglet SOUS_TRAITANCE.",IF(AND($E183&lt;&gt;"",ISNA(MATCH($E183,LOT_KEY,0))),"Creer la fiche du lot resultat dans l'onglet LOTS.",""))))</f>
        <v/>
      </c>
      <c r="W183" s="31" t="str">
        <f aca="false">IF($B183="","",IF($C183&lt;&gt;"",$C183,IFERROR(INDEX(ST_DATERET,MATCH($B183,ST_ID,0)),"")))</f>
        <v/>
      </c>
      <c r="X183" s="26" t="str">
        <f aca="false">IF($Q183=0,"",IF($L183=R_LOT,IF($N183&lt;&gt;R_LOT,$N183,""),IF($N183=R_LOT,$L183,"")))</f>
        <v/>
      </c>
      <c r="Y183" s="26" t="str">
        <f aca="false">IF($X183="","",IF(COUNTIF($X$4:$X182,$X183)&gt;0,"",COUNT($Y$4:$Y182)+1))</f>
        <v/>
      </c>
      <c r="Z183" s="26" t="n">
        <f aca="false">IF($Q183=0,0,IF(OR($L183=R_LOT,$N183=R_LOT),1,0))</f>
        <v>0</v>
      </c>
      <c r="AA183" s="26" t="str">
        <f aca="false">IF($Z183=0,"",COUNTIF($Z$5:$Z183,1))</f>
        <v/>
      </c>
    </row>
    <row r="184" customFormat="false" ht="15" hidden="false" customHeight="false" outlineLevel="0" collapsed="false">
      <c r="A184" s="26" t="str">
        <f aca="false">IF($B184="","","RES-"&amp;TEXT(ROW()-4,"000"))</f>
        <v/>
      </c>
      <c r="B184" s="24"/>
      <c r="C184" s="25"/>
      <c r="D184" s="24"/>
      <c r="E184" s="24"/>
      <c r="F184" s="29"/>
      <c r="G184" s="24"/>
      <c r="H184" s="24"/>
      <c r="I184" s="24"/>
      <c r="J184" s="24"/>
      <c r="K184" s="24"/>
      <c r="L184" s="26" t="str">
        <f aca="false">IF($B184="","",IFERROR(INDEX(ST_LOT,MATCH($B184,ST_ID,0)),""))</f>
        <v/>
      </c>
      <c r="M184" s="26" t="str">
        <f aca="false">IF($B184="","",IFERROR(INDEX(ST_STRAIT,MATCH($B184,ST_ID,0)),""))</f>
        <v/>
      </c>
      <c r="N184" s="26" t="str">
        <f aca="false">IF($B184="","",IF($E184="",$L184,$E184))</f>
        <v/>
      </c>
      <c r="O184" s="26" t="str">
        <f aca="false">IF($N184="","",IFERROR(INDEX(LOT_EXTE,MATCH($N184,LOT_KEY,0)),""))</f>
        <v/>
      </c>
      <c r="P184" s="26" t="str">
        <f aca="false">IF($J184="","",IFERROR(INDEX(EMPL_CLASSE,MATCH($J184,EMPL_KEY,0)),"?"))</f>
        <v/>
      </c>
      <c r="Q184" s="28" t="n">
        <f aca="false">IF($B184="",0,IF(OR(ISNA(MATCH($B184,ST_ID,0)),NOT(ISNUMBER($F184)),$F184&lt;=0,$J184="",$N184=""),0,1))</f>
        <v>0</v>
      </c>
      <c r="R184" s="27" t="n">
        <f aca="false">IF($Q184=0,0,$F184)</f>
        <v>0</v>
      </c>
      <c r="S184" s="26" t="str">
        <f aca="false">IF($B184="","",IFERROR(INDEX(ST_STATUT,MATCH($B184,ST_ID,0)),""))</f>
        <v/>
      </c>
      <c r="T184" s="26" t="str">
        <f aca="false">IF($B184="","",IF($Q184=0,"DONNEES MANQUANTES",IF(OR($S184="DONNEES MANQUANTES",$S184="STOCK INSUFFISANT",$S184="EMPLACEMENT INCOHERENT",$S184="BLOQUE"),"BLOQUE","OK")))</f>
        <v/>
      </c>
      <c r="U184" s="28" t="n">
        <f aca="false">IF($T184="OK",1,0)</f>
        <v>0</v>
      </c>
      <c r="V184" s="26" t="str">
        <f aca="false">IF($B184="","",IF($Q184=0,"A COMPLETER : "&amp;IF(ISNA(MATCH($B184,ST_ID,0)),"ID ST valide; ","")&amp;IF(OR(NOT(ISNUMBER($F184)),$F184&lt;=0),"QUANTITE &gt; 0; ","")&amp;IF($J184="","EMPL. DESTINATION; ",""),IF($T184="BLOQUE","Envoi parent en anomalie ("&amp;$S184&amp;") : corriger l'onglet SOUS_TRAITANCE.",IF(AND($E184&lt;&gt;"",ISNA(MATCH($E184,LOT_KEY,0))),"Creer la fiche du lot resultat dans l'onglet LOTS.",""))))</f>
        <v/>
      </c>
      <c r="W184" s="31" t="str">
        <f aca="false">IF($B184="","",IF($C184&lt;&gt;"",$C184,IFERROR(INDEX(ST_DATERET,MATCH($B184,ST_ID,0)),"")))</f>
        <v/>
      </c>
      <c r="X184" s="26" t="str">
        <f aca="false">IF($Q184=0,"",IF($L184=R_LOT,IF($N184&lt;&gt;R_LOT,$N184,""),IF($N184=R_LOT,$L184,"")))</f>
        <v/>
      </c>
      <c r="Y184" s="26" t="str">
        <f aca="false">IF($X184="","",IF(COUNTIF($X$4:$X183,$X184)&gt;0,"",COUNT($Y$4:$Y183)+1))</f>
        <v/>
      </c>
      <c r="Z184" s="26" t="n">
        <f aca="false">IF($Q184=0,0,IF(OR($L184=R_LOT,$N184=R_LOT),1,0))</f>
        <v>0</v>
      </c>
      <c r="AA184" s="26" t="str">
        <f aca="false">IF($Z184=0,"",COUNTIF($Z$5:$Z184,1))</f>
        <v/>
      </c>
    </row>
    <row r="185" customFormat="false" ht="15" hidden="false" customHeight="false" outlineLevel="0" collapsed="false">
      <c r="A185" s="26" t="str">
        <f aca="false">IF($B185="","","RES-"&amp;TEXT(ROW()-4,"000"))</f>
        <v/>
      </c>
      <c r="B185" s="24"/>
      <c r="C185" s="25"/>
      <c r="D185" s="24"/>
      <c r="E185" s="24"/>
      <c r="F185" s="29"/>
      <c r="G185" s="24"/>
      <c r="H185" s="24"/>
      <c r="I185" s="24"/>
      <c r="J185" s="24"/>
      <c r="K185" s="24"/>
      <c r="L185" s="26" t="str">
        <f aca="false">IF($B185="","",IFERROR(INDEX(ST_LOT,MATCH($B185,ST_ID,0)),""))</f>
        <v/>
      </c>
      <c r="M185" s="26" t="str">
        <f aca="false">IF($B185="","",IFERROR(INDEX(ST_STRAIT,MATCH($B185,ST_ID,0)),""))</f>
        <v/>
      </c>
      <c r="N185" s="26" t="str">
        <f aca="false">IF($B185="","",IF($E185="",$L185,$E185))</f>
        <v/>
      </c>
      <c r="O185" s="26" t="str">
        <f aca="false">IF($N185="","",IFERROR(INDEX(LOT_EXTE,MATCH($N185,LOT_KEY,0)),""))</f>
        <v/>
      </c>
      <c r="P185" s="26" t="str">
        <f aca="false">IF($J185="","",IFERROR(INDEX(EMPL_CLASSE,MATCH($J185,EMPL_KEY,0)),"?"))</f>
        <v/>
      </c>
      <c r="Q185" s="28" t="n">
        <f aca="false">IF($B185="",0,IF(OR(ISNA(MATCH($B185,ST_ID,0)),NOT(ISNUMBER($F185)),$F185&lt;=0,$J185="",$N185=""),0,1))</f>
        <v>0</v>
      </c>
      <c r="R185" s="27" t="n">
        <f aca="false">IF($Q185=0,0,$F185)</f>
        <v>0</v>
      </c>
      <c r="S185" s="26" t="str">
        <f aca="false">IF($B185="","",IFERROR(INDEX(ST_STATUT,MATCH($B185,ST_ID,0)),""))</f>
        <v/>
      </c>
      <c r="T185" s="26" t="str">
        <f aca="false">IF($B185="","",IF($Q185=0,"DONNEES MANQUANTES",IF(OR($S185="DONNEES MANQUANTES",$S185="STOCK INSUFFISANT",$S185="EMPLACEMENT INCOHERENT",$S185="BLOQUE"),"BLOQUE","OK")))</f>
        <v/>
      </c>
      <c r="U185" s="28" t="n">
        <f aca="false">IF($T185="OK",1,0)</f>
        <v>0</v>
      </c>
      <c r="V185" s="26" t="str">
        <f aca="false">IF($B185="","",IF($Q185=0,"A COMPLETER : "&amp;IF(ISNA(MATCH($B185,ST_ID,0)),"ID ST valide; ","")&amp;IF(OR(NOT(ISNUMBER($F185)),$F185&lt;=0),"QUANTITE &gt; 0; ","")&amp;IF($J185="","EMPL. DESTINATION; ",""),IF($T185="BLOQUE","Envoi parent en anomalie ("&amp;$S185&amp;") : corriger l'onglet SOUS_TRAITANCE.",IF(AND($E185&lt;&gt;"",ISNA(MATCH($E185,LOT_KEY,0))),"Creer la fiche du lot resultat dans l'onglet LOTS.",""))))</f>
        <v/>
      </c>
      <c r="W185" s="31" t="str">
        <f aca="false">IF($B185="","",IF($C185&lt;&gt;"",$C185,IFERROR(INDEX(ST_DATERET,MATCH($B185,ST_ID,0)),"")))</f>
        <v/>
      </c>
      <c r="X185" s="26" t="str">
        <f aca="false">IF($Q185=0,"",IF($L185=R_LOT,IF($N185&lt;&gt;R_LOT,$N185,""),IF($N185=R_LOT,$L185,"")))</f>
        <v/>
      </c>
      <c r="Y185" s="26" t="str">
        <f aca="false">IF($X185="","",IF(COUNTIF($X$4:$X184,$X185)&gt;0,"",COUNT($Y$4:$Y184)+1))</f>
        <v/>
      </c>
      <c r="Z185" s="26" t="n">
        <f aca="false">IF($Q185=0,0,IF(OR($L185=R_LOT,$N185=R_LOT),1,0))</f>
        <v>0</v>
      </c>
      <c r="AA185" s="26" t="str">
        <f aca="false">IF($Z185=0,"",COUNTIF($Z$5:$Z185,1))</f>
        <v/>
      </c>
    </row>
    <row r="186" customFormat="false" ht="15" hidden="false" customHeight="false" outlineLevel="0" collapsed="false">
      <c r="A186" s="26" t="str">
        <f aca="false">IF($B186="","","RES-"&amp;TEXT(ROW()-4,"000"))</f>
        <v/>
      </c>
      <c r="B186" s="24"/>
      <c r="C186" s="25"/>
      <c r="D186" s="24"/>
      <c r="E186" s="24"/>
      <c r="F186" s="29"/>
      <c r="G186" s="24"/>
      <c r="H186" s="24"/>
      <c r="I186" s="24"/>
      <c r="J186" s="24"/>
      <c r="K186" s="24"/>
      <c r="L186" s="26" t="str">
        <f aca="false">IF($B186="","",IFERROR(INDEX(ST_LOT,MATCH($B186,ST_ID,0)),""))</f>
        <v/>
      </c>
      <c r="M186" s="26" t="str">
        <f aca="false">IF($B186="","",IFERROR(INDEX(ST_STRAIT,MATCH($B186,ST_ID,0)),""))</f>
        <v/>
      </c>
      <c r="N186" s="26" t="str">
        <f aca="false">IF($B186="","",IF($E186="",$L186,$E186))</f>
        <v/>
      </c>
      <c r="O186" s="26" t="str">
        <f aca="false">IF($N186="","",IFERROR(INDEX(LOT_EXTE,MATCH($N186,LOT_KEY,0)),""))</f>
        <v/>
      </c>
      <c r="P186" s="26" t="str">
        <f aca="false">IF($J186="","",IFERROR(INDEX(EMPL_CLASSE,MATCH($J186,EMPL_KEY,0)),"?"))</f>
        <v/>
      </c>
      <c r="Q186" s="28" t="n">
        <f aca="false">IF($B186="",0,IF(OR(ISNA(MATCH($B186,ST_ID,0)),NOT(ISNUMBER($F186)),$F186&lt;=0,$J186="",$N186=""),0,1))</f>
        <v>0</v>
      </c>
      <c r="R186" s="27" t="n">
        <f aca="false">IF($Q186=0,0,$F186)</f>
        <v>0</v>
      </c>
      <c r="S186" s="26" t="str">
        <f aca="false">IF($B186="","",IFERROR(INDEX(ST_STATUT,MATCH($B186,ST_ID,0)),""))</f>
        <v/>
      </c>
      <c r="T186" s="26" t="str">
        <f aca="false">IF($B186="","",IF($Q186=0,"DONNEES MANQUANTES",IF(OR($S186="DONNEES MANQUANTES",$S186="STOCK INSUFFISANT",$S186="EMPLACEMENT INCOHERENT",$S186="BLOQUE"),"BLOQUE","OK")))</f>
        <v/>
      </c>
      <c r="U186" s="28" t="n">
        <f aca="false">IF($T186="OK",1,0)</f>
        <v>0</v>
      </c>
      <c r="V186" s="26" t="str">
        <f aca="false">IF($B186="","",IF($Q186=0,"A COMPLETER : "&amp;IF(ISNA(MATCH($B186,ST_ID,0)),"ID ST valide; ","")&amp;IF(OR(NOT(ISNUMBER($F186)),$F186&lt;=0),"QUANTITE &gt; 0; ","")&amp;IF($J186="","EMPL. DESTINATION; ",""),IF($T186="BLOQUE","Envoi parent en anomalie ("&amp;$S186&amp;") : corriger l'onglet SOUS_TRAITANCE.",IF(AND($E186&lt;&gt;"",ISNA(MATCH($E186,LOT_KEY,0))),"Creer la fiche du lot resultat dans l'onglet LOTS.",""))))</f>
        <v/>
      </c>
      <c r="W186" s="31" t="str">
        <f aca="false">IF($B186="","",IF($C186&lt;&gt;"",$C186,IFERROR(INDEX(ST_DATERET,MATCH($B186,ST_ID,0)),"")))</f>
        <v/>
      </c>
      <c r="X186" s="26" t="str">
        <f aca="false">IF($Q186=0,"",IF($L186=R_LOT,IF($N186&lt;&gt;R_LOT,$N186,""),IF($N186=R_LOT,$L186,"")))</f>
        <v/>
      </c>
      <c r="Y186" s="26" t="str">
        <f aca="false">IF($X186="","",IF(COUNTIF($X$4:$X185,$X186)&gt;0,"",COUNT($Y$4:$Y185)+1))</f>
        <v/>
      </c>
      <c r="Z186" s="26" t="n">
        <f aca="false">IF($Q186=0,0,IF(OR($L186=R_LOT,$N186=R_LOT),1,0))</f>
        <v>0</v>
      </c>
      <c r="AA186" s="26" t="str">
        <f aca="false">IF($Z186=0,"",COUNTIF($Z$5:$Z186,1))</f>
        <v/>
      </c>
    </row>
    <row r="187" customFormat="false" ht="15" hidden="false" customHeight="false" outlineLevel="0" collapsed="false">
      <c r="A187" s="26" t="str">
        <f aca="false">IF($B187="","","RES-"&amp;TEXT(ROW()-4,"000"))</f>
        <v/>
      </c>
      <c r="B187" s="24"/>
      <c r="C187" s="25"/>
      <c r="D187" s="24"/>
      <c r="E187" s="24"/>
      <c r="F187" s="29"/>
      <c r="G187" s="24"/>
      <c r="H187" s="24"/>
      <c r="I187" s="24"/>
      <c r="J187" s="24"/>
      <c r="K187" s="24"/>
      <c r="L187" s="26" t="str">
        <f aca="false">IF($B187="","",IFERROR(INDEX(ST_LOT,MATCH($B187,ST_ID,0)),""))</f>
        <v/>
      </c>
      <c r="M187" s="26" t="str">
        <f aca="false">IF($B187="","",IFERROR(INDEX(ST_STRAIT,MATCH($B187,ST_ID,0)),""))</f>
        <v/>
      </c>
      <c r="N187" s="26" t="str">
        <f aca="false">IF($B187="","",IF($E187="",$L187,$E187))</f>
        <v/>
      </c>
      <c r="O187" s="26" t="str">
        <f aca="false">IF($N187="","",IFERROR(INDEX(LOT_EXTE,MATCH($N187,LOT_KEY,0)),""))</f>
        <v/>
      </c>
      <c r="P187" s="26" t="str">
        <f aca="false">IF($J187="","",IFERROR(INDEX(EMPL_CLASSE,MATCH($J187,EMPL_KEY,0)),"?"))</f>
        <v/>
      </c>
      <c r="Q187" s="28" t="n">
        <f aca="false">IF($B187="",0,IF(OR(ISNA(MATCH($B187,ST_ID,0)),NOT(ISNUMBER($F187)),$F187&lt;=0,$J187="",$N187=""),0,1))</f>
        <v>0</v>
      </c>
      <c r="R187" s="27" t="n">
        <f aca="false">IF($Q187=0,0,$F187)</f>
        <v>0</v>
      </c>
      <c r="S187" s="26" t="str">
        <f aca="false">IF($B187="","",IFERROR(INDEX(ST_STATUT,MATCH($B187,ST_ID,0)),""))</f>
        <v/>
      </c>
      <c r="T187" s="26" t="str">
        <f aca="false">IF($B187="","",IF($Q187=0,"DONNEES MANQUANTES",IF(OR($S187="DONNEES MANQUANTES",$S187="STOCK INSUFFISANT",$S187="EMPLACEMENT INCOHERENT",$S187="BLOQUE"),"BLOQUE","OK")))</f>
        <v/>
      </c>
      <c r="U187" s="28" t="n">
        <f aca="false">IF($T187="OK",1,0)</f>
        <v>0</v>
      </c>
      <c r="V187" s="26" t="str">
        <f aca="false">IF($B187="","",IF($Q187=0,"A COMPLETER : "&amp;IF(ISNA(MATCH($B187,ST_ID,0)),"ID ST valide; ","")&amp;IF(OR(NOT(ISNUMBER($F187)),$F187&lt;=0),"QUANTITE &gt; 0; ","")&amp;IF($J187="","EMPL. DESTINATION; ",""),IF($T187="BLOQUE","Envoi parent en anomalie ("&amp;$S187&amp;") : corriger l'onglet SOUS_TRAITANCE.",IF(AND($E187&lt;&gt;"",ISNA(MATCH($E187,LOT_KEY,0))),"Creer la fiche du lot resultat dans l'onglet LOTS.",""))))</f>
        <v/>
      </c>
      <c r="W187" s="31" t="str">
        <f aca="false">IF($B187="","",IF($C187&lt;&gt;"",$C187,IFERROR(INDEX(ST_DATERET,MATCH($B187,ST_ID,0)),"")))</f>
        <v/>
      </c>
      <c r="X187" s="26" t="str">
        <f aca="false">IF($Q187=0,"",IF($L187=R_LOT,IF($N187&lt;&gt;R_LOT,$N187,""),IF($N187=R_LOT,$L187,"")))</f>
        <v/>
      </c>
      <c r="Y187" s="26" t="str">
        <f aca="false">IF($X187="","",IF(COUNTIF($X$4:$X186,$X187)&gt;0,"",COUNT($Y$4:$Y186)+1))</f>
        <v/>
      </c>
      <c r="Z187" s="26" t="n">
        <f aca="false">IF($Q187=0,0,IF(OR($L187=R_LOT,$N187=R_LOT),1,0))</f>
        <v>0</v>
      </c>
      <c r="AA187" s="26" t="str">
        <f aca="false">IF($Z187=0,"",COUNTIF($Z$5:$Z187,1))</f>
        <v/>
      </c>
    </row>
    <row r="188" customFormat="false" ht="15" hidden="false" customHeight="false" outlineLevel="0" collapsed="false">
      <c r="A188" s="26" t="str">
        <f aca="false">IF($B188="","","RES-"&amp;TEXT(ROW()-4,"000"))</f>
        <v/>
      </c>
      <c r="B188" s="24"/>
      <c r="C188" s="25"/>
      <c r="D188" s="24"/>
      <c r="E188" s="24"/>
      <c r="F188" s="29"/>
      <c r="G188" s="24"/>
      <c r="H188" s="24"/>
      <c r="I188" s="24"/>
      <c r="J188" s="24"/>
      <c r="K188" s="24"/>
      <c r="L188" s="26" t="str">
        <f aca="false">IF($B188="","",IFERROR(INDEX(ST_LOT,MATCH($B188,ST_ID,0)),""))</f>
        <v/>
      </c>
      <c r="M188" s="26" t="str">
        <f aca="false">IF($B188="","",IFERROR(INDEX(ST_STRAIT,MATCH($B188,ST_ID,0)),""))</f>
        <v/>
      </c>
      <c r="N188" s="26" t="str">
        <f aca="false">IF($B188="","",IF($E188="",$L188,$E188))</f>
        <v/>
      </c>
      <c r="O188" s="26" t="str">
        <f aca="false">IF($N188="","",IFERROR(INDEX(LOT_EXTE,MATCH($N188,LOT_KEY,0)),""))</f>
        <v/>
      </c>
      <c r="P188" s="26" t="str">
        <f aca="false">IF($J188="","",IFERROR(INDEX(EMPL_CLASSE,MATCH($J188,EMPL_KEY,0)),"?"))</f>
        <v/>
      </c>
      <c r="Q188" s="28" t="n">
        <f aca="false">IF($B188="",0,IF(OR(ISNA(MATCH($B188,ST_ID,0)),NOT(ISNUMBER($F188)),$F188&lt;=0,$J188="",$N188=""),0,1))</f>
        <v>0</v>
      </c>
      <c r="R188" s="27" t="n">
        <f aca="false">IF($Q188=0,0,$F188)</f>
        <v>0</v>
      </c>
      <c r="S188" s="26" t="str">
        <f aca="false">IF($B188="","",IFERROR(INDEX(ST_STATUT,MATCH($B188,ST_ID,0)),""))</f>
        <v/>
      </c>
      <c r="T188" s="26" t="str">
        <f aca="false">IF($B188="","",IF($Q188=0,"DONNEES MANQUANTES",IF(OR($S188="DONNEES MANQUANTES",$S188="STOCK INSUFFISANT",$S188="EMPLACEMENT INCOHERENT",$S188="BLOQUE"),"BLOQUE","OK")))</f>
        <v/>
      </c>
      <c r="U188" s="28" t="n">
        <f aca="false">IF($T188="OK",1,0)</f>
        <v>0</v>
      </c>
      <c r="V188" s="26" t="str">
        <f aca="false">IF($B188="","",IF($Q188=0,"A COMPLETER : "&amp;IF(ISNA(MATCH($B188,ST_ID,0)),"ID ST valide; ","")&amp;IF(OR(NOT(ISNUMBER($F188)),$F188&lt;=0),"QUANTITE &gt; 0; ","")&amp;IF($J188="","EMPL. DESTINATION; ",""),IF($T188="BLOQUE","Envoi parent en anomalie ("&amp;$S188&amp;") : corriger l'onglet SOUS_TRAITANCE.",IF(AND($E188&lt;&gt;"",ISNA(MATCH($E188,LOT_KEY,0))),"Creer la fiche du lot resultat dans l'onglet LOTS.",""))))</f>
        <v/>
      </c>
      <c r="W188" s="31" t="str">
        <f aca="false">IF($B188="","",IF($C188&lt;&gt;"",$C188,IFERROR(INDEX(ST_DATERET,MATCH($B188,ST_ID,0)),"")))</f>
        <v/>
      </c>
      <c r="X188" s="26" t="str">
        <f aca="false">IF($Q188=0,"",IF($L188=R_LOT,IF($N188&lt;&gt;R_LOT,$N188,""),IF($N188=R_LOT,$L188,"")))</f>
        <v/>
      </c>
      <c r="Y188" s="26" t="str">
        <f aca="false">IF($X188="","",IF(COUNTIF($X$4:$X187,$X188)&gt;0,"",COUNT($Y$4:$Y187)+1))</f>
        <v/>
      </c>
      <c r="Z188" s="26" t="n">
        <f aca="false">IF($Q188=0,0,IF(OR($L188=R_LOT,$N188=R_LOT),1,0))</f>
        <v>0</v>
      </c>
      <c r="AA188" s="26" t="str">
        <f aca="false">IF($Z188=0,"",COUNTIF($Z$5:$Z188,1))</f>
        <v/>
      </c>
    </row>
    <row r="189" customFormat="false" ht="15" hidden="false" customHeight="false" outlineLevel="0" collapsed="false">
      <c r="A189" s="26" t="str">
        <f aca="false">IF($B189="","","RES-"&amp;TEXT(ROW()-4,"000"))</f>
        <v/>
      </c>
      <c r="B189" s="24"/>
      <c r="C189" s="25"/>
      <c r="D189" s="24"/>
      <c r="E189" s="24"/>
      <c r="F189" s="29"/>
      <c r="G189" s="24"/>
      <c r="H189" s="24"/>
      <c r="I189" s="24"/>
      <c r="J189" s="24"/>
      <c r="K189" s="24"/>
      <c r="L189" s="26" t="str">
        <f aca="false">IF($B189="","",IFERROR(INDEX(ST_LOT,MATCH($B189,ST_ID,0)),""))</f>
        <v/>
      </c>
      <c r="M189" s="26" t="str">
        <f aca="false">IF($B189="","",IFERROR(INDEX(ST_STRAIT,MATCH($B189,ST_ID,0)),""))</f>
        <v/>
      </c>
      <c r="N189" s="26" t="str">
        <f aca="false">IF($B189="","",IF($E189="",$L189,$E189))</f>
        <v/>
      </c>
      <c r="O189" s="26" t="str">
        <f aca="false">IF($N189="","",IFERROR(INDEX(LOT_EXTE,MATCH($N189,LOT_KEY,0)),""))</f>
        <v/>
      </c>
      <c r="P189" s="26" t="str">
        <f aca="false">IF($J189="","",IFERROR(INDEX(EMPL_CLASSE,MATCH($J189,EMPL_KEY,0)),"?"))</f>
        <v/>
      </c>
      <c r="Q189" s="28" t="n">
        <f aca="false">IF($B189="",0,IF(OR(ISNA(MATCH($B189,ST_ID,0)),NOT(ISNUMBER($F189)),$F189&lt;=0,$J189="",$N189=""),0,1))</f>
        <v>0</v>
      </c>
      <c r="R189" s="27" t="n">
        <f aca="false">IF($Q189=0,0,$F189)</f>
        <v>0</v>
      </c>
      <c r="S189" s="26" t="str">
        <f aca="false">IF($B189="","",IFERROR(INDEX(ST_STATUT,MATCH($B189,ST_ID,0)),""))</f>
        <v/>
      </c>
      <c r="T189" s="26" t="str">
        <f aca="false">IF($B189="","",IF($Q189=0,"DONNEES MANQUANTES",IF(OR($S189="DONNEES MANQUANTES",$S189="STOCK INSUFFISANT",$S189="EMPLACEMENT INCOHERENT",$S189="BLOQUE"),"BLOQUE","OK")))</f>
        <v/>
      </c>
      <c r="U189" s="28" t="n">
        <f aca="false">IF($T189="OK",1,0)</f>
        <v>0</v>
      </c>
      <c r="V189" s="26" t="str">
        <f aca="false">IF($B189="","",IF($Q189=0,"A COMPLETER : "&amp;IF(ISNA(MATCH($B189,ST_ID,0)),"ID ST valide; ","")&amp;IF(OR(NOT(ISNUMBER($F189)),$F189&lt;=0),"QUANTITE &gt; 0; ","")&amp;IF($J189="","EMPL. DESTINATION; ",""),IF($T189="BLOQUE","Envoi parent en anomalie ("&amp;$S189&amp;") : corriger l'onglet SOUS_TRAITANCE.",IF(AND($E189&lt;&gt;"",ISNA(MATCH($E189,LOT_KEY,0))),"Creer la fiche du lot resultat dans l'onglet LOTS.",""))))</f>
        <v/>
      </c>
      <c r="W189" s="31" t="str">
        <f aca="false">IF($B189="","",IF($C189&lt;&gt;"",$C189,IFERROR(INDEX(ST_DATERET,MATCH($B189,ST_ID,0)),"")))</f>
        <v/>
      </c>
      <c r="X189" s="26" t="str">
        <f aca="false">IF($Q189=0,"",IF($L189=R_LOT,IF($N189&lt;&gt;R_LOT,$N189,""),IF($N189=R_LOT,$L189,"")))</f>
        <v/>
      </c>
      <c r="Y189" s="26" t="str">
        <f aca="false">IF($X189="","",IF(COUNTIF($X$4:$X188,$X189)&gt;0,"",COUNT($Y$4:$Y188)+1))</f>
        <v/>
      </c>
      <c r="Z189" s="26" t="n">
        <f aca="false">IF($Q189=0,0,IF(OR($L189=R_LOT,$N189=R_LOT),1,0))</f>
        <v>0</v>
      </c>
      <c r="AA189" s="26" t="str">
        <f aca="false">IF($Z189=0,"",COUNTIF($Z$5:$Z189,1))</f>
        <v/>
      </c>
    </row>
    <row r="190" customFormat="false" ht="15" hidden="false" customHeight="false" outlineLevel="0" collapsed="false">
      <c r="A190" s="26" t="str">
        <f aca="false">IF($B190="","","RES-"&amp;TEXT(ROW()-4,"000"))</f>
        <v/>
      </c>
      <c r="B190" s="24"/>
      <c r="C190" s="25"/>
      <c r="D190" s="24"/>
      <c r="E190" s="24"/>
      <c r="F190" s="29"/>
      <c r="G190" s="24"/>
      <c r="H190" s="24"/>
      <c r="I190" s="24"/>
      <c r="J190" s="24"/>
      <c r="K190" s="24"/>
      <c r="L190" s="26" t="str">
        <f aca="false">IF($B190="","",IFERROR(INDEX(ST_LOT,MATCH($B190,ST_ID,0)),""))</f>
        <v/>
      </c>
      <c r="M190" s="26" t="str">
        <f aca="false">IF($B190="","",IFERROR(INDEX(ST_STRAIT,MATCH($B190,ST_ID,0)),""))</f>
        <v/>
      </c>
      <c r="N190" s="26" t="str">
        <f aca="false">IF($B190="","",IF($E190="",$L190,$E190))</f>
        <v/>
      </c>
      <c r="O190" s="26" t="str">
        <f aca="false">IF($N190="","",IFERROR(INDEX(LOT_EXTE,MATCH($N190,LOT_KEY,0)),""))</f>
        <v/>
      </c>
      <c r="P190" s="26" t="str">
        <f aca="false">IF($J190="","",IFERROR(INDEX(EMPL_CLASSE,MATCH($J190,EMPL_KEY,0)),"?"))</f>
        <v/>
      </c>
      <c r="Q190" s="28" t="n">
        <f aca="false">IF($B190="",0,IF(OR(ISNA(MATCH($B190,ST_ID,0)),NOT(ISNUMBER($F190)),$F190&lt;=0,$J190="",$N190=""),0,1))</f>
        <v>0</v>
      </c>
      <c r="R190" s="27" t="n">
        <f aca="false">IF($Q190=0,0,$F190)</f>
        <v>0</v>
      </c>
      <c r="S190" s="26" t="str">
        <f aca="false">IF($B190="","",IFERROR(INDEX(ST_STATUT,MATCH($B190,ST_ID,0)),""))</f>
        <v/>
      </c>
      <c r="T190" s="26" t="str">
        <f aca="false">IF($B190="","",IF($Q190=0,"DONNEES MANQUANTES",IF(OR($S190="DONNEES MANQUANTES",$S190="STOCK INSUFFISANT",$S190="EMPLACEMENT INCOHERENT",$S190="BLOQUE"),"BLOQUE","OK")))</f>
        <v/>
      </c>
      <c r="U190" s="28" t="n">
        <f aca="false">IF($T190="OK",1,0)</f>
        <v>0</v>
      </c>
      <c r="V190" s="26" t="str">
        <f aca="false">IF($B190="","",IF($Q190=0,"A COMPLETER : "&amp;IF(ISNA(MATCH($B190,ST_ID,0)),"ID ST valide; ","")&amp;IF(OR(NOT(ISNUMBER($F190)),$F190&lt;=0),"QUANTITE &gt; 0; ","")&amp;IF($J190="","EMPL. DESTINATION; ",""),IF($T190="BLOQUE","Envoi parent en anomalie ("&amp;$S190&amp;") : corriger l'onglet SOUS_TRAITANCE.",IF(AND($E190&lt;&gt;"",ISNA(MATCH($E190,LOT_KEY,0))),"Creer la fiche du lot resultat dans l'onglet LOTS.",""))))</f>
        <v/>
      </c>
      <c r="W190" s="31" t="str">
        <f aca="false">IF($B190="","",IF($C190&lt;&gt;"",$C190,IFERROR(INDEX(ST_DATERET,MATCH($B190,ST_ID,0)),"")))</f>
        <v/>
      </c>
      <c r="X190" s="26" t="str">
        <f aca="false">IF($Q190=0,"",IF($L190=R_LOT,IF($N190&lt;&gt;R_LOT,$N190,""),IF($N190=R_LOT,$L190,"")))</f>
        <v/>
      </c>
      <c r="Y190" s="26" t="str">
        <f aca="false">IF($X190="","",IF(COUNTIF($X$4:$X189,$X190)&gt;0,"",COUNT($Y$4:$Y189)+1))</f>
        <v/>
      </c>
      <c r="Z190" s="26" t="n">
        <f aca="false">IF($Q190=0,0,IF(OR($L190=R_LOT,$N190=R_LOT),1,0))</f>
        <v>0</v>
      </c>
      <c r="AA190" s="26" t="str">
        <f aca="false">IF($Z190=0,"",COUNTIF($Z$5:$Z190,1))</f>
        <v/>
      </c>
    </row>
    <row r="191" customFormat="false" ht="15" hidden="false" customHeight="false" outlineLevel="0" collapsed="false">
      <c r="A191" s="26" t="str">
        <f aca="false">IF($B191="","","RES-"&amp;TEXT(ROW()-4,"000"))</f>
        <v/>
      </c>
      <c r="B191" s="24"/>
      <c r="C191" s="25"/>
      <c r="D191" s="24"/>
      <c r="E191" s="24"/>
      <c r="F191" s="29"/>
      <c r="G191" s="24"/>
      <c r="H191" s="24"/>
      <c r="I191" s="24"/>
      <c r="J191" s="24"/>
      <c r="K191" s="24"/>
      <c r="L191" s="26" t="str">
        <f aca="false">IF($B191="","",IFERROR(INDEX(ST_LOT,MATCH($B191,ST_ID,0)),""))</f>
        <v/>
      </c>
      <c r="M191" s="26" t="str">
        <f aca="false">IF($B191="","",IFERROR(INDEX(ST_STRAIT,MATCH($B191,ST_ID,0)),""))</f>
        <v/>
      </c>
      <c r="N191" s="26" t="str">
        <f aca="false">IF($B191="","",IF($E191="",$L191,$E191))</f>
        <v/>
      </c>
      <c r="O191" s="26" t="str">
        <f aca="false">IF($N191="","",IFERROR(INDEX(LOT_EXTE,MATCH($N191,LOT_KEY,0)),""))</f>
        <v/>
      </c>
      <c r="P191" s="26" t="str">
        <f aca="false">IF($J191="","",IFERROR(INDEX(EMPL_CLASSE,MATCH($J191,EMPL_KEY,0)),"?"))</f>
        <v/>
      </c>
      <c r="Q191" s="28" t="n">
        <f aca="false">IF($B191="",0,IF(OR(ISNA(MATCH($B191,ST_ID,0)),NOT(ISNUMBER($F191)),$F191&lt;=0,$J191="",$N191=""),0,1))</f>
        <v>0</v>
      </c>
      <c r="R191" s="27" t="n">
        <f aca="false">IF($Q191=0,0,$F191)</f>
        <v>0</v>
      </c>
      <c r="S191" s="26" t="str">
        <f aca="false">IF($B191="","",IFERROR(INDEX(ST_STATUT,MATCH($B191,ST_ID,0)),""))</f>
        <v/>
      </c>
      <c r="T191" s="26" t="str">
        <f aca="false">IF($B191="","",IF($Q191=0,"DONNEES MANQUANTES",IF(OR($S191="DONNEES MANQUANTES",$S191="STOCK INSUFFISANT",$S191="EMPLACEMENT INCOHERENT",$S191="BLOQUE"),"BLOQUE","OK")))</f>
        <v/>
      </c>
      <c r="U191" s="28" t="n">
        <f aca="false">IF($T191="OK",1,0)</f>
        <v>0</v>
      </c>
      <c r="V191" s="26" t="str">
        <f aca="false">IF($B191="","",IF($Q191=0,"A COMPLETER : "&amp;IF(ISNA(MATCH($B191,ST_ID,0)),"ID ST valide; ","")&amp;IF(OR(NOT(ISNUMBER($F191)),$F191&lt;=0),"QUANTITE &gt; 0; ","")&amp;IF($J191="","EMPL. DESTINATION; ",""),IF($T191="BLOQUE","Envoi parent en anomalie ("&amp;$S191&amp;") : corriger l'onglet SOUS_TRAITANCE.",IF(AND($E191&lt;&gt;"",ISNA(MATCH($E191,LOT_KEY,0))),"Creer la fiche du lot resultat dans l'onglet LOTS.",""))))</f>
        <v/>
      </c>
      <c r="W191" s="31" t="str">
        <f aca="false">IF($B191="","",IF($C191&lt;&gt;"",$C191,IFERROR(INDEX(ST_DATERET,MATCH($B191,ST_ID,0)),"")))</f>
        <v/>
      </c>
      <c r="X191" s="26" t="str">
        <f aca="false">IF($Q191=0,"",IF($L191=R_LOT,IF($N191&lt;&gt;R_LOT,$N191,""),IF($N191=R_LOT,$L191,"")))</f>
        <v/>
      </c>
      <c r="Y191" s="26" t="str">
        <f aca="false">IF($X191="","",IF(COUNTIF($X$4:$X190,$X191)&gt;0,"",COUNT($Y$4:$Y190)+1))</f>
        <v/>
      </c>
      <c r="Z191" s="26" t="n">
        <f aca="false">IF($Q191=0,0,IF(OR($L191=R_LOT,$N191=R_LOT),1,0))</f>
        <v>0</v>
      </c>
      <c r="AA191" s="26" t="str">
        <f aca="false">IF($Z191=0,"",COUNTIF($Z$5:$Z191,1))</f>
        <v/>
      </c>
    </row>
    <row r="192" customFormat="false" ht="15" hidden="false" customHeight="false" outlineLevel="0" collapsed="false">
      <c r="A192" s="26" t="str">
        <f aca="false">IF($B192="","","RES-"&amp;TEXT(ROW()-4,"000"))</f>
        <v/>
      </c>
      <c r="B192" s="24"/>
      <c r="C192" s="25"/>
      <c r="D192" s="24"/>
      <c r="E192" s="24"/>
      <c r="F192" s="29"/>
      <c r="G192" s="24"/>
      <c r="H192" s="24"/>
      <c r="I192" s="24"/>
      <c r="J192" s="24"/>
      <c r="K192" s="24"/>
      <c r="L192" s="26" t="str">
        <f aca="false">IF($B192="","",IFERROR(INDEX(ST_LOT,MATCH($B192,ST_ID,0)),""))</f>
        <v/>
      </c>
      <c r="M192" s="26" t="str">
        <f aca="false">IF($B192="","",IFERROR(INDEX(ST_STRAIT,MATCH($B192,ST_ID,0)),""))</f>
        <v/>
      </c>
      <c r="N192" s="26" t="str">
        <f aca="false">IF($B192="","",IF($E192="",$L192,$E192))</f>
        <v/>
      </c>
      <c r="O192" s="26" t="str">
        <f aca="false">IF($N192="","",IFERROR(INDEX(LOT_EXTE,MATCH($N192,LOT_KEY,0)),""))</f>
        <v/>
      </c>
      <c r="P192" s="26" t="str">
        <f aca="false">IF($J192="","",IFERROR(INDEX(EMPL_CLASSE,MATCH($J192,EMPL_KEY,0)),"?"))</f>
        <v/>
      </c>
      <c r="Q192" s="28" t="n">
        <f aca="false">IF($B192="",0,IF(OR(ISNA(MATCH($B192,ST_ID,0)),NOT(ISNUMBER($F192)),$F192&lt;=0,$J192="",$N192=""),0,1))</f>
        <v>0</v>
      </c>
      <c r="R192" s="27" t="n">
        <f aca="false">IF($Q192=0,0,$F192)</f>
        <v>0</v>
      </c>
      <c r="S192" s="26" t="str">
        <f aca="false">IF($B192="","",IFERROR(INDEX(ST_STATUT,MATCH($B192,ST_ID,0)),""))</f>
        <v/>
      </c>
      <c r="T192" s="26" t="str">
        <f aca="false">IF($B192="","",IF($Q192=0,"DONNEES MANQUANTES",IF(OR($S192="DONNEES MANQUANTES",$S192="STOCK INSUFFISANT",$S192="EMPLACEMENT INCOHERENT",$S192="BLOQUE"),"BLOQUE","OK")))</f>
        <v/>
      </c>
      <c r="U192" s="28" t="n">
        <f aca="false">IF($T192="OK",1,0)</f>
        <v>0</v>
      </c>
      <c r="V192" s="26" t="str">
        <f aca="false">IF($B192="","",IF($Q192=0,"A COMPLETER : "&amp;IF(ISNA(MATCH($B192,ST_ID,0)),"ID ST valide; ","")&amp;IF(OR(NOT(ISNUMBER($F192)),$F192&lt;=0),"QUANTITE &gt; 0; ","")&amp;IF($J192="","EMPL. DESTINATION; ",""),IF($T192="BLOQUE","Envoi parent en anomalie ("&amp;$S192&amp;") : corriger l'onglet SOUS_TRAITANCE.",IF(AND($E192&lt;&gt;"",ISNA(MATCH($E192,LOT_KEY,0))),"Creer la fiche du lot resultat dans l'onglet LOTS.",""))))</f>
        <v/>
      </c>
      <c r="W192" s="31" t="str">
        <f aca="false">IF($B192="","",IF($C192&lt;&gt;"",$C192,IFERROR(INDEX(ST_DATERET,MATCH($B192,ST_ID,0)),"")))</f>
        <v/>
      </c>
      <c r="X192" s="26" t="str">
        <f aca="false">IF($Q192=0,"",IF($L192=R_LOT,IF($N192&lt;&gt;R_LOT,$N192,""),IF($N192=R_LOT,$L192,"")))</f>
        <v/>
      </c>
      <c r="Y192" s="26" t="str">
        <f aca="false">IF($X192="","",IF(COUNTIF($X$4:$X191,$X192)&gt;0,"",COUNT($Y$4:$Y191)+1))</f>
        <v/>
      </c>
      <c r="Z192" s="26" t="n">
        <f aca="false">IF($Q192=0,0,IF(OR($L192=R_LOT,$N192=R_LOT),1,0))</f>
        <v>0</v>
      </c>
      <c r="AA192" s="26" t="str">
        <f aca="false">IF($Z192=0,"",COUNTIF($Z$5:$Z192,1))</f>
        <v/>
      </c>
    </row>
    <row r="193" customFormat="false" ht="15" hidden="false" customHeight="false" outlineLevel="0" collapsed="false">
      <c r="A193" s="26" t="str">
        <f aca="false">IF($B193="","","RES-"&amp;TEXT(ROW()-4,"000"))</f>
        <v/>
      </c>
      <c r="B193" s="24"/>
      <c r="C193" s="25"/>
      <c r="D193" s="24"/>
      <c r="E193" s="24"/>
      <c r="F193" s="29"/>
      <c r="G193" s="24"/>
      <c r="H193" s="24"/>
      <c r="I193" s="24"/>
      <c r="J193" s="24"/>
      <c r="K193" s="24"/>
      <c r="L193" s="26" t="str">
        <f aca="false">IF($B193="","",IFERROR(INDEX(ST_LOT,MATCH($B193,ST_ID,0)),""))</f>
        <v/>
      </c>
      <c r="M193" s="26" t="str">
        <f aca="false">IF($B193="","",IFERROR(INDEX(ST_STRAIT,MATCH($B193,ST_ID,0)),""))</f>
        <v/>
      </c>
      <c r="N193" s="26" t="str">
        <f aca="false">IF($B193="","",IF($E193="",$L193,$E193))</f>
        <v/>
      </c>
      <c r="O193" s="26" t="str">
        <f aca="false">IF($N193="","",IFERROR(INDEX(LOT_EXTE,MATCH($N193,LOT_KEY,0)),""))</f>
        <v/>
      </c>
      <c r="P193" s="26" t="str">
        <f aca="false">IF($J193="","",IFERROR(INDEX(EMPL_CLASSE,MATCH($J193,EMPL_KEY,0)),"?"))</f>
        <v/>
      </c>
      <c r="Q193" s="28" t="n">
        <f aca="false">IF($B193="",0,IF(OR(ISNA(MATCH($B193,ST_ID,0)),NOT(ISNUMBER($F193)),$F193&lt;=0,$J193="",$N193=""),0,1))</f>
        <v>0</v>
      </c>
      <c r="R193" s="27" t="n">
        <f aca="false">IF($Q193=0,0,$F193)</f>
        <v>0</v>
      </c>
      <c r="S193" s="26" t="str">
        <f aca="false">IF($B193="","",IFERROR(INDEX(ST_STATUT,MATCH($B193,ST_ID,0)),""))</f>
        <v/>
      </c>
      <c r="T193" s="26" t="str">
        <f aca="false">IF($B193="","",IF($Q193=0,"DONNEES MANQUANTES",IF(OR($S193="DONNEES MANQUANTES",$S193="STOCK INSUFFISANT",$S193="EMPLACEMENT INCOHERENT",$S193="BLOQUE"),"BLOQUE","OK")))</f>
        <v/>
      </c>
      <c r="U193" s="28" t="n">
        <f aca="false">IF($T193="OK",1,0)</f>
        <v>0</v>
      </c>
      <c r="V193" s="26" t="str">
        <f aca="false">IF($B193="","",IF($Q193=0,"A COMPLETER : "&amp;IF(ISNA(MATCH($B193,ST_ID,0)),"ID ST valide; ","")&amp;IF(OR(NOT(ISNUMBER($F193)),$F193&lt;=0),"QUANTITE &gt; 0; ","")&amp;IF($J193="","EMPL. DESTINATION; ",""),IF($T193="BLOQUE","Envoi parent en anomalie ("&amp;$S193&amp;") : corriger l'onglet SOUS_TRAITANCE.",IF(AND($E193&lt;&gt;"",ISNA(MATCH($E193,LOT_KEY,0))),"Creer la fiche du lot resultat dans l'onglet LOTS.",""))))</f>
        <v/>
      </c>
      <c r="W193" s="31" t="str">
        <f aca="false">IF($B193="","",IF($C193&lt;&gt;"",$C193,IFERROR(INDEX(ST_DATERET,MATCH($B193,ST_ID,0)),"")))</f>
        <v/>
      </c>
      <c r="X193" s="26" t="str">
        <f aca="false">IF($Q193=0,"",IF($L193=R_LOT,IF($N193&lt;&gt;R_LOT,$N193,""),IF($N193=R_LOT,$L193,"")))</f>
        <v/>
      </c>
      <c r="Y193" s="26" t="str">
        <f aca="false">IF($X193="","",IF(COUNTIF($X$4:$X192,$X193)&gt;0,"",COUNT($Y$4:$Y192)+1))</f>
        <v/>
      </c>
      <c r="Z193" s="26" t="n">
        <f aca="false">IF($Q193=0,0,IF(OR($L193=R_LOT,$N193=R_LOT),1,0))</f>
        <v>0</v>
      </c>
      <c r="AA193" s="26" t="str">
        <f aca="false">IF($Z193=0,"",COUNTIF($Z$5:$Z193,1))</f>
        <v/>
      </c>
    </row>
    <row r="194" customFormat="false" ht="15" hidden="false" customHeight="false" outlineLevel="0" collapsed="false">
      <c r="A194" s="26" t="str">
        <f aca="false">IF($B194="","","RES-"&amp;TEXT(ROW()-4,"000"))</f>
        <v/>
      </c>
      <c r="B194" s="24"/>
      <c r="C194" s="25"/>
      <c r="D194" s="24"/>
      <c r="E194" s="24"/>
      <c r="F194" s="29"/>
      <c r="G194" s="24"/>
      <c r="H194" s="24"/>
      <c r="I194" s="24"/>
      <c r="J194" s="24"/>
      <c r="K194" s="24"/>
      <c r="L194" s="26" t="str">
        <f aca="false">IF($B194="","",IFERROR(INDEX(ST_LOT,MATCH($B194,ST_ID,0)),""))</f>
        <v/>
      </c>
      <c r="M194" s="26" t="str">
        <f aca="false">IF($B194="","",IFERROR(INDEX(ST_STRAIT,MATCH($B194,ST_ID,0)),""))</f>
        <v/>
      </c>
      <c r="N194" s="26" t="str">
        <f aca="false">IF($B194="","",IF($E194="",$L194,$E194))</f>
        <v/>
      </c>
      <c r="O194" s="26" t="str">
        <f aca="false">IF($N194="","",IFERROR(INDEX(LOT_EXTE,MATCH($N194,LOT_KEY,0)),""))</f>
        <v/>
      </c>
      <c r="P194" s="26" t="str">
        <f aca="false">IF($J194="","",IFERROR(INDEX(EMPL_CLASSE,MATCH($J194,EMPL_KEY,0)),"?"))</f>
        <v/>
      </c>
      <c r="Q194" s="28" t="n">
        <f aca="false">IF($B194="",0,IF(OR(ISNA(MATCH($B194,ST_ID,0)),NOT(ISNUMBER($F194)),$F194&lt;=0,$J194="",$N194=""),0,1))</f>
        <v>0</v>
      </c>
      <c r="R194" s="27" t="n">
        <f aca="false">IF($Q194=0,0,$F194)</f>
        <v>0</v>
      </c>
      <c r="S194" s="26" t="str">
        <f aca="false">IF($B194="","",IFERROR(INDEX(ST_STATUT,MATCH($B194,ST_ID,0)),""))</f>
        <v/>
      </c>
      <c r="T194" s="26" t="str">
        <f aca="false">IF($B194="","",IF($Q194=0,"DONNEES MANQUANTES",IF(OR($S194="DONNEES MANQUANTES",$S194="STOCK INSUFFISANT",$S194="EMPLACEMENT INCOHERENT",$S194="BLOQUE"),"BLOQUE","OK")))</f>
        <v/>
      </c>
      <c r="U194" s="28" t="n">
        <f aca="false">IF($T194="OK",1,0)</f>
        <v>0</v>
      </c>
      <c r="V194" s="26" t="str">
        <f aca="false">IF($B194="","",IF($Q194=0,"A COMPLETER : "&amp;IF(ISNA(MATCH($B194,ST_ID,0)),"ID ST valide; ","")&amp;IF(OR(NOT(ISNUMBER($F194)),$F194&lt;=0),"QUANTITE &gt; 0; ","")&amp;IF($J194="","EMPL. DESTINATION; ",""),IF($T194="BLOQUE","Envoi parent en anomalie ("&amp;$S194&amp;") : corriger l'onglet SOUS_TRAITANCE.",IF(AND($E194&lt;&gt;"",ISNA(MATCH($E194,LOT_KEY,0))),"Creer la fiche du lot resultat dans l'onglet LOTS.",""))))</f>
        <v/>
      </c>
      <c r="W194" s="31" t="str">
        <f aca="false">IF($B194="","",IF($C194&lt;&gt;"",$C194,IFERROR(INDEX(ST_DATERET,MATCH($B194,ST_ID,0)),"")))</f>
        <v/>
      </c>
      <c r="X194" s="26" t="str">
        <f aca="false">IF($Q194=0,"",IF($L194=R_LOT,IF($N194&lt;&gt;R_LOT,$N194,""),IF($N194=R_LOT,$L194,"")))</f>
        <v/>
      </c>
      <c r="Y194" s="26" t="str">
        <f aca="false">IF($X194="","",IF(COUNTIF($X$4:$X193,$X194)&gt;0,"",COUNT($Y$4:$Y193)+1))</f>
        <v/>
      </c>
      <c r="Z194" s="26" t="n">
        <f aca="false">IF($Q194=0,0,IF(OR($L194=R_LOT,$N194=R_LOT),1,0))</f>
        <v>0</v>
      </c>
      <c r="AA194" s="26" t="str">
        <f aca="false">IF($Z194=0,"",COUNTIF($Z$5:$Z194,1))</f>
        <v/>
      </c>
    </row>
    <row r="195" customFormat="false" ht="15" hidden="false" customHeight="false" outlineLevel="0" collapsed="false">
      <c r="A195" s="26" t="str">
        <f aca="false">IF($B195="","","RES-"&amp;TEXT(ROW()-4,"000"))</f>
        <v/>
      </c>
      <c r="B195" s="24"/>
      <c r="C195" s="25"/>
      <c r="D195" s="24"/>
      <c r="E195" s="24"/>
      <c r="F195" s="29"/>
      <c r="G195" s="24"/>
      <c r="H195" s="24"/>
      <c r="I195" s="24"/>
      <c r="J195" s="24"/>
      <c r="K195" s="24"/>
      <c r="L195" s="26" t="str">
        <f aca="false">IF($B195="","",IFERROR(INDEX(ST_LOT,MATCH($B195,ST_ID,0)),""))</f>
        <v/>
      </c>
      <c r="M195" s="26" t="str">
        <f aca="false">IF($B195="","",IFERROR(INDEX(ST_STRAIT,MATCH($B195,ST_ID,0)),""))</f>
        <v/>
      </c>
      <c r="N195" s="26" t="str">
        <f aca="false">IF($B195="","",IF($E195="",$L195,$E195))</f>
        <v/>
      </c>
      <c r="O195" s="26" t="str">
        <f aca="false">IF($N195="","",IFERROR(INDEX(LOT_EXTE,MATCH($N195,LOT_KEY,0)),""))</f>
        <v/>
      </c>
      <c r="P195" s="26" t="str">
        <f aca="false">IF($J195="","",IFERROR(INDEX(EMPL_CLASSE,MATCH($J195,EMPL_KEY,0)),"?"))</f>
        <v/>
      </c>
      <c r="Q195" s="28" t="n">
        <f aca="false">IF($B195="",0,IF(OR(ISNA(MATCH($B195,ST_ID,0)),NOT(ISNUMBER($F195)),$F195&lt;=0,$J195="",$N195=""),0,1))</f>
        <v>0</v>
      </c>
      <c r="R195" s="27" t="n">
        <f aca="false">IF($Q195=0,0,$F195)</f>
        <v>0</v>
      </c>
      <c r="S195" s="26" t="str">
        <f aca="false">IF($B195="","",IFERROR(INDEX(ST_STATUT,MATCH($B195,ST_ID,0)),""))</f>
        <v/>
      </c>
      <c r="T195" s="26" t="str">
        <f aca="false">IF($B195="","",IF($Q195=0,"DONNEES MANQUANTES",IF(OR($S195="DONNEES MANQUANTES",$S195="STOCK INSUFFISANT",$S195="EMPLACEMENT INCOHERENT",$S195="BLOQUE"),"BLOQUE","OK")))</f>
        <v/>
      </c>
      <c r="U195" s="28" t="n">
        <f aca="false">IF($T195="OK",1,0)</f>
        <v>0</v>
      </c>
      <c r="V195" s="26" t="str">
        <f aca="false">IF($B195="","",IF($Q195=0,"A COMPLETER : "&amp;IF(ISNA(MATCH($B195,ST_ID,0)),"ID ST valide; ","")&amp;IF(OR(NOT(ISNUMBER($F195)),$F195&lt;=0),"QUANTITE &gt; 0; ","")&amp;IF($J195="","EMPL. DESTINATION; ",""),IF($T195="BLOQUE","Envoi parent en anomalie ("&amp;$S195&amp;") : corriger l'onglet SOUS_TRAITANCE.",IF(AND($E195&lt;&gt;"",ISNA(MATCH($E195,LOT_KEY,0))),"Creer la fiche du lot resultat dans l'onglet LOTS.",""))))</f>
        <v/>
      </c>
      <c r="W195" s="31" t="str">
        <f aca="false">IF($B195="","",IF($C195&lt;&gt;"",$C195,IFERROR(INDEX(ST_DATERET,MATCH($B195,ST_ID,0)),"")))</f>
        <v/>
      </c>
      <c r="X195" s="26" t="str">
        <f aca="false">IF($Q195=0,"",IF($L195=R_LOT,IF($N195&lt;&gt;R_LOT,$N195,""),IF($N195=R_LOT,$L195,"")))</f>
        <v/>
      </c>
      <c r="Y195" s="26" t="str">
        <f aca="false">IF($X195="","",IF(COUNTIF($X$4:$X194,$X195)&gt;0,"",COUNT($Y$4:$Y194)+1))</f>
        <v/>
      </c>
      <c r="Z195" s="26" t="n">
        <f aca="false">IF($Q195=0,0,IF(OR($L195=R_LOT,$N195=R_LOT),1,0))</f>
        <v>0</v>
      </c>
      <c r="AA195" s="26" t="str">
        <f aca="false">IF($Z195=0,"",COUNTIF($Z$5:$Z195,1))</f>
        <v/>
      </c>
    </row>
    <row r="196" customFormat="false" ht="15" hidden="false" customHeight="false" outlineLevel="0" collapsed="false">
      <c r="A196" s="26" t="str">
        <f aca="false">IF($B196="","","RES-"&amp;TEXT(ROW()-4,"000"))</f>
        <v/>
      </c>
      <c r="B196" s="24"/>
      <c r="C196" s="25"/>
      <c r="D196" s="24"/>
      <c r="E196" s="24"/>
      <c r="F196" s="29"/>
      <c r="G196" s="24"/>
      <c r="H196" s="24"/>
      <c r="I196" s="24"/>
      <c r="J196" s="24"/>
      <c r="K196" s="24"/>
      <c r="L196" s="26" t="str">
        <f aca="false">IF($B196="","",IFERROR(INDEX(ST_LOT,MATCH($B196,ST_ID,0)),""))</f>
        <v/>
      </c>
      <c r="M196" s="26" t="str">
        <f aca="false">IF($B196="","",IFERROR(INDEX(ST_STRAIT,MATCH($B196,ST_ID,0)),""))</f>
        <v/>
      </c>
      <c r="N196" s="26" t="str">
        <f aca="false">IF($B196="","",IF($E196="",$L196,$E196))</f>
        <v/>
      </c>
      <c r="O196" s="26" t="str">
        <f aca="false">IF($N196="","",IFERROR(INDEX(LOT_EXTE,MATCH($N196,LOT_KEY,0)),""))</f>
        <v/>
      </c>
      <c r="P196" s="26" t="str">
        <f aca="false">IF($J196="","",IFERROR(INDEX(EMPL_CLASSE,MATCH($J196,EMPL_KEY,0)),"?"))</f>
        <v/>
      </c>
      <c r="Q196" s="28" t="n">
        <f aca="false">IF($B196="",0,IF(OR(ISNA(MATCH($B196,ST_ID,0)),NOT(ISNUMBER($F196)),$F196&lt;=0,$J196="",$N196=""),0,1))</f>
        <v>0</v>
      </c>
      <c r="R196" s="27" t="n">
        <f aca="false">IF($Q196=0,0,$F196)</f>
        <v>0</v>
      </c>
      <c r="S196" s="26" t="str">
        <f aca="false">IF($B196="","",IFERROR(INDEX(ST_STATUT,MATCH($B196,ST_ID,0)),""))</f>
        <v/>
      </c>
      <c r="T196" s="26" t="str">
        <f aca="false">IF($B196="","",IF($Q196=0,"DONNEES MANQUANTES",IF(OR($S196="DONNEES MANQUANTES",$S196="STOCK INSUFFISANT",$S196="EMPLACEMENT INCOHERENT",$S196="BLOQUE"),"BLOQUE","OK")))</f>
        <v/>
      </c>
      <c r="U196" s="28" t="n">
        <f aca="false">IF($T196="OK",1,0)</f>
        <v>0</v>
      </c>
      <c r="V196" s="26" t="str">
        <f aca="false">IF($B196="","",IF($Q196=0,"A COMPLETER : "&amp;IF(ISNA(MATCH($B196,ST_ID,0)),"ID ST valide; ","")&amp;IF(OR(NOT(ISNUMBER($F196)),$F196&lt;=0),"QUANTITE &gt; 0; ","")&amp;IF($J196="","EMPL. DESTINATION; ",""),IF($T196="BLOQUE","Envoi parent en anomalie ("&amp;$S196&amp;") : corriger l'onglet SOUS_TRAITANCE.",IF(AND($E196&lt;&gt;"",ISNA(MATCH($E196,LOT_KEY,0))),"Creer la fiche du lot resultat dans l'onglet LOTS.",""))))</f>
        <v/>
      </c>
      <c r="W196" s="31" t="str">
        <f aca="false">IF($B196="","",IF($C196&lt;&gt;"",$C196,IFERROR(INDEX(ST_DATERET,MATCH($B196,ST_ID,0)),"")))</f>
        <v/>
      </c>
      <c r="X196" s="26" t="str">
        <f aca="false">IF($Q196=0,"",IF($L196=R_LOT,IF($N196&lt;&gt;R_LOT,$N196,""),IF($N196=R_LOT,$L196,"")))</f>
        <v/>
      </c>
      <c r="Y196" s="26" t="str">
        <f aca="false">IF($X196="","",IF(COUNTIF($X$4:$X195,$X196)&gt;0,"",COUNT($Y$4:$Y195)+1))</f>
        <v/>
      </c>
      <c r="Z196" s="26" t="n">
        <f aca="false">IF($Q196=0,0,IF(OR($L196=R_LOT,$N196=R_LOT),1,0))</f>
        <v>0</v>
      </c>
      <c r="AA196" s="26" t="str">
        <f aca="false">IF($Z196=0,"",COUNTIF($Z$5:$Z196,1))</f>
        <v/>
      </c>
    </row>
    <row r="197" customFormat="false" ht="15" hidden="false" customHeight="false" outlineLevel="0" collapsed="false">
      <c r="A197" s="26" t="str">
        <f aca="false">IF($B197="","","RES-"&amp;TEXT(ROW()-4,"000"))</f>
        <v/>
      </c>
      <c r="B197" s="24"/>
      <c r="C197" s="25"/>
      <c r="D197" s="24"/>
      <c r="E197" s="24"/>
      <c r="F197" s="29"/>
      <c r="G197" s="24"/>
      <c r="H197" s="24"/>
      <c r="I197" s="24"/>
      <c r="J197" s="24"/>
      <c r="K197" s="24"/>
      <c r="L197" s="26" t="str">
        <f aca="false">IF($B197="","",IFERROR(INDEX(ST_LOT,MATCH($B197,ST_ID,0)),""))</f>
        <v/>
      </c>
      <c r="M197" s="26" t="str">
        <f aca="false">IF($B197="","",IFERROR(INDEX(ST_STRAIT,MATCH($B197,ST_ID,0)),""))</f>
        <v/>
      </c>
      <c r="N197" s="26" t="str">
        <f aca="false">IF($B197="","",IF($E197="",$L197,$E197))</f>
        <v/>
      </c>
      <c r="O197" s="26" t="str">
        <f aca="false">IF($N197="","",IFERROR(INDEX(LOT_EXTE,MATCH($N197,LOT_KEY,0)),""))</f>
        <v/>
      </c>
      <c r="P197" s="26" t="str">
        <f aca="false">IF($J197="","",IFERROR(INDEX(EMPL_CLASSE,MATCH($J197,EMPL_KEY,0)),"?"))</f>
        <v/>
      </c>
      <c r="Q197" s="28" t="n">
        <f aca="false">IF($B197="",0,IF(OR(ISNA(MATCH($B197,ST_ID,0)),NOT(ISNUMBER($F197)),$F197&lt;=0,$J197="",$N197=""),0,1))</f>
        <v>0</v>
      </c>
      <c r="R197" s="27" t="n">
        <f aca="false">IF($Q197=0,0,$F197)</f>
        <v>0</v>
      </c>
      <c r="S197" s="26" t="str">
        <f aca="false">IF($B197="","",IFERROR(INDEX(ST_STATUT,MATCH($B197,ST_ID,0)),""))</f>
        <v/>
      </c>
      <c r="T197" s="26" t="str">
        <f aca="false">IF($B197="","",IF($Q197=0,"DONNEES MANQUANTES",IF(OR($S197="DONNEES MANQUANTES",$S197="STOCK INSUFFISANT",$S197="EMPLACEMENT INCOHERENT",$S197="BLOQUE"),"BLOQUE","OK")))</f>
        <v/>
      </c>
      <c r="U197" s="28" t="n">
        <f aca="false">IF($T197="OK",1,0)</f>
        <v>0</v>
      </c>
      <c r="V197" s="26" t="str">
        <f aca="false">IF($B197="","",IF($Q197=0,"A COMPLETER : "&amp;IF(ISNA(MATCH($B197,ST_ID,0)),"ID ST valide; ","")&amp;IF(OR(NOT(ISNUMBER($F197)),$F197&lt;=0),"QUANTITE &gt; 0; ","")&amp;IF($J197="","EMPL. DESTINATION; ",""),IF($T197="BLOQUE","Envoi parent en anomalie ("&amp;$S197&amp;") : corriger l'onglet SOUS_TRAITANCE.",IF(AND($E197&lt;&gt;"",ISNA(MATCH($E197,LOT_KEY,0))),"Creer la fiche du lot resultat dans l'onglet LOTS.",""))))</f>
        <v/>
      </c>
      <c r="W197" s="31" t="str">
        <f aca="false">IF($B197="","",IF($C197&lt;&gt;"",$C197,IFERROR(INDEX(ST_DATERET,MATCH($B197,ST_ID,0)),"")))</f>
        <v/>
      </c>
      <c r="X197" s="26" t="str">
        <f aca="false">IF($Q197=0,"",IF($L197=R_LOT,IF($N197&lt;&gt;R_LOT,$N197,""),IF($N197=R_LOT,$L197,"")))</f>
        <v/>
      </c>
      <c r="Y197" s="26" t="str">
        <f aca="false">IF($X197="","",IF(COUNTIF($X$4:$X196,$X197)&gt;0,"",COUNT($Y$4:$Y196)+1))</f>
        <v/>
      </c>
      <c r="Z197" s="26" t="n">
        <f aca="false">IF($Q197=0,0,IF(OR($L197=R_LOT,$N197=R_LOT),1,0))</f>
        <v>0</v>
      </c>
      <c r="AA197" s="26" t="str">
        <f aca="false">IF($Z197=0,"",COUNTIF($Z$5:$Z197,1))</f>
        <v/>
      </c>
    </row>
    <row r="198" customFormat="false" ht="15" hidden="false" customHeight="false" outlineLevel="0" collapsed="false">
      <c r="A198" s="26" t="str">
        <f aca="false">IF($B198="","","RES-"&amp;TEXT(ROW()-4,"000"))</f>
        <v/>
      </c>
      <c r="B198" s="24"/>
      <c r="C198" s="25"/>
      <c r="D198" s="24"/>
      <c r="E198" s="24"/>
      <c r="F198" s="29"/>
      <c r="G198" s="24"/>
      <c r="H198" s="24"/>
      <c r="I198" s="24"/>
      <c r="J198" s="24"/>
      <c r="K198" s="24"/>
      <c r="L198" s="26" t="str">
        <f aca="false">IF($B198="","",IFERROR(INDEX(ST_LOT,MATCH($B198,ST_ID,0)),""))</f>
        <v/>
      </c>
      <c r="M198" s="26" t="str">
        <f aca="false">IF($B198="","",IFERROR(INDEX(ST_STRAIT,MATCH($B198,ST_ID,0)),""))</f>
        <v/>
      </c>
      <c r="N198" s="26" t="str">
        <f aca="false">IF($B198="","",IF($E198="",$L198,$E198))</f>
        <v/>
      </c>
      <c r="O198" s="26" t="str">
        <f aca="false">IF($N198="","",IFERROR(INDEX(LOT_EXTE,MATCH($N198,LOT_KEY,0)),""))</f>
        <v/>
      </c>
      <c r="P198" s="26" t="str">
        <f aca="false">IF($J198="","",IFERROR(INDEX(EMPL_CLASSE,MATCH($J198,EMPL_KEY,0)),"?"))</f>
        <v/>
      </c>
      <c r="Q198" s="28" t="n">
        <f aca="false">IF($B198="",0,IF(OR(ISNA(MATCH($B198,ST_ID,0)),NOT(ISNUMBER($F198)),$F198&lt;=0,$J198="",$N198=""),0,1))</f>
        <v>0</v>
      </c>
      <c r="R198" s="27" t="n">
        <f aca="false">IF($Q198=0,0,$F198)</f>
        <v>0</v>
      </c>
      <c r="S198" s="26" t="str">
        <f aca="false">IF($B198="","",IFERROR(INDEX(ST_STATUT,MATCH($B198,ST_ID,0)),""))</f>
        <v/>
      </c>
      <c r="T198" s="26" t="str">
        <f aca="false">IF($B198="","",IF($Q198=0,"DONNEES MANQUANTES",IF(OR($S198="DONNEES MANQUANTES",$S198="STOCK INSUFFISANT",$S198="EMPLACEMENT INCOHERENT",$S198="BLOQUE"),"BLOQUE","OK")))</f>
        <v/>
      </c>
      <c r="U198" s="28" t="n">
        <f aca="false">IF($T198="OK",1,0)</f>
        <v>0</v>
      </c>
      <c r="V198" s="26" t="str">
        <f aca="false">IF($B198="","",IF($Q198=0,"A COMPLETER : "&amp;IF(ISNA(MATCH($B198,ST_ID,0)),"ID ST valide; ","")&amp;IF(OR(NOT(ISNUMBER($F198)),$F198&lt;=0),"QUANTITE &gt; 0; ","")&amp;IF($J198="","EMPL. DESTINATION; ",""),IF($T198="BLOQUE","Envoi parent en anomalie ("&amp;$S198&amp;") : corriger l'onglet SOUS_TRAITANCE.",IF(AND($E198&lt;&gt;"",ISNA(MATCH($E198,LOT_KEY,0))),"Creer la fiche du lot resultat dans l'onglet LOTS.",""))))</f>
        <v/>
      </c>
      <c r="W198" s="31" t="str">
        <f aca="false">IF($B198="","",IF($C198&lt;&gt;"",$C198,IFERROR(INDEX(ST_DATERET,MATCH($B198,ST_ID,0)),"")))</f>
        <v/>
      </c>
      <c r="X198" s="26" t="str">
        <f aca="false">IF($Q198=0,"",IF($L198=R_LOT,IF($N198&lt;&gt;R_LOT,$N198,""),IF($N198=R_LOT,$L198,"")))</f>
        <v/>
      </c>
      <c r="Y198" s="26" t="str">
        <f aca="false">IF($X198="","",IF(COUNTIF($X$4:$X197,$X198)&gt;0,"",COUNT($Y$4:$Y197)+1))</f>
        <v/>
      </c>
      <c r="Z198" s="26" t="n">
        <f aca="false">IF($Q198=0,0,IF(OR($L198=R_LOT,$N198=R_LOT),1,0))</f>
        <v>0</v>
      </c>
      <c r="AA198" s="26" t="str">
        <f aca="false">IF($Z198=0,"",COUNTIF($Z$5:$Z198,1))</f>
        <v/>
      </c>
    </row>
    <row r="199" customFormat="false" ht="15" hidden="false" customHeight="false" outlineLevel="0" collapsed="false">
      <c r="A199" s="26" t="str">
        <f aca="false">IF($B199="","","RES-"&amp;TEXT(ROW()-4,"000"))</f>
        <v/>
      </c>
      <c r="B199" s="24"/>
      <c r="C199" s="25"/>
      <c r="D199" s="24"/>
      <c r="E199" s="24"/>
      <c r="F199" s="29"/>
      <c r="G199" s="24"/>
      <c r="H199" s="24"/>
      <c r="I199" s="24"/>
      <c r="J199" s="24"/>
      <c r="K199" s="24"/>
      <c r="L199" s="26" t="str">
        <f aca="false">IF($B199="","",IFERROR(INDEX(ST_LOT,MATCH($B199,ST_ID,0)),""))</f>
        <v/>
      </c>
      <c r="M199" s="26" t="str">
        <f aca="false">IF($B199="","",IFERROR(INDEX(ST_STRAIT,MATCH($B199,ST_ID,0)),""))</f>
        <v/>
      </c>
      <c r="N199" s="26" t="str">
        <f aca="false">IF($B199="","",IF($E199="",$L199,$E199))</f>
        <v/>
      </c>
      <c r="O199" s="26" t="str">
        <f aca="false">IF($N199="","",IFERROR(INDEX(LOT_EXTE,MATCH($N199,LOT_KEY,0)),""))</f>
        <v/>
      </c>
      <c r="P199" s="26" t="str">
        <f aca="false">IF($J199="","",IFERROR(INDEX(EMPL_CLASSE,MATCH($J199,EMPL_KEY,0)),"?"))</f>
        <v/>
      </c>
      <c r="Q199" s="28" t="n">
        <f aca="false">IF($B199="",0,IF(OR(ISNA(MATCH($B199,ST_ID,0)),NOT(ISNUMBER($F199)),$F199&lt;=0,$J199="",$N199=""),0,1))</f>
        <v>0</v>
      </c>
      <c r="R199" s="27" t="n">
        <f aca="false">IF($Q199=0,0,$F199)</f>
        <v>0</v>
      </c>
      <c r="S199" s="26" t="str">
        <f aca="false">IF($B199="","",IFERROR(INDEX(ST_STATUT,MATCH($B199,ST_ID,0)),""))</f>
        <v/>
      </c>
      <c r="T199" s="26" t="str">
        <f aca="false">IF($B199="","",IF($Q199=0,"DONNEES MANQUANTES",IF(OR($S199="DONNEES MANQUANTES",$S199="STOCK INSUFFISANT",$S199="EMPLACEMENT INCOHERENT",$S199="BLOQUE"),"BLOQUE","OK")))</f>
        <v/>
      </c>
      <c r="U199" s="28" t="n">
        <f aca="false">IF($T199="OK",1,0)</f>
        <v>0</v>
      </c>
      <c r="V199" s="26" t="str">
        <f aca="false">IF($B199="","",IF($Q199=0,"A COMPLETER : "&amp;IF(ISNA(MATCH($B199,ST_ID,0)),"ID ST valide; ","")&amp;IF(OR(NOT(ISNUMBER($F199)),$F199&lt;=0),"QUANTITE &gt; 0; ","")&amp;IF($J199="","EMPL. DESTINATION; ",""),IF($T199="BLOQUE","Envoi parent en anomalie ("&amp;$S199&amp;") : corriger l'onglet SOUS_TRAITANCE.",IF(AND($E199&lt;&gt;"",ISNA(MATCH($E199,LOT_KEY,0))),"Creer la fiche du lot resultat dans l'onglet LOTS.",""))))</f>
        <v/>
      </c>
      <c r="W199" s="31" t="str">
        <f aca="false">IF($B199="","",IF($C199&lt;&gt;"",$C199,IFERROR(INDEX(ST_DATERET,MATCH($B199,ST_ID,0)),"")))</f>
        <v/>
      </c>
      <c r="X199" s="26" t="str">
        <f aca="false">IF($Q199=0,"",IF($L199=R_LOT,IF($N199&lt;&gt;R_LOT,$N199,""),IF($N199=R_LOT,$L199,"")))</f>
        <v/>
      </c>
      <c r="Y199" s="26" t="str">
        <f aca="false">IF($X199="","",IF(COUNTIF($X$4:$X198,$X199)&gt;0,"",COUNT($Y$4:$Y198)+1))</f>
        <v/>
      </c>
      <c r="Z199" s="26" t="n">
        <f aca="false">IF($Q199=0,0,IF(OR($L199=R_LOT,$N199=R_LOT),1,0))</f>
        <v>0</v>
      </c>
      <c r="AA199" s="26" t="str">
        <f aca="false">IF($Z199=0,"",COUNTIF($Z$5:$Z199,1))</f>
        <v/>
      </c>
    </row>
    <row r="200" customFormat="false" ht="15" hidden="false" customHeight="false" outlineLevel="0" collapsed="false">
      <c r="A200" s="26" t="str">
        <f aca="false">IF($B200="","","RES-"&amp;TEXT(ROW()-4,"000"))</f>
        <v/>
      </c>
      <c r="B200" s="24"/>
      <c r="C200" s="25"/>
      <c r="D200" s="24"/>
      <c r="E200" s="24"/>
      <c r="F200" s="29"/>
      <c r="G200" s="24"/>
      <c r="H200" s="24"/>
      <c r="I200" s="24"/>
      <c r="J200" s="24"/>
      <c r="K200" s="24"/>
      <c r="L200" s="26" t="str">
        <f aca="false">IF($B200="","",IFERROR(INDEX(ST_LOT,MATCH($B200,ST_ID,0)),""))</f>
        <v/>
      </c>
      <c r="M200" s="26" t="str">
        <f aca="false">IF($B200="","",IFERROR(INDEX(ST_STRAIT,MATCH($B200,ST_ID,0)),""))</f>
        <v/>
      </c>
      <c r="N200" s="26" t="str">
        <f aca="false">IF($B200="","",IF($E200="",$L200,$E200))</f>
        <v/>
      </c>
      <c r="O200" s="26" t="str">
        <f aca="false">IF($N200="","",IFERROR(INDEX(LOT_EXTE,MATCH($N200,LOT_KEY,0)),""))</f>
        <v/>
      </c>
      <c r="P200" s="26" t="str">
        <f aca="false">IF($J200="","",IFERROR(INDEX(EMPL_CLASSE,MATCH($J200,EMPL_KEY,0)),"?"))</f>
        <v/>
      </c>
      <c r="Q200" s="28" t="n">
        <f aca="false">IF($B200="",0,IF(OR(ISNA(MATCH($B200,ST_ID,0)),NOT(ISNUMBER($F200)),$F200&lt;=0,$J200="",$N200=""),0,1))</f>
        <v>0</v>
      </c>
      <c r="R200" s="27" t="n">
        <f aca="false">IF($Q200=0,0,$F200)</f>
        <v>0</v>
      </c>
      <c r="S200" s="26" t="str">
        <f aca="false">IF($B200="","",IFERROR(INDEX(ST_STATUT,MATCH($B200,ST_ID,0)),""))</f>
        <v/>
      </c>
      <c r="T200" s="26" t="str">
        <f aca="false">IF($B200="","",IF($Q200=0,"DONNEES MANQUANTES",IF(OR($S200="DONNEES MANQUANTES",$S200="STOCK INSUFFISANT",$S200="EMPLACEMENT INCOHERENT",$S200="BLOQUE"),"BLOQUE","OK")))</f>
        <v/>
      </c>
      <c r="U200" s="28" t="n">
        <f aca="false">IF($T200="OK",1,0)</f>
        <v>0</v>
      </c>
      <c r="V200" s="26" t="str">
        <f aca="false">IF($B200="","",IF($Q200=0,"A COMPLETER : "&amp;IF(ISNA(MATCH($B200,ST_ID,0)),"ID ST valide; ","")&amp;IF(OR(NOT(ISNUMBER($F200)),$F200&lt;=0),"QUANTITE &gt; 0; ","")&amp;IF($J200="","EMPL. DESTINATION; ",""),IF($T200="BLOQUE","Envoi parent en anomalie ("&amp;$S200&amp;") : corriger l'onglet SOUS_TRAITANCE.",IF(AND($E200&lt;&gt;"",ISNA(MATCH($E200,LOT_KEY,0))),"Creer la fiche du lot resultat dans l'onglet LOTS.",""))))</f>
        <v/>
      </c>
      <c r="W200" s="31" t="str">
        <f aca="false">IF($B200="","",IF($C200&lt;&gt;"",$C200,IFERROR(INDEX(ST_DATERET,MATCH($B200,ST_ID,0)),"")))</f>
        <v/>
      </c>
      <c r="X200" s="26" t="str">
        <f aca="false">IF($Q200=0,"",IF($L200=R_LOT,IF($N200&lt;&gt;R_LOT,$N200,""),IF($N200=R_LOT,$L200,"")))</f>
        <v/>
      </c>
      <c r="Y200" s="26" t="str">
        <f aca="false">IF($X200="","",IF(COUNTIF($X$4:$X199,$X200)&gt;0,"",COUNT($Y$4:$Y199)+1))</f>
        <v/>
      </c>
      <c r="Z200" s="26" t="n">
        <f aca="false">IF($Q200=0,0,IF(OR($L200=R_LOT,$N200=R_LOT),1,0))</f>
        <v>0</v>
      </c>
      <c r="AA200" s="26" t="str">
        <f aca="false">IF($Z200=0,"",COUNTIF($Z$5:$Z200,1))</f>
        <v/>
      </c>
    </row>
    <row r="201" customFormat="false" ht="15" hidden="false" customHeight="false" outlineLevel="0" collapsed="false">
      <c r="A201" s="26" t="str">
        <f aca="false">IF($B201="","","RES-"&amp;TEXT(ROW()-4,"000"))</f>
        <v/>
      </c>
      <c r="B201" s="24"/>
      <c r="C201" s="25"/>
      <c r="D201" s="24"/>
      <c r="E201" s="24"/>
      <c r="F201" s="29"/>
      <c r="G201" s="24"/>
      <c r="H201" s="24"/>
      <c r="I201" s="24"/>
      <c r="J201" s="24"/>
      <c r="K201" s="24"/>
      <c r="L201" s="26" t="str">
        <f aca="false">IF($B201="","",IFERROR(INDEX(ST_LOT,MATCH($B201,ST_ID,0)),""))</f>
        <v/>
      </c>
      <c r="M201" s="26" t="str">
        <f aca="false">IF($B201="","",IFERROR(INDEX(ST_STRAIT,MATCH($B201,ST_ID,0)),""))</f>
        <v/>
      </c>
      <c r="N201" s="26" t="str">
        <f aca="false">IF($B201="","",IF($E201="",$L201,$E201))</f>
        <v/>
      </c>
      <c r="O201" s="26" t="str">
        <f aca="false">IF($N201="","",IFERROR(INDEX(LOT_EXTE,MATCH($N201,LOT_KEY,0)),""))</f>
        <v/>
      </c>
      <c r="P201" s="26" t="str">
        <f aca="false">IF($J201="","",IFERROR(INDEX(EMPL_CLASSE,MATCH($J201,EMPL_KEY,0)),"?"))</f>
        <v/>
      </c>
      <c r="Q201" s="28" t="n">
        <f aca="false">IF($B201="",0,IF(OR(ISNA(MATCH($B201,ST_ID,0)),NOT(ISNUMBER($F201)),$F201&lt;=0,$J201="",$N201=""),0,1))</f>
        <v>0</v>
      </c>
      <c r="R201" s="27" t="n">
        <f aca="false">IF($Q201=0,0,$F201)</f>
        <v>0</v>
      </c>
      <c r="S201" s="26" t="str">
        <f aca="false">IF($B201="","",IFERROR(INDEX(ST_STATUT,MATCH($B201,ST_ID,0)),""))</f>
        <v/>
      </c>
      <c r="T201" s="26" t="str">
        <f aca="false">IF($B201="","",IF($Q201=0,"DONNEES MANQUANTES",IF(OR($S201="DONNEES MANQUANTES",$S201="STOCK INSUFFISANT",$S201="EMPLACEMENT INCOHERENT",$S201="BLOQUE"),"BLOQUE","OK")))</f>
        <v/>
      </c>
      <c r="U201" s="28" t="n">
        <f aca="false">IF($T201="OK",1,0)</f>
        <v>0</v>
      </c>
      <c r="V201" s="26" t="str">
        <f aca="false">IF($B201="","",IF($Q201=0,"A COMPLETER : "&amp;IF(ISNA(MATCH($B201,ST_ID,0)),"ID ST valide; ","")&amp;IF(OR(NOT(ISNUMBER($F201)),$F201&lt;=0),"QUANTITE &gt; 0; ","")&amp;IF($J201="","EMPL. DESTINATION; ",""),IF($T201="BLOQUE","Envoi parent en anomalie ("&amp;$S201&amp;") : corriger l'onglet SOUS_TRAITANCE.",IF(AND($E201&lt;&gt;"",ISNA(MATCH($E201,LOT_KEY,0))),"Creer la fiche du lot resultat dans l'onglet LOTS.",""))))</f>
        <v/>
      </c>
      <c r="W201" s="31" t="str">
        <f aca="false">IF($B201="","",IF($C201&lt;&gt;"",$C201,IFERROR(INDEX(ST_DATERET,MATCH($B201,ST_ID,0)),"")))</f>
        <v/>
      </c>
      <c r="X201" s="26" t="str">
        <f aca="false">IF($Q201=0,"",IF($L201=R_LOT,IF($N201&lt;&gt;R_LOT,$N201,""),IF($N201=R_LOT,$L201,"")))</f>
        <v/>
      </c>
      <c r="Y201" s="26" t="str">
        <f aca="false">IF($X201="","",IF(COUNTIF($X$4:$X200,$X201)&gt;0,"",COUNT($Y$4:$Y200)+1))</f>
        <v/>
      </c>
      <c r="Z201" s="26" t="n">
        <f aca="false">IF($Q201=0,0,IF(OR($L201=R_LOT,$N201=R_LOT),1,0))</f>
        <v>0</v>
      </c>
      <c r="AA201" s="26" t="str">
        <f aca="false">IF($Z201=0,"",COUNTIF($Z$5:$Z201,1))</f>
        <v/>
      </c>
    </row>
    <row r="202" customFormat="false" ht="15" hidden="false" customHeight="false" outlineLevel="0" collapsed="false">
      <c r="A202" s="26" t="str">
        <f aca="false">IF($B202="","","RES-"&amp;TEXT(ROW()-4,"000"))</f>
        <v/>
      </c>
      <c r="B202" s="24"/>
      <c r="C202" s="25"/>
      <c r="D202" s="24"/>
      <c r="E202" s="24"/>
      <c r="F202" s="29"/>
      <c r="G202" s="24"/>
      <c r="H202" s="24"/>
      <c r="I202" s="24"/>
      <c r="J202" s="24"/>
      <c r="K202" s="24"/>
      <c r="L202" s="26" t="str">
        <f aca="false">IF($B202="","",IFERROR(INDEX(ST_LOT,MATCH($B202,ST_ID,0)),""))</f>
        <v/>
      </c>
      <c r="M202" s="26" t="str">
        <f aca="false">IF($B202="","",IFERROR(INDEX(ST_STRAIT,MATCH($B202,ST_ID,0)),""))</f>
        <v/>
      </c>
      <c r="N202" s="26" t="str">
        <f aca="false">IF($B202="","",IF($E202="",$L202,$E202))</f>
        <v/>
      </c>
      <c r="O202" s="26" t="str">
        <f aca="false">IF($N202="","",IFERROR(INDEX(LOT_EXTE,MATCH($N202,LOT_KEY,0)),""))</f>
        <v/>
      </c>
      <c r="P202" s="26" t="str">
        <f aca="false">IF($J202="","",IFERROR(INDEX(EMPL_CLASSE,MATCH($J202,EMPL_KEY,0)),"?"))</f>
        <v/>
      </c>
      <c r="Q202" s="28" t="n">
        <f aca="false">IF($B202="",0,IF(OR(ISNA(MATCH($B202,ST_ID,0)),NOT(ISNUMBER($F202)),$F202&lt;=0,$J202="",$N202=""),0,1))</f>
        <v>0</v>
      </c>
      <c r="R202" s="27" t="n">
        <f aca="false">IF($Q202=0,0,$F202)</f>
        <v>0</v>
      </c>
      <c r="S202" s="26" t="str">
        <f aca="false">IF($B202="","",IFERROR(INDEX(ST_STATUT,MATCH($B202,ST_ID,0)),""))</f>
        <v/>
      </c>
      <c r="T202" s="26" t="str">
        <f aca="false">IF($B202="","",IF($Q202=0,"DONNEES MANQUANTES",IF(OR($S202="DONNEES MANQUANTES",$S202="STOCK INSUFFISANT",$S202="EMPLACEMENT INCOHERENT",$S202="BLOQUE"),"BLOQUE","OK")))</f>
        <v/>
      </c>
      <c r="U202" s="28" t="n">
        <f aca="false">IF($T202="OK",1,0)</f>
        <v>0</v>
      </c>
      <c r="V202" s="26" t="str">
        <f aca="false">IF($B202="","",IF($Q202=0,"A COMPLETER : "&amp;IF(ISNA(MATCH($B202,ST_ID,0)),"ID ST valide; ","")&amp;IF(OR(NOT(ISNUMBER($F202)),$F202&lt;=0),"QUANTITE &gt; 0; ","")&amp;IF($J202="","EMPL. DESTINATION; ",""),IF($T202="BLOQUE","Envoi parent en anomalie ("&amp;$S202&amp;") : corriger l'onglet SOUS_TRAITANCE.",IF(AND($E202&lt;&gt;"",ISNA(MATCH($E202,LOT_KEY,0))),"Creer la fiche du lot resultat dans l'onglet LOTS.",""))))</f>
        <v/>
      </c>
      <c r="W202" s="31" t="str">
        <f aca="false">IF($B202="","",IF($C202&lt;&gt;"",$C202,IFERROR(INDEX(ST_DATERET,MATCH($B202,ST_ID,0)),"")))</f>
        <v/>
      </c>
      <c r="X202" s="26" t="str">
        <f aca="false">IF($Q202=0,"",IF($L202=R_LOT,IF($N202&lt;&gt;R_LOT,$N202,""),IF($N202=R_LOT,$L202,"")))</f>
        <v/>
      </c>
      <c r="Y202" s="26" t="str">
        <f aca="false">IF($X202="","",IF(COUNTIF($X$4:$X201,$X202)&gt;0,"",COUNT($Y$4:$Y201)+1))</f>
        <v/>
      </c>
      <c r="Z202" s="26" t="n">
        <f aca="false">IF($Q202=0,0,IF(OR($L202=R_LOT,$N202=R_LOT),1,0))</f>
        <v>0</v>
      </c>
      <c r="AA202" s="26" t="str">
        <f aca="false">IF($Z202=0,"",COUNTIF($Z$5:$Z202,1))</f>
        <v/>
      </c>
    </row>
    <row r="203" customFormat="false" ht="15" hidden="false" customHeight="false" outlineLevel="0" collapsed="false">
      <c r="A203" s="26" t="str">
        <f aca="false">IF($B203="","","RES-"&amp;TEXT(ROW()-4,"000"))</f>
        <v/>
      </c>
      <c r="B203" s="24"/>
      <c r="C203" s="25"/>
      <c r="D203" s="24"/>
      <c r="E203" s="24"/>
      <c r="F203" s="29"/>
      <c r="G203" s="24"/>
      <c r="H203" s="24"/>
      <c r="I203" s="24"/>
      <c r="J203" s="24"/>
      <c r="K203" s="24"/>
      <c r="L203" s="26" t="str">
        <f aca="false">IF($B203="","",IFERROR(INDEX(ST_LOT,MATCH($B203,ST_ID,0)),""))</f>
        <v/>
      </c>
      <c r="M203" s="26" t="str">
        <f aca="false">IF($B203="","",IFERROR(INDEX(ST_STRAIT,MATCH($B203,ST_ID,0)),""))</f>
        <v/>
      </c>
      <c r="N203" s="26" t="str">
        <f aca="false">IF($B203="","",IF($E203="",$L203,$E203))</f>
        <v/>
      </c>
      <c r="O203" s="26" t="str">
        <f aca="false">IF($N203="","",IFERROR(INDEX(LOT_EXTE,MATCH($N203,LOT_KEY,0)),""))</f>
        <v/>
      </c>
      <c r="P203" s="26" t="str">
        <f aca="false">IF($J203="","",IFERROR(INDEX(EMPL_CLASSE,MATCH($J203,EMPL_KEY,0)),"?"))</f>
        <v/>
      </c>
      <c r="Q203" s="28" t="n">
        <f aca="false">IF($B203="",0,IF(OR(ISNA(MATCH($B203,ST_ID,0)),NOT(ISNUMBER($F203)),$F203&lt;=0,$J203="",$N203=""),0,1))</f>
        <v>0</v>
      </c>
      <c r="R203" s="27" t="n">
        <f aca="false">IF($Q203=0,0,$F203)</f>
        <v>0</v>
      </c>
      <c r="S203" s="26" t="str">
        <f aca="false">IF($B203="","",IFERROR(INDEX(ST_STATUT,MATCH($B203,ST_ID,0)),""))</f>
        <v/>
      </c>
      <c r="T203" s="26" t="str">
        <f aca="false">IF($B203="","",IF($Q203=0,"DONNEES MANQUANTES",IF(OR($S203="DONNEES MANQUANTES",$S203="STOCK INSUFFISANT",$S203="EMPLACEMENT INCOHERENT",$S203="BLOQUE"),"BLOQUE","OK")))</f>
        <v/>
      </c>
      <c r="U203" s="28" t="n">
        <f aca="false">IF($T203="OK",1,0)</f>
        <v>0</v>
      </c>
      <c r="V203" s="26" t="str">
        <f aca="false">IF($B203="","",IF($Q203=0,"A COMPLETER : "&amp;IF(ISNA(MATCH($B203,ST_ID,0)),"ID ST valide; ","")&amp;IF(OR(NOT(ISNUMBER($F203)),$F203&lt;=0),"QUANTITE &gt; 0; ","")&amp;IF($J203="","EMPL. DESTINATION; ",""),IF($T203="BLOQUE","Envoi parent en anomalie ("&amp;$S203&amp;") : corriger l'onglet SOUS_TRAITANCE.",IF(AND($E203&lt;&gt;"",ISNA(MATCH($E203,LOT_KEY,0))),"Creer la fiche du lot resultat dans l'onglet LOTS.",""))))</f>
        <v/>
      </c>
      <c r="W203" s="31" t="str">
        <f aca="false">IF($B203="","",IF($C203&lt;&gt;"",$C203,IFERROR(INDEX(ST_DATERET,MATCH($B203,ST_ID,0)),"")))</f>
        <v/>
      </c>
      <c r="X203" s="26" t="str">
        <f aca="false">IF($Q203=0,"",IF($L203=R_LOT,IF($N203&lt;&gt;R_LOT,$N203,""),IF($N203=R_LOT,$L203,"")))</f>
        <v/>
      </c>
      <c r="Y203" s="26" t="str">
        <f aca="false">IF($X203="","",IF(COUNTIF($X$4:$X202,$X203)&gt;0,"",COUNT($Y$4:$Y202)+1))</f>
        <v/>
      </c>
      <c r="Z203" s="26" t="n">
        <f aca="false">IF($Q203=0,0,IF(OR($L203=R_LOT,$N203=R_LOT),1,0))</f>
        <v>0</v>
      </c>
      <c r="AA203" s="26" t="str">
        <f aca="false">IF($Z203=0,"",COUNTIF($Z$5:$Z203,1))</f>
        <v/>
      </c>
    </row>
    <row r="204" customFormat="false" ht="15" hidden="false" customHeight="false" outlineLevel="0" collapsed="false">
      <c r="A204" s="26" t="str">
        <f aca="false">IF($B204="","","RES-"&amp;TEXT(ROW()-4,"000"))</f>
        <v/>
      </c>
      <c r="B204" s="24"/>
      <c r="C204" s="25"/>
      <c r="D204" s="24"/>
      <c r="E204" s="24"/>
      <c r="F204" s="29"/>
      <c r="G204" s="24"/>
      <c r="H204" s="24"/>
      <c r="I204" s="24"/>
      <c r="J204" s="24"/>
      <c r="K204" s="24"/>
      <c r="L204" s="26" t="str">
        <f aca="false">IF($B204="","",IFERROR(INDEX(ST_LOT,MATCH($B204,ST_ID,0)),""))</f>
        <v/>
      </c>
      <c r="M204" s="26" t="str">
        <f aca="false">IF($B204="","",IFERROR(INDEX(ST_STRAIT,MATCH($B204,ST_ID,0)),""))</f>
        <v/>
      </c>
      <c r="N204" s="26" t="str">
        <f aca="false">IF($B204="","",IF($E204="",$L204,$E204))</f>
        <v/>
      </c>
      <c r="O204" s="26" t="str">
        <f aca="false">IF($N204="","",IFERROR(INDEX(LOT_EXTE,MATCH($N204,LOT_KEY,0)),""))</f>
        <v/>
      </c>
      <c r="P204" s="26" t="str">
        <f aca="false">IF($J204="","",IFERROR(INDEX(EMPL_CLASSE,MATCH($J204,EMPL_KEY,0)),"?"))</f>
        <v/>
      </c>
      <c r="Q204" s="28" t="n">
        <f aca="false">IF($B204="",0,IF(OR(ISNA(MATCH($B204,ST_ID,0)),NOT(ISNUMBER($F204)),$F204&lt;=0,$J204="",$N204=""),0,1))</f>
        <v>0</v>
      </c>
      <c r="R204" s="27" t="n">
        <f aca="false">IF($Q204=0,0,$F204)</f>
        <v>0</v>
      </c>
      <c r="S204" s="26" t="str">
        <f aca="false">IF($B204="","",IFERROR(INDEX(ST_STATUT,MATCH($B204,ST_ID,0)),""))</f>
        <v/>
      </c>
      <c r="T204" s="26" t="str">
        <f aca="false">IF($B204="","",IF($Q204=0,"DONNEES MANQUANTES",IF(OR($S204="DONNEES MANQUANTES",$S204="STOCK INSUFFISANT",$S204="EMPLACEMENT INCOHERENT",$S204="BLOQUE"),"BLOQUE","OK")))</f>
        <v/>
      </c>
      <c r="U204" s="28" t="n">
        <f aca="false">IF($T204="OK",1,0)</f>
        <v>0</v>
      </c>
      <c r="V204" s="26" t="str">
        <f aca="false">IF($B204="","",IF($Q204=0,"A COMPLETER : "&amp;IF(ISNA(MATCH($B204,ST_ID,0)),"ID ST valide; ","")&amp;IF(OR(NOT(ISNUMBER($F204)),$F204&lt;=0),"QUANTITE &gt; 0; ","")&amp;IF($J204="","EMPL. DESTINATION; ",""),IF($T204="BLOQUE","Envoi parent en anomalie ("&amp;$S204&amp;") : corriger l'onglet SOUS_TRAITANCE.",IF(AND($E204&lt;&gt;"",ISNA(MATCH($E204,LOT_KEY,0))),"Creer la fiche du lot resultat dans l'onglet LOTS.",""))))</f>
        <v/>
      </c>
      <c r="W204" s="31" t="str">
        <f aca="false">IF($B204="","",IF($C204&lt;&gt;"",$C204,IFERROR(INDEX(ST_DATERET,MATCH($B204,ST_ID,0)),"")))</f>
        <v/>
      </c>
      <c r="X204" s="26" t="str">
        <f aca="false">IF($Q204=0,"",IF($L204=R_LOT,IF($N204&lt;&gt;R_LOT,$N204,""),IF($N204=R_LOT,$L204,"")))</f>
        <v/>
      </c>
      <c r="Y204" s="26" t="str">
        <f aca="false">IF($X204="","",IF(COUNTIF($X$4:$X203,$X204)&gt;0,"",COUNT($Y$4:$Y203)+1))</f>
        <v/>
      </c>
      <c r="Z204" s="26" t="n">
        <f aca="false">IF($Q204=0,0,IF(OR($L204=R_LOT,$N204=R_LOT),1,0))</f>
        <v>0</v>
      </c>
      <c r="AA204" s="26" t="str">
        <f aca="false">IF($Z204=0,"",COUNTIF($Z$5:$Z204,1))</f>
        <v/>
      </c>
    </row>
    <row r="205" customFormat="false" ht="15" hidden="false" customHeight="false" outlineLevel="0" collapsed="false">
      <c r="A205" s="26" t="str">
        <f aca="false">IF($B205="","","RES-"&amp;TEXT(ROW()-4,"000"))</f>
        <v/>
      </c>
      <c r="B205" s="24"/>
      <c r="C205" s="25"/>
      <c r="D205" s="24"/>
      <c r="E205" s="24"/>
      <c r="F205" s="29"/>
      <c r="G205" s="24"/>
      <c r="H205" s="24"/>
      <c r="I205" s="24"/>
      <c r="J205" s="24"/>
      <c r="K205" s="24"/>
      <c r="L205" s="26" t="str">
        <f aca="false">IF($B205="","",IFERROR(INDEX(ST_LOT,MATCH($B205,ST_ID,0)),""))</f>
        <v/>
      </c>
      <c r="M205" s="26" t="str">
        <f aca="false">IF($B205="","",IFERROR(INDEX(ST_STRAIT,MATCH($B205,ST_ID,0)),""))</f>
        <v/>
      </c>
      <c r="N205" s="26" t="str">
        <f aca="false">IF($B205="","",IF($E205="",$L205,$E205))</f>
        <v/>
      </c>
      <c r="O205" s="26" t="str">
        <f aca="false">IF($N205="","",IFERROR(INDEX(LOT_EXTE,MATCH($N205,LOT_KEY,0)),""))</f>
        <v/>
      </c>
      <c r="P205" s="26" t="str">
        <f aca="false">IF($J205="","",IFERROR(INDEX(EMPL_CLASSE,MATCH($J205,EMPL_KEY,0)),"?"))</f>
        <v/>
      </c>
      <c r="Q205" s="28" t="n">
        <f aca="false">IF($B205="",0,IF(OR(ISNA(MATCH($B205,ST_ID,0)),NOT(ISNUMBER($F205)),$F205&lt;=0,$J205="",$N205=""),0,1))</f>
        <v>0</v>
      </c>
      <c r="R205" s="27" t="n">
        <f aca="false">IF($Q205=0,0,$F205)</f>
        <v>0</v>
      </c>
      <c r="S205" s="26" t="str">
        <f aca="false">IF($B205="","",IFERROR(INDEX(ST_STATUT,MATCH($B205,ST_ID,0)),""))</f>
        <v/>
      </c>
      <c r="T205" s="26" t="str">
        <f aca="false">IF($B205="","",IF($Q205=0,"DONNEES MANQUANTES",IF(OR($S205="DONNEES MANQUANTES",$S205="STOCK INSUFFISANT",$S205="EMPLACEMENT INCOHERENT",$S205="BLOQUE"),"BLOQUE","OK")))</f>
        <v/>
      </c>
      <c r="U205" s="28" t="n">
        <f aca="false">IF($T205="OK",1,0)</f>
        <v>0</v>
      </c>
      <c r="V205" s="26" t="str">
        <f aca="false">IF($B205="","",IF($Q205=0,"A COMPLETER : "&amp;IF(ISNA(MATCH($B205,ST_ID,0)),"ID ST valide; ","")&amp;IF(OR(NOT(ISNUMBER($F205)),$F205&lt;=0),"QUANTITE &gt; 0; ","")&amp;IF($J205="","EMPL. DESTINATION; ",""),IF($T205="BLOQUE","Envoi parent en anomalie ("&amp;$S205&amp;") : corriger l'onglet SOUS_TRAITANCE.",IF(AND($E205&lt;&gt;"",ISNA(MATCH($E205,LOT_KEY,0))),"Creer la fiche du lot resultat dans l'onglet LOTS.",""))))</f>
        <v/>
      </c>
      <c r="W205" s="31" t="str">
        <f aca="false">IF($B205="","",IF($C205&lt;&gt;"",$C205,IFERROR(INDEX(ST_DATERET,MATCH($B205,ST_ID,0)),"")))</f>
        <v/>
      </c>
      <c r="X205" s="26" t="str">
        <f aca="false">IF($Q205=0,"",IF($L205=R_LOT,IF($N205&lt;&gt;R_LOT,$N205,""),IF($N205=R_LOT,$L205,"")))</f>
        <v/>
      </c>
      <c r="Y205" s="26" t="str">
        <f aca="false">IF($X205="","",IF(COUNTIF($X$4:$X204,$X205)&gt;0,"",COUNT($Y$4:$Y204)+1))</f>
        <v/>
      </c>
      <c r="Z205" s="26" t="n">
        <f aca="false">IF($Q205=0,0,IF(OR($L205=R_LOT,$N205=R_LOT),1,0))</f>
        <v>0</v>
      </c>
      <c r="AA205" s="26" t="str">
        <f aca="false">IF($Z205=0,"",COUNTIF($Z$5:$Z205,1))</f>
        <v/>
      </c>
    </row>
    <row r="206" customFormat="false" ht="15" hidden="false" customHeight="false" outlineLevel="0" collapsed="false">
      <c r="A206" s="26" t="str">
        <f aca="false">IF($B206="","","RES-"&amp;TEXT(ROW()-4,"000"))</f>
        <v/>
      </c>
      <c r="B206" s="24"/>
      <c r="C206" s="25"/>
      <c r="D206" s="24"/>
      <c r="E206" s="24"/>
      <c r="F206" s="29"/>
      <c r="G206" s="24"/>
      <c r="H206" s="24"/>
      <c r="I206" s="24"/>
      <c r="J206" s="24"/>
      <c r="K206" s="24"/>
      <c r="L206" s="26" t="str">
        <f aca="false">IF($B206="","",IFERROR(INDEX(ST_LOT,MATCH($B206,ST_ID,0)),""))</f>
        <v/>
      </c>
      <c r="M206" s="26" t="str">
        <f aca="false">IF($B206="","",IFERROR(INDEX(ST_STRAIT,MATCH($B206,ST_ID,0)),""))</f>
        <v/>
      </c>
      <c r="N206" s="26" t="str">
        <f aca="false">IF($B206="","",IF($E206="",$L206,$E206))</f>
        <v/>
      </c>
      <c r="O206" s="26" t="str">
        <f aca="false">IF($N206="","",IFERROR(INDEX(LOT_EXTE,MATCH($N206,LOT_KEY,0)),""))</f>
        <v/>
      </c>
      <c r="P206" s="26" t="str">
        <f aca="false">IF($J206="","",IFERROR(INDEX(EMPL_CLASSE,MATCH($J206,EMPL_KEY,0)),"?"))</f>
        <v/>
      </c>
      <c r="Q206" s="28" t="n">
        <f aca="false">IF($B206="",0,IF(OR(ISNA(MATCH($B206,ST_ID,0)),NOT(ISNUMBER($F206)),$F206&lt;=0,$J206="",$N206=""),0,1))</f>
        <v>0</v>
      </c>
      <c r="R206" s="27" t="n">
        <f aca="false">IF($Q206=0,0,$F206)</f>
        <v>0</v>
      </c>
      <c r="S206" s="26" t="str">
        <f aca="false">IF($B206="","",IFERROR(INDEX(ST_STATUT,MATCH($B206,ST_ID,0)),""))</f>
        <v/>
      </c>
      <c r="T206" s="26" t="str">
        <f aca="false">IF($B206="","",IF($Q206=0,"DONNEES MANQUANTES",IF(OR($S206="DONNEES MANQUANTES",$S206="STOCK INSUFFISANT",$S206="EMPLACEMENT INCOHERENT",$S206="BLOQUE"),"BLOQUE","OK")))</f>
        <v/>
      </c>
      <c r="U206" s="28" t="n">
        <f aca="false">IF($T206="OK",1,0)</f>
        <v>0</v>
      </c>
      <c r="V206" s="26" t="str">
        <f aca="false">IF($B206="","",IF($Q206=0,"A COMPLETER : "&amp;IF(ISNA(MATCH($B206,ST_ID,0)),"ID ST valide; ","")&amp;IF(OR(NOT(ISNUMBER($F206)),$F206&lt;=0),"QUANTITE &gt; 0; ","")&amp;IF($J206="","EMPL. DESTINATION; ",""),IF($T206="BLOQUE","Envoi parent en anomalie ("&amp;$S206&amp;") : corriger l'onglet SOUS_TRAITANCE.",IF(AND($E206&lt;&gt;"",ISNA(MATCH($E206,LOT_KEY,0))),"Creer la fiche du lot resultat dans l'onglet LOTS.",""))))</f>
        <v/>
      </c>
      <c r="W206" s="31" t="str">
        <f aca="false">IF($B206="","",IF($C206&lt;&gt;"",$C206,IFERROR(INDEX(ST_DATERET,MATCH($B206,ST_ID,0)),"")))</f>
        <v/>
      </c>
      <c r="X206" s="26" t="str">
        <f aca="false">IF($Q206=0,"",IF($L206=R_LOT,IF($N206&lt;&gt;R_LOT,$N206,""),IF($N206=R_LOT,$L206,"")))</f>
        <v/>
      </c>
      <c r="Y206" s="26" t="str">
        <f aca="false">IF($X206="","",IF(COUNTIF($X$4:$X205,$X206)&gt;0,"",COUNT($Y$4:$Y205)+1))</f>
        <v/>
      </c>
      <c r="Z206" s="26" t="n">
        <f aca="false">IF($Q206=0,0,IF(OR($L206=R_LOT,$N206=R_LOT),1,0))</f>
        <v>0</v>
      </c>
      <c r="AA206" s="26" t="str">
        <f aca="false">IF($Z206=0,"",COUNTIF($Z$5:$Z206,1))</f>
        <v/>
      </c>
    </row>
    <row r="207" customFormat="false" ht="15" hidden="false" customHeight="false" outlineLevel="0" collapsed="false">
      <c r="A207" s="26" t="str">
        <f aca="false">IF($B207="","","RES-"&amp;TEXT(ROW()-4,"000"))</f>
        <v/>
      </c>
      <c r="B207" s="24"/>
      <c r="C207" s="25"/>
      <c r="D207" s="24"/>
      <c r="E207" s="24"/>
      <c r="F207" s="29"/>
      <c r="G207" s="24"/>
      <c r="H207" s="24"/>
      <c r="I207" s="24"/>
      <c r="J207" s="24"/>
      <c r="K207" s="24"/>
      <c r="L207" s="26" t="str">
        <f aca="false">IF($B207="","",IFERROR(INDEX(ST_LOT,MATCH($B207,ST_ID,0)),""))</f>
        <v/>
      </c>
      <c r="M207" s="26" t="str">
        <f aca="false">IF($B207="","",IFERROR(INDEX(ST_STRAIT,MATCH($B207,ST_ID,0)),""))</f>
        <v/>
      </c>
      <c r="N207" s="26" t="str">
        <f aca="false">IF($B207="","",IF($E207="",$L207,$E207))</f>
        <v/>
      </c>
      <c r="O207" s="26" t="str">
        <f aca="false">IF($N207="","",IFERROR(INDEX(LOT_EXTE,MATCH($N207,LOT_KEY,0)),""))</f>
        <v/>
      </c>
      <c r="P207" s="26" t="str">
        <f aca="false">IF($J207="","",IFERROR(INDEX(EMPL_CLASSE,MATCH($J207,EMPL_KEY,0)),"?"))</f>
        <v/>
      </c>
      <c r="Q207" s="28" t="n">
        <f aca="false">IF($B207="",0,IF(OR(ISNA(MATCH($B207,ST_ID,0)),NOT(ISNUMBER($F207)),$F207&lt;=0,$J207="",$N207=""),0,1))</f>
        <v>0</v>
      </c>
      <c r="R207" s="27" t="n">
        <f aca="false">IF($Q207=0,0,$F207)</f>
        <v>0</v>
      </c>
      <c r="S207" s="26" t="str">
        <f aca="false">IF($B207="","",IFERROR(INDEX(ST_STATUT,MATCH($B207,ST_ID,0)),""))</f>
        <v/>
      </c>
      <c r="T207" s="26" t="str">
        <f aca="false">IF($B207="","",IF($Q207=0,"DONNEES MANQUANTES",IF(OR($S207="DONNEES MANQUANTES",$S207="STOCK INSUFFISANT",$S207="EMPLACEMENT INCOHERENT",$S207="BLOQUE"),"BLOQUE","OK")))</f>
        <v/>
      </c>
      <c r="U207" s="28" t="n">
        <f aca="false">IF($T207="OK",1,0)</f>
        <v>0</v>
      </c>
      <c r="V207" s="26" t="str">
        <f aca="false">IF($B207="","",IF($Q207=0,"A COMPLETER : "&amp;IF(ISNA(MATCH($B207,ST_ID,0)),"ID ST valide; ","")&amp;IF(OR(NOT(ISNUMBER($F207)),$F207&lt;=0),"QUANTITE &gt; 0; ","")&amp;IF($J207="","EMPL. DESTINATION; ",""),IF($T207="BLOQUE","Envoi parent en anomalie ("&amp;$S207&amp;") : corriger l'onglet SOUS_TRAITANCE.",IF(AND($E207&lt;&gt;"",ISNA(MATCH($E207,LOT_KEY,0))),"Creer la fiche du lot resultat dans l'onglet LOTS.",""))))</f>
        <v/>
      </c>
      <c r="W207" s="31" t="str">
        <f aca="false">IF($B207="","",IF($C207&lt;&gt;"",$C207,IFERROR(INDEX(ST_DATERET,MATCH($B207,ST_ID,0)),"")))</f>
        <v/>
      </c>
      <c r="X207" s="26" t="str">
        <f aca="false">IF($Q207=0,"",IF($L207=R_LOT,IF($N207&lt;&gt;R_LOT,$N207,""),IF($N207=R_LOT,$L207,"")))</f>
        <v/>
      </c>
      <c r="Y207" s="26" t="str">
        <f aca="false">IF($X207="","",IF(COUNTIF($X$4:$X206,$X207)&gt;0,"",COUNT($Y$4:$Y206)+1))</f>
        <v/>
      </c>
      <c r="Z207" s="26" t="n">
        <f aca="false">IF($Q207=0,0,IF(OR($L207=R_LOT,$N207=R_LOT),1,0))</f>
        <v>0</v>
      </c>
      <c r="AA207" s="26" t="str">
        <f aca="false">IF($Z207=0,"",COUNTIF($Z$5:$Z207,1))</f>
        <v/>
      </c>
    </row>
    <row r="208" customFormat="false" ht="15" hidden="false" customHeight="false" outlineLevel="0" collapsed="false">
      <c r="A208" s="26" t="str">
        <f aca="false">IF($B208="","","RES-"&amp;TEXT(ROW()-4,"000"))</f>
        <v/>
      </c>
      <c r="B208" s="24"/>
      <c r="C208" s="25"/>
      <c r="D208" s="24"/>
      <c r="E208" s="24"/>
      <c r="F208" s="29"/>
      <c r="G208" s="24"/>
      <c r="H208" s="24"/>
      <c r="I208" s="24"/>
      <c r="J208" s="24"/>
      <c r="K208" s="24"/>
      <c r="L208" s="26" t="str">
        <f aca="false">IF($B208="","",IFERROR(INDEX(ST_LOT,MATCH($B208,ST_ID,0)),""))</f>
        <v/>
      </c>
      <c r="M208" s="26" t="str">
        <f aca="false">IF($B208="","",IFERROR(INDEX(ST_STRAIT,MATCH($B208,ST_ID,0)),""))</f>
        <v/>
      </c>
      <c r="N208" s="26" t="str">
        <f aca="false">IF($B208="","",IF($E208="",$L208,$E208))</f>
        <v/>
      </c>
      <c r="O208" s="26" t="str">
        <f aca="false">IF($N208="","",IFERROR(INDEX(LOT_EXTE,MATCH($N208,LOT_KEY,0)),""))</f>
        <v/>
      </c>
      <c r="P208" s="26" t="str">
        <f aca="false">IF($J208="","",IFERROR(INDEX(EMPL_CLASSE,MATCH($J208,EMPL_KEY,0)),"?"))</f>
        <v/>
      </c>
      <c r="Q208" s="28" t="n">
        <f aca="false">IF($B208="",0,IF(OR(ISNA(MATCH($B208,ST_ID,0)),NOT(ISNUMBER($F208)),$F208&lt;=0,$J208="",$N208=""),0,1))</f>
        <v>0</v>
      </c>
      <c r="R208" s="27" t="n">
        <f aca="false">IF($Q208=0,0,$F208)</f>
        <v>0</v>
      </c>
      <c r="S208" s="26" t="str">
        <f aca="false">IF($B208="","",IFERROR(INDEX(ST_STATUT,MATCH($B208,ST_ID,0)),""))</f>
        <v/>
      </c>
      <c r="T208" s="26" t="str">
        <f aca="false">IF($B208="","",IF($Q208=0,"DONNEES MANQUANTES",IF(OR($S208="DONNEES MANQUANTES",$S208="STOCK INSUFFISANT",$S208="EMPLACEMENT INCOHERENT",$S208="BLOQUE"),"BLOQUE","OK")))</f>
        <v/>
      </c>
      <c r="U208" s="28" t="n">
        <f aca="false">IF($T208="OK",1,0)</f>
        <v>0</v>
      </c>
      <c r="V208" s="26" t="str">
        <f aca="false">IF($B208="","",IF($Q208=0,"A COMPLETER : "&amp;IF(ISNA(MATCH($B208,ST_ID,0)),"ID ST valide; ","")&amp;IF(OR(NOT(ISNUMBER($F208)),$F208&lt;=0),"QUANTITE &gt; 0; ","")&amp;IF($J208="","EMPL. DESTINATION; ",""),IF($T208="BLOQUE","Envoi parent en anomalie ("&amp;$S208&amp;") : corriger l'onglet SOUS_TRAITANCE.",IF(AND($E208&lt;&gt;"",ISNA(MATCH($E208,LOT_KEY,0))),"Creer la fiche du lot resultat dans l'onglet LOTS.",""))))</f>
        <v/>
      </c>
      <c r="W208" s="31" t="str">
        <f aca="false">IF($B208="","",IF($C208&lt;&gt;"",$C208,IFERROR(INDEX(ST_DATERET,MATCH($B208,ST_ID,0)),"")))</f>
        <v/>
      </c>
      <c r="X208" s="26" t="str">
        <f aca="false">IF($Q208=0,"",IF($L208=R_LOT,IF($N208&lt;&gt;R_LOT,$N208,""),IF($N208=R_LOT,$L208,"")))</f>
        <v/>
      </c>
      <c r="Y208" s="26" t="str">
        <f aca="false">IF($X208="","",IF(COUNTIF($X$4:$X207,$X208)&gt;0,"",COUNT($Y$4:$Y207)+1))</f>
        <v/>
      </c>
      <c r="Z208" s="26" t="n">
        <f aca="false">IF($Q208=0,0,IF(OR($L208=R_LOT,$N208=R_LOT),1,0))</f>
        <v>0</v>
      </c>
      <c r="AA208" s="26" t="str">
        <f aca="false">IF($Z208=0,"",COUNTIF($Z$5:$Z208,1))</f>
        <v/>
      </c>
    </row>
    <row r="209" customFormat="false" ht="15" hidden="false" customHeight="false" outlineLevel="0" collapsed="false">
      <c r="A209" s="26" t="str">
        <f aca="false">IF($B209="","","RES-"&amp;TEXT(ROW()-4,"000"))</f>
        <v/>
      </c>
      <c r="B209" s="24"/>
      <c r="C209" s="25"/>
      <c r="D209" s="24"/>
      <c r="E209" s="24"/>
      <c r="F209" s="29"/>
      <c r="G209" s="24"/>
      <c r="H209" s="24"/>
      <c r="I209" s="24"/>
      <c r="J209" s="24"/>
      <c r="K209" s="24"/>
      <c r="L209" s="26" t="str">
        <f aca="false">IF($B209="","",IFERROR(INDEX(ST_LOT,MATCH($B209,ST_ID,0)),""))</f>
        <v/>
      </c>
      <c r="M209" s="26" t="str">
        <f aca="false">IF($B209="","",IFERROR(INDEX(ST_STRAIT,MATCH($B209,ST_ID,0)),""))</f>
        <v/>
      </c>
      <c r="N209" s="26" t="str">
        <f aca="false">IF($B209="","",IF($E209="",$L209,$E209))</f>
        <v/>
      </c>
      <c r="O209" s="26" t="str">
        <f aca="false">IF($N209="","",IFERROR(INDEX(LOT_EXTE,MATCH($N209,LOT_KEY,0)),""))</f>
        <v/>
      </c>
      <c r="P209" s="26" t="str">
        <f aca="false">IF($J209="","",IFERROR(INDEX(EMPL_CLASSE,MATCH($J209,EMPL_KEY,0)),"?"))</f>
        <v/>
      </c>
      <c r="Q209" s="28" t="n">
        <f aca="false">IF($B209="",0,IF(OR(ISNA(MATCH($B209,ST_ID,0)),NOT(ISNUMBER($F209)),$F209&lt;=0,$J209="",$N209=""),0,1))</f>
        <v>0</v>
      </c>
      <c r="R209" s="27" t="n">
        <f aca="false">IF($Q209=0,0,$F209)</f>
        <v>0</v>
      </c>
      <c r="S209" s="26" t="str">
        <f aca="false">IF($B209="","",IFERROR(INDEX(ST_STATUT,MATCH($B209,ST_ID,0)),""))</f>
        <v/>
      </c>
      <c r="T209" s="26" t="str">
        <f aca="false">IF($B209="","",IF($Q209=0,"DONNEES MANQUANTES",IF(OR($S209="DONNEES MANQUANTES",$S209="STOCK INSUFFISANT",$S209="EMPLACEMENT INCOHERENT",$S209="BLOQUE"),"BLOQUE","OK")))</f>
        <v/>
      </c>
      <c r="U209" s="28" t="n">
        <f aca="false">IF($T209="OK",1,0)</f>
        <v>0</v>
      </c>
      <c r="V209" s="26" t="str">
        <f aca="false">IF($B209="","",IF($Q209=0,"A COMPLETER : "&amp;IF(ISNA(MATCH($B209,ST_ID,0)),"ID ST valide; ","")&amp;IF(OR(NOT(ISNUMBER($F209)),$F209&lt;=0),"QUANTITE &gt; 0; ","")&amp;IF($J209="","EMPL. DESTINATION; ",""),IF($T209="BLOQUE","Envoi parent en anomalie ("&amp;$S209&amp;") : corriger l'onglet SOUS_TRAITANCE.",IF(AND($E209&lt;&gt;"",ISNA(MATCH($E209,LOT_KEY,0))),"Creer la fiche du lot resultat dans l'onglet LOTS.",""))))</f>
        <v/>
      </c>
      <c r="W209" s="31" t="str">
        <f aca="false">IF($B209="","",IF($C209&lt;&gt;"",$C209,IFERROR(INDEX(ST_DATERET,MATCH($B209,ST_ID,0)),"")))</f>
        <v/>
      </c>
      <c r="X209" s="26" t="str">
        <f aca="false">IF($Q209=0,"",IF($L209=R_LOT,IF($N209&lt;&gt;R_LOT,$N209,""),IF($N209=R_LOT,$L209,"")))</f>
        <v/>
      </c>
      <c r="Y209" s="26" t="str">
        <f aca="false">IF($X209="","",IF(COUNTIF($X$4:$X208,$X209)&gt;0,"",COUNT($Y$4:$Y208)+1))</f>
        <v/>
      </c>
      <c r="Z209" s="26" t="n">
        <f aca="false">IF($Q209=0,0,IF(OR($L209=R_LOT,$N209=R_LOT),1,0))</f>
        <v>0</v>
      </c>
      <c r="AA209" s="26" t="str">
        <f aca="false">IF($Z209=0,"",COUNTIF($Z$5:$Z209,1))</f>
        <v/>
      </c>
    </row>
    <row r="210" customFormat="false" ht="15" hidden="false" customHeight="false" outlineLevel="0" collapsed="false">
      <c r="A210" s="26" t="str">
        <f aca="false">IF($B210="","","RES-"&amp;TEXT(ROW()-4,"000"))</f>
        <v/>
      </c>
      <c r="B210" s="24"/>
      <c r="C210" s="25"/>
      <c r="D210" s="24"/>
      <c r="E210" s="24"/>
      <c r="F210" s="29"/>
      <c r="G210" s="24"/>
      <c r="H210" s="24"/>
      <c r="I210" s="24"/>
      <c r="J210" s="24"/>
      <c r="K210" s="24"/>
      <c r="L210" s="26" t="str">
        <f aca="false">IF($B210="","",IFERROR(INDEX(ST_LOT,MATCH($B210,ST_ID,0)),""))</f>
        <v/>
      </c>
      <c r="M210" s="26" t="str">
        <f aca="false">IF($B210="","",IFERROR(INDEX(ST_STRAIT,MATCH($B210,ST_ID,0)),""))</f>
        <v/>
      </c>
      <c r="N210" s="26" t="str">
        <f aca="false">IF($B210="","",IF($E210="",$L210,$E210))</f>
        <v/>
      </c>
      <c r="O210" s="26" t="str">
        <f aca="false">IF($N210="","",IFERROR(INDEX(LOT_EXTE,MATCH($N210,LOT_KEY,0)),""))</f>
        <v/>
      </c>
      <c r="P210" s="26" t="str">
        <f aca="false">IF($J210="","",IFERROR(INDEX(EMPL_CLASSE,MATCH($J210,EMPL_KEY,0)),"?"))</f>
        <v/>
      </c>
      <c r="Q210" s="28" t="n">
        <f aca="false">IF($B210="",0,IF(OR(ISNA(MATCH($B210,ST_ID,0)),NOT(ISNUMBER($F210)),$F210&lt;=0,$J210="",$N210=""),0,1))</f>
        <v>0</v>
      </c>
      <c r="R210" s="27" t="n">
        <f aca="false">IF($Q210=0,0,$F210)</f>
        <v>0</v>
      </c>
      <c r="S210" s="26" t="str">
        <f aca="false">IF($B210="","",IFERROR(INDEX(ST_STATUT,MATCH($B210,ST_ID,0)),""))</f>
        <v/>
      </c>
      <c r="T210" s="26" t="str">
        <f aca="false">IF($B210="","",IF($Q210=0,"DONNEES MANQUANTES",IF(OR($S210="DONNEES MANQUANTES",$S210="STOCK INSUFFISANT",$S210="EMPLACEMENT INCOHERENT",$S210="BLOQUE"),"BLOQUE","OK")))</f>
        <v/>
      </c>
      <c r="U210" s="28" t="n">
        <f aca="false">IF($T210="OK",1,0)</f>
        <v>0</v>
      </c>
      <c r="V210" s="26" t="str">
        <f aca="false">IF($B210="","",IF($Q210=0,"A COMPLETER : "&amp;IF(ISNA(MATCH($B210,ST_ID,0)),"ID ST valide; ","")&amp;IF(OR(NOT(ISNUMBER($F210)),$F210&lt;=0),"QUANTITE &gt; 0; ","")&amp;IF($J210="","EMPL. DESTINATION; ",""),IF($T210="BLOQUE","Envoi parent en anomalie ("&amp;$S210&amp;") : corriger l'onglet SOUS_TRAITANCE.",IF(AND($E210&lt;&gt;"",ISNA(MATCH($E210,LOT_KEY,0))),"Creer la fiche du lot resultat dans l'onglet LOTS.",""))))</f>
        <v/>
      </c>
      <c r="W210" s="31" t="str">
        <f aca="false">IF($B210="","",IF($C210&lt;&gt;"",$C210,IFERROR(INDEX(ST_DATERET,MATCH($B210,ST_ID,0)),"")))</f>
        <v/>
      </c>
      <c r="X210" s="26" t="str">
        <f aca="false">IF($Q210=0,"",IF($L210=R_LOT,IF($N210&lt;&gt;R_LOT,$N210,""),IF($N210=R_LOT,$L210,"")))</f>
        <v/>
      </c>
      <c r="Y210" s="26" t="str">
        <f aca="false">IF($X210="","",IF(COUNTIF($X$4:$X209,$X210)&gt;0,"",COUNT($Y$4:$Y209)+1))</f>
        <v/>
      </c>
      <c r="Z210" s="26" t="n">
        <f aca="false">IF($Q210=0,0,IF(OR($L210=R_LOT,$N210=R_LOT),1,0))</f>
        <v>0</v>
      </c>
      <c r="AA210" s="26" t="str">
        <f aca="false">IF($Z210=0,"",COUNTIF($Z$5:$Z210,1))</f>
        <v/>
      </c>
    </row>
    <row r="211" customFormat="false" ht="15" hidden="false" customHeight="false" outlineLevel="0" collapsed="false">
      <c r="A211" s="26" t="str">
        <f aca="false">IF($B211="","","RES-"&amp;TEXT(ROW()-4,"000"))</f>
        <v/>
      </c>
      <c r="B211" s="24"/>
      <c r="C211" s="25"/>
      <c r="D211" s="24"/>
      <c r="E211" s="24"/>
      <c r="F211" s="29"/>
      <c r="G211" s="24"/>
      <c r="H211" s="24"/>
      <c r="I211" s="24"/>
      <c r="J211" s="24"/>
      <c r="K211" s="24"/>
      <c r="L211" s="26" t="str">
        <f aca="false">IF($B211="","",IFERROR(INDEX(ST_LOT,MATCH($B211,ST_ID,0)),""))</f>
        <v/>
      </c>
      <c r="M211" s="26" t="str">
        <f aca="false">IF($B211="","",IFERROR(INDEX(ST_STRAIT,MATCH($B211,ST_ID,0)),""))</f>
        <v/>
      </c>
      <c r="N211" s="26" t="str">
        <f aca="false">IF($B211="","",IF($E211="",$L211,$E211))</f>
        <v/>
      </c>
      <c r="O211" s="26" t="str">
        <f aca="false">IF($N211="","",IFERROR(INDEX(LOT_EXTE,MATCH($N211,LOT_KEY,0)),""))</f>
        <v/>
      </c>
      <c r="P211" s="26" t="str">
        <f aca="false">IF($J211="","",IFERROR(INDEX(EMPL_CLASSE,MATCH($J211,EMPL_KEY,0)),"?"))</f>
        <v/>
      </c>
      <c r="Q211" s="28" t="n">
        <f aca="false">IF($B211="",0,IF(OR(ISNA(MATCH($B211,ST_ID,0)),NOT(ISNUMBER($F211)),$F211&lt;=0,$J211="",$N211=""),0,1))</f>
        <v>0</v>
      </c>
      <c r="R211" s="27" t="n">
        <f aca="false">IF($Q211=0,0,$F211)</f>
        <v>0</v>
      </c>
      <c r="S211" s="26" t="str">
        <f aca="false">IF($B211="","",IFERROR(INDEX(ST_STATUT,MATCH($B211,ST_ID,0)),""))</f>
        <v/>
      </c>
      <c r="T211" s="26" t="str">
        <f aca="false">IF($B211="","",IF($Q211=0,"DONNEES MANQUANTES",IF(OR($S211="DONNEES MANQUANTES",$S211="STOCK INSUFFISANT",$S211="EMPLACEMENT INCOHERENT",$S211="BLOQUE"),"BLOQUE","OK")))</f>
        <v/>
      </c>
      <c r="U211" s="28" t="n">
        <f aca="false">IF($T211="OK",1,0)</f>
        <v>0</v>
      </c>
      <c r="V211" s="26" t="str">
        <f aca="false">IF($B211="","",IF($Q211=0,"A COMPLETER : "&amp;IF(ISNA(MATCH($B211,ST_ID,0)),"ID ST valide; ","")&amp;IF(OR(NOT(ISNUMBER($F211)),$F211&lt;=0),"QUANTITE &gt; 0; ","")&amp;IF($J211="","EMPL. DESTINATION; ",""),IF($T211="BLOQUE","Envoi parent en anomalie ("&amp;$S211&amp;") : corriger l'onglet SOUS_TRAITANCE.",IF(AND($E211&lt;&gt;"",ISNA(MATCH($E211,LOT_KEY,0))),"Creer la fiche du lot resultat dans l'onglet LOTS.",""))))</f>
        <v/>
      </c>
      <c r="W211" s="31" t="str">
        <f aca="false">IF($B211="","",IF($C211&lt;&gt;"",$C211,IFERROR(INDEX(ST_DATERET,MATCH($B211,ST_ID,0)),"")))</f>
        <v/>
      </c>
      <c r="X211" s="26" t="str">
        <f aca="false">IF($Q211=0,"",IF($L211=R_LOT,IF($N211&lt;&gt;R_LOT,$N211,""),IF($N211=R_LOT,$L211,"")))</f>
        <v/>
      </c>
      <c r="Y211" s="26" t="str">
        <f aca="false">IF($X211="","",IF(COUNTIF($X$4:$X210,$X211)&gt;0,"",COUNT($Y$4:$Y210)+1))</f>
        <v/>
      </c>
      <c r="Z211" s="26" t="n">
        <f aca="false">IF($Q211=0,0,IF(OR($L211=R_LOT,$N211=R_LOT),1,0))</f>
        <v>0</v>
      </c>
      <c r="AA211" s="26" t="str">
        <f aca="false">IF($Z211=0,"",COUNTIF($Z$5:$Z211,1))</f>
        <v/>
      </c>
    </row>
    <row r="212" customFormat="false" ht="15" hidden="false" customHeight="false" outlineLevel="0" collapsed="false">
      <c r="A212" s="26" t="str">
        <f aca="false">IF($B212="","","RES-"&amp;TEXT(ROW()-4,"000"))</f>
        <v/>
      </c>
      <c r="B212" s="24"/>
      <c r="C212" s="25"/>
      <c r="D212" s="24"/>
      <c r="E212" s="24"/>
      <c r="F212" s="29"/>
      <c r="G212" s="24"/>
      <c r="H212" s="24"/>
      <c r="I212" s="24"/>
      <c r="J212" s="24"/>
      <c r="K212" s="24"/>
      <c r="L212" s="26" t="str">
        <f aca="false">IF($B212="","",IFERROR(INDEX(ST_LOT,MATCH($B212,ST_ID,0)),""))</f>
        <v/>
      </c>
      <c r="M212" s="26" t="str">
        <f aca="false">IF($B212="","",IFERROR(INDEX(ST_STRAIT,MATCH($B212,ST_ID,0)),""))</f>
        <v/>
      </c>
      <c r="N212" s="26" t="str">
        <f aca="false">IF($B212="","",IF($E212="",$L212,$E212))</f>
        <v/>
      </c>
      <c r="O212" s="26" t="str">
        <f aca="false">IF($N212="","",IFERROR(INDEX(LOT_EXTE,MATCH($N212,LOT_KEY,0)),""))</f>
        <v/>
      </c>
      <c r="P212" s="26" t="str">
        <f aca="false">IF($J212="","",IFERROR(INDEX(EMPL_CLASSE,MATCH($J212,EMPL_KEY,0)),"?"))</f>
        <v/>
      </c>
      <c r="Q212" s="28" t="n">
        <f aca="false">IF($B212="",0,IF(OR(ISNA(MATCH($B212,ST_ID,0)),NOT(ISNUMBER($F212)),$F212&lt;=0,$J212="",$N212=""),0,1))</f>
        <v>0</v>
      </c>
      <c r="R212" s="27" t="n">
        <f aca="false">IF($Q212=0,0,$F212)</f>
        <v>0</v>
      </c>
      <c r="S212" s="26" t="str">
        <f aca="false">IF($B212="","",IFERROR(INDEX(ST_STATUT,MATCH($B212,ST_ID,0)),""))</f>
        <v/>
      </c>
      <c r="T212" s="26" t="str">
        <f aca="false">IF($B212="","",IF($Q212=0,"DONNEES MANQUANTES",IF(OR($S212="DONNEES MANQUANTES",$S212="STOCK INSUFFISANT",$S212="EMPLACEMENT INCOHERENT",$S212="BLOQUE"),"BLOQUE","OK")))</f>
        <v/>
      </c>
      <c r="U212" s="28" t="n">
        <f aca="false">IF($T212="OK",1,0)</f>
        <v>0</v>
      </c>
      <c r="V212" s="26" t="str">
        <f aca="false">IF($B212="","",IF($Q212=0,"A COMPLETER : "&amp;IF(ISNA(MATCH($B212,ST_ID,0)),"ID ST valide; ","")&amp;IF(OR(NOT(ISNUMBER($F212)),$F212&lt;=0),"QUANTITE &gt; 0; ","")&amp;IF($J212="","EMPL. DESTINATION; ",""),IF($T212="BLOQUE","Envoi parent en anomalie ("&amp;$S212&amp;") : corriger l'onglet SOUS_TRAITANCE.",IF(AND($E212&lt;&gt;"",ISNA(MATCH($E212,LOT_KEY,0))),"Creer la fiche du lot resultat dans l'onglet LOTS.",""))))</f>
        <v/>
      </c>
      <c r="W212" s="31" t="str">
        <f aca="false">IF($B212="","",IF($C212&lt;&gt;"",$C212,IFERROR(INDEX(ST_DATERET,MATCH($B212,ST_ID,0)),"")))</f>
        <v/>
      </c>
      <c r="X212" s="26" t="str">
        <f aca="false">IF($Q212=0,"",IF($L212=R_LOT,IF($N212&lt;&gt;R_LOT,$N212,""),IF($N212=R_LOT,$L212,"")))</f>
        <v/>
      </c>
      <c r="Y212" s="26" t="str">
        <f aca="false">IF($X212="","",IF(COUNTIF($X$4:$X211,$X212)&gt;0,"",COUNT($Y$4:$Y211)+1))</f>
        <v/>
      </c>
      <c r="Z212" s="26" t="n">
        <f aca="false">IF($Q212=0,0,IF(OR($L212=R_LOT,$N212=R_LOT),1,0))</f>
        <v>0</v>
      </c>
      <c r="AA212" s="26" t="str">
        <f aca="false">IF($Z212=0,"",COUNTIF($Z$5:$Z212,1))</f>
        <v/>
      </c>
    </row>
    <row r="213" customFormat="false" ht="15" hidden="false" customHeight="false" outlineLevel="0" collapsed="false">
      <c r="A213" s="26" t="str">
        <f aca="false">IF($B213="","","RES-"&amp;TEXT(ROW()-4,"000"))</f>
        <v/>
      </c>
      <c r="B213" s="24"/>
      <c r="C213" s="25"/>
      <c r="D213" s="24"/>
      <c r="E213" s="24"/>
      <c r="F213" s="29"/>
      <c r="G213" s="24"/>
      <c r="H213" s="24"/>
      <c r="I213" s="24"/>
      <c r="J213" s="24"/>
      <c r="K213" s="24"/>
      <c r="L213" s="26" t="str">
        <f aca="false">IF($B213="","",IFERROR(INDEX(ST_LOT,MATCH($B213,ST_ID,0)),""))</f>
        <v/>
      </c>
      <c r="M213" s="26" t="str">
        <f aca="false">IF($B213="","",IFERROR(INDEX(ST_STRAIT,MATCH($B213,ST_ID,0)),""))</f>
        <v/>
      </c>
      <c r="N213" s="26" t="str">
        <f aca="false">IF($B213="","",IF($E213="",$L213,$E213))</f>
        <v/>
      </c>
      <c r="O213" s="26" t="str">
        <f aca="false">IF($N213="","",IFERROR(INDEX(LOT_EXTE,MATCH($N213,LOT_KEY,0)),""))</f>
        <v/>
      </c>
      <c r="P213" s="26" t="str">
        <f aca="false">IF($J213="","",IFERROR(INDEX(EMPL_CLASSE,MATCH($J213,EMPL_KEY,0)),"?"))</f>
        <v/>
      </c>
      <c r="Q213" s="28" t="n">
        <f aca="false">IF($B213="",0,IF(OR(ISNA(MATCH($B213,ST_ID,0)),NOT(ISNUMBER($F213)),$F213&lt;=0,$J213="",$N213=""),0,1))</f>
        <v>0</v>
      </c>
      <c r="R213" s="27" t="n">
        <f aca="false">IF($Q213=0,0,$F213)</f>
        <v>0</v>
      </c>
      <c r="S213" s="26" t="str">
        <f aca="false">IF($B213="","",IFERROR(INDEX(ST_STATUT,MATCH($B213,ST_ID,0)),""))</f>
        <v/>
      </c>
      <c r="T213" s="26" t="str">
        <f aca="false">IF($B213="","",IF($Q213=0,"DONNEES MANQUANTES",IF(OR($S213="DONNEES MANQUANTES",$S213="STOCK INSUFFISANT",$S213="EMPLACEMENT INCOHERENT",$S213="BLOQUE"),"BLOQUE","OK")))</f>
        <v/>
      </c>
      <c r="U213" s="28" t="n">
        <f aca="false">IF($T213="OK",1,0)</f>
        <v>0</v>
      </c>
      <c r="V213" s="26" t="str">
        <f aca="false">IF($B213="","",IF($Q213=0,"A COMPLETER : "&amp;IF(ISNA(MATCH($B213,ST_ID,0)),"ID ST valide; ","")&amp;IF(OR(NOT(ISNUMBER($F213)),$F213&lt;=0),"QUANTITE &gt; 0; ","")&amp;IF($J213="","EMPL. DESTINATION; ",""),IF($T213="BLOQUE","Envoi parent en anomalie ("&amp;$S213&amp;") : corriger l'onglet SOUS_TRAITANCE.",IF(AND($E213&lt;&gt;"",ISNA(MATCH($E213,LOT_KEY,0))),"Creer la fiche du lot resultat dans l'onglet LOTS.",""))))</f>
        <v/>
      </c>
      <c r="W213" s="31" t="str">
        <f aca="false">IF($B213="","",IF($C213&lt;&gt;"",$C213,IFERROR(INDEX(ST_DATERET,MATCH($B213,ST_ID,0)),"")))</f>
        <v/>
      </c>
      <c r="X213" s="26" t="str">
        <f aca="false">IF($Q213=0,"",IF($L213=R_LOT,IF($N213&lt;&gt;R_LOT,$N213,""),IF($N213=R_LOT,$L213,"")))</f>
        <v/>
      </c>
      <c r="Y213" s="26" t="str">
        <f aca="false">IF($X213="","",IF(COUNTIF($X$4:$X212,$X213)&gt;0,"",COUNT($Y$4:$Y212)+1))</f>
        <v/>
      </c>
      <c r="Z213" s="26" t="n">
        <f aca="false">IF($Q213=0,0,IF(OR($L213=R_LOT,$N213=R_LOT),1,0))</f>
        <v>0</v>
      </c>
      <c r="AA213" s="26" t="str">
        <f aca="false">IF($Z213=0,"",COUNTIF($Z$5:$Z213,1))</f>
        <v/>
      </c>
    </row>
    <row r="214" customFormat="false" ht="15" hidden="false" customHeight="false" outlineLevel="0" collapsed="false">
      <c r="A214" s="26" t="str">
        <f aca="false">IF($B214="","","RES-"&amp;TEXT(ROW()-4,"000"))</f>
        <v/>
      </c>
      <c r="B214" s="24"/>
      <c r="C214" s="25"/>
      <c r="D214" s="24"/>
      <c r="E214" s="24"/>
      <c r="F214" s="29"/>
      <c r="G214" s="24"/>
      <c r="H214" s="24"/>
      <c r="I214" s="24"/>
      <c r="J214" s="24"/>
      <c r="K214" s="24"/>
      <c r="L214" s="26" t="str">
        <f aca="false">IF($B214="","",IFERROR(INDEX(ST_LOT,MATCH($B214,ST_ID,0)),""))</f>
        <v/>
      </c>
      <c r="M214" s="26" t="str">
        <f aca="false">IF($B214="","",IFERROR(INDEX(ST_STRAIT,MATCH($B214,ST_ID,0)),""))</f>
        <v/>
      </c>
      <c r="N214" s="26" t="str">
        <f aca="false">IF($B214="","",IF($E214="",$L214,$E214))</f>
        <v/>
      </c>
      <c r="O214" s="26" t="str">
        <f aca="false">IF($N214="","",IFERROR(INDEX(LOT_EXTE,MATCH($N214,LOT_KEY,0)),""))</f>
        <v/>
      </c>
      <c r="P214" s="26" t="str">
        <f aca="false">IF($J214="","",IFERROR(INDEX(EMPL_CLASSE,MATCH($J214,EMPL_KEY,0)),"?"))</f>
        <v/>
      </c>
      <c r="Q214" s="28" t="n">
        <f aca="false">IF($B214="",0,IF(OR(ISNA(MATCH($B214,ST_ID,0)),NOT(ISNUMBER($F214)),$F214&lt;=0,$J214="",$N214=""),0,1))</f>
        <v>0</v>
      </c>
      <c r="R214" s="27" t="n">
        <f aca="false">IF($Q214=0,0,$F214)</f>
        <v>0</v>
      </c>
      <c r="S214" s="26" t="str">
        <f aca="false">IF($B214="","",IFERROR(INDEX(ST_STATUT,MATCH($B214,ST_ID,0)),""))</f>
        <v/>
      </c>
      <c r="T214" s="26" t="str">
        <f aca="false">IF($B214="","",IF($Q214=0,"DONNEES MANQUANTES",IF(OR($S214="DONNEES MANQUANTES",$S214="STOCK INSUFFISANT",$S214="EMPLACEMENT INCOHERENT",$S214="BLOQUE"),"BLOQUE","OK")))</f>
        <v/>
      </c>
      <c r="U214" s="28" t="n">
        <f aca="false">IF($T214="OK",1,0)</f>
        <v>0</v>
      </c>
      <c r="V214" s="26" t="str">
        <f aca="false">IF($B214="","",IF($Q214=0,"A COMPLETER : "&amp;IF(ISNA(MATCH($B214,ST_ID,0)),"ID ST valide; ","")&amp;IF(OR(NOT(ISNUMBER($F214)),$F214&lt;=0),"QUANTITE &gt; 0; ","")&amp;IF($J214="","EMPL. DESTINATION; ",""),IF($T214="BLOQUE","Envoi parent en anomalie ("&amp;$S214&amp;") : corriger l'onglet SOUS_TRAITANCE.",IF(AND($E214&lt;&gt;"",ISNA(MATCH($E214,LOT_KEY,0))),"Creer la fiche du lot resultat dans l'onglet LOTS.",""))))</f>
        <v/>
      </c>
      <c r="W214" s="31" t="str">
        <f aca="false">IF($B214="","",IF($C214&lt;&gt;"",$C214,IFERROR(INDEX(ST_DATERET,MATCH($B214,ST_ID,0)),"")))</f>
        <v/>
      </c>
      <c r="X214" s="26" t="str">
        <f aca="false">IF($Q214=0,"",IF($L214=R_LOT,IF($N214&lt;&gt;R_LOT,$N214,""),IF($N214=R_LOT,$L214,"")))</f>
        <v/>
      </c>
      <c r="Y214" s="26" t="str">
        <f aca="false">IF($X214="","",IF(COUNTIF($X$4:$X213,$X214)&gt;0,"",COUNT($Y$4:$Y213)+1))</f>
        <v/>
      </c>
      <c r="Z214" s="26" t="n">
        <f aca="false">IF($Q214=0,0,IF(OR($L214=R_LOT,$N214=R_LOT),1,0))</f>
        <v>0</v>
      </c>
      <c r="AA214" s="26" t="str">
        <f aca="false">IF($Z214=0,"",COUNTIF($Z$5:$Z214,1))</f>
        <v/>
      </c>
    </row>
    <row r="215" customFormat="false" ht="15" hidden="false" customHeight="false" outlineLevel="0" collapsed="false">
      <c r="A215" s="26" t="str">
        <f aca="false">IF($B215="","","RES-"&amp;TEXT(ROW()-4,"000"))</f>
        <v/>
      </c>
      <c r="B215" s="24"/>
      <c r="C215" s="25"/>
      <c r="D215" s="24"/>
      <c r="E215" s="24"/>
      <c r="F215" s="29"/>
      <c r="G215" s="24"/>
      <c r="H215" s="24"/>
      <c r="I215" s="24"/>
      <c r="J215" s="24"/>
      <c r="K215" s="24"/>
      <c r="L215" s="26" t="str">
        <f aca="false">IF($B215="","",IFERROR(INDEX(ST_LOT,MATCH($B215,ST_ID,0)),""))</f>
        <v/>
      </c>
      <c r="M215" s="26" t="str">
        <f aca="false">IF($B215="","",IFERROR(INDEX(ST_STRAIT,MATCH($B215,ST_ID,0)),""))</f>
        <v/>
      </c>
      <c r="N215" s="26" t="str">
        <f aca="false">IF($B215="","",IF($E215="",$L215,$E215))</f>
        <v/>
      </c>
      <c r="O215" s="26" t="str">
        <f aca="false">IF($N215="","",IFERROR(INDEX(LOT_EXTE,MATCH($N215,LOT_KEY,0)),""))</f>
        <v/>
      </c>
      <c r="P215" s="26" t="str">
        <f aca="false">IF($J215="","",IFERROR(INDEX(EMPL_CLASSE,MATCH($J215,EMPL_KEY,0)),"?"))</f>
        <v/>
      </c>
      <c r="Q215" s="28" t="n">
        <f aca="false">IF($B215="",0,IF(OR(ISNA(MATCH($B215,ST_ID,0)),NOT(ISNUMBER($F215)),$F215&lt;=0,$J215="",$N215=""),0,1))</f>
        <v>0</v>
      </c>
      <c r="R215" s="27" t="n">
        <f aca="false">IF($Q215=0,0,$F215)</f>
        <v>0</v>
      </c>
      <c r="S215" s="26" t="str">
        <f aca="false">IF($B215="","",IFERROR(INDEX(ST_STATUT,MATCH($B215,ST_ID,0)),""))</f>
        <v/>
      </c>
      <c r="T215" s="26" t="str">
        <f aca="false">IF($B215="","",IF($Q215=0,"DONNEES MANQUANTES",IF(OR($S215="DONNEES MANQUANTES",$S215="STOCK INSUFFISANT",$S215="EMPLACEMENT INCOHERENT",$S215="BLOQUE"),"BLOQUE","OK")))</f>
        <v/>
      </c>
      <c r="U215" s="28" t="n">
        <f aca="false">IF($T215="OK",1,0)</f>
        <v>0</v>
      </c>
      <c r="V215" s="26" t="str">
        <f aca="false">IF($B215="","",IF($Q215=0,"A COMPLETER : "&amp;IF(ISNA(MATCH($B215,ST_ID,0)),"ID ST valide; ","")&amp;IF(OR(NOT(ISNUMBER($F215)),$F215&lt;=0),"QUANTITE &gt; 0; ","")&amp;IF($J215="","EMPL. DESTINATION; ",""),IF($T215="BLOQUE","Envoi parent en anomalie ("&amp;$S215&amp;") : corriger l'onglet SOUS_TRAITANCE.",IF(AND($E215&lt;&gt;"",ISNA(MATCH($E215,LOT_KEY,0))),"Creer la fiche du lot resultat dans l'onglet LOTS.",""))))</f>
        <v/>
      </c>
      <c r="W215" s="31" t="str">
        <f aca="false">IF($B215="","",IF($C215&lt;&gt;"",$C215,IFERROR(INDEX(ST_DATERET,MATCH($B215,ST_ID,0)),"")))</f>
        <v/>
      </c>
      <c r="X215" s="26" t="str">
        <f aca="false">IF($Q215=0,"",IF($L215=R_LOT,IF($N215&lt;&gt;R_LOT,$N215,""),IF($N215=R_LOT,$L215,"")))</f>
        <v/>
      </c>
      <c r="Y215" s="26" t="str">
        <f aca="false">IF($X215="","",IF(COUNTIF($X$4:$X214,$X215)&gt;0,"",COUNT($Y$4:$Y214)+1))</f>
        <v/>
      </c>
      <c r="Z215" s="26" t="n">
        <f aca="false">IF($Q215=0,0,IF(OR($L215=R_LOT,$N215=R_LOT),1,0))</f>
        <v>0</v>
      </c>
      <c r="AA215" s="26" t="str">
        <f aca="false">IF($Z215=0,"",COUNTIF($Z$5:$Z215,1))</f>
        <v/>
      </c>
    </row>
    <row r="216" customFormat="false" ht="15" hidden="false" customHeight="false" outlineLevel="0" collapsed="false">
      <c r="A216" s="26" t="str">
        <f aca="false">IF($B216="","","RES-"&amp;TEXT(ROW()-4,"000"))</f>
        <v/>
      </c>
      <c r="B216" s="24"/>
      <c r="C216" s="25"/>
      <c r="D216" s="24"/>
      <c r="E216" s="24"/>
      <c r="F216" s="29"/>
      <c r="G216" s="24"/>
      <c r="H216" s="24"/>
      <c r="I216" s="24"/>
      <c r="J216" s="24"/>
      <c r="K216" s="24"/>
      <c r="L216" s="26" t="str">
        <f aca="false">IF($B216="","",IFERROR(INDEX(ST_LOT,MATCH($B216,ST_ID,0)),""))</f>
        <v/>
      </c>
      <c r="M216" s="26" t="str">
        <f aca="false">IF($B216="","",IFERROR(INDEX(ST_STRAIT,MATCH($B216,ST_ID,0)),""))</f>
        <v/>
      </c>
      <c r="N216" s="26" t="str">
        <f aca="false">IF($B216="","",IF($E216="",$L216,$E216))</f>
        <v/>
      </c>
      <c r="O216" s="26" t="str">
        <f aca="false">IF($N216="","",IFERROR(INDEX(LOT_EXTE,MATCH($N216,LOT_KEY,0)),""))</f>
        <v/>
      </c>
      <c r="P216" s="26" t="str">
        <f aca="false">IF($J216="","",IFERROR(INDEX(EMPL_CLASSE,MATCH($J216,EMPL_KEY,0)),"?"))</f>
        <v/>
      </c>
      <c r="Q216" s="28" t="n">
        <f aca="false">IF($B216="",0,IF(OR(ISNA(MATCH($B216,ST_ID,0)),NOT(ISNUMBER($F216)),$F216&lt;=0,$J216="",$N216=""),0,1))</f>
        <v>0</v>
      </c>
      <c r="R216" s="27" t="n">
        <f aca="false">IF($Q216=0,0,$F216)</f>
        <v>0</v>
      </c>
      <c r="S216" s="26" t="str">
        <f aca="false">IF($B216="","",IFERROR(INDEX(ST_STATUT,MATCH($B216,ST_ID,0)),""))</f>
        <v/>
      </c>
      <c r="T216" s="26" t="str">
        <f aca="false">IF($B216="","",IF($Q216=0,"DONNEES MANQUANTES",IF(OR($S216="DONNEES MANQUANTES",$S216="STOCK INSUFFISANT",$S216="EMPLACEMENT INCOHERENT",$S216="BLOQUE"),"BLOQUE","OK")))</f>
        <v/>
      </c>
      <c r="U216" s="28" t="n">
        <f aca="false">IF($T216="OK",1,0)</f>
        <v>0</v>
      </c>
      <c r="V216" s="26" t="str">
        <f aca="false">IF($B216="","",IF($Q216=0,"A COMPLETER : "&amp;IF(ISNA(MATCH($B216,ST_ID,0)),"ID ST valide; ","")&amp;IF(OR(NOT(ISNUMBER($F216)),$F216&lt;=0),"QUANTITE &gt; 0; ","")&amp;IF($J216="","EMPL. DESTINATION; ",""),IF($T216="BLOQUE","Envoi parent en anomalie ("&amp;$S216&amp;") : corriger l'onglet SOUS_TRAITANCE.",IF(AND($E216&lt;&gt;"",ISNA(MATCH($E216,LOT_KEY,0))),"Creer la fiche du lot resultat dans l'onglet LOTS.",""))))</f>
        <v/>
      </c>
      <c r="W216" s="31" t="str">
        <f aca="false">IF($B216="","",IF($C216&lt;&gt;"",$C216,IFERROR(INDEX(ST_DATERET,MATCH($B216,ST_ID,0)),"")))</f>
        <v/>
      </c>
      <c r="X216" s="26" t="str">
        <f aca="false">IF($Q216=0,"",IF($L216=R_LOT,IF($N216&lt;&gt;R_LOT,$N216,""),IF($N216=R_LOT,$L216,"")))</f>
        <v/>
      </c>
      <c r="Y216" s="26" t="str">
        <f aca="false">IF($X216="","",IF(COUNTIF($X$4:$X215,$X216)&gt;0,"",COUNT($Y$4:$Y215)+1))</f>
        <v/>
      </c>
      <c r="Z216" s="26" t="n">
        <f aca="false">IF($Q216=0,0,IF(OR($L216=R_LOT,$N216=R_LOT),1,0))</f>
        <v>0</v>
      </c>
      <c r="AA216" s="26" t="str">
        <f aca="false">IF($Z216=0,"",COUNTIF($Z$5:$Z216,1))</f>
        <v/>
      </c>
    </row>
    <row r="217" customFormat="false" ht="15" hidden="false" customHeight="false" outlineLevel="0" collapsed="false">
      <c r="A217" s="26" t="str">
        <f aca="false">IF($B217="","","RES-"&amp;TEXT(ROW()-4,"000"))</f>
        <v/>
      </c>
      <c r="B217" s="24"/>
      <c r="C217" s="25"/>
      <c r="D217" s="24"/>
      <c r="E217" s="24"/>
      <c r="F217" s="29"/>
      <c r="G217" s="24"/>
      <c r="H217" s="24"/>
      <c r="I217" s="24"/>
      <c r="J217" s="24"/>
      <c r="K217" s="24"/>
      <c r="L217" s="26" t="str">
        <f aca="false">IF($B217="","",IFERROR(INDEX(ST_LOT,MATCH($B217,ST_ID,0)),""))</f>
        <v/>
      </c>
      <c r="M217" s="26" t="str">
        <f aca="false">IF($B217="","",IFERROR(INDEX(ST_STRAIT,MATCH($B217,ST_ID,0)),""))</f>
        <v/>
      </c>
      <c r="N217" s="26" t="str">
        <f aca="false">IF($B217="","",IF($E217="",$L217,$E217))</f>
        <v/>
      </c>
      <c r="O217" s="26" t="str">
        <f aca="false">IF($N217="","",IFERROR(INDEX(LOT_EXTE,MATCH($N217,LOT_KEY,0)),""))</f>
        <v/>
      </c>
      <c r="P217" s="26" t="str">
        <f aca="false">IF($J217="","",IFERROR(INDEX(EMPL_CLASSE,MATCH($J217,EMPL_KEY,0)),"?"))</f>
        <v/>
      </c>
      <c r="Q217" s="28" t="n">
        <f aca="false">IF($B217="",0,IF(OR(ISNA(MATCH($B217,ST_ID,0)),NOT(ISNUMBER($F217)),$F217&lt;=0,$J217="",$N217=""),0,1))</f>
        <v>0</v>
      </c>
      <c r="R217" s="27" t="n">
        <f aca="false">IF($Q217=0,0,$F217)</f>
        <v>0</v>
      </c>
      <c r="S217" s="26" t="str">
        <f aca="false">IF($B217="","",IFERROR(INDEX(ST_STATUT,MATCH($B217,ST_ID,0)),""))</f>
        <v/>
      </c>
      <c r="T217" s="26" t="str">
        <f aca="false">IF($B217="","",IF($Q217=0,"DONNEES MANQUANTES",IF(OR($S217="DONNEES MANQUANTES",$S217="STOCK INSUFFISANT",$S217="EMPLACEMENT INCOHERENT",$S217="BLOQUE"),"BLOQUE","OK")))</f>
        <v/>
      </c>
      <c r="U217" s="28" t="n">
        <f aca="false">IF($T217="OK",1,0)</f>
        <v>0</v>
      </c>
      <c r="V217" s="26" t="str">
        <f aca="false">IF($B217="","",IF($Q217=0,"A COMPLETER : "&amp;IF(ISNA(MATCH($B217,ST_ID,0)),"ID ST valide; ","")&amp;IF(OR(NOT(ISNUMBER($F217)),$F217&lt;=0),"QUANTITE &gt; 0; ","")&amp;IF($J217="","EMPL. DESTINATION; ",""),IF($T217="BLOQUE","Envoi parent en anomalie ("&amp;$S217&amp;") : corriger l'onglet SOUS_TRAITANCE.",IF(AND($E217&lt;&gt;"",ISNA(MATCH($E217,LOT_KEY,0))),"Creer la fiche du lot resultat dans l'onglet LOTS.",""))))</f>
        <v/>
      </c>
      <c r="W217" s="31" t="str">
        <f aca="false">IF($B217="","",IF($C217&lt;&gt;"",$C217,IFERROR(INDEX(ST_DATERET,MATCH($B217,ST_ID,0)),"")))</f>
        <v/>
      </c>
      <c r="X217" s="26" t="str">
        <f aca="false">IF($Q217=0,"",IF($L217=R_LOT,IF($N217&lt;&gt;R_LOT,$N217,""),IF($N217=R_LOT,$L217,"")))</f>
        <v/>
      </c>
      <c r="Y217" s="26" t="str">
        <f aca="false">IF($X217="","",IF(COUNTIF($X$4:$X216,$X217)&gt;0,"",COUNT($Y$4:$Y216)+1))</f>
        <v/>
      </c>
      <c r="Z217" s="26" t="n">
        <f aca="false">IF($Q217=0,0,IF(OR($L217=R_LOT,$N217=R_LOT),1,0))</f>
        <v>0</v>
      </c>
      <c r="AA217" s="26" t="str">
        <f aca="false">IF($Z217=0,"",COUNTIF($Z$5:$Z217,1))</f>
        <v/>
      </c>
    </row>
    <row r="218" customFormat="false" ht="15" hidden="false" customHeight="false" outlineLevel="0" collapsed="false">
      <c r="A218" s="26" t="str">
        <f aca="false">IF($B218="","","RES-"&amp;TEXT(ROW()-4,"000"))</f>
        <v/>
      </c>
      <c r="B218" s="24"/>
      <c r="C218" s="25"/>
      <c r="D218" s="24"/>
      <c r="E218" s="24"/>
      <c r="F218" s="29"/>
      <c r="G218" s="24"/>
      <c r="H218" s="24"/>
      <c r="I218" s="24"/>
      <c r="J218" s="24"/>
      <c r="K218" s="24"/>
      <c r="L218" s="26" t="str">
        <f aca="false">IF($B218="","",IFERROR(INDEX(ST_LOT,MATCH($B218,ST_ID,0)),""))</f>
        <v/>
      </c>
      <c r="M218" s="26" t="str">
        <f aca="false">IF($B218="","",IFERROR(INDEX(ST_STRAIT,MATCH($B218,ST_ID,0)),""))</f>
        <v/>
      </c>
      <c r="N218" s="26" t="str">
        <f aca="false">IF($B218="","",IF($E218="",$L218,$E218))</f>
        <v/>
      </c>
      <c r="O218" s="26" t="str">
        <f aca="false">IF($N218="","",IFERROR(INDEX(LOT_EXTE,MATCH($N218,LOT_KEY,0)),""))</f>
        <v/>
      </c>
      <c r="P218" s="26" t="str">
        <f aca="false">IF($J218="","",IFERROR(INDEX(EMPL_CLASSE,MATCH($J218,EMPL_KEY,0)),"?"))</f>
        <v/>
      </c>
      <c r="Q218" s="28" t="n">
        <f aca="false">IF($B218="",0,IF(OR(ISNA(MATCH($B218,ST_ID,0)),NOT(ISNUMBER($F218)),$F218&lt;=0,$J218="",$N218=""),0,1))</f>
        <v>0</v>
      </c>
      <c r="R218" s="27" t="n">
        <f aca="false">IF($Q218=0,0,$F218)</f>
        <v>0</v>
      </c>
      <c r="S218" s="26" t="str">
        <f aca="false">IF($B218="","",IFERROR(INDEX(ST_STATUT,MATCH($B218,ST_ID,0)),""))</f>
        <v/>
      </c>
      <c r="T218" s="26" t="str">
        <f aca="false">IF($B218="","",IF($Q218=0,"DONNEES MANQUANTES",IF(OR($S218="DONNEES MANQUANTES",$S218="STOCK INSUFFISANT",$S218="EMPLACEMENT INCOHERENT",$S218="BLOQUE"),"BLOQUE","OK")))</f>
        <v/>
      </c>
      <c r="U218" s="28" t="n">
        <f aca="false">IF($T218="OK",1,0)</f>
        <v>0</v>
      </c>
      <c r="V218" s="26" t="str">
        <f aca="false">IF($B218="","",IF($Q218=0,"A COMPLETER : "&amp;IF(ISNA(MATCH($B218,ST_ID,0)),"ID ST valide; ","")&amp;IF(OR(NOT(ISNUMBER($F218)),$F218&lt;=0),"QUANTITE &gt; 0; ","")&amp;IF($J218="","EMPL. DESTINATION; ",""),IF($T218="BLOQUE","Envoi parent en anomalie ("&amp;$S218&amp;") : corriger l'onglet SOUS_TRAITANCE.",IF(AND($E218&lt;&gt;"",ISNA(MATCH($E218,LOT_KEY,0))),"Creer la fiche du lot resultat dans l'onglet LOTS.",""))))</f>
        <v/>
      </c>
      <c r="W218" s="31" t="str">
        <f aca="false">IF($B218="","",IF($C218&lt;&gt;"",$C218,IFERROR(INDEX(ST_DATERET,MATCH($B218,ST_ID,0)),"")))</f>
        <v/>
      </c>
      <c r="X218" s="26" t="str">
        <f aca="false">IF($Q218=0,"",IF($L218=R_LOT,IF($N218&lt;&gt;R_LOT,$N218,""),IF($N218=R_LOT,$L218,"")))</f>
        <v/>
      </c>
      <c r="Y218" s="26" t="str">
        <f aca="false">IF($X218="","",IF(COUNTIF($X$4:$X217,$X218)&gt;0,"",COUNT($Y$4:$Y217)+1))</f>
        <v/>
      </c>
      <c r="Z218" s="26" t="n">
        <f aca="false">IF($Q218=0,0,IF(OR($L218=R_LOT,$N218=R_LOT),1,0))</f>
        <v>0</v>
      </c>
      <c r="AA218" s="26" t="str">
        <f aca="false">IF($Z218=0,"",COUNTIF($Z$5:$Z218,1))</f>
        <v/>
      </c>
    </row>
    <row r="219" customFormat="false" ht="15" hidden="false" customHeight="false" outlineLevel="0" collapsed="false">
      <c r="A219" s="26" t="str">
        <f aca="false">IF($B219="","","RES-"&amp;TEXT(ROW()-4,"000"))</f>
        <v/>
      </c>
      <c r="B219" s="24"/>
      <c r="C219" s="25"/>
      <c r="D219" s="24"/>
      <c r="E219" s="24"/>
      <c r="F219" s="29"/>
      <c r="G219" s="24"/>
      <c r="H219" s="24"/>
      <c r="I219" s="24"/>
      <c r="J219" s="24"/>
      <c r="K219" s="24"/>
      <c r="L219" s="26" t="str">
        <f aca="false">IF($B219="","",IFERROR(INDEX(ST_LOT,MATCH($B219,ST_ID,0)),""))</f>
        <v/>
      </c>
      <c r="M219" s="26" t="str">
        <f aca="false">IF($B219="","",IFERROR(INDEX(ST_STRAIT,MATCH($B219,ST_ID,0)),""))</f>
        <v/>
      </c>
      <c r="N219" s="26" t="str">
        <f aca="false">IF($B219="","",IF($E219="",$L219,$E219))</f>
        <v/>
      </c>
      <c r="O219" s="26" t="str">
        <f aca="false">IF($N219="","",IFERROR(INDEX(LOT_EXTE,MATCH($N219,LOT_KEY,0)),""))</f>
        <v/>
      </c>
      <c r="P219" s="26" t="str">
        <f aca="false">IF($J219="","",IFERROR(INDEX(EMPL_CLASSE,MATCH($J219,EMPL_KEY,0)),"?"))</f>
        <v/>
      </c>
      <c r="Q219" s="28" t="n">
        <f aca="false">IF($B219="",0,IF(OR(ISNA(MATCH($B219,ST_ID,0)),NOT(ISNUMBER($F219)),$F219&lt;=0,$J219="",$N219=""),0,1))</f>
        <v>0</v>
      </c>
      <c r="R219" s="27" t="n">
        <f aca="false">IF($Q219=0,0,$F219)</f>
        <v>0</v>
      </c>
      <c r="S219" s="26" t="str">
        <f aca="false">IF($B219="","",IFERROR(INDEX(ST_STATUT,MATCH($B219,ST_ID,0)),""))</f>
        <v/>
      </c>
      <c r="T219" s="26" t="str">
        <f aca="false">IF($B219="","",IF($Q219=0,"DONNEES MANQUANTES",IF(OR($S219="DONNEES MANQUANTES",$S219="STOCK INSUFFISANT",$S219="EMPLACEMENT INCOHERENT",$S219="BLOQUE"),"BLOQUE","OK")))</f>
        <v/>
      </c>
      <c r="U219" s="28" t="n">
        <f aca="false">IF($T219="OK",1,0)</f>
        <v>0</v>
      </c>
      <c r="V219" s="26" t="str">
        <f aca="false">IF($B219="","",IF($Q219=0,"A COMPLETER : "&amp;IF(ISNA(MATCH($B219,ST_ID,0)),"ID ST valide; ","")&amp;IF(OR(NOT(ISNUMBER($F219)),$F219&lt;=0),"QUANTITE &gt; 0; ","")&amp;IF($J219="","EMPL. DESTINATION; ",""),IF($T219="BLOQUE","Envoi parent en anomalie ("&amp;$S219&amp;") : corriger l'onglet SOUS_TRAITANCE.",IF(AND($E219&lt;&gt;"",ISNA(MATCH($E219,LOT_KEY,0))),"Creer la fiche du lot resultat dans l'onglet LOTS.",""))))</f>
        <v/>
      </c>
      <c r="W219" s="31" t="str">
        <f aca="false">IF($B219="","",IF($C219&lt;&gt;"",$C219,IFERROR(INDEX(ST_DATERET,MATCH($B219,ST_ID,0)),"")))</f>
        <v/>
      </c>
      <c r="X219" s="26" t="str">
        <f aca="false">IF($Q219=0,"",IF($L219=R_LOT,IF($N219&lt;&gt;R_LOT,$N219,""),IF($N219=R_LOT,$L219,"")))</f>
        <v/>
      </c>
      <c r="Y219" s="26" t="str">
        <f aca="false">IF($X219="","",IF(COUNTIF($X$4:$X218,$X219)&gt;0,"",COUNT($Y$4:$Y218)+1))</f>
        <v/>
      </c>
      <c r="Z219" s="26" t="n">
        <f aca="false">IF($Q219=0,0,IF(OR($L219=R_LOT,$N219=R_LOT),1,0))</f>
        <v>0</v>
      </c>
      <c r="AA219" s="26" t="str">
        <f aca="false">IF($Z219=0,"",COUNTIF($Z$5:$Z219,1))</f>
        <v/>
      </c>
    </row>
    <row r="220" customFormat="false" ht="15" hidden="false" customHeight="false" outlineLevel="0" collapsed="false">
      <c r="A220" s="26" t="str">
        <f aca="false">IF($B220="","","RES-"&amp;TEXT(ROW()-4,"000"))</f>
        <v/>
      </c>
      <c r="B220" s="24"/>
      <c r="C220" s="25"/>
      <c r="D220" s="24"/>
      <c r="E220" s="24"/>
      <c r="F220" s="29"/>
      <c r="G220" s="24"/>
      <c r="H220" s="24"/>
      <c r="I220" s="24"/>
      <c r="J220" s="24"/>
      <c r="K220" s="24"/>
      <c r="L220" s="26" t="str">
        <f aca="false">IF($B220="","",IFERROR(INDEX(ST_LOT,MATCH($B220,ST_ID,0)),""))</f>
        <v/>
      </c>
      <c r="M220" s="26" t="str">
        <f aca="false">IF($B220="","",IFERROR(INDEX(ST_STRAIT,MATCH($B220,ST_ID,0)),""))</f>
        <v/>
      </c>
      <c r="N220" s="26" t="str">
        <f aca="false">IF($B220="","",IF($E220="",$L220,$E220))</f>
        <v/>
      </c>
      <c r="O220" s="26" t="str">
        <f aca="false">IF($N220="","",IFERROR(INDEX(LOT_EXTE,MATCH($N220,LOT_KEY,0)),""))</f>
        <v/>
      </c>
      <c r="P220" s="26" t="str">
        <f aca="false">IF($J220="","",IFERROR(INDEX(EMPL_CLASSE,MATCH($J220,EMPL_KEY,0)),"?"))</f>
        <v/>
      </c>
      <c r="Q220" s="28" t="n">
        <f aca="false">IF($B220="",0,IF(OR(ISNA(MATCH($B220,ST_ID,0)),NOT(ISNUMBER($F220)),$F220&lt;=0,$J220="",$N220=""),0,1))</f>
        <v>0</v>
      </c>
      <c r="R220" s="27" t="n">
        <f aca="false">IF($Q220=0,0,$F220)</f>
        <v>0</v>
      </c>
      <c r="S220" s="26" t="str">
        <f aca="false">IF($B220="","",IFERROR(INDEX(ST_STATUT,MATCH($B220,ST_ID,0)),""))</f>
        <v/>
      </c>
      <c r="T220" s="26" t="str">
        <f aca="false">IF($B220="","",IF($Q220=0,"DONNEES MANQUANTES",IF(OR($S220="DONNEES MANQUANTES",$S220="STOCK INSUFFISANT",$S220="EMPLACEMENT INCOHERENT",$S220="BLOQUE"),"BLOQUE","OK")))</f>
        <v/>
      </c>
      <c r="U220" s="28" t="n">
        <f aca="false">IF($T220="OK",1,0)</f>
        <v>0</v>
      </c>
      <c r="V220" s="26" t="str">
        <f aca="false">IF($B220="","",IF($Q220=0,"A COMPLETER : "&amp;IF(ISNA(MATCH($B220,ST_ID,0)),"ID ST valide; ","")&amp;IF(OR(NOT(ISNUMBER($F220)),$F220&lt;=0),"QUANTITE &gt; 0; ","")&amp;IF($J220="","EMPL. DESTINATION; ",""),IF($T220="BLOQUE","Envoi parent en anomalie ("&amp;$S220&amp;") : corriger l'onglet SOUS_TRAITANCE.",IF(AND($E220&lt;&gt;"",ISNA(MATCH($E220,LOT_KEY,0))),"Creer la fiche du lot resultat dans l'onglet LOTS.",""))))</f>
        <v/>
      </c>
      <c r="W220" s="31" t="str">
        <f aca="false">IF($B220="","",IF($C220&lt;&gt;"",$C220,IFERROR(INDEX(ST_DATERET,MATCH($B220,ST_ID,0)),"")))</f>
        <v/>
      </c>
      <c r="X220" s="26" t="str">
        <f aca="false">IF($Q220=0,"",IF($L220=R_LOT,IF($N220&lt;&gt;R_LOT,$N220,""),IF($N220=R_LOT,$L220,"")))</f>
        <v/>
      </c>
      <c r="Y220" s="26" t="str">
        <f aca="false">IF($X220="","",IF(COUNTIF($X$4:$X219,$X220)&gt;0,"",COUNT($Y$4:$Y219)+1))</f>
        <v/>
      </c>
      <c r="Z220" s="26" t="n">
        <f aca="false">IF($Q220=0,0,IF(OR($L220=R_LOT,$N220=R_LOT),1,0))</f>
        <v>0</v>
      </c>
      <c r="AA220" s="26" t="str">
        <f aca="false">IF($Z220=0,"",COUNTIF($Z$5:$Z220,1))</f>
        <v/>
      </c>
    </row>
    <row r="221" customFormat="false" ht="15" hidden="false" customHeight="false" outlineLevel="0" collapsed="false">
      <c r="A221" s="26" t="str">
        <f aca="false">IF($B221="","","RES-"&amp;TEXT(ROW()-4,"000"))</f>
        <v/>
      </c>
      <c r="B221" s="24"/>
      <c r="C221" s="25"/>
      <c r="D221" s="24"/>
      <c r="E221" s="24"/>
      <c r="F221" s="29"/>
      <c r="G221" s="24"/>
      <c r="H221" s="24"/>
      <c r="I221" s="24"/>
      <c r="J221" s="24"/>
      <c r="K221" s="24"/>
      <c r="L221" s="26" t="str">
        <f aca="false">IF($B221="","",IFERROR(INDEX(ST_LOT,MATCH($B221,ST_ID,0)),""))</f>
        <v/>
      </c>
      <c r="M221" s="26" t="str">
        <f aca="false">IF($B221="","",IFERROR(INDEX(ST_STRAIT,MATCH($B221,ST_ID,0)),""))</f>
        <v/>
      </c>
      <c r="N221" s="26" t="str">
        <f aca="false">IF($B221="","",IF($E221="",$L221,$E221))</f>
        <v/>
      </c>
      <c r="O221" s="26" t="str">
        <f aca="false">IF($N221="","",IFERROR(INDEX(LOT_EXTE,MATCH($N221,LOT_KEY,0)),""))</f>
        <v/>
      </c>
      <c r="P221" s="26" t="str">
        <f aca="false">IF($J221="","",IFERROR(INDEX(EMPL_CLASSE,MATCH($J221,EMPL_KEY,0)),"?"))</f>
        <v/>
      </c>
      <c r="Q221" s="28" t="n">
        <f aca="false">IF($B221="",0,IF(OR(ISNA(MATCH($B221,ST_ID,0)),NOT(ISNUMBER($F221)),$F221&lt;=0,$J221="",$N221=""),0,1))</f>
        <v>0</v>
      </c>
      <c r="R221" s="27" t="n">
        <f aca="false">IF($Q221=0,0,$F221)</f>
        <v>0</v>
      </c>
      <c r="S221" s="26" t="str">
        <f aca="false">IF($B221="","",IFERROR(INDEX(ST_STATUT,MATCH($B221,ST_ID,0)),""))</f>
        <v/>
      </c>
      <c r="T221" s="26" t="str">
        <f aca="false">IF($B221="","",IF($Q221=0,"DONNEES MANQUANTES",IF(OR($S221="DONNEES MANQUANTES",$S221="STOCK INSUFFISANT",$S221="EMPLACEMENT INCOHERENT",$S221="BLOQUE"),"BLOQUE","OK")))</f>
        <v/>
      </c>
      <c r="U221" s="28" t="n">
        <f aca="false">IF($T221="OK",1,0)</f>
        <v>0</v>
      </c>
      <c r="V221" s="26" t="str">
        <f aca="false">IF($B221="","",IF($Q221=0,"A COMPLETER : "&amp;IF(ISNA(MATCH($B221,ST_ID,0)),"ID ST valide; ","")&amp;IF(OR(NOT(ISNUMBER($F221)),$F221&lt;=0),"QUANTITE &gt; 0; ","")&amp;IF($J221="","EMPL. DESTINATION; ",""),IF($T221="BLOQUE","Envoi parent en anomalie ("&amp;$S221&amp;") : corriger l'onglet SOUS_TRAITANCE.",IF(AND($E221&lt;&gt;"",ISNA(MATCH($E221,LOT_KEY,0))),"Creer la fiche du lot resultat dans l'onglet LOTS.",""))))</f>
        <v/>
      </c>
      <c r="W221" s="31" t="str">
        <f aca="false">IF($B221="","",IF($C221&lt;&gt;"",$C221,IFERROR(INDEX(ST_DATERET,MATCH($B221,ST_ID,0)),"")))</f>
        <v/>
      </c>
      <c r="X221" s="26" t="str">
        <f aca="false">IF($Q221=0,"",IF($L221=R_LOT,IF($N221&lt;&gt;R_LOT,$N221,""),IF($N221=R_LOT,$L221,"")))</f>
        <v/>
      </c>
      <c r="Y221" s="26" t="str">
        <f aca="false">IF($X221="","",IF(COUNTIF($X$4:$X220,$X221)&gt;0,"",COUNT($Y$4:$Y220)+1))</f>
        <v/>
      </c>
      <c r="Z221" s="26" t="n">
        <f aca="false">IF($Q221=0,0,IF(OR($L221=R_LOT,$N221=R_LOT),1,0))</f>
        <v>0</v>
      </c>
      <c r="AA221" s="26" t="str">
        <f aca="false">IF($Z221=0,"",COUNTIF($Z$5:$Z221,1))</f>
        <v/>
      </c>
    </row>
    <row r="222" customFormat="false" ht="15" hidden="false" customHeight="false" outlineLevel="0" collapsed="false">
      <c r="A222" s="26" t="str">
        <f aca="false">IF($B222="","","RES-"&amp;TEXT(ROW()-4,"000"))</f>
        <v/>
      </c>
      <c r="B222" s="24"/>
      <c r="C222" s="25"/>
      <c r="D222" s="24"/>
      <c r="E222" s="24"/>
      <c r="F222" s="29"/>
      <c r="G222" s="24"/>
      <c r="H222" s="24"/>
      <c r="I222" s="24"/>
      <c r="J222" s="24"/>
      <c r="K222" s="24"/>
      <c r="L222" s="26" t="str">
        <f aca="false">IF($B222="","",IFERROR(INDEX(ST_LOT,MATCH($B222,ST_ID,0)),""))</f>
        <v/>
      </c>
      <c r="M222" s="26" t="str">
        <f aca="false">IF($B222="","",IFERROR(INDEX(ST_STRAIT,MATCH($B222,ST_ID,0)),""))</f>
        <v/>
      </c>
      <c r="N222" s="26" t="str">
        <f aca="false">IF($B222="","",IF($E222="",$L222,$E222))</f>
        <v/>
      </c>
      <c r="O222" s="26" t="str">
        <f aca="false">IF($N222="","",IFERROR(INDEX(LOT_EXTE,MATCH($N222,LOT_KEY,0)),""))</f>
        <v/>
      </c>
      <c r="P222" s="26" t="str">
        <f aca="false">IF($J222="","",IFERROR(INDEX(EMPL_CLASSE,MATCH($J222,EMPL_KEY,0)),"?"))</f>
        <v/>
      </c>
      <c r="Q222" s="28" t="n">
        <f aca="false">IF($B222="",0,IF(OR(ISNA(MATCH($B222,ST_ID,0)),NOT(ISNUMBER($F222)),$F222&lt;=0,$J222="",$N222=""),0,1))</f>
        <v>0</v>
      </c>
      <c r="R222" s="27" t="n">
        <f aca="false">IF($Q222=0,0,$F222)</f>
        <v>0</v>
      </c>
      <c r="S222" s="26" t="str">
        <f aca="false">IF($B222="","",IFERROR(INDEX(ST_STATUT,MATCH($B222,ST_ID,0)),""))</f>
        <v/>
      </c>
      <c r="T222" s="26" t="str">
        <f aca="false">IF($B222="","",IF($Q222=0,"DONNEES MANQUANTES",IF(OR($S222="DONNEES MANQUANTES",$S222="STOCK INSUFFISANT",$S222="EMPLACEMENT INCOHERENT",$S222="BLOQUE"),"BLOQUE","OK")))</f>
        <v/>
      </c>
      <c r="U222" s="28" t="n">
        <f aca="false">IF($T222="OK",1,0)</f>
        <v>0</v>
      </c>
      <c r="V222" s="26" t="str">
        <f aca="false">IF($B222="","",IF($Q222=0,"A COMPLETER : "&amp;IF(ISNA(MATCH($B222,ST_ID,0)),"ID ST valide; ","")&amp;IF(OR(NOT(ISNUMBER($F222)),$F222&lt;=0),"QUANTITE &gt; 0; ","")&amp;IF($J222="","EMPL. DESTINATION; ",""),IF($T222="BLOQUE","Envoi parent en anomalie ("&amp;$S222&amp;") : corriger l'onglet SOUS_TRAITANCE.",IF(AND($E222&lt;&gt;"",ISNA(MATCH($E222,LOT_KEY,0))),"Creer la fiche du lot resultat dans l'onglet LOTS.",""))))</f>
        <v/>
      </c>
      <c r="W222" s="31" t="str">
        <f aca="false">IF($B222="","",IF($C222&lt;&gt;"",$C222,IFERROR(INDEX(ST_DATERET,MATCH($B222,ST_ID,0)),"")))</f>
        <v/>
      </c>
      <c r="X222" s="26" t="str">
        <f aca="false">IF($Q222=0,"",IF($L222=R_LOT,IF($N222&lt;&gt;R_LOT,$N222,""),IF($N222=R_LOT,$L222,"")))</f>
        <v/>
      </c>
      <c r="Y222" s="26" t="str">
        <f aca="false">IF($X222="","",IF(COUNTIF($X$4:$X221,$X222)&gt;0,"",COUNT($Y$4:$Y221)+1))</f>
        <v/>
      </c>
      <c r="Z222" s="26" t="n">
        <f aca="false">IF($Q222=0,0,IF(OR($L222=R_LOT,$N222=R_LOT),1,0))</f>
        <v>0</v>
      </c>
      <c r="AA222" s="26" t="str">
        <f aca="false">IF($Z222=0,"",COUNTIF($Z$5:$Z222,1))</f>
        <v/>
      </c>
    </row>
    <row r="223" customFormat="false" ht="15" hidden="false" customHeight="false" outlineLevel="0" collapsed="false">
      <c r="A223" s="26" t="str">
        <f aca="false">IF($B223="","","RES-"&amp;TEXT(ROW()-4,"000"))</f>
        <v/>
      </c>
      <c r="B223" s="24"/>
      <c r="C223" s="25"/>
      <c r="D223" s="24"/>
      <c r="E223" s="24"/>
      <c r="F223" s="29"/>
      <c r="G223" s="24"/>
      <c r="H223" s="24"/>
      <c r="I223" s="24"/>
      <c r="J223" s="24"/>
      <c r="K223" s="24"/>
      <c r="L223" s="26" t="str">
        <f aca="false">IF($B223="","",IFERROR(INDEX(ST_LOT,MATCH($B223,ST_ID,0)),""))</f>
        <v/>
      </c>
      <c r="M223" s="26" t="str">
        <f aca="false">IF($B223="","",IFERROR(INDEX(ST_STRAIT,MATCH($B223,ST_ID,0)),""))</f>
        <v/>
      </c>
      <c r="N223" s="26" t="str">
        <f aca="false">IF($B223="","",IF($E223="",$L223,$E223))</f>
        <v/>
      </c>
      <c r="O223" s="26" t="str">
        <f aca="false">IF($N223="","",IFERROR(INDEX(LOT_EXTE,MATCH($N223,LOT_KEY,0)),""))</f>
        <v/>
      </c>
      <c r="P223" s="26" t="str">
        <f aca="false">IF($J223="","",IFERROR(INDEX(EMPL_CLASSE,MATCH($J223,EMPL_KEY,0)),"?"))</f>
        <v/>
      </c>
      <c r="Q223" s="28" t="n">
        <f aca="false">IF($B223="",0,IF(OR(ISNA(MATCH($B223,ST_ID,0)),NOT(ISNUMBER($F223)),$F223&lt;=0,$J223="",$N223=""),0,1))</f>
        <v>0</v>
      </c>
      <c r="R223" s="27" t="n">
        <f aca="false">IF($Q223=0,0,$F223)</f>
        <v>0</v>
      </c>
      <c r="S223" s="26" t="str">
        <f aca="false">IF($B223="","",IFERROR(INDEX(ST_STATUT,MATCH($B223,ST_ID,0)),""))</f>
        <v/>
      </c>
      <c r="T223" s="26" t="str">
        <f aca="false">IF($B223="","",IF($Q223=0,"DONNEES MANQUANTES",IF(OR($S223="DONNEES MANQUANTES",$S223="STOCK INSUFFISANT",$S223="EMPLACEMENT INCOHERENT",$S223="BLOQUE"),"BLOQUE","OK")))</f>
        <v/>
      </c>
      <c r="U223" s="28" t="n">
        <f aca="false">IF($T223="OK",1,0)</f>
        <v>0</v>
      </c>
      <c r="V223" s="26" t="str">
        <f aca="false">IF($B223="","",IF($Q223=0,"A COMPLETER : "&amp;IF(ISNA(MATCH($B223,ST_ID,0)),"ID ST valide; ","")&amp;IF(OR(NOT(ISNUMBER($F223)),$F223&lt;=0),"QUANTITE &gt; 0; ","")&amp;IF($J223="","EMPL. DESTINATION; ",""),IF($T223="BLOQUE","Envoi parent en anomalie ("&amp;$S223&amp;") : corriger l'onglet SOUS_TRAITANCE.",IF(AND($E223&lt;&gt;"",ISNA(MATCH($E223,LOT_KEY,0))),"Creer la fiche du lot resultat dans l'onglet LOTS.",""))))</f>
        <v/>
      </c>
      <c r="W223" s="31" t="str">
        <f aca="false">IF($B223="","",IF($C223&lt;&gt;"",$C223,IFERROR(INDEX(ST_DATERET,MATCH($B223,ST_ID,0)),"")))</f>
        <v/>
      </c>
      <c r="X223" s="26" t="str">
        <f aca="false">IF($Q223=0,"",IF($L223=R_LOT,IF($N223&lt;&gt;R_LOT,$N223,""),IF($N223=R_LOT,$L223,"")))</f>
        <v/>
      </c>
      <c r="Y223" s="26" t="str">
        <f aca="false">IF($X223="","",IF(COUNTIF($X$4:$X222,$X223)&gt;0,"",COUNT($Y$4:$Y222)+1))</f>
        <v/>
      </c>
      <c r="Z223" s="26" t="n">
        <f aca="false">IF($Q223=0,0,IF(OR($L223=R_LOT,$N223=R_LOT),1,0))</f>
        <v>0</v>
      </c>
      <c r="AA223" s="26" t="str">
        <f aca="false">IF($Z223=0,"",COUNTIF($Z$5:$Z223,1))</f>
        <v/>
      </c>
    </row>
    <row r="224" customFormat="false" ht="15" hidden="false" customHeight="false" outlineLevel="0" collapsed="false">
      <c r="A224" s="26" t="str">
        <f aca="false">IF($B224="","","RES-"&amp;TEXT(ROW()-4,"000"))</f>
        <v/>
      </c>
      <c r="B224" s="24"/>
      <c r="C224" s="25"/>
      <c r="D224" s="24"/>
      <c r="E224" s="24"/>
      <c r="F224" s="29"/>
      <c r="G224" s="24"/>
      <c r="H224" s="24"/>
      <c r="I224" s="24"/>
      <c r="J224" s="24"/>
      <c r="K224" s="24"/>
      <c r="L224" s="26" t="str">
        <f aca="false">IF($B224="","",IFERROR(INDEX(ST_LOT,MATCH($B224,ST_ID,0)),""))</f>
        <v/>
      </c>
      <c r="M224" s="26" t="str">
        <f aca="false">IF($B224="","",IFERROR(INDEX(ST_STRAIT,MATCH($B224,ST_ID,0)),""))</f>
        <v/>
      </c>
      <c r="N224" s="26" t="str">
        <f aca="false">IF($B224="","",IF($E224="",$L224,$E224))</f>
        <v/>
      </c>
      <c r="O224" s="26" t="str">
        <f aca="false">IF($N224="","",IFERROR(INDEX(LOT_EXTE,MATCH($N224,LOT_KEY,0)),""))</f>
        <v/>
      </c>
      <c r="P224" s="26" t="str">
        <f aca="false">IF($J224="","",IFERROR(INDEX(EMPL_CLASSE,MATCH($J224,EMPL_KEY,0)),"?"))</f>
        <v/>
      </c>
      <c r="Q224" s="28" t="n">
        <f aca="false">IF($B224="",0,IF(OR(ISNA(MATCH($B224,ST_ID,0)),NOT(ISNUMBER($F224)),$F224&lt;=0,$J224="",$N224=""),0,1))</f>
        <v>0</v>
      </c>
      <c r="R224" s="27" t="n">
        <f aca="false">IF($Q224=0,0,$F224)</f>
        <v>0</v>
      </c>
      <c r="S224" s="26" t="str">
        <f aca="false">IF($B224="","",IFERROR(INDEX(ST_STATUT,MATCH($B224,ST_ID,0)),""))</f>
        <v/>
      </c>
      <c r="T224" s="26" t="str">
        <f aca="false">IF($B224="","",IF($Q224=0,"DONNEES MANQUANTES",IF(OR($S224="DONNEES MANQUANTES",$S224="STOCK INSUFFISANT",$S224="EMPLACEMENT INCOHERENT",$S224="BLOQUE"),"BLOQUE","OK")))</f>
        <v/>
      </c>
      <c r="U224" s="28" t="n">
        <f aca="false">IF($T224="OK",1,0)</f>
        <v>0</v>
      </c>
      <c r="V224" s="26" t="str">
        <f aca="false">IF($B224="","",IF($Q224=0,"A COMPLETER : "&amp;IF(ISNA(MATCH($B224,ST_ID,0)),"ID ST valide; ","")&amp;IF(OR(NOT(ISNUMBER($F224)),$F224&lt;=0),"QUANTITE &gt; 0; ","")&amp;IF($J224="","EMPL. DESTINATION; ",""),IF($T224="BLOQUE","Envoi parent en anomalie ("&amp;$S224&amp;") : corriger l'onglet SOUS_TRAITANCE.",IF(AND($E224&lt;&gt;"",ISNA(MATCH($E224,LOT_KEY,0))),"Creer la fiche du lot resultat dans l'onglet LOTS.",""))))</f>
        <v/>
      </c>
      <c r="W224" s="31" t="str">
        <f aca="false">IF($B224="","",IF($C224&lt;&gt;"",$C224,IFERROR(INDEX(ST_DATERET,MATCH($B224,ST_ID,0)),"")))</f>
        <v/>
      </c>
      <c r="X224" s="26" t="str">
        <f aca="false">IF($Q224=0,"",IF($L224=R_LOT,IF($N224&lt;&gt;R_LOT,$N224,""),IF($N224=R_LOT,$L224,"")))</f>
        <v/>
      </c>
      <c r="Y224" s="26" t="str">
        <f aca="false">IF($X224="","",IF(COUNTIF($X$4:$X223,$X224)&gt;0,"",COUNT($Y$4:$Y223)+1))</f>
        <v/>
      </c>
      <c r="Z224" s="26" t="n">
        <f aca="false">IF($Q224=0,0,IF(OR($L224=R_LOT,$N224=R_LOT),1,0))</f>
        <v>0</v>
      </c>
      <c r="AA224" s="26" t="str">
        <f aca="false">IF($Z224=0,"",COUNTIF($Z$5:$Z224,1))</f>
        <v/>
      </c>
    </row>
    <row r="225" customFormat="false" ht="15" hidden="false" customHeight="false" outlineLevel="0" collapsed="false">
      <c r="A225" s="26" t="str">
        <f aca="false">IF($B225="","","RES-"&amp;TEXT(ROW()-4,"000"))</f>
        <v/>
      </c>
      <c r="B225" s="24"/>
      <c r="C225" s="25"/>
      <c r="D225" s="24"/>
      <c r="E225" s="24"/>
      <c r="F225" s="29"/>
      <c r="G225" s="24"/>
      <c r="H225" s="24"/>
      <c r="I225" s="24"/>
      <c r="J225" s="24"/>
      <c r="K225" s="24"/>
      <c r="L225" s="26" t="str">
        <f aca="false">IF($B225="","",IFERROR(INDEX(ST_LOT,MATCH($B225,ST_ID,0)),""))</f>
        <v/>
      </c>
      <c r="M225" s="26" t="str">
        <f aca="false">IF($B225="","",IFERROR(INDEX(ST_STRAIT,MATCH($B225,ST_ID,0)),""))</f>
        <v/>
      </c>
      <c r="N225" s="26" t="str">
        <f aca="false">IF($B225="","",IF($E225="",$L225,$E225))</f>
        <v/>
      </c>
      <c r="O225" s="26" t="str">
        <f aca="false">IF($N225="","",IFERROR(INDEX(LOT_EXTE,MATCH($N225,LOT_KEY,0)),""))</f>
        <v/>
      </c>
      <c r="P225" s="26" t="str">
        <f aca="false">IF($J225="","",IFERROR(INDEX(EMPL_CLASSE,MATCH($J225,EMPL_KEY,0)),"?"))</f>
        <v/>
      </c>
      <c r="Q225" s="28" t="n">
        <f aca="false">IF($B225="",0,IF(OR(ISNA(MATCH($B225,ST_ID,0)),NOT(ISNUMBER($F225)),$F225&lt;=0,$J225="",$N225=""),0,1))</f>
        <v>0</v>
      </c>
      <c r="R225" s="27" t="n">
        <f aca="false">IF($Q225=0,0,$F225)</f>
        <v>0</v>
      </c>
      <c r="S225" s="26" t="str">
        <f aca="false">IF($B225="","",IFERROR(INDEX(ST_STATUT,MATCH($B225,ST_ID,0)),""))</f>
        <v/>
      </c>
      <c r="T225" s="26" t="str">
        <f aca="false">IF($B225="","",IF($Q225=0,"DONNEES MANQUANTES",IF(OR($S225="DONNEES MANQUANTES",$S225="STOCK INSUFFISANT",$S225="EMPLACEMENT INCOHERENT",$S225="BLOQUE"),"BLOQUE","OK")))</f>
        <v/>
      </c>
      <c r="U225" s="28" t="n">
        <f aca="false">IF($T225="OK",1,0)</f>
        <v>0</v>
      </c>
      <c r="V225" s="26" t="str">
        <f aca="false">IF($B225="","",IF($Q225=0,"A COMPLETER : "&amp;IF(ISNA(MATCH($B225,ST_ID,0)),"ID ST valide; ","")&amp;IF(OR(NOT(ISNUMBER($F225)),$F225&lt;=0),"QUANTITE &gt; 0; ","")&amp;IF($J225="","EMPL. DESTINATION; ",""),IF($T225="BLOQUE","Envoi parent en anomalie ("&amp;$S225&amp;") : corriger l'onglet SOUS_TRAITANCE.",IF(AND($E225&lt;&gt;"",ISNA(MATCH($E225,LOT_KEY,0))),"Creer la fiche du lot resultat dans l'onglet LOTS.",""))))</f>
        <v/>
      </c>
      <c r="W225" s="31" t="str">
        <f aca="false">IF($B225="","",IF($C225&lt;&gt;"",$C225,IFERROR(INDEX(ST_DATERET,MATCH($B225,ST_ID,0)),"")))</f>
        <v/>
      </c>
      <c r="X225" s="26" t="str">
        <f aca="false">IF($Q225=0,"",IF($L225=R_LOT,IF($N225&lt;&gt;R_LOT,$N225,""),IF($N225=R_LOT,$L225,"")))</f>
        <v/>
      </c>
      <c r="Y225" s="26" t="str">
        <f aca="false">IF($X225="","",IF(COUNTIF($X$4:$X224,$X225)&gt;0,"",COUNT($Y$4:$Y224)+1))</f>
        <v/>
      </c>
      <c r="Z225" s="26" t="n">
        <f aca="false">IF($Q225=0,0,IF(OR($L225=R_LOT,$N225=R_LOT),1,0))</f>
        <v>0</v>
      </c>
      <c r="AA225" s="26" t="str">
        <f aca="false">IF($Z225=0,"",COUNTIF($Z$5:$Z225,1))</f>
        <v/>
      </c>
    </row>
    <row r="226" customFormat="false" ht="15" hidden="false" customHeight="false" outlineLevel="0" collapsed="false">
      <c r="A226" s="26" t="str">
        <f aca="false">IF($B226="","","RES-"&amp;TEXT(ROW()-4,"000"))</f>
        <v/>
      </c>
      <c r="B226" s="24"/>
      <c r="C226" s="25"/>
      <c r="D226" s="24"/>
      <c r="E226" s="24"/>
      <c r="F226" s="29"/>
      <c r="G226" s="24"/>
      <c r="H226" s="24"/>
      <c r="I226" s="24"/>
      <c r="J226" s="24"/>
      <c r="K226" s="24"/>
      <c r="L226" s="26" t="str">
        <f aca="false">IF($B226="","",IFERROR(INDEX(ST_LOT,MATCH($B226,ST_ID,0)),""))</f>
        <v/>
      </c>
      <c r="M226" s="26" t="str">
        <f aca="false">IF($B226="","",IFERROR(INDEX(ST_STRAIT,MATCH($B226,ST_ID,0)),""))</f>
        <v/>
      </c>
      <c r="N226" s="26" t="str">
        <f aca="false">IF($B226="","",IF($E226="",$L226,$E226))</f>
        <v/>
      </c>
      <c r="O226" s="26" t="str">
        <f aca="false">IF($N226="","",IFERROR(INDEX(LOT_EXTE,MATCH($N226,LOT_KEY,0)),""))</f>
        <v/>
      </c>
      <c r="P226" s="26" t="str">
        <f aca="false">IF($J226="","",IFERROR(INDEX(EMPL_CLASSE,MATCH($J226,EMPL_KEY,0)),"?"))</f>
        <v/>
      </c>
      <c r="Q226" s="28" t="n">
        <f aca="false">IF($B226="",0,IF(OR(ISNA(MATCH($B226,ST_ID,0)),NOT(ISNUMBER($F226)),$F226&lt;=0,$J226="",$N226=""),0,1))</f>
        <v>0</v>
      </c>
      <c r="R226" s="27" t="n">
        <f aca="false">IF($Q226=0,0,$F226)</f>
        <v>0</v>
      </c>
      <c r="S226" s="26" t="str">
        <f aca="false">IF($B226="","",IFERROR(INDEX(ST_STATUT,MATCH($B226,ST_ID,0)),""))</f>
        <v/>
      </c>
      <c r="T226" s="26" t="str">
        <f aca="false">IF($B226="","",IF($Q226=0,"DONNEES MANQUANTES",IF(OR($S226="DONNEES MANQUANTES",$S226="STOCK INSUFFISANT",$S226="EMPLACEMENT INCOHERENT",$S226="BLOQUE"),"BLOQUE","OK")))</f>
        <v/>
      </c>
      <c r="U226" s="28" t="n">
        <f aca="false">IF($T226="OK",1,0)</f>
        <v>0</v>
      </c>
      <c r="V226" s="26" t="str">
        <f aca="false">IF($B226="","",IF($Q226=0,"A COMPLETER : "&amp;IF(ISNA(MATCH($B226,ST_ID,0)),"ID ST valide; ","")&amp;IF(OR(NOT(ISNUMBER($F226)),$F226&lt;=0),"QUANTITE &gt; 0; ","")&amp;IF($J226="","EMPL. DESTINATION; ",""),IF($T226="BLOQUE","Envoi parent en anomalie ("&amp;$S226&amp;") : corriger l'onglet SOUS_TRAITANCE.",IF(AND($E226&lt;&gt;"",ISNA(MATCH($E226,LOT_KEY,0))),"Creer la fiche du lot resultat dans l'onglet LOTS.",""))))</f>
        <v/>
      </c>
      <c r="W226" s="31" t="str">
        <f aca="false">IF($B226="","",IF($C226&lt;&gt;"",$C226,IFERROR(INDEX(ST_DATERET,MATCH($B226,ST_ID,0)),"")))</f>
        <v/>
      </c>
      <c r="X226" s="26" t="str">
        <f aca="false">IF($Q226=0,"",IF($L226=R_LOT,IF($N226&lt;&gt;R_LOT,$N226,""),IF($N226=R_LOT,$L226,"")))</f>
        <v/>
      </c>
      <c r="Y226" s="26" t="str">
        <f aca="false">IF($X226="","",IF(COUNTIF($X$4:$X225,$X226)&gt;0,"",COUNT($Y$4:$Y225)+1))</f>
        <v/>
      </c>
      <c r="Z226" s="26" t="n">
        <f aca="false">IF($Q226=0,0,IF(OR($L226=R_LOT,$N226=R_LOT),1,0))</f>
        <v>0</v>
      </c>
      <c r="AA226" s="26" t="str">
        <f aca="false">IF($Z226=0,"",COUNTIF($Z$5:$Z226,1))</f>
        <v/>
      </c>
    </row>
    <row r="227" customFormat="false" ht="15" hidden="false" customHeight="false" outlineLevel="0" collapsed="false">
      <c r="A227" s="26" t="str">
        <f aca="false">IF($B227="","","RES-"&amp;TEXT(ROW()-4,"000"))</f>
        <v/>
      </c>
      <c r="B227" s="24"/>
      <c r="C227" s="25"/>
      <c r="D227" s="24"/>
      <c r="E227" s="24"/>
      <c r="F227" s="29"/>
      <c r="G227" s="24"/>
      <c r="H227" s="24"/>
      <c r="I227" s="24"/>
      <c r="J227" s="24"/>
      <c r="K227" s="24"/>
      <c r="L227" s="26" t="str">
        <f aca="false">IF($B227="","",IFERROR(INDEX(ST_LOT,MATCH($B227,ST_ID,0)),""))</f>
        <v/>
      </c>
      <c r="M227" s="26" t="str">
        <f aca="false">IF($B227="","",IFERROR(INDEX(ST_STRAIT,MATCH($B227,ST_ID,0)),""))</f>
        <v/>
      </c>
      <c r="N227" s="26" t="str">
        <f aca="false">IF($B227="","",IF($E227="",$L227,$E227))</f>
        <v/>
      </c>
      <c r="O227" s="26" t="str">
        <f aca="false">IF($N227="","",IFERROR(INDEX(LOT_EXTE,MATCH($N227,LOT_KEY,0)),""))</f>
        <v/>
      </c>
      <c r="P227" s="26" t="str">
        <f aca="false">IF($J227="","",IFERROR(INDEX(EMPL_CLASSE,MATCH($J227,EMPL_KEY,0)),"?"))</f>
        <v/>
      </c>
      <c r="Q227" s="28" t="n">
        <f aca="false">IF($B227="",0,IF(OR(ISNA(MATCH($B227,ST_ID,0)),NOT(ISNUMBER($F227)),$F227&lt;=0,$J227="",$N227=""),0,1))</f>
        <v>0</v>
      </c>
      <c r="R227" s="27" t="n">
        <f aca="false">IF($Q227=0,0,$F227)</f>
        <v>0</v>
      </c>
      <c r="S227" s="26" t="str">
        <f aca="false">IF($B227="","",IFERROR(INDEX(ST_STATUT,MATCH($B227,ST_ID,0)),""))</f>
        <v/>
      </c>
      <c r="T227" s="26" t="str">
        <f aca="false">IF($B227="","",IF($Q227=0,"DONNEES MANQUANTES",IF(OR($S227="DONNEES MANQUANTES",$S227="STOCK INSUFFISANT",$S227="EMPLACEMENT INCOHERENT",$S227="BLOQUE"),"BLOQUE","OK")))</f>
        <v/>
      </c>
      <c r="U227" s="28" t="n">
        <f aca="false">IF($T227="OK",1,0)</f>
        <v>0</v>
      </c>
      <c r="V227" s="26" t="str">
        <f aca="false">IF($B227="","",IF($Q227=0,"A COMPLETER : "&amp;IF(ISNA(MATCH($B227,ST_ID,0)),"ID ST valide; ","")&amp;IF(OR(NOT(ISNUMBER($F227)),$F227&lt;=0),"QUANTITE &gt; 0; ","")&amp;IF($J227="","EMPL. DESTINATION; ",""),IF($T227="BLOQUE","Envoi parent en anomalie ("&amp;$S227&amp;") : corriger l'onglet SOUS_TRAITANCE.",IF(AND($E227&lt;&gt;"",ISNA(MATCH($E227,LOT_KEY,0))),"Creer la fiche du lot resultat dans l'onglet LOTS.",""))))</f>
        <v/>
      </c>
      <c r="W227" s="31" t="str">
        <f aca="false">IF($B227="","",IF($C227&lt;&gt;"",$C227,IFERROR(INDEX(ST_DATERET,MATCH($B227,ST_ID,0)),"")))</f>
        <v/>
      </c>
      <c r="X227" s="26" t="str">
        <f aca="false">IF($Q227=0,"",IF($L227=R_LOT,IF($N227&lt;&gt;R_LOT,$N227,""),IF($N227=R_LOT,$L227,"")))</f>
        <v/>
      </c>
      <c r="Y227" s="26" t="str">
        <f aca="false">IF($X227="","",IF(COUNTIF($X$4:$X226,$X227)&gt;0,"",COUNT($Y$4:$Y226)+1))</f>
        <v/>
      </c>
      <c r="Z227" s="26" t="n">
        <f aca="false">IF($Q227=0,0,IF(OR($L227=R_LOT,$N227=R_LOT),1,0))</f>
        <v>0</v>
      </c>
      <c r="AA227" s="26" t="str">
        <f aca="false">IF($Z227=0,"",COUNTIF($Z$5:$Z227,1))</f>
        <v/>
      </c>
    </row>
    <row r="228" customFormat="false" ht="15" hidden="false" customHeight="false" outlineLevel="0" collapsed="false">
      <c r="A228" s="26" t="str">
        <f aca="false">IF($B228="","","RES-"&amp;TEXT(ROW()-4,"000"))</f>
        <v/>
      </c>
      <c r="B228" s="24"/>
      <c r="C228" s="25"/>
      <c r="D228" s="24"/>
      <c r="E228" s="24"/>
      <c r="F228" s="29"/>
      <c r="G228" s="24"/>
      <c r="H228" s="24"/>
      <c r="I228" s="24"/>
      <c r="J228" s="24"/>
      <c r="K228" s="24"/>
      <c r="L228" s="26" t="str">
        <f aca="false">IF($B228="","",IFERROR(INDEX(ST_LOT,MATCH($B228,ST_ID,0)),""))</f>
        <v/>
      </c>
      <c r="M228" s="26" t="str">
        <f aca="false">IF($B228="","",IFERROR(INDEX(ST_STRAIT,MATCH($B228,ST_ID,0)),""))</f>
        <v/>
      </c>
      <c r="N228" s="26" t="str">
        <f aca="false">IF($B228="","",IF($E228="",$L228,$E228))</f>
        <v/>
      </c>
      <c r="O228" s="26" t="str">
        <f aca="false">IF($N228="","",IFERROR(INDEX(LOT_EXTE,MATCH($N228,LOT_KEY,0)),""))</f>
        <v/>
      </c>
      <c r="P228" s="26" t="str">
        <f aca="false">IF($J228="","",IFERROR(INDEX(EMPL_CLASSE,MATCH($J228,EMPL_KEY,0)),"?"))</f>
        <v/>
      </c>
      <c r="Q228" s="28" t="n">
        <f aca="false">IF($B228="",0,IF(OR(ISNA(MATCH($B228,ST_ID,0)),NOT(ISNUMBER($F228)),$F228&lt;=0,$J228="",$N228=""),0,1))</f>
        <v>0</v>
      </c>
      <c r="R228" s="27" t="n">
        <f aca="false">IF($Q228=0,0,$F228)</f>
        <v>0</v>
      </c>
      <c r="S228" s="26" t="str">
        <f aca="false">IF($B228="","",IFERROR(INDEX(ST_STATUT,MATCH($B228,ST_ID,0)),""))</f>
        <v/>
      </c>
      <c r="T228" s="26" t="str">
        <f aca="false">IF($B228="","",IF($Q228=0,"DONNEES MANQUANTES",IF(OR($S228="DONNEES MANQUANTES",$S228="STOCK INSUFFISANT",$S228="EMPLACEMENT INCOHERENT",$S228="BLOQUE"),"BLOQUE","OK")))</f>
        <v/>
      </c>
      <c r="U228" s="28" t="n">
        <f aca="false">IF($T228="OK",1,0)</f>
        <v>0</v>
      </c>
      <c r="V228" s="26" t="str">
        <f aca="false">IF($B228="","",IF($Q228=0,"A COMPLETER : "&amp;IF(ISNA(MATCH($B228,ST_ID,0)),"ID ST valide; ","")&amp;IF(OR(NOT(ISNUMBER($F228)),$F228&lt;=0),"QUANTITE &gt; 0; ","")&amp;IF($J228="","EMPL. DESTINATION; ",""),IF($T228="BLOQUE","Envoi parent en anomalie ("&amp;$S228&amp;") : corriger l'onglet SOUS_TRAITANCE.",IF(AND($E228&lt;&gt;"",ISNA(MATCH($E228,LOT_KEY,0))),"Creer la fiche du lot resultat dans l'onglet LOTS.",""))))</f>
        <v/>
      </c>
      <c r="W228" s="31" t="str">
        <f aca="false">IF($B228="","",IF($C228&lt;&gt;"",$C228,IFERROR(INDEX(ST_DATERET,MATCH($B228,ST_ID,0)),"")))</f>
        <v/>
      </c>
      <c r="X228" s="26" t="str">
        <f aca="false">IF($Q228=0,"",IF($L228=R_LOT,IF($N228&lt;&gt;R_LOT,$N228,""),IF($N228=R_LOT,$L228,"")))</f>
        <v/>
      </c>
      <c r="Y228" s="26" t="str">
        <f aca="false">IF($X228="","",IF(COUNTIF($X$4:$X227,$X228)&gt;0,"",COUNT($Y$4:$Y227)+1))</f>
        <v/>
      </c>
      <c r="Z228" s="26" t="n">
        <f aca="false">IF($Q228=0,0,IF(OR($L228=R_LOT,$N228=R_LOT),1,0))</f>
        <v>0</v>
      </c>
      <c r="AA228" s="26" t="str">
        <f aca="false">IF($Z228=0,"",COUNTIF($Z$5:$Z228,1))</f>
        <v/>
      </c>
    </row>
    <row r="229" customFormat="false" ht="15" hidden="false" customHeight="false" outlineLevel="0" collapsed="false">
      <c r="A229" s="26" t="str">
        <f aca="false">IF($B229="","","RES-"&amp;TEXT(ROW()-4,"000"))</f>
        <v/>
      </c>
      <c r="B229" s="24"/>
      <c r="C229" s="25"/>
      <c r="D229" s="24"/>
      <c r="E229" s="24"/>
      <c r="F229" s="29"/>
      <c r="G229" s="24"/>
      <c r="H229" s="24"/>
      <c r="I229" s="24"/>
      <c r="J229" s="24"/>
      <c r="K229" s="24"/>
      <c r="L229" s="26" t="str">
        <f aca="false">IF($B229="","",IFERROR(INDEX(ST_LOT,MATCH($B229,ST_ID,0)),""))</f>
        <v/>
      </c>
      <c r="M229" s="26" t="str">
        <f aca="false">IF($B229="","",IFERROR(INDEX(ST_STRAIT,MATCH($B229,ST_ID,0)),""))</f>
        <v/>
      </c>
      <c r="N229" s="26" t="str">
        <f aca="false">IF($B229="","",IF($E229="",$L229,$E229))</f>
        <v/>
      </c>
      <c r="O229" s="26" t="str">
        <f aca="false">IF($N229="","",IFERROR(INDEX(LOT_EXTE,MATCH($N229,LOT_KEY,0)),""))</f>
        <v/>
      </c>
      <c r="P229" s="26" t="str">
        <f aca="false">IF($J229="","",IFERROR(INDEX(EMPL_CLASSE,MATCH($J229,EMPL_KEY,0)),"?"))</f>
        <v/>
      </c>
      <c r="Q229" s="28" t="n">
        <f aca="false">IF($B229="",0,IF(OR(ISNA(MATCH($B229,ST_ID,0)),NOT(ISNUMBER($F229)),$F229&lt;=0,$J229="",$N229=""),0,1))</f>
        <v>0</v>
      </c>
      <c r="R229" s="27" t="n">
        <f aca="false">IF($Q229=0,0,$F229)</f>
        <v>0</v>
      </c>
      <c r="S229" s="26" t="str">
        <f aca="false">IF($B229="","",IFERROR(INDEX(ST_STATUT,MATCH($B229,ST_ID,0)),""))</f>
        <v/>
      </c>
      <c r="T229" s="26" t="str">
        <f aca="false">IF($B229="","",IF($Q229=0,"DONNEES MANQUANTES",IF(OR($S229="DONNEES MANQUANTES",$S229="STOCK INSUFFISANT",$S229="EMPLACEMENT INCOHERENT",$S229="BLOQUE"),"BLOQUE","OK")))</f>
        <v/>
      </c>
      <c r="U229" s="28" t="n">
        <f aca="false">IF($T229="OK",1,0)</f>
        <v>0</v>
      </c>
      <c r="V229" s="26" t="str">
        <f aca="false">IF($B229="","",IF($Q229=0,"A COMPLETER : "&amp;IF(ISNA(MATCH($B229,ST_ID,0)),"ID ST valide; ","")&amp;IF(OR(NOT(ISNUMBER($F229)),$F229&lt;=0),"QUANTITE &gt; 0; ","")&amp;IF($J229="","EMPL. DESTINATION; ",""),IF($T229="BLOQUE","Envoi parent en anomalie ("&amp;$S229&amp;") : corriger l'onglet SOUS_TRAITANCE.",IF(AND($E229&lt;&gt;"",ISNA(MATCH($E229,LOT_KEY,0))),"Creer la fiche du lot resultat dans l'onglet LOTS.",""))))</f>
        <v/>
      </c>
      <c r="W229" s="31" t="str">
        <f aca="false">IF($B229="","",IF($C229&lt;&gt;"",$C229,IFERROR(INDEX(ST_DATERET,MATCH($B229,ST_ID,0)),"")))</f>
        <v/>
      </c>
      <c r="X229" s="26" t="str">
        <f aca="false">IF($Q229=0,"",IF($L229=R_LOT,IF($N229&lt;&gt;R_LOT,$N229,""),IF($N229=R_LOT,$L229,"")))</f>
        <v/>
      </c>
      <c r="Y229" s="26" t="str">
        <f aca="false">IF($X229="","",IF(COUNTIF($X$4:$X228,$X229)&gt;0,"",COUNT($Y$4:$Y228)+1))</f>
        <v/>
      </c>
      <c r="Z229" s="26" t="n">
        <f aca="false">IF($Q229=0,0,IF(OR($L229=R_LOT,$N229=R_LOT),1,0))</f>
        <v>0</v>
      </c>
      <c r="AA229" s="26" t="str">
        <f aca="false">IF($Z229=0,"",COUNTIF($Z$5:$Z229,1))</f>
        <v/>
      </c>
    </row>
    <row r="230" customFormat="false" ht="15" hidden="false" customHeight="false" outlineLevel="0" collapsed="false">
      <c r="A230" s="26" t="str">
        <f aca="false">IF($B230="","","RES-"&amp;TEXT(ROW()-4,"000"))</f>
        <v/>
      </c>
      <c r="B230" s="24"/>
      <c r="C230" s="25"/>
      <c r="D230" s="24"/>
      <c r="E230" s="24"/>
      <c r="F230" s="29"/>
      <c r="G230" s="24"/>
      <c r="H230" s="24"/>
      <c r="I230" s="24"/>
      <c r="J230" s="24"/>
      <c r="K230" s="24"/>
      <c r="L230" s="26" t="str">
        <f aca="false">IF($B230="","",IFERROR(INDEX(ST_LOT,MATCH($B230,ST_ID,0)),""))</f>
        <v/>
      </c>
      <c r="M230" s="26" t="str">
        <f aca="false">IF($B230="","",IFERROR(INDEX(ST_STRAIT,MATCH($B230,ST_ID,0)),""))</f>
        <v/>
      </c>
      <c r="N230" s="26" t="str">
        <f aca="false">IF($B230="","",IF($E230="",$L230,$E230))</f>
        <v/>
      </c>
      <c r="O230" s="26" t="str">
        <f aca="false">IF($N230="","",IFERROR(INDEX(LOT_EXTE,MATCH($N230,LOT_KEY,0)),""))</f>
        <v/>
      </c>
      <c r="P230" s="26" t="str">
        <f aca="false">IF($J230="","",IFERROR(INDEX(EMPL_CLASSE,MATCH($J230,EMPL_KEY,0)),"?"))</f>
        <v/>
      </c>
      <c r="Q230" s="28" t="n">
        <f aca="false">IF($B230="",0,IF(OR(ISNA(MATCH($B230,ST_ID,0)),NOT(ISNUMBER($F230)),$F230&lt;=0,$J230="",$N230=""),0,1))</f>
        <v>0</v>
      </c>
      <c r="R230" s="27" t="n">
        <f aca="false">IF($Q230=0,0,$F230)</f>
        <v>0</v>
      </c>
      <c r="S230" s="26" t="str">
        <f aca="false">IF($B230="","",IFERROR(INDEX(ST_STATUT,MATCH($B230,ST_ID,0)),""))</f>
        <v/>
      </c>
      <c r="T230" s="26" t="str">
        <f aca="false">IF($B230="","",IF($Q230=0,"DONNEES MANQUANTES",IF(OR($S230="DONNEES MANQUANTES",$S230="STOCK INSUFFISANT",$S230="EMPLACEMENT INCOHERENT",$S230="BLOQUE"),"BLOQUE","OK")))</f>
        <v/>
      </c>
      <c r="U230" s="28" t="n">
        <f aca="false">IF($T230="OK",1,0)</f>
        <v>0</v>
      </c>
      <c r="V230" s="26" t="str">
        <f aca="false">IF($B230="","",IF($Q230=0,"A COMPLETER : "&amp;IF(ISNA(MATCH($B230,ST_ID,0)),"ID ST valide; ","")&amp;IF(OR(NOT(ISNUMBER($F230)),$F230&lt;=0),"QUANTITE &gt; 0; ","")&amp;IF($J230="","EMPL. DESTINATION; ",""),IF($T230="BLOQUE","Envoi parent en anomalie ("&amp;$S230&amp;") : corriger l'onglet SOUS_TRAITANCE.",IF(AND($E230&lt;&gt;"",ISNA(MATCH($E230,LOT_KEY,0))),"Creer la fiche du lot resultat dans l'onglet LOTS.",""))))</f>
        <v/>
      </c>
      <c r="W230" s="31" t="str">
        <f aca="false">IF($B230="","",IF($C230&lt;&gt;"",$C230,IFERROR(INDEX(ST_DATERET,MATCH($B230,ST_ID,0)),"")))</f>
        <v/>
      </c>
      <c r="X230" s="26" t="str">
        <f aca="false">IF($Q230=0,"",IF($L230=R_LOT,IF($N230&lt;&gt;R_LOT,$N230,""),IF($N230=R_LOT,$L230,"")))</f>
        <v/>
      </c>
      <c r="Y230" s="26" t="str">
        <f aca="false">IF($X230="","",IF(COUNTIF($X$4:$X229,$X230)&gt;0,"",COUNT($Y$4:$Y229)+1))</f>
        <v/>
      </c>
      <c r="Z230" s="26" t="n">
        <f aca="false">IF($Q230=0,0,IF(OR($L230=R_LOT,$N230=R_LOT),1,0))</f>
        <v>0</v>
      </c>
      <c r="AA230" s="26" t="str">
        <f aca="false">IF($Z230=0,"",COUNTIF($Z$5:$Z230,1))</f>
        <v/>
      </c>
    </row>
    <row r="231" customFormat="false" ht="15" hidden="false" customHeight="false" outlineLevel="0" collapsed="false">
      <c r="A231" s="26" t="str">
        <f aca="false">IF($B231="","","RES-"&amp;TEXT(ROW()-4,"000"))</f>
        <v/>
      </c>
      <c r="B231" s="24"/>
      <c r="C231" s="25"/>
      <c r="D231" s="24"/>
      <c r="E231" s="24"/>
      <c r="F231" s="29"/>
      <c r="G231" s="24"/>
      <c r="H231" s="24"/>
      <c r="I231" s="24"/>
      <c r="J231" s="24"/>
      <c r="K231" s="24"/>
      <c r="L231" s="26" t="str">
        <f aca="false">IF($B231="","",IFERROR(INDEX(ST_LOT,MATCH($B231,ST_ID,0)),""))</f>
        <v/>
      </c>
      <c r="M231" s="26" t="str">
        <f aca="false">IF($B231="","",IFERROR(INDEX(ST_STRAIT,MATCH($B231,ST_ID,0)),""))</f>
        <v/>
      </c>
      <c r="N231" s="26" t="str">
        <f aca="false">IF($B231="","",IF($E231="",$L231,$E231))</f>
        <v/>
      </c>
      <c r="O231" s="26" t="str">
        <f aca="false">IF($N231="","",IFERROR(INDEX(LOT_EXTE,MATCH($N231,LOT_KEY,0)),""))</f>
        <v/>
      </c>
      <c r="P231" s="26" t="str">
        <f aca="false">IF($J231="","",IFERROR(INDEX(EMPL_CLASSE,MATCH($J231,EMPL_KEY,0)),"?"))</f>
        <v/>
      </c>
      <c r="Q231" s="28" t="n">
        <f aca="false">IF($B231="",0,IF(OR(ISNA(MATCH($B231,ST_ID,0)),NOT(ISNUMBER($F231)),$F231&lt;=0,$J231="",$N231=""),0,1))</f>
        <v>0</v>
      </c>
      <c r="R231" s="27" t="n">
        <f aca="false">IF($Q231=0,0,$F231)</f>
        <v>0</v>
      </c>
      <c r="S231" s="26" t="str">
        <f aca="false">IF($B231="","",IFERROR(INDEX(ST_STATUT,MATCH($B231,ST_ID,0)),""))</f>
        <v/>
      </c>
      <c r="T231" s="26" t="str">
        <f aca="false">IF($B231="","",IF($Q231=0,"DONNEES MANQUANTES",IF(OR($S231="DONNEES MANQUANTES",$S231="STOCK INSUFFISANT",$S231="EMPLACEMENT INCOHERENT",$S231="BLOQUE"),"BLOQUE","OK")))</f>
        <v/>
      </c>
      <c r="U231" s="28" t="n">
        <f aca="false">IF($T231="OK",1,0)</f>
        <v>0</v>
      </c>
      <c r="V231" s="26" t="str">
        <f aca="false">IF($B231="","",IF($Q231=0,"A COMPLETER : "&amp;IF(ISNA(MATCH($B231,ST_ID,0)),"ID ST valide; ","")&amp;IF(OR(NOT(ISNUMBER($F231)),$F231&lt;=0),"QUANTITE &gt; 0; ","")&amp;IF($J231="","EMPL. DESTINATION; ",""),IF($T231="BLOQUE","Envoi parent en anomalie ("&amp;$S231&amp;") : corriger l'onglet SOUS_TRAITANCE.",IF(AND($E231&lt;&gt;"",ISNA(MATCH($E231,LOT_KEY,0))),"Creer la fiche du lot resultat dans l'onglet LOTS.",""))))</f>
        <v/>
      </c>
      <c r="W231" s="31" t="str">
        <f aca="false">IF($B231="","",IF($C231&lt;&gt;"",$C231,IFERROR(INDEX(ST_DATERET,MATCH($B231,ST_ID,0)),"")))</f>
        <v/>
      </c>
      <c r="X231" s="26" t="str">
        <f aca="false">IF($Q231=0,"",IF($L231=R_LOT,IF($N231&lt;&gt;R_LOT,$N231,""),IF($N231=R_LOT,$L231,"")))</f>
        <v/>
      </c>
      <c r="Y231" s="26" t="str">
        <f aca="false">IF($X231="","",IF(COUNTIF($X$4:$X230,$X231)&gt;0,"",COUNT($Y$4:$Y230)+1))</f>
        <v/>
      </c>
      <c r="Z231" s="26" t="n">
        <f aca="false">IF($Q231=0,0,IF(OR($L231=R_LOT,$N231=R_LOT),1,0))</f>
        <v>0</v>
      </c>
      <c r="AA231" s="26" t="str">
        <f aca="false">IF($Z231=0,"",COUNTIF($Z$5:$Z231,1))</f>
        <v/>
      </c>
    </row>
    <row r="232" customFormat="false" ht="15" hidden="false" customHeight="false" outlineLevel="0" collapsed="false">
      <c r="A232" s="26" t="str">
        <f aca="false">IF($B232="","","RES-"&amp;TEXT(ROW()-4,"000"))</f>
        <v/>
      </c>
      <c r="B232" s="24"/>
      <c r="C232" s="25"/>
      <c r="D232" s="24"/>
      <c r="E232" s="24"/>
      <c r="F232" s="29"/>
      <c r="G232" s="24"/>
      <c r="H232" s="24"/>
      <c r="I232" s="24"/>
      <c r="J232" s="24"/>
      <c r="K232" s="24"/>
      <c r="L232" s="26" t="str">
        <f aca="false">IF($B232="","",IFERROR(INDEX(ST_LOT,MATCH($B232,ST_ID,0)),""))</f>
        <v/>
      </c>
      <c r="M232" s="26" t="str">
        <f aca="false">IF($B232="","",IFERROR(INDEX(ST_STRAIT,MATCH($B232,ST_ID,0)),""))</f>
        <v/>
      </c>
      <c r="N232" s="26" t="str">
        <f aca="false">IF($B232="","",IF($E232="",$L232,$E232))</f>
        <v/>
      </c>
      <c r="O232" s="26" t="str">
        <f aca="false">IF($N232="","",IFERROR(INDEX(LOT_EXTE,MATCH($N232,LOT_KEY,0)),""))</f>
        <v/>
      </c>
      <c r="P232" s="26" t="str">
        <f aca="false">IF($J232="","",IFERROR(INDEX(EMPL_CLASSE,MATCH($J232,EMPL_KEY,0)),"?"))</f>
        <v/>
      </c>
      <c r="Q232" s="28" t="n">
        <f aca="false">IF($B232="",0,IF(OR(ISNA(MATCH($B232,ST_ID,0)),NOT(ISNUMBER($F232)),$F232&lt;=0,$J232="",$N232=""),0,1))</f>
        <v>0</v>
      </c>
      <c r="R232" s="27" t="n">
        <f aca="false">IF($Q232=0,0,$F232)</f>
        <v>0</v>
      </c>
      <c r="S232" s="26" t="str">
        <f aca="false">IF($B232="","",IFERROR(INDEX(ST_STATUT,MATCH($B232,ST_ID,0)),""))</f>
        <v/>
      </c>
      <c r="T232" s="26" t="str">
        <f aca="false">IF($B232="","",IF($Q232=0,"DONNEES MANQUANTES",IF(OR($S232="DONNEES MANQUANTES",$S232="STOCK INSUFFISANT",$S232="EMPLACEMENT INCOHERENT",$S232="BLOQUE"),"BLOQUE","OK")))</f>
        <v/>
      </c>
      <c r="U232" s="28" t="n">
        <f aca="false">IF($T232="OK",1,0)</f>
        <v>0</v>
      </c>
      <c r="V232" s="26" t="str">
        <f aca="false">IF($B232="","",IF($Q232=0,"A COMPLETER : "&amp;IF(ISNA(MATCH($B232,ST_ID,0)),"ID ST valide; ","")&amp;IF(OR(NOT(ISNUMBER($F232)),$F232&lt;=0),"QUANTITE &gt; 0; ","")&amp;IF($J232="","EMPL. DESTINATION; ",""),IF($T232="BLOQUE","Envoi parent en anomalie ("&amp;$S232&amp;") : corriger l'onglet SOUS_TRAITANCE.",IF(AND($E232&lt;&gt;"",ISNA(MATCH($E232,LOT_KEY,0))),"Creer la fiche du lot resultat dans l'onglet LOTS.",""))))</f>
        <v/>
      </c>
      <c r="W232" s="31" t="str">
        <f aca="false">IF($B232="","",IF($C232&lt;&gt;"",$C232,IFERROR(INDEX(ST_DATERET,MATCH($B232,ST_ID,0)),"")))</f>
        <v/>
      </c>
      <c r="X232" s="26" t="str">
        <f aca="false">IF($Q232=0,"",IF($L232=R_LOT,IF($N232&lt;&gt;R_LOT,$N232,""),IF($N232=R_LOT,$L232,"")))</f>
        <v/>
      </c>
      <c r="Y232" s="26" t="str">
        <f aca="false">IF($X232="","",IF(COUNTIF($X$4:$X231,$X232)&gt;0,"",COUNT($Y$4:$Y231)+1))</f>
        <v/>
      </c>
      <c r="Z232" s="26" t="n">
        <f aca="false">IF($Q232=0,0,IF(OR($L232=R_LOT,$N232=R_LOT),1,0))</f>
        <v>0</v>
      </c>
      <c r="AA232" s="26" t="str">
        <f aca="false">IF($Z232=0,"",COUNTIF($Z$5:$Z232,1))</f>
        <v/>
      </c>
    </row>
    <row r="233" customFormat="false" ht="15" hidden="false" customHeight="false" outlineLevel="0" collapsed="false">
      <c r="A233" s="26" t="str">
        <f aca="false">IF($B233="","","RES-"&amp;TEXT(ROW()-4,"000"))</f>
        <v/>
      </c>
      <c r="B233" s="24"/>
      <c r="C233" s="25"/>
      <c r="D233" s="24"/>
      <c r="E233" s="24"/>
      <c r="F233" s="29"/>
      <c r="G233" s="24"/>
      <c r="H233" s="24"/>
      <c r="I233" s="24"/>
      <c r="J233" s="24"/>
      <c r="K233" s="24"/>
      <c r="L233" s="26" t="str">
        <f aca="false">IF($B233="","",IFERROR(INDEX(ST_LOT,MATCH($B233,ST_ID,0)),""))</f>
        <v/>
      </c>
      <c r="M233" s="26" t="str">
        <f aca="false">IF($B233="","",IFERROR(INDEX(ST_STRAIT,MATCH($B233,ST_ID,0)),""))</f>
        <v/>
      </c>
      <c r="N233" s="26" t="str">
        <f aca="false">IF($B233="","",IF($E233="",$L233,$E233))</f>
        <v/>
      </c>
      <c r="O233" s="26" t="str">
        <f aca="false">IF($N233="","",IFERROR(INDEX(LOT_EXTE,MATCH($N233,LOT_KEY,0)),""))</f>
        <v/>
      </c>
      <c r="P233" s="26" t="str">
        <f aca="false">IF($J233="","",IFERROR(INDEX(EMPL_CLASSE,MATCH($J233,EMPL_KEY,0)),"?"))</f>
        <v/>
      </c>
      <c r="Q233" s="28" t="n">
        <f aca="false">IF($B233="",0,IF(OR(ISNA(MATCH($B233,ST_ID,0)),NOT(ISNUMBER($F233)),$F233&lt;=0,$J233="",$N233=""),0,1))</f>
        <v>0</v>
      </c>
      <c r="R233" s="27" t="n">
        <f aca="false">IF($Q233=0,0,$F233)</f>
        <v>0</v>
      </c>
      <c r="S233" s="26" t="str">
        <f aca="false">IF($B233="","",IFERROR(INDEX(ST_STATUT,MATCH($B233,ST_ID,0)),""))</f>
        <v/>
      </c>
      <c r="T233" s="26" t="str">
        <f aca="false">IF($B233="","",IF($Q233=0,"DONNEES MANQUANTES",IF(OR($S233="DONNEES MANQUANTES",$S233="STOCK INSUFFISANT",$S233="EMPLACEMENT INCOHERENT",$S233="BLOQUE"),"BLOQUE","OK")))</f>
        <v/>
      </c>
      <c r="U233" s="28" t="n">
        <f aca="false">IF($T233="OK",1,0)</f>
        <v>0</v>
      </c>
      <c r="V233" s="26" t="str">
        <f aca="false">IF($B233="","",IF($Q233=0,"A COMPLETER : "&amp;IF(ISNA(MATCH($B233,ST_ID,0)),"ID ST valide; ","")&amp;IF(OR(NOT(ISNUMBER($F233)),$F233&lt;=0),"QUANTITE &gt; 0; ","")&amp;IF($J233="","EMPL. DESTINATION; ",""),IF($T233="BLOQUE","Envoi parent en anomalie ("&amp;$S233&amp;") : corriger l'onglet SOUS_TRAITANCE.",IF(AND($E233&lt;&gt;"",ISNA(MATCH($E233,LOT_KEY,0))),"Creer la fiche du lot resultat dans l'onglet LOTS.",""))))</f>
        <v/>
      </c>
      <c r="W233" s="31" t="str">
        <f aca="false">IF($B233="","",IF($C233&lt;&gt;"",$C233,IFERROR(INDEX(ST_DATERET,MATCH($B233,ST_ID,0)),"")))</f>
        <v/>
      </c>
      <c r="X233" s="26" t="str">
        <f aca="false">IF($Q233=0,"",IF($L233=R_LOT,IF($N233&lt;&gt;R_LOT,$N233,""),IF($N233=R_LOT,$L233,"")))</f>
        <v/>
      </c>
      <c r="Y233" s="26" t="str">
        <f aca="false">IF($X233="","",IF(COUNTIF($X$4:$X232,$X233)&gt;0,"",COUNT($Y$4:$Y232)+1))</f>
        <v/>
      </c>
      <c r="Z233" s="26" t="n">
        <f aca="false">IF($Q233=0,0,IF(OR($L233=R_LOT,$N233=R_LOT),1,0))</f>
        <v>0</v>
      </c>
      <c r="AA233" s="26" t="str">
        <f aca="false">IF($Z233=0,"",COUNTIF($Z$5:$Z233,1))</f>
        <v/>
      </c>
    </row>
    <row r="234" customFormat="false" ht="15" hidden="false" customHeight="false" outlineLevel="0" collapsed="false">
      <c r="A234" s="26" t="str">
        <f aca="false">IF($B234="","","RES-"&amp;TEXT(ROW()-4,"000"))</f>
        <v/>
      </c>
      <c r="B234" s="24"/>
      <c r="C234" s="25"/>
      <c r="D234" s="24"/>
      <c r="E234" s="24"/>
      <c r="F234" s="29"/>
      <c r="G234" s="24"/>
      <c r="H234" s="24"/>
      <c r="I234" s="24"/>
      <c r="J234" s="24"/>
      <c r="K234" s="24"/>
      <c r="L234" s="26" t="str">
        <f aca="false">IF($B234="","",IFERROR(INDEX(ST_LOT,MATCH($B234,ST_ID,0)),""))</f>
        <v/>
      </c>
      <c r="M234" s="26" t="str">
        <f aca="false">IF($B234="","",IFERROR(INDEX(ST_STRAIT,MATCH($B234,ST_ID,0)),""))</f>
        <v/>
      </c>
      <c r="N234" s="26" t="str">
        <f aca="false">IF($B234="","",IF($E234="",$L234,$E234))</f>
        <v/>
      </c>
      <c r="O234" s="26" t="str">
        <f aca="false">IF($N234="","",IFERROR(INDEX(LOT_EXTE,MATCH($N234,LOT_KEY,0)),""))</f>
        <v/>
      </c>
      <c r="P234" s="26" t="str">
        <f aca="false">IF($J234="","",IFERROR(INDEX(EMPL_CLASSE,MATCH($J234,EMPL_KEY,0)),"?"))</f>
        <v/>
      </c>
      <c r="Q234" s="28" t="n">
        <f aca="false">IF($B234="",0,IF(OR(ISNA(MATCH($B234,ST_ID,0)),NOT(ISNUMBER($F234)),$F234&lt;=0,$J234="",$N234=""),0,1))</f>
        <v>0</v>
      </c>
      <c r="R234" s="27" t="n">
        <f aca="false">IF($Q234=0,0,$F234)</f>
        <v>0</v>
      </c>
      <c r="S234" s="26" t="str">
        <f aca="false">IF($B234="","",IFERROR(INDEX(ST_STATUT,MATCH($B234,ST_ID,0)),""))</f>
        <v/>
      </c>
      <c r="T234" s="26" t="str">
        <f aca="false">IF($B234="","",IF($Q234=0,"DONNEES MANQUANTES",IF(OR($S234="DONNEES MANQUANTES",$S234="STOCK INSUFFISANT",$S234="EMPLACEMENT INCOHERENT",$S234="BLOQUE"),"BLOQUE","OK")))</f>
        <v/>
      </c>
      <c r="U234" s="28" t="n">
        <f aca="false">IF($T234="OK",1,0)</f>
        <v>0</v>
      </c>
      <c r="V234" s="26" t="str">
        <f aca="false">IF($B234="","",IF($Q234=0,"A COMPLETER : "&amp;IF(ISNA(MATCH($B234,ST_ID,0)),"ID ST valide; ","")&amp;IF(OR(NOT(ISNUMBER($F234)),$F234&lt;=0),"QUANTITE &gt; 0; ","")&amp;IF($J234="","EMPL. DESTINATION; ",""),IF($T234="BLOQUE","Envoi parent en anomalie ("&amp;$S234&amp;") : corriger l'onglet SOUS_TRAITANCE.",IF(AND($E234&lt;&gt;"",ISNA(MATCH($E234,LOT_KEY,0))),"Creer la fiche du lot resultat dans l'onglet LOTS.",""))))</f>
        <v/>
      </c>
      <c r="W234" s="31" t="str">
        <f aca="false">IF($B234="","",IF($C234&lt;&gt;"",$C234,IFERROR(INDEX(ST_DATERET,MATCH($B234,ST_ID,0)),"")))</f>
        <v/>
      </c>
      <c r="X234" s="26" t="str">
        <f aca="false">IF($Q234=0,"",IF($L234=R_LOT,IF($N234&lt;&gt;R_LOT,$N234,""),IF($N234=R_LOT,$L234,"")))</f>
        <v/>
      </c>
      <c r="Y234" s="26" t="str">
        <f aca="false">IF($X234="","",IF(COUNTIF($X$4:$X233,$X234)&gt;0,"",COUNT($Y$4:$Y233)+1))</f>
        <v/>
      </c>
      <c r="Z234" s="26" t="n">
        <f aca="false">IF($Q234=0,0,IF(OR($L234=R_LOT,$N234=R_LOT),1,0))</f>
        <v>0</v>
      </c>
      <c r="AA234" s="26" t="str">
        <f aca="false">IF($Z234=0,"",COUNTIF($Z$5:$Z234,1))</f>
        <v/>
      </c>
    </row>
    <row r="235" customFormat="false" ht="15" hidden="false" customHeight="false" outlineLevel="0" collapsed="false">
      <c r="A235" s="26" t="str">
        <f aca="false">IF($B235="","","RES-"&amp;TEXT(ROW()-4,"000"))</f>
        <v/>
      </c>
      <c r="B235" s="24"/>
      <c r="C235" s="25"/>
      <c r="D235" s="24"/>
      <c r="E235" s="24"/>
      <c r="F235" s="29"/>
      <c r="G235" s="24"/>
      <c r="H235" s="24"/>
      <c r="I235" s="24"/>
      <c r="J235" s="24"/>
      <c r="K235" s="24"/>
      <c r="L235" s="26" t="str">
        <f aca="false">IF($B235="","",IFERROR(INDEX(ST_LOT,MATCH($B235,ST_ID,0)),""))</f>
        <v/>
      </c>
      <c r="M235" s="26" t="str">
        <f aca="false">IF($B235="","",IFERROR(INDEX(ST_STRAIT,MATCH($B235,ST_ID,0)),""))</f>
        <v/>
      </c>
      <c r="N235" s="26" t="str">
        <f aca="false">IF($B235="","",IF($E235="",$L235,$E235))</f>
        <v/>
      </c>
      <c r="O235" s="26" t="str">
        <f aca="false">IF($N235="","",IFERROR(INDEX(LOT_EXTE,MATCH($N235,LOT_KEY,0)),""))</f>
        <v/>
      </c>
      <c r="P235" s="26" t="str">
        <f aca="false">IF($J235="","",IFERROR(INDEX(EMPL_CLASSE,MATCH($J235,EMPL_KEY,0)),"?"))</f>
        <v/>
      </c>
      <c r="Q235" s="28" t="n">
        <f aca="false">IF($B235="",0,IF(OR(ISNA(MATCH($B235,ST_ID,0)),NOT(ISNUMBER($F235)),$F235&lt;=0,$J235="",$N235=""),0,1))</f>
        <v>0</v>
      </c>
      <c r="R235" s="27" t="n">
        <f aca="false">IF($Q235=0,0,$F235)</f>
        <v>0</v>
      </c>
      <c r="S235" s="26" t="str">
        <f aca="false">IF($B235="","",IFERROR(INDEX(ST_STATUT,MATCH($B235,ST_ID,0)),""))</f>
        <v/>
      </c>
      <c r="T235" s="26" t="str">
        <f aca="false">IF($B235="","",IF($Q235=0,"DONNEES MANQUANTES",IF(OR($S235="DONNEES MANQUANTES",$S235="STOCK INSUFFISANT",$S235="EMPLACEMENT INCOHERENT",$S235="BLOQUE"),"BLOQUE","OK")))</f>
        <v/>
      </c>
      <c r="U235" s="28" t="n">
        <f aca="false">IF($T235="OK",1,0)</f>
        <v>0</v>
      </c>
      <c r="V235" s="26" t="str">
        <f aca="false">IF($B235="","",IF($Q235=0,"A COMPLETER : "&amp;IF(ISNA(MATCH($B235,ST_ID,0)),"ID ST valide; ","")&amp;IF(OR(NOT(ISNUMBER($F235)),$F235&lt;=0),"QUANTITE &gt; 0; ","")&amp;IF($J235="","EMPL. DESTINATION; ",""),IF($T235="BLOQUE","Envoi parent en anomalie ("&amp;$S235&amp;") : corriger l'onglet SOUS_TRAITANCE.",IF(AND($E235&lt;&gt;"",ISNA(MATCH($E235,LOT_KEY,0))),"Creer la fiche du lot resultat dans l'onglet LOTS.",""))))</f>
        <v/>
      </c>
      <c r="W235" s="31" t="str">
        <f aca="false">IF($B235="","",IF($C235&lt;&gt;"",$C235,IFERROR(INDEX(ST_DATERET,MATCH($B235,ST_ID,0)),"")))</f>
        <v/>
      </c>
      <c r="X235" s="26" t="str">
        <f aca="false">IF($Q235=0,"",IF($L235=R_LOT,IF($N235&lt;&gt;R_LOT,$N235,""),IF($N235=R_LOT,$L235,"")))</f>
        <v/>
      </c>
      <c r="Y235" s="26" t="str">
        <f aca="false">IF($X235="","",IF(COUNTIF($X$4:$X234,$X235)&gt;0,"",COUNT($Y$4:$Y234)+1))</f>
        <v/>
      </c>
      <c r="Z235" s="26" t="n">
        <f aca="false">IF($Q235=0,0,IF(OR($L235=R_LOT,$N235=R_LOT),1,0))</f>
        <v>0</v>
      </c>
      <c r="AA235" s="26" t="str">
        <f aca="false">IF($Z235=0,"",COUNTIF($Z$5:$Z235,1))</f>
        <v/>
      </c>
    </row>
    <row r="236" customFormat="false" ht="15" hidden="false" customHeight="false" outlineLevel="0" collapsed="false">
      <c r="A236" s="26" t="str">
        <f aca="false">IF($B236="","","RES-"&amp;TEXT(ROW()-4,"000"))</f>
        <v/>
      </c>
      <c r="B236" s="24"/>
      <c r="C236" s="25"/>
      <c r="D236" s="24"/>
      <c r="E236" s="24"/>
      <c r="F236" s="29"/>
      <c r="G236" s="24"/>
      <c r="H236" s="24"/>
      <c r="I236" s="24"/>
      <c r="J236" s="24"/>
      <c r="K236" s="24"/>
      <c r="L236" s="26" t="str">
        <f aca="false">IF($B236="","",IFERROR(INDEX(ST_LOT,MATCH($B236,ST_ID,0)),""))</f>
        <v/>
      </c>
      <c r="M236" s="26" t="str">
        <f aca="false">IF($B236="","",IFERROR(INDEX(ST_STRAIT,MATCH($B236,ST_ID,0)),""))</f>
        <v/>
      </c>
      <c r="N236" s="26" t="str">
        <f aca="false">IF($B236="","",IF($E236="",$L236,$E236))</f>
        <v/>
      </c>
      <c r="O236" s="26" t="str">
        <f aca="false">IF($N236="","",IFERROR(INDEX(LOT_EXTE,MATCH($N236,LOT_KEY,0)),""))</f>
        <v/>
      </c>
      <c r="P236" s="26" t="str">
        <f aca="false">IF($J236="","",IFERROR(INDEX(EMPL_CLASSE,MATCH($J236,EMPL_KEY,0)),"?"))</f>
        <v/>
      </c>
      <c r="Q236" s="28" t="n">
        <f aca="false">IF($B236="",0,IF(OR(ISNA(MATCH($B236,ST_ID,0)),NOT(ISNUMBER($F236)),$F236&lt;=0,$J236="",$N236=""),0,1))</f>
        <v>0</v>
      </c>
      <c r="R236" s="27" t="n">
        <f aca="false">IF($Q236=0,0,$F236)</f>
        <v>0</v>
      </c>
      <c r="S236" s="26" t="str">
        <f aca="false">IF($B236="","",IFERROR(INDEX(ST_STATUT,MATCH($B236,ST_ID,0)),""))</f>
        <v/>
      </c>
      <c r="T236" s="26" t="str">
        <f aca="false">IF($B236="","",IF($Q236=0,"DONNEES MANQUANTES",IF(OR($S236="DONNEES MANQUANTES",$S236="STOCK INSUFFISANT",$S236="EMPLACEMENT INCOHERENT",$S236="BLOQUE"),"BLOQUE","OK")))</f>
        <v/>
      </c>
      <c r="U236" s="28" t="n">
        <f aca="false">IF($T236="OK",1,0)</f>
        <v>0</v>
      </c>
      <c r="V236" s="26" t="str">
        <f aca="false">IF($B236="","",IF($Q236=0,"A COMPLETER : "&amp;IF(ISNA(MATCH($B236,ST_ID,0)),"ID ST valide; ","")&amp;IF(OR(NOT(ISNUMBER($F236)),$F236&lt;=0),"QUANTITE &gt; 0; ","")&amp;IF($J236="","EMPL. DESTINATION; ",""),IF($T236="BLOQUE","Envoi parent en anomalie ("&amp;$S236&amp;") : corriger l'onglet SOUS_TRAITANCE.",IF(AND($E236&lt;&gt;"",ISNA(MATCH($E236,LOT_KEY,0))),"Creer la fiche du lot resultat dans l'onglet LOTS.",""))))</f>
        <v/>
      </c>
      <c r="W236" s="31" t="str">
        <f aca="false">IF($B236="","",IF($C236&lt;&gt;"",$C236,IFERROR(INDEX(ST_DATERET,MATCH($B236,ST_ID,0)),"")))</f>
        <v/>
      </c>
      <c r="X236" s="26" t="str">
        <f aca="false">IF($Q236=0,"",IF($L236=R_LOT,IF($N236&lt;&gt;R_LOT,$N236,""),IF($N236=R_LOT,$L236,"")))</f>
        <v/>
      </c>
      <c r="Y236" s="26" t="str">
        <f aca="false">IF($X236="","",IF(COUNTIF($X$4:$X235,$X236)&gt;0,"",COUNT($Y$4:$Y235)+1))</f>
        <v/>
      </c>
      <c r="Z236" s="26" t="n">
        <f aca="false">IF($Q236=0,0,IF(OR($L236=R_LOT,$N236=R_LOT),1,0))</f>
        <v>0</v>
      </c>
      <c r="AA236" s="26" t="str">
        <f aca="false">IF($Z236=0,"",COUNTIF($Z$5:$Z236,1))</f>
        <v/>
      </c>
    </row>
    <row r="237" customFormat="false" ht="15" hidden="false" customHeight="false" outlineLevel="0" collapsed="false">
      <c r="A237" s="26" t="str">
        <f aca="false">IF($B237="","","RES-"&amp;TEXT(ROW()-4,"000"))</f>
        <v/>
      </c>
      <c r="B237" s="24"/>
      <c r="C237" s="25"/>
      <c r="D237" s="24"/>
      <c r="E237" s="24"/>
      <c r="F237" s="29"/>
      <c r="G237" s="24"/>
      <c r="H237" s="24"/>
      <c r="I237" s="24"/>
      <c r="J237" s="24"/>
      <c r="K237" s="24"/>
      <c r="L237" s="26" t="str">
        <f aca="false">IF($B237="","",IFERROR(INDEX(ST_LOT,MATCH($B237,ST_ID,0)),""))</f>
        <v/>
      </c>
      <c r="M237" s="26" t="str">
        <f aca="false">IF($B237="","",IFERROR(INDEX(ST_STRAIT,MATCH($B237,ST_ID,0)),""))</f>
        <v/>
      </c>
      <c r="N237" s="26" t="str">
        <f aca="false">IF($B237="","",IF($E237="",$L237,$E237))</f>
        <v/>
      </c>
      <c r="O237" s="26" t="str">
        <f aca="false">IF($N237="","",IFERROR(INDEX(LOT_EXTE,MATCH($N237,LOT_KEY,0)),""))</f>
        <v/>
      </c>
      <c r="P237" s="26" t="str">
        <f aca="false">IF($J237="","",IFERROR(INDEX(EMPL_CLASSE,MATCH($J237,EMPL_KEY,0)),"?"))</f>
        <v/>
      </c>
      <c r="Q237" s="28" t="n">
        <f aca="false">IF($B237="",0,IF(OR(ISNA(MATCH($B237,ST_ID,0)),NOT(ISNUMBER($F237)),$F237&lt;=0,$J237="",$N237=""),0,1))</f>
        <v>0</v>
      </c>
      <c r="R237" s="27" t="n">
        <f aca="false">IF($Q237=0,0,$F237)</f>
        <v>0</v>
      </c>
      <c r="S237" s="26" t="str">
        <f aca="false">IF($B237="","",IFERROR(INDEX(ST_STATUT,MATCH($B237,ST_ID,0)),""))</f>
        <v/>
      </c>
      <c r="T237" s="26" t="str">
        <f aca="false">IF($B237="","",IF($Q237=0,"DONNEES MANQUANTES",IF(OR($S237="DONNEES MANQUANTES",$S237="STOCK INSUFFISANT",$S237="EMPLACEMENT INCOHERENT",$S237="BLOQUE"),"BLOQUE","OK")))</f>
        <v/>
      </c>
      <c r="U237" s="28" t="n">
        <f aca="false">IF($T237="OK",1,0)</f>
        <v>0</v>
      </c>
      <c r="V237" s="26" t="str">
        <f aca="false">IF($B237="","",IF($Q237=0,"A COMPLETER : "&amp;IF(ISNA(MATCH($B237,ST_ID,0)),"ID ST valide; ","")&amp;IF(OR(NOT(ISNUMBER($F237)),$F237&lt;=0),"QUANTITE &gt; 0; ","")&amp;IF($J237="","EMPL. DESTINATION; ",""),IF($T237="BLOQUE","Envoi parent en anomalie ("&amp;$S237&amp;") : corriger l'onglet SOUS_TRAITANCE.",IF(AND($E237&lt;&gt;"",ISNA(MATCH($E237,LOT_KEY,0))),"Creer la fiche du lot resultat dans l'onglet LOTS.",""))))</f>
        <v/>
      </c>
      <c r="W237" s="31" t="str">
        <f aca="false">IF($B237="","",IF($C237&lt;&gt;"",$C237,IFERROR(INDEX(ST_DATERET,MATCH($B237,ST_ID,0)),"")))</f>
        <v/>
      </c>
      <c r="X237" s="26" t="str">
        <f aca="false">IF($Q237=0,"",IF($L237=R_LOT,IF($N237&lt;&gt;R_LOT,$N237,""),IF($N237=R_LOT,$L237,"")))</f>
        <v/>
      </c>
      <c r="Y237" s="26" t="str">
        <f aca="false">IF($X237="","",IF(COUNTIF($X$4:$X236,$X237)&gt;0,"",COUNT($Y$4:$Y236)+1))</f>
        <v/>
      </c>
      <c r="Z237" s="26" t="n">
        <f aca="false">IF($Q237=0,0,IF(OR($L237=R_LOT,$N237=R_LOT),1,0))</f>
        <v>0</v>
      </c>
      <c r="AA237" s="26" t="str">
        <f aca="false">IF($Z237=0,"",COUNTIF($Z$5:$Z237,1))</f>
        <v/>
      </c>
    </row>
    <row r="238" customFormat="false" ht="15" hidden="false" customHeight="false" outlineLevel="0" collapsed="false">
      <c r="A238" s="26" t="str">
        <f aca="false">IF($B238="","","RES-"&amp;TEXT(ROW()-4,"000"))</f>
        <v/>
      </c>
      <c r="B238" s="24"/>
      <c r="C238" s="25"/>
      <c r="D238" s="24"/>
      <c r="E238" s="24"/>
      <c r="F238" s="29"/>
      <c r="G238" s="24"/>
      <c r="H238" s="24"/>
      <c r="I238" s="24"/>
      <c r="J238" s="24"/>
      <c r="K238" s="24"/>
      <c r="L238" s="26" t="str">
        <f aca="false">IF($B238="","",IFERROR(INDEX(ST_LOT,MATCH($B238,ST_ID,0)),""))</f>
        <v/>
      </c>
      <c r="M238" s="26" t="str">
        <f aca="false">IF($B238="","",IFERROR(INDEX(ST_STRAIT,MATCH($B238,ST_ID,0)),""))</f>
        <v/>
      </c>
      <c r="N238" s="26" t="str">
        <f aca="false">IF($B238="","",IF($E238="",$L238,$E238))</f>
        <v/>
      </c>
      <c r="O238" s="26" t="str">
        <f aca="false">IF($N238="","",IFERROR(INDEX(LOT_EXTE,MATCH($N238,LOT_KEY,0)),""))</f>
        <v/>
      </c>
      <c r="P238" s="26" t="str">
        <f aca="false">IF($J238="","",IFERROR(INDEX(EMPL_CLASSE,MATCH($J238,EMPL_KEY,0)),"?"))</f>
        <v/>
      </c>
      <c r="Q238" s="28" t="n">
        <f aca="false">IF($B238="",0,IF(OR(ISNA(MATCH($B238,ST_ID,0)),NOT(ISNUMBER($F238)),$F238&lt;=0,$J238="",$N238=""),0,1))</f>
        <v>0</v>
      </c>
      <c r="R238" s="27" t="n">
        <f aca="false">IF($Q238=0,0,$F238)</f>
        <v>0</v>
      </c>
      <c r="S238" s="26" t="str">
        <f aca="false">IF($B238="","",IFERROR(INDEX(ST_STATUT,MATCH($B238,ST_ID,0)),""))</f>
        <v/>
      </c>
      <c r="T238" s="26" t="str">
        <f aca="false">IF($B238="","",IF($Q238=0,"DONNEES MANQUANTES",IF(OR($S238="DONNEES MANQUANTES",$S238="STOCK INSUFFISANT",$S238="EMPLACEMENT INCOHERENT",$S238="BLOQUE"),"BLOQUE","OK")))</f>
        <v/>
      </c>
      <c r="U238" s="28" t="n">
        <f aca="false">IF($T238="OK",1,0)</f>
        <v>0</v>
      </c>
      <c r="V238" s="26" t="str">
        <f aca="false">IF($B238="","",IF($Q238=0,"A COMPLETER : "&amp;IF(ISNA(MATCH($B238,ST_ID,0)),"ID ST valide; ","")&amp;IF(OR(NOT(ISNUMBER($F238)),$F238&lt;=0),"QUANTITE &gt; 0; ","")&amp;IF($J238="","EMPL. DESTINATION; ",""),IF($T238="BLOQUE","Envoi parent en anomalie ("&amp;$S238&amp;") : corriger l'onglet SOUS_TRAITANCE.",IF(AND($E238&lt;&gt;"",ISNA(MATCH($E238,LOT_KEY,0))),"Creer la fiche du lot resultat dans l'onglet LOTS.",""))))</f>
        <v/>
      </c>
      <c r="W238" s="31" t="str">
        <f aca="false">IF($B238="","",IF($C238&lt;&gt;"",$C238,IFERROR(INDEX(ST_DATERET,MATCH($B238,ST_ID,0)),"")))</f>
        <v/>
      </c>
      <c r="X238" s="26" t="str">
        <f aca="false">IF($Q238=0,"",IF($L238=R_LOT,IF($N238&lt;&gt;R_LOT,$N238,""),IF($N238=R_LOT,$L238,"")))</f>
        <v/>
      </c>
      <c r="Y238" s="26" t="str">
        <f aca="false">IF($X238="","",IF(COUNTIF($X$4:$X237,$X238)&gt;0,"",COUNT($Y$4:$Y237)+1))</f>
        <v/>
      </c>
      <c r="Z238" s="26" t="n">
        <f aca="false">IF($Q238=0,0,IF(OR($L238=R_LOT,$N238=R_LOT),1,0))</f>
        <v>0</v>
      </c>
      <c r="AA238" s="26" t="str">
        <f aca="false">IF($Z238=0,"",COUNTIF($Z$5:$Z238,1))</f>
        <v/>
      </c>
    </row>
    <row r="239" customFormat="false" ht="15" hidden="false" customHeight="false" outlineLevel="0" collapsed="false">
      <c r="A239" s="26" t="str">
        <f aca="false">IF($B239="","","RES-"&amp;TEXT(ROW()-4,"000"))</f>
        <v/>
      </c>
      <c r="B239" s="24"/>
      <c r="C239" s="25"/>
      <c r="D239" s="24"/>
      <c r="E239" s="24"/>
      <c r="F239" s="29"/>
      <c r="G239" s="24"/>
      <c r="H239" s="24"/>
      <c r="I239" s="24"/>
      <c r="J239" s="24"/>
      <c r="K239" s="24"/>
      <c r="L239" s="26" t="str">
        <f aca="false">IF($B239="","",IFERROR(INDEX(ST_LOT,MATCH($B239,ST_ID,0)),""))</f>
        <v/>
      </c>
      <c r="M239" s="26" t="str">
        <f aca="false">IF($B239="","",IFERROR(INDEX(ST_STRAIT,MATCH($B239,ST_ID,0)),""))</f>
        <v/>
      </c>
      <c r="N239" s="26" t="str">
        <f aca="false">IF($B239="","",IF($E239="",$L239,$E239))</f>
        <v/>
      </c>
      <c r="O239" s="26" t="str">
        <f aca="false">IF($N239="","",IFERROR(INDEX(LOT_EXTE,MATCH($N239,LOT_KEY,0)),""))</f>
        <v/>
      </c>
      <c r="P239" s="26" t="str">
        <f aca="false">IF($J239="","",IFERROR(INDEX(EMPL_CLASSE,MATCH($J239,EMPL_KEY,0)),"?"))</f>
        <v/>
      </c>
      <c r="Q239" s="28" t="n">
        <f aca="false">IF($B239="",0,IF(OR(ISNA(MATCH($B239,ST_ID,0)),NOT(ISNUMBER($F239)),$F239&lt;=0,$J239="",$N239=""),0,1))</f>
        <v>0</v>
      </c>
      <c r="R239" s="27" t="n">
        <f aca="false">IF($Q239=0,0,$F239)</f>
        <v>0</v>
      </c>
      <c r="S239" s="26" t="str">
        <f aca="false">IF($B239="","",IFERROR(INDEX(ST_STATUT,MATCH($B239,ST_ID,0)),""))</f>
        <v/>
      </c>
      <c r="T239" s="26" t="str">
        <f aca="false">IF($B239="","",IF($Q239=0,"DONNEES MANQUANTES",IF(OR($S239="DONNEES MANQUANTES",$S239="STOCK INSUFFISANT",$S239="EMPLACEMENT INCOHERENT",$S239="BLOQUE"),"BLOQUE","OK")))</f>
        <v/>
      </c>
      <c r="U239" s="28" t="n">
        <f aca="false">IF($T239="OK",1,0)</f>
        <v>0</v>
      </c>
      <c r="V239" s="26" t="str">
        <f aca="false">IF($B239="","",IF($Q239=0,"A COMPLETER : "&amp;IF(ISNA(MATCH($B239,ST_ID,0)),"ID ST valide; ","")&amp;IF(OR(NOT(ISNUMBER($F239)),$F239&lt;=0),"QUANTITE &gt; 0; ","")&amp;IF($J239="","EMPL. DESTINATION; ",""),IF($T239="BLOQUE","Envoi parent en anomalie ("&amp;$S239&amp;") : corriger l'onglet SOUS_TRAITANCE.",IF(AND($E239&lt;&gt;"",ISNA(MATCH($E239,LOT_KEY,0))),"Creer la fiche du lot resultat dans l'onglet LOTS.",""))))</f>
        <v/>
      </c>
      <c r="W239" s="31" t="str">
        <f aca="false">IF($B239="","",IF($C239&lt;&gt;"",$C239,IFERROR(INDEX(ST_DATERET,MATCH($B239,ST_ID,0)),"")))</f>
        <v/>
      </c>
      <c r="X239" s="26" t="str">
        <f aca="false">IF($Q239=0,"",IF($L239=R_LOT,IF($N239&lt;&gt;R_LOT,$N239,""),IF($N239=R_LOT,$L239,"")))</f>
        <v/>
      </c>
      <c r="Y239" s="26" t="str">
        <f aca="false">IF($X239="","",IF(COUNTIF($X$4:$X238,$X239)&gt;0,"",COUNT($Y$4:$Y238)+1))</f>
        <v/>
      </c>
      <c r="Z239" s="26" t="n">
        <f aca="false">IF($Q239=0,0,IF(OR($L239=R_LOT,$N239=R_LOT),1,0))</f>
        <v>0</v>
      </c>
      <c r="AA239" s="26" t="str">
        <f aca="false">IF($Z239=0,"",COUNTIF($Z$5:$Z239,1))</f>
        <v/>
      </c>
    </row>
    <row r="240" customFormat="false" ht="15" hidden="false" customHeight="false" outlineLevel="0" collapsed="false">
      <c r="A240" s="26" t="str">
        <f aca="false">IF($B240="","","RES-"&amp;TEXT(ROW()-4,"000"))</f>
        <v/>
      </c>
      <c r="B240" s="24"/>
      <c r="C240" s="25"/>
      <c r="D240" s="24"/>
      <c r="E240" s="24"/>
      <c r="F240" s="29"/>
      <c r="G240" s="24"/>
      <c r="H240" s="24"/>
      <c r="I240" s="24"/>
      <c r="J240" s="24"/>
      <c r="K240" s="24"/>
      <c r="L240" s="26" t="str">
        <f aca="false">IF($B240="","",IFERROR(INDEX(ST_LOT,MATCH($B240,ST_ID,0)),""))</f>
        <v/>
      </c>
      <c r="M240" s="26" t="str">
        <f aca="false">IF($B240="","",IFERROR(INDEX(ST_STRAIT,MATCH($B240,ST_ID,0)),""))</f>
        <v/>
      </c>
      <c r="N240" s="26" t="str">
        <f aca="false">IF($B240="","",IF($E240="",$L240,$E240))</f>
        <v/>
      </c>
      <c r="O240" s="26" t="str">
        <f aca="false">IF($N240="","",IFERROR(INDEX(LOT_EXTE,MATCH($N240,LOT_KEY,0)),""))</f>
        <v/>
      </c>
      <c r="P240" s="26" t="str">
        <f aca="false">IF($J240="","",IFERROR(INDEX(EMPL_CLASSE,MATCH($J240,EMPL_KEY,0)),"?"))</f>
        <v/>
      </c>
      <c r="Q240" s="28" t="n">
        <f aca="false">IF($B240="",0,IF(OR(ISNA(MATCH($B240,ST_ID,0)),NOT(ISNUMBER($F240)),$F240&lt;=0,$J240="",$N240=""),0,1))</f>
        <v>0</v>
      </c>
      <c r="R240" s="27" t="n">
        <f aca="false">IF($Q240=0,0,$F240)</f>
        <v>0</v>
      </c>
      <c r="S240" s="26" t="str">
        <f aca="false">IF($B240="","",IFERROR(INDEX(ST_STATUT,MATCH($B240,ST_ID,0)),""))</f>
        <v/>
      </c>
      <c r="T240" s="26" t="str">
        <f aca="false">IF($B240="","",IF($Q240=0,"DONNEES MANQUANTES",IF(OR($S240="DONNEES MANQUANTES",$S240="STOCK INSUFFISANT",$S240="EMPLACEMENT INCOHERENT",$S240="BLOQUE"),"BLOQUE","OK")))</f>
        <v/>
      </c>
      <c r="U240" s="28" t="n">
        <f aca="false">IF($T240="OK",1,0)</f>
        <v>0</v>
      </c>
      <c r="V240" s="26" t="str">
        <f aca="false">IF($B240="","",IF($Q240=0,"A COMPLETER : "&amp;IF(ISNA(MATCH($B240,ST_ID,0)),"ID ST valide; ","")&amp;IF(OR(NOT(ISNUMBER($F240)),$F240&lt;=0),"QUANTITE &gt; 0; ","")&amp;IF($J240="","EMPL. DESTINATION; ",""),IF($T240="BLOQUE","Envoi parent en anomalie ("&amp;$S240&amp;") : corriger l'onglet SOUS_TRAITANCE.",IF(AND($E240&lt;&gt;"",ISNA(MATCH($E240,LOT_KEY,0))),"Creer la fiche du lot resultat dans l'onglet LOTS.",""))))</f>
        <v/>
      </c>
      <c r="W240" s="31" t="str">
        <f aca="false">IF($B240="","",IF($C240&lt;&gt;"",$C240,IFERROR(INDEX(ST_DATERET,MATCH($B240,ST_ID,0)),"")))</f>
        <v/>
      </c>
      <c r="X240" s="26" t="str">
        <f aca="false">IF($Q240=0,"",IF($L240=R_LOT,IF($N240&lt;&gt;R_LOT,$N240,""),IF($N240=R_LOT,$L240,"")))</f>
        <v/>
      </c>
      <c r="Y240" s="26" t="str">
        <f aca="false">IF($X240="","",IF(COUNTIF($X$4:$X239,$X240)&gt;0,"",COUNT($Y$4:$Y239)+1))</f>
        <v/>
      </c>
      <c r="Z240" s="26" t="n">
        <f aca="false">IF($Q240=0,0,IF(OR($L240=R_LOT,$N240=R_LOT),1,0))</f>
        <v>0</v>
      </c>
      <c r="AA240" s="26" t="str">
        <f aca="false">IF($Z240=0,"",COUNTIF($Z$5:$Z240,1))</f>
        <v/>
      </c>
    </row>
    <row r="241" customFormat="false" ht="15" hidden="false" customHeight="false" outlineLevel="0" collapsed="false">
      <c r="A241" s="26" t="str">
        <f aca="false">IF($B241="","","RES-"&amp;TEXT(ROW()-4,"000"))</f>
        <v/>
      </c>
      <c r="B241" s="24"/>
      <c r="C241" s="25"/>
      <c r="D241" s="24"/>
      <c r="E241" s="24"/>
      <c r="F241" s="29"/>
      <c r="G241" s="24"/>
      <c r="H241" s="24"/>
      <c r="I241" s="24"/>
      <c r="J241" s="24"/>
      <c r="K241" s="24"/>
      <c r="L241" s="26" t="str">
        <f aca="false">IF($B241="","",IFERROR(INDEX(ST_LOT,MATCH($B241,ST_ID,0)),""))</f>
        <v/>
      </c>
      <c r="M241" s="26" t="str">
        <f aca="false">IF($B241="","",IFERROR(INDEX(ST_STRAIT,MATCH($B241,ST_ID,0)),""))</f>
        <v/>
      </c>
      <c r="N241" s="26" t="str">
        <f aca="false">IF($B241="","",IF($E241="",$L241,$E241))</f>
        <v/>
      </c>
      <c r="O241" s="26" t="str">
        <f aca="false">IF($N241="","",IFERROR(INDEX(LOT_EXTE,MATCH($N241,LOT_KEY,0)),""))</f>
        <v/>
      </c>
      <c r="P241" s="26" t="str">
        <f aca="false">IF($J241="","",IFERROR(INDEX(EMPL_CLASSE,MATCH($J241,EMPL_KEY,0)),"?"))</f>
        <v/>
      </c>
      <c r="Q241" s="28" t="n">
        <f aca="false">IF($B241="",0,IF(OR(ISNA(MATCH($B241,ST_ID,0)),NOT(ISNUMBER($F241)),$F241&lt;=0,$J241="",$N241=""),0,1))</f>
        <v>0</v>
      </c>
      <c r="R241" s="27" t="n">
        <f aca="false">IF($Q241=0,0,$F241)</f>
        <v>0</v>
      </c>
      <c r="S241" s="26" t="str">
        <f aca="false">IF($B241="","",IFERROR(INDEX(ST_STATUT,MATCH($B241,ST_ID,0)),""))</f>
        <v/>
      </c>
      <c r="T241" s="26" t="str">
        <f aca="false">IF($B241="","",IF($Q241=0,"DONNEES MANQUANTES",IF(OR($S241="DONNEES MANQUANTES",$S241="STOCK INSUFFISANT",$S241="EMPLACEMENT INCOHERENT",$S241="BLOQUE"),"BLOQUE","OK")))</f>
        <v/>
      </c>
      <c r="U241" s="28" t="n">
        <f aca="false">IF($T241="OK",1,0)</f>
        <v>0</v>
      </c>
      <c r="V241" s="26" t="str">
        <f aca="false">IF($B241="","",IF($Q241=0,"A COMPLETER : "&amp;IF(ISNA(MATCH($B241,ST_ID,0)),"ID ST valide; ","")&amp;IF(OR(NOT(ISNUMBER($F241)),$F241&lt;=0),"QUANTITE &gt; 0; ","")&amp;IF($J241="","EMPL. DESTINATION; ",""),IF($T241="BLOQUE","Envoi parent en anomalie ("&amp;$S241&amp;") : corriger l'onglet SOUS_TRAITANCE.",IF(AND($E241&lt;&gt;"",ISNA(MATCH($E241,LOT_KEY,0))),"Creer la fiche du lot resultat dans l'onglet LOTS.",""))))</f>
        <v/>
      </c>
      <c r="W241" s="31" t="str">
        <f aca="false">IF($B241="","",IF($C241&lt;&gt;"",$C241,IFERROR(INDEX(ST_DATERET,MATCH($B241,ST_ID,0)),"")))</f>
        <v/>
      </c>
      <c r="X241" s="26" t="str">
        <f aca="false">IF($Q241=0,"",IF($L241=R_LOT,IF($N241&lt;&gt;R_LOT,$N241,""),IF($N241=R_LOT,$L241,"")))</f>
        <v/>
      </c>
      <c r="Y241" s="26" t="str">
        <f aca="false">IF($X241="","",IF(COUNTIF($X$4:$X240,$X241)&gt;0,"",COUNT($Y$4:$Y240)+1))</f>
        <v/>
      </c>
      <c r="Z241" s="26" t="n">
        <f aca="false">IF($Q241=0,0,IF(OR($L241=R_LOT,$N241=R_LOT),1,0))</f>
        <v>0</v>
      </c>
      <c r="AA241" s="26" t="str">
        <f aca="false">IF($Z241=0,"",COUNTIF($Z$5:$Z241,1))</f>
        <v/>
      </c>
    </row>
    <row r="242" customFormat="false" ht="15" hidden="false" customHeight="false" outlineLevel="0" collapsed="false">
      <c r="A242" s="26" t="str">
        <f aca="false">IF($B242="","","RES-"&amp;TEXT(ROW()-4,"000"))</f>
        <v/>
      </c>
      <c r="B242" s="24"/>
      <c r="C242" s="25"/>
      <c r="D242" s="24"/>
      <c r="E242" s="24"/>
      <c r="F242" s="29"/>
      <c r="G242" s="24"/>
      <c r="H242" s="24"/>
      <c r="I242" s="24"/>
      <c r="J242" s="24"/>
      <c r="K242" s="24"/>
      <c r="L242" s="26" t="str">
        <f aca="false">IF($B242="","",IFERROR(INDEX(ST_LOT,MATCH($B242,ST_ID,0)),""))</f>
        <v/>
      </c>
      <c r="M242" s="26" t="str">
        <f aca="false">IF($B242="","",IFERROR(INDEX(ST_STRAIT,MATCH($B242,ST_ID,0)),""))</f>
        <v/>
      </c>
      <c r="N242" s="26" t="str">
        <f aca="false">IF($B242="","",IF($E242="",$L242,$E242))</f>
        <v/>
      </c>
      <c r="O242" s="26" t="str">
        <f aca="false">IF($N242="","",IFERROR(INDEX(LOT_EXTE,MATCH($N242,LOT_KEY,0)),""))</f>
        <v/>
      </c>
      <c r="P242" s="26" t="str">
        <f aca="false">IF($J242="","",IFERROR(INDEX(EMPL_CLASSE,MATCH($J242,EMPL_KEY,0)),"?"))</f>
        <v/>
      </c>
      <c r="Q242" s="28" t="n">
        <f aca="false">IF($B242="",0,IF(OR(ISNA(MATCH($B242,ST_ID,0)),NOT(ISNUMBER($F242)),$F242&lt;=0,$J242="",$N242=""),0,1))</f>
        <v>0</v>
      </c>
      <c r="R242" s="27" t="n">
        <f aca="false">IF($Q242=0,0,$F242)</f>
        <v>0</v>
      </c>
      <c r="S242" s="26" t="str">
        <f aca="false">IF($B242="","",IFERROR(INDEX(ST_STATUT,MATCH($B242,ST_ID,0)),""))</f>
        <v/>
      </c>
      <c r="T242" s="26" t="str">
        <f aca="false">IF($B242="","",IF($Q242=0,"DONNEES MANQUANTES",IF(OR($S242="DONNEES MANQUANTES",$S242="STOCK INSUFFISANT",$S242="EMPLACEMENT INCOHERENT",$S242="BLOQUE"),"BLOQUE","OK")))</f>
        <v/>
      </c>
      <c r="U242" s="28" t="n">
        <f aca="false">IF($T242="OK",1,0)</f>
        <v>0</v>
      </c>
      <c r="V242" s="26" t="str">
        <f aca="false">IF($B242="","",IF($Q242=0,"A COMPLETER : "&amp;IF(ISNA(MATCH($B242,ST_ID,0)),"ID ST valide; ","")&amp;IF(OR(NOT(ISNUMBER($F242)),$F242&lt;=0),"QUANTITE &gt; 0; ","")&amp;IF($J242="","EMPL. DESTINATION; ",""),IF($T242="BLOQUE","Envoi parent en anomalie ("&amp;$S242&amp;") : corriger l'onglet SOUS_TRAITANCE.",IF(AND($E242&lt;&gt;"",ISNA(MATCH($E242,LOT_KEY,0))),"Creer la fiche du lot resultat dans l'onglet LOTS.",""))))</f>
        <v/>
      </c>
      <c r="W242" s="31" t="str">
        <f aca="false">IF($B242="","",IF($C242&lt;&gt;"",$C242,IFERROR(INDEX(ST_DATERET,MATCH($B242,ST_ID,0)),"")))</f>
        <v/>
      </c>
      <c r="X242" s="26" t="str">
        <f aca="false">IF($Q242=0,"",IF($L242=R_LOT,IF($N242&lt;&gt;R_LOT,$N242,""),IF($N242=R_LOT,$L242,"")))</f>
        <v/>
      </c>
      <c r="Y242" s="26" t="str">
        <f aca="false">IF($X242="","",IF(COUNTIF($X$4:$X241,$X242)&gt;0,"",COUNT($Y$4:$Y241)+1))</f>
        <v/>
      </c>
      <c r="Z242" s="26" t="n">
        <f aca="false">IF($Q242=0,0,IF(OR($L242=R_LOT,$N242=R_LOT),1,0))</f>
        <v>0</v>
      </c>
      <c r="AA242" s="26" t="str">
        <f aca="false">IF($Z242=0,"",COUNTIF($Z$5:$Z242,1))</f>
        <v/>
      </c>
    </row>
    <row r="243" customFormat="false" ht="15" hidden="false" customHeight="false" outlineLevel="0" collapsed="false">
      <c r="A243" s="26" t="str">
        <f aca="false">IF($B243="","","RES-"&amp;TEXT(ROW()-4,"000"))</f>
        <v/>
      </c>
      <c r="B243" s="24"/>
      <c r="C243" s="25"/>
      <c r="D243" s="24"/>
      <c r="E243" s="24"/>
      <c r="F243" s="29"/>
      <c r="G243" s="24"/>
      <c r="H243" s="24"/>
      <c r="I243" s="24"/>
      <c r="J243" s="24"/>
      <c r="K243" s="24"/>
      <c r="L243" s="26" t="str">
        <f aca="false">IF($B243="","",IFERROR(INDEX(ST_LOT,MATCH($B243,ST_ID,0)),""))</f>
        <v/>
      </c>
      <c r="M243" s="26" t="str">
        <f aca="false">IF($B243="","",IFERROR(INDEX(ST_STRAIT,MATCH($B243,ST_ID,0)),""))</f>
        <v/>
      </c>
      <c r="N243" s="26" t="str">
        <f aca="false">IF($B243="","",IF($E243="",$L243,$E243))</f>
        <v/>
      </c>
      <c r="O243" s="26" t="str">
        <f aca="false">IF($N243="","",IFERROR(INDEX(LOT_EXTE,MATCH($N243,LOT_KEY,0)),""))</f>
        <v/>
      </c>
      <c r="P243" s="26" t="str">
        <f aca="false">IF($J243="","",IFERROR(INDEX(EMPL_CLASSE,MATCH($J243,EMPL_KEY,0)),"?"))</f>
        <v/>
      </c>
      <c r="Q243" s="28" t="n">
        <f aca="false">IF($B243="",0,IF(OR(ISNA(MATCH($B243,ST_ID,0)),NOT(ISNUMBER($F243)),$F243&lt;=0,$J243="",$N243=""),0,1))</f>
        <v>0</v>
      </c>
      <c r="R243" s="27" t="n">
        <f aca="false">IF($Q243=0,0,$F243)</f>
        <v>0</v>
      </c>
      <c r="S243" s="26" t="str">
        <f aca="false">IF($B243="","",IFERROR(INDEX(ST_STATUT,MATCH($B243,ST_ID,0)),""))</f>
        <v/>
      </c>
      <c r="T243" s="26" t="str">
        <f aca="false">IF($B243="","",IF($Q243=0,"DONNEES MANQUANTES",IF(OR($S243="DONNEES MANQUANTES",$S243="STOCK INSUFFISANT",$S243="EMPLACEMENT INCOHERENT",$S243="BLOQUE"),"BLOQUE","OK")))</f>
        <v/>
      </c>
      <c r="U243" s="28" t="n">
        <f aca="false">IF($T243="OK",1,0)</f>
        <v>0</v>
      </c>
      <c r="V243" s="26" t="str">
        <f aca="false">IF($B243="","",IF($Q243=0,"A COMPLETER : "&amp;IF(ISNA(MATCH($B243,ST_ID,0)),"ID ST valide; ","")&amp;IF(OR(NOT(ISNUMBER($F243)),$F243&lt;=0),"QUANTITE &gt; 0; ","")&amp;IF($J243="","EMPL. DESTINATION; ",""),IF($T243="BLOQUE","Envoi parent en anomalie ("&amp;$S243&amp;") : corriger l'onglet SOUS_TRAITANCE.",IF(AND($E243&lt;&gt;"",ISNA(MATCH($E243,LOT_KEY,0))),"Creer la fiche du lot resultat dans l'onglet LOTS.",""))))</f>
        <v/>
      </c>
      <c r="W243" s="31" t="str">
        <f aca="false">IF($B243="","",IF($C243&lt;&gt;"",$C243,IFERROR(INDEX(ST_DATERET,MATCH($B243,ST_ID,0)),"")))</f>
        <v/>
      </c>
      <c r="X243" s="26" t="str">
        <f aca="false">IF($Q243=0,"",IF($L243=R_LOT,IF($N243&lt;&gt;R_LOT,$N243,""),IF($N243=R_LOT,$L243,"")))</f>
        <v/>
      </c>
      <c r="Y243" s="26" t="str">
        <f aca="false">IF($X243="","",IF(COUNTIF($X$4:$X242,$X243)&gt;0,"",COUNT($Y$4:$Y242)+1))</f>
        <v/>
      </c>
      <c r="Z243" s="26" t="n">
        <f aca="false">IF($Q243=0,0,IF(OR($L243=R_LOT,$N243=R_LOT),1,0))</f>
        <v>0</v>
      </c>
      <c r="AA243" s="26" t="str">
        <f aca="false">IF($Z243=0,"",COUNTIF($Z$5:$Z243,1))</f>
        <v/>
      </c>
    </row>
    <row r="244" customFormat="false" ht="15" hidden="false" customHeight="false" outlineLevel="0" collapsed="false">
      <c r="A244" s="26" t="str">
        <f aca="false">IF($B244="","","RES-"&amp;TEXT(ROW()-4,"000"))</f>
        <v/>
      </c>
      <c r="B244" s="24"/>
      <c r="C244" s="25"/>
      <c r="D244" s="24"/>
      <c r="E244" s="24"/>
      <c r="F244" s="29"/>
      <c r="G244" s="24"/>
      <c r="H244" s="24"/>
      <c r="I244" s="24"/>
      <c r="J244" s="24"/>
      <c r="K244" s="24"/>
      <c r="L244" s="26" t="str">
        <f aca="false">IF($B244="","",IFERROR(INDEX(ST_LOT,MATCH($B244,ST_ID,0)),""))</f>
        <v/>
      </c>
      <c r="M244" s="26" t="str">
        <f aca="false">IF($B244="","",IFERROR(INDEX(ST_STRAIT,MATCH($B244,ST_ID,0)),""))</f>
        <v/>
      </c>
      <c r="N244" s="26" t="str">
        <f aca="false">IF($B244="","",IF($E244="",$L244,$E244))</f>
        <v/>
      </c>
      <c r="O244" s="26" t="str">
        <f aca="false">IF($N244="","",IFERROR(INDEX(LOT_EXTE,MATCH($N244,LOT_KEY,0)),""))</f>
        <v/>
      </c>
      <c r="P244" s="26" t="str">
        <f aca="false">IF($J244="","",IFERROR(INDEX(EMPL_CLASSE,MATCH($J244,EMPL_KEY,0)),"?"))</f>
        <v/>
      </c>
      <c r="Q244" s="28" t="n">
        <f aca="false">IF($B244="",0,IF(OR(ISNA(MATCH($B244,ST_ID,0)),NOT(ISNUMBER($F244)),$F244&lt;=0,$J244="",$N244=""),0,1))</f>
        <v>0</v>
      </c>
      <c r="R244" s="27" t="n">
        <f aca="false">IF($Q244=0,0,$F244)</f>
        <v>0</v>
      </c>
      <c r="S244" s="26" t="str">
        <f aca="false">IF($B244="","",IFERROR(INDEX(ST_STATUT,MATCH($B244,ST_ID,0)),""))</f>
        <v/>
      </c>
      <c r="T244" s="26" t="str">
        <f aca="false">IF($B244="","",IF($Q244=0,"DONNEES MANQUANTES",IF(OR($S244="DONNEES MANQUANTES",$S244="STOCK INSUFFISANT",$S244="EMPLACEMENT INCOHERENT",$S244="BLOQUE"),"BLOQUE","OK")))</f>
        <v/>
      </c>
      <c r="U244" s="28" t="n">
        <f aca="false">IF($T244="OK",1,0)</f>
        <v>0</v>
      </c>
      <c r="V244" s="26" t="str">
        <f aca="false">IF($B244="","",IF($Q244=0,"A COMPLETER : "&amp;IF(ISNA(MATCH($B244,ST_ID,0)),"ID ST valide; ","")&amp;IF(OR(NOT(ISNUMBER($F244)),$F244&lt;=0),"QUANTITE &gt; 0; ","")&amp;IF($J244="","EMPL. DESTINATION; ",""),IF($T244="BLOQUE","Envoi parent en anomalie ("&amp;$S244&amp;") : corriger l'onglet SOUS_TRAITANCE.",IF(AND($E244&lt;&gt;"",ISNA(MATCH($E244,LOT_KEY,0))),"Creer la fiche du lot resultat dans l'onglet LOTS.",""))))</f>
        <v/>
      </c>
      <c r="W244" s="31" t="str">
        <f aca="false">IF($B244="","",IF($C244&lt;&gt;"",$C244,IFERROR(INDEX(ST_DATERET,MATCH($B244,ST_ID,0)),"")))</f>
        <v/>
      </c>
      <c r="X244" s="26" t="str">
        <f aca="false">IF($Q244=0,"",IF($L244=R_LOT,IF($N244&lt;&gt;R_LOT,$N244,""),IF($N244=R_LOT,$L244,"")))</f>
        <v/>
      </c>
      <c r="Y244" s="26" t="str">
        <f aca="false">IF($X244="","",IF(COUNTIF($X$4:$X243,$X244)&gt;0,"",COUNT($Y$4:$Y243)+1))</f>
        <v/>
      </c>
      <c r="Z244" s="26" t="n">
        <f aca="false">IF($Q244=0,0,IF(OR($L244=R_LOT,$N244=R_LOT),1,0))</f>
        <v>0</v>
      </c>
      <c r="AA244" s="26" t="str">
        <f aca="false">IF($Z244=0,"",COUNTIF($Z$5:$Z244,1))</f>
        <v/>
      </c>
    </row>
    <row r="245" customFormat="false" ht="15" hidden="false" customHeight="false" outlineLevel="0" collapsed="false">
      <c r="A245" s="26" t="str">
        <f aca="false">IF($B245="","","RES-"&amp;TEXT(ROW()-4,"000"))</f>
        <v/>
      </c>
      <c r="B245" s="24"/>
      <c r="C245" s="25"/>
      <c r="D245" s="24"/>
      <c r="E245" s="24"/>
      <c r="F245" s="29"/>
      <c r="G245" s="24"/>
      <c r="H245" s="24"/>
      <c r="I245" s="24"/>
      <c r="J245" s="24"/>
      <c r="K245" s="24"/>
      <c r="L245" s="26" t="str">
        <f aca="false">IF($B245="","",IFERROR(INDEX(ST_LOT,MATCH($B245,ST_ID,0)),""))</f>
        <v/>
      </c>
      <c r="M245" s="26" t="str">
        <f aca="false">IF($B245="","",IFERROR(INDEX(ST_STRAIT,MATCH($B245,ST_ID,0)),""))</f>
        <v/>
      </c>
      <c r="N245" s="26" t="str">
        <f aca="false">IF($B245="","",IF($E245="",$L245,$E245))</f>
        <v/>
      </c>
      <c r="O245" s="26" t="str">
        <f aca="false">IF($N245="","",IFERROR(INDEX(LOT_EXTE,MATCH($N245,LOT_KEY,0)),""))</f>
        <v/>
      </c>
      <c r="P245" s="26" t="str">
        <f aca="false">IF($J245="","",IFERROR(INDEX(EMPL_CLASSE,MATCH($J245,EMPL_KEY,0)),"?"))</f>
        <v/>
      </c>
      <c r="Q245" s="28" t="n">
        <f aca="false">IF($B245="",0,IF(OR(ISNA(MATCH($B245,ST_ID,0)),NOT(ISNUMBER($F245)),$F245&lt;=0,$J245="",$N245=""),0,1))</f>
        <v>0</v>
      </c>
      <c r="R245" s="27" t="n">
        <f aca="false">IF($Q245=0,0,$F245)</f>
        <v>0</v>
      </c>
      <c r="S245" s="26" t="str">
        <f aca="false">IF($B245="","",IFERROR(INDEX(ST_STATUT,MATCH($B245,ST_ID,0)),""))</f>
        <v/>
      </c>
      <c r="T245" s="26" t="str">
        <f aca="false">IF($B245="","",IF($Q245=0,"DONNEES MANQUANTES",IF(OR($S245="DONNEES MANQUANTES",$S245="STOCK INSUFFISANT",$S245="EMPLACEMENT INCOHERENT",$S245="BLOQUE"),"BLOQUE","OK")))</f>
        <v/>
      </c>
      <c r="U245" s="28" t="n">
        <f aca="false">IF($T245="OK",1,0)</f>
        <v>0</v>
      </c>
      <c r="V245" s="26" t="str">
        <f aca="false">IF($B245="","",IF($Q245=0,"A COMPLETER : "&amp;IF(ISNA(MATCH($B245,ST_ID,0)),"ID ST valide; ","")&amp;IF(OR(NOT(ISNUMBER($F245)),$F245&lt;=0),"QUANTITE &gt; 0; ","")&amp;IF($J245="","EMPL. DESTINATION; ",""),IF($T245="BLOQUE","Envoi parent en anomalie ("&amp;$S245&amp;") : corriger l'onglet SOUS_TRAITANCE.",IF(AND($E245&lt;&gt;"",ISNA(MATCH($E245,LOT_KEY,0))),"Creer la fiche du lot resultat dans l'onglet LOTS.",""))))</f>
        <v/>
      </c>
      <c r="W245" s="31" t="str">
        <f aca="false">IF($B245="","",IF($C245&lt;&gt;"",$C245,IFERROR(INDEX(ST_DATERET,MATCH($B245,ST_ID,0)),"")))</f>
        <v/>
      </c>
      <c r="X245" s="26" t="str">
        <f aca="false">IF($Q245=0,"",IF($L245=R_LOT,IF($N245&lt;&gt;R_LOT,$N245,""),IF($N245=R_LOT,$L245,"")))</f>
        <v/>
      </c>
      <c r="Y245" s="26" t="str">
        <f aca="false">IF($X245="","",IF(COUNTIF($X$4:$X244,$X245)&gt;0,"",COUNT($Y$4:$Y244)+1))</f>
        <v/>
      </c>
      <c r="Z245" s="26" t="n">
        <f aca="false">IF($Q245=0,0,IF(OR($L245=R_LOT,$N245=R_LOT),1,0))</f>
        <v>0</v>
      </c>
      <c r="AA245" s="26" t="str">
        <f aca="false">IF($Z245=0,"",COUNTIF($Z$5:$Z245,1))</f>
        <v/>
      </c>
    </row>
    <row r="246" customFormat="false" ht="15" hidden="false" customHeight="false" outlineLevel="0" collapsed="false">
      <c r="A246" s="26" t="str">
        <f aca="false">IF($B246="","","RES-"&amp;TEXT(ROW()-4,"000"))</f>
        <v/>
      </c>
      <c r="B246" s="24"/>
      <c r="C246" s="25"/>
      <c r="D246" s="24"/>
      <c r="E246" s="24"/>
      <c r="F246" s="29"/>
      <c r="G246" s="24"/>
      <c r="H246" s="24"/>
      <c r="I246" s="24"/>
      <c r="J246" s="24"/>
      <c r="K246" s="24"/>
      <c r="L246" s="26" t="str">
        <f aca="false">IF($B246="","",IFERROR(INDEX(ST_LOT,MATCH($B246,ST_ID,0)),""))</f>
        <v/>
      </c>
      <c r="M246" s="26" t="str">
        <f aca="false">IF($B246="","",IFERROR(INDEX(ST_STRAIT,MATCH($B246,ST_ID,0)),""))</f>
        <v/>
      </c>
      <c r="N246" s="26" t="str">
        <f aca="false">IF($B246="","",IF($E246="",$L246,$E246))</f>
        <v/>
      </c>
      <c r="O246" s="26" t="str">
        <f aca="false">IF($N246="","",IFERROR(INDEX(LOT_EXTE,MATCH($N246,LOT_KEY,0)),""))</f>
        <v/>
      </c>
      <c r="P246" s="26" t="str">
        <f aca="false">IF($J246="","",IFERROR(INDEX(EMPL_CLASSE,MATCH($J246,EMPL_KEY,0)),"?"))</f>
        <v/>
      </c>
      <c r="Q246" s="28" t="n">
        <f aca="false">IF($B246="",0,IF(OR(ISNA(MATCH($B246,ST_ID,0)),NOT(ISNUMBER($F246)),$F246&lt;=0,$J246="",$N246=""),0,1))</f>
        <v>0</v>
      </c>
      <c r="R246" s="27" t="n">
        <f aca="false">IF($Q246=0,0,$F246)</f>
        <v>0</v>
      </c>
      <c r="S246" s="26" t="str">
        <f aca="false">IF($B246="","",IFERROR(INDEX(ST_STATUT,MATCH($B246,ST_ID,0)),""))</f>
        <v/>
      </c>
      <c r="T246" s="26" t="str">
        <f aca="false">IF($B246="","",IF($Q246=0,"DONNEES MANQUANTES",IF(OR($S246="DONNEES MANQUANTES",$S246="STOCK INSUFFISANT",$S246="EMPLACEMENT INCOHERENT",$S246="BLOQUE"),"BLOQUE","OK")))</f>
        <v/>
      </c>
      <c r="U246" s="28" t="n">
        <f aca="false">IF($T246="OK",1,0)</f>
        <v>0</v>
      </c>
      <c r="V246" s="26" t="str">
        <f aca="false">IF($B246="","",IF($Q246=0,"A COMPLETER : "&amp;IF(ISNA(MATCH($B246,ST_ID,0)),"ID ST valide; ","")&amp;IF(OR(NOT(ISNUMBER($F246)),$F246&lt;=0),"QUANTITE &gt; 0; ","")&amp;IF($J246="","EMPL. DESTINATION; ",""),IF($T246="BLOQUE","Envoi parent en anomalie ("&amp;$S246&amp;") : corriger l'onglet SOUS_TRAITANCE.",IF(AND($E246&lt;&gt;"",ISNA(MATCH($E246,LOT_KEY,0))),"Creer la fiche du lot resultat dans l'onglet LOTS.",""))))</f>
        <v/>
      </c>
      <c r="W246" s="31" t="str">
        <f aca="false">IF($B246="","",IF($C246&lt;&gt;"",$C246,IFERROR(INDEX(ST_DATERET,MATCH($B246,ST_ID,0)),"")))</f>
        <v/>
      </c>
      <c r="X246" s="26" t="str">
        <f aca="false">IF($Q246=0,"",IF($L246=R_LOT,IF($N246&lt;&gt;R_LOT,$N246,""),IF($N246=R_LOT,$L246,"")))</f>
        <v/>
      </c>
      <c r="Y246" s="26" t="str">
        <f aca="false">IF($X246="","",IF(COUNTIF($X$4:$X245,$X246)&gt;0,"",COUNT($Y$4:$Y245)+1))</f>
        <v/>
      </c>
      <c r="Z246" s="26" t="n">
        <f aca="false">IF($Q246=0,0,IF(OR($L246=R_LOT,$N246=R_LOT),1,0))</f>
        <v>0</v>
      </c>
      <c r="AA246" s="26" t="str">
        <f aca="false">IF($Z246=0,"",COUNTIF($Z$5:$Z246,1))</f>
        <v/>
      </c>
    </row>
    <row r="247" customFormat="false" ht="15" hidden="false" customHeight="false" outlineLevel="0" collapsed="false">
      <c r="A247" s="26" t="str">
        <f aca="false">IF($B247="","","RES-"&amp;TEXT(ROW()-4,"000"))</f>
        <v/>
      </c>
      <c r="B247" s="24"/>
      <c r="C247" s="25"/>
      <c r="D247" s="24"/>
      <c r="E247" s="24"/>
      <c r="F247" s="29"/>
      <c r="G247" s="24"/>
      <c r="H247" s="24"/>
      <c r="I247" s="24"/>
      <c r="J247" s="24"/>
      <c r="K247" s="24"/>
      <c r="L247" s="26" t="str">
        <f aca="false">IF($B247="","",IFERROR(INDEX(ST_LOT,MATCH($B247,ST_ID,0)),""))</f>
        <v/>
      </c>
      <c r="M247" s="26" t="str">
        <f aca="false">IF($B247="","",IFERROR(INDEX(ST_STRAIT,MATCH($B247,ST_ID,0)),""))</f>
        <v/>
      </c>
      <c r="N247" s="26" t="str">
        <f aca="false">IF($B247="","",IF($E247="",$L247,$E247))</f>
        <v/>
      </c>
      <c r="O247" s="26" t="str">
        <f aca="false">IF($N247="","",IFERROR(INDEX(LOT_EXTE,MATCH($N247,LOT_KEY,0)),""))</f>
        <v/>
      </c>
      <c r="P247" s="26" t="str">
        <f aca="false">IF($J247="","",IFERROR(INDEX(EMPL_CLASSE,MATCH($J247,EMPL_KEY,0)),"?"))</f>
        <v/>
      </c>
      <c r="Q247" s="28" t="n">
        <f aca="false">IF($B247="",0,IF(OR(ISNA(MATCH($B247,ST_ID,0)),NOT(ISNUMBER($F247)),$F247&lt;=0,$J247="",$N247=""),0,1))</f>
        <v>0</v>
      </c>
      <c r="R247" s="27" t="n">
        <f aca="false">IF($Q247=0,0,$F247)</f>
        <v>0</v>
      </c>
      <c r="S247" s="26" t="str">
        <f aca="false">IF($B247="","",IFERROR(INDEX(ST_STATUT,MATCH($B247,ST_ID,0)),""))</f>
        <v/>
      </c>
      <c r="T247" s="26" t="str">
        <f aca="false">IF($B247="","",IF($Q247=0,"DONNEES MANQUANTES",IF(OR($S247="DONNEES MANQUANTES",$S247="STOCK INSUFFISANT",$S247="EMPLACEMENT INCOHERENT",$S247="BLOQUE"),"BLOQUE","OK")))</f>
        <v/>
      </c>
      <c r="U247" s="28" t="n">
        <f aca="false">IF($T247="OK",1,0)</f>
        <v>0</v>
      </c>
      <c r="V247" s="26" t="str">
        <f aca="false">IF($B247="","",IF($Q247=0,"A COMPLETER : "&amp;IF(ISNA(MATCH($B247,ST_ID,0)),"ID ST valide; ","")&amp;IF(OR(NOT(ISNUMBER($F247)),$F247&lt;=0),"QUANTITE &gt; 0; ","")&amp;IF($J247="","EMPL. DESTINATION; ",""),IF($T247="BLOQUE","Envoi parent en anomalie ("&amp;$S247&amp;") : corriger l'onglet SOUS_TRAITANCE.",IF(AND($E247&lt;&gt;"",ISNA(MATCH($E247,LOT_KEY,0))),"Creer la fiche du lot resultat dans l'onglet LOTS.",""))))</f>
        <v/>
      </c>
      <c r="W247" s="31" t="str">
        <f aca="false">IF($B247="","",IF($C247&lt;&gt;"",$C247,IFERROR(INDEX(ST_DATERET,MATCH($B247,ST_ID,0)),"")))</f>
        <v/>
      </c>
      <c r="X247" s="26" t="str">
        <f aca="false">IF($Q247=0,"",IF($L247=R_LOT,IF($N247&lt;&gt;R_LOT,$N247,""),IF($N247=R_LOT,$L247,"")))</f>
        <v/>
      </c>
      <c r="Y247" s="26" t="str">
        <f aca="false">IF($X247="","",IF(COUNTIF($X$4:$X246,$X247)&gt;0,"",COUNT($Y$4:$Y246)+1))</f>
        <v/>
      </c>
      <c r="Z247" s="26" t="n">
        <f aca="false">IF($Q247=0,0,IF(OR($L247=R_LOT,$N247=R_LOT),1,0))</f>
        <v>0</v>
      </c>
      <c r="AA247" s="26" t="str">
        <f aca="false">IF($Z247=0,"",COUNTIF($Z$5:$Z247,1))</f>
        <v/>
      </c>
    </row>
    <row r="248" customFormat="false" ht="15" hidden="false" customHeight="false" outlineLevel="0" collapsed="false">
      <c r="A248" s="26" t="str">
        <f aca="false">IF($B248="","","RES-"&amp;TEXT(ROW()-4,"000"))</f>
        <v/>
      </c>
      <c r="B248" s="24"/>
      <c r="C248" s="25"/>
      <c r="D248" s="24"/>
      <c r="E248" s="24"/>
      <c r="F248" s="29"/>
      <c r="G248" s="24"/>
      <c r="H248" s="24"/>
      <c r="I248" s="24"/>
      <c r="J248" s="24"/>
      <c r="K248" s="24"/>
      <c r="L248" s="26" t="str">
        <f aca="false">IF($B248="","",IFERROR(INDEX(ST_LOT,MATCH($B248,ST_ID,0)),""))</f>
        <v/>
      </c>
      <c r="M248" s="26" t="str">
        <f aca="false">IF($B248="","",IFERROR(INDEX(ST_STRAIT,MATCH($B248,ST_ID,0)),""))</f>
        <v/>
      </c>
      <c r="N248" s="26" t="str">
        <f aca="false">IF($B248="","",IF($E248="",$L248,$E248))</f>
        <v/>
      </c>
      <c r="O248" s="26" t="str">
        <f aca="false">IF($N248="","",IFERROR(INDEX(LOT_EXTE,MATCH($N248,LOT_KEY,0)),""))</f>
        <v/>
      </c>
      <c r="P248" s="26" t="str">
        <f aca="false">IF($J248="","",IFERROR(INDEX(EMPL_CLASSE,MATCH($J248,EMPL_KEY,0)),"?"))</f>
        <v/>
      </c>
      <c r="Q248" s="28" t="n">
        <f aca="false">IF($B248="",0,IF(OR(ISNA(MATCH($B248,ST_ID,0)),NOT(ISNUMBER($F248)),$F248&lt;=0,$J248="",$N248=""),0,1))</f>
        <v>0</v>
      </c>
      <c r="R248" s="27" t="n">
        <f aca="false">IF($Q248=0,0,$F248)</f>
        <v>0</v>
      </c>
      <c r="S248" s="26" t="str">
        <f aca="false">IF($B248="","",IFERROR(INDEX(ST_STATUT,MATCH($B248,ST_ID,0)),""))</f>
        <v/>
      </c>
      <c r="T248" s="26" t="str">
        <f aca="false">IF($B248="","",IF($Q248=0,"DONNEES MANQUANTES",IF(OR($S248="DONNEES MANQUANTES",$S248="STOCK INSUFFISANT",$S248="EMPLACEMENT INCOHERENT",$S248="BLOQUE"),"BLOQUE","OK")))</f>
        <v/>
      </c>
      <c r="U248" s="28" t="n">
        <f aca="false">IF($T248="OK",1,0)</f>
        <v>0</v>
      </c>
      <c r="V248" s="26" t="str">
        <f aca="false">IF($B248="","",IF($Q248=0,"A COMPLETER : "&amp;IF(ISNA(MATCH($B248,ST_ID,0)),"ID ST valide; ","")&amp;IF(OR(NOT(ISNUMBER($F248)),$F248&lt;=0),"QUANTITE &gt; 0; ","")&amp;IF($J248="","EMPL. DESTINATION; ",""),IF($T248="BLOQUE","Envoi parent en anomalie ("&amp;$S248&amp;") : corriger l'onglet SOUS_TRAITANCE.",IF(AND($E248&lt;&gt;"",ISNA(MATCH($E248,LOT_KEY,0))),"Creer la fiche du lot resultat dans l'onglet LOTS.",""))))</f>
        <v/>
      </c>
      <c r="W248" s="31" t="str">
        <f aca="false">IF($B248="","",IF($C248&lt;&gt;"",$C248,IFERROR(INDEX(ST_DATERET,MATCH($B248,ST_ID,0)),"")))</f>
        <v/>
      </c>
      <c r="X248" s="26" t="str">
        <f aca="false">IF($Q248=0,"",IF($L248=R_LOT,IF($N248&lt;&gt;R_LOT,$N248,""),IF($N248=R_LOT,$L248,"")))</f>
        <v/>
      </c>
      <c r="Y248" s="26" t="str">
        <f aca="false">IF($X248="","",IF(COUNTIF($X$4:$X247,$X248)&gt;0,"",COUNT($Y$4:$Y247)+1))</f>
        <v/>
      </c>
      <c r="Z248" s="26" t="n">
        <f aca="false">IF($Q248=0,0,IF(OR($L248=R_LOT,$N248=R_LOT),1,0))</f>
        <v>0</v>
      </c>
      <c r="AA248" s="26" t="str">
        <f aca="false">IF($Z248=0,"",COUNTIF($Z$5:$Z248,1))</f>
        <v/>
      </c>
    </row>
    <row r="249" customFormat="false" ht="15" hidden="false" customHeight="false" outlineLevel="0" collapsed="false">
      <c r="A249" s="26" t="str">
        <f aca="false">IF($B249="","","RES-"&amp;TEXT(ROW()-4,"000"))</f>
        <v/>
      </c>
      <c r="B249" s="24"/>
      <c r="C249" s="25"/>
      <c r="D249" s="24"/>
      <c r="E249" s="24"/>
      <c r="F249" s="29"/>
      <c r="G249" s="24"/>
      <c r="H249" s="24"/>
      <c r="I249" s="24"/>
      <c r="J249" s="24"/>
      <c r="K249" s="24"/>
      <c r="L249" s="26" t="str">
        <f aca="false">IF($B249="","",IFERROR(INDEX(ST_LOT,MATCH($B249,ST_ID,0)),""))</f>
        <v/>
      </c>
      <c r="M249" s="26" t="str">
        <f aca="false">IF($B249="","",IFERROR(INDEX(ST_STRAIT,MATCH($B249,ST_ID,0)),""))</f>
        <v/>
      </c>
      <c r="N249" s="26" t="str">
        <f aca="false">IF($B249="","",IF($E249="",$L249,$E249))</f>
        <v/>
      </c>
      <c r="O249" s="26" t="str">
        <f aca="false">IF($N249="","",IFERROR(INDEX(LOT_EXTE,MATCH($N249,LOT_KEY,0)),""))</f>
        <v/>
      </c>
      <c r="P249" s="26" t="str">
        <f aca="false">IF($J249="","",IFERROR(INDEX(EMPL_CLASSE,MATCH($J249,EMPL_KEY,0)),"?"))</f>
        <v/>
      </c>
      <c r="Q249" s="28" t="n">
        <f aca="false">IF($B249="",0,IF(OR(ISNA(MATCH($B249,ST_ID,0)),NOT(ISNUMBER($F249)),$F249&lt;=0,$J249="",$N249=""),0,1))</f>
        <v>0</v>
      </c>
      <c r="R249" s="27" t="n">
        <f aca="false">IF($Q249=0,0,$F249)</f>
        <v>0</v>
      </c>
      <c r="S249" s="26" t="str">
        <f aca="false">IF($B249="","",IFERROR(INDEX(ST_STATUT,MATCH($B249,ST_ID,0)),""))</f>
        <v/>
      </c>
      <c r="T249" s="26" t="str">
        <f aca="false">IF($B249="","",IF($Q249=0,"DONNEES MANQUANTES",IF(OR($S249="DONNEES MANQUANTES",$S249="STOCK INSUFFISANT",$S249="EMPLACEMENT INCOHERENT",$S249="BLOQUE"),"BLOQUE","OK")))</f>
        <v/>
      </c>
      <c r="U249" s="28" t="n">
        <f aca="false">IF($T249="OK",1,0)</f>
        <v>0</v>
      </c>
      <c r="V249" s="26" t="str">
        <f aca="false">IF($B249="","",IF($Q249=0,"A COMPLETER : "&amp;IF(ISNA(MATCH($B249,ST_ID,0)),"ID ST valide; ","")&amp;IF(OR(NOT(ISNUMBER($F249)),$F249&lt;=0),"QUANTITE &gt; 0; ","")&amp;IF($J249="","EMPL. DESTINATION; ",""),IF($T249="BLOQUE","Envoi parent en anomalie ("&amp;$S249&amp;") : corriger l'onglet SOUS_TRAITANCE.",IF(AND($E249&lt;&gt;"",ISNA(MATCH($E249,LOT_KEY,0))),"Creer la fiche du lot resultat dans l'onglet LOTS.",""))))</f>
        <v/>
      </c>
      <c r="W249" s="31" t="str">
        <f aca="false">IF($B249="","",IF($C249&lt;&gt;"",$C249,IFERROR(INDEX(ST_DATERET,MATCH($B249,ST_ID,0)),"")))</f>
        <v/>
      </c>
      <c r="X249" s="26" t="str">
        <f aca="false">IF($Q249=0,"",IF($L249=R_LOT,IF($N249&lt;&gt;R_LOT,$N249,""),IF($N249=R_LOT,$L249,"")))</f>
        <v/>
      </c>
      <c r="Y249" s="26" t="str">
        <f aca="false">IF($X249="","",IF(COUNTIF($X$4:$X248,$X249)&gt;0,"",COUNT($Y$4:$Y248)+1))</f>
        <v/>
      </c>
      <c r="Z249" s="26" t="n">
        <f aca="false">IF($Q249=0,0,IF(OR($L249=R_LOT,$N249=R_LOT),1,0))</f>
        <v>0</v>
      </c>
      <c r="AA249" s="26" t="str">
        <f aca="false">IF($Z249=0,"",COUNTIF($Z$5:$Z249,1))</f>
        <v/>
      </c>
    </row>
    <row r="250" customFormat="false" ht="15" hidden="false" customHeight="false" outlineLevel="0" collapsed="false">
      <c r="A250" s="26" t="str">
        <f aca="false">IF($B250="","","RES-"&amp;TEXT(ROW()-4,"000"))</f>
        <v/>
      </c>
      <c r="B250" s="24"/>
      <c r="C250" s="25"/>
      <c r="D250" s="24"/>
      <c r="E250" s="24"/>
      <c r="F250" s="29"/>
      <c r="G250" s="24"/>
      <c r="H250" s="24"/>
      <c r="I250" s="24"/>
      <c r="J250" s="24"/>
      <c r="K250" s="24"/>
      <c r="L250" s="26" t="str">
        <f aca="false">IF($B250="","",IFERROR(INDEX(ST_LOT,MATCH($B250,ST_ID,0)),""))</f>
        <v/>
      </c>
      <c r="M250" s="26" t="str">
        <f aca="false">IF($B250="","",IFERROR(INDEX(ST_STRAIT,MATCH($B250,ST_ID,0)),""))</f>
        <v/>
      </c>
      <c r="N250" s="26" t="str">
        <f aca="false">IF($B250="","",IF($E250="",$L250,$E250))</f>
        <v/>
      </c>
      <c r="O250" s="26" t="str">
        <f aca="false">IF($N250="","",IFERROR(INDEX(LOT_EXTE,MATCH($N250,LOT_KEY,0)),""))</f>
        <v/>
      </c>
      <c r="P250" s="26" t="str">
        <f aca="false">IF($J250="","",IFERROR(INDEX(EMPL_CLASSE,MATCH($J250,EMPL_KEY,0)),"?"))</f>
        <v/>
      </c>
      <c r="Q250" s="28" t="n">
        <f aca="false">IF($B250="",0,IF(OR(ISNA(MATCH($B250,ST_ID,0)),NOT(ISNUMBER($F250)),$F250&lt;=0,$J250="",$N250=""),0,1))</f>
        <v>0</v>
      </c>
      <c r="R250" s="27" t="n">
        <f aca="false">IF($Q250=0,0,$F250)</f>
        <v>0</v>
      </c>
      <c r="S250" s="26" t="str">
        <f aca="false">IF($B250="","",IFERROR(INDEX(ST_STATUT,MATCH($B250,ST_ID,0)),""))</f>
        <v/>
      </c>
      <c r="T250" s="26" t="str">
        <f aca="false">IF($B250="","",IF($Q250=0,"DONNEES MANQUANTES",IF(OR($S250="DONNEES MANQUANTES",$S250="STOCK INSUFFISANT",$S250="EMPLACEMENT INCOHERENT",$S250="BLOQUE"),"BLOQUE","OK")))</f>
        <v/>
      </c>
      <c r="U250" s="28" t="n">
        <f aca="false">IF($T250="OK",1,0)</f>
        <v>0</v>
      </c>
      <c r="V250" s="26" t="str">
        <f aca="false">IF($B250="","",IF($Q250=0,"A COMPLETER : "&amp;IF(ISNA(MATCH($B250,ST_ID,0)),"ID ST valide; ","")&amp;IF(OR(NOT(ISNUMBER($F250)),$F250&lt;=0),"QUANTITE &gt; 0; ","")&amp;IF($J250="","EMPL. DESTINATION; ",""),IF($T250="BLOQUE","Envoi parent en anomalie ("&amp;$S250&amp;") : corriger l'onglet SOUS_TRAITANCE.",IF(AND($E250&lt;&gt;"",ISNA(MATCH($E250,LOT_KEY,0))),"Creer la fiche du lot resultat dans l'onglet LOTS.",""))))</f>
        <v/>
      </c>
      <c r="W250" s="31" t="str">
        <f aca="false">IF($B250="","",IF($C250&lt;&gt;"",$C250,IFERROR(INDEX(ST_DATERET,MATCH($B250,ST_ID,0)),"")))</f>
        <v/>
      </c>
      <c r="X250" s="26" t="str">
        <f aca="false">IF($Q250=0,"",IF($L250=R_LOT,IF($N250&lt;&gt;R_LOT,$N250,""),IF($N250=R_LOT,$L250,"")))</f>
        <v/>
      </c>
      <c r="Y250" s="26" t="str">
        <f aca="false">IF($X250="","",IF(COUNTIF($X$4:$X249,$X250)&gt;0,"",COUNT($Y$4:$Y249)+1))</f>
        <v/>
      </c>
      <c r="Z250" s="26" t="n">
        <f aca="false">IF($Q250=0,0,IF(OR($L250=R_LOT,$N250=R_LOT),1,0))</f>
        <v>0</v>
      </c>
      <c r="AA250" s="26" t="str">
        <f aca="false">IF($Z250=0,"",COUNTIF($Z$5:$Z250,1))</f>
        <v/>
      </c>
    </row>
    <row r="251" customFormat="false" ht="15" hidden="false" customHeight="false" outlineLevel="0" collapsed="false">
      <c r="A251" s="26" t="str">
        <f aca="false">IF($B251="","","RES-"&amp;TEXT(ROW()-4,"000"))</f>
        <v/>
      </c>
      <c r="B251" s="24"/>
      <c r="C251" s="25"/>
      <c r="D251" s="24"/>
      <c r="E251" s="24"/>
      <c r="F251" s="29"/>
      <c r="G251" s="24"/>
      <c r="H251" s="24"/>
      <c r="I251" s="24"/>
      <c r="J251" s="24"/>
      <c r="K251" s="24"/>
      <c r="L251" s="26" t="str">
        <f aca="false">IF($B251="","",IFERROR(INDEX(ST_LOT,MATCH($B251,ST_ID,0)),""))</f>
        <v/>
      </c>
      <c r="M251" s="26" t="str">
        <f aca="false">IF($B251="","",IFERROR(INDEX(ST_STRAIT,MATCH($B251,ST_ID,0)),""))</f>
        <v/>
      </c>
      <c r="N251" s="26" t="str">
        <f aca="false">IF($B251="","",IF($E251="",$L251,$E251))</f>
        <v/>
      </c>
      <c r="O251" s="26" t="str">
        <f aca="false">IF($N251="","",IFERROR(INDEX(LOT_EXTE,MATCH($N251,LOT_KEY,0)),""))</f>
        <v/>
      </c>
      <c r="P251" s="26" t="str">
        <f aca="false">IF($J251="","",IFERROR(INDEX(EMPL_CLASSE,MATCH($J251,EMPL_KEY,0)),"?"))</f>
        <v/>
      </c>
      <c r="Q251" s="28" t="n">
        <f aca="false">IF($B251="",0,IF(OR(ISNA(MATCH($B251,ST_ID,0)),NOT(ISNUMBER($F251)),$F251&lt;=0,$J251="",$N251=""),0,1))</f>
        <v>0</v>
      </c>
      <c r="R251" s="27" t="n">
        <f aca="false">IF($Q251=0,0,$F251)</f>
        <v>0</v>
      </c>
      <c r="S251" s="26" t="str">
        <f aca="false">IF($B251="","",IFERROR(INDEX(ST_STATUT,MATCH($B251,ST_ID,0)),""))</f>
        <v/>
      </c>
      <c r="T251" s="26" t="str">
        <f aca="false">IF($B251="","",IF($Q251=0,"DONNEES MANQUANTES",IF(OR($S251="DONNEES MANQUANTES",$S251="STOCK INSUFFISANT",$S251="EMPLACEMENT INCOHERENT",$S251="BLOQUE"),"BLOQUE","OK")))</f>
        <v/>
      </c>
      <c r="U251" s="28" t="n">
        <f aca="false">IF($T251="OK",1,0)</f>
        <v>0</v>
      </c>
      <c r="V251" s="26" t="str">
        <f aca="false">IF($B251="","",IF($Q251=0,"A COMPLETER : "&amp;IF(ISNA(MATCH($B251,ST_ID,0)),"ID ST valide; ","")&amp;IF(OR(NOT(ISNUMBER($F251)),$F251&lt;=0),"QUANTITE &gt; 0; ","")&amp;IF($J251="","EMPL. DESTINATION; ",""),IF($T251="BLOQUE","Envoi parent en anomalie ("&amp;$S251&amp;") : corriger l'onglet SOUS_TRAITANCE.",IF(AND($E251&lt;&gt;"",ISNA(MATCH($E251,LOT_KEY,0))),"Creer la fiche du lot resultat dans l'onglet LOTS.",""))))</f>
        <v/>
      </c>
      <c r="W251" s="31" t="str">
        <f aca="false">IF($B251="","",IF($C251&lt;&gt;"",$C251,IFERROR(INDEX(ST_DATERET,MATCH($B251,ST_ID,0)),"")))</f>
        <v/>
      </c>
      <c r="X251" s="26" t="str">
        <f aca="false">IF($Q251=0,"",IF($L251=R_LOT,IF($N251&lt;&gt;R_LOT,$N251,""),IF($N251=R_LOT,$L251,"")))</f>
        <v/>
      </c>
      <c r="Y251" s="26" t="str">
        <f aca="false">IF($X251="","",IF(COUNTIF($X$4:$X250,$X251)&gt;0,"",COUNT($Y$4:$Y250)+1))</f>
        <v/>
      </c>
      <c r="Z251" s="26" t="n">
        <f aca="false">IF($Q251=0,0,IF(OR($L251=R_LOT,$N251=R_LOT),1,0))</f>
        <v>0</v>
      </c>
      <c r="AA251" s="26" t="str">
        <f aca="false">IF($Z251=0,"",COUNTIF($Z$5:$Z251,1))</f>
        <v/>
      </c>
    </row>
    <row r="252" customFormat="false" ht="15" hidden="false" customHeight="false" outlineLevel="0" collapsed="false">
      <c r="A252" s="26" t="str">
        <f aca="false">IF($B252="","","RES-"&amp;TEXT(ROW()-4,"000"))</f>
        <v/>
      </c>
      <c r="B252" s="24"/>
      <c r="C252" s="25"/>
      <c r="D252" s="24"/>
      <c r="E252" s="24"/>
      <c r="F252" s="29"/>
      <c r="G252" s="24"/>
      <c r="H252" s="24"/>
      <c r="I252" s="24"/>
      <c r="J252" s="24"/>
      <c r="K252" s="24"/>
      <c r="L252" s="26" t="str">
        <f aca="false">IF($B252="","",IFERROR(INDEX(ST_LOT,MATCH($B252,ST_ID,0)),""))</f>
        <v/>
      </c>
      <c r="M252" s="26" t="str">
        <f aca="false">IF($B252="","",IFERROR(INDEX(ST_STRAIT,MATCH($B252,ST_ID,0)),""))</f>
        <v/>
      </c>
      <c r="N252" s="26" t="str">
        <f aca="false">IF($B252="","",IF($E252="",$L252,$E252))</f>
        <v/>
      </c>
      <c r="O252" s="26" t="str">
        <f aca="false">IF($N252="","",IFERROR(INDEX(LOT_EXTE,MATCH($N252,LOT_KEY,0)),""))</f>
        <v/>
      </c>
      <c r="P252" s="26" t="str">
        <f aca="false">IF($J252="","",IFERROR(INDEX(EMPL_CLASSE,MATCH($J252,EMPL_KEY,0)),"?"))</f>
        <v/>
      </c>
      <c r="Q252" s="28" t="n">
        <f aca="false">IF($B252="",0,IF(OR(ISNA(MATCH($B252,ST_ID,0)),NOT(ISNUMBER($F252)),$F252&lt;=0,$J252="",$N252=""),0,1))</f>
        <v>0</v>
      </c>
      <c r="R252" s="27" t="n">
        <f aca="false">IF($Q252=0,0,$F252)</f>
        <v>0</v>
      </c>
      <c r="S252" s="26" t="str">
        <f aca="false">IF($B252="","",IFERROR(INDEX(ST_STATUT,MATCH($B252,ST_ID,0)),""))</f>
        <v/>
      </c>
      <c r="T252" s="26" t="str">
        <f aca="false">IF($B252="","",IF($Q252=0,"DONNEES MANQUANTES",IF(OR($S252="DONNEES MANQUANTES",$S252="STOCK INSUFFISANT",$S252="EMPLACEMENT INCOHERENT",$S252="BLOQUE"),"BLOQUE","OK")))</f>
        <v/>
      </c>
      <c r="U252" s="28" t="n">
        <f aca="false">IF($T252="OK",1,0)</f>
        <v>0</v>
      </c>
      <c r="V252" s="26" t="str">
        <f aca="false">IF($B252="","",IF($Q252=0,"A COMPLETER : "&amp;IF(ISNA(MATCH($B252,ST_ID,0)),"ID ST valide; ","")&amp;IF(OR(NOT(ISNUMBER($F252)),$F252&lt;=0),"QUANTITE &gt; 0; ","")&amp;IF($J252="","EMPL. DESTINATION; ",""),IF($T252="BLOQUE","Envoi parent en anomalie ("&amp;$S252&amp;") : corriger l'onglet SOUS_TRAITANCE.",IF(AND($E252&lt;&gt;"",ISNA(MATCH($E252,LOT_KEY,0))),"Creer la fiche du lot resultat dans l'onglet LOTS.",""))))</f>
        <v/>
      </c>
      <c r="W252" s="31" t="str">
        <f aca="false">IF($B252="","",IF($C252&lt;&gt;"",$C252,IFERROR(INDEX(ST_DATERET,MATCH($B252,ST_ID,0)),"")))</f>
        <v/>
      </c>
      <c r="X252" s="26" t="str">
        <f aca="false">IF($Q252=0,"",IF($L252=R_LOT,IF($N252&lt;&gt;R_LOT,$N252,""),IF($N252=R_LOT,$L252,"")))</f>
        <v/>
      </c>
      <c r="Y252" s="26" t="str">
        <f aca="false">IF($X252="","",IF(COUNTIF($X$4:$X251,$X252)&gt;0,"",COUNT($Y$4:$Y251)+1))</f>
        <v/>
      </c>
      <c r="Z252" s="26" t="n">
        <f aca="false">IF($Q252=0,0,IF(OR($L252=R_LOT,$N252=R_LOT),1,0))</f>
        <v>0</v>
      </c>
      <c r="AA252" s="26" t="str">
        <f aca="false">IF($Z252=0,"",COUNTIF($Z$5:$Z252,1))</f>
        <v/>
      </c>
    </row>
    <row r="253" customFormat="false" ht="15" hidden="false" customHeight="false" outlineLevel="0" collapsed="false">
      <c r="A253" s="26" t="str">
        <f aca="false">IF($B253="","","RES-"&amp;TEXT(ROW()-4,"000"))</f>
        <v/>
      </c>
      <c r="B253" s="24"/>
      <c r="C253" s="25"/>
      <c r="D253" s="24"/>
      <c r="E253" s="24"/>
      <c r="F253" s="29"/>
      <c r="G253" s="24"/>
      <c r="H253" s="24"/>
      <c r="I253" s="24"/>
      <c r="J253" s="24"/>
      <c r="K253" s="24"/>
      <c r="L253" s="26" t="str">
        <f aca="false">IF($B253="","",IFERROR(INDEX(ST_LOT,MATCH($B253,ST_ID,0)),""))</f>
        <v/>
      </c>
      <c r="M253" s="26" t="str">
        <f aca="false">IF($B253="","",IFERROR(INDEX(ST_STRAIT,MATCH($B253,ST_ID,0)),""))</f>
        <v/>
      </c>
      <c r="N253" s="26" t="str">
        <f aca="false">IF($B253="","",IF($E253="",$L253,$E253))</f>
        <v/>
      </c>
      <c r="O253" s="26" t="str">
        <f aca="false">IF($N253="","",IFERROR(INDEX(LOT_EXTE,MATCH($N253,LOT_KEY,0)),""))</f>
        <v/>
      </c>
      <c r="P253" s="26" t="str">
        <f aca="false">IF($J253="","",IFERROR(INDEX(EMPL_CLASSE,MATCH($J253,EMPL_KEY,0)),"?"))</f>
        <v/>
      </c>
      <c r="Q253" s="28" t="n">
        <f aca="false">IF($B253="",0,IF(OR(ISNA(MATCH($B253,ST_ID,0)),NOT(ISNUMBER($F253)),$F253&lt;=0,$J253="",$N253=""),0,1))</f>
        <v>0</v>
      </c>
      <c r="R253" s="27" t="n">
        <f aca="false">IF($Q253=0,0,$F253)</f>
        <v>0</v>
      </c>
      <c r="S253" s="26" t="str">
        <f aca="false">IF($B253="","",IFERROR(INDEX(ST_STATUT,MATCH($B253,ST_ID,0)),""))</f>
        <v/>
      </c>
      <c r="T253" s="26" t="str">
        <f aca="false">IF($B253="","",IF($Q253=0,"DONNEES MANQUANTES",IF(OR($S253="DONNEES MANQUANTES",$S253="STOCK INSUFFISANT",$S253="EMPLACEMENT INCOHERENT",$S253="BLOQUE"),"BLOQUE","OK")))</f>
        <v/>
      </c>
      <c r="U253" s="28" t="n">
        <f aca="false">IF($T253="OK",1,0)</f>
        <v>0</v>
      </c>
      <c r="V253" s="26" t="str">
        <f aca="false">IF($B253="","",IF($Q253=0,"A COMPLETER : "&amp;IF(ISNA(MATCH($B253,ST_ID,0)),"ID ST valide; ","")&amp;IF(OR(NOT(ISNUMBER($F253)),$F253&lt;=0),"QUANTITE &gt; 0; ","")&amp;IF($J253="","EMPL. DESTINATION; ",""),IF($T253="BLOQUE","Envoi parent en anomalie ("&amp;$S253&amp;") : corriger l'onglet SOUS_TRAITANCE.",IF(AND($E253&lt;&gt;"",ISNA(MATCH($E253,LOT_KEY,0))),"Creer la fiche du lot resultat dans l'onglet LOTS.",""))))</f>
        <v/>
      </c>
      <c r="W253" s="31" t="str">
        <f aca="false">IF($B253="","",IF($C253&lt;&gt;"",$C253,IFERROR(INDEX(ST_DATERET,MATCH($B253,ST_ID,0)),"")))</f>
        <v/>
      </c>
      <c r="X253" s="26" t="str">
        <f aca="false">IF($Q253=0,"",IF($L253=R_LOT,IF($N253&lt;&gt;R_LOT,$N253,""),IF($N253=R_LOT,$L253,"")))</f>
        <v/>
      </c>
      <c r="Y253" s="26" t="str">
        <f aca="false">IF($X253="","",IF(COUNTIF($X$4:$X252,$X253)&gt;0,"",COUNT($Y$4:$Y252)+1))</f>
        <v/>
      </c>
      <c r="Z253" s="26" t="n">
        <f aca="false">IF($Q253=0,0,IF(OR($L253=R_LOT,$N253=R_LOT),1,0))</f>
        <v>0</v>
      </c>
      <c r="AA253" s="26" t="str">
        <f aca="false">IF($Z253=0,"",COUNTIF($Z$5:$Z253,1))</f>
        <v/>
      </c>
    </row>
    <row r="254" customFormat="false" ht="15" hidden="false" customHeight="false" outlineLevel="0" collapsed="false">
      <c r="A254" s="26" t="str">
        <f aca="false">IF($B254="","","RES-"&amp;TEXT(ROW()-4,"000"))</f>
        <v/>
      </c>
      <c r="B254" s="24"/>
      <c r="C254" s="25"/>
      <c r="D254" s="24"/>
      <c r="E254" s="24"/>
      <c r="F254" s="29"/>
      <c r="G254" s="24"/>
      <c r="H254" s="24"/>
      <c r="I254" s="24"/>
      <c r="J254" s="24"/>
      <c r="K254" s="24"/>
      <c r="L254" s="26" t="str">
        <f aca="false">IF($B254="","",IFERROR(INDEX(ST_LOT,MATCH($B254,ST_ID,0)),""))</f>
        <v/>
      </c>
      <c r="M254" s="26" t="str">
        <f aca="false">IF($B254="","",IFERROR(INDEX(ST_STRAIT,MATCH($B254,ST_ID,0)),""))</f>
        <v/>
      </c>
      <c r="N254" s="26" t="str">
        <f aca="false">IF($B254="","",IF($E254="",$L254,$E254))</f>
        <v/>
      </c>
      <c r="O254" s="26" t="str">
        <f aca="false">IF($N254="","",IFERROR(INDEX(LOT_EXTE,MATCH($N254,LOT_KEY,0)),""))</f>
        <v/>
      </c>
      <c r="P254" s="26" t="str">
        <f aca="false">IF($J254="","",IFERROR(INDEX(EMPL_CLASSE,MATCH($J254,EMPL_KEY,0)),"?"))</f>
        <v/>
      </c>
      <c r="Q254" s="28" t="n">
        <f aca="false">IF($B254="",0,IF(OR(ISNA(MATCH($B254,ST_ID,0)),NOT(ISNUMBER($F254)),$F254&lt;=0,$J254="",$N254=""),0,1))</f>
        <v>0</v>
      </c>
      <c r="R254" s="27" t="n">
        <f aca="false">IF($Q254=0,0,$F254)</f>
        <v>0</v>
      </c>
      <c r="S254" s="26" t="str">
        <f aca="false">IF($B254="","",IFERROR(INDEX(ST_STATUT,MATCH($B254,ST_ID,0)),""))</f>
        <v/>
      </c>
      <c r="T254" s="26" t="str">
        <f aca="false">IF($B254="","",IF($Q254=0,"DONNEES MANQUANTES",IF(OR($S254="DONNEES MANQUANTES",$S254="STOCK INSUFFISANT",$S254="EMPLACEMENT INCOHERENT",$S254="BLOQUE"),"BLOQUE","OK")))</f>
        <v/>
      </c>
      <c r="U254" s="28" t="n">
        <f aca="false">IF($T254="OK",1,0)</f>
        <v>0</v>
      </c>
      <c r="V254" s="26" t="str">
        <f aca="false">IF($B254="","",IF($Q254=0,"A COMPLETER : "&amp;IF(ISNA(MATCH($B254,ST_ID,0)),"ID ST valide; ","")&amp;IF(OR(NOT(ISNUMBER($F254)),$F254&lt;=0),"QUANTITE &gt; 0; ","")&amp;IF($J254="","EMPL. DESTINATION; ",""),IF($T254="BLOQUE","Envoi parent en anomalie ("&amp;$S254&amp;") : corriger l'onglet SOUS_TRAITANCE.",IF(AND($E254&lt;&gt;"",ISNA(MATCH($E254,LOT_KEY,0))),"Creer la fiche du lot resultat dans l'onglet LOTS.",""))))</f>
        <v/>
      </c>
      <c r="W254" s="31" t="str">
        <f aca="false">IF($B254="","",IF($C254&lt;&gt;"",$C254,IFERROR(INDEX(ST_DATERET,MATCH($B254,ST_ID,0)),"")))</f>
        <v/>
      </c>
      <c r="X254" s="26" t="str">
        <f aca="false">IF($Q254=0,"",IF($L254=R_LOT,IF($N254&lt;&gt;R_LOT,$N254,""),IF($N254=R_LOT,$L254,"")))</f>
        <v/>
      </c>
      <c r="Y254" s="26" t="str">
        <f aca="false">IF($X254="","",IF(COUNTIF($X$4:$X253,$X254)&gt;0,"",COUNT($Y$4:$Y253)+1))</f>
        <v/>
      </c>
      <c r="Z254" s="26" t="n">
        <f aca="false">IF($Q254=0,0,IF(OR($L254=R_LOT,$N254=R_LOT),1,0))</f>
        <v>0</v>
      </c>
      <c r="AA254" s="26" t="str">
        <f aca="false">IF($Z254=0,"",COUNTIF($Z$5:$Z254,1))</f>
        <v/>
      </c>
    </row>
    <row r="255" customFormat="false" ht="15" hidden="false" customHeight="false" outlineLevel="0" collapsed="false">
      <c r="A255" s="26" t="str">
        <f aca="false">IF($B255="","","RES-"&amp;TEXT(ROW()-4,"000"))</f>
        <v/>
      </c>
      <c r="B255" s="24"/>
      <c r="C255" s="25"/>
      <c r="D255" s="24"/>
      <c r="E255" s="24"/>
      <c r="F255" s="29"/>
      <c r="G255" s="24"/>
      <c r="H255" s="24"/>
      <c r="I255" s="24"/>
      <c r="J255" s="24"/>
      <c r="K255" s="24"/>
      <c r="L255" s="26" t="str">
        <f aca="false">IF($B255="","",IFERROR(INDEX(ST_LOT,MATCH($B255,ST_ID,0)),""))</f>
        <v/>
      </c>
      <c r="M255" s="26" t="str">
        <f aca="false">IF($B255="","",IFERROR(INDEX(ST_STRAIT,MATCH($B255,ST_ID,0)),""))</f>
        <v/>
      </c>
      <c r="N255" s="26" t="str">
        <f aca="false">IF($B255="","",IF($E255="",$L255,$E255))</f>
        <v/>
      </c>
      <c r="O255" s="26" t="str">
        <f aca="false">IF($N255="","",IFERROR(INDEX(LOT_EXTE,MATCH($N255,LOT_KEY,0)),""))</f>
        <v/>
      </c>
      <c r="P255" s="26" t="str">
        <f aca="false">IF($J255="","",IFERROR(INDEX(EMPL_CLASSE,MATCH($J255,EMPL_KEY,0)),"?"))</f>
        <v/>
      </c>
      <c r="Q255" s="28" t="n">
        <f aca="false">IF($B255="",0,IF(OR(ISNA(MATCH($B255,ST_ID,0)),NOT(ISNUMBER($F255)),$F255&lt;=0,$J255="",$N255=""),0,1))</f>
        <v>0</v>
      </c>
      <c r="R255" s="27" t="n">
        <f aca="false">IF($Q255=0,0,$F255)</f>
        <v>0</v>
      </c>
      <c r="S255" s="26" t="str">
        <f aca="false">IF($B255="","",IFERROR(INDEX(ST_STATUT,MATCH($B255,ST_ID,0)),""))</f>
        <v/>
      </c>
      <c r="T255" s="26" t="str">
        <f aca="false">IF($B255="","",IF($Q255=0,"DONNEES MANQUANTES",IF(OR($S255="DONNEES MANQUANTES",$S255="STOCK INSUFFISANT",$S255="EMPLACEMENT INCOHERENT",$S255="BLOQUE"),"BLOQUE","OK")))</f>
        <v/>
      </c>
      <c r="U255" s="28" t="n">
        <f aca="false">IF($T255="OK",1,0)</f>
        <v>0</v>
      </c>
      <c r="V255" s="26" t="str">
        <f aca="false">IF($B255="","",IF($Q255=0,"A COMPLETER : "&amp;IF(ISNA(MATCH($B255,ST_ID,0)),"ID ST valide; ","")&amp;IF(OR(NOT(ISNUMBER($F255)),$F255&lt;=0),"QUANTITE &gt; 0; ","")&amp;IF($J255="","EMPL. DESTINATION; ",""),IF($T255="BLOQUE","Envoi parent en anomalie ("&amp;$S255&amp;") : corriger l'onglet SOUS_TRAITANCE.",IF(AND($E255&lt;&gt;"",ISNA(MATCH($E255,LOT_KEY,0))),"Creer la fiche du lot resultat dans l'onglet LOTS.",""))))</f>
        <v/>
      </c>
      <c r="W255" s="31" t="str">
        <f aca="false">IF($B255="","",IF($C255&lt;&gt;"",$C255,IFERROR(INDEX(ST_DATERET,MATCH($B255,ST_ID,0)),"")))</f>
        <v/>
      </c>
      <c r="X255" s="26" t="str">
        <f aca="false">IF($Q255=0,"",IF($L255=R_LOT,IF($N255&lt;&gt;R_LOT,$N255,""),IF($N255=R_LOT,$L255,"")))</f>
        <v/>
      </c>
      <c r="Y255" s="26" t="str">
        <f aca="false">IF($X255="","",IF(COUNTIF($X$4:$X254,$X255)&gt;0,"",COUNT($Y$4:$Y254)+1))</f>
        <v/>
      </c>
      <c r="Z255" s="26" t="n">
        <f aca="false">IF($Q255=0,0,IF(OR($L255=R_LOT,$N255=R_LOT),1,0))</f>
        <v>0</v>
      </c>
      <c r="AA255" s="26" t="str">
        <f aca="false">IF($Z255=0,"",COUNTIF($Z$5:$Z255,1))</f>
        <v/>
      </c>
    </row>
    <row r="256" customFormat="false" ht="15" hidden="false" customHeight="false" outlineLevel="0" collapsed="false">
      <c r="A256" s="26" t="str">
        <f aca="false">IF($B256="","","RES-"&amp;TEXT(ROW()-4,"000"))</f>
        <v/>
      </c>
      <c r="B256" s="24"/>
      <c r="C256" s="25"/>
      <c r="D256" s="24"/>
      <c r="E256" s="24"/>
      <c r="F256" s="29"/>
      <c r="G256" s="24"/>
      <c r="H256" s="24"/>
      <c r="I256" s="24"/>
      <c r="J256" s="24"/>
      <c r="K256" s="24"/>
      <c r="L256" s="26" t="str">
        <f aca="false">IF($B256="","",IFERROR(INDEX(ST_LOT,MATCH($B256,ST_ID,0)),""))</f>
        <v/>
      </c>
      <c r="M256" s="26" t="str">
        <f aca="false">IF($B256="","",IFERROR(INDEX(ST_STRAIT,MATCH($B256,ST_ID,0)),""))</f>
        <v/>
      </c>
      <c r="N256" s="26" t="str">
        <f aca="false">IF($B256="","",IF($E256="",$L256,$E256))</f>
        <v/>
      </c>
      <c r="O256" s="26" t="str">
        <f aca="false">IF($N256="","",IFERROR(INDEX(LOT_EXTE,MATCH($N256,LOT_KEY,0)),""))</f>
        <v/>
      </c>
      <c r="P256" s="26" t="str">
        <f aca="false">IF($J256="","",IFERROR(INDEX(EMPL_CLASSE,MATCH($J256,EMPL_KEY,0)),"?"))</f>
        <v/>
      </c>
      <c r="Q256" s="28" t="n">
        <f aca="false">IF($B256="",0,IF(OR(ISNA(MATCH($B256,ST_ID,0)),NOT(ISNUMBER($F256)),$F256&lt;=0,$J256="",$N256=""),0,1))</f>
        <v>0</v>
      </c>
      <c r="R256" s="27" t="n">
        <f aca="false">IF($Q256=0,0,$F256)</f>
        <v>0</v>
      </c>
      <c r="S256" s="26" t="str">
        <f aca="false">IF($B256="","",IFERROR(INDEX(ST_STATUT,MATCH($B256,ST_ID,0)),""))</f>
        <v/>
      </c>
      <c r="T256" s="26" t="str">
        <f aca="false">IF($B256="","",IF($Q256=0,"DONNEES MANQUANTES",IF(OR($S256="DONNEES MANQUANTES",$S256="STOCK INSUFFISANT",$S256="EMPLACEMENT INCOHERENT",$S256="BLOQUE"),"BLOQUE","OK")))</f>
        <v/>
      </c>
      <c r="U256" s="28" t="n">
        <f aca="false">IF($T256="OK",1,0)</f>
        <v>0</v>
      </c>
      <c r="V256" s="26" t="str">
        <f aca="false">IF($B256="","",IF($Q256=0,"A COMPLETER : "&amp;IF(ISNA(MATCH($B256,ST_ID,0)),"ID ST valide; ","")&amp;IF(OR(NOT(ISNUMBER($F256)),$F256&lt;=0),"QUANTITE &gt; 0; ","")&amp;IF($J256="","EMPL. DESTINATION; ",""),IF($T256="BLOQUE","Envoi parent en anomalie ("&amp;$S256&amp;") : corriger l'onglet SOUS_TRAITANCE.",IF(AND($E256&lt;&gt;"",ISNA(MATCH($E256,LOT_KEY,0))),"Creer la fiche du lot resultat dans l'onglet LOTS.",""))))</f>
        <v/>
      </c>
      <c r="W256" s="31" t="str">
        <f aca="false">IF($B256="","",IF($C256&lt;&gt;"",$C256,IFERROR(INDEX(ST_DATERET,MATCH($B256,ST_ID,0)),"")))</f>
        <v/>
      </c>
      <c r="X256" s="26" t="str">
        <f aca="false">IF($Q256=0,"",IF($L256=R_LOT,IF($N256&lt;&gt;R_LOT,$N256,""),IF($N256=R_LOT,$L256,"")))</f>
        <v/>
      </c>
      <c r="Y256" s="26" t="str">
        <f aca="false">IF($X256="","",IF(COUNTIF($X$4:$X255,$X256)&gt;0,"",COUNT($Y$4:$Y255)+1))</f>
        <v/>
      </c>
      <c r="Z256" s="26" t="n">
        <f aca="false">IF($Q256=0,0,IF(OR($L256=R_LOT,$N256=R_LOT),1,0))</f>
        <v>0</v>
      </c>
      <c r="AA256" s="26" t="str">
        <f aca="false">IF($Z256=0,"",COUNTIF($Z$5:$Z256,1))</f>
        <v/>
      </c>
    </row>
    <row r="257" customFormat="false" ht="15" hidden="false" customHeight="false" outlineLevel="0" collapsed="false">
      <c r="A257" s="26" t="str">
        <f aca="false">IF($B257="","","RES-"&amp;TEXT(ROW()-4,"000"))</f>
        <v/>
      </c>
      <c r="B257" s="24"/>
      <c r="C257" s="25"/>
      <c r="D257" s="24"/>
      <c r="E257" s="24"/>
      <c r="F257" s="29"/>
      <c r="G257" s="24"/>
      <c r="H257" s="24"/>
      <c r="I257" s="24"/>
      <c r="J257" s="24"/>
      <c r="K257" s="24"/>
      <c r="L257" s="26" t="str">
        <f aca="false">IF($B257="","",IFERROR(INDEX(ST_LOT,MATCH($B257,ST_ID,0)),""))</f>
        <v/>
      </c>
      <c r="M257" s="26" t="str">
        <f aca="false">IF($B257="","",IFERROR(INDEX(ST_STRAIT,MATCH($B257,ST_ID,0)),""))</f>
        <v/>
      </c>
      <c r="N257" s="26" t="str">
        <f aca="false">IF($B257="","",IF($E257="",$L257,$E257))</f>
        <v/>
      </c>
      <c r="O257" s="26" t="str">
        <f aca="false">IF($N257="","",IFERROR(INDEX(LOT_EXTE,MATCH($N257,LOT_KEY,0)),""))</f>
        <v/>
      </c>
      <c r="P257" s="26" t="str">
        <f aca="false">IF($J257="","",IFERROR(INDEX(EMPL_CLASSE,MATCH($J257,EMPL_KEY,0)),"?"))</f>
        <v/>
      </c>
      <c r="Q257" s="28" t="n">
        <f aca="false">IF($B257="",0,IF(OR(ISNA(MATCH($B257,ST_ID,0)),NOT(ISNUMBER($F257)),$F257&lt;=0,$J257="",$N257=""),0,1))</f>
        <v>0</v>
      </c>
      <c r="R257" s="27" t="n">
        <f aca="false">IF($Q257=0,0,$F257)</f>
        <v>0</v>
      </c>
      <c r="S257" s="26" t="str">
        <f aca="false">IF($B257="","",IFERROR(INDEX(ST_STATUT,MATCH($B257,ST_ID,0)),""))</f>
        <v/>
      </c>
      <c r="T257" s="26" t="str">
        <f aca="false">IF($B257="","",IF($Q257=0,"DONNEES MANQUANTES",IF(OR($S257="DONNEES MANQUANTES",$S257="STOCK INSUFFISANT",$S257="EMPLACEMENT INCOHERENT",$S257="BLOQUE"),"BLOQUE","OK")))</f>
        <v/>
      </c>
      <c r="U257" s="28" t="n">
        <f aca="false">IF($T257="OK",1,0)</f>
        <v>0</v>
      </c>
      <c r="V257" s="26" t="str">
        <f aca="false">IF($B257="","",IF($Q257=0,"A COMPLETER : "&amp;IF(ISNA(MATCH($B257,ST_ID,0)),"ID ST valide; ","")&amp;IF(OR(NOT(ISNUMBER($F257)),$F257&lt;=0),"QUANTITE &gt; 0; ","")&amp;IF($J257="","EMPL. DESTINATION; ",""),IF($T257="BLOQUE","Envoi parent en anomalie ("&amp;$S257&amp;") : corriger l'onglet SOUS_TRAITANCE.",IF(AND($E257&lt;&gt;"",ISNA(MATCH($E257,LOT_KEY,0))),"Creer la fiche du lot resultat dans l'onglet LOTS.",""))))</f>
        <v/>
      </c>
      <c r="W257" s="31" t="str">
        <f aca="false">IF($B257="","",IF($C257&lt;&gt;"",$C257,IFERROR(INDEX(ST_DATERET,MATCH($B257,ST_ID,0)),"")))</f>
        <v/>
      </c>
      <c r="X257" s="26" t="str">
        <f aca="false">IF($Q257=0,"",IF($L257=R_LOT,IF($N257&lt;&gt;R_LOT,$N257,""),IF($N257=R_LOT,$L257,"")))</f>
        <v/>
      </c>
      <c r="Y257" s="26" t="str">
        <f aca="false">IF($X257="","",IF(COUNTIF($X$4:$X256,$X257)&gt;0,"",COUNT($Y$4:$Y256)+1))</f>
        <v/>
      </c>
      <c r="Z257" s="26" t="n">
        <f aca="false">IF($Q257=0,0,IF(OR($L257=R_LOT,$N257=R_LOT),1,0))</f>
        <v>0</v>
      </c>
      <c r="AA257" s="26" t="str">
        <f aca="false">IF($Z257=0,"",COUNTIF($Z$5:$Z257,1))</f>
        <v/>
      </c>
    </row>
    <row r="258" customFormat="false" ht="15" hidden="false" customHeight="false" outlineLevel="0" collapsed="false">
      <c r="A258" s="26" t="str">
        <f aca="false">IF($B258="","","RES-"&amp;TEXT(ROW()-4,"000"))</f>
        <v/>
      </c>
      <c r="B258" s="24"/>
      <c r="C258" s="25"/>
      <c r="D258" s="24"/>
      <c r="E258" s="24"/>
      <c r="F258" s="29"/>
      <c r="G258" s="24"/>
      <c r="H258" s="24"/>
      <c r="I258" s="24"/>
      <c r="J258" s="24"/>
      <c r="K258" s="24"/>
      <c r="L258" s="26" t="str">
        <f aca="false">IF($B258="","",IFERROR(INDEX(ST_LOT,MATCH($B258,ST_ID,0)),""))</f>
        <v/>
      </c>
      <c r="M258" s="26" t="str">
        <f aca="false">IF($B258="","",IFERROR(INDEX(ST_STRAIT,MATCH($B258,ST_ID,0)),""))</f>
        <v/>
      </c>
      <c r="N258" s="26" t="str">
        <f aca="false">IF($B258="","",IF($E258="",$L258,$E258))</f>
        <v/>
      </c>
      <c r="O258" s="26" t="str">
        <f aca="false">IF($N258="","",IFERROR(INDEX(LOT_EXTE,MATCH($N258,LOT_KEY,0)),""))</f>
        <v/>
      </c>
      <c r="P258" s="26" t="str">
        <f aca="false">IF($J258="","",IFERROR(INDEX(EMPL_CLASSE,MATCH($J258,EMPL_KEY,0)),"?"))</f>
        <v/>
      </c>
      <c r="Q258" s="28" t="n">
        <f aca="false">IF($B258="",0,IF(OR(ISNA(MATCH($B258,ST_ID,0)),NOT(ISNUMBER($F258)),$F258&lt;=0,$J258="",$N258=""),0,1))</f>
        <v>0</v>
      </c>
      <c r="R258" s="27" t="n">
        <f aca="false">IF($Q258=0,0,$F258)</f>
        <v>0</v>
      </c>
      <c r="S258" s="26" t="str">
        <f aca="false">IF($B258="","",IFERROR(INDEX(ST_STATUT,MATCH($B258,ST_ID,0)),""))</f>
        <v/>
      </c>
      <c r="T258" s="26" t="str">
        <f aca="false">IF($B258="","",IF($Q258=0,"DONNEES MANQUANTES",IF(OR($S258="DONNEES MANQUANTES",$S258="STOCK INSUFFISANT",$S258="EMPLACEMENT INCOHERENT",$S258="BLOQUE"),"BLOQUE","OK")))</f>
        <v/>
      </c>
      <c r="U258" s="28" t="n">
        <f aca="false">IF($T258="OK",1,0)</f>
        <v>0</v>
      </c>
      <c r="V258" s="26" t="str">
        <f aca="false">IF($B258="","",IF($Q258=0,"A COMPLETER : "&amp;IF(ISNA(MATCH($B258,ST_ID,0)),"ID ST valide; ","")&amp;IF(OR(NOT(ISNUMBER($F258)),$F258&lt;=0),"QUANTITE &gt; 0; ","")&amp;IF($J258="","EMPL. DESTINATION; ",""),IF($T258="BLOQUE","Envoi parent en anomalie ("&amp;$S258&amp;") : corriger l'onglet SOUS_TRAITANCE.",IF(AND($E258&lt;&gt;"",ISNA(MATCH($E258,LOT_KEY,0))),"Creer la fiche du lot resultat dans l'onglet LOTS.",""))))</f>
        <v/>
      </c>
      <c r="W258" s="31" t="str">
        <f aca="false">IF($B258="","",IF($C258&lt;&gt;"",$C258,IFERROR(INDEX(ST_DATERET,MATCH($B258,ST_ID,0)),"")))</f>
        <v/>
      </c>
      <c r="X258" s="26" t="str">
        <f aca="false">IF($Q258=0,"",IF($L258=R_LOT,IF($N258&lt;&gt;R_LOT,$N258,""),IF($N258=R_LOT,$L258,"")))</f>
        <v/>
      </c>
      <c r="Y258" s="26" t="str">
        <f aca="false">IF($X258="","",IF(COUNTIF($X$4:$X257,$X258)&gt;0,"",COUNT($Y$4:$Y257)+1))</f>
        <v/>
      </c>
      <c r="Z258" s="26" t="n">
        <f aca="false">IF($Q258=0,0,IF(OR($L258=R_LOT,$N258=R_LOT),1,0))</f>
        <v>0</v>
      </c>
      <c r="AA258" s="26" t="str">
        <f aca="false">IF($Z258=0,"",COUNTIF($Z$5:$Z258,1))</f>
        <v/>
      </c>
    </row>
    <row r="259" customFormat="false" ht="15" hidden="false" customHeight="false" outlineLevel="0" collapsed="false">
      <c r="A259" s="26" t="str">
        <f aca="false">IF($B259="","","RES-"&amp;TEXT(ROW()-4,"000"))</f>
        <v/>
      </c>
      <c r="B259" s="24"/>
      <c r="C259" s="25"/>
      <c r="D259" s="24"/>
      <c r="E259" s="24"/>
      <c r="F259" s="29"/>
      <c r="G259" s="24"/>
      <c r="H259" s="24"/>
      <c r="I259" s="24"/>
      <c r="J259" s="24"/>
      <c r="K259" s="24"/>
      <c r="L259" s="26" t="str">
        <f aca="false">IF($B259="","",IFERROR(INDEX(ST_LOT,MATCH($B259,ST_ID,0)),""))</f>
        <v/>
      </c>
      <c r="M259" s="26" t="str">
        <f aca="false">IF($B259="","",IFERROR(INDEX(ST_STRAIT,MATCH($B259,ST_ID,0)),""))</f>
        <v/>
      </c>
      <c r="N259" s="26" t="str">
        <f aca="false">IF($B259="","",IF($E259="",$L259,$E259))</f>
        <v/>
      </c>
      <c r="O259" s="26" t="str">
        <f aca="false">IF($N259="","",IFERROR(INDEX(LOT_EXTE,MATCH($N259,LOT_KEY,0)),""))</f>
        <v/>
      </c>
      <c r="P259" s="26" t="str">
        <f aca="false">IF($J259="","",IFERROR(INDEX(EMPL_CLASSE,MATCH($J259,EMPL_KEY,0)),"?"))</f>
        <v/>
      </c>
      <c r="Q259" s="28" t="n">
        <f aca="false">IF($B259="",0,IF(OR(ISNA(MATCH($B259,ST_ID,0)),NOT(ISNUMBER($F259)),$F259&lt;=0,$J259="",$N259=""),0,1))</f>
        <v>0</v>
      </c>
      <c r="R259" s="27" t="n">
        <f aca="false">IF($Q259=0,0,$F259)</f>
        <v>0</v>
      </c>
      <c r="S259" s="26" t="str">
        <f aca="false">IF($B259="","",IFERROR(INDEX(ST_STATUT,MATCH($B259,ST_ID,0)),""))</f>
        <v/>
      </c>
      <c r="T259" s="26" t="str">
        <f aca="false">IF($B259="","",IF($Q259=0,"DONNEES MANQUANTES",IF(OR($S259="DONNEES MANQUANTES",$S259="STOCK INSUFFISANT",$S259="EMPLACEMENT INCOHERENT",$S259="BLOQUE"),"BLOQUE","OK")))</f>
        <v/>
      </c>
      <c r="U259" s="28" t="n">
        <f aca="false">IF($T259="OK",1,0)</f>
        <v>0</v>
      </c>
      <c r="V259" s="26" t="str">
        <f aca="false">IF($B259="","",IF($Q259=0,"A COMPLETER : "&amp;IF(ISNA(MATCH($B259,ST_ID,0)),"ID ST valide; ","")&amp;IF(OR(NOT(ISNUMBER($F259)),$F259&lt;=0),"QUANTITE &gt; 0; ","")&amp;IF($J259="","EMPL. DESTINATION; ",""),IF($T259="BLOQUE","Envoi parent en anomalie ("&amp;$S259&amp;") : corriger l'onglet SOUS_TRAITANCE.",IF(AND($E259&lt;&gt;"",ISNA(MATCH($E259,LOT_KEY,0))),"Creer la fiche du lot resultat dans l'onglet LOTS.",""))))</f>
        <v/>
      </c>
      <c r="W259" s="31" t="str">
        <f aca="false">IF($B259="","",IF($C259&lt;&gt;"",$C259,IFERROR(INDEX(ST_DATERET,MATCH($B259,ST_ID,0)),"")))</f>
        <v/>
      </c>
      <c r="X259" s="26" t="str">
        <f aca="false">IF($Q259=0,"",IF($L259=R_LOT,IF($N259&lt;&gt;R_LOT,$N259,""),IF($N259=R_LOT,$L259,"")))</f>
        <v/>
      </c>
      <c r="Y259" s="26" t="str">
        <f aca="false">IF($X259="","",IF(COUNTIF($X$4:$X258,$X259)&gt;0,"",COUNT($Y$4:$Y258)+1))</f>
        <v/>
      </c>
      <c r="Z259" s="26" t="n">
        <f aca="false">IF($Q259=0,0,IF(OR($L259=R_LOT,$N259=R_LOT),1,0))</f>
        <v>0</v>
      </c>
      <c r="AA259" s="26" t="str">
        <f aca="false">IF($Z259=0,"",COUNTIF($Z$5:$Z259,1))</f>
        <v/>
      </c>
    </row>
    <row r="260" customFormat="false" ht="15" hidden="false" customHeight="false" outlineLevel="0" collapsed="false">
      <c r="A260" s="26" t="str">
        <f aca="false">IF($B260="","","RES-"&amp;TEXT(ROW()-4,"000"))</f>
        <v/>
      </c>
      <c r="B260" s="24"/>
      <c r="C260" s="25"/>
      <c r="D260" s="24"/>
      <c r="E260" s="24"/>
      <c r="F260" s="29"/>
      <c r="G260" s="24"/>
      <c r="H260" s="24"/>
      <c r="I260" s="24"/>
      <c r="J260" s="24"/>
      <c r="K260" s="24"/>
      <c r="L260" s="26" t="str">
        <f aca="false">IF($B260="","",IFERROR(INDEX(ST_LOT,MATCH($B260,ST_ID,0)),""))</f>
        <v/>
      </c>
      <c r="M260" s="26" t="str">
        <f aca="false">IF($B260="","",IFERROR(INDEX(ST_STRAIT,MATCH($B260,ST_ID,0)),""))</f>
        <v/>
      </c>
      <c r="N260" s="26" t="str">
        <f aca="false">IF($B260="","",IF($E260="",$L260,$E260))</f>
        <v/>
      </c>
      <c r="O260" s="26" t="str">
        <f aca="false">IF($N260="","",IFERROR(INDEX(LOT_EXTE,MATCH($N260,LOT_KEY,0)),""))</f>
        <v/>
      </c>
      <c r="P260" s="26" t="str">
        <f aca="false">IF($J260="","",IFERROR(INDEX(EMPL_CLASSE,MATCH($J260,EMPL_KEY,0)),"?"))</f>
        <v/>
      </c>
      <c r="Q260" s="28" t="n">
        <f aca="false">IF($B260="",0,IF(OR(ISNA(MATCH($B260,ST_ID,0)),NOT(ISNUMBER($F260)),$F260&lt;=0,$J260="",$N260=""),0,1))</f>
        <v>0</v>
      </c>
      <c r="R260" s="27" t="n">
        <f aca="false">IF($Q260=0,0,$F260)</f>
        <v>0</v>
      </c>
      <c r="S260" s="26" t="str">
        <f aca="false">IF($B260="","",IFERROR(INDEX(ST_STATUT,MATCH($B260,ST_ID,0)),""))</f>
        <v/>
      </c>
      <c r="T260" s="26" t="str">
        <f aca="false">IF($B260="","",IF($Q260=0,"DONNEES MANQUANTES",IF(OR($S260="DONNEES MANQUANTES",$S260="STOCK INSUFFISANT",$S260="EMPLACEMENT INCOHERENT",$S260="BLOQUE"),"BLOQUE","OK")))</f>
        <v/>
      </c>
      <c r="U260" s="28" t="n">
        <f aca="false">IF($T260="OK",1,0)</f>
        <v>0</v>
      </c>
      <c r="V260" s="26" t="str">
        <f aca="false">IF($B260="","",IF($Q260=0,"A COMPLETER : "&amp;IF(ISNA(MATCH($B260,ST_ID,0)),"ID ST valide; ","")&amp;IF(OR(NOT(ISNUMBER($F260)),$F260&lt;=0),"QUANTITE &gt; 0; ","")&amp;IF($J260="","EMPL. DESTINATION; ",""),IF($T260="BLOQUE","Envoi parent en anomalie ("&amp;$S260&amp;") : corriger l'onglet SOUS_TRAITANCE.",IF(AND($E260&lt;&gt;"",ISNA(MATCH($E260,LOT_KEY,0))),"Creer la fiche du lot resultat dans l'onglet LOTS.",""))))</f>
        <v/>
      </c>
      <c r="W260" s="31" t="str">
        <f aca="false">IF($B260="","",IF($C260&lt;&gt;"",$C260,IFERROR(INDEX(ST_DATERET,MATCH($B260,ST_ID,0)),"")))</f>
        <v/>
      </c>
      <c r="X260" s="26" t="str">
        <f aca="false">IF($Q260=0,"",IF($L260=R_LOT,IF($N260&lt;&gt;R_LOT,$N260,""),IF($N260=R_LOT,$L260,"")))</f>
        <v/>
      </c>
      <c r="Y260" s="26" t="str">
        <f aca="false">IF($X260="","",IF(COUNTIF($X$4:$X259,$X260)&gt;0,"",COUNT($Y$4:$Y259)+1))</f>
        <v/>
      </c>
      <c r="Z260" s="26" t="n">
        <f aca="false">IF($Q260=0,0,IF(OR($L260=R_LOT,$N260=R_LOT),1,0))</f>
        <v>0</v>
      </c>
      <c r="AA260" s="26" t="str">
        <f aca="false">IF($Z260=0,"",COUNTIF($Z$5:$Z260,1))</f>
        <v/>
      </c>
    </row>
    <row r="261" customFormat="false" ht="15" hidden="false" customHeight="false" outlineLevel="0" collapsed="false">
      <c r="A261" s="26" t="str">
        <f aca="false">IF($B261="","","RES-"&amp;TEXT(ROW()-4,"000"))</f>
        <v/>
      </c>
      <c r="B261" s="24"/>
      <c r="C261" s="25"/>
      <c r="D261" s="24"/>
      <c r="E261" s="24"/>
      <c r="F261" s="29"/>
      <c r="G261" s="24"/>
      <c r="H261" s="24"/>
      <c r="I261" s="24"/>
      <c r="J261" s="24"/>
      <c r="K261" s="24"/>
      <c r="L261" s="26" t="str">
        <f aca="false">IF($B261="","",IFERROR(INDEX(ST_LOT,MATCH($B261,ST_ID,0)),""))</f>
        <v/>
      </c>
      <c r="M261" s="26" t="str">
        <f aca="false">IF($B261="","",IFERROR(INDEX(ST_STRAIT,MATCH($B261,ST_ID,0)),""))</f>
        <v/>
      </c>
      <c r="N261" s="26" t="str">
        <f aca="false">IF($B261="","",IF($E261="",$L261,$E261))</f>
        <v/>
      </c>
      <c r="O261" s="26" t="str">
        <f aca="false">IF($N261="","",IFERROR(INDEX(LOT_EXTE,MATCH($N261,LOT_KEY,0)),""))</f>
        <v/>
      </c>
      <c r="P261" s="26" t="str">
        <f aca="false">IF($J261="","",IFERROR(INDEX(EMPL_CLASSE,MATCH($J261,EMPL_KEY,0)),"?"))</f>
        <v/>
      </c>
      <c r="Q261" s="28" t="n">
        <f aca="false">IF($B261="",0,IF(OR(ISNA(MATCH($B261,ST_ID,0)),NOT(ISNUMBER($F261)),$F261&lt;=0,$J261="",$N261=""),0,1))</f>
        <v>0</v>
      </c>
      <c r="R261" s="27" t="n">
        <f aca="false">IF($Q261=0,0,$F261)</f>
        <v>0</v>
      </c>
      <c r="S261" s="26" t="str">
        <f aca="false">IF($B261="","",IFERROR(INDEX(ST_STATUT,MATCH($B261,ST_ID,0)),""))</f>
        <v/>
      </c>
      <c r="T261" s="26" t="str">
        <f aca="false">IF($B261="","",IF($Q261=0,"DONNEES MANQUANTES",IF(OR($S261="DONNEES MANQUANTES",$S261="STOCK INSUFFISANT",$S261="EMPLACEMENT INCOHERENT",$S261="BLOQUE"),"BLOQUE","OK")))</f>
        <v/>
      </c>
      <c r="U261" s="28" t="n">
        <f aca="false">IF($T261="OK",1,0)</f>
        <v>0</v>
      </c>
      <c r="V261" s="26" t="str">
        <f aca="false">IF($B261="","",IF($Q261=0,"A COMPLETER : "&amp;IF(ISNA(MATCH($B261,ST_ID,0)),"ID ST valide; ","")&amp;IF(OR(NOT(ISNUMBER($F261)),$F261&lt;=0),"QUANTITE &gt; 0; ","")&amp;IF($J261="","EMPL. DESTINATION; ",""),IF($T261="BLOQUE","Envoi parent en anomalie ("&amp;$S261&amp;") : corriger l'onglet SOUS_TRAITANCE.",IF(AND($E261&lt;&gt;"",ISNA(MATCH($E261,LOT_KEY,0))),"Creer la fiche du lot resultat dans l'onglet LOTS.",""))))</f>
        <v/>
      </c>
      <c r="W261" s="31" t="str">
        <f aca="false">IF($B261="","",IF($C261&lt;&gt;"",$C261,IFERROR(INDEX(ST_DATERET,MATCH($B261,ST_ID,0)),"")))</f>
        <v/>
      </c>
      <c r="X261" s="26" t="str">
        <f aca="false">IF($Q261=0,"",IF($L261=R_LOT,IF($N261&lt;&gt;R_LOT,$N261,""),IF($N261=R_LOT,$L261,"")))</f>
        <v/>
      </c>
      <c r="Y261" s="26" t="str">
        <f aca="false">IF($X261="","",IF(COUNTIF($X$4:$X260,$X261)&gt;0,"",COUNT($Y$4:$Y260)+1))</f>
        <v/>
      </c>
      <c r="Z261" s="26" t="n">
        <f aca="false">IF($Q261=0,0,IF(OR($L261=R_LOT,$N261=R_LOT),1,0))</f>
        <v>0</v>
      </c>
      <c r="AA261" s="26" t="str">
        <f aca="false">IF($Z261=0,"",COUNTIF($Z$5:$Z261,1))</f>
        <v/>
      </c>
    </row>
    <row r="262" customFormat="false" ht="15" hidden="false" customHeight="false" outlineLevel="0" collapsed="false">
      <c r="A262" s="26" t="str">
        <f aca="false">IF($B262="","","RES-"&amp;TEXT(ROW()-4,"000"))</f>
        <v/>
      </c>
      <c r="B262" s="24"/>
      <c r="C262" s="25"/>
      <c r="D262" s="24"/>
      <c r="E262" s="24"/>
      <c r="F262" s="29"/>
      <c r="G262" s="24"/>
      <c r="H262" s="24"/>
      <c r="I262" s="24"/>
      <c r="J262" s="24"/>
      <c r="K262" s="24"/>
      <c r="L262" s="26" t="str">
        <f aca="false">IF($B262="","",IFERROR(INDEX(ST_LOT,MATCH($B262,ST_ID,0)),""))</f>
        <v/>
      </c>
      <c r="M262" s="26" t="str">
        <f aca="false">IF($B262="","",IFERROR(INDEX(ST_STRAIT,MATCH($B262,ST_ID,0)),""))</f>
        <v/>
      </c>
      <c r="N262" s="26" t="str">
        <f aca="false">IF($B262="","",IF($E262="",$L262,$E262))</f>
        <v/>
      </c>
      <c r="O262" s="26" t="str">
        <f aca="false">IF($N262="","",IFERROR(INDEX(LOT_EXTE,MATCH($N262,LOT_KEY,0)),""))</f>
        <v/>
      </c>
      <c r="P262" s="26" t="str">
        <f aca="false">IF($J262="","",IFERROR(INDEX(EMPL_CLASSE,MATCH($J262,EMPL_KEY,0)),"?"))</f>
        <v/>
      </c>
      <c r="Q262" s="28" t="n">
        <f aca="false">IF($B262="",0,IF(OR(ISNA(MATCH($B262,ST_ID,0)),NOT(ISNUMBER($F262)),$F262&lt;=0,$J262="",$N262=""),0,1))</f>
        <v>0</v>
      </c>
      <c r="R262" s="27" t="n">
        <f aca="false">IF($Q262=0,0,$F262)</f>
        <v>0</v>
      </c>
      <c r="S262" s="26" t="str">
        <f aca="false">IF($B262="","",IFERROR(INDEX(ST_STATUT,MATCH($B262,ST_ID,0)),""))</f>
        <v/>
      </c>
      <c r="T262" s="26" t="str">
        <f aca="false">IF($B262="","",IF($Q262=0,"DONNEES MANQUANTES",IF(OR($S262="DONNEES MANQUANTES",$S262="STOCK INSUFFISANT",$S262="EMPLACEMENT INCOHERENT",$S262="BLOQUE"),"BLOQUE","OK")))</f>
        <v/>
      </c>
      <c r="U262" s="28" t="n">
        <f aca="false">IF($T262="OK",1,0)</f>
        <v>0</v>
      </c>
      <c r="V262" s="26" t="str">
        <f aca="false">IF($B262="","",IF($Q262=0,"A COMPLETER : "&amp;IF(ISNA(MATCH($B262,ST_ID,0)),"ID ST valide; ","")&amp;IF(OR(NOT(ISNUMBER($F262)),$F262&lt;=0),"QUANTITE &gt; 0; ","")&amp;IF($J262="","EMPL. DESTINATION; ",""),IF($T262="BLOQUE","Envoi parent en anomalie ("&amp;$S262&amp;") : corriger l'onglet SOUS_TRAITANCE.",IF(AND($E262&lt;&gt;"",ISNA(MATCH($E262,LOT_KEY,0))),"Creer la fiche du lot resultat dans l'onglet LOTS.",""))))</f>
        <v/>
      </c>
      <c r="W262" s="31" t="str">
        <f aca="false">IF($B262="","",IF($C262&lt;&gt;"",$C262,IFERROR(INDEX(ST_DATERET,MATCH($B262,ST_ID,0)),"")))</f>
        <v/>
      </c>
      <c r="X262" s="26" t="str">
        <f aca="false">IF($Q262=0,"",IF($L262=R_LOT,IF($N262&lt;&gt;R_LOT,$N262,""),IF($N262=R_LOT,$L262,"")))</f>
        <v/>
      </c>
      <c r="Y262" s="26" t="str">
        <f aca="false">IF($X262="","",IF(COUNTIF($X$4:$X261,$X262)&gt;0,"",COUNT($Y$4:$Y261)+1))</f>
        <v/>
      </c>
      <c r="Z262" s="26" t="n">
        <f aca="false">IF($Q262=0,0,IF(OR($L262=R_LOT,$N262=R_LOT),1,0))</f>
        <v>0</v>
      </c>
      <c r="AA262" s="26" t="str">
        <f aca="false">IF($Z262=0,"",COUNTIF($Z$5:$Z262,1))</f>
        <v/>
      </c>
    </row>
    <row r="263" customFormat="false" ht="15" hidden="false" customHeight="false" outlineLevel="0" collapsed="false">
      <c r="A263" s="26" t="str">
        <f aca="false">IF($B263="","","RES-"&amp;TEXT(ROW()-4,"000"))</f>
        <v/>
      </c>
      <c r="B263" s="24"/>
      <c r="C263" s="25"/>
      <c r="D263" s="24"/>
      <c r="E263" s="24"/>
      <c r="F263" s="29"/>
      <c r="G263" s="24"/>
      <c r="H263" s="24"/>
      <c r="I263" s="24"/>
      <c r="J263" s="24"/>
      <c r="K263" s="24"/>
      <c r="L263" s="26" t="str">
        <f aca="false">IF($B263="","",IFERROR(INDEX(ST_LOT,MATCH($B263,ST_ID,0)),""))</f>
        <v/>
      </c>
      <c r="M263" s="26" t="str">
        <f aca="false">IF($B263="","",IFERROR(INDEX(ST_STRAIT,MATCH($B263,ST_ID,0)),""))</f>
        <v/>
      </c>
      <c r="N263" s="26" t="str">
        <f aca="false">IF($B263="","",IF($E263="",$L263,$E263))</f>
        <v/>
      </c>
      <c r="O263" s="26" t="str">
        <f aca="false">IF($N263="","",IFERROR(INDEX(LOT_EXTE,MATCH($N263,LOT_KEY,0)),""))</f>
        <v/>
      </c>
      <c r="P263" s="26" t="str">
        <f aca="false">IF($J263="","",IFERROR(INDEX(EMPL_CLASSE,MATCH($J263,EMPL_KEY,0)),"?"))</f>
        <v/>
      </c>
      <c r="Q263" s="28" t="n">
        <f aca="false">IF($B263="",0,IF(OR(ISNA(MATCH($B263,ST_ID,0)),NOT(ISNUMBER($F263)),$F263&lt;=0,$J263="",$N263=""),0,1))</f>
        <v>0</v>
      </c>
      <c r="R263" s="27" t="n">
        <f aca="false">IF($Q263=0,0,$F263)</f>
        <v>0</v>
      </c>
      <c r="S263" s="26" t="str">
        <f aca="false">IF($B263="","",IFERROR(INDEX(ST_STATUT,MATCH($B263,ST_ID,0)),""))</f>
        <v/>
      </c>
      <c r="T263" s="26" t="str">
        <f aca="false">IF($B263="","",IF($Q263=0,"DONNEES MANQUANTES",IF(OR($S263="DONNEES MANQUANTES",$S263="STOCK INSUFFISANT",$S263="EMPLACEMENT INCOHERENT",$S263="BLOQUE"),"BLOQUE","OK")))</f>
        <v/>
      </c>
      <c r="U263" s="28" t="n">
        <f aca="false">IF($T263="OK",1,0)</f>
        <v>0</v>
      </c>
      <c r="V263" s="26" t="str">
        <f aca="false">IF($B263="","",IF($Q263=0,"A COMPLETER : "&amp;IF(ISNA(MATCH($B263,ST_ID,0)),"ID ST valide; ","")&amp;IF(OR(NOT(ISNUMBER($F263)),$F263&lt;=0),"QUANTITE &gt; 0; ","")&amp;IF($J263="","EMPL. DESTINATION; ",""),IF($T263="BLOQUE","Envoi parent en anomalie ("&amp;$S263&amp;") : corriger l'onglet SOUS_TRAITANCE.",IF(AND($E263&lt;&gt;"",ISNA(MATCH($E263,LOT_KEY,0))),"Creer la fiche du lot resultat dans l'onglet LOTS.",""))))</f>
        <v/>
      </c>
      <c r="W263" s="31" t="str">
        <f aca="false">IF($B263="","",IF($C263&lt;&gt;"",$C263,IFERROR(INDEX(ST_DATERET,MATCH($B263,ST_ID,0)),"")))</f>
        <v/>
      </c>
      <c r="X263" s="26" t="str">
        <f aca="false">IF($Q263=0,"",IF($L263=R_LOT,IF($N263&lt;&gt;R_LOT,$N263,""),IF($N263=R_LOT,$L263,"")))</f>
        <v/>
      </c>
      <c r="Y263" s="26" t="str">
        <f aca="false">IF($X263="","",IF(COUNTIF($X$4:$X262,$X263)&gt;0,"",COUNT($Y$4:$Y262)+1))</f>
        <v/>
      </c>
      <c r="Z263" s="26" t="n">
        <f aca="false">IF($Q263=0,0,IF(OR($L263=R_LOT,$N263=R_LOT),1,0))</f>
        <v>0</v>
      </c>
      <c r="AA263" s="26" t="str">
        <f aca="false">IF($Z263=0,"",COUNTIF($Z$5:$Z263,1))</f>
        <v/>
      </c>
    </row>
    <row r="264" customFormat="false" ht="15" hidden="false" customHeight="false" outlineLevel="0" collapsed="false">
      <c r="A264" s="26" t="str">
        <f aca="false">IF($B264="","","RES-"&amp;TEXT(ROW()-4,"000"))</f>
        <v/>
      </c>
      <c r="B264" s="24"/>
      <c r="C264" s="25"/>
      <c r="D264" s="24"/>
      <c r="E264" s="24"/>
      <c r="F264" s="29"/>
      <c r="G264" s="24"/>
      <c r="H264" s="24"/>
      <c r="I264" s="24"/>
      <c r="J264" s="24"/>
      <c r="K264" s="24"/>
      <c r="L264" s="26" t="str">
        <f aca="false">IF($B264="","",IFERROR(INDEX(ST_LOT,MATCH($B264,ST_ID,0)),""))</f>
        <v/>
      </c>
      <c r="M264" s="26" t="str">
        <f aca="false">IF($B264="","",IFERROR(INDEX(ST_STRAIT,MATCH($B264,ST_ID,0)),""))</f>
        <v/>
      </c>
      <c r="N264" s="26" t="str">
        <f aca="false">IF($B264="","",IF($E264="",$L264,$E264))</f>
        <v/>
      </c>
      <c r="O264" s="26" t="str">
        <f aca="false">IF($N264="","",IFERROR(INDEX(LOT_EXTE,MATCH($N264,LOT_KEY,0)),""))</f>
        <v/>
      </c>
      <c r="P264" s="26" t="str">
        <f aca="false">IF($J264="","",IFERROR(INDEX(EMPL_CLASSE,MATCH($J264,EMPL_KEY,0)),"?"))</f>
        <v/>
      </c>
      <c r="Q264" s="28" t="n">
        <f aca="false">IF($B264="",0,IF(OR(ISNA(MATCH($B264,ST_ID,0)),NOT(ISNUMBER($F264)),$F264&lt;=0,$J264="",$N264=""),0,1))</f>
        <v>0</v>
      </c>
      <c r="R264" s="27" t="n">
        <f aca="false">IF($Q264=0,0,$F264)</f>
        <v>0</v>
      </c>
      <c r="S264" s="26" t="str">
        <f aca="false">IF($B264="","",IFERROR(INDEX(ST_STATUT,MATCH($B264,ST_ID,0)),""))</f>
        <v/>
      </c>
      <c r="T264" s="26" t="str">
        <f aca="false">IF($B264="","",IF($Q264=0,"DONNEES MANQUANTES",IF(OR($S264="DONNEES MANQUANTES",$S264="STOCK INSUFFISANT",$S264="EMPLACEMENT INCOHERENT",$S264="BLOQUE"),"BLOQUE","OK")))</f>
        <v/>
      </c>
      <c r="U264" s="28" t="n">
        <f aca="false">IF($T264="OK",1,0)</f>
        <v>0</v>
      </c>
      <c r="V264" s="26" t="str">
        <f aca="false">IF($B264="","",IF($Q264=0,"A COMPLETER : "&amp;IF(ISNA(MATCH($B264,ST_ID,0)),"ID ST valide; ","")&amp;IF(OR(NOT(ISNUMBER($F264)),$F264&lt;=0),"QUANTITE &gt; 0; ","")&amp;IF($J264="","EMPL. DESTINATION; ",""),IF($T264="BLOQUE","Envoi parent en anomalie ("&amp;$S264&amp;") : corriger l'onglet SOUS_TRAITANCE.",IF(AND($E264&lt;&gt;"",ISNA(MATCH($E264,LOT_KEY,0))),"Creer la fiche du lot resultat dans l'onglet LOTS.",""))))</f>
        <v/>
      </c>
      <c r="W264" s="31" t="str">
        <f aca="false">IF($B264="","",IF($C264&lt;&gt;"",$C264,IFERROR(INDEX(ST_DATERET,MATCH($B264,ST_ID,0)),"")))</f>
        <v/>
      </c>
      <c r="X264" s="26" t="str">
        <f aca="false">IF($Q264=0,"",IF($L264=R_LOT,IF($N264&lt;&gt;R_LOT,$N264,""),IF($N264=R_LOT,$L264,"")))</f>
        <v/>
      </c>
      <c r="Y264" s="26" t="str">
        <f aca="false">IF($X264="","",IF(COUNTIF($X$4:$X263,$X264)&gt;0,"",COUNT($Y$4:$Y263)+1))</f>
        <v/>
      </c>
      <c r="Z264" s="26" t="n">
        <f aca="false">IF($Q264=0,0,IF(OR($L264=R_LOT,$N264=R_LOT),1,0))</f>
        <v>0</v>
      </c>
      <c r="AA264" s="26" t="str">
        <f aca="false">IF($Z264=0,"",COUNTIF($Z$5:$Z264,1))</f>
        <v/>
      </c>
    </row>
    <row r="265" customFormat="false" ht="15" hidden="false" customHeight="false" outlineLevel="0" collapsed="false">
      <c r="A265" s="26" t="str">
        <f aca="false">IF($B265="","","RES-"&amp;TEXT(ROW()-4,"000"))</f>
        <v/>
      </c>
      <c r="B265" s="24"/>
      <c r="C265" s="25"/>
      <c r="D265" s="24"/>
      <c r="E265" s="24"/>
      <c r="F265" s="29"/>
      <c r="G265" s="24"/>
      <c r="H265" s="24"/>
      <c r="I265" s="24"/>
      <c r="J265" s="24"/>
      <c r="K265" s="24"/>
      <c r="L265" s="26" t="str">
        <f aca="false">IF($B265="","",IFERROR(INDEX(ST_LOT,MATCH($B265,ST_ID,0)),""))</f>
        <v/>
      </c>
      <c r="M265" s="26" t="str">
        <f aca="false">IF($B265="","",IFERROR(INDEX(ST_STRAIT,MATCH($B265,ST_ID,0)),""))</f>
        <v/>
      </c>
      <c r="N265" s="26" t="str">
        <f aca="false">IF($B265="","",IF($E265="",$L265,$E265))</f>
        <v/>
      </c>
      <c r="O265" s="26" t="str">
        <f aca="false">IF($N265="","",IFERROR(INDEX(LOT_EXTE,MATCH($N265,LOT_KEY,0)),""))</f>
        <v/>
      </c>
      <c r="P265" s="26" t="str">
        <f aca="false">IF($J265="","",IFERROR(INDEX(EMPL_CLASSE,MATCH($J265,EMPL_KEY,0)),"?"))</f>
        <v/>
      </c>
      <c r="Q265" s="28" t="n">
        <f aca="false">IF($B265="",0,IF(OR(ISNA(MATCH($B265,ST_ID,0)),NOT(ISNUMBER($F265)),$F265&lt;=0,$J265="",$N265=""),0,1))</f>
        <v>0</v>
      </c>
      <c r="R265" s="27" t="n">
        <f aca="false">IF($Q265=0,0,$F265)</f>
        <v>0</v>
      </c>
      <c r="S265" s="26" t="str">
        <f aca="false">IF($B265="","",IFERROR(INDEX(ST_STATUT,MATCH($B265,ST_ID,0)),""))</f>
        <v/>
      </c>
      <c r="T265" s="26" t="str">
        <f aca="false">IF($B265="","",IF($Q265=0,"DONNEES MANQUANTES",IF(OR($S265="DONNEES MANQUANTES",$S265="STOCK INSUFFISANT",$S265="EMPLACEMENT INCOHERENT",$S265="BLOQUE"),"BLOQUE","OK")))</f>
        <v/>
      </c>
      <c r="U265" s="28" t="n">
        <f aca="false">IF($T265="OK",1,0)</f>
        <v>0</v>
      </c>
      <c r="V265" s="26" t="str">
        <f aca="false">IF($B265="","",IF($Q265=0,"A COMPLETER : "&amp;IF(ISNA(MATCH($B265,ST_ID,0)),"ID ST valide; ","")&amp;IF(OR(NOT(ISNUMBER($F265)),$F265&lt;=0),"QUANTITE &gt; 0; ","")&amp;IF($J265="","EMPL. DESTINATION; ",""),IF($T265="BLOQUE","Envoi parent en anomalie ("&amp;$S265&amp;") : corriger l'onglet SOUS_TRAITANCE.",IF(AND($E265&lt;&gt;"",ISNA(MATCH($E265,LOT_KEY,0))),"Creer la fiche du lot resultat dans l'onglet LOTS.",""))))</f>
        <v/>
      </c>
      <c r="W265" s="31" t="str">
        <f aca="false">IF($B265="","",IF($C265&lt;&gt;"",$C265,IFERROR(INDEX(ST_DATERET,MATCH($B265,ST_ID,0)),"")))</f>
        <v/>
      </c>
      <c r="X265" s="26" t="str">
        <f aca="false">IF($Q265=0,"",IF($L265=R_LOT,IF($N265&lt;&gt;R_LOT,$N265,""),IF($N265=R_LOT,$L265,"")))</f>
        <v/>
      </c>
      <c r="Y265" s="26" t="str">
        <f aca="false">IF($X265="","",IF(COUNTIF($X$4:$X264,$X265)&gt;0,"",COUNT($Y$4:$Y264)+1))</f>
        <v/>
      </c>
      <c r="Z265" s="26" t="n">
        <f aca="false">IF($Q265=0,0,IF(OR($L265=R_LOT,$N265=R_LOT),1,0))</f>
        <v>0</v>
      </c>
      <c r="AA265" s="26" t="str">
        <f aca="false">IF($Z265=0,"",COUNTIF($Z$5:$Z265,1))</f>
        <v/>
      </c>
    </row>
    <row r="266" customFormat="false" ht="15" hidden="false" customHeight="false" outlineLevel="0" collapsed="false">
      <c r="A266" s="26" t="str">
        <f aca="false">IF($B266="","","RES-"&amp;TEXT(ROW()-4,"000"))</f>
        <v/>
      </c>
      <c r="B266" s="24"/>
      <c r="C266" s="25"/>
      <c r="D266" s="24"/>
      <c r="E266" s="24"/>
      <c r="F266" s="29"/>
      <c r="G266" s="24"/>
      <c r="H266" s="24"/>
      <c r="I266" s="24"/>
      <c r="J266" s="24"/>
      <c r="K266" s="24"/>
      <c r="L266" s="26" t="str">
        <f aca="false">IF($B266="","",IFERROR(INDEX(ST_LOT,MATCH($B266,ST_ID,0)),""))</f>
        <v/>
      </c>
      <c r="M266" s="26" t="str">
        <f aca="false">IF($B266="","",IFERROR(INDEX(ST_STRAIT,MATCH($B266,ST_ID,0)),""))</f>
        <v/>
      </c>
      <c r="N266" s="26" t="str">
        <f aca="false">IF($B266="","",IF($E266="",$L266,$E266))</f>
        <v/>
      </c>
      <c r="O266" s="26" t="str">
        <f aca="false">IF($N266="","",IFERROR(INDEX(LOT_EXTE,MATCH($N266,LOT_KEY,0)),""))</f>
        <v/>
      </c>
      <c r="P266" s="26" t="str">
        <f aca="false">IF($J266="","",IFERROR(INDEX(EMPL_CLASSE,MATCH($J266,EMPL_KEY,0)),"?"))</f>
        <v/>
      </c>
      <c r="Q266" s="28" t="n">
        <f aca="false">IF($B266="",0,IF(OR(ISNA(MATCH($B266,ST_ID,0)),NOT(ISNUMBER($F266)),$F266&lt;=0,$J266="",$N266=""),0,1))</f>
        <v>0</v>
      </c>
      <c r="R266" s="27" t="n">
        <f aca="false">IF($Q266=0,0,$F266)</f>
        <v>0</v>
      </c>
      <c r="S266" s="26" t="str">
        <f aca="false">IF($B266="","",IFERROR(INDEX(ST_STATUT,MATCH($B266,ST_ID,0)),""))</f>
        <v/>
      </c>
      <c r="T266" s="26" t="str">
        <f aca="false">IF($B266="","",IF($Q266=0,"DONNEES MANQUANTES",IF(OR($S266="DONNEES MANQUANTES",$S266="STOCK INSUFFISANT",$S266="EMPLACEMENT INCOHERENT",$S266="BLOQUE"),"BLOQUE","OK")))</f>
        <v/>
      </c>
      <c r="U266" s="28" t="n">
        <f aca="false">IF($T266="OK",1,0)</f>
        <v>0</v>
      </c>
      <c r="V266" s="26" t="str">
        <f aca="false">IF($B266="","",IF($Q266=0,"A COMPLETER : "&amp;IF(ISNA(MATCH($B266,ST_ID,0)),"ID ST valide; ","")&amp;IF(OR(NOT(ISNUMBER($F266)),$F266&lt;=0),"QUANTITE &gt; 0; ","")&amp;IF($J266="","EMPL. DESTINATION; ",""),IF($T266="BLOQUE","Envoi parent en anomalie ("&amp;$S266&amp;") : corriger l'onglet SOUS_TRAITANCE.",IF(AND($E266&lt;&gt;"",ISNA(MATCH($E266,LOT_KEY,0))),"Creer la fiche du lot resultat dans l'onglet LOTS.",""))))</f>
        <v/>
      </c>
      <c r="W266" s="31" t="str">
        <f aca="false">IF($B266="","",IF($C266&lt;&gt;"",$C266,IFERROR(INDEX(ST_DATERET,MATCH($B266,ST_ID,0)),"")))</f>
        <v/>
      </c>
      <c r="X266" s="26" t="str">
        <f aca="false">IF($Q266=0,"",IF($L266=R_LOT,IF($N266&lt;&gt;R_LOT,$N266,""),IF($N266=R_LOT,$L266,"")))</f>
        <v/>
      </c>
      <c r="Y266" s="26" t="str">
        <f aca="false">IF($X266="","",IF(COUNTIF($X$4:$X265,$X266)&gt;0,"",COUNT($Y$4:$Y265)+1))</f>
        <v/>
      </c>
      <c r="Z266" s="26" t="n">
        <f aca="false">IF($Q266=0,0,IF(OR($L266=R_LOT,$N266=R_LOT),1,0))</f>
        <v>0</v>
      </c>
      <c r="AA266" s="26" t="str">
        <f aca="false">IF($Z266=0,"",COUNTIF($Z$5:$Z266,1))</f>
        <v/>
      </c>
    </row>
    <row r="267" customFormat="false" ht="15" hidden="false" customHeight="false" outlineLevel="0" collapsed="false">
      <c r="A267" s="26" t="str">
        <f aca="false">IF($B267="","","RES-"&amp;TEXT(ROW()-4,"000"))</f>
        <v/>
      </c>
      <c r="B267" s="24"/>
      <c r="C267" s="25"/>
      <c r="D267" s="24"/>
      <c r="E267" s="24"/>
      <c r="F267" s="29"/>
      <c r="G267" s="24"/>
      <c r="H267" s="24"/>
      <c r="I267" s="24"/>
      <c r="J267" s="24"/>
      <c r="K267" s="24"/>
      <c r="L267" s="26" t="str">
        <f aca="false">IF($B267="","",IFERROR(INDEX(ST_LOT,MATCH($B267,ST_ID,0)),""))</f>
        <v/>
      </c>
      <c r="M267" s="26" t="str">
        <f aca="false">IF($B267="","",IFERROR(INDEX(ST_STRAIT,MATCH($B267,ST_ID,0)),""))</f>
        <v/>
      </c>
      <c r="N267" s="26" t="str">
        <f aca="false">IF($B267="","",IF($E267="",$L267,$E267))</f>
        <v/>
      </c>
      <c r="O267" s="26" t="str">
        <f aca="false">IF($N267="","",IFERROR(INDEX(LOT_EXTE,MATCH($N267,LOT_KEY,0)),""))</f>
        <v/>
      </c>
      <c r="P267" s="26" t="str">
        <f aca="false">IF($J267="","",IFERROR(INDEX(EMPL_CLASSE,MATCH($J267,EMPL_KEY,0)),"?"))</f>
        <v/>
      </c>
      <c r="Q267" s="28" t="n">
        <f aca="false">IF($B267="",0,IF(OR(ISNA(MATCH($B267,ST_ID,0)),NOT(ISNUMBER($F267)),$F267&lt;=0,$J267="",$N267=""),0,1))</f>
        <v>0</v>
      </c>
      <c r="R267" s="27" t="n">
        <f aca="false">IF($Q267=0,0,$F267)</f>
        <v>0</v>
      </c>
      <c r="S267" s="26" t="str">
        <f aca="false">IF($B267="","",IFERROR(INDEX(ST_STATUT,MATCH($B267,ST_ID,0)),""))</f>
        <v/>
      </c>
      <c r="T267" s="26" t="str">
        <f aca="false">IF($B267="","",IF($Q267=0,"DONNEES MANQUANTES",IF(OR($S267="DONNEES MANQUANTES",$S267="STOCK INSUFFISANT",$S267="EMPLACEMENT INCOHERENT",$S267="BLOQUE"),"BLOQUE","OK")))</f>
        <v/>
      </c>
      <c r="U267" s="28" t="n">
        <f aca="false">IF($T267="OK",1,0)</f>
        <v>0</v>
      </c>
      <c r="V267" s="26" t="str">
        <f aca="false">IF($B267="","",IF($Q267=0,"A COMPLETER : "&amp;IF(ISNA(MATCH($B267,ST_ID,0)),"ID ST valide; ","")&amp;IF(OR(NOT(ISNUMBER($F267)),$F267&lt;=0),"QUANTITE &gt; 0; ","")&amp;IF($J267="","EMPL. DESTINATION; ",""),IF($T267="BLOQUE","Envoi parent en anomalie ("&amp;$S267&amp;") : corriger l'onglet SOUS_TRAITANCE.",IF(AND($E267&lt;&gt;"",ISNA(MATCH($E267,LOT_KEY,0))),"Creer la fiche du lot resultat dans l'onglet LOTS.",""))))</f>
        <v/>
      </c>
      <c r="W267" s="31" t="str">
        <f aca="false">IF($B267="","",IF($C267&lt;&gt;"",$C267,IFERROR(INDEX(ST_DATERET,MATCH($B267,ST_ID,0)),"")))</f>
        <v/>
      </c>
      <c r="X267" s="26" t="str">
        <f aca="false">IF($Q267=0,"",IF($L267=R_LOT,IF($N267&lt;&gt;R_LOT,$N267,""),IF($N267=R_LOT,$L267,"")))</f>
        <v/>
      </c>
      <c r="Y267" s="26" t="str">
        <f aca="false">IF($X267="","",IF(COUNTIF($X$4:$X266,$X267)&gt;0,"",COUNT($Y$4:$Y266)+1))</f>
        <v/>
      </c>
      <c r="Z267" s="26" t="n">
        <f aca="false">IF($Q267=0,0,IF(OR($L267=R_LOT,$N267=R_LOT),1,0))</f>
        <v>0</v>
      </c>
      <c r="AA267" s="26" t="str">
        <f aca="false">IF($Z267=0,"",COUNTIF($Z$5:$Z267,1))</f>
        <v/>
      </c>
    </row>
    <row r="268" customFormat="false" ht="15" hidden="false" customHeight="false" outlineLevel="0" collapsed="false">
      <c r="A268" s="26" t="str">
        <f aca="false">IF($B268="","","RES-"&amp;TEXT(ROW()-4,"000"))</f>
        <v/>
      </c>
      <c r="B268" s="24"/>
      <c r="C268" s="25"/>
      <c r="D268" s="24"/>
      <c r="E268" s="24"/>
      <c r="F268" s="29"/>
      <c r="G268" s="24"/>
      <c r="H268" s="24"/>
      <c r="I268" s="24"/>
      <c r="J268" s="24"/>
      <c r="K268" s="24"/>
      <c r="L268" s="26" t="str">
        <f aca="false">IF($B268="","",IFERROR(INDEX(ST_LOT,MATCH($B268,ST_ID,0)),""))</f>
        <v/>
      </c>
      <c r="M268" s="26" t="str">
        <f aca="false">IF($B268="","",IFERROR(INDEX(ST_STRAIT,MATCH($B268,ST_ID,0)),""))</f>
        <v/>
      </c>
      <c r="N268" s="26" t="str">
        <f aca="false">IF($B268="","",IF($E268="",$L268,$E268))</f>
        <v/>
      </c>
      <c r="O268" s="26" t="str">
        <f aca="false">IF($N268="","",IFERROR(INDEX(LOT_EXTE,MATCH($N268,LOT_KEY,0)),""))</f>
        <v/>
      </c>
      <c r="P268" s="26" t="str">
        <f aca="false">IF($J268="","",IFERROR(INDEX(EMPL_CLASSE,MATCH($J268,EMPL_KEY,0)),"?"))</f>
        <v/>
      </c>
      <c r="Q268" s="28" t="n">
        <f aca="false">IF($B268="",0,IF(OR(ISNA(MATCH($B268,ST_ID,0)),NOT(ISNUMBER($F268)),$F268&lt;=0,$J268="",$N268=""),0,1))</f>
        <v>0</v>
      </c>
      <c r="R268" s="27" t="n">
        <f aca="false">IF($Q268=0,0,$F268)</f>
        <v>0</v>
      </c>
      <c r="S268" s="26" t="str">
        <f aca="false">IF($B268="","",IFERROR(INDEX(ST_STATUT,MATCH($B268,ST_ID,0)),""))</f>
        <v/>
      </c>
      <c r="T268" s="26" t="str">
        <f aca="false">IF($B268="","",IF($Q268=0,"DONNEES MANQUANTES",IF(OR($S268="DONNEES MANQUANTES",$S268="STOCK INSUFFISANT",$S268="EMPLACEMENT INCOHERENT",$S268="BLOQUE"),"BLOQUE","OK")))</f>
        <v/>
      </c>
      <c r="U268" s="28" t="n">
        <f aca="false">IF($T268="OK",1,0)</f>
        <v>0</v>
      </c>
      <c r="V268" s="26" t="str">
        <f aca="false">IF($B268="","",IF($Q268=0,"A COMPLETER : "&amp;IF(ISNA(MATCH($B268,ST_ID,0)),"ID ST valide; ","")&amp;IF(OR(NOT(ISNUMBER($F268)),$F268&lt;=0),"QUANTITE &gt; 0; ","")&amp;IF($J268="","EMPL. DESTINATION; ",""),IF($T268="BLOQUE","Envoi parent en anomalie ("&amp;$S268&amp;") : corriger l'onglet SOUS_TRAITANCE.",IF(AND($E268&lt;&gt;"",ISNA(MATCH($E268,LOT_KEY,0))),"Creer la fiche du lot resultat dans l'onglet LOTS.",""))))</f>
        <v/>
      </c>
      <c r="W268" s="31" t="str">
        <f aca="false">IF($B268="","",IF($C268&lt;&gt;"",$C268,IFERROR(INDEX(ST_DATERET,MATCH($B268,ST_ID,0)),"")))</f>
        <v/>
      </c>
      <c r="X268" s="26" t="str">
        <f aca="false">IF($Q268=0,"",IF($L268=R_LOT,IF($N268&lt;&gt;R_LOT,$N268,""),IF($N268=R_LOT,$L268,"")))</f>
        <v/>
      </c>
      <c r="Y268" s="26" t="str">
        <f aca="false">IF($X268="","",IF(COUNTIF($X$4:$X267,$X268)&gt;0,"",COUNT($Y$4:$Y267)+1))</f>
        <v/>
      </c>
      <c r="Z268" s="26" t="n">
        <f aca="false">IF($Q268=0,0,IF(OR($L268=R_LOT,$N268=R_LOT),1,0))</f>
        <v>0</v>
      </c>
      <c r="AA268" s="26" t="str">
        <f aca="false">IF($Z268=0,"",COUNTIF($Z$5:$Z268,1))</f>
        <v/>
      </c>
    </row>
    <row r="269" customFormat="false" ht="15" hidden="false" customHeight="false" outlineLevel="0" collapsed="false">
      <c r="A269" s="26" t="str">
        <f aca="false">IF($B269="","","RES-"&amp;TEXT(ROW()-4,"000"))</f>
        <v/>
      </c>
      <c r="B269" s="24"/>
      <c r="C269" s="25"/>
      <c r="D269" s="24"/>
      <c r="E269" s="24"/>
      <c r="F269" s="29"/>
      <c r="G269" s="24"/>
      <c r="H269" s="24"/>
      <c r="I269" s="24"/>
      <c r="J269" s="24"/>
      <c r="K269" s="24"/>
      <c r="L269" s="26" t="str">
        <f aca="false">IF($B269="","",IFERROR(INDEX(ST_LOT,MATCH($B269,ST_ID,0)),""))</f>
        <v/>
      </c>
      <c r="M269" s="26" t="str">
        <f aca="false">IF($B269="","",IFERROR(INDEX(ST_STRAIT,MATCH($B269,ST_ID,0)),""))</f>
        <v/>
      </c>
      <c r="N269" s="26" t="str">
        <f aca="false">IF($B269="","",IF($E269="",$L269,$E269))</f>
        <v/>
      </c>
      <c r="O269" s="26" t="str">
        <f aca="false">IF($N269="","",IFERROR(INDEX(LOT_EXTE,MATCH($N269,LOT_KEY,0)),""))</f>
        <v/>
      </c>
      <c r="P269" s="26" t="str">
        <f aca="false">IF($J269="","",IFERROR(INDEX(EMPL_CLASSE,MATCH($J269,EMPL_KEY,0)),"?"))</f>
        <v/>
      </c>
      <c r="Q269" s="28" t="n">
        <f aca="false">IF($B269="",0,IF(OR(ISNA(MATCH($B269,ST_ID,0)),NOT(ISNUMBER($F269)),$F269&lt;=0,$J269="",$N269=""),0,1))</f>
        <v>0</v>
      </c>
      <c r="R269" s="27" t="n">
        <f aca="false">IF($Q269=0,0,$F269)</f>
        <v>0</v>
      </c>
      <c r="S269" s="26" t="str">
        <f aca="false">IF($B269="","",IFERROR(INDEX(ST_STATUT,MATCH($B269,ST_ID,0)),""))</f>
        <v/>
      </c>
      <c r="T269" s="26" t="str">
        <f aca="false">IF($B269="","",IF($Q269=0,"DONNEES MANQUANTES",IF(OR($S269="DONNEES MANQUANTES",$S269="STOCK INSUFFISANT",$S269="EMPLACEMENT INCOHERENT",$S269="BLOQUE"),"BLOQUE","OK")))</f>
        <v/>
      </c>
      <c r="U269" s="28" t="n">
        <f aca="false">IF($T269="OK",1,0)</f>
        <v>0</v>
      </c>
      <c r="V269" s="26" t="str">
        <f aca="false">IF($B269="","",IF($Q269=0,"A COMPLETER : "&amp;IF(ISNA(MATCH($B269,ST_ID,0)),"ID ST valide; ","")&amp;IF(OR(NOT(ISNUMBER($F269)),$F269&lt;=0),"QUANTITE &gt; 0; ","")&amp;IF($J269="","EMPL. DESTINATION; ",""),IF($T269="BLOQUE","Envoi parent en anomalie ("&amp;$S269&amp;") : corriger l'onglet SOUS_TRAITANCE.",IF(AND($E269&lt;&gt;"",ISNA(MATCH($E269,LOT_KEY,0))),"Creer la fiche du lot resultat dans l'onglet LOTS.",""))))</f>
        <v/>
      </c>
      <c r="W269" s="31" t="str">
        <f aca="false">IF($B269="","",IF($C269&lt;&gt;"",$C269,IFERROR(INDEX(ST_DATERET,MATCH($B269,ST_ID,0)),"")))</f>
        <v/>
      </c>
      <c r="X269" s="26" t="str">
        <f aca="false">IF($Q269=0,"",IF($L269=R_LOT,IF($N269&lt;&gt;R_LOT,$N269,""),IF($N269=R_LOT,$L269,"")))</f>
        <v/>
      </c>
      <c r="Y269" s="26" t="str">
        <f aca="false">IF($X269="","",IF(COUNTIF($X$4:$X268,$X269)&gt;0,"",COUNT($Y$4:$Y268)+1))</f>
        <v/>
      </c>
      <c r="Z269" s="26" t="n">
        <f aca="false">IF($Q269=0,0,IF(OR($L269=R_LOT,$N269=R_LOT),1,0))</f>
        <v>0</v>
      </c>
      <c r="AA269" s="26" t="str">
        <f aca="false">IF($Z269=0,"",COUNTIF($Z$5:$Z269,1))</f>
        <v/>
      </c>
    </row>
    <row r="270" customFormat="false" ht="15" hidden="false" customHeight="false" outlineLevel="0" collapsed="false">
      <c r="A270" s="26" t="str">
        <f aca="false">IF($B270="","","RES-"&amp;TEXT(ROW()-4,"000"))</f>
        <v/>
      </c>
      <c r="B270" s="24"/>
      <c r="C270" s="25"/>
      <c r="D270" s="24"/>
      <c r="E270" s="24"/>
      <c r="F270" s="29"/>
      <c r="G270" s="24"/>
      <c r="H270" s="24"/>
      <c r="I270" s="24"/>
      <c r="J270" s="24"/>
      <c r="K270" s="24"/>
      <c r="L270" s="26" t="str">
        <f aca="false">IF($B270="","",IFERROR(INDEX(ST_LOT,MATCH($B270,ST_ID,0)),""))</f>
        <v/>
      </c>
      <c r="M270" s="26" t="str">
        <f aca="false">IF($B270="","",IFERROR(INDEX(ST_STRAIT,MATCH($B270,ST_ID,0)),""))</f>
        <v/>
      </c>
      <c r="N270" s="26" t="str">
        <f aca="false">IF($B270="","",IF($E270="",$L270,$E270))</f>
        <v/>
      </c>
      <c r="O270" s="26" t="str">
        <f aca="false">IF($N270="","",IFERROR(INDEX(LOT_EXTE,MATCH($N270,LOT_KEY,0)),""))</f>
        <v/>
      </c>
      <c r="P270" s="26" t="str">
        <f aca="false">IF($J270="","",IFERROR(INDEX(EMPL_CLASSE,MATCH($J270,EMPL_KEY,0)),"?"))</f>
        <v/>
      </c>
      <c r="Q270" s="28" t="n">
        <f aca="false">IF($B270="",0,IF(OR(ISNA(MATCH($B270,ST_ID,0)),NOT(ISNUMBER($F270)),$F270&lt;=0,$J270="",$N270=""),0,1))</f>
        <v>0</v>
      </c>
      <c r="R270" s="27" t="n">
        <f aca="false">IF($Q270=0,0,$F270)</f>
        <v>0</v>
      </c>
      <c r="S270" s="26" t="str">
        <f aca="false">IF($B270="","",IFERROR(INDEX(ST_STATUT,MATCH($B270,ST_ID,0)),""))</f>
        <v/>
      </c>
      <c r="T270" s="26" t="str">
        <f aca="false">IF($B270="","",IF($Q270=0,"DONNEES MANQUANTES",IF(OR($S270="DONNEES MANQUANTES",$S270="STOCK INSUFFISANT",$S270="EMPLACEMENT INCOHERENT",$S270="BLOQUE"),"BLOQUE","OK")))</f>
        <v/>
      </c>
      <c r="U270" s="28" t="n">
        <f aca="false">IF($T270="OK",1,0)</f>
        <v>0</v>
      </c>
      <c r="V270" s="26" t="str">
        <f aca="false">IF($B270="","",IF($Q270=0,"A COMPLETER : "&amp;IF(ISNA(MATCH($B270,ST_ID,0)),"ID ST valide; ","")&amp;IF(OR(NOT(ISNUMBER($F270)),$F270&lt;=0),"QUANTITE &gt; 0; ","")&amp;IF($J270="","EMPL. DESTINATION; ",""),IF($T270="BLOQUE","Envoi parent en anomalie ("&amp;$S270&amp;") : corriger l'onglet SOUS_TRAITANCE.",IF(AND($E270&lt;&gt;"",ISNA(MATCH($E270,LOT_KEY,0))),"Creer la fiche du lot resultat dans l'onglet LOTS.",""))))</f>
        <v/>
      </c>
      <c r="W270" s="31" t="str">
        <f aca="false">IF($B270="","",IF($C270&lt;&gt;"",$C270,IFERROR(INDEX(ST_DATERET,MATCH($B270,ST_ID,0)),"")))</f>
        <v/>
      </c>
      <c r="X270" s="26" t="str">
        <f aca="false">IF($Q270=0,"",IF($L270=R_LOT,IF($N270&lt;&gt;R_LOT,$N270,""),IF($N270=R_LOT,$L270,"")))</f>
        <v/>
      </c>
      <c r="Y270" s="26" t="str">
        <f aca="false">IF($X270="","",IF(COUNTIF($X$4:$X269,$X270)&gt;0,"",COUNT($Y$4:$Y269)+1))</f>
        <v/>
      </c>
      <c r="Z270" s="26" t="n">
        <f aca="false">IF($Q270=0,0,IF(OR($L270=R_LOT,$N270=R_LOT),1,0))</f>
        <v>0</v>
      </c>
      <c r="AA270" s="26" t="str">
        <f aca="false">IF($Z270=0,"",COUNTIF($Z$5:$Z270,1))</f>
        <v/>
      </c>
    </row>
    <row r="271" customFormat="false" ht="15" hidden="false" customHeight="false" outlineLevel="0" collapsed="false">
      <c r="A271" s="26" t="str">
        <f aca="false">IF($B271="","","RES-"&amp;TEXT(ROW()-4,"000"))</f>
        <v/>
      </c>
      <c r="B271" s="24"/>
      <c r="C271" s="25"/>
      <c r="D271" s="24"/>
      <c r="E271" s="24"/>
      <c r="F271" s="29"/>
      <c r="G271" s="24"/>
      <c r="H271" s="24"/>
      <c r="I271" s="24"/>
      <c r="J271" s="24"/>
      <c r="K271" s="24"/>
      <c r="L271" s="26" t="str">
        <f aca="false">IF($B271="","",IFERROR(INDEX(ST_LOT,MATCH($B271,ST_ID,0)),""))</f>
        <v/>
      </c>
      <c r="M271" s="26" t="str">
        <f aca="false">IF($B271="","",IFERROR(INDEX(ST_STRAIT,MATCH($B271,ST_ID,0)),""))</f>
        <v/>
      </c>
      <c r="N271" s="26" t="str">
        <f aca="false">IF($B271="","",IF($E271="",$L271,$E271))</f>
        <v/>
      </c>
      <c r="O271" s="26" t="str">
        <f aca="false">IF($N271="","",IFERROR(INDEX(LOT_EXTE,MATCH($N271,LOT_KEY,0)),""))</f>
        <v/>
      </c>
      <c r="P271" s="26" t="str">
        <f aca="false">IF($J271="","",IFERROR(INDEX(EMPL_CLASSE,MATCH($J271,EMPL_KEY,0)),"?"))</f>
        <v/>
      </c>
      <c r="Q271" s="28" t="n">
        <f aca="false">IF($B271="",0,IF(OR(ISNA(MATCH($B271,ST_ID,0)),NOT(ISNUMBER($F271)),$F271&lt;=0,$J271="",$N271=""),0,1))</f>
        <v>0</v>
      </c>
      <c r="R271" s="27" t="n">
        <f aca="false">IF($Q271=0,0,$F271)</f>
        <v>0</v>
      </c>
      <c r="S271" s="26" t="str">
        <f aca="false">IF($B271="","",IFERROR(INDEX(ST_STATUT,MATCH($B271,ST_ID,0)),""))</f>
        <v/>
      </c>
      <c r="T271" s="26" t="str">
        <f aca="false">IF($B271="","",IF($Q271=0,"DONNEES MANQUANTES",IF(OR($S271="DONNEES MANQUANTES",$S271="STOCK INSUFFISANT",$S271="EMPLACEMENT INCOHERENT",$S271="BLOQUE"),"BLOQUE","OK")))</f>
        <v/>
      </c>
      <c r="U271" s="28" t="n">
        <f aca="false">IF($T271="OK",1,0)</f>
        <v>0</v>
      </c>
      <c r="V271" s="26" t="str">
        <f aca="false">IF($B271="","",IF($Q271=0,"A COMPLETER : "&amp;IF(ISNA(MATCH($B271,ST_ID,0)),"ID ST valide; ","")&amp;IF(OR(NOT(ISNUMBER($F271)),$F271&lt;=0),"QUANTITE &gt; 0; ","")&amp;IF($J271="","EMPL. DESTINATION; ",""),IF($T271="BLOQUE","Envoi parent en anomalie ("&amp;$S271&amp;") : corriger l'onglet SOUS_TRAITANCE.",IF(AND($E271&lt;&gt;"",ISNA(MATCH($E271,LOT_KEY,0))),"Creer la fiche du lot resultat dans l'onglet LOTS.",""))))</f>
        <v/>
      </c>
      <c r="W271" s="31" t="str">
        <f aca="false">IF($B271="","",IF($C271&lt;&gt;"",$C271,IFERROR(INDEX(ST_DATERET,MATCH($B271,ST_ID,0)),"")))</f>
        <v/>
      </c>
      <c r="X271" s="26" t="str">
        <f aca="false">IF($Q271=0,"",IF($L271=R_LOT,IF($N271&lt;&gt;R_LOT,$N271,""),IF($N271=R_LOT,$L271,"")))</f>
        <v/>
      </c>
      <c r="Y271" s="26" t="str">
        <f aca="false">IF($X271="","",IF(COUNTIF($X$4:$X270,$X271)&gt;0,"",COUNT($Y$4:$Y270)+1))</f>
        <v/>
      </c>
      <c r="Z271" s="26" t="n">
        <f aca="false">IF($Q271=0,0,IF(OR($L271=R_LOT,$N271=R_LOT),1,0))</f>
        <v>0</v>
      </c>
      <c r="AA271" s="26" t="str">
        <f aca="false">IF($Z271=0,"",COUNTIF($Z$5:$Z271,1))</f>
        <v/>
      </c>
    </row>
    <row r="272" customFormat="false" ht="15" hidden="false" customHeight="false" outlineLevel="0" collapsed="false">
      <c r="A272" s="26" t="str">
        <f aca="false">IF($B272="","","RES-"&amp;TEXT(ROW()-4,"000"))</f>
        <v/>
      </c>
      <c r="B272" s="24"/>
      <c r="C272" s="25"/>
      <c r="D272" s="24"/>
      <c r="E272" s="24"/>
      <c r="F272" s="29"/>
      <c r="G272" s="24"/>
      <c r="H272" s="24"/>
      <c r="I272" s="24"/>
      <c r="J272" s="24"/>
      <c r="K272" s="24"/>
      <c r="L272" s="26" t="str">
        <f aca="false">IF($B272="","",IFERROR(INDEX(ST_LOT,MATCH($B272,ST_ID,0)),""))</f>
        <v/>
      </c>
      <c r="M272" s="26" t="str">
        <f aca="false">IF($B272="","",IFERROR(INDEX(ST_STRAIT,MATCH($B272,ST_ID,0)),""))</f>
        <v/>
      </c>
      <c r="N272" s="26" t="str">
        <f aca="false">IF($B272="","",IF($E272="",$L272,$E272))</f>
        <v/>
      </c>
      <c r="O272" s="26" t="str">
        <f aca="false">IF($N272="","",IFERROR(INDEX(LOT_EXTE,MATCH($N272,LOT_KEY,0)),""))</f>
        <v/>
      </c>
      <c r="P272" s="26" t="str">
        <f aca="false">IF($J272="","",IFERROR(INDEX(EMPL_CLASSE,MATCH($J272,EMPL_KEY,0)),"?"))</f>
        <v/>
      </c>
      <c r="Q272" s="28" t="n">
        <f aca="false">IF($B272="",0,IF(OR(ISNA(MATCH($B272,ST_ID,0)),NOT(ISNUMBER($F272)),$F272&lt;=0,$J272="",$N272=""),0,1))</f>
        <v>0</v>
      </c>
      <c r="R272" s="27" t="n">
        <f aca="false">IF($Q272=0,0,$F272)</f>
        <v>0</v>
      </c>
      <c r="S272" s="26" t="str">
        <f aca="false">IF($B272="","",IFERROR(INDEX(ST_STATUT,MATCH($B272,ST_ID,0)),""))</f>
        <v/>
      </c>
      <c r="T272" s="26" t="str">
        <f aca="false">IF($B272="","",IF($Q272=0,"DONNEES MANQUANTES",IF(OR($S272="DONNEES MANQUANTES",$S272="STOCK INSUFFISANT",$S272="EMPLACEMENT INCOHERENT",$S272="BLOQUE"),"BLOQUE","OK")))</f>
        <v/>
      </c>
      <c r="U272" s="28" t="n">
        <f aca="false">IF($T272="OK",1,0)</f>
        <v>0</v>
      </c>
      <c r="V272" s="26" t="str">
        <f aca="false">IF($B272="","",IF($Q272=0,"A COMPLETER : "&amp;IF(ISNA(MATCH($B272,ST_ID,0)),"ID ST valide; ","")&amp;IF(OR(NOT(ISNUMBER($F272)),$F272&lt;=0),"QUANTITE &gt; 0; ","")&amp;IF($J272="","EMPL. DESTINATION; ",""),IF($T272="BLOQUE","Envoi parent en anomalie ("&amp;$S272&amp;") : corriger l'onglet SOUS_TRAITANCE.",IF(AND($E272&lt;&gt;"",ISNA(MATCH($E272,LOT_KEY,0))),"Creer la fiche du lot resultat dans l'onglet LOTS.",""))))</f>
        <v/>
      </c>
      <c r="W272" s="31" t="str">
        <f aca="false">IF($B272="","",IF($C272&lt;&gt;"",$C272,IFERROR(INDEX(ST_DATERET,MATCH($B272,ST_ID,0)),"")))</f>
        <v/>
      </c>
      <c r="X272" s="26" t="str">
        <f aca="false">IF($Q272=0,"",IF($L272=R_LOT,IF($N272&lt;&gt;R_LOT,$N272,""),IF($N272=R_LOT,$L272,"")))</f>
        <v/>
      </c>
      <c r="Y272" s="26" t="str">
        <f aca="false">IF($X272="","",IF(COUNTIF($X$4:$X271,$X272)&gt;0,"",COUNT($Y$4:$Y271)+1))</f>
        <v/>
      </c>
      <c r="Z272" s="26" t="n">
        <f aca="false">IF($Q272=0,0,IF(OR($L272=R_LOT,$N272=R_LOT),1,0))</f>
        <v>0</v>
      </c>
      <c r="AA272" s="26" t="str">
        <f aca="false">IF($Z272=0,"",COUNTIF($Z$5:$Z272,1))</f>
        <v/>
      </c>
    </row>
    <row r="273" customFormat="false" ht="15" hidden="false" customHeight="false" outlineLevel="0" collapsed="false">
      <c r="A273" s="26" t="str">
        <f aca="false">IF($B273="","","RES-"&amp;TEXT(ROW()-4,"000"))</f>
        <v/>
      </c>
      <c r="B273" s="24"/>
      <c r="C273" s="25"/>
      <c r="D273" s="24"/>
      <c r="E273" s="24"/>
      <c r="F273" s="29"/>
      <c r="G273" s="24"/>
      <c r="H273" s="24"/>
      <c r="I273" s="24"/>
      <c r="J273" s="24"/>
      <c r="K273" s="24"/>
      <c r="L273" s="26" t="str">
        <f aca="false">IF($B273="","",IFERROR(INDEX(ST_LOT,MATCH($B273,ST_ID,0)),""))</f>
        <v/>
      </c>
      <c r="M273" s="26" t="str">
        <f aca="false">IF($B273="","",IFERROR(INDEX(ST_STRAIT,MATCH($B273,ST_ID,0)),""))</f>
        <v/>
      </c>
      <c r="N273" s="26" t="str">
        <f aca="false">IF($B273="","",IF($E273="",$L273,$E273))</f>
        <v/>
      </c>
      <c r="O273" s="26" t="str">
        <f aca="false">IF($N273="","",IFERROR(INDEX(LOT_EXTE,MATCH($N273,LOT_KEY,0)),""))</f>
        <v/>
      </c>
      <c r="P273" s="26" t="str">
        <f aca="false">IF($J273="","",IFERROR(INDEX(EMPL_CLASSE,MATCH($J273,EMPL_KEY,0)),"?"))</f>
        <v/>
      </c>
      <c r="Q273" s="28" t="n">
        <f aca="false">IF($B273="",0,IF(OR(ISNA(MATCH($B273,ST_ID,0)),NOT(ISNUMBER($F273)),$F273&lt;=0,$J273="",$N273=""),0,1))</f>
        <v>0</v>
      </c>
      <c r="R273" s="27" t="n">
        <f aca="false">IF($Q273=0,0,$F273)</f>
        <v>0</v>
      </c>
      <c r="S273" s="26" t="str">
        <f aca="false">IF($B273="","",IFERROR(INDEX(ST_STATUT,MATCH($B273,ST_ID,0)),""))</f>
        <v/>
      </c>
      <c r="T273" s="26" t="str">
        <f aca="false">IF($B273="","",IF($Q273=0,"DONNEES MANQUANTES",IF(OR($S273="DONNEES MANQUANTES",$S273="STOCK INSUFFISANT",$S273="EMPLACEMENT INCOHERENT",$S273="BLOQUE"),"BLOQUE","OK")))</f>
        <v/>
      </c>
      <c r="U273" s="28" t="n">
        <f aca="false">IF($T273="OK",1,0)</f>
        <v>0</v>
      </c>
      <c r="V273" s="26" t="str">
        <f aca="false">IF($B273="","",IF($Q273=0,"A COMPLETER : "&amp;IF(ISNA(MATCH($B273,ST_ID,0)),"ID ST valide; ","")&amp;IF(OR(NOT(ISNUMBER($F273)),$F273&lt;=0),"QUANTITE &gt; 0; ","")&amp;IF($J273="","EMPL. DESTINATION; ",""),IF($T273="BLOQUE","Envoi parent en anomalie ("&amp;$S273&amp;") : corriger l'onglet SOUS_TRAITANCE.",IF(AND($E273&lt;&gt;"",ISNA(MATCH($E273,LOT_KEY,0))),"Creer la fiche du lot resultat dans l'onglet LOTS.",""))))</f>
        <v/>
      </c>
      <c r="W273" s="31" t="str">
        <f aca="false">IF($B273="","",IF($C273&lt;&gt;"",$C273,IFERROR(INDEX(ST_DATERET,MATCH($B273,ST_ID,0)),"")))</f>
        <v/>
      </c>
      <c r="X273" s="26" t="str">
        <f aca="false">IF($Q273=0,"",IF($L273=R_LOT,IF($N273&lt;&gt;R_LOT,$N273,""),IF($N273=R_LOT,$L273,"")))</f>
        <v/>
      </c>
      <c r="Y273" s="26" t="str">
        <f aca="false">IF($X273="","",IF(COUNTIF($X$4:$X272,$X273)&gt;0,"",COUNT($Y$4:$Y272)+1))</f>
        <v/>
      </c>
      <c r="Z273" s="26" t="n">
        <f aca="false">IF($Q273=0,0,IF(OR($L273=R_LOT,$N273=R_LOT),1,0))</f>
        <v>0</v>
      </c>
      <c r="AA273" s="26" t="str">
        <f aca="false">IF($Z273=0,"",COUNTIF($Z$5:$Z273,1))</f>
        <v/>
      </c>
    </row>
    <row r="274" customFormat="false" ht="15" hidden="false" customHeight="false" outlineLevel="0" collapsed="false">
      <c r="A274" s="26" t="str">
        <f aca="false">IF($B274="","","RES-"&amp;TEXT(ROW()-4,"000"))</f>
        <v/>
      </c>
      <c r="B274" s="24"/>
      <c r="C274" s="25"/>
      <c r="D274" s="24"/>
      <c r="E274" s="24"/>
      <c r="F274" s="29"/>
      <c r="G274" s="24"/>
      <c r="H274" s="24"/>
      <c r="I274" s="24"/>
      <c r="J274" s="24"/>
      <c r="K274" s="24"/>
      <c r="L274" s="26" t="str">
        <f aca="false">IF($B274="","",IFERROR(INDEX(ST_LOT,MATCH($B274,ST_ID,0)),""))</f>
        <v/>
      </c>
      <c r="M274" s="26" t="str">
        <f aca="false">IF($B274="","",IFERROR(INDEX(ST_STRAIT,MATCH($B274,ST_ID,0)),""))</f>
        <v/>
      </c>
      <c r="N274" s="26" t="str">
        <f aca="false">IF($B274="","",IF($E274="",$L274,$E274))</f>
        <v/>
      </c>
      <c r="O274" s="26" t="str">
        <f aca="false">IF($N274="","",IFERROR(INDEX(LOT_EXTE,MATCH($N274,LOT_KEY,0)),""))</f>
        <v/>
      </c>
      <c r="P274" s="26" t="str">
        <f aca="false">IF($J274="","",IFERROR(INDEX(EMPL_CLASSE,MATCH($J274,EMPL_KEY,0)),"?"))</f>
        <v/>
      </c>
      <c r="Q274" s="28" t="n">
        <f aca="false">IF($B274="",0,IF(OR(ISNA(MATCH($B274,ST_ID,0)),NOT(ISNUMBER($F274)),$F274&lt;=0,$J274="",$N274=""),0,1))</f>
        <v>0</v>
      </c>
      <c r="R274" s="27" t="n">
        <f aca="false">IF($Q274=0,0,$F274)</f>
        <v>0</v>
      </c>
      <c r="S274" s="26" t="str">
        <f aca="false">IF($B274="","",IFERROR(INDEX(ST_STATUT,MATCH($B274,ST_ID,0)),""))</f>
        <v/>
      </c>
      <c r="T274" s="26" t="str">
        <f aca="false">IF($B274="","",IF($Q274=0,"DONNEES MANQUANTES",IF(OR($S274="DONNEES MANQUANTES",$S274="STOCK INSUFFISANT",$S274="EMPLACEMENT INCOHERENT",$S274="BLOQUE"),"BLOQUE","OK")))</f>
        <v/>
      </c>
      <c r="U274" s="28" t="n">
        <f aca="false">IF($T274="OK",1,0)</f>
        <v>0</v>
      </c>
      <c r="V274" s="26" t="str">
        <f aca="false">IF($B274="","",IF($Q274=0,"A COMPLETER : "&amp;IF(ISNA(MATCH($B274,ST_ID,0)),"ID ST valide; ","")&amp;IF(OR(NOT(ISNUMBER($F274)),$F274&lt;=0),"QUANTITE &gt; 0; ","")&amp;IF($J274="","EMPL. DESTINATION; ",""),IF($T274="BLOQUE","Envoi parent en anomalie ("&amp;$S274&amp;") : corriger l'onglet SOUS_TRAITANCE.",IF(AND($E274&lt;&gt;"",ISNA(MATCH($E274,LOT_KEY,0))),"Creer la fiche du lot resultat dans l'onglet LOTS.",""))))</f>
        <v/>
      </c>
      <c r="W274" s="31" t="str">
        <f aca="false">IF($B274="","",IF($C274&lt;&gt;"",$C274,IFERROR(INDEX(ST_DATERET,MATCH($B274,ST_ID,0)),"")))</f>
        <v/>
      </c>
      <c r="X274" s="26" t="str">
        <f aca="false">IF($Q274=0,"",IF($L274=R_LOT,IF($N274&lt;&gt;R_LOT,$N274,""),IF($N274=R_LOT,$L274,"")))</f>
        <v/>
      </c>
      <c r="Y274" s="26" t="str">
        <f aca="false">IF($X274="","",IF(COUNTIF($X$4:$X273,$X274)&gt;0,"",COUNT($Y$4:$Y273)+1))</f>
        <v/>
      </c>
      <c r="Z274" s="26" t="n">
        <f aca="false">IF($Q274=0,0,IF(OR($L274=R_LOT,$N274=R_LOT),1,0))</f>
        <v>0</v>
      </c>
      <c r="AA274" s="26" t="str">
        <f aca="false">IF($Z274=0,"",COUNTIF($Z$5:$Z274,1))</f>
        <v/>
      </c>
    </row>
    <row r="275" customFormat="false" ht="15" hidden="false" customHeight="false" outlineLevel="0" collapsed="false">
      <c r="A275" s="26" t="str">
        <f aca="false">IF($B275="","","RES-"&amp;TEXT(ROW()-4,"000"))</f>
        <v/>
      </c>
      <c r="B275" s="24"/>
      <c r="C275" s="25"/>
      <c r="D275" s="24"/>
      <c r="E275" s="24"/>
      <c r="F275" s="29"/>
      <c r="G275" s="24"/>
      <c r="H275" s="24"/>
      <c r="I275" s="24"/>
      <c r="J275" s="24"/>
      <c r="K275" s="24"/>
      <c r="L275" s="26" t="str">
        <f aca="false">IF($B275="","",IFERROR(INDEX(ST_LOT,MATCH($B275,ST_ID,0)),""))</f>
        <v/>
      </c>
      <c r="M275" s="26" t="str">
        <f aca="false">IF($B275="","",IFERROR(INDEX(ST_STRAIT,MATCH($B275,ST_ID,0)),""))</f>
        <v/>
      </c>
      <c r="N275" s="26" t="str">
        <f aca="false">IF($B275="","",IF($E275="",$L275,$E275))</f>
        <v/>
      </c>
      <c r="O275" s="26" t="str">
        <f aca="false">IF($N275="","",IFERROR(INDEX(LOT_EXTE,MATCH($N275,LOT_KEY,0)),""))</f>
        <v/>
      </c>
      <c r="P275" s="26" t="str">
        <f aca="false">IF($J275="","",IFERROR(INDEX(EMPL_CLASSE,MATCH($J275,EMPL_KEY,0)),"?"))</f>
        <v/>
      </c>
      <c r="Q275" s="28" t="n">
        <f aca="false">IF($B275="",0,IF(OR(ISNA(MATCH($B275,ST_ID,0)),NOT(ISNUMBER($F275)),$F275&lt;=0,$J275="",$N275=""),0,1))</f>
        <v>0</v>
      </c>
      <c r="R275" s="27" t="n">
        <f aca="false">IF($Q275=0,0,$F275)</f>
        <v>0</v>
      </c>
      <c r="S275" s="26" t="str">
        <f aca="false">IF($B275="","",IFERROR(INDEX(ST_STATUT,MATCH($B275,ST_ID,0)),""))</f>
        <v/>
      </c>
      <c r="T275" s="26" t="str">
        <f aca="false">IF($B275="","",IF($Q275=0,"DONNEES MANQUANTES",IF(OR($S275="DONNEES MANQUANTES",$S275="STOCK INSUFFISANT",$S275="EMPLACEMENT INCOHERENT",$S275="BLOQUE"),"BLOQUE","OK")))</f>
        <v/>
      </c>
      <c r="U275" s="28" t="n">
        <f aca="false">IF($T275="OK",1,0)</f>
        <v>0</v>
      </c>
      <c r="V275" s="26" t="str">
        <f aca="false">IF($B275="","",IF($Q275=0,"A COMPLETER : "&amp;IF(ISNA(MATCH($B275,ST_ID,0)),"ID ST valide; ","")&amp;IF(OR(NOT(ISNUMBER($F275)),$F275&lt;=0),"QUANTITE &gt; 0; ","")&amp;IF($J275="","EMPL. DESTINATION; ",""),IF($T275="BLOQUE","Envoi parent en anomalie ("&amp;$S275&amp;") : corriger l'onglet SOUS_TRAITANCE.",IF(AND($E275&lt;&gt;"",ISNA(MATCH($E275,LOT_KEY,0))),"Creer la fiche du lot resultat dans l'onglet LOTS.",""))))</f>
        <v/>
      </c>
      <c r="W275" s="31" t="str">
        <f aca="false">IF($B275="","",IF($C275&lt;&gt;"",$C275,IFERROR(INDEX(ST_DATERET,MATCH($B275,ST_ID,0)),"")))</f>
        <v/>
      </c>
      <c r="X275" s="26" t="str">
        <f aca="false">IF($Q275=0,"",IF($L275=R_LOT,IF($N275&lt;&gt;R_LOT,$N275,""),IF($N275=R_LOT,$L275,"")))</f>
        <v/>
      </c>
      <c r="Y275" s="26" t="str">
        <f aca="false">IF($X275="","",IF(COUNTIF($X$4:$X274,$X275)&gt;0,"",COUNT($Y$4:$Y274)+1))</f>
        <v/>
      </c>
      <c r="Z275" s="26" t="n">
        <f aca="false">IF($Q275=0,0,IF(OR($L275=R_LOT,$N275=R_LOT),1,0))</f>
        <v>0</v>
      </c>
      <c r="AA275" s="26" t="str">
        <f aca="false">IF($Z275=0,"",COUNTIF($Z$5:$Z275,1))</f>
        <v/>
      </c>
    </row>
    <row r="276" customFormat="false" ht="15" hidden="false" customHeight="false" outlineLevel="0" collapsed="false">
      <c r="A276" s="26" t="str">
        <f aca="false">IF($B276="","","RES-"&amp;TEXT(ROW()-4,"000"))</f>
        <v/>
      </c>
      <c r="B276" s="24"/>
      <c r="C276" s="25"/>
      <c r="D276" s="24"/>
      <c r="E276" s="24"/>
      <c r="F276" s="29"/>
      <c r="G276" s="24"/>
      <c r="H276" s="24"/>
      <c r="I276" s="24"/>
      <c r="J276" s="24"/>
      <c r="K276" s="24"/>
      <c r="L276" s="26" t="str">
        <f aca="false">IF($B276="","",IFERROR(INDEX(ST_LOT,MATCH($B276,ST_ID,0)),""))</f>
        <v/>
      </c>
      <c r="M276" s="26" t="str">
        <f aca="false">IF($B276="","",IFERROR(INDEX(ST_STRAIT,MATCH($B276,ST_ID,0)),""))</f>
        <v/>
      </c>
      <c r="N276" s="26" t="str">
        <f aca="false">IF($B276="","",IF($E276="",$L276,$E276))</f>
        <v/>
      </c>
      <c r="O276" s="26" t="str">
        <f aca="false">IF($N276="","",IFERROR(INDEX(LOT_EXTE,MATCH($N276,LOT_KEY,0)),""))</f>
        <v/>
      </c>
      <c r="P276" s="26" t="str">
        <f aca="false">IF($J276="","",IFERROR(INDEX(EMPL_CLASSE,MATCH($J276,EMPL_KEY,0)),"?"))</f>
        <v/>
      </c>
      <c r="Q276" s="28" t="n">
        <f aca="false">IF($B276="",0,IF(OR(ISNA(MATCH($B276,ST_ID,0)),NOT(ISNUMBER($F276)),$F276&lt;=0,$J276="",$N276=""),0,1))</f>
        <v>0</v>
      </c>
      <c r="R276" s="27" t="n">
        <f aca="false">IF($Q276=0,0,$F276)</f>
        <v>0</v>
      </c>
      <c r="S276" s="26" t="str">
        <f aca="false">IF($B276="","",IFERROR(INDEX(ST_STATUT,MATCH($B276,ST_ID,0)),""))</f>
        <v/>
      </c>
      <c r="T276" s="26" t="str">
        <f aca="false">IF($B276="","",IF($Q276=0,"DONNEES MANQUANTES",IF(OR($S276="DONNEES MANQUANTES",$S276="STOCK INSUFFISANT",$S276="EMPLACEMENT INCOHERENT",$S276="BLOQUE"),"BLOQUE","OK")))</f>
        <v/>
      </c>
      <c r="U276" s="28" t="n">
        <f aca="false">IF($T276="OK",1,0)</f>
        <v>0</v>
      </c>
      <c r="V276" s="26" t="str">
        <f aca="false">IF($B276="","",IF($Q276=0,"A COMPLETER : "&amp;IF(ISNA(MATCH($B276,ST_ID,0)),"ID ST valide; ","")&amp;IF(OR(NOT(ISNUMBER($F276)),$F276&lt;=0),"QUANTITE &gt; 0; ","")&amp;IF($J276="","EMPL. DESTINATION; ",""),IF($T276="BLOQUE","Envoi parent en anomalie ("&amp;$S276&amp;") : corriger l'onglet SOUS_TRAITANCE.",IF(AND($E276&lt;&gt;"",ISNA(MATCH($E276,LOT_KEY,0))),"Creer la fiche du lot resultat dans l'onglet LOTS.",""))))</f>
        <v/>
      </c>
      <c r="W276" s="31" t="str">
        <f aca="false">IF($B276="","",IF($C276&lt;&gt;"",$C276,IFERROR(INDEX(ST_DATERET,MATCH($B276,ST_ID,0)),"")))</f>
        <v/>
      </c>
      <c r="X276" s="26" t="str">
        <f aca="false">IF($Q276=0,"",IF($L276=R_LOT,IF($N276&lt;&gt;R_LOT,$N276,""),IF($N276=R_LOT,$L276,"")))</f>
        <v/>
      </c>
      <c r="Y276" s="26" t="str">
        <f aca="false">IF($X276="","",IF(COUNTIF($X$4:$X275,$X276)&gt;0,"",COUNT($Y$4:$Y275)+1))</f>
        <v/>
      </c>
      <c r="Z276" s="26" t="n">
        <f aca="false">IF($Q276=0,0,IF(OR($L276=R_LOT,$N276=R_LOT),1,0))</f>
        <v>0</v>
      </c>
      <c r="AA276" s="26" t="str">
        <f aca="false">IF($Z276=0,"",COUNTIF($Z$5:$Z276,1))</f>
        <v/>
      </c>
    </row>
    <row r="277" customFormat="false" ht="15" hidden="false" customHeight="false" outlineLevel="0" collapsed="false">
      <c r="A277" s="26" t="str">
        <f aca="false">IF($B277="","","RES-"&amp;TEXT(ROW()-4,"000"))</f>
        <v/>
      </c>
      <c r="B277" s="24"/>
      <c r="C277" s="25"/>
      <c r="D277" s="24"/>
      <c r="E277" s="24"/>
      <c r="F277" s="29"/>
      <c r="G277" s="24"/>
      <c r="H277" s="24"/>
      <c r="I277" s="24"/>
      <c r="J277" s="24"/>
      <c r="K277" s="24"/>
      <c r="L277" s="26" t="str">
        <f aca="false">IF($B277="","",IFERROR(INDEX(ST_LOT,MATCH($B277,ST_ID,0)),""))</f>
        <v/>
      </c>
      <c r="M277" s="26" t="str">
        <f aca="false">IF($B277="","",IFERROR(INDEX(ST_STRAIT,MATCH($B277,ST_ID,0)),""))</f>
        <v/>
      </c>
      <c r="N277" s="26" t="str">
        <f aca="false">IF($B277="","",IF($E277="",$L277,$E277))</f>
        <v/>
      </c>
      <c r="O277" s="26" t="str">
        <f aca="false">IF($N277="","",IFERROR(INDEX(LOT_EXTE,MATCH($N277,LOT_KEY,0)),""))</f>
        <v/>
      </c>
      <c r="P277" s="26" t="str">
        <f aca="false">IF($J277="","",IFERROR(INDEX(EMPL_CLASSE,MATCH($J277,EMPL_KEY,0)),"?"))</f>
        <v/>
      </c>
      <c r="Q277" s="28" t="n">
        <f aca="false">IF($B277="",0,IF(OR(ISNA(MATCH($B277,ST_ID,0)),NOT(ISNUMBER($F277)),$F277&lt;=0,$J277="",$N277=""),0,1))</f>
        <v>0</v>
      </c>
      <c r="R277" s="27" t="n">
        <f aca="false">IF($Q277=0,0,$F277)</f>
        <v>0</v>
      </c>
      <c r="S277" s="26" t="str">
        <f aca="false">IF($B277="","",IFERROR(INDEX(ST_STATUT,MATCH($B277,ST_ID,0)),""))</f>
        <v/>
      </c>
      <c r="T277" s="26" t="str">
        <f aca="false">IF($B277="","",IF($Q277=0,"DONNEES MANQUANTES",IF(OR($S277="DONNEES MANQUANTES",$S277="STOCK INSUFFISANT",$S277="EMPLACEMENT INCOHERENT",$S277="BLOQUE"),"BLOQUE","OK")))</f>
        <v/>
      </c>
      <c r="U277" s="28" t="n">
        <f aca="false">IF($T277="OK",1,0)</f>
        <v>0</v>
      </c>
      <c r="V277" s="26" t="str">
        <f aca="false">IF($B277="","",IF($Q277=0,"A COMPLETER : "&amp;IF(ISNA(MATCH($B277,ST_ID,0)),"ID ST valide; ","")&amp;IF(OR(NOT(ISNUMBER($F277)),$F277&lt;=0),"QUANTITE &gt; 0; ","")&amp;IF($J277="","EMPL. DESTINATION; ",""),IF($T277="BLOQUE","Envoi parent en anomalie ("&amp;$S277&amp;") : corriger l'onglet SOUS_TRAITANCE.",IF(AND($E277&lt;&gt;"",ISNA(MATCH($E277,LOT_KEY,0))),"Creer la fiche du lot resultat dans l'onglet LOTS.",""))))</f>
        <v/>
      </c>
      <c r="W277" s="31" t="str">
        <f aca="false">IF($B277="","",IF($C277&lt;&gt;"",$C277,IFERROR(INDEX(ST_DATERET,MATCH($B277,ST_ID,0)),"")))</f>
        <v/>
      </c>
      <c r="X277" s="26" t="str">
        <f aca="false">IF($Q277=0,"",IF($L277=R_LOT,IF($N277&lt;&gt;R_LOT,$N277,""),IF($N277=R_LOT,$L277,"")))</f>
        <v/>
      </c>
      <c r="Y277" s="26" t="str">
        <f aca="false">IF($X277="","",IF(COUNTIF($X$4:$X276,$X277)&gt;0,"",COUNT($Y$4:$Y276)+1))</f>
        <v/>
      </c>
      <c r="Z277" s="26" t="n">
        <f aca="false">IF($Q277=0,0,IF(OR($L277=R_LOT,$N277=R_LOT),1,0))</f>
        <v>0</v>
      </c>
      <c r="AA277" s="26" t="str">
        <f aca="false">IF($Z277=0,"",COUNTIF($Z$5:$Z277,1))</f>
        <v/>
      </c>
    </row>
    <row r="278" customFormat="false" ht="15" hidden="false" customHeight="false" outlineLevel="0" collapsed="false">
      <c r="A278" s="26" t="str">
        <f aca="false">IF($B278="","","RES-"&amp;TEXT(ROW()-4,"000"))</f>
        <v/>
      </c>
      <c r="B278" s="24"/>
      <c r="C278" s="25"/>
      <c r="D278" s="24"/>
      <c r="E278" s="24"/>
      <c r="F278" s="29"/>
      <c r="G278" s="24"/>
      <c r="H278" s="24"/>
      <c r="I278" s="24"/>
      <c r="J278" s="24"/>
      <c r="K278" s="24"/>
      <c r="L278" s="26" t="str">
        <f aca="false">IF($B278="","",IFERROR(INDEX(ST_LOT,MATCH($B278,ST_ID,0)),""))</f>
        <v/>
      </c>
      <c r="M278" s="26" t="str">
        <f aca="false">IF($B278="","",IFERROR(INDEX(ST_STRAIT,MATCH($B278,ST_ID,0)),""))</f>
        <v/>
      </c>
      <c r="N278" s="26" t="str">
        <f aca="false">IF($B278="","",IF($E278="",$L278,$E278))</f>
        <v/>
      </c>
      <c r="O278" s="26" t="str">
        <f aca="false">IF($N278="","",IFERROR(INDEX(LOT_EXTE,MATCH($N278,LOT_KEY,0)),""))</f>
        <v/>
      </c>
      <c r="P278" s="26" t="str">
        <f aca="false">IF($J278="","",IFERROR(INDEX(EMPL_CLASSE,MATCH($J278,EMPL_KEY,0)),"?"))</f>
        <v/>
      </c>
      <c r="Q278" s="28" t="n">
        <f aca="false">IF($B278="",0,IF(OR(ISNA(MATCH($B278,ST_ID,0)),NOT(ISNUMBER($F278)),$F278&lt;=0,$J278="",$N278=""),0,1))</f>
        <v>0</v>
      </c>
      <c r="R278" s="27" t="n">
        <f aca="false">IF($Q278=0,0,$F278)</f>
        <v>0</v>
      </c>
      <c r="S278" s="26" t="str">
        <f aca="false">IF($B278="","",IFERROR(INDEX(ST_STATUT,MATCH($B278,ST_ID,0)),""))</f>
        <v/>
      </c>
      <c r="T278" s="26" t="str">
        <f aca="false">IF($B278="","",IF($Q278=0,"DONNEES MANQUANTES",IF(OR($S278="DONNEES MANQUANTES",$S278="STOCK INSUFFISANT",$S278="EMPLACEMENT INCOHERENT",$S278="BLOQUE"),"BLOQUE","OK")))</f>
        <v/>
      </c>
      <c r="U278" s="28" t="n">
        <f aca="false">IF($T278="OK",1,0)</f>
        <v>0</v>
      </c>
      <c r="V278" s="26" t="str">
        <f aca="false">IF($B278="","",IF($Q278=0,"A COMPLETER : "&amp;IF(ISNA(MATCH($B278,ST_ID,0)),"ID ST valide; ","")&amp;IF(OR(NOT(ISNUMBER($F278)),$F278&lt;=0),"QUANTITE &gt; 0; ","")&amp;IF($J278="","EMPL. DESTINATION; ",""),IF($T278="BLOQUE","Envoi parent en anomalie ("&amp;$S278&amp;") : corriger l'onglet SOUS_TRAITANCE.",IF(AND($E278&lt;&gt;"",ISNA(MATCH($E278,LOT_KEY,0))),"Creer la fiche du lot resultat dans l'onglet LOTS.",""))))</f>
        <v/>
      </c>
      <c r="W278" s="31" t="str">
        <f aca="false">IF($B278="","",IF($C278&lt;&gt;"",$C278,IFERROR(INDEX(ST_DATERET,MATCH($B278,ST_ID,0)),"")))</f>
        <v/>
      </c>
      <c r="X278" s="26" t="str">
        <f aca="false">IF($Q278=0,"",IF($L278=R_LOT,IF($N278&lt;&gt;R_LOT,$N278,""),IF($N278=R_LOT,$L278,"")))</f>
        <v/>
      </c>
      <c r="Y278" s="26" t="str">
        <f aca="false">IF($X278="","",IF(COUNTIF($X$4:$X277,$X278)&gt;0,"",COUNT($Y$4:$Y277)+1))</f>
        <v/>
      </c>
      <c r="Z278" s="26" t="n">
        <f aca="false">IF($Q278=0,0,IF(OR($L278=R_LOT,$N278=R_LOT),1,0))</f>
        <v>0</v>
      </c>
      <c r="AA278" s="26" t="str">
        <f aca="false">IF($Z278=0,"",COUNTIF($Z$5:$Z278,1))</f>
        <v/>
      </c>
    </row>
    <row r="279" customFormat="false" ht="15" hidden="false" customHeight="false" outlineLevel="0" collapsed="false">
      <c r="A279" s="26" t="str">
        <f aca="false">IF($B279="","","RES-"&amp;TEXT(ROW()-4,"000"))</f>
        <v/>
      </c>
      <c r="B279" s="24"/>
      <c r="C279" s="25"/>
      <c r="D279" s="24"/>
      <c r="E279" s="24"/>
      <c r="F279" s="29"/>
      <c r="G279" s="24"/>
      <c r="H279" s="24"/>
      <c r="I279" s="24"/>
      <c r="J279" s="24"/>
      <c r="K279" s="24"/>
      <c r="L279" s="26" t="str">
        <f aca="false">IF($B279="","",IFERROR(INDEX(ST_LOT,MATCH($B279,ST_ID,0)),""))</f>
        <v/>
      </c>
      <c r="M279" s="26" t="str">
        <f aca="false">IF($B279="","",IFERROR(INDEX(ST_STRAIT,MATCH($B279,ST_ID,0)),""))</f>
        <v/>
      </c>
      <c r="N279" s="26" t="str">
        <f aca="false">IF($B279="","",IF($E279="",$L279,$E279))</f>
        <v/>
      </c>
      <c r="O279" s="26" t="str">
        <f aca="false">IF($N279="","",IFERROR(INDEX(LOT_EXTE,MATCH($N279,LOT_KEY,0)),""))</f>
        <v/>
      </c>
      <c r="P279" s="26" t="str">
        <f aca="false">IF($J279="","",IFERROR(INDEX(EMPL_CLASSE,MATCH($J279,EMPL_KEY,0)),"?"))</f>
        <v/>
      </c>
      <c r="Q279" s="28" t="n">
        <f aca="false">IF($B279="",0,IF(OR(ISNA(MATCH($B279,ST_ID,0)),NOT(ISNUMBER($F279)),$F279&lt;=0,$J279="",$N279=""),0,1))</f>
        <v>0</v>
      </c>
      <c r="R279" s="27" t="n">
        <f aca="false">IF($Q279=0,0,$F279)</f>
        <v>0</v>
      </c>
      <c r="S279" s="26" t="str">
        <f aca="false">IF($B279="","",IFERROR(INDEX(ST_STATUT,MATCH($B279,ST_ID,0)),""))</f>
        <v/>
      </c>
      <c r="T279" s="26" t="str">
        <f aca="false">IF($B279="","",IF($Q279=0,"DONNEES MANQUANTES",IF(OR($S279="DONNEES MANQUANTES",$S279="STOCK INSUFFISANT",$S279="EMPLACEMENT INCOHERENT",$S279="BLOQUE"),"BLOQUE","OK")))</f>
        <v/>
      </c>
      <c r="U279" s="28" t="n">
        <f aca="false">IF($T279="OK",1,0)</f>
        <v>0</v>
      </c>
      <c r="V279" s="26" t="str">
        <f aca="false">IF($B279="","",IF($Q279=0,"A COMPLETER : "&amp;IF(ISNA(MATCH($B279,ST_ID,0)),"ID ST valide; ","")&amp;IF(OR(NOT(ISNUMBER($F279)),$F279&lt;=0),"QUANTITE &gt; 0; ","")&amp;IF($J279="","EMPL. DESTINATION; ",""),IF($T279="BLOQUE","Envoi parent en anomalie ("&amp;$S279&amp;") : corriger l'onglet SOUS_TRAITANCE.",IF(AND($E279&lt;&gt;"",ISNA(MATCH($E279,LOT_KEY,0))),"Creer la fiche du lot resultat dans l'onglet LOTS.",""))))</f>
        <v/>
      </c>
      <c r="W279" s="31" t="str">
        <f aca="false">IF($B279="","",IF($C279&lt;&gt;"",$C279,IFERROR(INDEX(ST_DATERET,MATCH($B279,ST_ID,0)),"")))</f>
        <v/>
      </c>
      <c r="X279" s="26" t="str">
        <f aca="false">IF($Q279=0,"",IF($L279=R_LOT,IF($N279&lt;&gt;R_LOT,$N279,""),IF($N279=R_LOT,$L279,"")))</f>
        <v/>
      </c>
      <c r="Y279" s="26" t="str">
        <f aca="false">IF($X279="","",IF(COUNTIF($X$4:$X278,$X279)&gt;0,"",COUNT($Y$4:$Y278)+1))</f>
        <v/>
      </c>
      <c r="Z279" s="26" t="n">
        <f aca="false">IF($Q279=0,0,IF(OR($L279=R_LOT,$N279=R_LOT),1,0))</f>
        <v>0</v>
      </c>
      <c r="AA279" s="26" t="str">
        <f aca="false">IF($Z279=0,"",COUNTIF($Z$5:$Z279,1))</f>
        <v/>
      </c>
    </row>
    <row r="280" customFormat="false" ht="15" hidden="false" customHeight="false" outlineLevel="0" collapsed="false">
      <c r="A280" s="26" t="str">
        <f aca="false">IF($B280="","","RES-"&amp;TEXT(ROW()-4,"000"))</f>
        <v/>
      </c>
      <c r="B280" s="24"/>
      <c r="C280" s="25"/>
      <c r="D280" s="24"/>
      <c r="E280" s="24"/>
      <c r="F280" s="29"/>
      <c r="G280" s="24"/>
      <c r="H280" s="24"/>
      <c r="I280" s="24"/>
      <c r="J280" s="24"/>
      <c r="K280" s="24"/>
      <c r="L280" s="26" t="str">
        <f aca="false">IF($B280="","",IFERROR(INDEX(ST_LOT,MATCH($B280,ST_ID,0)),""))</f>
        <v/>
      </c>
      <c r="M280" s="26" t="str">
        <f aca="false">IF($B280="","",IFERROR(INDEX(ST_STRAIT,MATCH($B280,ST_ID,0)),""))</f>
        <v/>
      </c>
      <c r="N280" s="26" t="str">
        <f aca="false">IF($B280="","",IF($E280="",$L280,$E280))</f>
        <v/>
      </c>
      <c r="O280" s="26" t="str">
        <f aca="false">IF($N280="","",IFERROR(INDEX(LOT_EXTE,MATCH($N280,LOT_KEY,0)),""))</f>
        <v/>
      </c>
      <c r="P280" s="26" t="str">
        <f aca="false">IF($J280="","",IFERROR(INDEX(EMPL_CLASSE,MATCH($J280,EMPL_KEY,0)),"?"))</f>
        <v/>
      </c>
      <c r="Q280" s="28" t="n">
        <f aca="false">IF($B280="",0,IF(OR(ISNA(MATCH($B280,ST_ID,0)),NOT(ISNUMBER($F280)),$F280&lt;=0,$J280="",$N280=""),0,1))</f>
        <v>0</v>
      </c>
      <c r="R280" s="27" t="n">
        <f aca="false">IF($Q280=0,0,$F280)</f>
        <v>0</v>
      </c>
      <c r="S280" s="26" t="str">
        <f aca="false">IF($B280="","",IFERROR(INDEX(ST_STATUT,MATCH($B280,ST_ID,0)),""))</f>
        <v/>
      </c>
      <c r="T280" s="26" t="str">
        <f aca="false">IF($B280="","",IF($Q280=0,"DONNEES MANQUANTES",IF(OR($S280="DONNEES MANQUANTES",$S280="STOCK INSUFFISANT",$S280="EMPLACEMENT INCOHERENT",$S280="BLOQUE"),"BLOQUE","OK")))</f>
        <v/>
      </c>
      <c r="U280" s="28" t="n">
        <f aca="false">IF($T280="OK",1,0)</f>
        <v>0</v>
      </c>
      <c r="V280" s="26" t="str">
        <f aca="false">IF($B280="","",IF($Q280=0,"A COMPLETER : "&amp;IF(ISNA(MATCH($B280,ST_ID,0)),"ID ST valide; ","")&amp;IF(OR(NOT(ISNUMBER($F280)),$F280&lt;=0),"QUANTITE &gt; 0; ","")&amp;IF($J280="","EMPL. DESTINATION; ",""),IF($T280="BLOQUE","Envoi parent en anomalie ("&amp;$S280&amp;") : corriger l'onglet SOUS_TRAITANCE.",IF(AND($E280&lt;&gt;"",ISNA(MATCH($E280,LOT_KEY,0))),"Creer la fiche du lot resultat dans l'onglet LOTS.",""))))</f>
        <v/>
      </c>
      <c r="W280" s="31" t="str">
        <f aca="false">IF($B280="","",IF($C280&lt;&gt;"",$C280,IFERROR(INDEX(ST_DATERET,MATCH($B280,ST_ID,0)),"")))</f>
        <v/>
      </c>
      <c r="X280" s="26" t="str">
        <f aca="false">IF($Q280=0,"",IF($L280=R_LOT,IF($N280&lt;&gt;R_LOT,$N280,""),IF($N280=R_LOT,$L280,"")))</f>
        <v/>
      </c>
      <c r="Y280" s="26" t="str">
        <f aca="false">IF($X280="","",IF(COUNTIF($X$4:$X279,$X280)&gt;0,"",COUNT($Y$4:$Y279)+1))</f>
        <v/>
      </c>
      <c r="Z280" s="26" t="n">
        <f aca="false">IF($Q280=0,0,IF(OR($L280=R_LOT,$N280=R_LOT),1,0))</f>
        <v>0</v>
      </c>
      <c r="AA280" s="26" t="str">
        <f aca="false">IF($Z280=0,"",COUNTIF($Z$5:$Z280,1))</f>
        <v/>
      </c>
    </row>
    <row r="281" customFormat="false" ht="15" hidden="false" customHeight="false" outlineLevel="0" collapsed="false">
      <c r="A281" s="26" t="str">
        <f aca="false">IF($B281="","","RES-"&amp;TEXT(ROW()-4,"000"))</f>
        <v/>
      </c>
      <c r="B281" s="24"/>
      <c r="C281" s="25"/>
      <c r="D281" s="24"/>
      <c r="E281" s="24"/>
      <c r="F281" s="29"/>
      <c r="G281" s="24"/>
      <c r="H281" s="24"/>
      <c r="I281" s="24"/>
      <c r="J281" s="24"/>
      <c r="K281" s="24"/>
      <c r="L281" s="26" t="str">
        <f aca="false">IF($B281="","",IFERROR(INDEX(ST_LOT,MATCH($B281,ST_ID,0)),""))</f>
        <v/>
      </c>
      <c r="M281" s="26" t="str">
        <f aca="false">IF($B281="","",IFERROR(INDEX(ST_STRAIT,MATCH($B281,ST_ID,0)),""))</f>
        <v/>
      </c>
      <c r="N281" s="26" t="str">
        <f aca="false">IF($B281="","",IF($E281="",$L281,$E281))</f>
        <v/>
      </c>
      <c r="O281" s="26" t="str">
        <f aca="false">IF($N281="","",IFERROR(INDEX(LOT_EXTE,MATCH($N281,LOT_KEY,0)),""))</f>
        <v/>
      </c>
      <c r="P281" s="26" t="str">
        <f aca="false">IF($J281="","",IFERROR(INDEX(EMPL_CLASSE,MATCH($J281,EMPL_KEY,0)),"?"))</f>
        <v/>
      </c>
      <c r="Q281" s="28" t="n">
        <f aca="false">IF($B281="",0,IF(OR(ISNA(MATCH($B281,ST_ID,0)),NOT(ISNUMBER($F281)),$F281&lt;=0,$J281="",$N281=""),0,1))</f>
        <v>0</v>
      </c>
      <c r="R281" s="27" t="n">
        <f aca="false">IF($Q281=0,0,$F281)</f>
        <v>0</v>
      </c>
      <c r="S281" s="26" t="str">
        <f aca="false">IF($B281="","",IFERROR(INDEX(ST_STATUT,MATCH($B281,ST_ID,0)),""))</f>
        <v/>
      </c>
      <c r="T281" s="26" t="str">
        <f aca="false">IF($B281="","",IF($Q281=0,"DONNEES MANQUANTES",IF(OR($S281="DONNEES MANQUANTES",$S281="STOCK INSUFFISANT",$S281="EMPLACEMENT INCOHERENT",$S281="BLOQUE"),"BLOQUE","OK")))</f>
        <v/>
      </c>
      <c r="U281" s="28" t="n">
        <f aca="false">IF($T281="OK",1,0)</f>
        <v>0</v>
      </c>
      <c r="V281" s="26" t="str">
        <f aca="false">IF($B281="","",IF($Q281=0,"A COMPLETER : "&amp;IF(ISNA(MATCH($B281,ST_ID,0)),"ID ST valide; ","")&amp;IF(OR(NOT(ISNUMBER($F281)),$F281&lt;=0),"QUANTITE &gt; 0; ","")&amp;IF($J281="","EMPL. DESTINATION; ",""),IF($T281="BLOQUE","Envoi parent en anomalie ("&amp;$S281&amp;") : corriger l'onglet SOUS_TRAITANCE.",IF(AND($E281&lt;&gt;"",ISNA(MATCH($E281,LOT_KEY,0))),"Creer la fiche du lot resultat dans l'onglet LOTS.",""))))</f>
        <v/>
      </c>
      <c r="W281" s="31" t="str">
        <f aca="false">IF($B281="","",IF($C281&lt;&gt;"",$C281,IFERROR(INDEX(ST_DATERET,MATCH($B281,ST_ID,0)),"")))</f>
        <v/>
      </c>
      <c r="X281" s="26" t="str">
        <f aca="false">IF($Q281=0,"",IF($L281=R_LOT,IF($N281&lt;&gt;R_LOT,$N281,""),IF($N281=R_LOT,$L281,"")))</f>
        <v/>
      </c>
      <c r="Y281" s="26" t="str">
        <f aca="false">IF($X281="","",IF(COUNTIF($X$4:$X280,$X281)&gt;0,"",COUNT($Y$4:$Y280)+1))</f>
        <v/>
      </c>
      <c r="Z281" s="26" t="n">
        <f aca="false">IF($Q281=0,0,IF(OR($L281=R_LOT,$N281=R_LOT),1,0))</f>
        <v>0</v>
      </c>
      <c r="AA281" s="26" t="str">
        <f aca="false">IF($Z281=0,"",COUNTIF($Z$5:$Z281,1))</f>
        <v/>
      </c>
    </row>
    <row r="282" customFormat="false" ht="15" hidden="false" customHeight="false" outlineLevel="0" collapsed="false">
      <c r="A282" s="26" t="str">
        <f aca="false">IF($B282="","","RES-"&amp;TEXT(ROW()-4,"000"))</f>
        <v/>
      </c>
      <c r="B282" s="24"/>
      <c r="C282" s="25"/>
      <c r="D282" s="24"/>
      <c r="E282" s="24"/>
      <c r="F282" s="29"/>
      <c r="G282" s="24"/>
      <c r="H282" s="24"/>
      <c r="I282" s="24"/>
      <c r="J282" s="24"/>
      <c r="K282" s="24"/>
      <c r="L282" s="26" t="str">
        <f aca="false">IF($B282="","",IFERROR(INDEX(ST_LOT,MATCH($B282,ST_ID,0)),""))</f>
        <v/>
      </c>
      <c r="M282" s="26" t="str">
        <f aca="false">IF($B282="","",IFERROR(INDEX(ST_STRAIT,MATCH($B282,ST_ID,0)),""))</f>
        <v/>
      </c>
      <c r="N282" s="26" t="str">
        <f aca="false">IF($B282="","",IF($E282="",$L282,$E282))</f>
        <v/>
      </c>
      <c r="O282" s="26" t="str">
        <f aca="false">IF($N282="","",IFERROR(INDEX(LOT_EXTE,MATCH($N282,LOT_KEY,0)),""))</f>
        <v/>
      </c>
      <c r="P282" s="26" t="str">
        <f aca="false">IF($J282="","",IFERROR(INDEX(EMPL_CLASSE,MATCH($J282,EMPL_KEY,0)),"?"))</f>
        <v/>
      </c>
      <c r="Q282" s="28" t="n">
        <f aca="false">IF($B282="",0,IF(OR(ISNA(MATCH($B282,ST_ID,0)),NOT(ISNUMBER($F282)),$F282&lt;=0,$J282="",$N282=""),0,1))</f>
        <v>0</v>
      </c>
      <c r="R282" s="27" t="n">
        <f aca="false">IF($Q282=0,0,$F282)</f>
        <v>0</v>
      </c>
      <c r="S282" s="26" t="str">
        <f aca="false">IF($B282="","",IFERROR(INDEX(ST_STATUT,MATCH($B282,ST_ID,0)),""))</f>
        <v/>
      </c>
      <c r="T282" s="26" t="str">
        <f aca="false">IF($B282="","",IF($Q282=0,"DONNEES MANQUANTES",IF(OR($S282="DONNEES MANQUANTES",$S282="STOCK INSUFFISANT",$S282="EMPLACEMENT INCOHERENT",$S282="BLOQUE"),"BLOQUE","OK")))</f>
        <v/>
      </c>
      <c r="U282" s="28" t="n">
        <f aca="false">IF($T282="OK",1,0)</f>
        <v>0</v>
      </c>
      <c r="V282" s="26" t="str">
        <f aca="false">IF($B282="","",IF($Q282=0,"A COMPLETER : "&amp;IF(ISNA(MATCH($B282,ST_ID,0)),"ID ST valide; ","")&amp;IF(OR(NOT(ISNUMBER($F282)),$F282&lt;=0),"QUANTITE &gt; 0; ","")&amp;IF($J282="","EMPL. DESTINATION; ",""),IF($T282="BLOQUE","Envoi parent en anomalie ("&amp;$S282&amp;") : corriger l'onglet SOUS_TRAITANCE.",IF(AND($E282&lt;&gt;"",ISNA(MATCH($E282,LOT_KEY,0))),"Creer la fiche du lot resultat dans l'onglet LOTS.",""))))</f>
        <v/>
      </c>
      <c r="W282" s="31" t="str">
        <f aca="false">IF($B282="","",IF($C282&lt;&gt;"",$C282,IFERROR(INDEX(ST_DATERET,MATCH($B282,ST_ID,0)),"")))</f>
        <v/>
      </c>
      <c r="X282" s="26" t="str">
        <f aca="false">IF($Q282=0,"",IF($L282=R_LOT,IF($N282&lt;&gt;R_LOT,$N282,""),IF($N282=R_LOT,$L282,"")))</f>
        <v/>
      </c>
      <c r="Y282" s="26" t="str">
        <f aca="false">IF($X282="","",IF(COUNTIF($X$4:$X281,$X282)&gt;0,"",COUNT($Y$4:$Y281)+1))</f>
        <v/>
      </c>
      <c r="Z282" s="26" t="n">
        <f aca="false">IF($Q282=0,0,IF(OR($L282=R_LOT,$N282=R_LOT),1,0))</f>
        <v>0</v>
      </c>
      <c r="AA282" s="26" t="str">
        <f aca="false">IF($Z282=0,"",COUNTIF($Z$5:$Z282,1))</f>
        <v/>
      </c>
    </row>
    <row r="283" customFormat="false" ht="15" hidden="false" customHeight="false" outlineLevel="0" collapsed="false">
      <c r="A283" s="26" t="str">
        <f aca="false">IF($B283="","","RES-"&amp;TEXT(ROW()-4,"000"))</f>
        <v/>
      </c>
      <c r="B283" s="24"/>
      <c r="C283" s="25"/>
      <c r="D283" s="24"/>
      <c r="E283" s="24"/>
      <c r="F283" s="29"/>
      <c r="G283" s="24"/>
      <c r="H283" s="24"/>
      <c r="I283" s="24"/>
      <c r="J283" s="24"/>
      <c r="K283" s="24"/>
      <c r="L283" s="26" t="str">
        <f aca="false">IF($B283="","",IFERROR(INDEX(ST_LOT,MATCH($B283,ST_ID,0)),""))</f>
        <v/>
      </c>
      <c r="M283" s="26" t="str">
        <f aca="false">IF($B283="","",IFERROR(INDEX(ST_STRAIT,MATCH($B283,ST_ID,0)),""))</f>
        <v/>
      </c>
      <c r="N283" s="26" t="str">
        <f aca="false">IF($B283="","",IF($E283="",$L283,$E283))</f>
        <v/>
      </c>
      <c r="O283" s="26" t="str">
        <f aca="false">IF($N283="","",IFERROR(INDEX(LOT_EXTE,MATCH($N283,LOT_KEY,0)),""))</f>
        <v/>
      </c>
      <c r="P283" s="26" t="str">
        <f aca="false">IF($J283="","",IFERROR(INDEX(EMPL_CLASSE,MATCH($J283,EMPL_KEY,0)),"?"))</f>
        <v/>
      </c>
      <c r="Q283" s="28" t="n">
        <f aca="false">IF($B283="",0,IF(OR(ISNA(MATCH($B283,ST_ID,0)),NOT(ISNUMBER($F283)),$F283&lt;=0,$J283="",$N283=""),0,1))</f>
        <v>0</v>
      </c>
      <c r="R283" s="27" t="n">
        <f aca="false">IF($Q283=0,0,$F283)</f>
        <v>0</v>
      </c>
      <c r="S283" s="26" t="str">
        <f aca="false">IF($B283="","",IFERROR(INDEX(ST_STATUT,MATCH($B283,ST_ID,0)),""))</f>
        <v/>
      </c>
      <c r="T283" s="26" t="str">
        <f aca="false">IF($B283="","",IF($Q283=0,"DONNEES MANQUANTES",IF(OR($S283="DONNEES MANQUANTES",$S283="STOCK INSUFFISANT",$S283="EMPLACEMENT INCOHERENT",$S283="BLOQUE"),"BLOQUE","OK")))</f>
        <v/>
      </c>
      <c r="U283" s="28" t="n">
        <f aca="false">IF($T283="OK",1,0)</f>
        <v>0</v>
      </c>
      <c r="V283" s="26" t="str">
        <f aca="false">IF($B283="","",IF($Q283=0,"A COMPLETER : "&amp;IF(ISNA(MATCH($B283,ST_ID,0)),"ID ST valide; ","")&amp;IF(OR(NOT(ISNUMBER($F283)),$F283&lt;=0),"QUANTITE &gt; 0; ","")&amp;IF($J283="","EMPL. DESTINATION; ",""),IF($T283="BLOQUE","Envoi parent en anomalie ("&amp;$S283&amp;") : corriger l'onglet SOUS_TRAITANCE.",IF(AND($E283&lt;&gt;"",ISNA(MATCH($E283,LOT_KEY,0))),"Creer la fiche du lot resultat dans l'onglet LOTS.",""))))</f>
        <v/>
      </c>
      <c r="W283" s="31" t="str">
        <f aca="false">IF($B283="","",IF($C283&lt;&gt;"",$C283,IFERROR(INDEX(ST_DATERET,MATCH($B283,ST_ID,0)),"")))</f>
        <v/>
      </c>
      <c r="X283" s="26" t="str">
        <f aca="false">IF($Q283=0,"",IF($L283=R_LOT,IF($N283&lt;&gt;R_LOT,$N283,""),IF($N283=R_LOT,$L283,"")))</f>
        <v/>
      </c>
      <c r="Y283" s="26" t="str">
        <f aca="false">IF($X283="","",IF(COUNTIF($X$4:$X282,$X283)&gt;0,"",COUNT($Y$4:$Y282)+1))</f>
        <v/>
      </c>
      <c r="Z283" s="26" t="n">
        <f aca="false">IF($Q283=0,0,IF(OR($L283=R_LOT,$N283=R_LOT),1,0))</f>
        <v>0</v>
      </c>
      <c r="AA283" s="26" t="str">
        <f aca="false">IF($Z283=0,"",COUNTIF($Z$5:$Z283,1))</f>
        <v/>
      </c>
    </row>
    <row r="284" customFormat="false" ht="15" hidden="false" customHeight="false" outlineLevel="0" collapsed="false">
      <c r="A284" s="26" t="str">
        <f aca="false">IF($B284="","","RES-"&amp;TEXT(ROW()-4,"000"))</f>
        <v/>
      </c>
      <c r="B284" s="24"/>
      <c r="C284" s="25"/>
      <c r="D284" s="24"/>
      <c r="E284" s="24"/>
      <c r="F284" s="29"/>
      <c r="G284" s="24"/>
      <c r="H284" s="24"/>
      <c r="I284" s="24"/>
      <c r="J284" s="24"/>
      <c r="K284" s="24"/>
      <c r="L284" s="26" t="str">
        <f aca="false">IF($B284="","",IFERROR(INDEX(ST_LOT,MATCH($B284,ST_ID,0)),""))</f>
        <v/>
      </c>
      <c r="M284" s="26" t="str">
        <f aca="false">IF($B284="","",IFERROR(INDEX(ST_STRAIT,MATCH($B284,ST_ID,0)),""))</f>
        <v/>
      </c>
      <c r="N284" s="26" t="str">
        <f aca="false">IF($B284="","",IF($E284="",$L284,$E284))</f>
        <v/>
      </c>
      <c r="O284" s="26" t="str">
        <f aca="false">IF($N284="","",IFERROR(INDEX(LOT_EXTE,MATCH($N284,LOT_KEY,0)),""))</f>
        <v/>
      </c>
      <c r="P284" s="26" t="str">
        <f aca="false">IF($J284="","",IFERROR(INDEX(EMPL_CLASSE,MATCH($J284,EMPL_KEY,0)),"?"))</f>
        <v/>
      </c>
      <c r="Q284" s="28" t="n">
        <f aca="false">IF($B284="",0,IF(OR(ISNA(MATCH($B284,ST_ID,0)),NOT(ISNUMBER($F284)),$F284&lt;=0,$J284="",$N284=""),0,1))</f>
        <v>0</v>
      </c>
      <c r="R284" s="27" t="n">
        <f aca="false">IF($Q284=0,0,$F284)</f>
        <v>0</v>
      </c>
      <c r="S284" s="26" t="str">
        <f aca="false">IF($B284="","",IFERROR(INDEX(ST_STATUT,MATCH($B284,ST_ID,0)),""))</f>
        <v/>
      </c>
      <c r="T284" s="26" t="str">
        <f aca="false">IF($B284="","",IF($Q284=0,"DONNEES MANQUANTES",IF(OR($S284="DONNEES MANQUANTES",$S284="STOCK INSUFFISANT",$S284="EMPLACEMENT INCOHERENT",$S284="BLOQUE"),"BLOQUE","OK")))</f>
        <v/>
      </c>
      <c r="U284" s="28" t="n">
        <f aca="false">IF($T284="OK",1,0)</f>
        <v>0</v>
      </c>
      <c r="V284" s="26" t="str">
        <f aca="false">IF($B284="","",IF($Q284=0,"A COMPLETER : "&amp;IF(ISNA(MATCH($B284,ST_ID,0)),"ID ST valide; ","")&amp;IF(OR(NOT(ISNUMBER($F284)),$F284&lt;=0),"QUANTITE &gt; 0; ","")&amp;IF($J284="","EMPL. DESTINATION; ",""),IF($T284="BLOQUE","Envoi parent en anomalie ("&amp;$S284&amp;") : corriger l'onglet SOUS_TRAITANCE.",IF(AND($E284&lt;&gt;"",ISNA(MATCH($E284,LOT_KEY,0))),"Creer la fiche du lot resultat dans l'onglet LOTS.",""))))</f>
        <v/>
      </c>
      <c r="W284" s="31" t="str">
        <f aca="false">IF($B284="","",IF($C284&lt;&gt;"",$C284,IFERROR(INDEX(ST_DATERET,MATCH($B284,ST_ID,0)),"")))</f>
        <v/>
      </c>
      <c r="X284" s="26" t="str">
        <f aca="false">IF($Q284=0,"",IF($L284=R_LOT,IF($N284&lt;&gt;R_LOT,$N284,""),IF($N284=R_LOT,$L284,"")))</f>
        <v/>
      </c>
      <c r="Y284" s="26" t="str">
        <f aca="false">IF($X284="","",IF(COUNTIF($X$4:$X283,$X284)&gt;0,"",COUNT($Y$4:$Y283)+1))</f>
        <v/>
      </c>
      <c r="Z284" s="26" t="n">
        <f aca="false">IF($Q284=0,0,IF(OR($L284=R_LOT,$N284=R_LOT),1,0))</f>
        <v>0</v>
      </c>
      <c r="AA284" s="26" t="str">
        <f aca="false">IF($Z284=0,"",COUNTIF($Z$5:$Z284,1))</f>
        <v/>
      </c>
    </row>
    <row r="285" customFormat="false" ht="15" hidden="false" customHeight="false" outlineLevel="0" collapsed="false">
      <c r="A285" s="26" t="str">
        <f aca="false">IF($B285="","","RES-"&amp;TEXT(ROW()-4,"000"))</f>
        <v/>
      </c>
      <c r="B285" s="24"/>
      <c r="C285" s="25"/>
      <c r="D285" s="24"/>
      <c r="E285" s="24"/>
      <c r="F285" s="29"/>
      <c r="G285" s="24"/>
      <c r="H285" s="24"/>
      <c r="I285" s="24"/>
      <c r="J285" s="24"/>
      <c r="K285" s="24"/>
      <c r="L285" s="26" t="str">
        <f aca="false">IF($B285="","",IFERROR(INDEX(ST_LOT,MATCH($B285,ST_ID,0)),""))</f>
        <v/>
      </c>
      <c r="M285" s="26" t="str">
        <f aca="false">IF($B285="","",IFERROR(INDEX(ST_STRAIT,MATCH($B285,ST_ID,0)),""))</f>
        <v/>
      </c>
      <c r="N285" s="26" t="str">
        <f aca="false">IF($B285="","",IF($E285="",$L285,$E285))</f>
        <v/>
      </c>
      <c r="O285" s="26" t="str">
        <f aca="false">IF($N285="","",IFERROR(INDEX(LOT_EXTE,MATCH($N285,LOT_KEY,0)),""))</f>
        <v/>
      </c>
      <c r="P285" s="26" t="str">
        <f aca="false">IF($J285="","",IFERROR(INDEX(EMPL_CLASSE,MATCH($J285,EMPL_KEY,0)),"?"))</f>
        <v/>
      </c>
      <c r="Q285" s="28" t="n">
        <f aca="false">IF($B285="",0,IF(OR(ISNA(MATCH($B285,ST_ID,0)),NOT(ISNUMBER($F285)),$F285&lt;=0,$J285="",$N285=""),0,1))</f>
        <v>0</v>
      </c>
      <c r="R285" s="27" t="n">
        <f aca="false">IF($Q285=0,0,$F285)</f>
        <v>0</v>
      </c>
      <c r="S285" s="26" t="str">
        <f aca="false">IF($B285="","",IFERROR(INDEX(ST_STATUT,MATCH($B285,ST_ID,0)),""))</f>
        <v/>
      </c>
      <c r="T285" s="26" t="str">
        <f aca="false">IF($B285="","",IF($Q285=0,"DONNEES MANQUANTES",IF(OR($S285="DONNEES MANQUANTES",$S285="STOCK INSUFFISANT",$S285="EMPLACEMENT INCOHERENT",$S285="BLOQUE"),"BLOQUE","OK")))</f>
        <v/>
      </c>
      <c r="U285" s="28" t="n">
        <f aca="false">IF($T285="OK",1,0)</f>
        <v>0</v>
      </c>
      <c r="V285" s="26" t="str">
        <f aca="false">IF($B285="","",IF($Q285=0,"A COMPLETER : "&amp;IF(ISNA(MATCH($B285,ST_ID,0)),"ID ST valide; ","")&amp;IF(OR(NOT(ISNUMBER($F285)),$F285&lt;=0),"QUANTITE &gt; 0; ","")&amp;IF($J285="","EMPL. DESTINATION; ",""),IF($T285="BLOQUE","Envoi parent en anomalie ("&amp;$S285&amp;") : corriger l'onglet SOUS_TRAITANCE.",IF(AND($E285&lt;&gt;"",ISNA(MATCH($E285,LOT_KEY,0))),"Creer la fiche du lot resultat dans l'onglet LOTS.",""))))</f>
        <v/>
      </c>
      <c r="W285" s="31" t="str">
        <f aca="false">IF($B285="","",IF($C285&lt;&gt;"",$C285,IFERROR(INDEX(ST_DATERET,MATCH($B285,ST_ID,0)),"")))</f>
        <v/>
      </c>
      <c r="X285" s="26" t="str">
        <f aca="false">IF($Q285=0,"",IF($L285=R_LOT,IF($N285&lt;&gt;R_LOT,$N285,""),IF($N285=R_LOT,$L285,"")))</f>
        <v/>
      </c>
      <c r="Y285" s="26" t="str">
        <f aca="false">IF($X285="","",IF(COUNTIF($X$4:$X284,$X285)&gt;0,"",COUNT($Y$4:$Y284)+1))</f>
        <v/>
      </c>
      <c r="Z285" s="26" t="n">
        <f aca="false">IF($Q285=0,0,IF(OR($L285=R_LOT,$N285=R_LOT),1,0))</f>
        <v>0</v>
      </c>
      <c r="AA285" s="26" t="str">
        <f aca="false">IF($Z285=0,"",COUNTIF($Z$5:$Z285,1))</f>
        <v/>
      </c>
    </row>
    <row r="286" customFormat="false" ht="15" hidden="false" customHeight="false" outlineLevel="0" collapsed="false">
      <c r="A286" s="26" t="str">
        <f aca="false">IF($B286="","","RES-"&amp;TEXT(ROW()-4,"000"))</f>
        <v/>
      </c>
      <c r="B286" s="24"/>
      <c r="C286" s="25"/>
      <c r="D286" s="24"/>
      <c r="E286" s="24"/>
      <c r="F286" s="29"/>
      <c r="G286" s="24"/>
      <c r="H286" s="24"/>
      <c r="I286" s="24"/>
      <c r="J286" s="24"/>
      <c r="K286" s="24"/>
      <c r="L286" s="26" t="str">
        <f aca="false">IF($B286="","",IFERROR(INDEX(ST_LOT,MATCH($B286,ST_ID,0)),""))</f>
        <v/>
      </c>
      <c r="M286" s="26" t="str">
        <f aca="false">IF($B286="","",IFERROR(INDEX(ST_STRAIT,MATCH($B286,ST_ID,0)),""))</f>
        <v/>
      </c>
      <c r="N286" s="26" t="str">
        <f aca="false">IF($B286="","",IF($E286="",$L286,$E286))</f>
        <v/>
      </c>
      <c r="O286" s="26" t="str">
        <f aca="false">IF($N286="","",IFERROR(INDEX(LOT_EXTE,MATCH($N286,LOT_KEY,0)),""))</f>
        <v/>
      </c>
      <c r="P286" s="26" t="str">
        <f aca="false">IF($J286="","",IFERROR(INDEX(EMPL_CLASSE,MATCH($J286,EMPL_KEY,0)),"?"))</f>
        <v/>
      </c>
      <c r="Q286" s="28" t="n">
        <f aca="false">IF($B286="",0,IF(OR(ISNA(MATCH($B286,ST_ID,0)),NOT(ISNUMBER($F286)),$F286&lt;=0,$J286="",$N286=""),0,1))</f>
        <v>0</v>
      </c>
      <c r="R286" s="27" t="n">
        <f aca="false">IF($Q286=0,0,$F286)</f>
        <v>0</v>
      </c>
      <c r="S286" s="26" t="str">
        <f aca="false">IF($B286="","",IFERROR(INDEX(ST_STATUT,MATCH($B286,ST_ID,0)),""))</f>
        <v/>
      </c>
      <c r="T286" s="26" t="str">
        <f aca="false">IF($B286="","",IF($Q286=0,"DONNEES MANQUANTES",IF(OR($S286="DONNEES MANQUANTES",$S286="STOCK INSUFFISANT",$S286="EMPLACEMENT INCOHERENT",$S286="BLOQUE"),"BLOQUE","OK")))</f>
        <v/>
      </c>
      <c r="U286" s="28" t="n">
        <f aca="false">IF($T286="OK",1,0)</f>
        <v>0</v>
      </c>
      <c r="V286" s="26" t="str">
        <f aca="false">IF($B286="","",IF($Q286=0,"A COMPLETER : "&amp;IF(ISNA(MATCH($B286,ST_ID,0)),"ID ST valide; ","")&amp;IF(OR(NOT(ISNUMBER($F286)),$F286&lt;=0),"QUANTITE &gt; 0; ","")&amp;IF($J286="","EMPL. DESTINATION; ",""),IF($T286="BLOQUE","Envoi parent en anomalie ("&amp;$S286&amp;") : corriger l'onglet SOUS_TRAITANCE.",IF(AND($E286&lt;&gt;"",ISNA(MATCH($E286,LOT_KEY,0))),"Creer la fiche du lot resultat dans l'onglet LOTS.",""))))</f>
        <v/>
      </c>
      <c r="W286" s="31" t="str">
        <f aca="false">IF($B286="","",IF($C286&lt;&gt;"",$C286,IFERROR(INDEX(ST_DATERET,MATCH($B286,ST_ID,0)),"")))</f>
        <v/>
      </c>
      <c r="X286" s="26" t="str">
        <f aca="false">IF($Q286=0,"",IF($L286=R_LOT,IF($N286&lt;&gt;R_LOT,$N286,""),IF($N286=R_LOT,$L286,"")))</f>
        <v/>
      </c>
      <c r="Y286" s="26" t="str">
        <f aca="false">IF($X286="","",IF(COUNTIF($X$4:$X285,$X286)&gt;0,"",COUNT($Y$4:$Y285)+1))</f>
        <v/>
      </c>
      <c r="Z286" s="26" t="n">
        <f aca="false">IF($Q286=0,0,IF(OR($L286=R_LOT,$N286=R_LOT),1,0))</f>
        <v>0</v>
      </c>
      <c r="AA286" s="26" t="str">
        <f aca="false">IF($Z286=0,"",COUNTIF($Z$5:$Z286,1))</f>
        <v/>
      </c>
    </row>
    <row r="287" customFormat="false" ht="15" hidden="false" customHeight="false" outlineLevel="0" collapsed="false">
      <c r="A287" s="26" t="str">
        <f aca="false">IF($B287="","","RES-"&amp;TEXT(ROW()-4,"000"))</f>
        <v/>
      </c>
      <c r="B287" s="24"/>
      <c r="C287" s="25"/>
      <c r="D287" s="24"/>
      <c r="E287" s="24"/>
      <c r="F287" s="29"/>
      <c r="G287" s="24"/>
      <c r="H287" s="24"/>
      <c r="I287" s="24"/>
      <c r="J287" s="24"/>
      <c r="K287" s="24"/>
      <c r="L287" s="26" t="str">
        <f aca="false">IF($B287="","",IFERROR(INDEX(ST_LOT,MATCH($B287,ST_ID,0)),""))</f>
        <v/>
      </c>
      <c r="M287" s="26" t="str">
        <f aca="false">IF($B287="","",IFERROR(INDEX(ST_STRAIT,MATCH($B287,ST_ID,0)),""))</f>
        <v/>
      </c>
      <c r="N287" s="26" t="str">
        <f aca="false">IF($B287="","",IF($E287="",$L287,$E287))</f>
        <v/>
      </c>
      <c r="O287" s="26" t="str">
        <f aca="false">IF($N287="","",IFERROR(INDEX(LOT_EXTE,MATCH($N287,LOT_KEY,0)),""))</f>
        <v/>
      </c>
      <c r="P287" s="26" t="str">
        <f aca="false">IF($J287="","",IFERROR(INDEX(EMPL_CLASSE,MATCH($J287,EMPL_KEY,0)),"?"))</f>
        <v/>
      </c>
      <c r="Q287" s="28" t="n">
        <f aca="false">IF($B287="",0,IF(OR(ISNA(MATCH($B287,ST_ID,0)),NOT(ISNUMBER($F287)),$F287&lt;=0,$J287="",$N287=""),0,1))</f>
        <v>0</v>
      </c>
      <c r="R287" s="27" t="n">
        <f aca="false">IF($Q287=0,0,$F287)</f>
        <v>0</v>
      </c>
      <c r="S287" s="26" t="str">
        <f aca="false">IF($B287="","",IFERROR(INDEX(ST_STATUT,MATCH($B287,ST_ID,0)),""))</f>
        <v/>
      </c>
      <c r="T287" s="26" t="str">
        <f aca="false">IF($B287="","",IF($Q287=0,"DONNEES MANQUANTES",IF(OR($S287="DONNEES MANQUANTES",$S287="STOCK INSUFFISANT",$S287="EMPLACEMENT INCOHERENT",$S287="BLOQUE"),"BLOQUE","OK")))</f>
        <v/>
      </c>
      <c r="U287" s="28" t="n">
        <f aca="false">IF($T287="OK",1,0)</f>
        <v>0</v>
      </c>
      <c r="V287" s="26" t="str">
        <f aca="false">IF($B287="","",IF($Q287=0,"A COMPLETER : "&amp;IF(ISNA(MATCH($B287,ST_ID,0)),"ID ST valide; ","")&amp;IF(OR(NOT(ISNUMBER($F287)),$F287&lt;=0),"QUANTITE &gt; 0; ","")&amp;IF($J287="","EMPL. DESTINATION; ",""),IF($T287="BLOQUE","Envoi parent en anomalie ("&amp;$S287&amp;") : corriger l'onglet SOUS_TRAITANCE.",IF(AND($E287&lt;&gt;"",ISNA(MATCH($E287,LOT_KEY,0))),"Creer la fiche du lot resultat dans l'onglet LOTS.",""))))</f>
        <v/>
      </c>
      <c r="W287" s="31" t="str">
        <f aca="false">IF($B287="","",IF($C287&lt;&gt;"",$C287,IFERROR(INDEX(ST_DATERET,MATCH($B287,ST_ID,0)),"")))</f>
        <v/>
      </c>
      <c r="X287" s="26" t="str">
        <f aca="false">IF($Q287=0,"",IF($L287=R_LOT,IF($N287&lt;&gt;R_LOT,$N287,""),IF($N287=R_LOT,$L287,"")))</f>
        <v/>
      </c>
      <c r="Y287" s="26" t="str">
        <f aca="false">IF($X287="","",IF(COUNTIF($X$4:$X286,$X287)&gt;0,"",COUNT($Y$4:$Y286)+1))</f>
        <v/>
      </c>
      <c r="Z287" s="26" t="n">
        <f aca="false">IF($Q287=0,0,IF(OR($L287=R_LOT,$N287=R_LOT),1,0))</f>
        <v>0</v>
      </c>
      <c r="AA287" s="26" t="str">
        <f aca="false">IF($Z287=0,"",COUNTIF($Z$5:$Z287,1))</f>
        <v/>
      </c>
    </row>
    <row r="288" customFormat="false" ht="15" hidden="false" customHeight="false" outlineLevel="0" collapsed="false">
      <c r="A288" s="26" t="str">
        <f aca="false">IF($B288="","","RES-"&amp;TEXT(ROW()-4,"000"))</f>
        <v/>
      </c>
      <c r="B288" s="24"/>
      <c r="C288" s="25"/>
      <c r="D288" s="24"/>
      <c r="E288" s="24"/>
      <c r="F288" s="29"/>
      <c r="G288" s="24"/>
      <c r="H288" s="24"/>
      <c r="I288" s="24"/>
      <c r="J288" s="24"/>
      <c r="K288" s="24"/>
      <c r="L288" s="26" t="str">
        <f aca="false">IF($B288="","",IFERROR(INDEX(ST_LOT,MATCH($B288,ST_ID,0)),""))</f>
        <v/>
      </c>
      <c r="M288" s="26" t="str">
        <f aca="false">IF($B288="","",IFERROR(INDEX(ST_STRAIT,MATCH($B288,ST_ID,0)),""))</f>
        <v/>
      </c>
      <c r="N288" s="26" t="str">
        <f aca="false">IF($B288="","",IF($E288="",$L288,$E288))</f>
        <v/>
      </c>
      <c r="O288" s="26" t="str">
        <f aca="false">IF($N288="","",IFERROR(INDEX(LOT_EXTE,MATCH($N288,LOT_KEY,0)),""))</f>
        <v/>
      </c>
      <c r="P288" s="26" t="str">
        <f aca="false">IF($J288="","",IFERROR(INDEX(EMPL_CLASSE,MATCH($J288,EMPL_KEY,0)),"?"))</f>
        <v/>
      </c>
      <c r="Q288" s="28" t="n">
        <f aca="false">IF($B288="",0,IF(OR(ISNA(MATCH($B288,ST_ID,0)),NOT(ISNUMBER($F288)),$F288&lt;=0,$J288="",$N288=""),0,1))</f>
        <v>0</v>
      </c>
      <c r="R288" s="27" t="n">
        <f aca="false">IF($Q288=0,0,$F288)</f>
        <v>0</v>
      </c>
      <c r="S288" s="26" t="str">
        <f aca="false">IF($B288="","",IFERROR(INDEX(ST_STATUT,MATCH($B288,ST_ID,0)),""))</f>
        <v/>
      </c>
      <c r="T288" s="26" t="str">
        <f aca="false">IF($B288="","",IF($Q288=0,"DONNEES MANQUANTES",IF(OR($S288="DONNEES MANQUANTES",$S288="STOCK INSUFFISANT",$S288="EMPLACEMENT INCOHERENT",$S288="BLOQUE"),"BLOQUE","OK")))</f>
        <v/>
      </c>
      <c r="U288" s="28" t="n">
        <f aca="false">IF($T288="OK",1,0)</f>
        <v>0</v>
      </c>
      <c r="V288" s="26" t="str">
        <f aca="false">IF($B288="","",IF($Q288=0,"A COMPLETER : "&amp;IF(ISNA(MATCH($B288,ST_ID,0)),"ID ST valide; ","")&amp;IF(OR(NOT(ISNUMBER($F288)),$F288&lt;=0),"QUANTITE &gt; 0; ","")&amp;IF($J288="","EMPL. DESTINATION; ",""),IF($T288="BLOQUE","Envoi parent en anomalie ("&amp;$S288&amp;") : corriger l'onglet SOUS_TRAITANCE.",IF(AND($E288&lt;&gt;"",ISNA(MATCH($E288,LOT_KEY,0))),"Creer la fiche du lot resultat dans l'onglet LOTS.",""))))</f>
        <v/>
      </c>
      <c r="W288" s="31" t="str">
        <f aca="false">IF($B288="","",IF($C288&lt;&gt;"",$C288,IFERROR(INDEX(ST_DATERET,MATCH($B288,ST_ID,0)),"")))</f>
        <v/>
      </c>
      <c r="X288" s="26" t="str">
        <f aca="false">IF($Q288=0,"",IF($L288=R_LOT,IF($N288&lt;&gt;R_LOT,$N288,""),IF($N288=R_LOT,$L288,"")))</f>
        <v/>
      </c>
      <c r="Y288" s="26" t="str">
        <f aca="false">IF($X288="","",IF(COUNTIF($X$4:$X287,$X288)&gt;0,"",COUNT($Y$4:$Y287)+1))</f>
        <v/>
      </c>
      <c r="Z288" s="26" t="n">
        <f aca="false">IF($Q288=0,0,IF(OR($L288=R_LOT,$N288=R_LOT),1,0))</f>
        <v>0</v>
      </c>
      <c r="AA288" s="26" t="str">
        <f aca="false">IF($Z288=0,"",COUNTIF($Z$5:$Z288,1))</f>
        <v/>
      </c>
    </row>
    <row r="289" customFormat="false" ht="15" hidden="false" customHeight="false" outlineLevel="0" collapsed="false">
      <c r="A289" s="26" t="str">
        <f aca="false">IF($B289="","","RES-"&amp;TEXT(ROW()-4,"000"))</f>
        <v/>
      </c>
      <c r="B289" s="24"/>
      <c r="C289" s="25"/>
      <c r="D289" s="24"/>
      <c r="E289" s="24"/>
      <c r="F289" s="29"/>
      <c r="G289" s="24"/>
      <c r="H289" s="24"/>
      <c r="I289" s="24"/>
      <c r="J289" s="24"/>
      <c r="K289" s="24"/>
      <c r="L289" s="26" t="str">
        <f aca="false">IF($B289="","",IFERROR(INDEX(ST_LOT,MATCH($B289,ST_ID,0)),""))</f>
        <v/>
      </c>
      <c r="M289" s="26" t="str">
        <f aca="false">IF($B289="","",IFERROR(INDEX(ST_STRAIT,MATCH($B289,ST_ID,0)),""))</f>
        <v/>
      </c>
      <c r="N289" s="26" t="str">
        <f aca="false">IF($B289="","",IF($E289="",$L289,$E289))</f>
        <v/>
      </c>
      <c r="O289" s="26" t="str">
        <f aca="false">IF($N289="","",IFERROR(INDEX(LOT_EXTE,MATCH($N289,LOT_KEY,0)),""))</f>
        <v/>
      </c>
      <c r="P289" s="26" t="str">
        <f aca="false">IF($J289="","",IFERROR(INDEX(EMPL_CLASSE,MATCH($J289,EMPL_KEY,0)),"?"))</f>
        <v/>
      </c>
      <c r="Q289" s="28" t="n">
        <f aca="false">IF($B289="",0,IF(OR(ISNA(MATCH($B289,ST_ID,0)),NOT(ISNUMBER($F289)),$F289&lt;=0,$J289="",$N289=""),0,1))</f>
        <v>0</v>
      </c>
      <c r="R289" s="27" t="n">
        <f aca="false">IF($Q289=0,0,$F289)</f>
        <v>0</v>
      </c>
      <c r="S289" s="26" t="str">
        <f aca="false">IF($B289="","",IFERROR(INDEX(ST_STATUT,MATCH($B289,ST_ID,0)),""))</f>
        <v/>
      </c>
      <c r="T289" s="26" t="str">
        <f aca="false">IF($B289="","",IF($Q289=0,"DONNEES MANQUANTES",IF(OR($S289="DONNEES MANQUANTES",$S289="STOCK INSUFFISANT",$S289="EMPLACEMENT INCOHERENT",$S289="BLOQUE"),"BLOQUE","OK")))</f>
        <v/>
      </c>
      <c r="U289" s="28" t="n">
        <f aca="false">IF($T289="OK",1,0)</f>
        <v>0</v>
      </c>
      <c r="V289" s="26" t="str">
        <f aca="false">IF($B289="","",IF($Q289=0,"A COMPLETER : "&amp;IF(ISNA(MATCH($B289,ST_ID,0)),"ID ST valide; ","")&amp;IF(OR(NOT(ISNUMBER($F289)),$F289&lt;=0),"QUANTITE &gt; 0; ","")&amp;IF($J289="","EMPL. DESTINATION; ",""),IF($T289="BLOQUE","Envoi parent en anomalie ("&amp;$S289&amp;") : corriger l'onglet SOUS_TRAITANCE.",IF(AND($E289&lt;&gt;"",ISNA(MATCH($E289,LOT_KEY,0))),"Creer la fiche du lot resultat dans l'onglet LOTS.",""))))</f>
        <v/>
      </c>
      <c r="W289" s="31" t="str">
        <f aca="false">IF($B289="","",IF($C289&lt;&gt;"",$C289,IFERROR(INDEX(ST_DATERET,MATCH($B289,ST_ID,0)),"")))</f>
        <v/>
      </c>
      <c r="X289" s="26" t="str">
        <f aca="false">IF($Q289=0,"",IF($L289=R_LOT,IF($N289&lt;&gt;R_LOT,$N289,""),IF($N289=R_LOT,$L289,"")))</f>
        <v/>
      </c>
      <c r="Y289" s="26" t="str">
        <f aca="false">IF($X289="","",IF(COUNTIF($X$4:$X288,$X289)&gt;0,"",COUNT($Y$4:$Y288)+1))</f>
        <v/>
      </c>
      <c r="Z289" s="26" t="n">
        <f aca="false">IF($Q289=0,0,IF(OR($L289=R_LOT,$N289=R_LOT),1,0))</f>
        <v>0</v>
      </c>
      <c r="AA289" s="26" t="str">
        <f aca="false">IF($Z289=0,"",COUNTIF($Z$5:$Z289,1))</f>
        <v/>
      </c>
    </row>
    <row r="290" customFormat="false" ht="15" hidden="false" customHeight="false" outlineLevel="0" collapsed="false">
      <c r="A290" s="26" t="str">
        <f aca="false">IF($B290="","","RES-"&amp;TEXT(ROW()-4,"000"))</f>
        <v/>
      </c>
      <c r="B290" s="24"/>
      <c r="C290" s="25"/>
      <c r="D290" s="24"/>
      <c r="E290" s="24"/>
      <c r="F290" s="29"/>
      <c r="G290" s="24"/>
      <c r="H290" s="24"/>
      <c r="I290" s="24"/>
      <c r="J290" s="24"/>
      <c r="K290" s="24"/>
      <c r="L290" s="26" t="str">
        <f aca="false">IF($B290="","",IFERROR(INDEX(ST_LOT,MATCH($B290,ST_ID,0)),""))</f>
        <v/>
      </c>
      <c r="M290" s="26" t="str">
        <f aca="false">IF($B290="","",IFERROR(INDEX(ST_STRAIT,MATCH($B290,ST_ID,0)),""))</f>
        <v/>
      </c>
      <c r="N290" s="26" t="str">
        <f aca="false">IF($B290="","",IF($E290="",$L290,$E290))</f>
        <v/>
      </c>
      <c r="O290" s="26" t="str">
        <f aca="false">IF($N290="","",IFERROR(INDEX(LOT_EXTE,MATCH($N290,LOT_KEY,0)),""))</f>
        <v/>
      </c>
      <c r="P290" s="26" t="str">
        <f aca="false">IF($J290="","",IFERROR(INDEX(EMPL_CLASSE,MATCH($J290,EMPL_KEY,0)),"?"))</f>
        <v/>
      </c>
      <c r="Q290" s="28" t="n">
        <f aca="false">IF($B290="",0,IF(OR(ISNA(MATCH($B290,ST_ID,0)),NOT(ISNUMBER($F290)),$F290&lt;=0,$J290="",$N290=""),0,1))</f>
        <v>0</v>
      </c>
      <c r="R290" s="27" t="n">
        <f aca="false">IF($Q290=0,0,$F290)</f>
        <v>0</v>
      </c>
      <c r="S290" s="26" t="str">
        <f aca="false">IF($B290="","",IFERROR(INDEX(ST_STATUT,MATCH($B290,ST_ID,0)),""))</f>
        <v/>
      </c>
      <c r="T290" s="26" t="str">
        <f aca="false">IF($B290="","",IF($Q290=0,"DONNEES MANQUANTES",IF(OR($S290="DONNEES MANQUANTES",$S290="STOCK INSUFFISANT",$S290="EMPLACEMENT INCOHERENT",$S290="BLOQUE"),"BLOQUE","OK")))</f>
        <v/>
      </c>
      <c r="U290" s="28" t="n">
        <f aca="false">IF($T290="OK",1,0)</f>
        <v>0</v>
      </c>
      <c r="V290" s="26" t="str">
        <f aca="false">IF($B290="","",IF($Q290=0,"A COMPLETER : "&amp;IF(ISNA(MATCH($B290,ST_ID,0)),"ID ST valide; ","")&amp;IF(OR(NOT(ISNUMBER($F290)),$F290&lt;=0),"QUANTITE &gt; 0; ","")&amp;IF($J290="","EMPL. DESTINATION; ",""),IF($T290="BLOQUE","Envoi parent en anomalie ("&amp;$S290&amp;") : corriger l'onglet SOUS_TRAITANCE.",IF(AND($E290&lt;&gt;"",ISNA(MATCH($E290,LOT_KEY,0))),"Creer la fiche du lot resultat dans l'onglet LOTS.",""))))</f>
        <v/>
      </c>
      <c r="W290" s="31" t="str">
        <f aca="false">IF($B290="","",IF($C290&lt;&gt;"",$C290,IFERROR(INDEX(ST_DATERET,MATCH($B290,ST_ID,0)),"")))</f>
        <v/>
      </c>
      <c r="X290" s="26" t="str">
        <f aca="false">IF($Q290=0,"",IF($L290=R_LOT,IF($N290&lt;&gt;R_LOT,$N290,""),IF($N290=R_LOT,$L290,"")))</f>
        <v/>
      </c>
      <c r="Y290" s="26" t="str">
        <f aca="false">IF($X290="","",IF(COUNTIF($X$4:$X289,$X290)&gt;0,"",COUNT($Y$4:$Y289)+1))</f>
        <v/>
      </c>
      <c r="Z290" s="26" t="n">
        <f aca="false">IF($Q290=0,0,IF(OR($L290=R_LOT,$N290=R_LOT),1,0))</f>
        <v>0</v>
      </c>
      <c r="AA290" s="26" t="str">
        <f aca="false">IF($Z290=0,"",COUNTIF($Z$5:$Z290,1))</f>
        <v/>
      </c>
    </row>
    <row r="291" customFormat="false" ht="15" hidden="false" customHeight="false" outlineLevel="0" collapsed="false">
      <c r="A291" s="26" t="str">
        <f aca="false">IF($B291="","","RES-"&amp;TEXT(ROW()-4,"000"))</f>
        <v/>
      </c>
      <c r="B291" s="24"/>
      <c r="C291" s="25"/>
      <c r="D291" s="24"/>
      <c r="E291" s="24"/>
      <c r="F291" s="29"/>
      <c r="G291" s="24"/>
      <c r="H291" s="24"/>
      <c r="I291" s="24"/>
      <c r="J291" s="24"/>
      <c r="K291" s="24"/>
      <c r="L291" s="26" t="str">
        <f aca="false">IF($B291="","",IFERROR(INDEX(ST_LOT,MATCH($B291,ST_ID,0)),""))</f>
        <v/>
      </c>
      <c r="M291" s="26" t="str">
        <f aca="false">IF($B291="","",IFERROR(INDEX(ST_STRAIT,MATCH($B291,ST_ID,0)),""))</f>
        <v/>
      </c>
      <c r="N291" s="26" t="str">
        <f aca="false">IF($B291="","",IF($E291="",$L291,$E291))</f>
        <v/>
      </c>
      <c r="O291" s="26" t="str">
        <f aca="false">IF($N291="","",IFERROR(INDEX(LOT_EXTE,MATCH($N291,LOT_KEY,0)),""))</f>
        <v/>
      </c>
      <c r="P291" s="26" t="str">
        <f aca="false">IF($J291="","",IFERROR(INDEX(EMPL_CLASSE,MATCH($J291,EMPL_KEY,0)),"?"))</f>
        <v/>
      </c>
      <c r="Q291" s="28" t="n">
        <f aca="false">IF($B291="",0,IF(OR(ISNA(MATCH($B291,ST_ID,0)),NOT(ISNUMBER($F291)),$F291&lt;=0,$J291="",$N291=""),0,1))</f>
        <v>0</v>
      </c>
      <c r="R291" s="27" t="n">
        <f aca="false">IF($Q291=0,0,$F291)</f>
        <v>0</v>
      </c>
      <c r="S291" s="26" t="str">
        <f aca="false">IF($B291="","",IFERROR(INDEX(ST_STATUT,MATCH($B291,ST_ID,0)),""))</f>
        <v/>
      </c>
      <c r="T291" s="26" t="str">
        <f aca="false">IF($B291="","",IF($Q291=0,"DONNEES MANQUANTES",IF(OR($S291="DONNEES MANQUANTES",$S291="STOCK INSUFFISANT",$S291="EMPLACEMENT INCOHERENT",$S291="BLOQUE"),"BLOQUE","OK")))</f>
        <v/>
      </c>
      <c r="U291" s="28" t="n">
        <f aca="false">IF($T291="OK",1,0)</f>
        <v>0</v>
      </c>
      <c r="V291" s="26" t="str">
        <f aca="false">IF($B291="","",IF($Q291=0,"A COMPLETER : "&amp;IF(ISNA(MATCH($B291,ST_ID,0)),"ID ST valide; ","")&amp;IF(OR(NOT(ISNUMBER($F291)),$F291&lt;=0),"QUANTITE &gt; 0; ","")&amp;IF($J291="","EMPL. DESTINATION; ",""),IF($T291="BLOQUE","Envoi parent en anomalie ("&amp;$S291&amp;") : corriger l'onglet SOUS_TRAITANCE.",IF(AND($E291&lt;&gt;"",ISNA(MATCH($E291,LOT_KEY,0))),"Creer la fiche du lot resultat dans l'onglet LOTS.",""))))</f>
        <v/>
      </c>
      <c r="W291" s="31" t="str">
        <f aca="false">IF($B291="","",IF($C291&lt;&gt;"",$C291,IFERROR(INDEX(ST_DATERET,MATCH($B291,ST_ID,0)),"")))</f>
        <v/>
      </c>
      <c r="X291" s="26" t="str">
        <f aca="false">IF($Q291=0,"",IF($L291=R_LOT,IF($N291&lt;&gt;R_LOT,$N291,""),IF($N291=R_LOT,$L291,"")))</f>
        <v/>
      </c>
      <c r="Y291" s="26" t="str">
        <f aca="false">IF($X291="","",IF(COUNTIF($X$4:$X290,$X291)&gt;0,"",COUNT($Y$4:$Y290)+1))</f>
        <v/>
      </c>
      <c r="Z291" s="26" t="n">
        <f aca="false">IF($Q291=0,0,IF(OR($L291=R_LOT,$N291=R_LOT),1,0))</f>
        <v>0</v>
      </c>
      <c r="AA291" s="26" t="str">
        <f aca="false">IF($Z291=0,"",COUNTIF($Z$5:$Z291,1))</f>
        <v/>
      </c>
    </row>
    <row r="292" customFormat="false" ht="15" hidden="false" customHeight="false" outlineLevel="0" collapsed="false">
      <c r="A292" s="26" t="str">
        <f aca="false">IF($B292="","","RES-"&amp;TEXT(ROW()-4,"000"))</f>
        <v/>
      </c>
      <c r="B292" s="24"/>
      <c r="C292" s="25"/>
      <c r="D292" s="24"/>
      <c r="E292" s="24"/>
      <c r="F292" s="29"/>
      <c r="G292" s="24"/>
      <c r="H292" s="24"/>
      <c r="I292" s="24"/>
      <c r="J292" s="24"/>
      <c r="K292" s="24"/>
      <c r="L292" s="26" t="str">
        <f aca="false">IF($B292="","",IFERROR(INDEX(ST_LOT,MATCH($B292,ST_ID,0)),""))</f>
        <v/>
      </c>
      <c r="M292" s="26" t="str">
        <f aca="false">IF($B292="","",IFERROR(INDEX(ST_STRAIT,MATCH($B292,ST_ID,0)),""))</f>
        <v/>
      </c>
      <c r="N292" s="26" t="str">
        <f aca="false">IF($B292="","",IF($E292="",$L292,$E292))</f>
        <v/>
      </c>
      <c r="O292" s="26" t="str">
        <f aca="false">IF($N292="","",IFERROR(INDEX(LOT_EXTE,MATCH($N292,LOT_KEY,0)),""))</f>
        <v/>
      </c>
      <c r="P292" s="26" t="str">
        <f aca="false">IF($J292="","",IFERROR(INDEX(EMPL_CLASSE,MATCH($J292,EMPL_KEY,0)),"?"))</f>
        <v/>
      </c>
      <c r="Q292" s="28" t="n">
        <f aca="false">IF($B292="",0,IF(OR(ISNA(MATCH($B292,ST_ID,0)),NOT(ISNUMBER($F292)),$F292&lt;=0,$J292="",$N292=""),0,1))</f>
        <v>0</v>
      </c>
      <c r="R292" s="27" t="n">
        <f aca="false">IF($Q292=0,0,$F292)</f>
        <v>0</v>
      </c>
      <c r="S292" s="26" t="str">
        <f aca="false">IF($B292="","",IFERROR(INDEX(ST_STATUT,MATCH($B292,ST_ID,0)),""))</f>
        <v/>
      </c>
      <c r="T292" s="26" t="str">
        <f aca="false">IF($B292="","",IF($Q292=0,"DONNEES MANQUANTES",IF(OR($S292="DONNEES MANQUANTES",$S292="STOCK INSUFFISANT",$S292="EMPLACEMENT INCOHERENT",$S292="BLOQUE"),"BLOQUE","OK")))</f>
        <v/>
      </c>
      <c r="U292" s="28" t="n">
        <f aca="false">IF($T292="OK",1,0)</f>
        <v>0</v>
      </c>
      <c r="V292" s="26" t="str">
        <f aca="false">IF($B292="","",IF($Q292=0,"A COMPLETER : "&amp;IF(ISNA(MATCH($B292,ST_ID,0)),"ID ST valide; ","")&amp;IF(OR(NOT(ISNUMBER($F292)),$F292&lt;=0),"QUANTITE &gt; 0; ","")&amp;IF($J292="","EMPL. DESTINATION; ",""),IF($T292="BLOQUE","Envoi parent en anomalie ("&amp;$S292&amp;") : corriger l'onglet SOUS_TRAITANCE.",IF(AND($E292&lt;&gt;"",ISNA(MATCH($E292,LOT_KEY,0))),"Creer la fiche du lot resultat dans l'onglet LOTS.",""))))</f>
        <v/>
      </c>
      <c r="W292" s="31" t="str">
        <f aca="false">IF($B292="","",IF($C292&lt;&gt;"",$C292,IFERROR(INDEX(ST_DATERET,MATCH($B292,ST_ID,0)),"")))</f>
        <v/>
      </c>
      <c r="X292" s="26" t="str">
        <f aca="false">IF($Q292=0,"",IF($L292=R_LOT,IF($N292&lt;&gt;R_LOT,$N292,""),IF($N292=R_LOT,$L292,"")))</f>
        <v/>
      </c>
      <c r="Y292" s="26" t="str">
        <f aca="false">IF($X292="","",IF(COUNTIF($X$4:$X291,$X292)&gt;0,"",COUNT($Y$4:$Y291)+1))</f>
        <v/>
      </c>
      <c r="Z292" s="26" t="n">
        <f aca="false">IF($Q292=0,0,IF(OR($L292=R_LOT,$N292=R_LOT),1,0))</f>
        <v>0</v>
      </c>
      <c r="AA292" s="26" t="str">
        <f aca="false">IF($Z292=0,"",COUNTIF($Z$5:$Z292,1))</f>
        <v/>
      </c>
    </row>
    <row r="293" customFormat="false" ht="15" hidden="false" customHeight="false" outlineLevel="0" collapsed="false">
      <c r="A293" s="26" t="str">
        <f aca="false">IF($B293="","","RES-"&amp;TEXT(ROW()-4,"000"))</f>
        <v/>
      </c>
      <c r="B293" s="24"/>
      <c r="C293" s="25"/>
      <c r="D293" s="24"/>
      <c r="E293" s="24"/>
      <c r="F293" s="29"/>
      <c r="G293" s="24"/>
      <c r="H293" s="24"/>
      <c r="I293" s="24"/>
      <c r="J293" s="24"/>
      <c r="K293" s="24"/>
      <c r="L293" s="26" t="str">
        <f aca="false">IF($B293="","",IFERROR(INDEX(ST_LOT,MATCH($B293,ST_ID,0)),""))</f>
        <v/>
      </c>
      <c r="M293" s="26" t="str">
        <f aca="false">IF($B293="","",IFERROR(INDEX(ST_STRAIT,MATCH($B293,ST_ID,0)),""))</f>
        <v/>
      </c>
      <c r="N293" s="26" t="str">
        <f aca="false">IF($B293="","",IF($E293="",$L293,$E293))</f>
        <v/>
      </c>
      <c r="O293" s="26" t="str">
        <f aca="false">IF($N293="","",IFERROR(INDEX(LOT_EXTE,MATCH($N293,LOT_KEY,0)),""))</f>
        <v/>
      </c>
      <c r="P293" s="26" t="str">
        <f aca="false">IF($J293="","",IFERROR(INDEX(EMPL_CLASSE,MATCH($J293,EMPL_KEY,0)),"?"))</f>
        <v/>
      </c>
      <c r="Q293" s="28" t="n">
        <f aca="false">IF($B293="",0,IF(OR(ISNA(MATCH($B293,ST_ID,0)),NOT(ISNUMBER($F293)),$F293&lt;=0,$J293="",$N293=""),0,1))</f>
        <v>0</v>
      </c>
      <c r="R293" s="27" t="n">
        <f aca="false">IF($Q293=0,0,$F293)</f>
        <v>0</v>
      </c>
      <c r="S293" s="26" t="str">
        <f aca="false">IF($B293="","",IFERROR(INDEX(ST_STATUT,MATCH($B293,ST_ID,0)),""))</f>
        <v/>
      </c>
      <c r="T293" s="26" t="str">
        <f aca="false">IF($B293="","",IF($Q293=0,"DONNEES MANQUANTES",IF(OR($S293="DONNEES MANQUANTES",$S293="STOCK INSUFFISANT",$S293="EMPLACEMENT INCOHERENT",$S293="BLOQUE"),"BLOQUE","OK")))</f>
        <v/>
      </c>
      <c r="U293" s="28" t="n">
        <f aca="false">IF($T293="OK",1,0)</f>
        <v>0</v>
      </c>
      <c r="V293" s="26" t="str">
        <f aca="false">IF($B293="","",IF($Q293=0,"A COMPLETER : "&amp;IF(ISNA(MATCH($B293,ST_ID,0)),"ID ST valide; ","")&amp;IF(OR(NOT(ISNUMBER($F293)),$F293&lt;=0),"QUANTITE &gt; 0; ","")&amp;IF($J293="","EMPL. DESTINATION; ",""),IF($T293="BLOQUE","Envoi parent en anomalie ("&amp;$S293&amp;") : corriger l'onglet SOUS_TRAITANCE.",IF(AND($E293&lt;&gt;"",ISNA(MATCH($E293,LOT_KEY,0))),"Creer la fiche du lot resultat dans l'onglet LOTS.",""))))</f>
        <v/>
      </c>
      <c r="W293" s="31" t="str">
        <f aca="false">IF($B293="","",IF($C293&lt;&gt;"",$C293,IFERROR(INDEX(ST_DATERET,MATCH($B293,ST_ID,0)),"")))</f>
        <v/>
      </c>
      <c r="X293" s="26" t="str">
        <f aca="false">IF($Q293=0,"",IF($L293=R_LOT,IF($N293&lt;&gt;R_LOT,$N293,""),IF($N293=R_LOT,$L293,"")))</f>
        <v/>
      </c>
      <c r="Y293" s="26" t="str">
        <f aca="false">IF($X293="","",IF(COUNTIF($X$4:$X292,$X293)&gt;0,"",COUNT($Y$4:$Y292)+1))</f>
        <v/>
      </c>
      <c r="Z293" s="26" t="n">
        <f aca="false">IF($Q293=0,0,IF(OR($L293=R_LOT,$N293=R_LOT),1,0))</f>
        <v>0</v>
      </c>
      <c r="AA293" s="26" t="str">
        <f aca="false">IF($Z293=0,"",COUNTIF($Z$5:$Z293,1))</f>
        <v/>
      </c>
    </row>
    <row r="294" customFormat="false" ht="15" hidden="false" customHeight="false" outlineLevel="0" collapsed="false">
      <c r="A294" s="26" t="str">
        <f aca="false">IF($B294="","","RES-"&amp;TEXT(ROW()-4,"000"))</f>
        <v/>
      </c>
      <c r="B294" s="24"/>
      <c r="C294" s="25"/>
      <c r="D294" s="24"/>
      <c r="E294" s="24"/>
      <c r="F294" s="29"/>
      <c r="G294" s="24"/>
      <c r="H294" s="24"/>
      <c r="I294" s="24"/>
      <c r="J294" s="24"/>
      <c r="K294" s="24"/>
      <c r="L294" s="26" t="str">
        <f aca="false">IF($B294="","",IFERROR(INDEX(ST_LOT,MATCH($B294,ST_ID,0)),""))</f>
        <v/>
      </c>
      <c r="M294" s="26" t="str">
        <f aca="false">IF($B294="","",IFERROR(INDEX(ST_STRAIT,MATCH($B294,ST_ID,0)),""))</f>
        <v/>
      </c>
      <c r="N294" s="26" t="str">
        <f aca="false">IF($B294="","",IF($E294="",$L294,$E294))</f>
        <v/>
      </c>
      <c r="O294" s="26" t="str">
        <f aca="false">IF($N294="","",IFERROR(INDEX(LOT_EXTE,MATCH($N294,LOT_KEY,0)),""))</f>
        <v/>
      </c>
      <c r="P294" s="26" t="str">
        <f aca="false">IF($J294="","",IFERROR(INDEX(EMPL_CLASSE,MATCH($J294,EMPL_KEY,0)),"?"))</f>
        <v/>
      </c>
      <c r="Q294" s="28" t="n">
        <f aca="false">IF($B294="",0,IF(OR(ISNA(MATCH($B294,ST_ID,0)),NOT(ISNUMBER($F294)),$F294&lt;=0,$J294="",$N294=""),0,1))</f>
        <v>0</v>
      </c>
      <c r="R294" s="27" t="n">
        <f aca="false">IF($Q294=0,0,$F294)</f>
        <v>0</v>
      </c>
      <c r="S294" s="26" t="str">
        <f aca="false">IF($B294="","",IFERROR(INDEX(ST_STATUT,MATCH($B294,ST_ID,0)),""))</f>
        <v/>
      </c>
      <c r="T294" s="26" t="str">
        <f aca="false">IF($B294="","",IF($Q294=0,"DONNEES MANQUANTES",IF(OR($S294="DONNEES MANQUANTES",$S294="STOCK INSUFFISANT",$S294="EMPLACEMENT INCOHERENT",$S294="BLOQUE"),"BLOQUE","OK")))</f>
        <v/>
      </c>
      <c r="U294" s="28" t="n">
        <f aca="false">IF($T294="OK",1,0)</f>
        <v>0</v>
      </c>
      <c r="V294" s="26" t="str">
        <f aca="false">IF($B294="","",IF($Q294=0,"A COMPLETER : "&amp;IF(ISNA(MATCH($B294,ST_ID,0)),"ID ST valide; ","")&amp;IF(OR(NOT(ISNUMBER($F294)),$F294&lt;=0),"QUANTITE &gt; 0; ","")&amp;IF($J294="","EMPL. DESTINATION; ",""),IF($T294="BLOQUE","Envoi parent en anomalie ("&amp;$S294&amp;") : corriger l'onglet SOUS_TRAITANCE.",IF(AND($E294&lt;&gt;"",ISNA(MATCH($E294,LOT_KEY,0))),"Creer la fiche du lot resultat dans l'onglet LOTS.",""))))</f>
        <v/>
      </c>
      <c r="W294" s="31" t="str">
        <f aca="false">IF($B294="","",IF($C294&lt;&gt;"",$C294,IFERROR(INDEX(ST_DATERET,MATCH($B294,ST_ID,0)),"")))</f>
        <v/>
      </c>
      <c r="X294" s="26" t="str">
        <f aca="false">IF($Q294=0,"",IF($L294=R_LOT,IF($N294&lt;&gt;R_LOT,$N294,""),IF($N294=R_LOT,$L294,"")))</f>
        <v/>
      </c>
      <c r="Y294" s="26" t="str">
        <f aca="false">IF($X294="","",IF(COUNTIF($X$4:$X293,$X294)&gt;0,"",COUNT($Y$4:$Y293)+1))</f>
        <v/>
      </c>
      <c r="Z294" s="26" t="n">
        <f aca="false">IF($Q294=0,0,IF(OR($L294=R_LOT,$N294=R_LOT),1,0))</f>
        <v>0</v>
      </c>
      <c r="AA294" s="26" t="str">
        <f aca="false">IF($Z294=0,"",COUNTIF($Z$5:$Z294,1))</f>
        <v/>
      </c>
    </row>
    <row r="295" customFormat="false" ht="15" hidden="false" customHeight="false" outlineLevel="0" collapsed="false">
      <c r="A295" s="26" t="str">
        <f aca="false">IF($B295="","","RES-"&amp;TEXT(ROW()-4,"000"))</f>
        <v/>
      </c>
      <c r="B295" s="24"/>
      <c r="C295" s="25"/>
      <c r="D295" s="24"/>
      <c r="E295" s="24"/>
      <c r="F295" s="29"/>
      <c r="G295" s="24"/>
      <c r="H295" s="24"/>
      <c r="I295" s="24"/>
      <c r="J295" s="24"/>
      <c r="K295" s="24"/>
      <c r="L295" s="26" t="str">
        <f aca="false">IF($B295="","",IFERROR(INDEX(ST_LOT,MATCH($B295,ST_ID,0)),""))</f>
        <v/>
      </c>
      <c r="M295" s="26" t="str">
        <f aca="false">IF($B295="","",IFERROR(INDEX(ST_STRAIT,MATCH($B295,ST_ID,0)),""))</f>
        <v/>
      </c>
      <c r="N295" s="26" t="str">
        <f aca="false">IF($B295="","",IF($E295="",$L295,$E295))</f>
        <v/>
      </c>
      <c r="O295" s="26" t="str">
        <f aca="false">IF($N295="","",IFERROR(INDEX(LOT_EXTE,MATCH($N295,LOT_KEY,0)),""))</f>
        <v/>
      </c>
      <c r="P295" s="26" t="str">
        <f aca="false">IF($J295="","",IFERROR(INDEX(EMPL_CLASSE,MATCH($J295,EMPL_KEY,0)),"?"))</f>
        <v/>
      </c>
      <c r="Q295" s="28" t="n">
        <f aca="false">IF($B295="",0,IF(OR(ISNA(MATCH($B295,ST_ID,0)),NOT(ISNUMBER($F295)),$F295&lt;=0,$J295="",$N295=""),0,1))</f>
        <v>0</v>
      </c>
      <c r="R295" s="27" t="n">
        <f aca="false">IF($Q295=0,0,$F295)</f>
        <v>0</v>
      </c>
      <c r="S295" s="26" t="str">
        <f aca="false">IF($B295="","",IFERROR(INDEX(ST_STATUT,MATCH($B295,ST_ID,0)),""))</f>
        <v/>
      </c>
      <c r="T295" s="26" t="str">
        <f aca="false">IF($B295="","",IF($Q295=0,"DONNEES MANQUANTES",IF(OR($S295="DONNEES MANQUANTES",$S295="STOCK INSUFFISANT",$S295="EMPLACEMENT INCOHERENT",$S295="BLOQUE"),"BLOQUE","OK")))</f>
        <v/>
      </c>
      <c r="U295" s="28" t="n">
        <f aca="false">IF($T295="OK",1,0)</f>
        <v>0</v>
      </c>
      <c r="V295" s="26" t="str">
        <f aca="false">IF($B295="","",IF($Q295=0,"A COMPLETER : "&amp;IF(ISNA(MATCH($B295,ST_ID,0)),"ID ST valide; ","")&amp;IF(OR(NOT(ISNUMBER($F295)),$F295&lt;=0),"QUANTITE &gt; 0; ","")&amp;IF($J295="","EMPL. DESTINATION; ",""),IF($T295="BLOQUE","Envoi parent en anomalie ("&amp;$S295&amp;") : corriger l'onglet SOUS_TRAITANCE.",IF(AND($E295&lt;&gt;"",ISNA(MATCH($E295,LOT_KEY,0))),"Creer la fiche du lot resultat dans l'onglet LOTS.",""))))</f>
        <v/>
      </c>
      <c r="W295" s="31" t="str">
        <f aca="false">IF($B295="","",IF($C295&lt;&gt;"",$C295,IFERROR(INDEX(ST_DATERET,MATCH($B295,ST_ID,0)),"")))</f>
        <v/>
      </c>
      <c r="X295" s="26" t="str">
        <f aca="false">IF($Q295=0,"",IF($L295=R_LOT,IF($N295&lt;&gt;R_LOT,$N295,""),IF($N295=R_LOT,$L295,"")))</f>
        <v/>
      </c>
      <c r="Y295" s="26" t="str">
        <f aca="false">IF($X295="","",IF(COUNTIF($X$4:$X294,$X295)&gt;0,"",COUNT($Y$4:$Y294)+1))</f>
        <v/>
      </c>
      <c r="Z295" s="26" t="n">
        <f aca="false">IF($Q295=0,0,IF(OR($L295=R_LOT,$N295=R_LOT),1,0))</f>
        <v>0</v>
      </c>
      <c r="AA295" s="26" t="str">
        <f aca="false">IF($Z295=0,"",COUNTIF($Z$5:$Z295,1))</f>
        <v/>
      </c>
    </row>
    <row r="296" customFormat="false" ht="15" hidden="false" customHeight="false" outlineLevel="0" collapsed="false">
      <c r="A296" s="26" t="str">
        <f aca="false">IF($B296="","","RES-"&amp;TEXT(ROW()-4,"000"))</f>
        <v/>
      </c>
      <c r="B296" s="24"/>
      <c r="C296" s="25"/>
      <c r="D296" s="24"/>
      <c r="E296" s="24"/>
      <c r="F296" s="29"/>
      <c r="G296" s="24"/>
      <c r="H296" s="24"/>
      <c r="I296" s="24"/>
      <c r="J296" s="24"/>
      <c r="K296" s="24"/>
      <c r="L296" s="26" t="str">
        <f aca="false">IF($B296="","",IFERROR(INDEX(ST_LOT,MATCH($B296,ST_ID,0)),""))</f>
        <v/>
      </c>
      <c r="M296" s="26" t="str">
        <f aca="false">IF($B296="","",IFERROR(INDEX(ST_STRAIT,MATCH($B296,ST_ID,0)),""))</f>
        <v/>
      </c>
      <c r="N296" s="26" t="str">
        <f aca="false">IF($B296="","",IF($E296="",$L296,$E296))</f>
        <v/>
      </c>
      <c r="O296" s="26" t="str">
        <f aca="false">IF($N296="","",IFERROR(INDEX(LOT_EXTE,MATCH($N296,LOT_KEY,0)),""))</f>
        <v/>
      </c>
      <c r="P296" s="26" t="str">
        <f aca="false">IF($J296="","",IFERROR(INDEX(EMPL_CLASSE,MATCH($J296,EMPL_KEY,0)),"?"))</f>
        <v/>
      </c>
      <c r="Q296" s="28" t="n">
        <f aca="false">IF($B296="",0,IF(OR(ISNA(MATCH($B296,ST_ID,0)),NOT(ISNUMBER($F296)),$F296&lt;=0,$J296="",$N296=""),0,1))</f>
        <v>0</v>
      </c>
      <c r="R296" s="27" t="n">
        <f aca="false">IF($Q296=0,0,$F296)</f>
        <v>0</v>
      </c>
      <c r="S296" s="26" t="str">
        <f aca="false">IF($B296="","",IFERROR(INDEX(ST_STATUT,MATCH($B296,ST_ID,0)),""))</f>
        <v/>
      </c>
      <c r="T296" s="26" t="str">
        <f aca="false">IF($B296="","",IF($Q296=0,"DONNEES MANQUANTES",IF(OR($S296="DONNEES MANQUANTES",$S296="STOCK INSUFFISANT",$S296="EMPLACEMENT INCOHERENT",$S296="BLOQUE"),"BLOQUE","OK")))</f>
        <v/>
      </c>
      <c r="U296" s="28" t="n">
        <f aca="false">IF($T296="OK",1,0)</f>
        <v>0</v>
      </c>
      <c r="V296" s="26" t="str">
        <f aca="false">IF($B296="","",IF($Q296=0,"A COMPLETER : "&amp;IF(ISNA(MATCH($B296,ST_ID,0)),"ID ST valide; ","")&amp;IF(OR(NOT(ISNUMBER($F296)),$F296&lt;=0),"QUANTITE &gt; 0; ","")&amp;IF($J296="","EMPL. DESTINATION; ",""),IF($T296="BLOQUE","Envoi parent en anomalie ("&amp;$S296&amp;") : corriger l'onglet SOUS_TRAITANCE.",IF(AND($E296&lt;&gt;"",ISNA(MATCH($E296,LOT_KEY,0))),"Creer la fiche du lot resultat dans l'onglet LOTS.",""))))</f>
        <v/>
      </c>
      <c r="W296" s="31" t="str">
        <f aca="false">IF($B296="","",IF($C296&lt;&gt;"",$C296,IFERROR(INDEX(ST_DATERET,MATCH($B296,ST_ID,0)),"")))</f>
        <v/>
      </c>
      <c r="X296" s="26" t="str">
        <f aca="false">IF($Q296=0,"",IF($L296=R_LOT,IF($N296&lt;&gt;R_LOT,$N296,""),IF($N296=R_LOT,$L296,"")))</f>
        <v/>
      </c>
      <c r="Y296" s="26" t="str">
        <f aca="false">IF($X296="","",IF(COUNTIF($X$4:$X295,$X296)&gt;0,"",COUNT($Y$4:$Y295)+1))</f>
        <v/>
      </c>
      <c r="Z296" s="26" t="n">
        <f aca="false">IF($Q296=0,0,IF(OR($L296=R_LOT,$N296=R_LOT),1,0))</f>
        <v>0</v>
      </c>
      <c r="AA296" s="26" t="str">
        <f aca="false">IF($Z296=0,"",COUNTIF($Z$5:$Z296,1))</f>
        <v/>
      </c>
    </row>
    <row r="297" customFormat="false" ht="15" hidden="false" customHeight="false" outlineLevel="0" collapsed="false">
      <c r="A297" s="26" t="str">
        <f aca="false">IF($B297="","","RES-"&amp;TEXT(ROW()-4,"000"))</f>
        <v/>
      </c>
      <c r="B297" s="24"/>
      <c r="C297" s="25"/>
      <c r="D297" s="24"/>
      <c r="E297" s="24"/>
      <c r="F297" s="29"/>
      <c r="G297" s="24"/>
      <c r="H297" s="24"/>
      <c r="I297" s="24"/>
      <c r="J297" s="24"/>
      <c r="K297" s="24"/>
      <c r="L297" s="26" t="str">
        <f aca="false">IF($B297="","",IFERROR(INDEX(ST_LOT,MATCH($B297,ST_ID,0)),""))</f>
        <v/>
      </c>
      <c r="M297" s="26" t="str">
        <f aca="false">IF($B297="","",IFERROR(INDEX(ST_STRAIT,MATCH($B297,ST_ID,0)),""))</f>
        <v/>
      </c>
      <c r="N297" s="26" t="str">
        <f aca="false">IF($B297="","",IF($E297="",$L297,$E297))</f>
        <v/>
      </c>
      <c r="O297" s="26" t="str">
        <f aca="false">IF($N297="","",IFERROR(INDEX(LOT_EXTE,MATCH($N297,LOT_KEY,0)),""))</f>
        <v/>
      </c>
      <c r="P297" s="26" t="str">
        <f aca="false">IF($J297="","",IFERROR(INDEX(EMPL_CLASSE,MATCH($J297,EMPL_KEY,0)),"?"))</f>
        <v/>
      </c>
      <c r="Q297" s="28" t="n">
        <f aca="false">IF($B297="",0,IF(OR(ISNA(MATCH($B297,ST_ID,0)),NOT(ISNUMBER($F297)),$F297&lt;=0,$J297="",$N297=""),0,1))</f>
        <v>0</v>
      </c>
      <c r="R297" s="27" t="n">
        <f aca="false">IF($Q297=0,0,$F297)</f>
        <v>0</v>
      </c>
      <c r="S297" s="26" t="str">
        <f aca="false">IF($B297="","",IFERROR(INDEX(ST_STATUT,MATCH($B297,ST_ID,0)),""))</f>
        <v/>
      </c>
      <c r="T297" s="26" t="str">
        <f aca="false">IF($B297="","",IF($Q297=0,"DONNEES MANQUANTES",IF(OR($S297="DONNEES MANQUANTES",$S297="STOCK INSUFFISANT",$S297="EMPLACEMENT INCOHERENT",$S297="BLOQUE"),"BLOQUE","OK")))</f>
        <v/>
      </c>
      <c r="U297" s="28" t="n">
        <f aca="false">IF($T297="OK",1,0)</f>
        <v>0</v>
      </c>
      <c r="V297" s="26" t="str">
        <f aca="false">IF($B297="","",IF($Q297=0,"A COMPLETER : "&amp;IF(ISNA(MATCH($B297,ST_ID,0)),"ID ST valide; ","")&amp;IF(OR(NOT(ISNUMBER($F297)),$F297&lt;=0),"QUANTITE &gt; 0; ","")&amp;IF($J297="","EMPL. DESTINATION; ",""),IF($T297="BLOQUE","Envoi parent en anomalie ("&amp;$S297&amp;") : corriger l'onglet SOUS_TRAITANCE.",IF(AND($E297&lt;&gt;"",ISNA(MATCH($E297,LOT_KEY,0))),"Creer la fiche du lot resultat dans l'onglet LOTS.",""))))</f>
        <v/>
      </c>
      <c r="W297" s="31" t="str">
        <f aca="false">IF($B297="","",IF($C297&lt;&gt;"",$C297,IFERROR(INDEX(ST_DATERET,MATCH($B297,ST_ID,0)),"")))</f>
        <v/>
      </c>
      <c r="X297" s="26" t="str">
        <f aca="false">IF($Q297=0,"",IF($L297=R_LOT,IF($N297&lt;&gt;R_LOT,$N297,""),IF($N297=R_LOT,$L297,"")))</f>
        <v/>
      </c>
      <c r="Y297" s="26" t="str">
        <f aca="false">IF($X297="","",IF(COUNTIF($X$4:$X296,$X297)&gt;0,"",COUNT($Y$4:$Y296)+1))</f>
        <v/>
      </c>
      <c r="Z297" s="26" t="n">
        <f aca="false">IF($Q297=0,0,IF(OR($L297=R_LOT,$N297=R_LOT),1,0))</f>
        <v>0</v>
      </c>
      <c r="AA297" s="26" t="str">
        <f aca="false">IF($Z297=0,"",COUNTIF($Z$5:$Z297,1))</f>
        <v/>
      </c>
    </row>
    <row r="298" customFormat="false" ht="15" hidden="false" customHeight="false" outlineLevel="0" collapsed="false">
      <c r="A298" s="26" t="str">
        <f aca="false">IF($B298="","","RES-"&amp;TEXT(ROW()-4,"000"))</f>
        <v/>
      </c>
      <c r="B298" s="24"/>
      <c r="C298" s="25"/>
      <c r="D298" s="24"/>
      <c r="E298" s="24"/>
      <c r="F298" s="29"/>
      <c r="G298" s="24"/>
      <c r="H298" s="24"/>
      <c r="I298" s="24"/>
      <c r="J298" s="24"/>
      <c r="K298" s="24"/>
      <c r="L298" s="26" t="str">
        <f aca="false">IF($B298="","",IFERROR(INDEX(ST_LOT,MATCH($B298,ST_ID,0)),""))</f>
        <v/>
      </c>
      <c r="M298" s="26" t="str">
        <f aca="false">IF($B298="","",IFERROR(INDEX(ST_STRAIT,MATCH($B298,ST_ID,0)),""))</f>
        <v/>
      </c>
      <c r="N298" s="26" t="str">
        <f aca="false">IF($B298="","",IF($E298="",$L298,$E298))</f>
        <v/>
      </c>
      <c r="O298" s="26" t="str">
        <f aca="false">IF($N298="","",IFERROR(INDEX(LOT_EXTE,MATCH($N298,LOT_KEY,0)),""))</f>
        <v/>
      </c>
      <c r="P298" s="26" t="str">
        <f aca="false">IF($J298="","",IFERROR(INDEX(EMPL_CLASSE,MATCH($J298,EMPL_KEY,0)),"?"))</f>
        <v/>
      </c>
      <c r="Q298" s="28" t="n">
        <f aca="false">IF($B298="",0,IF(OR(ISNA(MATCH($B298,ST_ID,0)),NOT(ISNUMBER($F298)),$F298&lt;=0,$J298="",$N298=""),0,1))</f>
        <v>0</v>
      </c>
      <c r="R298" s="27" t="n">
        <f aca="false">IF($Q298=0,0,$F298)</f>
        <v>0</v>
      </c>
      <c r="S298" s="26" t="str">
        <f aca="false">IF($B298="","",IFERROR(INDEX(ST_STATUT,MATCH($B298,ST_ID,0)),""))</f>
        <v/>
      </c>
      <c r="T298" s="26" t="str">
        <f aca="false">IF($B298="","",IF($Q298=0,"DONNEES MANQUANTES",IF(OR($S298="DONNEES MANQUANTES",$S298="STOCK INSUFFISANT",$S298="EMPLACEMENT INCOHERENT",$S298="BLOQUE"),"BLOQUE","OK")))</f>
        <v/>
      </c>
      <c r="U298" s="28" t="n">
        <f aca="false">IF($T298="OK",1,0)</f>
        <v>0</v>
      </c>
      <c r="V298" s="26" t="str">
        <f aca="false">IF($B298="","",IF($Q298=0,"A COMPLETER : "&amp;IF(ISNA(MATCH($B298,ST_ID,0)),"ID ST valide; ","")&amp;IF(OR(NOT(ISNUMBER($F298)),$F298&lt;=0),"QUANTITE &gt; 0; ","")&amp;IF($J298="","EMPL. DESTINATION; ",""),IF($T298="BLOQUE","Envoi parent en anomalie ("&amp;$S298&amp;") : corriger l'onglet SOUS_TRAITANCE.",IF(AND($E298&lt;&gt;"",ISNA(MATCH($E298,LOT_KEY,0))),"Creer la fiche du lot resultat dans l'onglet LOTS.",""))))</f>
        <v/>
      </c>
      <c r="W298" s="31" t="str">
        <f aca="false">IF($B298="","",IF($C298&lt;&gt;"",$C298,IFERROR(INDEX(ST_DATERET,MATCH($B298,ST_ID,0)),"")))</f>
        <v/>
      </c>
      <c r="X298" s="26" t="str">
        <f aca="false">IF($Q298=0,"",IF($L298=R_LOT,IF($N298&lt;&gt;R_LOT,$N298,""),IF($N298=R_LOT,$L298,"")))</f>
        <v/>
      </c>
      <c r="Y298" s="26" t="str">
        <f aca="false">IF($X298="","",IF(COUNTIF($X$4:$X297,$X298)&gt;0,"",COUNT($Y$4:$Y297)+1))</f>
        <v/>
      </c>
      <c r="Z298" s="26" t="n">
        <f aca="false">IF($Q298=0,0,IF(OR($L298=R_LOT,$N298=R_LOT),1,0))</f>
        <v>0</v>
      </c>
      <c r="AA298" s="26" t="str">
        <f aca="false">IF($Z298=0,"",COUNTIF($Z$5:$Z298,1))</f>
        <v/>
      </c>
    </row>
    <row r="299" customFormat="false" ht="15" hidden="false" customHeight="false" outlineLevel="0" collapsed="false">
      <c r="A299" s="26" t="str">
        <f aca="false">IF($B299="","","RES-"&amp;TEXT(ROW()-4,"000"))</f>
        <v/>
      </c>
      <c r="B299" s="24"/>
      <c r="C299" s="25"/>
      <c r="D299" s="24"/>
      <c r="E299" s="24"/>
      <c r="F299" s="29"/>
      <c r="G299" s="24"/>
      <c r="H299" s="24"/>
      <c r="I299" s="24"/>
      <c r="J299" s="24"/>
      <c r="K299" s="24"/>
      <c r="L299" s="26" t="str">
        <f aca="false">IF($B299="","",IFERROR(INDEX(ST_LOT,MATCH($B299,ST_ID,0)),""))</f>
        <v/>
      </c>
      <c r="M299" s="26" t="str">
        <f aca="false">IF($B299="","",IFERROR(INDEX(ST_STRAIT,MATCH($B299,ST_ID,0)),""))</f>
        <v/>
      </c>
      <c r="N299" s="26" t="str">
        <f aca="false">IF($B299="","",IF($E299="",$L299,$E299))</f>
        <v/>
      </c>
      <c r="O299" s="26" t="str">
        <f aca="false">IF($N299="","",IFERROR(INDEX(LOT_EXTE,MATCH($N299,LOT_KEY,0)),""))</f>
        <v/>
      </c>
      <c r="P299" s="26" t="str">
        <f aca="false">IF($J299="","",IFERROR(INDEX(EMPL_CLASSE,MATCH($J299,EMPL_KEY,0)),"?"))</f>
        <v/>
      </c>
      <c r="Q299" s="28" t="n">
        <f aca="false">IF($B299="",0,IF(OR(ISNA(MATCH($B299,ST_ID,0)),NOT(ISNUMBER($F299)),$F299&lt;=0,$J299="",$N299=""),0,1))</f>
        <v>0</v>
      </c>
      <c r="R299" s="27" t="n">
        <f aca="false">IF($Q299=0,0,$F299)</f>
        <v>0</v>
      </c>
      <c r="S299" s="26" t="str">
        <f aca="false">IF($B299="","",IFERROR(INDEX(ST_STATUT,MATCH($B299,ST_ID,0)),""))</f>
        <v/>
      </c>
      <c r="T299" s="26" t="str">
        <f aca="false">IF($B299="","",IF($Q299=0,"DONNEES MANQUANTES",IF(OR($S299="DONNEES MANQUANTES",$S299="STOCK INSUFFISANT",$S299="EMPLACEMENT INCOHERENT",$S299="BLOQUE"),"BLOQUE","OK")))</f>
        <v/>
      </c>
      <c r="U299" s="28" t="n">
        <f aca="false">IF($T299="OK",1,0)</f>
        <v>0</v>
      </c>
      <c r="V299" s="26" t="str">
        <f aca="false">IF($B299="","",IF($Q299=0,"A COMPLETER : "&amp;IF(ISNA(MATCH($B299,ST_ID,0)),"ID ST valide; ","")&amp;IF(OR(NOT(ISNUMBER($F299)),$F299&lt;=0),"QUANTITE &gt; 0; ","")&amp;IF($J299="","EMPL. DESTINATION; ",""),IF($T299="BLOQUE","Envoi parent en anomalie ("&amp;$S299&amp;") : corriger l'onglet SOUS_TRAITANCE.",IF(AND($E299&lt;&gt;"",ISNA(MATCH($E299,LOT_KEY,0))),"Creer la fiche du lot resultat dans l'onglet LOTS.",""))))</f>
        <v/>
      </c>
      <c r="W299" s="31" t="str">
        <f aca="false">IF($B299="","",IF($C299&lt;&gt;"",$C299,IFERROR(INDEX(ST_DATERET,MATCH($B299,ST_ID,0)),"")))</f>
        <v/>
      </c>
      <c r="X299" s="26" t="str">
        <f aca="false">IF($Q299=0,"",IF($L299=R_LOT,IF($N299&lt;&gt;R_LOT,$N299,""),IF($N299=R_LOT,$L299,"")))</f>
        <v/>
      </c>
      <c r="Y299" s="26" t="str">
        <f aca="false">IF($X299="","",IF(COUNTIF($X$4:$X298,$X299)&gt;0,"",COUNT($Y$4:$Y298)+1))</f>
        <v/>
      </c>
      <c r="Z299" s="26" t="n">
        <f aca="false">IF($Q299=0,0,IF(OR($L299=R_LOT,$N299=R_LOT),1,0))</f>
        <v>0</v>
      </c>
      <c r="AA299" s="26" t="str">
        <f aca="false">IF($Z299=0,"",COUNTIF($Z$5:$Z299,1))</f>
        <v/>
      </c>
    </row>
    <row r="300" customFormat="false" ht="15" hidden="false" customHeight="false" outlineLevel="0" collapsed="false">
      <c r="A300" s="26" t="str">
        <f aca="false">IF($B300="","","RES-"&amp;TEXT(ROW()-4,"000"))</f>
        <v/>
      </c>
      <c r="B300" s="24"/>
      <c r="C300" s="25"/>
      <c r="D300" s="24"/>
      <c r="E300" s="24"/>
      <c r="F300" s="29"/>
      <c r="G300" s="24"/>
      <c r="H300" s="24"/>
      <c r="I300" s="24"/>
      <c r="J300" s="24"/>
      <c r="K300" s="24"/>
      <c r="L300" s="26" t="str">
        <f aca="false">IF($B300="","",IFERROR(INDEX(ST_LOT,MATCH($B300,ST_ID,0)),""))</f>
        <v/>
      </c>
      <c r="M300" s="26" t="str">
        <f aca="false">IF($B300="","",IFERROR(INDEX(ST_STRAIT,MATCH($B300,ST_ID,0)),""))</f>
        <v/>
      </c>
      <c r="N300" s="26" t="str">
        <f aca="false">IF($B300="","",IF($E300="",$L300,$E300))</f>
        <v/>
      </c>
      <c r="O300" s="26" t="str">
        <f aca="false">IF($N300="","",IFERROR(INDEX(LOT_EXTE,MATCH($N300,LOT_KEY,0)),""))</f>
        <v/>
      </c>
      <c r="P300" s="26" t="str">
        <f aca="false">IF($J300="","",IFERROR(INDEX(EMPL_CLASSE,MATCH($J300,EMPL_KEY,0)),"?"))</f>
        <v/>
      </c>
      <c r="Q300" s="28" t="n">
        <f aca="false">IF($B300="",0,IF(OR(ISNA(MATCH($B300,ST_ID,0)),NOT(ISNUMBER($F300)),$F300&lt;=0,$J300="",$N300=""),0,1))</f>
        <v>0</v>
      </c>
      <c r="R300" s="27" t="n">
        <f aca="false">IF($Q300=0,0,$F300)</f>
        <v>0</v>
      </c>
      <c r="S300" s="26" t="str">
        <f aca="false">IF($B300="","",IFERROR(INDEX(ST_STATUT,MATCH($B300,ST_ID,0)),""))</f>
        <v/>
      </c>
      <c r="T300" s="26" t="str">
        <f aca="false">IF($B300="","",IF($Q300=0,"DONNEES MANQUANTES",IF(OR($S300="DONNEES MANQUANTES",$S300="STOCK INSUFFISANT",$S300="EMPLACEMENT INCOHERENT",$S300="BLOQUE"),"BLOQUE","OK")))</f>
        <v/>
      </c>
      <c r="U300" s="28" t="n">
        <f aca="false">IF($T300="OK",1,0)</f>
        <v>0</v>
      </c>
      <c r="V300" s="26" t="str">
        <f aca="false">IF($B300="","",IF($Q300=0,"A COMPLETER : "&amp;IF(ISNA(MATCH($B300,ST_ID,0)),"ID ST valide; ","")&amp;IF(OR(NOT(ISNUMBER($F300)),$F300&lt;=0),"QUANTITE &gt; 0; ","")&amp;IF($J300="","EMPL. DESTINATION; ",""),IF($T300="BLOQUE","Envoi parent en anomalie ("&amp;$S300&amp;") : corriger l'onglet SOUS_TRAITANCE.",IF(AND($E300&lt;&gt;"",ISNA(MATCH($E300,LOT_KEY,0))),"Creer la fiche du lot resultat dans l'onglet LOTS.",""))))</f>
        <v/>
      </c>
      <c r="W300" s="31" t="str">
        <f aca="false">IF($B300="","",IF($C300&lt;&gt;"",$C300,IFERROR(INDEX(ST_DATERET,MATCH($B300,ST_ID,0)),"")))</f>
        <v/>
      </c>
      <c r="X300" s="26" t="str">
        <f aca="false">IF($Q300=0,"",IF($L300=R_LOT,IF($N300&lt;&gt;R_LOT,$N300,""),IF($N300=R_LOT,$L300,"")))</f>
        <v/>
      </c>
      <c r="Y300" s="26" t="str">
        <f aca="false">IF($X300="","",IF(COUNTIF($X$4:$X299,$X300)&gt;0,"",COUNT($Y$4:$Y299)+1))</f>
        <v/>
      </c>
      <c r="Z300" s="26" t="n">
        <f aca="false">IF($Q300=0,0,IF(OR($L300=R_LOT,$N300=R_LOT),1,0))</f>
        <v>0</v>
      </c>
      <c r="AA300" s="26" t="str">
        <f aca="false">IF($Z300=0,"",COUNTIF($Z$5:$Z300,1))</f>
        <v/>
      </c>
    </row>
    <row r="301" customFormat="false" ht="15" hidden="false" customHeight="false" outlineLevel="0" collapsed="false">
      <c r="A301" s="26" t="str">
        <f aca="false">IF($B301="","","RES-"&amp;TEXT(ROW()-4,"000"))</f>
        <v/>
      </c>
      <c r="B301" s="24"/>
      <c r="C301" s="25"/>
      <c r="D301" s="24"/>
      <c r="E301" s="24"/>
      <c r="F301" s="29"/>
      <c r="G301" s="24"/>
      <c r="H301" s="24"/>
      <c r="I301" s="24"/>
      <c r="J301" s="24"/>
      <c r="K301" s="24"/>
      <c r="L301" s="26" t="str">
        <f aca="false">IF($B301="","",IFERROR(INDEX(ST_LOT,MATCH($B301,ST_ID,0)),""))</f>
        <v/>
      </c>
      <c r="M301" s="26" t="str">
        <f aca="false">IF($B301="","",IFERROR(INDEX(ST_STRAIT,MATCH($B301,ST_ID,0)),""))</f>
        <v/>
      </c>
      <c r="N301" s="26" t="str">
        <f aca="false">IF($B301="","",IF($E301="",$L301,$E301))</f>
        <v/>
      </c>
      <c r="O301" s="26" t="str">
        <f aca="false">IF($N301="","",IFERROR(INDEX(LOT_EXTE,MATCH($N301,LOT_KEY,0)),""))</f>
        <v/>
      </c>
      <c r="P301" s="26" t="str">
        <f aca="false">IF($J301="","",IFERROR(INDEX(EMPL_CLASSE,MATCH($J301,EMPL_KEY,0)),"?"))</f>
        <v/>
      </c>
      <c r="Q301" s="28" t="n">
        <f aca="false">IF($B301="",0,IF(OR(ISNA(MATCH($B301,ST_ID,0)),NOT(ISNUMBER($F301)),$F301&lt;=0,$J301="",$N301=""),0,1))</f>
        <v>0</v>
      </c>
      <c r="R301" s="27" t="n">
        <f aca="false">IF($Q301=0,0,$F301)</f>
        <v>0</v>
      </c>
      <c r="S301" s="26" t="str">
        <f aca="false">IF($B301="","",IFERROR(INDEX(ST_STATUT,MATCH($B301,ST_ID,0)),""))</f>
        <v/>
      </c>
      <c r="T301" s="26" t="str">
        <f aca="false">IF($B301="","",IF($Q301=0,"DONNEES MANQUANTES",IF(OR($S301="DONNEES MANQUANTES",$S301="STOCK INSUFFISANT",$S301="EMPLACEMENT INCOHERENT",$S301="BLOQUE"),"BLOQUE","OK")))</f>
        <v/>
      </c>
      <c r="U301" s="28" t="n">
        <f aca="false">IF($T301="OK",1,0)</f>
        <v>0</v>
      </c>
      <c r="V301" s="26" t="str">
        <f aca="false">IF($B301="","",IF($Q301=0,"A COMPLETER : "&amp;IF(ISNA(MATCH($B301,ST_ID,0)),"ID ST valide; ","")&amp;IF(OR(NOT(ISNUMBER($F301)),$F301&lt;=0),"QUANTITE &gt; 0; ","")&amp;IF($J301="","EMPL. DESTINATION; ",""),IF($T301="BLOQUE","Envoi parent en anomalie ("&amp;$S301&amp;") : corriger l'onglet SOUS_TRAITANCE.",IF(AND($E301&lt;&gt;"",ISNA(MATCH($E301,LOT_KEY,0))),"Creer la fiche du lot resultat dans l'onglet LOTS.",""))))</f>
        <v/>
      </c>
      <c r="W301" s="31" t="str">
        <f aca="false">IF($B301="","",IF($C301&lt;&gt;"",$C301,IFERROR(INDEX(ST_DATERET,MATCH($B301,ST_ID,0)),"")))</f>
        <v/>
      </c>
      <c r="X301" s="26" t="str">
        <f aca="false">IF($Q301=0,"",IF($L301=R_LOT,IF($N301&lt;&gt;R_LOT,$N301,""),IF($N301=R_LOT,$L301,"")))</f>
        <v/>
      </c>
      <c r="Y301" s="26" t="str">
        <f aca="false">IF($X301="","",IF(COUNTIF($X$4:$X300,$X301)&gt;0,"",COUNT($Y$4:$Y300)+1))</f>
        <v/>
      </c>
      <c r="Z301" s="26" t="n">
        <f aca="false">IF($Q301=0,0,IF(OR($L301=R_LOT,$N301=R_LOT),1,0))</f>
        <v>0</v>
      </c>
      <c r="AA301" s="26" t="str">
        <f aca="false">IF($Z301=0,"",COUNTIF($Z$5:$Z301,1))</f>
        <v/>
      </c>
    </row>
    <row r="302" customFormat="false" ht="15" hidden="false" customHeight="false" outlineLevel="0" collapsed="false">
      <c r="A302" s="26" t="str">
        <f aca="false">IF($B302="","","RES-"&amp;TEXT(ROW()-4,"000"))</f>
        <v/>
      </c>
      <c r="B302" s="24"/>
      <c r="C302" s="25"/>
      <c r="D302" s="24"/>
      <c r="E302" s="24"/>
      <c r="F302" s="29"/>
      <c r="G302" s="24"/>
      <c r="H302" s="24"/>
      <c r="I302" s="24"/>
      <c r="J302" s="24"/>
      <c r="K302" s="24"/>
      <c r="L302" s="26" t="str">
        <f aca="false">IF($B302="","",IFERROR(INDEX(ST_LOT,MATCH($B302,ST_ID,0)),""))</f>
        <v/>
      </c>
      <c r="M302" s="26" t="str">
        <f aca="false">IF($B302="","",IFERROR(INDEX(ST_STRAIT,MATCH($B302,ST_ID,0)),""))</f>
        <v/>
      </c>
      <c r="N302" s="26" t="str">
        <f aca="false">IF($B302="","",IF($E302="",$L302,$E302))</f>
        <v/>
      </c>
      <c r="O302" s="26" t="str">
        <f aca="false">IF($N302="","",IFERROR(INDEX(LOT_EXTE,MATCH($N302,LOT_KEY,0)),""))</f>
        <v/>
      </c>
      <c r="P302" s="26" t="str">
        <f aca="false">IF($J302="","",IFERROR(INDEX(EMPL_CLASSE,MATCH($J302,EMPL_KEY,0)),"?"))</f>
        <v/>
      </c>
      <c r="Q302" s="28" t="n">
        <f aca="false">IF($B302="",0,IF(OR(ISNA(MATCH($B302,ST_ID,0)),NOT(ISNUMBER($F302)),$F302&lt;=0,$J302="",$N302=""),0,1))</f>
        <v>0</v>
      </c>
      <c r="R302" s="27" t="n">
        <f aca="false">IF($Q302=0,0,$F302)</f>
        <v>0</v>
      </c>
      <c r="S302" s="26" t="str">
        <f aca="false">IF($B302="","",IFERROR(INDEX(ST_STATUT,MATCH($B302,ST_ID,0)),""))</f>
        <v/>
      </c>
      <c r="T302" s="26" t="str">
        <f aca="false">IF($B302="","",IF($Q302=0,"DONNEES MANQUANTES",IF(OR($S302="DONNEES MANQUANTES",$S302="STOCK INSUFFISANT",$S302="EMPLACEMENT INCOHERENT",$S302="BLOQUE"),"BLOQUE","OK")))</f>
        <v/>
      </c>
      <c r="U302" s="28" t="n">
        <f aca="false">IF($T302="OK",1,0)</f>
        <v>0</v>
      </c>
      <c r="V302" s="26" t="str">
        <f aca="false">IF($B302="","",IF($Q302=0,"A COMPLETER : "&amp;IF(ISNA(MATCH($B302,ST_ID,0)),"ID ST valide; ","")&amp;IF(OR(NOT(ISNUMBER($F302)),$F302&lt;=0),"QUANTITE &gt; 0; ","")&amp;IF($J302="","EMPL. DESTINATION; ",""),IF($T302="BLOQUE","Envoi parent en anomalie ("&amp;$S302&amp;") : corriger l'onglet SOUS_TRAITANCE.",IF(AND($E302&lt;&gt;"",ISNA(MATCH($E302,LOT_KEY,0))),"Creer la fiche du lot resultat dans l'onglet LOTS.",""))))</f>
        <v/>
      </c>
      <c r="W302" s="31" t="str">
        <f aca="false">IF($B302="","",IF($C302&lt;&gt;"",$C302,IFERROR(INDEX(ST_DATERET,MATCH($B302,ST_ID,0)),"")))</f>
        <v/>
      </c>
      <c r="X302" s="26" t="str">
        <f aca="false">IF($Q302=0,"",IF($L302=R_LOT,IF($N302&lt;&gt;R_LOT,$N302,""),IF($N302=R_LOT,$L302,"")))</f>
        <v/>
      </c>
      <c r="Y302" s="26" t="str">
        <f aca="false">IF($X302="","",IF(COUNTIF($X$4:$X301,$X302)&gt;0,"",COUNT($Y$4:$Y301)+1))</f>
        <v/>
      </c>
      <c r="Z302" s="26" t="n">
        <f aca="false">IF($Q302=0,0,IF(OR($L302=R_LOT,$N302=R_LOT),1,0))</f>
        <v>0</v>
      </c>
      <c r="AA302" s="26" t="str">
        <f aca="false">IF($Z302=0,"",COUNTIF($Z$5:$Z302,1))</f>
        <v/>
      </c>
    </row>
    <row r="303" customFormat="false" ht="15" hidden="false" customHeight="false" outlineLevel="0" collapsed="false">
      <c r="A303" s="26" t="str">
        <f aca="false">IF($B303="","","RES-"&amp;TEXT(ROW()-4,"000"))</f>
        <v/>
      </c>
      <c r="B303" s="24"/>
      <c r="C303" s="25"/>
      <c r="D303" s="24"/>
      <c r="E303" s="24"/>
      <c r="F303" s="29"/>
      <c r="G303" s="24"/>
      <c r="H303" s="24"/>
      <c r="I303" s="24"/>
      <c r="J303" s="24"/>
      <c r="K303" s="24"/>
      <c r="L303" s="26" t="str">
        <f aca="false">IF($B303="","",IFERROR(INDEX(ST_LOT,MATCH($B303,ST_ID,0)),""))</f>
        <v/>
      </c>
      <c r="M303" s="26" t="str">
        <f aca="false">IF($B303="","",IFERROR(INDEX(ST_STRAIT,MATCH($B303,ST_ID,0)),""))</f>
        <v/>
      </c>
      <c r="N303" s="26" t="str">
        <f aca="false">IF($B303="","",IF($E303="",$L303,$E303))</f>
        <v/>
      </c>
      <c r="O303" s="26" t="str">
        <f aca="false">IF($N303="","",IFERROR(INDEX(LOT_EXTE,MATCH($N303,LOT_KEY,0)),""))</f>
        <v/>
      </c>
      <c r="P303" s="26" t="str">
        <f aca="false">IF($J303="","",IFERROR(INDEX(EMPL_CLASSE,MATCH($J303,EMPL_KEY,0)),"?"))</f>
        <v/>
      </c>
      <c r="Q303" s="28" t="n">
        <f aca="false">IF($B303="",0,IF(OR(ISNA(MATCH($B303,ST_ID,0)),NOT(ISNUMBER($F303)),$F303&lt;=0,$J303="",$N303=""),0,1))</f>
        <v>0</v>
      </c>
      <c r="R303" s="27" t="n">
        <f aca="false">IF($Q303=0,0,$F303)</f>
        <v>0</v>
      </c>
      <c r="S303" s="26" t="str">
        <f aca="false">IF($B303="","",IFERROR(INDEX(ST_STATUT,MATCH($B303,ST_ID,0)),""))</f>
        <v/>
      </c>
      <c r="T303" s="26" t="str">
        <f aca="false">IF($B303="","",IF($Q303=0,"DONNEES MANQUANTES",IF(OR($S303="DONNEES MANQUANTES",$S303="STOCK INSUFFISANT",$S303="EMPLACEMENT INCOHERENT",$S303="BLOQUE"),"BLOQUE","OK")))</f>
        <v/>
      </c>
      <c r="U303" s="28" t="n">
        <f aca="false">IF($T303="OK",1,0)</f>
        <v>0</v>
      </c>
      <c r="V303" s="26" t="str">
        <f aca="false">IF($B303="","",IF($Q303=0,"A COMPLETER : "&amp;IF(ISNA(MATCH($B303,ST_ID,0)),"ID ST valide; ","")&amp;IF(OR(NOT(ISNUMBER($F303)),$F303&lt;=0),"QUANTITE &gt; 0; ","")&amp;IF($J303="","EMPL. DESTINATION; ",""),IF($T303="BLOQUE","Envoi parent en anomalie ("&amp;$S303&amp;") : corriger l'onglet SOUS_TRAITANCE.",IF(AND($E303&lt;&gt;"",ISNA(MATCH($E303,LOT_KEY,0))),"Creer la fiche du lot resultat dans l'onglet LOTS.",""))))</f>
        <v/>
      </c>
      <c r="W303" s="31" t="str">
        <f aca="false">IF($B303="","",IF($C303&lt;&gt;"",$C303,IFERROR(INDEX(ST_DATERET,MATCH($B303,ST_ID,0)),"")))</f>
        <v/>
      </c>
      <c r="X303" s="26" t="str">
        <f aca="false">IF($Q303=0,"",IF($L303=R_LOT,IF($N303&lt;&gt;R_LOT,$N303,""),IF($N303=R_LOT,$L303,"")))</f>
        <v/>
      </c>
      <c r="Y303" s="26" t="str">
        <f aca="false">IF($X303="","",IF(COUNTIF($X$4:$X302,$X303)&gt;0,"",COUNT($Y$4:$Y302)+1))</f>
        <v/>
      </c>
      <c r="Z303" s="26" t="n">
        <f aca="false">IF($Q303=0,0,IF(OR($L303=R_LOT,$N303=R_LOT),1,0))</f>
        <v>0</v>
      </c>
      <c r="AA303" s="26" t="str">
        <f aca="false">IF($Z303=0,"",COUNTIF($Z$5:$Z303,1))</f>
        <v/>
      </c>
    </row>
    <row r="304" customFormat="false" ht="15" hidden="false" customHeight="false" outlineLevel="0" collapsed="false">
      <c r="A304" s="26" t="str">
        <f aca="false">IF($B304="","","RES-"&amp;TEXT(ROW()-4,"000"))</f>
        <v/>
      </c>
      <c r="B304" s="24"/>
      <c r="C304" s="25"/>
      <c r="D304" s="24"/>
      <c r="E304" s="24"/>
      <c r="F304" s="29"/>
      <c r="G304" s="24"/>
      <c r="H304" s="24"/>
      <c r="I304" s="24"/>
      <c r="J304" s="24"/>
      <c r="K304" s="24"/>
      <c r="L304" s="26" t="str">
        <f aca="false">IF($B304="","",IFERROR(INDEX(ST_LOT,MATCH($B304,ST_ID,0)),""))</f>
        <v/>
      </c>
      <c r="M304" s="26" t="str">
        <f aca="false">IF($B304="","",IFERROR(INDEX(ST_STRAIT,MATCH($B304,ST_ID,0)),""))</f>
        <v/>
      </c>
      <c r="N304" s="26" t="str">
        <f aca="false">IF($B304="","",IF($E304="",$L304,$E304))</f>
        <v/>
      </c>
      <c r="O304" s="26" t="str">
        <f aca="false">IF($N304="","",IFERROR(INDEX(LOT_EXTE,MATCH($N304,LOT_KEY,0)),""))</f>
        <v/>
      </c>
      <c r="P304" s="26" t="str">
        <f aca="false">IF($J304="","",IFERROR(INDEX(EMPL_CLASSE,MATCH($J304,EMPL_KEY,0)),"?"))</f>
        <v/>
      </c>
      <c r="Q304" s="28" t="n">
        <f aca="false">IF($B304="",0,IF(OR(ISNA(MATCH($B304,ST_ID,0)),NOT(ISNUMBER($F304)),$F304&lt;=0,$J304="",$N304=""),0,1))</f>
        <v>0</v>
      </c>
      <c r="R304" s="27" t="n">
        <f aca="false">IF($Q304=0,0,$F304)</f>
        <v>0</v>
      </c>
      <c r="S304" s="26" t="str">
        <f aca="false">IF($B304="","",IFERROR(INDEX(ST_STATUT,MATCH($B304,ST_ID,0)),""))</f>
        <v/>
      </c>
      <c r="T304" s="26" t="str">
        <f aca="false">IF($B304="","",IF($Q304=0,"DONNEES MANQUANTES",IF(OR($S304="DONNEES MANQUANTES",$S304="STOCK INSUFFISANT",$S304="EMPLACEMENT INCOHERENT",$S304="BLOQUE"),"BLOQUE","OK")))</f>
        <v/>
      </c>
      <c r="U304" s="28" t="n">
        <f aca="false">IF($T304="OK",1,0)</f>
        <v>0</v>
      </c>
      <c r="V304" s="26" t="str">
        <f aca="false">IF($B304="","",IF($Q304=0,"A COMPLETER : "&amp;IF(ISNA(MATCH($B304,ST_ID,0)),"ID ST valide; ","")&amp;IF(OR(NOT(ISNUMBER($F304)),$F304&lt;=0),"QUANTITE &gt; 0; ","")&amp;IF($J304="","EMPL. DESTINATION; ",""),IF($T304="BLOQUE","Envoi parent en anomalie ("&amp;$S304&amp;") : corriger l'onglet SOUS_TRAITANCE.",IF(AND($E304&lt;&gt;"",ISNA(MATCH($E304,LOT_KEY,0))),"Creer la fiche du lot resultat dans l'onglet LOTS.",""))))</f>
        <v/>
      </c>
      <c r="W304" s="31" t="str">
        <f aca="false">IF($B304="","",IF($C304&lt;&gt;"",$C304,IFERROR(INDEX(ST_DATERET,MATCH($B304,ST_ID,0)),"")))</f>
        <v/>
      </c>
      <c r="X304" s="26" t="str">
        <f aca="false">IF($Q304=0,"",IF($L304=R_LOT,IF($N304&lt;&gt;R_LOT,$N304,""),IF($N304=R_LOT,$L304,"")))</f>
        <v/>
      </c>
      <c r="Y304" s="26" t="str">
        <f aca="false">IF($X304="","",IF(COUNTIF($X$4:$X303,$X304)&gt;0,"",COUNT($Y$4:$Y303)+1))</f>
        <v/>
      </c>
      <c r="Z304" s="26" t="n">
        <f aca="false">IF($Q304=0,0,IF(OR($L304=R_LOT,$N304=R_LOT),1,0))</f>
        <v>0</v>
      </c>
      <c r="AA304" s="26" t="str">
        <f aca="false">IF($Z304=0,"",COUNTIF($Z$5:$Z304,1))</f>
        <v/>
      </c>
    </row>
  </sheetData>
  <autoFilter ref="A4:Z304"/>
  <mergeCells count="3">
    <mergeCell ref="A1:AA1"/>
    <mergeCell ref="A2:AA2"/>
    <mergeCell ref="A3:AA3"/>
  </mergeCells>
  <conditionalFormatting sqref="T5:T30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dataValidations count="7">
    <dataValidation allowBlank="true" error="Choisissez une valeur dans la liste deroulante." errorStyle="stop" errorTitle="Valeur non autorisee" operator="greaterThan" showDropDown="false" showErrorMessage="true" showInputMessage="false" sqref="F5:F304" type="decimal">
      <formula1>0</formula1>
      <formula2>0</formula2>
    </dataValidation>
    <dataValidation allowBlank="true" error="Choisissez une valeur dans la liste deroulante." errorStyle="stop" errorTitle="Valeur non autorisee" operator="between" prompt="Choisir l'envoi concerne (onglet SOUS_TRAITANCE)." promptTitle="Aide" showDropDown="false" showErrorMessage="true" showInputMessage="true" sqref="B5:B304" type="list">
      <formula1>L_IDST</formula1>
      <formula2>0</formula2>
    </dataValidation>
    <dataValidation allowBlank="true" errorStyle="stop" operator="between" showDropDown="false" showErrorMessage="false" showInputMessage="false" sqref="D5:D304" type="list">
      <formula1>L_ETAT</formula1>
      <formula2>0</formula2>
    </dataValidation>
    <dataValidation allowBlank="true" error="Choisissez une valeur dans la liste deroulante." errorStyle="stop" errorTitle="Valeur non autorisee" operator="between" prompt="Laisser vide pour conserver le lot source." promptTitle="Aide" showDropDown="false" showErrorMessage="true" showInputMessage="true" sqref="E5:E304" type="list">
      <formula1>L_LOTS</formula1>
      <formula2>0</formula2>
    </dataValidation>
    <dataValidation allowBlank="true" errorStyle="stop" operator="between" showDropDown="false" showErrorMessage="false" showInputMessage="false" sqref="G5:G304" type="list">
      <formula1>L_QUALITE</formula1>
      <formula2>0</formula2>
    </dataValidation>
    <dataValidation allowBlank="true" errorStyle="stop" operator="between" showDropDown="false" showErrorMessage="false" showInputMessage="false" sqref="H5:H304" type="list">
      <formula1>L_MOULE</formula1>
      <formula2>0</formula2>
    </dataValidation>
    <dataValidation allowBlank="true" error="Choisissez une valeur dans la liste deroulante." errorStyle="stop" errorTitle="Valeur non autorisee" operator="between" showDropDown="false" showErrorMessage="true" showInputMessage="false" sqref="J5:J304" type="list">
      <formula1>L_EMPL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W2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4"/>
    <col collapsed="false" customWidth="true" hidden="false" outlineLevel="0" max="4" min="4" style="0" width="16"/>
    <col collapsed="false" customWidth="true" hidden="false" outlineLevel="0" max="5" min="5" style="0" width="20"/>
    <col collapsed="false" customWidth="true" hidden="false" outlineLevel="0" max="6" min="6" style="0" width="14"/>
    <col collapsed="false" customWidth="true" hidden="false" outlineLevel="0" max="7" min="7" style="0" width="15"/>
    <col collapsed="false" customWidth="true" hidden="false" outlineLevel="0" max="8" min="8" style="0" width="20"/>
    <col collapsed="false" customWidth="true" hidden="false" outlineLevel="0" max="10" min="9" style="0" width="26"/>
    <col collapsed="false" customWidth="true" hidden="false" outlineLevel="0" max="11" min="11" style="0" width="18"/>
    <col collapsed="false" customWidth="true" hidden="false" outlineLevel="0" max="12" min="12" style="0" width="14"/>
    <col collapsed="false" customWidth="true" hidden="false" outlineLevel="0" max="13" min="13" style="0" width="24"/>
    <col collapsed="false" customWidth="true" hidden="false" outlineLevel="0" max="14" min="14" style="0" width="13"/>
    <col collapsed="false" customWidth="true" hidden="false" outlineLevel="0" max="16" min="15" style="0" width="14"/>
    <col collapsed="false" customWidth="true" hidden="false" outlineLevel="0" max="17" min="17" style="0" width="17"/>
    <col collapsed="false" customWidth="true" hidden="false" outlineLevel="0" max="18" min="18" style="0" width="21"/>
    <col collapsed="false" customWidth="true" hidden="false" outlineLevel="0" max="19" min="19" style="0" width="46"/>
    <col collapsed="false" customWidth="true" hidden="false" outlineLevel="0" max="20" min="20" style="0" width="12"/>
    <col collapsed="false" customWidth="true" hidden="false" outlineLevel="0" max="21" min="21" style="0" width="13"/>
    <col collapsed="false" customWidth="true" hidden="false" outlineLevel="0" max="23" min="22" style="0" width="12"/>
  </cols>
  <sheetData>
    <row r="1" customFormat="false" ht="30" hidden="false" customHeight="true" outlineLevel="0" collapsed="false">
      <c r="A1" s="1" t="s">
        <v>222</v>
      </c>
      <c r="B1" s="1"/>
      <c r="C1" s="1"/>
      <c r="D1" s="1"/>
      <c r="E1" s="1"/>
      <c r="F1" s="1"/>
      <c r="G1" s="1"/>
      <c r="H1" s="1"/>
      <c r="I1" s="1"/>
      <c r="J1" s="1"/>
      <c r="K1" s="1"/>
      <c r="L1" s="1"/>
      <c r="M1" s="1"/>
      <c r="N1" s="1"/>
      <c r="O1" s="1"/>
      <c r="P1" s="1"/>
      <c r="Q1" s="1"/>
      <c r="R1" s="1"/>
      <c r="S1" s="1"/>
      <c r="T1" s="1"/>
      <c r="U1" s="1"/>
      <c r="V1" s="1"/>
      <c r="W1" s="1"/>
    </row>
    <row r="2" customFormat="false" ht="18" hidden="false" customHeight="true" outlineLevel="0" collapsed="false">
      <c r="A2" s="2" t="s">
        <v>223</v>
      </c>
      <c r="B2" s="2"/>
      <c r="C2" s="2"/>
      <c r="D2" s="2"/>
      <c r="E2" s="2"/>
      <c r="F2" s="2"/>
      <c r="G2" s="2"/>
      <c r="H2" s="2"/>
      <c r="I2" s="2"/>
      <c r="J2" s="2"/>
      <c r="K2" s="2"/>
      <c r="L2" s="2"/>
      <c r="M2" s="2"/>
      <c r="N2" s="2"/>
      <c r="O2" s="2"/>
      <c r="P2" s="2"/>
      <c r="Q2" s="2"/>
      <c r="R2" s="2"/>
      <c r="S2" s="2"/>
      <c r="T2" s="2"/>
      <c r="U2" s="2"/>
      <c r="V2" s="2"/>
      <c r="W2" s="2"/>
    </row>
    <row r="3" customFormat="false" ht="19.5" hidden="false" customHeight="true" outlineLevel="0" collapsed="false">
      <c r="A3" s="3" t="s">
        <v>224</v>
      </c>
      <c r="B3" s="3"/>
      <c r="C3" s="3"/>
      <c r="D3" s="3"/>
      <c r="E3" s="3"/>
      <c r="F3" s="3"/>
      <c r="G3" s="3"/>
      <c r="H3" s="3"/>
      <c r="I3" s="3"/>
      <c r="J3" s="3"/>
      <c r="K3" s="3"/>
      <c r="L3" s="3"/>
      <c r="M3" s="3"/>
      <c r="N3" s="3"/>
      <c r="O3" s="3"/>
      <c r="P3" s="3"/>
      <c r="Q3" s="3"/>
      <c r="R3" s="3"/>
      <c r="S3" s="3"/>
      <c r="T3" s="3"/>
      <c r="U3" s="3"/>
      <c r="V3" s="3"/>
      <c r="W3" s="3"/>
    </row>
    <row r="4" customFormat="false" ht="30" hidden="false" customHeight="true" outlineLevel="0" collapsed="false">
      <c r="A4" s="23" t="s">
        <v>225</v>
      </c>
      <c r="B4" s="22" t="s">
        <v>136</v>
      </c>
      <c r="C4" s="22" t="s">
        <v>51</v>
      </c>
      <c r="D4" s="22" t="s">
        <v>226</v>
      </c>
      <c r="E4" s="22" t="s">
        <v>227</v>
      </c>
      <c r="F4" s="22" t="s">
        <v>228</v>
      </c>
      <c r="G4" s="22" t="s">
        <v>208</v>
      </c>
      <c r="H4" s="22" t="s">
        <v>229</v>
      </c>
      <c r="I4" s="22" t="s">
        <v>230</v>
      </c>
      <c r="J4" s="22" t="s">
        <v>231</v>
      </c>
      <c r="K4" s="22" t="s">
        <v>232</v>
      </c>
      <c r="L4" s="22" t="s">
        <v>233</v>
      </c>
      <c r="M4" s="22" t="s">
        <v>63</v>
      </c>
      <c r="N4" s="23" t="s">
        <v>52</v>
      </c>
      <c r="O4" s="23" t="s">
        <v>53</v>
      </c>
      <c r="P4" s="23" t="s">
        <v>58</v>
      </c>
      <c r="Q4" s="23" t="s">
        <v>234</v>
      </c>
      <c r="R4" s="23" t="s">
        <v>147</v>
      </c>
      <c r="S4" s="23" t="s">
        <v>235</v>
      </c>
      <c r="T4" s="23" t="s">
        <v>236</v>
      </c>
      <c r="U4" s="23" t="s">
        <v>237</v>
      </c>
      <c r="V4" s="23" t="s">
        <v>187</v>
      </c>
      <c r="W4" s="23" t="s">
        <v>188</v>
      </c>
    </row>
    <row r="5" customFormat="false" ht="15" hidden="false" customHeight="false" outlineLevel="0" collapsed="false">
      <c r="A5" s="26" t="str">
        <f aca="false">IF($C5="","","QC-"&amp;TEXT(ROW()-4,"000"))</f>
        <v>QC-001</v>
      </c>
      <c r="B5" s="25" t="n">
        <v>46247</v>
      </c>
      <c r="C5" s="24" t="s">
        <v>78</v>
      </c>
      <c r="D5" s="24" t="s">
        <v>151</v>
      </c>
      <c r="E5" s="24" t="s">
        <v>238</v>
      </c>
      <c r="F5" s="32" t="n">
        <v>-19</v>
      </c>
      <c r="G5" s="33" t="n">
        <v>45</v>
      </c>
      <c r="H5" s="24" t="s">
        <v>239</v>
      </c>
      <c r="I5" s="24" t="s">
        <v>240</v>
      </c>
      <c r="J5" s="24" t="s">
        <v>241</v>
      </c>
      <c r="K5" s="24" t="s">
        <v>242</v>
      </c>
      <c r="L5" s="24" t="s">
        <v>243</v>
      </c>
      <c r="M5" s="24" t="s">
        <v>244</v>
      </c>
      <c r="N5" s="26" t="str">
        <f aca="false">IF($C5="","",IFERROR(INDEX(LOT_EXTE,MATCH($C5,LOT_KEY,0)),""))</f>
        <v>L-EXT-255</v>
      </c>
      <c r="O5" s="26" t="str">
        <f aca="false">IF($C5="","",IFERROR(INDEX(LOT_PRODE,MATCH($C5,LOT_KEY,0)),"LOT NON REFERENCE"))</f>
        <v>Sardine</v>
      </c>
      <c r="P5" s="26" t="str">
        <f aca="false">IF($C5="","",IFERROR(INDEX(LOT_CONSERVE,MATCH($C5,LOT_KEY,0)),""))</f>
        <v>CONGELE</v>
      </c>
      <c r="Q5" s="27" t="n">
        <f aca="false">IF(OR($C5="",$D5=""),"",SUMIFS(MVT_NET,MVT_LOT,$C5,MVT_EMPL,$D5))</f>
        <v>500</v>
      </c>
      <c r="R5" s="26" t="str">
        <f aca="false">IF($C5="","",IF(OR($B5="",AND($F5="",$G5="",$H5="",$I5="",$J5="",$K5="")),"DONNEES MANQUANTES",IF(AND($D5&lt;&gt;"",$Q5&lt;=0),"EMPLACEMENT INCOHERENT","OK")))</f>
        <v>OK</v>
      </c>
      <c r="S5" s="26" t="str">
        <f aca="false">IF($C5="","",IF(AND(ISNUMBER($G5),$G5&gt;P_HIST),"HISTAMINE "&amp;TEXT($G5,"#,##0")&amp;" PPM &gt; seuil "&amp;TEXT(P_HIST,"#,##0")&amp;". ","")&amp;IF(AND(ISNUMBER($F5),$P5="CONGELE",$F5&gt;P_TCONG),"TEMPERATURE "&amp;TEXT($F5,"0.0")&amp;" C hors seuil congele. ","")&amp;IF(AND(ISNUMBER($F5),$P5="FRAIS",$F5&gt;P_TFRAIS),"TEMPERATURE "&amp;TEXT($F5,"0.0")&amp;" C hors seuil frais. ","")&amp;IF($K5="BLOQUER","Lot bloque qualite : stock signale mais inchange. ","")&amp;IF($R5="EMPLACEMENT INCOHERENT","Lot absent de cet emplacement : controle conserve, stock inchange. ","")&amp;IF($R5="DONNEES MANQUANTES","Renseigner la DATE et au moins une mesure. ",""))</f>
        <v/>
      </c>
      <c r="T5" s="28" t="n">
        <f aca="false">IF(OR($C5="",$B5=""),0,IF(COUNTIFS(QC_LOT,$C5,QC_DATE,"&gt;"&amp;$B5)&gt;0,0,IF(COUNTIFS($C$5:$C5,$C5,$B$5:$B5,$B5)=COUNTIFS(QC_LOT,$C5,QC_DATE,$B5),1,0)))</f>
        <v>1</v>
      </c>
      <c r="U5" s="26" t="str">
        <f aca="false">IF($T5=1,$C5,"")</f>
        <v>255</v>
      </c>
      <c r="V5" s="28" t="n">
        <f aca="false">IF($C5="",0,IF($C5=R_LOT,1,0))</f>
        <v>1</v>
      </c>
      <c r="W5" s="26" t="n">
        <f aca="false">IF($V5=0,"",COUNTIF($V$5:$V5,1))</f>
        <v>1</v>
      </c>
    </row>
    <row r="6" customFormat="false" ht="15" hidden="false" customHeight="false" outlineLevel="0" collapsed="false">
      <c r="A6" s="26" t="str">
        <f aca="false">IF($C6="","","QC-"&amp;TEXT(ROW()-4,"000"))</f>
        <v>QC-002</v>
      </c>
      <c r="B6" s="25" t="n">
        <v>46248</v>
      </c>
      <c r="C6" s="24" t="s">
        <v>98</v>
      </c>
      <c r="D6" s="24" t="s">
        <v>245</v>
      </c>
      <c r="E6" s="24" t="s">
        <v>246</v>
      </c>
      <c r="F6" s="32" t="n">
        <v>2</v>
      </c>
      <c r="G6" s="33"/>
      <c r="H6" s="24" t="s">
        <v>86</v>
      </c>
      <c r="I6" s="24"/>
      <c r="J6" s="24"/>
      <c r="K6" s="24" t="s">
        <v>242</v>
      </c>
      <c r="L6" s="24" t="s">
        <v>243</v>
      </c>
      <c r="M6" s="24" t="s">
        <v>247</v>
      </c>
      <c r="N6" s="26" t="str">
        <f aca="false">IF($C6="","",IFERROR(INDEX(LOT_EXTE,MATCH($C6,LOT_KEY,0)),""))</f>
        <v>L-EXT-255</v>
      </c>
      <c r="O6" s="26" t="str">
        <f aca="false">IF($C6="","",IFERROR(INDEX(LOT_PRODE,MATCH($C6,LOT_KEY,0)),"LOT NON REFERENCE"))</f>
        <v>Sardine</v>
      </c>
      <c r="P6" s="26" t="str">
        <f aca="false">IF($C6="","",IFERROR(INDEX(LOT_CONSERVE,MATCH($C6,LOT_KEY,0)),""))</f>
        <v>FRAIS</v>
      </c>
      <c r="Q6" s="27" t="n">
        <f aca="false">IF(OR($C6="",$D6=""),"",SUMIFS(MVT_NET,MVT_LOT,$C6,MVT_EMPL,$D6))</f>
        <v>0</v>
      </c>
      <c r="R6" s="26" t="str">
        <f aca="false">IF($C6="","",IF(OR($B6="",AND($F6="",$G6="",$H6="",$I6="",$J6="",$K6="")),"DONNEES MANQUANTES",IF(AND($D6&lt;&gt;"",$Q6&lt;=0),"EMPLACEMENT INCOHERENT","OK")))</f>
        <v>EMPLACEMENT INCOHERENT</v>
      </c>
      <c r="S6" s="26" t="str">
        <f aca="false">IF($C6="","",IF(AND(ISNUMBER($G6),$G6&gt;P_HIST),"HISTAMINE "&amp;TEXT($G6,"#,##0")&amp;" PPM &gt; seuil "&amp;TEXT(P_HIST,"#,##0")&amp;". ","")&amp;IF(AND(ISNUMBER($F6),$P6="CONGELE",$F6&gt;P_TCONG),"TEMPERATURE "&amp;TEXT($F6,"0.0")&amp;" C hors seuil congele. ","")&amp;IF(AND(ISNUMBER($F6),$P6="FRAIS",$F6&gt;P_TFRAIS),"TEMPERATURE "&amp;TEXT($F6,"0.0")&amp;" C hors seuil frais. ","")&amp;IF($K6="BLOQUER","Lot bloque qualite : stock signale mais inchange. ","")&amp;IF($R6="EMPLACEMENT INCOHERENT","Lot absent de cet emplacement : controle conserve, stock inchange. ","")&amp;IF($R6="DONNEES MANQUANTES","Renseigner la DATE et au moins une mesure. ",""))</f>
        <v>Lot absent de cet emplacement : controle conserve, stock inchange. </v>
      </c>
      <c r="T6" s="28" t="n">
        <f aca="false">IF(OR($C6="",$B6=""),0,IF(COUNTIFS(QC_LOT,$C6,QC_DATE,"&gt;"&amp;$B6)&gt;0,0,IF(COUNTIFS($C$5:$C6,$C6,$B$5:$B6,$B6)=COUNTIFS(QC_LOT,$C6,QC_DATE,$B6),1,0)))</f>
        <v>1</v>
      </c>
      <c r="U6" s="26" t="str">
        <f aca="false">IF($T6=1,$C6,"")</f>
        <v>257</v>
      </c>
      <c r="V6" s="28" t="n">
        <f aca="false">IF($C6="",0,IF($C6=R_LOT,1,0))</f>
        <v>0</v>
      </c>
      <c r="W6" s="26" t="str">
        <f aca="false">IF($V6=0,"",COUNTIF($V$5:$V6,1))</f>
        <v/>
      </c>
    </row>
    <row r="7" customFormat="false" ht="15" hidden="false" customHeight="false" outlineLevel="0" collapsed="false">
      <c r="A7" s="26" t="str">
        <f aca="false">IF($C7="","","QC-"&amp;TEXT(ROW()-4,"000"))</f>
        <v>QC-003</v>
      </c>
      <c r="B7" s="25" t="n">
        <v>46250</v>
      </c>
      <c r="C7" s="24" t="s">
        <v>89</v>
      </c>
      <c r="D7" s="24" t="s">
        <v>151</v>
      </c>
      <c r="E7" s="24" t="s">
        <v>150</v>
      </c>
      <c r="F7" s="32" t="n">
        <v>-18</v>
      </c>
      <c r="G7" s="33" t="n">
        <v>180</v>
      </c>
      <c r="H7" s="24" t="s">
        <v>248</v>
      </c>
      <c r="I7" s="24" t="s">
        <v>249</v>
      </c>
      <c r="J7" s="24" t="s">
        <v>250</v>
      </c>
      <c r="K7" s="24" t="s">
        <v>251</v>
      </c>
      <c r="L7" s="24" t="s">
        <v>243</v>
      </c>
      <c r="M7" s="24" t="s">
        <v>252</v>
      </c>
      <c r="N7" s="26" t="str">
        <f aca="false">IF($C7="","",IFERROR(INDEX(LOT_EXTE,MATCH($C7,LOT_KEY,0)),""))</f>
        <v>L-EXT-256</v>
      </c>
      <c r="O7" s="26" t="str">
        <f aca="false">IF($C7="","",IFERROR(INDEX(LOT_PRODE,MATCH($C7,LOT_KEY,0)),"LOT NON REFERENCE"))</f>
        <v>Maquereau</v>
      </c>
      <c r="P7" s="26" t="str">
        <f aca="false">IF($C7="","",IFERROR(INDEX(LOT_CONSERVE,MATCH($C7,LOT_KEY,0)),""))</f>
        <v>CONGELE</v>
      </c>
      <c r="Q7" s="27" t="n">
        <f aca="false">IF(OR($C7="",$D7=""),"",SUMIFS(MVT_NET,MVT_LOT,$C7,MVT_EMPL,$D7))</f>
        <v>800</v>
      </c>
      <c r="R7" s="26" t="str">
        <f aca="false">IF($C7="","",IF(OR($B7="",AND($F7="",$G7="",$H7="",$I7="",$J7="",$K7="")),"DONNEES MANQUANTES",IF(AND($D7&lt;&gt;"",$Q7&lt;=0),"EMPLACEMENT INCOHERENT","OK")))</f>
        <v>OK</v>
      </c>
      <c r="S7" s="26" t="str">
        <f aca="false">IF($C7="","",IF(AND(ISNUMBER($G7),$G7&gt;P_HIST),"HISTAMINE "&amp;TEXT($G7,"#,##0")&amp;" PPM &gt; seuil "&amp;TEXT(P_HIST,"#,##0")&amp;". ","")&amp;IF(AND(ISNUMBER($F7),$P7="CONGELE",$F7&gt;P_TCONG),"TEMPERATURE "&amp;TEXT($F7,"0.0")&amp;" C hors seuil congele. ","")&amp;IF(AND(ISNUMBER($F7),$P7="FRAIS",$F7&gt;P_TFRAIS),"TEMPERATURE "&amp;TEXT($F7,"0.0")&amp;" C hors seuil frais. ","")&amp;IF($K7="BLOQUER","Lot bloque qualite : stock signale mais inchange. ","")&amp;IF($R7="EMPLACEMENT INCOHERENT","Lot absent de cet emplacement : controle conserve, stock inchange. ","")&amp;IF($R7="DONNEES MANQUANTES","Renseigner la DATE et au moins une mesure. ",""))</f>
        <v>HISTAMINE 180 PPM &gt; seuil 100. </v>
      </c>
      <c r="T7" s="28" t="n">
        <f aca="false">IF(OR($C7="",$B7=""),0,IF(COUNTIFS(QC_LOT,$C7,QC_DATE,"&gt;"&amp;$B7)&gt;0,0,IF(COUNTIFS($C$5:$C7,$C7,$B$5:$B7,$B7)=COUNTIFS(QC_LOT,$C7,QC_DATE,$B7),1,0)))</f>
        <v>1</v>
      </c>
      <c r="U7" s="26" t="str">
        <f aca="false">IF($T7=1,$C7,"")</f>
        <v>256</v>
      </c>
      <c r="V7" s="28" t="n">
        <f aca="false">IF($C7="",0,IF($C7=R_LOT,1,0))</f>
        <v>0</v>
      </c>
      <c r="W7" s="26" t="str">
        <f aca="false">IF($V7=0,"",COUNTIF($V$5:$V7,1))</f>
        <v/>
      </c>
    </row>
    <row r="8" customFormat="false" ht="15" hidden="false" customHeight="false" outlineLevel="0" collapsed="false">
      <c r="A8" s="26" t="str">
        <f aca="false">IF($C8="","","QC-"&amp;TEXT(ROW()-4,"000"))</f>
        <v>QC-004</v>
      </c>
      <c r="B8" s="25" t="n">
        <v>46253</v>
      </c>
      <c r="C8" s="24" t="s">
        <v>114</v>
      </c>
      <c r="D8" s="24" t="s">
        <v>151</v>
      </c>
      <c r="E8" s="24" t="s">
        <v>246</v>
      </c>
      <c r="F8" s="32" t="n">
        <v>-17</v>
      </c>
      <c r="G8" s="33" t="n">
        <v>210</v>
      </c>
      <c r="H8" s="24"/>
      <c r="I8" s="24"/>
      <c r="J8" s="24" t="s">
        <v>253</v>
      </c>
      <c r="K8" s="24" t="s">
        <v>254</v>
      </c>
      <c r="L8" s="24" t="s">
        <v>243</v>
      </c>
      <c r="M8" s="24" t="s">
        <v>255</v>
      </c>
      <c r="N8" s="26" t="str">
        <f aca="false">IF($C8="","",IFERROR(INDEX(LOT_EXTE,MATCH($C8,LOT_KEY,0)),""))</f>
        <v>L-EXT-301</v>
      </c>
      <c r="O8" s="26" t="str">
        <f aca="false">IF($C8="","",IFERROR(INDEX(LOT_PRODE,MATCH($C8,LOT_KEY,0)),"LOT NON REFERENCE"))</f>
        <v>Maquereau</v>
      </c>
      <c r="P8" s="26" t="str">
        <f aca="false">IF($C8="","",IFERROR(INDEX(LOT_CONSERVE,MATCH($C8,LOT_KEY,0)),""))</f>
        <v>CONGELE</v>
      </c>
      <c r="Q8" s="27" t="n">
        <f aca="false">IF(OR($C8="",$D8=""),"",SUMIFS(MVT_NET,MVT_LOT,$C8,MVT_EMPL,$D8))</f>
        <v>200</v>
      </c>
      <c r="R8" s="26" t="str">
        <f aca="false">IF($C8="","",IF(OR($B8="",AND($F8="",$G8="",$H8="",$I8="",$J8="",$K8="")),"DONNEES MANQUANTES",IF(AND($D8&lt;&gt;"",$Q8&lt;=0),"EMPLACEMENT INCOHERENT","OK")))</f>
        <v>OK</v>
      </c>
      <c r="S8" s="26" t="str">
        <f aca="false">IF($C8="","",IF(AND(ISNUMBER($G8),$G8&gt;P_HIST),"HISTAMINE "&amp;TEXT($G8,"#,##0")&amp;" PPM &gt; seuil "&amp;TEXT(P_HIST,"#,##0")&amp;". ","")&amp;IF(AND(ISNUMBER($F8),$P8="CONGELE",$F8&gt;P_TCONG),"TEMPERATURE "&amp;TEXT($F8,"0.0")&amp;" C hors seuil congele. ","")&amp;IF(AND(ISNUMBER($F8),$P8="FRAIS",$F8&gt;P_TFRAIS),"TEMPERATURE "&amp;TEXT($F8,"0.0")&amp;" C hors seuil frais. ","")&amp;IF($K8="BLOQUER","Lot bloque qualite : stock signale mais inchange. ","")&amp;IF($R8="EMPLACEMENT INCOHERENT","Lot absent de cet emplacement : controle conserve, stock inchange. ","")&amp;IF($R8="DONNEES MANQUANTES","Renseigner la DATE et au moins une mesure. ",""))</f>
        <v>HISTAMINE 210 PPM &gt; seuil 100. TEMPERATURE -17.0 C hors seuil congele. Lot bloque qualite : stock signale mais inchange. </v>
      </c>
      <c r="T8" s="28" t="n">
        <f aca="false">IF(OR($C8="",$B8=""),0,IF(COUNTIFS(QC_LOT,$C8,QC_DATE,"&gt;"&amp;$B8)&gt;0,0,IF(COUNTIFS($C$5:$C8,$C8,$B$5:$B8,$B8)=COUNTIFS(QC_LOT,$C8,QC_DATE,$B8),1,0)))</f>
        <v>1</v>
      </c>
      <c r="U8" s="26" t="str">
        <f aca="false">IF($T8=1,$C8,"")</f>
        <v>301</v>
      </c>
      <c r="V8" s="28" t="n">
        <f aca="false">IF($C8="",0,IF($C8=R_LOT,1,0))</f>
        <v>0</v>
      </c>
      <c r="W8" s="26" t="str">
        <f aca="false">IF($V8=0,"",COUNTIF($V$5:$V8,1))</f>
        <v/>
      </c>
    </row>
    <row r="9" customFormat="false" ht="15" hidden="false" customHeight="false" outlineLevel="0" collapsed="false">
      <c r="A9" s="26" t="str">
        <f aca="false">IF($C9="","","QC-"&amp;TEXT(ROW()-4,"000"))</f>
        <v/>
      </c>
      <c r="B9" s="25"/>
      <c r="C9" s="24"/>
      <c r="D9" s="24"/>
      <c r="E9" s="24"/>
      <c r="F9" s="32"/>
      <c r="G9" s="33"/>
      <c r="H9" s="24"/>
      <c r="I9" s="24"/>
      <c r="J9" s="24"/>
      <c r="K9" s="24"/>
      <c r="L9" s="24"/>
      <c r="M9" s="24"/>
      <c r="N9" s="26" t="str">
        <f aca="false">IF($C9="","",IFERROR(INDEX(LOT_EXTE,MATCH($C9,LOT_KEY,0)),""))</f>
        <v/>
      </c>
      <c r="O9" s="26" t="str">
        <f aca="false">IF($C9="","",IFERROR(INDEX(LOT_PRODE,MATCH($C9,LOT_KEY,0)),"LOT NON REFERENCE"))</f>
        <v/>
      </c>
      <c r="P9" s="26" t="str">
        <f aca="false">IF($C9="","",IFERROR(INDEX(LOT_CONSERVE,MATCH($C9,LOT_KEY,0)),""))</f>
        <v/>
      </c>
      <c r="Q9" s="27" t="str">
        <f aca="false">IF(OR($C9="",$D9=""),"",SUMIFS(MVT_NET,MVT_LOT,$C9,MVT_EMPL,$D9))</f>
        <v/>
      </c>
      <c r="R9" s="26" t="str">
        <f aca="false">IF($C9="","",IF(OR($B9="",AND($F9="",$G9="",$H9="",$I9="",$J9="",$K9="")),"DONNEES MANQUANTES",IF(AND($D9&lt;&gt;"",$Q9&lt;=0),"EMPLACEMENT INCOHERENT","OK")))</f>
        <v/>
      </c>
      <c r="S9" s="26" t="str">
        <f aca="false">IF($C9="","",IF(AND(ISNUMBER($G9),$G9&gt;P_HIST),"HISTAMINE "&amp;TEXT($G9,"#,##0")&amp;" PPM &gt; seuil "&amp;TEXT(P_HIST,"#,##0")&amp;". ","")&amp;IF(AND(ISNUMBER($F9),$P9="CONGELE",$F9&gt;P_TCONG),"TEMPERATURE "&amp;TEXT($F9,"0.0")&amp;" C hors seuil congele. ","")&amp;IF(AND(ISNUMBER($F9),$P9="FRAIS",$F9&gt;P_TFRAIS),"TEMPERATURE "&amp;TEXT($F9,"0.0")&amp;" C hors seuil frais. ","")&amp;IF($K9="BLOQUER","Lot bloque qualite : stock signale mais inchange. ","")&amp;IF($R9="EMPLACEMENT INCOHERENT","Lot absent de cet emplacement : controle conserve, stock inchange. ","")&amp;IF($R9="DONNEES MANQUANTES","Renseigner la DATE et au moins une mesure. ",""))</f>
        <v/>
      </c>
      <c r="T9" s="28" t="n">
        <f aca="false">IF(OR($C9="",$B9=""),0,IF(COUNTIFS(QC_LOT,$C9,QC_DATE,"&gt;"&amp;$B9)&gt;0,0,IF(COUNTIFS($C$5:$C9,$C9,$B$5:$B9,$B9)=COUNTIFS(QC_LOT,$C9,QC_DATE,$B9),1,0)))</f>
        <v>0</v>
      </c>
      <c r="U9" s="26" t="str">
        <f aca="false">IF($T9=1,$C9,"")</f>
        <v/>
      </c>
      <c r="V9" s="28" t="n">
        <f aca="false">IF($C9="",0,IF($C9=R_LOT,1,0))</f>
        <v>0</v>
      </c>
      <c r="W9" s="26" t="str">
        <f aca="false">IF($V9=0,"",COUNTIF($V$5:$V9,1))</f>
        <v/>
      </c>
    </row>
    <row r="10" customFormat="false" ht="15" hidden="false" customHeight="false" outlineLevel="0" collapsed="false">
      <c r="A10" s="26" t="str">
        <f aca="false">IF($C10="","","QC-"&amp;TEXT(ROW()-4,"000"))</f>
        <v/>
      </c>
      <c r="B10" s="25"/>
      <c r="C10" s="24"/>
      <c r="D10" s="24"/>
      <c r="E10" s="24"/>
      <c r="F10" s="32"/>
      <c r="G10" s="33"/>
      <c r="H10" s="24"/>
      <c r="I10" s="24"/>
      <c r="J10" s="24"/>
      <c r="K10" s="24"/>
      <c r="L10" s="24"/>
      <c r="M10" s="24"/>
      <c r="N10" s="26" t="str">
        <f aca="false">IF($C10="","",IFERROR(INDEX(LOT_EXTE,MATCH($C10,LOT_KEY,0)),""))</f>
        <v/>
      </c>
      <c r="O10" s="26" t="str">
        <f aca="false">IF($C10="","",IFERROR(INDEX(LOT_PRODE,MATCH($C10,LOT_KEY,0)),"LOT NON REFERENCE"))</f>
        <v/>
      </c>
      <c r="P10" s="26" t="str">
        <f aca="false">IF($C10="","",IFERROR(INDEX(LOT_CONSERVE,MATCH($C10,LOT_KEY,0)),""))</f>
        <v/>
      </c>
      <c r="Q10" s="27" t="str">
        <f aca="false">IF(OR($C10="",$D10=""),"",SUMIFS(MVT_NET,MVT_LOT,$C10,MVT_EMPL,$D10))</f>
        <v/>
      </c>
      <c r="R10" s="26" t="str">
        <f aca="false">IF($C10="","",IF(OR($B10="",AND($F10="",$G10="",$H10="",$I10="",$J10="",$K10="")),"DONNEES MANQUANTES",IF(AND($D10&lt;&gt;"",$Q10&lt;=0),"EMPLACEMENT INCOHERENT","OK")))</f>
        <v/>
      </c>
      <c r="S10" s="26" t="str">
        <f aca="false">IF($C10="","",IF(AND(ISNUMBER($G10),$G10&gt;P_HIST),"HISTAMINE "&amp;TEXT($G10,"#,##0")&amp;" PPM &gt; seuil "&amp;TEXT(P_HIST,"#,##0")&amp;". ","")&amp;IF(AND(ISNUMBER($F10),$P10="CONGELE",$F10&gt;P_TCONG),"TEMPERATURE "&amp;TEXT($F10,"0.0")&amp;" C hors seuil congele. ","")&amp;IF(AND(ISNUMBER($F10),$P10="FRAIS",$F10&gt;P_TFRAIS),"TEMPERATURE "&amp;TEXT($F10,"0.0")&amp;" C hors seuil frais. ","")&amp;IF($K10="BLOQUER","Lot bloque qualite : stock signale mais inchange. ","")&amp;IF($R10="EMPLACEMENT INCOHERENT","Lot absent de cet emplacement : controle conserve, stock inchange. ","")&amp;IF($R10="DONNEES MANQUANTES","Renseigner la DATE et au moins une mesure. ",""))</f>
        <v/>
      </c>
      <c r="T10" s="28" t="n">
        <f aca="false">IF(OR($C10="",$B10=""),0,IF(COUNTIFS(QC_LOT,$C10,QC_DATE,"&gt;"&amp;$B10)&gt;0,0,IF(COUNTIFS($C$5:$C10,$C10,$B$5:$B10,$B10)=COUNTIFS(QC_LOT,$C10,QC_DATE,$B10),1,0)))</f>
        <v>0</v>
      </c>
      <c r="U10" s="26" t="str">
        <f aca="false">IF($T10=1,$C10,"")</f>
        <v/>
      </c>
      <c r="V10" s="28" t="n">
        <f aca="false">IF($C10="",0,IF($C10=R_LOT,1,0))</f>
        <v>0</v>
      </c>
      <c r="W10" s="26" t="str">
        <f aca="false">IF($V10=0,"",COUNTIF($V$5:$V10,1))</f>
        <v/>
      </c>
    </row>
    <row r="11" customFormat="false" ht="15" hidden="false" customHeight="false" outlineLevel="0" collapsed="false">
      <c r="A11" s="26" t="str">
        <f aca="false">IF($C11="","","QC-"&amp;TEXT(ROW()-4,"000"))</f>
        <v/>
      </c>
      <c r="B11" s="25"/>
      <c r="C11" s="24"/>
      <c r="D11" s="24"/>
      <c r="E11" s="24"/>
      <c r="F11" s="32"/>
      <c r="G11" s="33"/>
      <c r="H11" s="24"/>
      <c r="I11" s="24"/>
      <c r="J11" s="24"/>
      <c r="K11" s="24"/>
      <c r="L11" s="24"/>
      <c r="M11" s="24"/>
      <c r="N11" s="26" t="str">
        <f aca="false">IF($C11="","",IFERROR(INDEX(LOT_EXTE,MATCH($C11,LOT_KEY,0)),""))</f>
        <v/>
      </c>
      <c r="O11" s="26" t="str">
        <f aca="false">IF($C11="","",IFERROR(INDEX(LOT_PRODE,MATCH($C11,LOT_KEY,0)),"LOT NON REFERENCE"))</f>
        <v/>
      </c>
      <c r="P11" s="26" t="str">
        <f aca="false">IF($C11="","",IFERROR(INDEX(LOT_CONSERVE,MATCH($C11,LOT_KEY,0)),""))</f>
        <v/>
      </c>
      <c r="Q11" s="27" t="str">
        <f aca="false">IF(OR($C11="",$D11=""),"",SUMIFS(MVT_NET,MVT_LOT,$C11,MVT_EMPL,$D11))</f>
        <v/>
      </c>
      <c r="R11" s="26" t="str">
        <f aca="false">IF($C11="","",IF(OR($B11="",AND($F11="",$G11="",$H11="",$I11="",$J11="",$K11="")),"DONNEES MANQUANTES",IF(AND($D11&lt;&gt;"",$Q11&lt;=0),"EMPLACEMENT INCOHERENT","OK")))</f>
        <v/>
      </c>
      <c r="S11" s="26" t="str">
        <f aca="false">IF($C11="","",IF(AND(ISNUMBER($G11),$G11&gt;P_HIST),"HISTAMINE "&amp;TEXT($G11,"#,##0")&amp;" PPM &gt; seuil "&amp;TEXT(P_HIST,"#,##0")&amp;". ","")&amp;IF(AND(ISNUMBER($F11),$P11="CONGELE",$F11&gt;P_TCONG),"TEMPERATURE "&amp;TEXT($F11,"0.0")&amp;" C hors seuil congele. ","")&amp;IF(AND(ISNUMBER($F11),$P11="FRAIS",$F11&gt;P_TFRAIS),"TEMPERATURE "&amp;TEXT($F11,"0.0")&amp;" C hors seuil frais. ","")&amp;IF($K11="BLOQUER","Lot bloque qualite : stock signale mais inchange. ","")&amp;IF($R11="EMPLACEMENT INCOHERENT","Lot absent de cet emplacement : controle conserve, stock inchange. ","")&amp;IF($R11="DONNEES MANQUANTES","Renseigner la DATE et au moins une mesure. ",""))</f>
        <v/>
      </c>
      <c r="T11" s="28" t="n">
        <f aca="false">IF(OR($C11="",$B11=""),0,IF(COUNTIFS(QC_LOT,$C11,QC_DATE,"&gt;"&amp;$B11)&gt;0,0,IF(COUNTIFS($C$5:$C11,$C11,$B$5:$B11,$B11)=COUNTIFS(QC_LOT,$C11,QC_DATE,$B11),1,0)))</f>
        <v>0</v>
      </c>
      <c r="U11" s="26" t="str">
        <f aca="false">IF($T11=1,$C11,"")</f>
        <v/>
      </c>
      <c r="V11" s="28" t="n">
        <f aca="false">IF($C11="",0,IF($C11=R_LOT,1,0))</f>
        <v>0</v>
      </c>
      <c r="W11" s="26" t="str">
        <f aca="false">IF($V11=0,"",COUNTIF($V$5:$V11,1))</f>
        <v/>
      </c>
    </row>
    <row r="12" customFormat="false" ht="15" hidden="false" customHeight="false" outlineLevel="0" collapsed="false">
      <c r="A12" s="26" t="str">
        <f aca="false">IF($C12="","","QC-"&amp;TEXT(ROW()-4,"000"))</f>
        <v/>
      </c>
      <c r="B12" s="25"/>
      <c r="C12" s="24"/>
      <c r="D12" s="24"/>
      <c r="E12" s="24"/>
      <c r="F12" s="32"/>
      <c r="G12" s="33"/>
      <c r="H12" s="24"/>
      <c r="I12" s="24"/>
      <c r="J12" s="24"/>
      <c r="K12" s="24"/>
      <c r="L12" s="24"/>
      <c r="M12" s="24"/>
      <c r="N12" s="26" t="str">
        <f aca="false">IF($C12="","",IFERROR(INDEX(LOT_EXTE,MATCH($C12,LOT_KEY,0)),""))</f>
        <v/>
      </c>
      <c r="O12" s="26" t="str">
        <f aca="false">IF($C12="","",IFERROR(INDEX(LOT_PRODE,MATCH($C12,LOT_KEY,0)),"LOT NON REFERENCE"))</f>
        <v/>
      </c>
      <c r="P12" s="26" t="str">
        <f aca="false">IF($C12="","",IFERROR(INDEX(LOT_CONSERVE,MATCH($C12,LOT_KEY,0)),""))</f>
        <v/>
      </c>
      <c r="Q12" s="27" t="str">
        <f aca="false">IF(OR($C12="",$D12=""),"",SUMIFS(MVT_NET,MVT_LOT,$C12,MVT_EMPL,$D12))</f>
        <v/>
      </c>
      <c r="R12" s="26" t="str">
        <f aca="false">IF($C12="","",IF(OR($B12="",AND($F12="",$G12="",$H12="",$I12="",$J12="",$K12="")),"DONNEES MANQUANTES",IF(AND($D12&lt;&gt;"",$Q12&lt;=0),"EMPLACEMENT INCOHERENT","OK")))</f>
        <v/>
      </c>
      <c r="S12" s="26" t="str">
        <f aca="false">IF($C12="","",IF(AND(ISNUMBER($G12),$G12&gt;P_HIST),"HISTAMINE "&amp;TEXT($G12,"#,##0")&amp;" PPM &gt; seuil "&amp;TEXT(P_HIST,"#,##0")&amp;". ","")&amp;IF(AND(ISNUMBER($F12),$P12="CONGELE",$F12&gt;P_TCONG),"TEMPERATURE "&amp;TEXT($F12,"0.0")&amp;" C hors seuil congele. ","")&amp;IF(AND(ISNUMBER($F12),$P12="FRAIS",$F12&gt;P_TFRAIS),"TEMPERATURE "&amp;TEXT($F12,"0.0")&amp;" C hors seuil frais. ","")&amp;IF($K12="BLOQUER","Lot bloque qualite : stock signale mais inchange. ","")&amp;IF($R12="EMPLACEMENT INCOHERENT","Lot absent de cet emplacement : controle conserve, stock inchange. ","")&amp;IF($R12="DONNEES MANQUANTES","Renseigner la DATE et au moins une mesure. ",""))</f>
        <v/>
      </c>
      <c r="T12" s="28" t="n">
        <f aca="false">IF(OR($C12="",$B12=""),0,IF(COUNTIFS(QC_LOT,$C12,QC_DATE,"&gt;"&amp;$B12)&gt;0,0,IF(COUNTIFS($C$5:$C12,$C12,$B$5:$B12,$B12)=COUNTIFS(QC_LOT,$C12,QC_DATE,$B12),1,0)))</f>
        <v>0</v>
      </c>
      <c r="U12" s="26" t="str">
        <f aca="false">IF($T12=1,$C12,"")</f>
        <v/>
      </c>
      <c r="V12" s="28" t="n">
        <f aca="false">IF($C12="",0,IF($C12=R_LOT,1,0))</f>
        <v>0</v>
      </c>
      <c r="W12" s="26" t="str">
        <f aca="false">IF($V12=0,"",COUNTIF($V$5:$V12,1))</f>
        <v/>
      </c>
    </row>
    <row r="13" customFormat="false" ht="15" hidden="false" customHeight="false" outlineLevel="0" collapsed="false">
      <c r="A13" s="26" t="str">
        <f aca="false">IF($C13="","","QC-"&amp;TEXT(ROW()-4,"000"))</f>
        <v/>
      </c>
      <c r="B13" s="25"/>
      <c r="C13" s="24"/>
      <c r="D13" s="24"/>
      <c r="E13" s="24"/>
      <c r="F13" s="32"/>
      <c r="G13" s="33"/>
      <c r="H13" s="24"/>
      <c r="I13" s="24"/>
      <c r="J13" s="24"/>
      <c r="K13" s="24"/>
      <c r="L13" s="24"/>
      <c r="M13" s="24"/>
      <c r="N13" s="26" t="str">
        <f aca="false">IF($C13="","",IFERROR(INDEX(LOT_EXTE,MATCH($C13,LOT_KEY,0)),""))</f>
        <v/>
      </c>
      <c r="O13" s="26" t="str">
        <f aca="false">IF($C13="","",IFERROR(INDEX(LOT_PRODE,MATCH($C13,LOT_KEY,0)),"LOT NON REFERENCE"))</f>
        <v/>
      </c>
      <c r="P13" s="26" t="str">
        <f aca="false">IF($C13="","",IFERROR(INDEX(LOT_CONSERVE,MATCH($C13,LOT_KEY,0)),""))</f>
        <v/>
      </c>
      <c r="Q13" s="27" t="str">
        <f aca="false">IF(OR($C13="",$D13=""),"",SUMIFS(MVT_NET,MVT_LOT,$C13,MVT_EMPL,$D13))</f>
        <v/>
      </c>
      <c r="R13" s="26" t="str">
        <f aca="false">IF($C13="","",IF(OR($B13="",AND($F13="",$G13="",$H13="",$I13="",$J13="",$K13="")),"DONNEES MANQUANTES",IF(AND($D13&lt;&gt;"",$Q13&lt;=0),"EMPLACEMENT INCOHERENT","OK")))</f>
        <v/>
      </c>
      <c r="S13" s="26" t="str">
        <f aca="false">IF($C13="","",IF(AND(ISNUMBER($G13),$G13&gt;P_HIST),"HISTAMINE "&amp;TEXT($G13,"#,##0")&amp;" PPM &gt; seuil "&amp;TEXT(P_HIST,"#,##0")&amp;". ","")&amp;IF(AND(ISNUMBER($F13),$P13="CONGELE",$F13&gt;P_TCONG),"TEMPERATURE "&amp;TEXT($F13,"0.0")&amp;" C hors seuil congele. ","")&amp;IF(AND(ISNUMBER($F13),$P13="FRAIS",$F13&gt;P_TFRAIS),"TEMPERATURE "&amp;TEXT($F13,"0.0")&amp;" C hors seuil frais. ","")&amp;IF($K13="BLOQUER","Lot bloque qualite : stock signale mais inchange. ","")&amp;IF($R13="EMPLACEMENT INCOHERENT","Lot absent de cet emplacement : controle conserve, stock inchange. ","")&amp;IF($R13="DONNEES MANQUANTES","Renseigner la DATE et au moins une mesure. ",""))</f>
        <v/>
      </c>
      <c r="T13" s="28" t="n">
        <f aca="false">IF(OR($C13="",$B13=""),0,IF(COUNTIFS(QC_LOT,$C13,QC_DATE,"&gt;"&amp;$B13)&gt;0,0,IF(COUNTIFS($C$5:$C13,$C13,$B$5:$B13,$B13)=COUNTIFS(QC_LOT,$C13,QC_DATE,$B13),1,0)))</f>
        <v>0</v>
      </c>
      <c r="U13" s="26" t="str">
        <f aca="false">IF($T13=1,$C13,"")</f>
        <v/>
      </c>
      <c r="V13" s="28" t="n">
        <f aca="false">IF($C13="",0,IF($C13=R_LOT,1,0))</f>
        <v>0</v>
      </c>
      <c r="W13" s="26" t="str">
        <f aca="false">IF($V13=0,"",COUNTIF($V$5:$V13,1))</f>
        <v/>
      </c>
    </row>
    <row r="14" customFormat="false" ht="15" hidden="false" customHeight="false" outlineLevel="0" collapsed="false">
      <c r="A14" s="26" t="str">
        <f aca="false">IF($C14="","","QC-"&amp;TEXT(ROW()-4,"000"))</f>
        <v/>
      </c>
      <c r="B14" s="25"/>
      <c r="C14" s="24"/>
      <c r="D14" s="24"/>
      <c r="E14" s="24"/>
      <c r="F14" s="32"/>
      <c r="G14" s="33"/>
      <c r="H14" s="24"/>
      <c r="I14" s="24"/>
      <c r="J14" s="24"/>
      <c r="K14" s="24"/>
      <c r="L14" s="24"/>
      <c r="M14" s="24"/>
      <c r="N14" s="26" t="str">
        <f aca="false">IF($C14="","",IFERROR(INDEX(LOT_EXTE,MATCH($C14,LOT_KEY,0)),""))</f>
        <v/>
      </c>
      <c r="O14" s="26" t="str">
        <f aca="false">IF($C14="","",IFERROR(INDEX(LOT_PRODE,MATCH($C14,LOT_KEY,0)),"LOT NON REFERENCE"))</f>
        <v/>
      </c>
      <c r="P14" s="26" t="str">
        <f aca="false">IF($C14="","",IFERROR(INDEX(LOT_CONSERVE,MATCH($C14,LOT_KEY,0)),""))</f>
        <v/>
      </c>
      <c r="Q14" s="27" t="str">
        <f aca="false">IF(OR($C14="",$D14=""),"",SUMIFS(MVT_NET,MVT_LOT,$C14,MVT_EMPL,$D14))</f>
        <v/>
      </c>
      <c r="R14" s="26" t="str">
        <f aca="false">IF($C14="","",IF(OR($B14="",AND($F14="",$G14="",$H14="",$I14="",$J14="",$K14="")),"DONNEES MANQUANTES",IF(AND($D14&lt;&gt;"",$Q14&lt;=0),"EMPLACEMENT INCOHERENT","OK")))</f>
        <v/>
      </c>
      <c r="S14" s="26" t="str">
        <f aca="false">IF($C14="","",IF(AND(ISNUMBER($G14),$G14&gt;P_HIST),"HISTAMINE "&amp;TEXT($G14,"#,##0")&amp;" PPM &gt; seuil "&amp;TEXT(P_HIST,"#,##0")&amp;". ","")&amp;IF(AND(ISNUMBER($F14),$P14="CONGELE",$F14&gt;P_TCONG),"TEMPERATURE "&amp;TEXT($F14,"0.0")&amp;" C hors seuil congele. ","")&amp;IF(AND(ISNUMBER($F14),$P14="FRAIS",$F14&gt;P_TFRAIS),"TEMPERATURE "&amp;TEXT($F14,"0.0")&amp;" C hors seuil frais. ","")&amp;IF($K14="BLOQUER","Lot bloque qualite : stock signale mais inchange. ","")&amp;IF($R14="EMPLACEMENT INCOHERENT","Lot absent de cet emplacement : controle conserve, stock inchange. ","")&amp;IF($R14="DONNEES MANQUANTES","Renseigner la DATE et au moins une mesure. ",""))</f>
        <v/>
      </c>
      <c r="T14" s="28" t="n">
        <f aca="false">IF(OR($C14="",$B14=""),0,IF(COUNTIFS(QC_LOT,$C14,QC_DATE,"&gt;"&amp;$B14)&gt;0,0,IF(COUNTIFS($C$5:$C14,$C14,$B$5:$B14,$B14)=COUNTIFS(QC_LOT,$C14,QC_DATE,$B14),1,0)))</f>
        <v>0</v>
      </c>
      <c r="U14" s="26" t="str">
        <f aca="false">IF($T14=1,$C14,"")</f>
        <v/>
      </c>
      <c r="V14" s="28" t="n">
        <f aca="false">IF($C14="",0,IF($C14=R_LOT,1,0))</f>
        <v>0</v>
      </c>
      <c r="W14" s="26" t="str">
        <f aca="false">IF($V14=0,"",COUNTIF($V$5:$V14,1))</f>
        <v/>
      </c>
    </row>
    <row r="15" customFormat="false" ht="15" hidden="false" customHeight="false" outlineLevel="0" collapsed="false">
      <c r="A15" s="26" t="str">
        <f aca="false">IF($C15="","","QC-"&amp;TEXT(ROW()-4,"000"))</f>
        <v/>
      </c>
      <c r="B15" s="25"/>
      <c r="C15" s="24"/>
      <c r="D15" s="24"/>
      <c r="E15" s="24"/>
      <c r="F15" s="32"/>
      <c r="G15" s="33"/>
      <c r="H15" s="24"/>
      <c r="I15" s="24"/>
      <c r="J15" s="24"/>
      <c r="K15" s="24"/>
      <c r="L15" s="24"/>
      <c r="M15" s="24"/>
      <c r="N15" s="26" t="str">
        <f aca="false">IF($C15="","",IFERROR(INDEX(LOT_EXTE,MATCH($C15,LOT_KEY,0)),""))</f>
        <v/>
      </c>
      <c r="O15" s="26" t="str">
        <f aca="false">IF($C15="","",IFERROR(INDEX(LOT_PRODE,MATCH($C15,LOT_KEY,0)),"LOT NON REFERENCE"))</f>
        <v/>
      </c>
      <c r="P15" s="26" t="str">
        <f aca="false">IF($C15="","",IFERROR(INDEX(LOT_CONSERVE,MATCH($C15,LOT_KEY,0)),""))</f>
        <v/>
      </c>
      <c r="Q15" s="27" t="str">
        <f aca="false">IF(OR($C15="",$D15=""),"",SUMIFS(MVT_NET,MVT_LOT,$C15,MVT_EMPL,$D15))</f>
        <v/>
      </c>
      <c r="R15" s="26" t="str">
        <f aca="false">IF($C15="","",IF(OR($B15="",AND($F15="",$G15="",$H15="",$I15="",$J15="",$K15="")),"DONNEES MANQUANTES",IF(AND($D15&lt;&gt;"",$Q15&lt;=0),"EMPLACEMENT INCOHERENT","OK")))</f>
        <v/>
      </c>
      <c r="S15" s="26" t="str">
        <f aca="false">IF($C15="","",IF(AND(ISNUMBER($G15),$G15&gt;P_HIST),"HISTAMINE "&amp;TEXT($G15,"#,##0")&amp;" PPM &gt; seuil "&amp;TEXT(P_HIST,"#,##0")&amp;". ","")&amp;IF(AND(ISNUMBER($F15),$P15="CONGELE",$F15&gt;P_TCONG),"TEMPERATURE "&amp;TEXT($F15,"0.0")&amp;" C hors seuil congele. ","")&amp;IF(AND(ISNUMBER($F15),$P15="FRAIS",$F15&gt;P_TFRAIS),"TEMPERATURE "&amp;TEXT($F15,"0.0")&amp;" C hors seuil frais. ","")&amp;IF($K15="BLOQUER","Lot bloque qualite : stock signale mais inchange. ","")&amp;IF($R15="EMPLACEMENT INCOHERENT","Lot absent de cet emplacement : controle conserve, stock inchange. ","")&amp;IF($R15="DONNEES MANQUANTES","Renseigner la DATE et au moins une mesure. ",""))</f>
        <v/>
      </c>
      <c r="T15" s="28" t="n">
        <f aca="false">IF(OR($C15="",$B15=""),0,IF(COUNTIFS(QC_LOT,$C15,QC_DATE,"&gt;"&amp;$B15)&gt;0,0,IF(COUNTIFS($C$5:$C15,$C15,$B$5:$B15,$B15)=COUNTIFS(QC_LOT,$C15,QC_DATE,$B15),1,0)))</f>
        <v>0</v>
      </c>
      <c r="U15" s="26" t="str">
        <f aca="false">IF($T15=1,$C15,"")</f>
        <v/>
      </c>
      <c r="V15" s="28" t="n">
        <f aca="false">IF($C15="",0,IF($C15=R_LOT,1,0))</f>
        <v>0</v>
      </c>
      <c r="W15" s="26" t="str">
        <f aca="false">IF($V15=0,"",COUNTIF($V$5:$V15,1))</f>
        <v/>
      </c>
    </row>
    <row r="16" customFormat="false" ht="15" hidden="false" customHeight="false" outlineLevel="0" collapsed="false">
      <c r="A16" s="26" t="str">
        <f aca="false">IF($C16="","","QC-"&amp;TEXT(ROW()-4,"000"))</f>
        <v/>
      </c>
      <c r="B16" s="25"/>
      <c r="C16" s="24"/>
      <c r="D16" s="24"/>
      <c r="E16" s="24"/>
      <c r="F16" s="32"/>
      <c r="G16" s="33"/>
      <c r="H16" s="24"/>
      <c r="I16" s="24"/>
      <c r="J16" s="24"/>
      <c r="K16" s="24"/>
      <c r="L16" s="24"/>
      <c r="M16" s="24"/>
      <c r="N16" s="26" t="str">
        <f aca="false">IF($C16="","",IFERROR(INDEX(LOT_EXTE,MATCH($C16,LOT_KEY,0)),""))</f>
        <v/>
      </c>
      <c r="O16" s="26" t="str">
        <f aca="false">IF($C16="","",IFERROR(INDEX(LOT_PRODE,MATCH($C16,LOT_KEY,0)),"LOT NON REFERENCE"))</f>
        <v/>
      </c>
      <c r="P16" s="26" t="str">
        <f aca="false">IF($C16="","",IFERROR(INDEX(LOT_CONSERVE,MATCH($C16,LOT_KEY,0)),""))</f>
        <v/>
      </c>
      <c r="Q16" s="27" t="str">
        <f aca="false">IF(OR($C16="",$D16=""),"",SUMIFS(MVT_NET,MVT_LOT,$C16,MVT_EMPL,$D16))</f>
        <v/>
      </c>
      <c r="R16" s="26" t="str">
        <f aca="false">IF($C16="","",IF(OR($B16="",AND($F16="",$G16="",$H16="",$I16="",$J16="",$K16="")),"DONNEES MANQUANTES",IF(AND($D16&lt;&gt;"",$Q16&lt;=0),"EMPLACEMENT INCOHERENT","OK")))</f>
        <v/>
      </c>
      <c r="S16" s="26" t="str">
        <f aca="false">IF($C16="","",IF(AND(ISNUMBER($G16),$G16&gt;P_HIST),"HISTAMINE "&amp;TEXT($G16,"#,##0")&amp;" PPM &gt; seuil "&amp;TEXT(P_HIST,"#,##0")&amp;". ","")&amp;IF(AND(ISNUMBER($F16),$P16="CONGELE",$F16&gt;P_TCONG),"TEMPERATURE "&amp;TEXT($F16,"0.0")&amp;" C hors seuil congele. ","")&amp;IF(AND(ISNUMBER($F16),$P16="FRAIS",$F16&gt;P_TFRAIS),"TEMPERATURE "&amp;TEXT($F16,"0.0")&amp;" C hors seuil frais. ","")&amp;IF($K16="BLOQUER","Lot bloque qualite : stock signale mais inchange. ","")&amp;IF($R16="EMPLACEMENT INCOHERENT","Lot absent de cet emplacement : controle conserve, stock inchange. ","")&amp;IF($R16="DONNEES MANQUANTES","Renseigner la DATE et au moins une mesure. ",""))</f>
        <v/>
      </c>
      <c r="T16" s="28" t="n">
        <f aca="false">IF(OR($C16="",$B16=""),0,IF(COUNTIFS(QC_LOT,$C16,QC_DATE,"&gt;"&amp;$B16)&gt;0,0,IF(COUNTIFS($C$5:$C16,$C16,$B$5:$B16,$B16)=COUNTIFS(QC_LOT,$C16,QC_DATE,$B16),1,0)))</f>
        <v>0</v>
      </c>
      <c r="U16" s="26" t="str">
        <f aca="false">IF($T16=1,$C16,"")</f>
        <v/>
      </c>
      <c r="V16" s="28" t="n">
        <f aca="false">IF($C16="",0,IF($C16=R_LOT,1,0))</f>
        <v>0</v>
      </c>
      <c r="W16" s="26" t="str">
        <f aca="false">IF($V16=0,"",COUNTIF($V$5:$V16,1))</f>
        <v/>
      </c>
    </row>
    <row r="17" customFormat="false" ht="15" hidden="false" customHeight="false" outlineLevel="0" collapsed="false">
      <c r="A17" s="26" t="str">
        <f aca="false">IF($C17="","","QC-"&amp;TEXT(ROW()-4,"000"))</f>
        <v/>
      </c>
      <c r="B17" s="25"/>
      <c r="C17" s="24"/>
      <c r="D17" s="24"/>
      <c r="E17" s="24"/>
      <c r="F17" s="32"/>
      <c r="G17" s="33"/>
      <c r="H17" s="24"/>
      <c r="I17" s="24"/>
      <c r="J17" s="24"/>
      <c r="K17" s="24"/>
      <c r="L17" s="24"/>
      <c r="M17" s="24"/>
      <c r="N17" s="26" t="str">
        <f aca="false">IF($C17="","",IFERROR(INDEX(LOT_EXTE,MATCH($C17,LOT_KEY,0)),""))</f>
        <v/>
      </c>
      <c r="O17" s="26" t="str">
        <f aca="false">IF($C17="","",IFERROR(INDEX(LOT_PRODE,MATCH($C17,LOT_KEY,0)),"LOT NON REFERENCE"))</f>
        <v/>
      </c>
      <c r="P17" s="26" t="str">
        <f aca="false">IF($C17="","",IFERROR(INDEX(LOT_CONSERVE,MATCH($C17,LOT_KEY,0)),""))</f>
        <v/>
      </c>
      <c r="Q17" s="27" t="str">
        <f aca="false">IF(OR($C17="",$D17=""),"",SUMIFS(MVT_NET,MVT_LOT,$C17,MVT_EMPL,$D17))</f>
        <v/>
      </c>
      <c r="R17" s="26" t="str">
        <f aca="false">IF($C17="","",IF(OR($B17="",AND($F17="",$G17="",$H17="",$I17="",$J17="",$K17="")),"DONNEES MANQUANTES",IF(AND($D17&lt;&gt;"",$Q17&lt;=0),"EMPLACEMENT INCOHERENT","OK")))</f>
        <v/>
      </c>
      <c r="S17" s="26" t="str">
        <f aca="false">IF($C17="","",IF(AND(ISNUMBER($G17),$G17&gt;P_HIST),"HISTAMINE "&amp;TEXT($G17,"#,##0")&amp;" PPM &gt; seuil "&amp;TEXT(P_HIST,"#,##0")&amp;". ","")&amp;IF(AND(ISNUMBER($F17),$P17="CONGELE",$F17&gt;P_TCONG),"TEMPERATURE "&amp;TEXT($F17,"0.0")&amp;" C hors seuil congele. ","")&amp;IF(AND(ISNUMBER($F17),$P17="FRAIS",$F17&gt;P_TFRAIS),"TEMPERATURE "&amp;TEXT($F17,"0.0")&amp;" C hors seuil frais. ","")&amp;IF($K17="BLOQUER","Lot bloque qualite : stock signale mais inchange. ","")&amp;IF($R17="EMPLACEMENT INCOHERENT","Lot absent de cet emplacement : controle conserve, stock inchange. ","")&amp;IF($R17="DONNEES MANQUANTES","Renseigner la DATE et au moins une mesure. ",""))</f>
        <v/>
      </c>
      <c r="T17" s="28" t="n">
        <f aca="false">IF(OR($C17="",$B17=""),0,IF(COUNTIFS(QC_LOT,$C17,QC_DATE,"&gt;"&amp;$B17)&gt;0,0,IF(COUNTIFS($C$5:$C17,$C17,$B$5:$B17,$B17)=COUNTIFS(QC_LOT,$C17,QC_DATE,$B17),1,0)))</f>
        <v>0</v>
      </c>
      <c r="U17" s="26" t="str">
        <f aca="false">IF($T17=1,$C17,"")</f>
        <v/>
      </c>
      <c r="V17" s="28" t="n">
        <f aca="false">IF($C17="",0,IF($C17=R_LOT,1,0))</f>
        <v>0</v>
      </c>
      <c r="W17" s="26" t="str">
        <f aca="false">IF($V17=0,"",COUNTIF($V$5:$V17,1))</f>
        <v/>
      </c>
    </row>
    <row r="18" customFormat="false" ht="15" hidden="false" customHeight="false" outlineLevel="0" collapsed="false">
      <c r="A18" s="26" t="str">
        <f aca="false">IF($C18="","","QC-"&amp;TEXT(ROW()-4,"000"))</f>
        <v/>
      </c>
      <c r="B18" s="25"/>
      <c r="C18" s="24"/>
      <c r="D18" s="24"/>
      <c r="E18" s="24"/>
      <c r="F18" s="32"/>
      <c r="G18" s="33"/>
      <c r="H18" s="24"/>
      <c r="I18" s="24"/>
      <c r="J18" s="24"/>
      <c r="K18" s="24"/>
      <c r="L18" s="24"/>
      <c r="M18" s="24"/>
      <c r="N18" s="26" t="str">
        <f aca="false">IF($C18="","",IFERROR(INDEX(LOT_EXTE,MATCH($C18,LOT_KEY,0)),""))</f>
        <v/>
      </c>
      <c r="O18" s="26" t="str">
        <f aca="false">IF($C18="","",IFERROR(INDEX(LOT_PRODE,MATCH($C18,LOT_KEY,0)),"LOT NON REFERENCE"))</f>
        <v/>
      </c>
      <c r="P18" s="26" t="str">
        <f aca="false">IF($C18="","",IFERROR(INDEX(LOT_CONSERVE,MATCH($C18,LOT_KEY,0)),""))</f>
        <v/>
      </c>
      <c r="Q18" s="27" t="str">
        <f aca="false">IF(OR($C18="",$D18=""),"",SUMIFS(MVT_NET,MVT_LOT,$C18,MVT_EMPL,$D18))</f>
        <v/>
      </c>
      <c r="R18" s="26" t="str">
        <f aca="false">IF($C18="","",IF(OR($B18="",AND($F18="",$G18="",$H18="",$I18="",$J18="",$K18="")),"DONNEES MANQUANTES",IF(AND($D18&lt;&gt;"",$Q18&lt;=0),"EMPLACEMENT INCOHERENT","OK")))</f>
        <v/>
      </c>
      <c r="S18" s="26" t="str">
        <f aca="false">IF($C18="","",IF(AND(ISNUMBER($G18),$G18&gt;P_HIST),"HISTAMINE "&amp;TEXT($G18,"#,##0")&amp;" PPM &gt; seuil "&amp;TEXT(P_HIST,"#,##0")&amp;". ","")&amp;IF(AND(ISNUMBER($F18),$P18="CONGELE",$F18&gt;P_TCONG),"TEMPERATURE "&amp;TEXT($F18,"0.0")&amp;" C hors seuil congele. ","")&amp;IF(AND(ISNUMBER($F18),$P18="FRAIS",$F18&gt;P_TFRAIS),"TEMPERATURE "&amp;TEXT($F18,"0.0")&amp;" C hors seuil frais. ","")&amp;IF($K18="BLOQUER","Lot bloque qualite : stock signale mais inchange. ","")&amp;IF($R18="EMPLACEMENT INCOHERENT","Lot absent de cet emplacement : controle conserve, stock inchange. ","")&amp;IF($R18="DONNEES MANQUANTES","Renseigner la DATE et au moins une mesure. ",""))</f>
        <v/>
      </c>
      <c r="T18" s="28" t="n">
        <f aca="false">IF(OR($C18="",$B18=""),0,IF(COUNTIFS(QC_LOT,$C18,QC_DATE,"&gt;"&amp;$B18)&gt;0,0,IF(COUNTIFS($C$5:$C18,$C18,$B$5:$B18,$B18)=COUNTIFS(QC_LOT,$C18,QC_DATE,$B18),1,0)))</f>
        <v>0</v>
      </c>
      <c r="U18" s="26" t="str">
        <f aca="false">IF($T18=1,$C18,"")</f>
        <v/>
      </c>
      <c r="V18" s="28" t="n">
        <f aca="false">IF($C18="",0,IF($C18=R_LOT,1,0))</f>
        <v>0</v>
      </c>
      <c r="W18" s="26" t="str">
        <f aca="false">IF($V18=0,"",COUNTIF($V$5:$V18,1))</f>
        <v/>
      </c>
    </row>
    <row r="19" customFormat="false" ht="15" hidden="false" customHeight="false" outlineLevel="0" collapsed="false">
      <c r="A19" s="26" t="str">
        <f aca="false">IF($C19="","","QC-"&amp;TEXT(ROW()-4,"000"))</f>
        <v/>
      </c>
      <c r="B19" s="25"/>
      <c r="C19" s="24"/>
      <c r="D19" s="24"/>
      <c r="E19" s="24"/>
      <c r="F19" s="32"/>
      <c r="G19" s="33"/>
      <c r="H19" s="24"/>
      <c r="I19" s="24"/>
      <c r="J19" s="24"/>
      <c r="K19" s="24"/>
      <c r="L19" s="24"/>
      <c r="M19" s="24"/>
      <c r="N19" s="26" t="str">
        <f aca="false">IF($C19="","",IFERROR(INDEX(LOT_EXTE,MATCH($C19,LOT_KEY,0)),""))</f>
        <v/>
      </c>
      <c r="O19" s="26" t="str">
        <f aca="false">IF($C19="","",IFERROR(INDEX(LOT_PRODE,MATCH($C19,LOT_KEY,0)),"LOT NON REFERENCE"))</f>
        <v/>
      </c>
      <c r="P19" s="26" t="str">
        <f aca="false">IF($C19="","",IFERROR(INDEX(LOT_CONSERVE,MATCH($C19,LOT_KEY,0)),""))</f>
        <v/>
      </c>
      <c r="Q19" s="27" t="str">
        <f aca="false">IF(OR($C19="",$D19=""),"",SUMIFS(MVT_NET,MVT_LOT,$C19,MVT_EMPL,$D19))</f>
        <v/>
      </c>
      <c r="R19" s="26" t="str">
        <f aca="false">IF($C19="","",IF(OR($B19="",AND($F19="",$G19="",$H19="",$I19="",$J19="",$K19="")),"DONNEES MANQUANTES",IF(AND($D19&lt;&gt;"",$Q19&lt;=0),"EMPLACEMENT INCOHERENT","OK")))</f>
        <v/>
      </c>
      <c r="S19" s="26" t="str">
        <f aca="false">IF($C19="","",IF(AND(ISNUMBER($G19),$G19&gt;P_HIST),"HISTAMINE "&amp;TEXT($G19,"#,##0")&amp;" PPM &gt; seuil "&amp;TEXT(P_HIST,"#,##0")&amp;". ","")&amp;IF(AND(ISNUMBER($F19),$P19="CONGELE",$F19&gt;P_TCONG),"TEMPERATURE "&amp;TEXT($F19,"0.0")&amp;" C hors seuil congele. ","")&amp;IF(AND(ISNUMBER($F19),$P19="FRAIS",$F19&gt;P_TFRAIS),"TEMPERATURE "&amp;TEXT($F19,"0.0")&amp;" C hors seuil frais. ","")&amp;IF($K19="BLOQUER","Lot bloque qualite : stock signale mais inchange. ","")&amp;IF($R19="EMPLACEMENT INCOHERENT","Lot absent de cet emplacement : controle conserve, stock inchange. ","")&amp;IF($R19="DONNEES MANQUANTES","Renseigner la DATE et au moins une mesure. ",""))</f>
        <v/>
      </c>
      <c r="T19" s="28" t="n">
        <f aca="false">IF(OR($C19="",$B19=""),0,IF(COUNTIFS(QC_LOT,$C19,QC_DATE,"&gt;"&amp;$B19)&gt;0,0,IF(COUNTIFS($C$5:$C19,$C19,$B$5:$B19,$B19)=COUNTIFS(QC_LOT,$C19,QC_DATE,$B19),1,0)))</f>
        <v>0</v>
      </c>
      <c r="U19" s="26" t="str">
        <f aca="false">IF($T19=1,$C19,"")</f>
        <v/>
      </c>
      <c r="V19" s="28" t="n">
        <f aca="false">IF($C19="",0,IF($C19=R_LOT,1,0))</f>
        <v>0</v>
      </c>
      <c r="W19" s="26" t="str">
        <f aca="false">IF($V19=0,"",COUNTIF($V$5:$V19,1))</f>
        <v/>
      </c>
    </row>
    <row r="20" customFormat="false" ht="15" hidden="false" customHeight="false" outlineLevel="0" collapsed="false">
      <c r="A20" s="26" t="str">
        <f aca="false">IF($C20="","","QC-"&amp;TEXT(ROW()-4,"000"))</f>
        <v/>
      </c>
      <c r="B20" s="25"/>
      <c r="C20" s="24"/>
      <c r="D20" s="24"/>
      <c r="E20" s="24"/>
      <c r="F20" s="32"/>
      <c r="G20" s="33"/>
      <c r="H20" s="24"/>
      <c r="I20" s="24"/>
      <c r="J20" s="24"/>
      <c r="K20" s="24"/>
      <c r="L20" s="24"/>
      <c r="M20" s="24"/>
      <c r="N20" s="26" t="str">
        <f aca="false">IF($C20="","",IFERROR(INDEX(LOT_EXTE,MATCH($C20,LOT_KEY,0)),""))</f>
        <v/>
      </c>
      <c r="O20" s="26" t="str">
        <f aca="false">IF($C20="","",IFERROR(INDEX(LOT_PRODE,MATCH($C20,LOT_KEY,0)),"LOT NON REFERENCE"))</f>
        <v/>
      </c>
      <c r="P20" s="26" t="str">
        <f aca="false">IF($C20="","",IFERROR(INDEX(LOT_CONSERVE,MATCH($C20,LOT_KEY,0)),""))</f>
        <v/>
      </c>
      <c r="Q20" s="27" t="str">
        <f aca="false">IF(OR($C20="",$D20=""),"",SUMIFS(MVT_NET,MVT_LOT,$C20,MVT_EMPL,$D20))</f>
        <v/>
      </c>
      <c r="R20" s="26" t="str">
        <f aca="false">IF($C20="","",IF(OR($B20="",AND($F20="",$G20="",$H20="",$I20="",$J20="",$K20="")),"DONNEES MANQUANTES",IF(AND($D20&lt;&gt;"",$Q20&lt;=0),"EMPLACEMENT INCOHERENT","OK")))</f>
        <v/>
      </c>
      <c r="S20" s="26" t="str">
        <f aca="false">IF($C20="","",IF(AND(ISNUMBER($G20),$G20&gt;P_HIST),"HISTAMINE "&amp;TEXT($G20,"#,##0")&amp;" PPM &gt; seuil "&amp;TEXT(P_HIST,"#,##0")&amp;". ","")&amp;IF(AND(ISNUMBER($F20),$P20="CONGELE",$F20&gt;P_TCONG),"TEMPERATURE "&amp;TEXT($F20,"0.0")&amp;" C hors seuil congele. ","")&amp;IF(AND(ISNUMBER($F20),$P20="FRAIS",$F20&gt;P_TFRAIS),"TEMPERATURE "&amp;TEXT($F20,"0.0")&amp;" C hors seuil frais. ","")&amp;IF($K20="BLOQUER","Lot bloque qualite : stock signale mais inchange. ","")&amp;IF($R20="EMPLACEMENT INCOHERENT","Lot absent de cet emplacement : controle conserve, stock inchange. ","")&amp;IF($R20="DONNEES MANQUANTES","Renseigner la DATE et au moins une mesure. ",""))</f>
        <v/>
      </c>
      <c r="T20" s="28" t="n">
        <f aca="false">IF(OR($C20="",$B20=""),0,IF(COUNTIFS(QC_LOT,$C20,QC_DATE,"&gt;"&amp;$B20)&gt;0,0,IF(COUNTIFS($C$5:$C20,$C20,$B$5:$B20,$B20)=COUNTIFS(QC_LOT,$C20,QC_DATE,$B20),1,0)))</f>
        <v>0</v>
      </c>
      <c r="U20" s="26" t="str">
        <f aca="false">IF($T20=1,$C20,"")</f>
        <v/>
      </c>
      <c r="V20" s="28" t="n">
        <f aca="false">IF($C20="",0,IF($C20=R_LOT,1,0))</f>
        <v>0</v>
      </c>
      <c r="W20" s="26" t="str">
        <f aca="false">IF($V20=0,"",COUNTIF($V$5:$V20,1))</f>
        <v/>
      </c>
    </row>
    <row r="21" customFormat="false" ht="15" hidden="false" customHeight="false" outlineLevel="0" collapsed="false">
      <c r="A21" s="26" t="str">
        <f aca="false">IF($C21="","","QC-"&amp;TEXT(ROW()-4,"000"))</f>
        <v/>
      </c>
      <c r="B21" s="25"/>
      <c r="C21" s="24"/>
      <c r="D21" s="24"/>
      <c r="E21" s="24"/>
      <c r="F21" s="32"/>
      <c r="G21" s="33"/>
      <c r="H21" s="24"/>
      <c r="I21" s="24"/>
      <c r="J21" s="24"/>
      <c r="K21" s="24"/>
      <c r="L21" s="24"/>
      <c r="M21" s="24"/>
      <c r="N21" s="26" t="str">
        <f aca="false">IF($C21="","",IFERROR(INDEX(LOT_EXTE,MATCH($C21,LOT_KEY,0)),""))</f>
        <v/>
      </c>
      <c r="O21" s="26" t="str">
        <f aca="false">IF($C21="","",IFERROR(INDEX(LOT_PRODE,MATCH($C21,LOT_KEY,0)),"LOT NON REFERENCE"))</f>
        <v/>
      </c>
      <c r="P21" s="26" t="str">
        <f aca="false">IF($C21="","",IFERROR(INDEX(LOT_CONSERVE,MATCH($C21,LOT_KEY,0)),""))</f>
        <v/>
      </c>
      <c r="Q21" s="27" t="str">
        <f aca="false">IF(OR($C21="",$D21=""),"",SUMIFS(MVT_NET,MVT_LOT,$C21,MVT_EMPL,$D21))</f>
        <v/>
      </c>
      <c r="R21" s="26" t="str">
        <f aca="false">IF($C21="","",IF(OR($B21="",AND($F21="",$G21="",$H21="",$I21="",$J21="",$K21="")),"DONNEES MANQUANTES",IF(AND($D21&lt;&gt;"",$Q21&lt;=0),"EMPLACEMENT INCOHERENT","OK")))</f>
        <v/>
      </c>
      <c r="S21" s="26" t="str">
        <f aca="false">IF($C21="","",IF(AND(ISNUMBER($G21),$G21&gt;P_HIST),"HISTAMINE "&amp;TEXT($G21,"#,##0")&amp;" PPM &gt; seuil "&amp;TEXT(P_HIST,"#,##0")&amp;". ","")&amp;IF(AND(ISNUMBER($F21),$P21="CONGELE",$F21&gt;P_TCONG),"TEMPERATURE "&amp;TEXT($F21,"0.0")&amp;" C hors seuil congele. ","")&amp;IF(AND(ISNUMBER($F21),$P21="FRAIS",$F21&gt;P_TFRAIS),"TEMPERATURE "&amp;TEXT($F21,"0.0")&amp;" C hors seuil frais. ","")&amp;IF($K21="BLOQUER","Lot bloque qualite : stock signale mais inchange. ","")&amp;IF($R21="EMPLACEMENT INCOHERENT","Lot absent de cet emplacement : controle conserve, stock inchange. ","")&amp;IF($R21="DONNEES MANQUANTES","Renseigner la DATE et au moins une mesure. ",""))</f>
        <v/>
      </c>
      <c r="T21" s="28" t="n">
        <f aca="false">IF(OR($C21="",$B21=""),0,IF(COUNTIFS(QC_LOT,$C21,QC_DATE,"&gt;"&amp;$B21)&gt;0,0,IF(COUNTIFS($C$5:$C21,$C21,$B$5:$B21,$B21)=COUNTIFS(QC_LOT,$C21,QC_DATE,$B21),1,0)))</f>
        <v>0</v>
      </c>
      <c r="U21" s="26" t="str">
        <f aca="false">IF($T21=1,$C21,"")</f>
        <v/>
      </c>
      <c r="V21" s="28" t="n">
        <f aca="false">IF($C21="",0,IF($C21=R_LOT,1,0))</f>
        <v>0</v>
      </c>
      <c r="W21" s="26" t="str">
        <f aca="false">IF($V21=0,"",COUNTIF($V$5:$V21,1))</f>
        <v/>
      </c>
    </row>
    <row r="22" customFormat="false" ht="15" hidden="false" customHeight="false" outlineLevel="0" collapsed="false">
      <c r="A22" s="26" t="str">
        <f aca="false">IF($C22="","","QC-"&amp;TEXT(ROW()-4,"000"))</f>
        <v/>
      </c>
      <c r="B22" s="25"/>
      <c r="C22" s="24"/>
      <c r="D22" s="24"/>
      <c r="E22" s="24"/>
      <c r="F22" s="32"/>
      <c r="G22" s="33"/>
      <c r="H22" s="24"/>
      <c r="I22" s="24"/>
      <c r="J22" s="24"/>
      <c r="K22" s="24"/>
      <c r="L22" s="24"/>
      <c r="M22" s="24"/>
      <c r="N22" s="26" t="str">
        <f aca="false">IF($C22="","",IFERROR(INDEX(LOT_EXTE,MATCH($C22,LOT_KEY,0)),""))</f>
        <v/>
      </c>
      <c r="O22" s="26" t="str">
        <f aca="false">IF($C22="","",IFERROR(INDEX(LOT_PRODE,MATCH($C22,LOT_KEY,0)),"LOT NON REFERENCE"))</f>
        <v/>
      </c>
      <c r="P22" s="26" t="str">
        <f aca="false">IF($C22="","",IFERROR(INDEX(LOT_CONSERVE,MATCH($C22,LOT_KEY,0)),""))</f>
        <v/>
      </c>
      <c r="Q22" s="27" t="str">
        <f aca="false">IF(OR($C22="",$D22=""),"",SUMIFS(MVT_NET,MVT_LOT,$C22,MVT_EMPL,$D22))</f>
        <v/>
      </c>
      <c r="R22" s="26" t="str">
        <f aca="false">IF($C22="","",IF(OR($B22="",AND($F22="",$G22="",$H22="",$I22="",$J22="",$K22="")),"DONNEES MANQUANTES",IF(AND($D22&lt;&gt;"",$Q22&lt;=0),"EMPLACEMENT INCOHERENT","OK")))</f>
        <v/>
      </c>
      <c r="S22" s="26" t="str">
        <f aca="false">IF($C22="","",IF(AND(ISNUMBER($G22),$G22&gt;P_HIST),"HISTAMINE "&amp;TEXT($G22,"#,##0")&amp;" PPM &gt; seuil "&amp;TEXT(P_HIST,"#,##0")&amp;". ","")&amp;IF(AND(ISNUMBER($F22),$P22="CONGELE",$F22&gt;P_TCONG),"TEMPERATURE "&amp;TEXT($F22,"0.0")&amp;" C hors seuil congele. ","")&amp;IF(AND(ISNUMBER($F22),$P22="FRAIS",$F22&gt;P_TFRAIS),"TEMPERATURE "&amp;TEXT($F22,"0.0")&amp;" C hors seuil frais. ","")&amp;IF($K22="BLOQUER","Lot bloque qualite : stock signale mais inchange. ","")&amp;IF($R22="EMPLACEMENT INCOHERENT","Lot absent de cet emplacement : controle conserve, stock inchange. ","")&amp;IF($R22="DONNEES MANQUANTES","Renseigner la DATE et au moins une mesure. ",""))</f>
        <v/>
      </c>
      <c r="T22" s="28" t="n">
        <f aca="false">IF(OR($C22="",$B22=""),0,IF(COUNTIFS(QC_LOT,$C22,QC_DATE,"&gt;"&amp;$B22)&gt;0,0,IF(COUNTIFS($C$5:$C22,$C22,$B$5:$B22,$B22)=COUNTIFS(QC_LOT,$C22,QC_DATE,$B22),1,0)))</f>
        <v>0</v>
      </c>
      <c r="U22" s="26" t="str">
        <f aca="false">IF($T22=1,$C22,"")</f>
        <v/>
      </c>
      <c r="V22" s="28" t="n">
        <f aca="false">IF($C22="",0,IF($C22=R_LOT,1,0))</f>
        <v>0</v>
      </c>
      <c r="W22" s="26" t="str">
        <f aca="false">IF($V22=0,"",COUNTIF($V$5:$V22,1))</f>
        <v/>
      </c>
    </row>
    <row r="23" customFormat="false" ht="15" hidden="false" customHeight="false" outlineLevel="0" collapsed="false">
      <c r="A23" s="26" t="str">
        <f aca="false">IF($C23="","","QC-"&amp;TEXT(ROW()-4,"000"))</f>
        <v/>
      </c>
      <c r="B23" s="25"/>
      <c r="C23" s="24"/>
      <c r="D23" s="24"/>
      <c r="E23" s="24"/>
      <c r="F23" s="32"/>
      <c r="G23" s="33"/>
      <c r="H23" s="24"/>
      <c r="I23" s="24"/>
      <c r="J23" s="24"/>
      <c r="K23" s="24"/>
      <c r="L23" s="24"/>
      <c r="M23" s="24"/>
      <c r="N23" s="26" t="str">
        <f aca="false">IF($C23="","",IFERROR(INDEX(LOT_EXTE,MATCH($C23,LOT_KEY,0)),""))</f>
        <v/>
      </c>
      <c r="O23" s="26" t="str">
        <f aca="false">IF($C23="","",IFERROR(INDEX(LOT_PRODE,MATCH($C23,LOT_KEY,0)),"LOT NON REFERENCE"))</f>
        <v/>
      </c>
      <c r="P23" s="26" t="str">
        <f aca="false">IF($C23="","",IFERROR(INDEX(LOT_CONSERVE,MATCH($C23,LOT_KEY,0)),""))</f>
        <v/>
      </c>
      <c r="Q23" s="27" t="str">
        <f aca="false">IF(OR($C23="",$D23=""),"",SUMIFS(MVT_NET,MVT_LOT,$C23,MVT_EMPL,$D23))</f>
        <v/>
      </c>
      <c r="R23" s="26" t="str">
        <f aca="false">IF($C23="","",IF(OR($B23="",AND($F23="",$G23="",$H23="",$I23="",$J23="",$K23="")),"DONNEES MANQUANTES",IF(AND($D23&lt;&gt;"",$Q23&lt;=0),"EMPLACEMENT INCOHERENT","OK")))</f>
        <v/>
      </c>
      <c r="S23" s="26" t="str">
        <f aca="false">IF($C23="","",IF(AND(ISNUMBER($G23),$G23&gt;P_HIST),"HISTAMINE "&amp;TEXT($G23,"#,##0")&amp;" PPM &gt; seuil "&amp;TEXT(P_HIST,"#,##0")&amp;". ","")&amp;IF(AND(ISNUMBER($F23),$P23="CONGELE",$F23&gt;P_TCONG),"TEMPERATURE "&amp;TEXT($F23,"0.0")&amp;" C hors seuil congele. ","")&amp;IF(AND(ISNUMBER($F23),$P23="FRAIS",$F23&gt;P_TFRAIS),"TEMPERATURE "&amp;TEXT($F23,"0.0")&amp;" C hors seuil frais. ","")&amp;IF($K23="BLOQUER","Lot bloque qualite : stock signale mais inchange. ","")&amp;IF($R23="EMPLACEMENT INCOHERENT","Lot absent de cet emplacement : controle conserve, stock inchange. ","")&amp;IF($R23="DONNEES MANQUANTES","Renseigner la DATE et au moins une mesure. ",""))</f>
        <v/>
      </c>
      <c r="T23" s="28" t="n">
        <f aca="false">IF(OR($C23="",$B23=""),0,IF(COUNTIFS(QC_LOT,$C23,QC_DATE,"&gt;"&amp;$B23)&gt;0,0,IF(COUNTIFS($C$5:$C23,$C23,$B$5:$B23,$B23)=COUNTIFS(QC_LOT,$C23,QC_DATE,$B23),1,0)))</f>
        <v>0</v>
      </c>
      <c r="U23" s="26" t="str">
        <f aca="false">IF($T23=1,$C23,"")</f>
        <v/>
      </c>
      <c r="V23" s="28" t="n">
        <f aca="false">IF($C23="",0,IF($C23=R_LOT,1,0))</f>
        <v>0</v>
      </c>
      <c r="W23" s="26" t="str">
        <f aca="false">IF($V23=0,"",COUNTIF($V$5:$V23,1))</f>
        <v/>
      </c>
    </row>
    <row r="24" customFormat="false" ht="15" hidden="false" customHeight="false" outlineLevel="0" collapsed="false">
      <c r="A24" s="26" t="str">
        <f aca="false">IF($C24="","","QC-"&amp;TEXT(ROW()-4,"000"))</f>
        <v/>
      </c>
      <c r="B24" s="25"/>
      <c r="C24" s="24"/>
      <c r="D24" s="24"/>
      <c r="E24" s="24"/>
      <c r="F24" s="32"/>
      <c r="G24" s="33"/>
      <c r="H24" s="24"/>
      <c r="I24" s="24"/>
      <c r="J24" s="24"/>
      <c r="K24" s="24"/>
      <c r="L24" s="24"/>
      <c r="M24" s="24"/>
      <c r="N24" s="26" t="str">
        <f aca="false">IF($C24="","",IFERROR(INDEX(LOT_EXTE,MATCH($C24,LOT_KEY,0)),""))</f>
        <v/>
      </c>
      <c r="O24" s="26" t="str">
        <f aca="false">IF($C24="","",IFERROR(INDEX(LOT_PRODE,MATCH($C24,LOT_KEY,0)),"LOT NON REFERENCE"))</f>
        <v/>
      </c>
      <c r="P24" s="26" t="str">
        <f aca="false">IF($C24="","",IFERROR(INDEX(LOT_CONSERVE,MATCH($C24,LOT_KEY,0)),""))</f>
        <v/>
      </c>
      <c r="Q24" s="27" t="str">
        <f aca="false">IF(OR($C24="",$D24=""),"",SUMIFS(MVT_NET,MVT_LOT,$C24,MVT_EMPL,$D24))</f>
        <v/>
      </c>
      <c r="R24" s="26" t="str">
        <f aca="false">IF($C24="","",IF(OR($B24="",AND($F24="",$G24="",$H24="",$I24="",$J24="",$K24="")),"DONNEES MANQUANTES",IF(AND($D24&lt;&gt;"",$Q24&lt;=0),"EMPLACEMENT INCOHERENT","OK")))</f>
        <v/>
      </c>
      <c r="S24" s="26" t="str">
        <f aca="false">IF($C24="","",IF(AND(ISNUMBER($G24),$G24&gt;P_HIST),"HISTAMINE "&amp;TEXT($G24,"#,##0")&amp;" PPM &gt; seuil "&amp;TEXT(P_HIST,"#,##0")&amp;". ","")&amp;IF(AND(ISNUMBER($F24),$P24="CONGELE",$F24&gt;P_TCONG),"TEMPERATURE "&amp;TEXT($F24,"0.0")&amp;" C hors seuil congele. ","")&amp;IF(AND(ISNUMBER($F24),$P24="FRAIS",$F24&gt;P_TFRAIS),"TEMPERATURE "&amp;TEXT($F24,"0.0")&amp;" C hors seuil frais. ","")&amp;IF($K24="BLOQUER","Lot bloque qualite : stock signale mais inchange. ","")&amp;IF($R24="EMPLACEMENT INCOHERENT","Lot absent de cet emplacement : controle conserve, stock inchange. ","")&amp;IF($R24="DONNEES MANQUANTES","Renseigner la DATE et au moins une mesure. ",""))</f>
        <v/>
      </c>
      <c r="T24" s="28" t="n">
        <f aca="false">IF(OR($C24="",$B24=""),0,IF(COUNTIFS(QC_LOT,$C24,QC_DATE,"&gt;"&amp;$B24)&gt;0,0,IF(COUNTIFS($C$5:$C24,$C24,$B$5:$B24,$B24)=COUNTIFS(QC_LOT,$C24,QC_DATE,$B24),1,0)))</f>
        <v>0</v>
      </c>
      <c r="U24" s="26" t="str">
        <f aca="false">IF($T24=1,$C24,"")</f>
        <v/>
      </c>
      <c r="V24" s="28" t="n">
        <f aca="false">IF($C24="",0,IF($C24=R_LOT,1,0))</f>
        <v>0</v>
      </c>
      <c r="W24" s="26" t="str">
        <f aca="false">IF($V24=0,"",COUNTIF($V$5:$V24,1))</f>
        <v/>
      </c>
    </row>
    <row r="25" customFormat="false" ht="15" hidden="false" customHeight="false" outlineLevel="0" collapsed="false">
      <c r="A25" s="26" t="str">
        <f aca="false">IF($C25="","","QC-"&amp;TEXT(ROW()-4,"000"))</f>
        <v/>
      </c>
      <c r="B25" s="25"/>
      <c r="C25" s="24"/>
      <c r="D25" s="24"/>
      <c r="E25" s="24"/>
      <c r="F25" s="32"/>
      <c r="G25" s="33"/>
      <c r="H25" s="24"/>
      <c r="I25" s="24"/>
      <c r="J25" s="24"/>
      <c r="K25" s="24"/>
      <c r="L25" s="24"/>
      <c r="M25" s="24"/>
      <c r="N25" s="26" t="str">
        <f aca="false">IF($C25="","",IFERROR(INDEX(LOT_EXTE,MATCH($C25,LOT_KEY,0)),""))</f>
        <v/>
      </c>
      <c r="O25" s="26" t="str">
        <f aca="false">IF($C25="","",IFERROR(INDEX(LOT_PRODE,MATCH($C25,LOT_KEY,0)),"LOT NON REFERENCE"))</f>
        <v/>
      </c>
      <c r="P25" s="26" t="str">
        <f aca="false">IF($C25="","",IFERROR(INDEX(LOT_CONSERVE,MATCH($C25,LOT_KEY,0)),""))</f>
        <v/>
      </c>
      <c r="Q25" s="27" t="str">
        <f aca="false">IF(OR($C25="",$D25=""),"",SUMIFS(MVT_NET,MVT_LOT,$C25,MVT_EMPL,$D25))</f>
        <v/>
      </c>
      <c r="R25" s="26" t="str">
        <f aca="false">IF($C25="","",IF(OR($B25="",AND($F25="",$G25="",$H25="",$I25="",$J25="",$K25="")),"DONNEES MANQUANTES",IF(AND($D25&lt;&gt;"",$Q25&lt;=0),"EMPLACEMENT INCOHERENT","OK")))</f>
        <v/>
      </c>
      <c r="S25" s="26" t="str">
        <f aca="false">IF($C25="","",IF(AND(ISNUMBER($G25),$G25&gt;P_HIST),"HISTAMINE "&amp;TEXT($G25,"#,##0")&amp;" PPM &gt; seuil "&amp;TEXT(P_HIST,"#,##0")&amp;". ","")&amp;IF(AND(ISNUMBER($F25),$P25="CONGELE",$F25&gt;P_TCONG),"TEMPERATURE "&amp;TEXT($F25,"0.0")&amp;" C hors seuil congele. ","")&amp;IF(AND(ISNUMBER($F25),$P25="FRAIS",$F25&gt;P_TFRAIS),"TEMPERATURE "&amp;TEXT($F25,"0.0")&amp;" C hors seuil frais. ","")&amp;IF($K25="BLOQUER","Lot bloque qualite : stock signale mais inchange. ","")&amp;IF($R25="EMPLACEMENT INCOHERENT","Lot absent de cet emplacement : controle conserve, stock inchange. ","")&amp;IF($R25="DONNEES MANQUANTES","Renseigner la DATE et au moins une mesure. ",""))</f>
        <v/>
      </c>
      <c r="T25" s="28" t="n">
        <f aca="false">IF(OR($C25="",$B25=""),0,IF(COUNTIFS(QC_LOT,$C25,QC_DATE,"&gt;"&amp;$B25)&gt;0,0,IF(COUNTIFS($C$5:$C25,$C25,$B$5:$B25,$B25)=COUNTIFS(QC_LOT,$C25,QC_DATE,$B25),1,0)))</f>
        <v>0</v>
      </c>
      <c r="U25" s="26" t="str">
        <f aca="false">IF($T25=1,$C25,"")</f>
        <v/>
      </c>
      <c r="V25" s="28" t="n">
        <f aca="false">IF($C25="",0,IF($C25=R_LOT,1,0))</f>
        <v>0</v>
      </c>
      <c r="W25" s="26" t="str">
        <f aca="false">IF($V25=0,"",COUNTIF($V$5:$V25,1))</f>
        <v/>
      </c>
    </row>
    <row r="26" customFormat="false" ht="15" hidden="false" customHeight="false" outlineLevel="0" collapsed="false">
      <c r="A26" s="26" t="str">
        <f aca="false">IF($C26="","","QC-"&amp;TEXT(ROW()-4,"000"))</f>
        <v/>
      </c>
      <c r="B26" s="25"/>
      <c r="C26" s="24"/>
      <c r="D26" s="24"/>
      <c r="E26" s="24"/>
      <c r="F26" s="32"/>
      <c r="G26" s="33"/>
      <c r="H26" s="24"/>
      <c r="I26" s="24"/>
      <c r="J26" s="24"/>
      <c r="K26" s="24"/>
      <c r="L26" s="24"/>
      <c r="M26" s="24"/>
      <c r="N26" s="26" t="str">
        <f aca="false">IF($C26="","",IFERROR(INDEX(LOT_EXTE,MATCH($C26,LOT_KEY,0)),""))</f>
        <v/>
      </c>
      <c r="O26" s="26" t="str">
        <f aca="false">IF($C26="","",IFERROR(INDEX(LOT_PRODE,MATCH($C26,LOT_KEY,0)),"LOT NON REFERENCE"))</f>
        <v/>
      </c>
      <c r="P26" s="26" t="str">
        <f aca="false">IF($C26="","",IFERROR(INDEX(LOT_CONSERVE,MATCH($C26,LOT_KEY,0)),""))</f>
        <v/>
      </c>
      <c r="Q26" s="27" t="str">
        <f aca="false">IF(OR($C26="",$D26=""),"",SUMIFS(MVT_NET,MVT_LOT,$C26,MVT_EMPL,$D26))</f>
        <v/>
      </c>
      <c r="R26" s="26" t="str">
        <f aca="false">IF($C26="","",IF(OR($B26="",AND($F26="",$G26="",$H26="",$I26="",$J26="",$K26="")),"DONNEES MANQUANTES",IF(AND($D26&lt;&gt;"",$Q26&lt;=0),"EMPLACEMENT INCOHERENT","OK")))</f>
        <v/>
      </c>
      <c r="S26" s="26" t="str">
        <f aca="false">IF($C26="","",IF(AND(ISNUMBER($G26),$G26&gt;P_HIST),"HISTAMINE "&amp;TEXT($G26,"#,##0")&amp;" PPM &gt; seuil "&amp;TEXT(P_HIST,"#,##0")&amp;". ","")&amp;IF(AND(ISNUMBER($F26),$P26="CONGELE",$F26&gt;P_TCONG),"TEMPERATURE "&amp;TEXT($F26,"0.0")&amp;" C hors seuil congele. ","")&amp;IF(AND(ISNUMBER($F26),$P26="FRAIS",$F26&gt;P_TFRAIS),"TEMPERATURE "&amp;TEXT($F26,"0.0")&amp;" C hors seuil frais. ","")&amp;IF($K26="BLOQUER","Lot bloque qualite : stock signale mais inchange. ","")&amp;IF($R26="EMPLACEMENT INCOHERENT","Lot absent de cet emplacement : controle conserve, stock inchange. ","")&amp;IF($R26="DONNEES MANQUANTES","Renseigner la DATE et au moins une mesure. ",""))</f>
        <v/>
      </c>
      <c r="T26" s="28" t="n">
        <f aca="false">IF(OR($C26="",$B26=""),0,IF(COUNTIFS(QC_LOT,$C26,QC_DATE,"&gt;"&amp;$B26)&gt;0,0,IF(COUNTIFS($C$5:$C26,$C26,$B$5:$B26,$B26)=COUNTIFS(QC_LOT,$C26,QC_DATE,$B26),1,0)))</f>
        <v>0</v>
      </c>
      <c r="U26" s="26" t="str">
        <f aca="false">IF($T26=1,$C26,"")</f>
        <v/>
      </c>
      <c r="V26" s="28" t="n">
        <f aca="false">IF($C26="",0,IF($C26=R_LOT,1,0))</f>
        <v>0</v>
      </c>
      <c r="W26" s="26" t="str">
        <f aca="false">IF($V26=0,"",COUNTIF($V$5:$V26,1))</f>
        <v/>
      </c>
    </row>
    <row r="27" customFormat="false" ht="15" hidden="false" customHeight="false" outlineLevel="0" collapsed="false">
      <c r="A27" s="26" t="str">
        <f aca="false">IF($C27="","","QC-"&amp;TEXT(ROW()-4,"000"))</f>
        <v/>
      </c>
      <c r="B27" s="25"/>
      <c r="C27" s="24"/>
      <c r="D27" s="24"/>
      <c r="E27" s="24"/>
      <c r="F27" s="32"/>
      <c r="G27" s="33"/>
      <c r="H27" s="24"/>
      <c r="I27" s="24"/>
      <c r="J27" s="24"/>
      <c r="K27" s="24"/>
      <c r="L27" s="24"/>
      <c r="M27" s="24"/>
      <c r="N27" s="26" t="str">
        <f aca="false">IF($C27="","",IFERROR(INDEX(LOT_EXTE,MATCH($C27,LOT_KEY,0)),""))</f>
        <v/>
      </c>
      <c r="O27" s="26" t="str">
        <f aca="false">IF($C27="","",IFERROR(INDEX(LOT_PRODE,MATCH($C27,LOT_KEY,0)),"LOT NON REFERENCE"))</f>
        <v/>
      </c>
      <c r="P27" s="26" t="str">
        <f aca="false">IF($C27="","",IFERROR(INDEX(LOT_CONSERVE,MATCH($C27,LOT_KEY,0)),""))</f>
        <v/>
      </c>
      <c r="Q27" s="27" t="str">
        <f aca="false">IF(OR($C27="",$D27=""),"",SUMIFS(MVT_NET,MVT_LOT,$C27,MVT_EMPL,$D27))</f>
        <v/>
      </c>
      <c r="R27" s="26" t="str">
        <f aca="false">IF($C27="","",IF(OR($B27="",AND($F27="",$G27="",$H27="",$I27="",$J27="",$K27="")),"DONNEES MANQUANTES",IF(AND($D27&lt;&gt;"",$Q27&lt;=0),"EMPLACEMENT INCOHERENT","OK")))</f>
        <v/>
      </c>
      <c r="S27" s="26" t="str">
        <f aca="false">IF($C27="","",IF(AND(ISNUMBER($G27),$G27&gt;P_HIST),"HISTAMINE "&amp;TEXT($G27,"#,##0")&amp;" PPM &gt; seuil "&amp;TEXT(P_HIST,"#,##0")&amp;". ","")&amp;IF(AND(ISNUMBER($F27),$P27="CONGELE",$F27&gt;P_TCONG),"TEMPERATURE "&amp;TEXT($F27,"0.0")&amp;" C hors seuil congele. ","")&amp;IF(AND(ISNUMBER($F27),$P27="FRAIS",$F27&gt;P_TFRAIS),"TEMPERATURE "&amp;TEXT($F27,"0.0")&amp;" C hors seuil frais. ","")&amp;IF($K27="BLOQUER","Lot bloque qualite : stock signale mais inchange. ","")&amp;IF($R27="EMPLACEMENT INCOHERENT","Lot absent de cet emplacement : controle conserve, stock inchange. ","")&amp;IF($R27="DONNEES MANQUANTES","Renseigner la DATE et au moins une mesure. ",""))</f>
        <v/>
      </c>
      <c r="T27" s="28" t="n">
        <f aca="false">IF(OR($C27="",$B27=""),0,IF(COUNTIFS(QC_LOT,$C27,QC_DATE,"&gt;"&amp;$B27)&gt;0,0,IF(COUNTIFS($C$5:$C27,$C27,$B$5:$B27,$B27)=COUNTIFS(QC_LOT,$C27,QC_DATE,$B27),1,0)))</f>
        <v>0</v>
      </c>
      <c r="U27" s="26" t="str">
        <f aca="false">IF($T27=1,$C27,"")</f>
        <v/>
      </c>
      <c r="V27" s="28" t="n">
        <f aca="false">IF($C27="",0,IF($C27=R_LOT,1,0))</f>
        <v>0</v>
      </c>
      <c r="W27" s="26" t="str">
        <f aca="false">IF($V27=0,"",COUNTIF($V$5:$V27,1))</f>
        <v/>
      </c>
    </row>
    <row r="28" customFormat="false" ht="15" hidden="false" customHeight="false" outlineLevel="0" collapsed="false">
      <c r="A28" s="26" t="str">
        <f aca="false">IF($C28="","","QC-"&amp;TEXT(ROW()-4,"000"))</f>
        <v/>
      </c>
      <c r="B28" s="25"/>
      <c r="C28" s="24"/>
      <c r="D28" s="24"/>
      <c r="E28" s="24"/>
      <c r="F28" s="32"/>
      <c r="G28" s="33"/>
      <c r="H28" s="24"/>
      <c r="I28" s="24"/>
      <c r="J28" s="24"/>
      <c r="K28" s="24"/>
      <c r="L28" s="24"/>
      <c r="M28" s="24"/>
      <c r="N28" s="26" t="str">
        <f aca="false">IF($C28="","",IFERROR(INDEX(LOT_EXTE,MATCH($C28,LOT_KEY,0)),""))</f>
        <v/>
      </c>
      <c r="O28" s="26" t="str">
        <f aca="false">IF($C28="","",IFERROR(INDEX(LOT_PRODE,MATCH($C28,LOT_KEY,0)),"LOT NON REFERENCE"))</f>
        <v/>
      </c>
      <c r="P28" s="26" t="str">
        <f aca="false">IF($C28="","",IFERROR(INDEX(LOT_CONSERVE,MATCH($C28,LOT_KEY,0)),""))</f>
        <v/>
      </c>
      <c r="Q28" s="27" t="str">
        <f aca="false">IF(OR($C28="",$D28=""),"",SUMIFS(MVT_NET,MVT_LOT,$C28,MVT_EMPL,$D28))</f>
        <v/>
      </c>
      <c r="R28" s="26" t="str">
        <f aca="false">IF($C28="","",IF(OR($B28="",AND($F28="",$G28="",$H28="",$I28="",$J28="",$K28="")),"DONNEES MANQUANTES",IF(AND($D28&lt;&gt;"",$Q28&lt;=0),"EMPLACEMENT INCOHERENT","OK")))</f>
        <v/>
      </c>
      <c r="S28" s="26" t="str">
        <f aca="false">IF($C28="","",IF(AND(ISNUMBER($G28),$G28&gt;P_HIST),"HISTAMINE "&amp;TEXT($G28,"#,##0")&amp;" PPM &gt; seuil "&amp;TEXT(P_HIST,"#,##0")&amp;". ","")&amp;IF(AND(ISNUMBER($F28),$P28="CONGELE",$F28&gt;P_TCONG),"TEMPERATURE "&amp;TEXT($F28,"0.0")&amp;" C hors seuil congele. ","")&amp;IF(AND(ISNUMBER($F28),$P28="FRAIS",$F28&gt;P_TFRAIS),"TEMPERATURE "&amp;TEXT($F28,"0.0")&amp;" C hors seuil frais. ","")&amp;IF($K28="BLOQUER","Lot bloque qualite : stock signale mais inchange. ","")&amp;IF($R28="EMPLACEMENT INCOHERENT","Lot absent de cet emplacement : controle conserve, stock inchange. ","")&amp;IF($R28="DONNEES MANQUANTES","Renseigner la DATE et au moins une mesure. ",""))</f>
        <v/>
      </c>
      <c r="T28" s="28" t="n">
        <f aca="false">IF(OR($C28="",$B28=""),0,IF(COUNTIFS(QC_LOT,$C28,QC_DATE,"&gt;"&amp;$B28)&gt;0,0,IF(COUNTIFS($C$5:$C28,$C28,$B$5:$B28,$B28)=COUNTIFS(QC_LOT,$C28,QC_DATE,$B28),1,0)))</f>
        <v>0</v>
      </c>
      <c r="U28" s="26" t="str">
        <f aca="false">IF($T28=1,$C28,"")</f>
        <v/>
      </c>
      <c r="V28" s="28" t="n">
        <f aca="false">IF($C28="",0,IF($C28=R_LOT,1,0))</f>
        <v>0</v>
      </c>
      <c r="W28" s="26" t="str">
        <f aca="false">IF($V28=0,"",COUNTIF($V$5:$V28,1))</f>
        <v/>
      </c>
    </row>
    <row r="29" customFormat="false" ht="15" hidden="false" customHeight="false" outlineLevel="0" collapsed="false">
      <c r="A29" s="26" t="str">
        <f aca="false">IF($C29="","","QC-"&amp;TEXT(ROW()-4,"000"))</f>
        <v/>
      </c>
      <c r="B29" s="25"/>
      <c r="C29" s="24"/>
      <c r="D29" s="24"/>
      <c r="E29" s="24"/>
      <c r="F29" s="32"/>
      <c r="G29" s="33"/>
      <c r="H29" s="24"/>
      <c r="I29" s="24"/>
      <c r="J29" s="24"/>
      <c r="K29" s="24"/>
      <c r="L29" s="24"/>
      <c r="M29" s="24"/>
      <c r="N29" s="26" t="str">
        <f aca="false">IF($C29="","",IFERROR(INDEX(LOT_EXTE,MATCH($C29,LOT_KEY,0)),""))</f>
        <v/>
      </c>
      <c r="O29" s="26" t="str">
        <f aca="false">IF($C29="","",IFERROR(INDEX(LOT_PRODE,MATCH($C29,LOT_KEY,0)),"LOT NON REFERENCE"))</f>
        <v/>
      </c>
      <c r="P29" s="26" t="str">
        <f aca="false">IF($C29="","",IFERROR(INDEX(LOT_CONSERVE,MATCH($C29,LOT_KEY,0)),""))</f>
        <v/>
      </c>
      <c r="Q29" s="27" t="str">
        <f aca="false">IF(OR($C29="",$D29=""),"",SUMIFS(MVT_NET,MVT_LOT,$C29,MVT_EMPL,$D29))</f>
        <v/>
      </c>
      <c r="R29" s="26" t="str">
        <f aca="false">IF($C29="","",IF(OR($B29="",AND($F29="",$G29="",$H29="",$I29="",$J29="",$K29="")),"DONNEES MANQUANTES",IF(AND($D29&lt;&gt;"",$Q29&lt;=0),"EMPLACEMENT INCOHERENT","OK")))</f>
        <v/>
      </c>
      <c r="S29" s="26" t="str">
        <f aca="false">IF($C29="","",IF(AND(ISNUMBER($G29),$G29&gt;P_HIST),"HISTAMINE "&amp;TEXT($G29,"#,##0")&amp;" PPM &gt; seuil "&amp;TEXT(P_HIST,"#,##0")&amp;". ","")&amp;IF(AND(ISNUMBER($F29),$P29="CONGELE",$F29&gt;P_TCONG),"TEMPERATURE "&amp;TEXT($F29,"0.0")&amp;" C hors seuil congele. ","")&amp;IF(AND(ISNUMBER($F29),$P29="FRAIS",$F29&gt;P_TFRAIS),"TEMPERATURE "&amp;TEXT($F29,"0.0")&amp;" C hors seuil frais. ","")&amp;IF($K29="BLOQUER","Lot bloque qualite : stock signale mais inchange. ","")&amp;IF($R29="EMPLACEMENT INCOHERENT","Lot absent de cet emplacement : controle conserve, stock inchange. ","")&amp;IF($R29="DONNEES MANQUANTES","Renseigner la DATE et au moins une mesure. ",""))</f>
        <v/>
      </c>
      <c r="T29" s="28" t="n">
        <f aca="false">IF(OR($C29="",$B29=""),0,IF(COUNTIFS(QC_LOT,$C29,QC_DATE,"&gt;"&amp;$B29)&gt;0,0,IF(COUNTIFS($C$5:$C29,$C29,$B$5:$B29,$B29)=COUNTIFS(QC_LOT,$C29,QC_DATE,$B29),1,0)))</f>
        <v>0</v>
      </c>
      <c r="U29" s="26" t="str">
        <f aca="false">IF($T29=1,$C29,"")</f>
        <v/>
      </c>
      <c r="V29" s="28" t="n">
        <f aca="false">IF($C29="",0,IF($C29=R_LOT,1,0))</f>
        <v>0</v>
      </c>
      <c r="W29" s="26" t="str">
        <f aca="false">IF($V29=0,"",COUNTIF($V$5:$V29,1))</f>
        <v/>
      </c>
    </row>
    <row r="30" customFormat="false" ht="15" hidden="false" customHeight="false" outlineLevel="0" collapsed="false">
      <c r="A30" s="26" t="str">
        <f aca="false">IF($C30="","","QC-"&amp;TEXT(ROW()-4,"000"))</f>
        <v/>
      </c>
      <c r="B30" s="25"/>
      <c r="C30" s="24"/>
      <c r="D30" s="24"/>
      <c r="E30" s="24"/>
      <c r="F30" s="32"/>
      <c r="G30" s="33"/>
      <c r="H30" s="24"/>
      <c r="I30" s="24"/>
      <c r="J30" s="24"/>
      <c r="K30" s="24"/>
      <c r="L30" s="24"/>
      <c r="M30" s="24"/>
      <c r="N30" s="26" t="str">
        <f aca="false">IF($C30="","",IFERROR(INDEX(LOT_EXTE,MATCH($C30,LOT_KEY,0)),""))</f>
        <v/>
      </c>
      <c r="O30" s="26" t="str">
        <f aca="false">IF($C30="","",IFERROR(INDEX(LOT_PRODE,MATCH($C30,LOT_KEY,0)),"LOT NON REFERENCE"))</f>
        <v/>
      </c>
      <c r="P30" s="26" t="str">
        <f aca="false">IF($C30="","",IFERROR(INDEX(LOT_CONSERVE,MATCH($C30,LOT_KEY,0)),""))</f>
        <v/>
      </c>
      <c r="Q30" s="27" t="str">
        <f aca="false">IF(OR($C30="",$D30=""),"",SUMIFS(MVT_NET,MVT_LOT,$C30,MVT_EMPL,$D30))</f>
        <v/>
      </c>
      <c r="R30" s="26" t="str">
        <f aca="false">IF($C30="","",IF(OR($B30="",AND($F30="",$G30="",$H30="",$I30="",$J30="",$K30="")),"DONNEES MANQUANTES",IF(AND($D30&lt;&gt;"",$Q30&lt;=0),"EMPLACEMENT INCOHERENT","OK")))</f>
        <v/>
      </c>
      <c r="S30" s="26" t="str">
        <f aca="false">IF($C30="","",IF(AND(ISNUMBER($G30),$G30&gt;P_HIST),"HISTAMINE "&amp;TEXT($G30,"#,##0")&amp;" PPM &gt; seuil "&amp;TEXT(P_HIST,"#,##0")&amp;". ","")&amp;IF(AND(ISNUMBER($F30),$P30="CONGELE",$F30&gt;P_TCONG),"TEMPERATURE "&amp;TEXT($F30,"0.0")&amp;" C hors seuil congele. ","")&amp;IF(AND(ISNUMBER($F30),$P30="FRAIS",$F30&gt;P_TFRAIS),"TEMPERATURE "&amp;TEXT($F30,"0.0")&amp;" C hors seuil frais. ","")&amp;IF($K30="BLOQUER","Lot bloque qualite : stock signale mais inchange. ","")&amp;IF($R30="EMPLACEMENT INCOHERENT","Lot absent de cet emplacement : controle conserve, stock inchange. ","")&amp;IF($R30="DONNEES MANQUANTES","Renseigner la DATE et au moins une mesure. ",""))</f>
        <v/>
      </c>
      <c r="T30" s="28" t="n">
        <f aca="false">IF(OR($C30="",$B30=""),0,IF(COUNTIFS(QC_LOT,$C30,QC_DATE,"&gt;"&amp;$B30)&gt;0,0,IF(COUNTIFS($C$5:$C30,$C30,$B$5:$B30,$B30)=COUNTIFS(QC_LOT,$C30,QC_DATE,$B30),1,0)))</f>
        <v>0</v>
      </c>
      <c r="U30" s="26" t="str">
        <f aca="false">IF($T30=1,$C30,"")</f>
        <v/>
      </c>
      <c r="V30" s="28" t="n">
        <f aca="false">IF($C30="",0,IF($C30=R_LOT,1,0))</f>
        <v>0</v>
      </c>
      <c r="W30" s="26" t="str">
        <f aca="false">IF($V30=0,"",COUNTIF($V$5:$V30,1))</f>
        <v/>
      </c>
    </row>
    <row r="31" customFormat="false" ht="15" hidden="false" customHeight="false" outlineLevel="0" collapsed="false">
      <c r="A31" s="26" t="str">
        <f aca="false">IF($C31="","","QC-"&amp;TEXT(ROW()-4,"000"))</f>
        <v/>
      </c>
      <c r="B31" s="25"/>
      <c r="C31" s="24"/>
      <c r="D31" s="24"/>
      <c r="E31" s="24"/>
      <c r="F31" s="32"/>
      <c r="G31" s="33"/>
      <c r="H31" s="24"/>
      <c r="I31" s="24"/>
      <c r="J31" s="24"/>
      <c r="K31" s="24"/>
      <c r="L31" s="24"/>
      <c r="M31" s="24"/>
      <c r="N31" s="26" t="str">
        <f aca="false">IF($C31="","",IFERROR(INDEX(LOT_EXTE,MATCH($C31,LOT_KEY,0)),""))</f>
        <v/>
      </c>
      <c r="O31" s="26" t="str">
        <f aca="false">IF($C31="","",IFERROR(INDEX(LOT_PRODE,MATCH($C31,LOT_KEY,0)),"LOT NON REFERENCE"))</f>
        <v/>
      </c>
      <c r="P31" s="26" t="str">
        <f aca="false">IF($C31="","",IFERROR(INDEX(LOT_CONSERVE,MATCH($C31,LOT_KEY,0)),""))</f>
        <v/>
      </c>
      <c r="Q31" s="27" t="str">
        <f aca="false">IF(OR($C31="",$D31=""),"",SUMIFS(MVT_NET,MVT_LOT,$C31,MVT_EMPL,$D31))</f>
        <v/>
      </c>
      <c r="R31" s="26" t="str">
        <f aca="false">IF($C31="","",IF(OR($B31="",AND($F31="",$G31="",$H31="",$I31="",$J31="",$K31="")),"DONNEES MANQUANTES",IF(AND($D31&lt;&gt;"",$Q31&lt;=0),"EMPLACEMENT INCOHERENT","OK")))</f>
        <v/>
      </c>
      <c r="S31" s="26" t="str">
        <f aca="false">IF($C31="","",IF(AND(ISNUMBER($G31),$G31&gt;P_HIST),"HISTAMINE "&amp;TEXT($G31,"#,##0")&amp;" PPM &gt; seuil "&amp;TEXT(P_HIST,"#,##0")&amp;". ","")&amp;IF(AND(ISNUMBER($F31),$P31="CONGELE",$F31&gt;P_TCONG),"TEMPERATURE "&amp;TEXT($F31,"0.0")&amp;" C hors seuil congele. ","")&amp;IF(AND(ISNUMBER($F31),$P31="FRAIS",$F31&gt;P_TFRAIS),"TEMPERATURE "&amp;TEXT($F31,"0.0")&amp;" C hors seuil frais. ","")&amp;IF($K31="BLOQUER","Lot bloque qualite : stock signale mais inchange. ","")&amp;IF($R31="EMPLACEMENT INCOHERENT","Lot absent de cet emplacement : controle conserve, stock inchange. ","")&amp;IF($R31="DONNEES MANQUANTES","Renseigner la DATE et au moins une mesure. ",""))</f>
        <v/>
      </c>
      <c r="T31" s="28" t="n">
        <f aca="false">IF(OR($C31="",$B31=""),0,IF(COUNTIFS(QC_LOT,$C31,QC_DATE,"&gt;"&amp;$B31)&gt;0,0,IF(COUNTIFS($C$5:$C31,$C31,$B$5:$B31,$B31)=COUNTIFS(QC_LOT,$C31,QC_DATE,$B31),1,0)))</f>
        <v>0</v>
      </c>
      <c r="U31" s="26" t="str">
        <f aca="false">IF($T31=1,$C31,"")</f>
        <v/>
      </c>
      <c r="V31" s="28" t="n">
        <f aca="false">IF($C31="",0,IF($C31=R_LOT,1,0))</f>
        <v>0</v>
      </c>
      <c r="W31" s="26" t="str">
        <f aca="false">IF($V31=0,"",COUNTIF($V$5:$V31,1))</f>
        <v/>
      </c>
    </row>
    <row r="32" customFormat="false" ht="15" hidden="false" customHeight="false" outlineLevel="0" collapsed="false">
      <c r="A32" s="26" t="str">
        <f aca="false">IF($C32="","","QC-"&amp;TEXT(ROW()-4,"000"))</f>
        <v/>
      </c>
      <c r="B32" s="25"/>
      <c r="C32" s="24"/>
      <c r="D32" s="24"/>
      <c r="E32" s="24"/>
      <c r="F32" s="32"/>
      <c r="G32" s="33"/>
      <c r="H32" s="24"/>
      <c r="I32" s="24"/>
      <c r="J32" s="24"/>
      <c r="K32" s="24"/>
      <c r="L32" s="24"/>
      <c r="M32" s="24"/>
      <c r="N32" s="26" t="str">
        <f aca="false">IF($C32="","",IFERROR(INDEX(LOT_EXTE,MATCH($C32,LOT_KEY,0)),""))</f>
        <v/>
      </c>
      <c r="O32" s="26" t="str">
        <f aca="false">IF($C32="","",IFERROR(INDEX(LOT_PRODE,MATCH($C32,LOT_KEY,0)),"LOT NON REFERENCE"))</f>
        <v/>
      </c>
      <c r="P32" s="26" t="str">
        <f aca="false">IF($C32="","",IFERROR(INDEX(LOT_CONSERVE,MATCH($C32,LOT_KEY,0)),""))</f>
        <v/>
      </c>
      <c r="Q32" s="27" t="str">
        <f aca="false">IF(OR($C32="",$D32=""),"",SUMIFS(MVT_NET,MVT_LOT,$C32,MVT_EMPL,$D32))</f>
        <v/>
      </c>
      <c r="R32" s="26" t="str">
        <f aca="false">IF($C32="","",IF(OR($B32="",AND($F32="",$G32="",$H32="",$I32="",$J32="",$K32="")),"DONNEES MANQUANTES",IF(AND($D32&lt;&gt;"",$Q32&lt;=0),"EMPLACEMENT INCOHERENT","OK")))</f>
        <v/>
      </c>
      <c r="S32" s="26" t="str">
        <f aca="false">IF($C32="","",IF(AND(ISNUMBER($G32),$G32&gt;P_HIST),"HISTAMINE "&amp;TEXT($G32,"#,##0")&amp;" PPM &gt; seuil "&amp;TEXT(P_HIST,"#,##0")&amp;". ","")&amp;IF(AND(ISNUMBER($F32),$P32="CONGELE",$F32&gt;P_TCONG),"TEMPERATURE "&amp;TEXT($F32,"0.0")&amp;" C hors seuil congele. ","")&amp;IF(AND(ISNUMBER($F32),$P32="FRAIS",$F32&gt;P_TFRAIS),"TEMPERATURE "&amp;TEXT($F32,"0.0")&amp;" C hors seuil frais. ","")&amp;IF($K32="BLOQUER","Lot bloque qualite : stock signale mais inchange. ","")&amp;IF($R32="EMPLACEMENT INCOHERENT","Lot absent de cet emplacement : controle conserve, stock inchange. ","")&amp;IF($R32="DONNEES MANQUANTES","Renseigner la DATE et au moins une mesure. ",""))</f>
        <v/>
      </c>
      <c r="T32" s="28" t="n">
        <f aca="false">IF(OR($C32="",$B32=""),0,IF(COUNTIFS(QC_LOT,$C32,QC_DATE,"&gt;"&amp;$B32)&gt;0,0,IF(COUNTIFS($C$5:$C32,$C32,$B$5:$B32,$B32)=COUNTIFS(QC_LOT,$C32,QC_DATE,$B32),1,0)))</f>
        <v>0</v>
      </c>
      <c r="U32" s="26" t="str">
        <f aca="false">IF($T32=1,$C32,"")</f>
        <v/>
      </c>
      <c r="V32" s="28" t="n">
        <f aca="false">IF($C32="",0,IF($C32=R_LOT,1,0))</f>
        <v>0</v>
      </c>
      <c r="W32" s="26" t="str">
        <f aca="false">IF($V32=0,"",COUNTIF($V$5:$V32,1))</f>
        <v/>
      </c>
    </row>
    <row r="33" customFormat="false" ht="15" hidden="false" customHeight="false" outlineLevel="0" collapsed="false">
      <c r="A33" s="26" t="str">
        <f aca="false">IF($C33="","","QC-"&amp;TEXT(ROW()-4,"000"))</f>
        <v/>
      </c>
      <c r="B33" s="25"/>
      <c r="C33" s="24"/>
      <c r="D33" s="24"/>
      <c r="E33" s="24"/>
      <c r="F33" s="32"/>
      <c r="G33" s="33"/>
      <c r="H33" s="24"/>
      <c r="I33" s="24"/>
      <c r="J33" s="24"/>
      <c r="K33" s="24"/>
      <c r="L33" s="24"/>
      <c r="M33" s="24"/>
      <c r="N33" s="26" t="str">
        <f aca="false">IF($C33="","",IFERROR(INDEX(LOT_EXTE,MATCH($C33,LOT_KEY,0)),""))</f>
        <v/>
      </c>
      <c r="O33" s="26" t="str">
        <f aca="false">IF($C33="","",IFERROR(INDEX(LOT_PRODE,MATCH($C33,LOT_KEY,0)),"LOT NON REFERENCE"))</f>
        <v/>
      </c>
      <c r="P33" s="26" t="str">
        <f aca="false">IF($C33="","",IFERROR(INDEX(LOT_CONSERVE,MATCH($C33,LOT_KEY,0)),""))</f>
        <v/>
      </c>
      <c r="Q33" s="27" t="str">
        <f aca="false">IF(OR($C33="",$D33=""),"",SUMIFS(MVT_NET,MVT_LOT,$C33,MVT_EMPL,$D33))</f>
        <v/>
      </c>
      <c r="R33" s="26" t="str">
        <f aca="false">IF($C33="","",IF(OR($B33="",AND($F33="",$G33="",$H33="",$I33="",$J33="",$K33="")),"DONNEES MANQUANTES",IF(AND($D33&lt;&gt;"",$Q33&lt;=0),"EMPLACEMENT INCOHERENT","OK")))</f>
        <v/>
      </c>
      <c r="S33" s="26" t="str">
        <f aca="false">IF($C33="","",IF(AND(ISNUMBER($G33),$G33&gt;P_HIST),"HISTAMINE "&amp;TEXT($G33,"#,##0")&amp;" PPM &gt; seuil "&amp;TEXT(P_HIST,"#,##0")&amp;". ","")&amp;IF(AND(ISNUMBER($F33),$P33="CONGELE",$F33&gt;P_TCONG),"TEMPERATURE "&amp;TEXT($F33,"0.0")&amp;" C hors seuil congele. ","")&amp;IF(AND(ISNUMBER($F33),$P33="FRAIS",$F33&gt;P_TFRAIS),"TEMPERATURE "&amp;TEXT($F33,"0.0")&amp;" C hors seuil frais. ","")&amp;IF($K33="BLOQUER","Lot bloque qualite : stock signale mais inchange. ","")&amp;IF($R33="EMPLACEMENT INCOHERENT","Lot absent de cet emplacement : controle conserve, stock inchange. ","")&amp;IF($R33="DONNEES MANQUANTES","Renseigner la DATE et au moins une mesure. ",""))</f>
        <v/>
      </c>
      <c r="T33" s="28" t="n">
        <f aca="false">IF(OR($C33="",$B33=""),0,IF(COUNTIFS(QC_LOT,$C33,QC_DATE,"&gt;"&amp;$B33)&gt;0,0,IF(COUNTIFS($C$5:$C33,$C33,$B$5:$B33,$B33)=COUNTIFS(QC_LOT,$C33,QC_DATE,$B33),1,0)))</f>
        <v>0</v>
      </c>
      <c r="U33" s="26" t="str">
        <f aca="false">IF($T33=1,$C33,"")</f>
        <v/>
      </c>
      <c r="V33" s="28" t="n">
        <f aca="false">IF($C33="",0,IF($C33=R_LOT,1,0))</f>
        <v>0</v>
      </c>
      <c r="W33" s="26" t="str">
        <f aca="false">IF($V33=0,"",COUNTIF($V$5:$V33,1))</f>
        <v/>
      </c>
    </row>
    <row r="34" customFormat="false" ht="15" hidden="false" customHeight="false" outlineLevel="0" collapsed="false">
      <c r="A34" s="26" t="str">
        <f aca="false">IF($C34="","","QC-"&amp;TEXT(ROW()-4,"000"))</f>
        <v/>
      </c>
      <c r="B34" s="25"/>
      <c r="C34" s="24"/>
      <c r="D34" s="24"/>
      <c r="E34" s="24"/>
      <c r="F34" s="32"/>
      <c r="G34" s="33"/>
      <c r="H34" s="24"/>
      <c r="I34" s="24"/>
      <c r="J34" s="24"/>
      <c r="K34" s="24"/>
      <c r="L34" s="24"/>
      <c r="M34" s="24"/>
      <c r="N34" s="26" t="str">
        <f aca="false">IF($C34="","",IFERROR(INDEX(LOT_EXTE,MATCH($C34,LOT_KEY,0)),""))</f>
        <v/>
      </c>
      <c r="O34" s="26" t="str">
        <f aca="false">IF($C34="","",IFERROR(INDEX(LOT_PRODE,MATCH($C34,LOT_KEY,0)),"LOT NON REFERENCE"))</f>
        <v/>
      </c>
      <c r="P34" s="26" t="str">
        <f aca="false">IF($C34="","",IFERROR(INDEX(LOT_CONSERVE,MATCH($C34,LOT_KEY,0)),""))</f>
        <v/>
      </c>
      <c r="Q34" s="27" t="str">
        <f aca="false">IF(OR($C34="",$D34=""),"",SUMIFS(MVT_NET,MVT_LOT,$C34,MVT_EMPL,$D34))</f>
        <v/>
      </c>
      <c r="R34" s="26" t="str">
        <f aca="false">IF($C34="","",IF(OR($B34="",AND($F34="",$G34="",$H34="",$I34="",$J34="",$K34="")),"DONNEES MANQUANTES",IF(AND($D34&lt;&gt;"",$Q34&lt;=0),"EMPLACEMENT INCOHERENT","OK")))</f>
        <v/>
      </c>
      <c r="S34" s="26" t="str">
        <f aca="false">IF($C34="","",IF(AND(ISNUMBER($G34),$G34&gt;P_HIST),"HISTAMINE "&amp;TEXT($G34,"#,##0")&amp;" PPM &gt; seuil "&amp;TEXT(P_HIST,"#,##0")&amp;". ","")&amp;IF(AND(ISNUMBER($F34),$P34="CONGELE",$F34&gt;P_TCONG),"TEMPERATURE "&amp;TEXT($F34,"0.0")&amp;" C hors seuil congele. ","")&amp;IF(AND(ISNUMBER($F34),$P34="FRAIS",$F34&gt;P_TFRAIS),"TEMPERATURE "&amp;TEXT($F34,"0.0")&amp;" C hors seuil frais. ","")&amp;IF($K34="BLOQUER","Lot bloque qualite : stock signale mais inchange. ","")&amp;IF($R34="EMPLACEMENT INCOHERENT","Lot absent de cet emplacement : controle conserve, stock inchange. ","")&amp;IF($R34="DONNEES MANQUANTES","Renseigner la DATE et au moins une mesure. ",""))</f>
        <v/>
      </c>
      <c r="T34" s="28" t="n">
        <f aca="false">IF(OR($C34="",$B34=""),0,IF(COUNTIFS(QC_LOT,$C34,QC_DATE,"&gt;"&amp;$B34)&gt;0,0,IF(COUNTIFS($C$5:$C34,$C34,$B$5:$B34,$B34)=COUNTIFS(QC_LOT,$C34,QC_DATE,$B34),1,0)))</f>
        <v>0</v>
      </c>
      <c r="U34" s="26" t="str">
        <f aca="false">IF($T34=1,$C34,"")</f>
        <v/>
      </c>
      <c r="V34" s="28" t="n">
        <f aca="false">IF($C34="",0,IF($C34=R_LOT,1,0))</f>
        <v>0</v>
      </c>
      <c r="W34" s="26" t="str">
        <f aca="false">IF($V34=0,"",COUNTIF($V$5:$V34,1))</f>
        <v/>
      </c>
    </row>
    <row r="35" customFormat="false" ht="15" hidden="false" customHeight="false" outlineLevel="0" collapsed="false">
      <c r="A35" s="26" t="str">
        <f aca="false">IF($C35="","","QC-"&amp;TEXT(ROW()-4,"000"))</f>
        <v/>
      </c>
      <c r="B35" s="25"/>
      <c r="C35" s="24"/>
      <c r="D35" s="24"/>
      <c r="E35" s="24"/>
      <c r="F35" s="32"/>
      <c r="G35" s="33"/>
      <c r="H35" s="24"/>
      <c r="I35" s="24"/>
      <c r="J35" s="24"/>
      <c r="K35" s="24"/>
      <c r="L35" s="24"/>
      <c r="M35" s="24"/>
      <c r="N35" s="26" t="str">
        <f aca="false">IF($C35="","",IFERROR(INDEX(LOT_EXTE,MATCH($C35,LOT_KEY,0)),""))</f>
        <v/>
      </c>
      <c r="O35" s="26" t="str">
        <f aca="false">IF($C35="","",IFERROR(INDEX(LOT_PRODE,MATCH($C35,LOT_KEY,0)),"LOT NON REFERENCE"))</f>
        <v/>
      </c>
      <c r="P35" s="26" t="str">
        <f aca="false">IF($C35="","",IFERROR(INDEX(LOT_CONSERVE,MATCH($C35,LOT_KEY,0)),""))</f>
        <v/>
      </c>
      <c r="Q35" s="27" t="str">
        <f aca="false">IF(OR($C35="",$D35=""),"",SUMIFS(MVT_NET,MVT_LOT,$C35,MVT_EMPL,$D35))</f>
        <v/>
      </c>
      <c r="R35" s="26" t="str">
        <f aca="false">IF($C35="","",IF(OR($B35="",AND($F35="",$G35="",$H35="",$I35="",$J35="",$K35="")),"DONNEES MANQUANTES",IF(AND($D35&lt;&gt;"",$Q35&lt;=0),"EMPLACEMENT INCOHERENT","OK")))</f>
        <v/>
      </c>
      <c r="S35" s="26" t="str">
        <f aca="false">IF($C35="","",IF(AND(ISNUMBER($G35),$G35&gt;P_HIST),"HISTAMINE "&amp;TEXT($G35,"#,##0")&amp;" PPM &gt; seuil "&amp;TEXT(P_HIST,"#,##0")&amp;". ","")&amp;IF(AND(ISNUMBER($F35),$P35="CONGELE",$F35&gt;P_TCONG),"TEMPERATURE "&amp;TEXT($F35,"0.0")&amp;" C hors seuil congele. ","")&amp;IF(AND(ISNUMBER($F35),$P35="FRAIS",$F35&gt;P_TFRAIS),"TEMPERATURE "&amp;TEXT($F35,"0.0")&amp;" C hors seuil frais. ","")&amp;IF($K35="BLOQUER","Lot bloque qualite : stock signale mais inchange. ","")&amp;IF($R35="EMPLACEMENT INCOHERENT","Lot absent de cet emplacement : controle conserve, stock inchange. ","")&amp;IF($R35="DONNEES MANQUANTES","Renseigner la DATE et au moins une mesure. ",""))</f>
        <v/>
      </c>
      <c r="T35" s="28" t="n">
        <f aca="false">IF(OR($C35="",$B35=""),0,IF(COUNTIFS(QC_LOT,$C35,QC_DATE,"&gt;"&amp;$B35)&gt;0,0,IF(COUNTIFS($C$5:$C35,$C35,$B$5:$B35,$B35)=COUNTIFS(QC_LOT,$C35,QC_DATE,$B35),1,0)))</f>
        <v>0</v>
      </c>
      <c r="U35" s="26" t="str">
        <f aca="false">IF($T35=1,$C35,"")</f>
        <v/>
      </c>
      <c r="V35" s="28" t="n">
        <f aca="false">IF($C35="",0,IF($C35=R_LOT,1,0))</f>
        <v>0</v>
      </c>
      <c r="W35" s="26" t="str">
        <f aca="false">IF($V35=0,"",COUNTIF($V$5:$V35,1))</f>
        <v/>
      </c>
    </row>
    <row r="36" customFormat="false" ht="15" hidden="false" customHeight="false" outlineLevel="0" collapsed="false">
      <c r="A36" s="26" t="str">
        <f aca="false">IF($C36="","","QC-"&amp;TEXT(ROW()-4,"000"))</f>
        <v/>
      </c>
      <c r="B36" s="25"/>
      <c r="C36" s="24"/>
      <c r="D36" s="24"/>
      <c r="E36" s="24"/>
      <c r="F36" s="32"/>
      <c r="G36" s="33"/>
      <c r="H36" s="24"/>
      <c r="I36" s="24"/>
      <c r="J36" s="24"/>
      <c r="K36" s="24"/>
      <c r="L36" s="24"/>
      <c r="M36" s="24"/>
      <c r="N36" s="26" t="str">
        <f aca="false">IF($C36="","",IFERROR(INDEX(LOT_EXTE,MATCH($C36,LOT_KEY,0)),""))</f>
        <v/>
      </c>
      <c r="O36" s="26" t="str">
        <f aca="false">IF($C36="","",IFERROR(INDEX(LOT_PRODE,MATCH($C36,LOT_KEY,0)),"LOT NON REFERENCE"))</f>
        <v/>
      </c>
      <c r="P36" s="26" t="str">
        <f aca="false">IF($C36="","",IFERROR(INDEX(LOT_CONSERVE,MATCH($C36,LOT_KEY,0)),""))</f>
        <v/>
      </c>
      <c r="Q36" s="27" t="str">
        <f aca="false">IF(OR($C36="",$D36=""),"",SUMIFS(MVT_NET,MVT_LOT,$C36,MVT_EMPL,$D36))</f>
        <v/>
      </c>
      <c r="R36" s="26" t="str">
        <f aca="false">IF($C36="","",IF(OR($B36="",AND($F36="",$G36="",$H36="",$I36="",$J36="",$K36="")),"DONNEES MANQUANTES",IF(AND($D36&lt;&gt;"",$Q36&lt;=0),"EMPLACEMENT INCOHERENT","OK")))</f>
        <v/>
      </c>
      <c r="S36" s="26" t="str">
        <f aca="false">IF($C36="","",IF(AND(ISNUMBER($G36),$G36&gt;P_HIST),"HISTAMINE "&amp;TEXT($G36,"#,##0")&amp;" PPM &gt; seuil "&amp;TEXT(P_HIST,"#,##0")&amp;". ","")&amp;IF(AND(ISNUMBER($F36),$P36="CONGELE",$F36&gt;P_TCONG),"TEMPERATURE "&amp;TEXT($F36,"0.0")&amp;" C hors seuil congele. ","")&amp;IF(AND(ISNUMBER($F36),$P36="FRAIS",$F36&gt;P_TFRAIS),"TEMPERATURE "&amp;TEXT($F36,"0.0")&amp;" C hors seuil frais. ","")&amp;IF($K36="BLOQUER","Lot bloque qualite : stock signale mais inchange. ","")&amp;IF($R36="EMPLACEMENT INCOHERENT","Lot absent de cet emplacement : controle conserve, stock inchange. ","")&amp;IF($R36="DONNEES MANQUANTES","Renseigner la DATE et au moins une mesure. ",""))</f>
        <v/>
      </c>
      <c r="T36" s="28" t="n">
        <f aca="false">IF(OR($C36="",$B36=""),0,IF(COUNTIFS(QC_LOT,$C36,QC_DATE,"&gt;"&amp;$B36)&gt;0,0,IF(COUNTIFS($C$5:$C36,$C36,$B$5:$B36,$B36)=COUNTIFS(QC_LOT,$C36,QC_DATE,$B36),1,0)))</f>
        <v>0</v>
      </c>
      <c r="U36" s="26" t="str">
        <f aca="false">IF($T36=1,$C36,"")</f>
        <v/>
      </c>
      <c r="V36" s="28" t="n">
        <f aca="false">IF($C36="",0,IF($C36=R_LOT,1,0))</f>
        <v>0</v>
      </c>
      <c r="W36" s="26" t="str">
        <f aca="false">IF($V36=0,"",COUNTIF($V$5:$V36,1))</f>
        <v/>
      </c>
    </row>
    <row r="37" customFormat="false" ht="15" hidden="false" customHeight="false" outlineLevel="0" collapsed="false">
      <c r="A37" s="26" t="str">
        <f aca="false">IF($C37="","","QC-"&amp;TEXT(ROW()-4,"000"))</f>
        <v/>
      </c>
      <c r="B37" s="25"/>
      <c r="C37" s="24"/>
      <c r="D37" s="24"/>
      <c r="E37" s="24"/>
      <c r="F37" s="32"/>
      <c r="G37" s="33"/>
      <c r="H37" s="24"/>
      <c r="I37" s="24"/>
      <c r="J37" s="24"/>
      <c r="K37" s="24"/>
      <c r="L37" s="24"/>
      <c r="M37" s="24"/>
      <c r="N37" s="26" t="str">
        <f aca="false">IF($C37="","",IFERROR(INDEX(LOT_EXTE,MATCH($C37,LOT_KEY,0)),""))</f>
        <v/>
      </c>
      <c r="O37" s="26" t="str">
        <f aca="false">IF($C37="","",IFERROR(INDEX(LOT_PRODE,MATCH($C37,LOT_KEY,0)),"LOT NON REFERENCE"))</f>
        <v/>
      </c>
      <c r="P37" s="26" t="str">
        <f aca="false">IF($C37="","",IFERROR(INDEX(LOT_CONSERVE,MATCH($C37,LOT_KEY,0)),""))</f>
        <v/>
      </c>
      <c r="Q37" s="27" t="str">
        <f aca="false">IF(OR($C37="",$D37=""),"",SUMIFS(MVT_NET,MVT_LOT,$C37,MVT_EMPL,$D37))</f>
        <v/>
      </c>
      <c r="R37" s="26" t="str">
        <f aca="false">IF($C37="","",IF(OR($B37="",AND($F37="",$G37="",$H37="",$I37="",$J37="",$K37="")),"DONNEES MANQUANTES",IF(AND($D37&lt;&gt;"",$Q37&lt;=0),"EMPLACEMENT INCOHERENT","OK")))</f>
        <v/>
      </c>
      <c r="S37" s="26" t="str">
        <f aca="false">IF($C37="","",IF(AND(ISNUMBER($G37),$G37&gt;P_HIST),"HISTAMINE "&amp;TEXT($G37,"#,##0")&amp;" PPM &gt; seuil "&amp;TEXT(P_HIST,"#,##0")&amp;". ","")&amp;IF(AND(ISNUMBER($F37),$P37="CONGELE",$F37&gt;P_TCONG),"TEMPERATURE "&amp;TEXT($F37,"0.0")&amp;" C hors seuil congele. ","")&amp;IF(AND(ISNUMBER($F37),$P37="FRAIS",$F37&gt;P_TFRAIS),"TEMPERATURE "&amp;TEXT($F37,"0.0")&amp;" C hors seuil frais. ","")&amp;IF($K37="BLOQUER","Lot bloque qualite : stock signale mais inchange. ","")&amp;IF($R37="EMPLACEMENT INCOHERENT","Lot absent de cet emplacement : controle conserve, stock inchange. ","")&amp;IF($R37="DONNEES MANQUANTES","Renseigner la DATE et au moins une mesure. ",""))</f>
        <v/>
      </c>
      <c r="T37" s="28" t="n">
        <f aca="false">IF(OR($C37="",$B37=""),0,IF(COUNTIFS(QC_LOT,$C37,QC_DATE,"&gt;"&amp;$B37)&gt;0,0,IF(COUNTIFS($C$5:$C37,$C37,$B$5:$B37,$B37)=COUNTIFS(QC_LOT,$C37,QC_DATE,$B37),1,0)))</f>
        <v>0</v>
      </c>
      <c r="U37" s="26" t="str">
        <f aca="false">IF($T37=1,$C37,"")</f>
        <v/>
      </c>
      <c r="V37" s="28" t="n">
        <f aca="false">IF($C37="",0,IF($C37=R_LOT,1,0))</f>
        <v>0</v>
      </c>
      <c r="W37" s="26" t="str">
        <f aca="false">IF($V37=0,"",COUNTIF($V$5:$V37,1))</f>
        <v/>
      </c>
    </row>
    <row r="38" customFormat="false" ht="15" hidden="false" customHeight="false" outlineLevel="0" collapsed="false">
      <c r="A38" s="26" t="str">
        <f aca="false">IF($C38="","","QC-"&amp;TEXT(ROW()-4,"000"))</f>
        <v/>
      </c>
      <c r="B38" s="25"/>
      <c r="C38" s="24"/>
      <c r="D38" s="24"/>
      <c r="E38" s="24"/>
      <c r="F38" s="32"/>
      <c r="G38" s="33"/>
      <c r="H38" s="24"/>
      <c r="I38" s="24"/>
      <c r="J38" s="24"/>
      <c r="K38" s="24"/>
      <c r="L38" s="24"/>
      <c r="M38" s="24"/>
      <c r="N38" s="26" t="str">
        <f aca="false">IF($C38="","",IFERROR(INDEX(LOT_EXTE,MATCH($C38,LOT_KEY,0)),""))</f>
        <v/>
      </c>
      <c r="O38" s="26" t="str">
        <f aca="false">IF($C38="","",IFERROR(INDEX(LOT_PRODE,MATCH($C38,LOT_KEY,0)),"LOT NON REFERENCE"))</f>
        <v/>
      </c>
      <c r="P38" s="26" t="str">
        <f aca="false">IF($C38="","",IFERROR(INDEX(LOT_CONSERVE,MATCH($C38,LOT_KEY,0)),""))</f>
        <v/>
      </c>
      <c r="Q38" s="27" t="str">
        <f aca="false">IF(OR($C38="",$D38=""),"",SUMIFS(MVT_NET,MVT_LOT,$C38,MVT_EMPL,$D38))</f>
        <v/>
      </c>
      <c r="R38" s="26" t="str">
        <f aca="false">IF($C38="","",IF(OR($B38="",AND($F38="",$G38="",$H38="",$I38="",$J38="",$K38="")),"DONNEES MANQUANTES",IF(AND($D38&lt;&gt;"",$Q38&lt;=0),"EMPLACEMENT INCOHERENT","OK")))</f>
        <v/>
      </c>
      <c r="S38" s="26" t="str">
        <f aca="false">IF($C38="","",IF(AND(ISNUMBER($G38),$G38&gt;P_HIST),"HISTAMINE "&amp;TEXT($G38,"#,##0")&amp;" PPM &gt; seuil "&amp;TEXT(P_HIST,"#,##0")&amp;". ","")&amp;IF(AND(ISNUMBER($F38),$P38="CONGELE",$F38&gt;P_TCONG),"TEMPERATURE "&amp;TEXT($F38,"0.0")&amp;" C hors seuil congele. ","")&amp;IF(AND(ISNUMBER($F38),$P38="FRAIS",$F38&gt;P_TFRAIS),"TEMPERATURE "&amp;TEXT($F38,"0.0")&amp;" C hors seuil frais. ","")&amp;IF($K38="BLOQUER","Lot bloque qualite : stock signale mais inchange. ","")&amp;IF($R38="EMPLACEMENT INCOHERENT","Lot absent de cet emplacement : controle conserve, stock inchange. ","")&amp;IF($R38="DONNEES MANQUANTES","Renseigner la DATE et au moins une mesure. ",""))</f>
        <v/>
      </c>
      <c r="T38" s="28" t="n">
        <f aca="false">IF(OR($C38="",$B38=""),0,IF(COUNTIFS(QC_LOT,$C38,QC_DATE,"&gt;"&amp;$B38)&gt;0,0,IF(COUNTIFS($C$5:$C38,$C38,$B$5:$B38,$B38)=COUNTIFS(QC_LOT,$C38,QC_DATE,$B38),1,0)))</f>
        <v>0</v>
      </c>
      <c r="U38" s="26" t="str">
        <f aca="false">IF($T38=1,$C38,"")</f>
        <v/>
      </c>
      <c r="V38" s="28" t="n">
        <f aca="false">IF($C38="",0,IF($C38=R_LOT,1,0))</f>
        <v>0</v>
      </c>
      <c r="W38" s="26" t="str">
        <f aca="false">IF($V38=0,"",COUNTIF($V$5:$V38,1))</f>
        <v/>
      </c>
    </row>
    <row r="39" customFormat="false" ht="15" hidden="false" customHeight="false" outlineLevel="0" collapsed="false">
      <c r="A39" s="26" t="str">
        <f aca="false">IF($C39="","","QC-"&amp;TEXT(ROW()-4,"000"))</f>
        <v/>
      </c>
      <c r="B39" s="25"/>
      <c r="C39" s="24"/>
      <c r="D39" s="24"/>
      <c r="E39" s="24"/>
      <c r="F39" s="32"/>
      <c r="G39" s="33"/>
      <c r="H39" s="24"/>
      <c r="I39" s="24"/>
      <c r="J39" s="24"/>
      <c r="K39" s="24"/>
      <c r="L39" s="24"/>
      <c r="M39" s="24"/>
      <c r="N39" s="26" t="str">
        <f aca="false">IF($C39="","",IFERROR(INDEX(LOT_EXTE,MATCH($C39,LOT_KEY,0)),""))</f>
        <v/>
      </c>
      <c r="O39" s="26" t="str">
        <f aca="false">IF($C39="","",IFERROR(INDEX(LOT_PRODE,MATCH($C39,LOT_KEY,0)),"LOT NON REFERENCE"))</f>
        <v/>
      </c>
      <c r="P39" s="26" t="str">
        <f aca="false">IF($C39="","",IFERROR(INDEX(LOT_CONSERVE,MATCH($C39,LOT_KEY,0)),""))</f>
        <v/>
      </c>
      <c r="Q39" s="27" t="str">
        <f aca="false">IF(OR($C39="",$D39=""),"",SUMIFS(MVT_NET,MVT_LOT,$C39,MVT_EMPL,$D39))</f>
        <v/>
      </c>
      <c r="R39" s="26" t="str">
        <f aca="false">IF($C39="","",IF(OR($B39="",AND($F39="",$G39="",$H39="",$I39="",$J39="",$K39="")),"DONNEES MANQUANTES",IF(AND($D39&lt;&gt;"",$Q39&lt;=0),"EMPLACEMENT INCOHERENT","OK")))</f>
        <v/>
      </c>
      <c r="S39" s="26" t="str">
        <f aca="false">IF($C39="","",IF(AND(ISNUMBER($G39),$G39&gt;P_HIST),"HISTAMINE "&amp;TEXT($G39,"#,##0")&amp;" PPM &gt; seuil "&amp;TEXT(P_HIST,"#,##0")&amp;". ","")&amp;IF(AND(ISNUMBER($F39),$P39="CONGELE",$F39&gt;P_TCONG),"TEMPERATURE "&amp;TEXT($F39,"0.0")&amp;" C hors seuil congele. ","")&amp;IF(AND(ISNUMBER($F39),$P39="FRAIS",$F39&gt;P_TFRAIS),"TEMPERATURE "&amp;TEXT($F39,"0.0")&amp;" C hors seuil frais. ","")&amp;IF($K39="BLOQUER","Lot bloque qualite : stock signale mais inchange. ","")&amp;IF($R39="EMPLACEMENT INCOHERENT","Lot absent de cet emplacement : controle conserve, stock inchange. ","")&amp;IF($R39="DONNEES MANQUANTES","Renseigner la DATE et au moins une mesure. ",""))</f>
        <v/>
      </c>
      <c r="T39" s="28" t="n">
        <f aca="false">IF(OR($C39="",$B39=""),0,IF(COUNTIFS(QC_LOT,$C39,QC_DATE,"&gt;"&amp;$B39)&gt;0,0,IF(COUNTIFS($C$5:$C39,$C39,$B$5:$B39,$B39)=COUNTIFS(QC_LOT,$C39,QC_DATE,$B39),1,0)))</f>
        <v>0</v>
      </c>
      <c r="U39" s="26" t="str">
        <f aca="false">IF($T39=1,$C39,"")</f>
        <v/>
      </c>
      <c r="V39" s="28" t="n">
        <f aca="false">IF($C39="",0,IF($C39=R_LOT,1,0))</f>
        <v>0</v>
      </c>
      <c r="W39" s="26" t="str">
        <f aca="false">IF($V39=0,"",COUNTIF($V$5:$V39,1))</f>
        <v/>
      </c>
    </row>
    <row r="40" customFormat="false" ht="15" hidden="false" customHeight="false" outlineLevel="0" collapsed="false">
      <c r="A40" s="26" t="str">
        <f aca="false">IF($C40="","","QC-"&amp;TEXT(ROW()-4,"000"))</f>
        <v/>
      </c>
      <c r="B40" s="25"/>
      <c r="C40" s="24"/>
      <c r="D40" s="24"/>
      <c r="E40" s="24"/>
      <c r="F40" s="32"/>
      <c r="G40" s="33"/>
      <c r="H40" s="24"/>
      <c r="I40" s="24"/>
      <c r="J40" s="24"/>
      <c r="K40" s="24"/>
      <c r="L40" s="24"/>
      <c r="M40" s="24"/>
      <c r="N40" s="26" t="str">
        <f aca="false">IF($C40="","",IFERROR(INDEX(LOT_EXTE,MATCH($C40,LOT_KEY,0)),""))</f>
        <v/>
      </c>
      <c r="O40" s="26" t="str">
        <f aca="false">IF($C40="","",IFERROR(INDEX(LOT_PRODE,MATCH($C40,LOT_KEY,0)),"LOT NON REFERENCE"))</f>
        <v/>
      </c>
      <c r="P40" s="26" t="str">
        <f aca="false">IF($C40="","",IFERROR(INDEX(LOT_CONSERVE,MATCH($C40,LOT_KEY,0)),""))</f>
        <v/>
      </c>
      <c r="Q40" s="27" t="str">
        <f aca="false">IF(OR($C40="",$D40=""),"",SUMIFS(MVT_NET,MVT_LOT,$C40,MVT_EMPL,$D40))</f>
        <v/>
      </c>
      <c r="R40" s="26" t="str">
        <f aca="false">IF($C40="","",IF(OR($B40="",AND($F40="",$G40="",$H40="",$I40="",$J40="",$K40="")),"DONNEES MANQUANTES",IF(AND($D40&lt;&gt;"",$Q40&lt;=0),"EMPLACEMENT INCOHERENT","OK")))</f>
        <v/>
      </c>
      <c r="S40" s="26" t="str">
        <f aca="false">IF($C40="","",IF(AND(ISNUMBER($G40),$G40&gt;P_HIST),"HISTAMINE "&amp;TEXT($G40,"#,##0")&amp;" PPM &gt; seuil "&amp;TEXT(P_HIST,"#,##0")&amp;". ","")&amp;IF(AND(ISNUMBER($F40),$P40="CONGELE",$F40&gt;P_TCONG),"TEMPERATURE "&amp;TEXT($F40,"0.0")&amp;" C hors seuil congele. ","")&amp;IF(AND(ISNUMBER($F40),$P40="FRAIS",$F40&gt;P_TFRAIS),"TEMPERATURE "&amp;TEXT($F40,"0.0")&amp;" C hors seuil frais. ","")&amp;IF($K40="BLOQUER","Lot bloque qualite : stock signale mais inchange. ","")&amp;IF($R40="EMPLACEMENT INCOHERENT","Lot absent de cet emplacement : controle conserve, stock inchange. ","")&amp;IF($R40="DONNEES MANQUANTES","Renseigner la DATE et au moins une mesure. ",""))</f>
        <v/>
      </c>
      <c r="T40" s="28" t="n">
        <f aca="false">IF(OR($C40="",$B40=""),0,IF(COUNTIFS(QC_LOT,$C40,QC_DATE,"&gt;"&amp;$B40)&gt;0,0,IF(COUNTIFS($C$5:$C40,$C40,$B$5:$B40,$B40)=COUNTIFS(QC_LOT,$C40,QC_DATE,$B40),1,0)))</f>
        <v>0</v>
      </c>
      <c r="U40" s="26" t="str">
        <f aca="false">IF($T40=1,$C40,"")</f>
        <v/>
      </c>
      <c r="V40" s="28" t="n">
        <f aca="false">IF($C40="",0,IF($C40=R_LOT,1,0))</f>
        <v>0</v>
      </c>
      <c r="W40" s="26" t="str">
        <f aca="false">IF($V40=0,"",COUNTIF($V$5:$V40,1))</f>
        <v/>
      </c>
    </row>
    <row r="41" customFormat="false" ht="15" hidden="false" customHeight="false" outlineLevel="0" collapsed="false">
      <c r="A41" s="26" t="str">
        <f aca="false">IF($C41="","","QC-"&amp;TEXT(ROW()-4,"000"))</f>
        <v/>
      </c>
      <c r="B41" s="25"/>
      <c r="C41" s="24"/>
      <c r="D41" s="24"/>
      <c r="E41" s="24"/>
      <c r="F41" s="32"/>
      <c r="G41" s="33"/>
      <c r="H41" s="24"/>
      <c r="I41" s="24"/>
      <c r="J41" s="24"/>
      <c r="K41" s="24"/>
      <c r="L41" s="24"/>
      <c r="M41" s="24"/>
      <c r="N41" s="26" t="str">
        <f aca="false">IF($C41="","",IFERROR(INDEX(LOT_EXTE,MATCH($C41,LOT_KEY,0)),""))</f>
        <v/>
      </c>
      <c r="O41" s="26" t="str">
        <f aca="false">IF($C41="","",IFERROR(INDEX(LOT_PRODE,MATCH($C41,LOT_KEY,0)),"LOT NON REFERENCE"))</f>
        <v/>
      </c>
      <c r="P41" s="26" t="str">
        <f aca="false">IF($C41="","",IFERROR(INDEX(LOT_CONSERVE,MATCH($C41,LOT_KEY,0)),""))</f>
        <v/>
      </c>
      <c r="Q41" s="27" t="str">
        <f aca="false">IF(OR($C41="",$D41=""),"",SUMIFS(MVT_NET,MVT_LOT,$C41,MVT_EMPL,$D41))</f>
        <v/>
      </c>
      <c r="R41" s="26" t="str">
        <f aca="false">IF($C41="","",IF(OR($B41="",AND($F41="",$G41="",$H41="",$I41="",$J41="",$K41="")),"DONNEES MANQUANTES",IF(AND($D41&lt;&gt;"",$Q41&lt;=0),"EMPLACEMENT INCOHERENT","OK")))</f>
        <v/>
      </c>
      <c r="S41" s="26" t="str">
        <f aca="false">IF($C41="","",IF(AND(ISNUMBER($G41),$G41&gt;P_HIST),"HISTAMINE "&amp;TEXT($G41,"#,##0")&amp;" PPM &gt; seuil "&amp;TEXT(P_HIST,"#,##0")&amp;". ","")&amp;IF(AND(ISNUMBER($F41),$P41="CONGELE",$F41&gt;P_TCONG),"TEMPERATURE "&amp;TEXT($F41,"0.0")&amp;" C hors seuil congele. ","")&amp;IF(AND(ISNUMBER($F41),$P41="FRAIS",$F41&gt;P_TFRAIS),"TEMPERATURE "&amp;TEXT($F41,"0.0")&amp;" C hors seuil frais. ","")&amp;IF($K41="BLOQUER","Lot bloque qualite : stock signale mais inchange. ","")&amp;IF($R41="EMPLACEMENT INCOHERENT","Lot absent de cet emplacement : controle conserve, stock inchange. ","")&amp;IF($R41="DONNEES MANQUANTES","Renseigner la DATE et au moins une mesure. ",""))</f>
        <v/>
      </c>
      <c r="T41" s="28" t="n">
        <f aca="false">IF(OR($C41="",$B41=""),0,IF(COUNTIFS(QC_LOT,$C41,QC_DATE,"&gt;"&amp;$B41)&gt;0,0,IF(COUNTIFS($C$5:$C41,$C41,$B$5:$B41,$B41)=COUNTIFS(QC_LOT,$C41,QC_DATE,$B41),1,0)))</f>
        <v>0</v>
      </c>
      <c r="U41" s="26" t="str">
        <f aca="false">IF($T41=1,$C41,"")</f>
        <v/>
      </c>
      <c r="V41" s="28" t="n">
        <f aca="false">IF($C41="",0,IF($C41=R_LOT,1,0))</f>
        <v>0</v>
      </c>
      <c r="W41" s="26" t="str">
        <f aca="false">IF($V41=0,"",COUNTIF($V$5:$V41,1))</f>
        <v/>
      </c>
    </row>
    <row r="42" customFormat="false" ht="15" hidden="false" customHeight="false" outlineLevel="0" collapsed="false">
      <c r="A42" s="26" t="str">
        <f aca="false">IF($C42="","","QC-"&amp;TEXT(ROW()-4,"000"))</f>
        <v/>
      </c>
      <c r="B42" s="25"/>
      <c r="C42" s="24"/>
      <c r="D42" s="24"/>
      <c r="E42" s="24"/>
      <c r="F42" s="32"/>
      <c r="G42" s="33"/>
      <c r="H42" s="24"/>
      <c r="I42" s="24"/>
      <c r="J42" s="24"/>
      <c r="K42" s="24"/>
      <c r="L42" s="24"/>
      <c r="M42" s="24"/>
      <c r="N42" s="26" t="str">
        <f aca="false">IF($C42="","",IFERROR(INDEX(LOT_EXTE,MATCH($C42,LOT_KEY,0)),""))</f>
        <v/>
      </c>
      <c r="O42" s="26" t="str">
        <f aca="false">IF($C42="","",IFERROR(INDEX(LOT_PRODE,MATCH($C42,LOT_KEY,0)),"LOT NON REFERENCE"))</f>
        <v/>
      </c>
      <c r="P42" s="26" t="str">
        <f aca="false">IF($C42="","",IFERROR(INDEX(LOT_CONSERVE,MATCH($C42,LOT_KEY,0)),""))</f>
        <v/>
      </c>
      <c r="Q42" s="27" t="str">
        <f aca="false">IF(OR($C42="",$D42=""),"",SUMIFS(MVT_NET,MVT_LOT,$C42,MVT_EMPL,$D42))</f>
        <v/>
      </c>
      <c r="R42" s="26" t="str">
        <f aca="false">IF($C42="","",IF(OR($B42="",AND($F42="",$G42="",$H42="",$I42="",$J42="",$K42="")),"DONNEES MANQUANTES",IF(AND($D42&lt;&gt;"",$Q42&lt;=0),"EMPLACEMENT INCOHERENT","OK")))</f>
        <v/>
      </c>
      <c r="S42" s="26" t="str">
        <f aca="false">IF($C42="","",IF(AND(ISNUMBER($G42),$G42&gt;P_HIST),"HISTAMINE "&amp;TEXT($G42,"#,##0")&amp;" PPM &gt; seuil "&amp;TEXT(P_HIST,"#,##0")&amp;". ","")&amp;IF(AND(ISNUMBER($F42),$P42="CONGELE",$F42&gt;P_TCONG),"TEMPERATURE "&amp;TEXT($F42,"0.0")&amp;" C hors seuil congele. ","")&amp;IF(AND(ISNUMBER($F42),$P42="FRAIS",$F42&gt;P_TFRAIS),"TEMPERATURE "&amp;TEXT($F42,"0.0")&amp;" C hors seuil frais. ","")&amp;IF($K42="BLOQUER","Lot bloque qualite : stock signale mais inchange. ","")&amp;IF($R42="EMPLACEMENT INCOHERENT","Lot absent de cet emplacement : controle conserve, stock inchange. ","")&amp;IF($R42="DONNEES MANQUANTES","Renseigner la DATE et au moins une mesure. ",""))</f>
        <v/>
      </c>
      <c r="T42" s="28" t="n">
        <f aca="false">IF(OR($C42="",$B42=""),0,IF(COUNTIFS(QC_LOT,$C42,QC_DATE,"&gt;"&amp;$B42)&gt;0,0,IF(COUNTIFS($C$5:$C42,$C42,$B$5:$B42,$B42)=COUNTIFS(QC_LOT,$C42,QC_DATE,$B42),1,0)))</f>
        <v>0</v>
      </c>
      <c r="U42" s="26" t="str">
        <f aca="false">IF($T42=1,$C42,"")</f>
        <v/>
      </c>
      <c r="V42" s="28" t="n">
        <f aca="false">IF($C42="",0,IF($C42=R_LOT,1,0))</f>
        <v>0</v>
      </c>
      <c r="W42" s="26" t="str">
        <f aca="false">IF($V42=0,"",COUNTIF($V$5:$V42,1))</f>
        <v/>
      </c>
    </row>
    <row r="43" customFormat="false" ht="15" hidden="false" customHeight="false" outlineLevel="0" collapsed="false">
      <c r="A43" s="26" t="str">
        <f aca="false">IF($C43="","","QC-"&amp;TEXT(ROW()-4,"000"))</f>
        <v/>
      </c>
      <c r="B43" s="25"/>
      <c r="C43" s="24"/>
      <c r="D43" s="24"/>
      <c r="E43" s="24"/>
      <c r="F43" s="32"/>
      <c r="G43" s="33"/>
      <c r="H43" s="24"/>
      <c r="I43" s="24"/>
      <c r="J43" s="24"/>
      <c r="K43" s="24"/>
      <c r="L43" s="24"/>
      <c r="M43" s="24"/>
      <c r="N43" s="26" t="str">
        <f aca="false">IF($C43="","",IFERROR(INDEX(LOT_EXTE,MATCH($C43,LOT_KEY,0)),""))</f>
        <v/>
      </c>
      <c r="O43" s="26" t="str">
        <f aca="false">IF($C43="","",IFERROR(INDEX(LOT_PRODE,MATCH($C43,LOT_KEY,0)),"LOT NON REFERENCE"))</f>
        <v/>
      </c>
      <c r="P43" s="26" t="str">
        <f aca="false">IF($C43="","",IFERROR(INDEX(LOT_CONSERVE,MATCH($C43,LOT_KEY,0)),""))</f>
        <v/>
      </c>
      <c r="Q43" s="27" t="str">
        <f aca="false">IF(OR($C43="",$D43=""),"",SUMIFS(MVT_NET,MVT_LOT,$C43,MVT_EMPL,$D43))</f>
        <v/>
      </c>
      <c r="R43" s="26" t="str">
        <f aca="false">IF($C43="","",IF(OR($B43="",AND($F43="",$G43="",$H43="",$I43="",$J43="",$K43="")),"DONNEES MANQUANTES",IF(AND($D43&lt;&gt;"",$Q43&lt;=0),"EMPLACEMENT INCOHERENT","OK")))</f>
        <v/>
      </c>
      <c r="S43" s="26" t="str">
        <f aca="false">IF($C43="","",IF(AND(ISNUMBER($G43),$G43&gt;P_HIST),"HISTAMINE "&amp;TEXT($G43,"#,##0")&amp;" PPM &gt; seuil "&amp;TEXT(P_HIST,"#,##0")&amp;". ","")&amp;IF(AND(ISNUMBER($F43),$P43="CONGELE",$F43&gt;P_TCONG),"TEMPERATURE "&amp;TEXT($F43,"0.0")&amp;" C hors seuil congele. ","")&amp;IF(AND(ISNUMBER($F43),$P43="FRAIS",$F43&gt;P_TFRAIS),"TEMPERATURE "&amp;TEXT($F43,"0.0")&amp;" C hors seuil frais. ","")&amp;IF($K43="BLOQUER","Lot bloque qualite : stock signale mais inchange. ","")&amp;IF($R43="EMPLACEMENT INCOHERENT","Lot absent de cet emplacement : controle conserve, stock inchange. ","")&amp;IF($R43="DONNEES MANQUANTES","Renseigner la DATE et au moins une mesure. ",""))</f>
        <v/>
      </c>
      <c r="T43" s="28" t="n">
        <f aca="false">IF(OR($C43="",$B43=""),0,IF(COUNTIFS(QC_LOT,$C43,QC_DATE,"&gt;"&amp;$B43)&gt;0,0,IF(COUNTIFS($C$5:$C43,$C43,$B$5:$B43,$B43)=COUNTIFS(QC_LOT,$C43,QC_DATE,$B43),1,0)))</f>
        <v>0</v>
      </c>
      <c r="U43" s="26" t="str">
        <f aca="false">IF($T43=1,$C43,"")</f>
        <v/>
      </c>
      <c r="V43" s="28" t="n">
        <f aca="false">IF($C43="",0,IF($C43=R_LOT,1,0))</f>
        <v>0</v>
      </c>
      <c r="W43" s="26" t="str">
        <f aca="false">IF($V43=0,"",COUNTIF($V$5:$V43,1))</f>
        <v/>
      </c>
    </row>
    <row r="44" customFormat="false" ht="15" hidden="false" customHeight="false" outlineLevel="0" collapsed="false">
      <c r="A44" s="26" t="str">
        <f aca="false">IF($C44="","","QC-"&amp;TEXT(ROW()-4,"000"))</f>
        <v/>
      </c>
      <c r="B44" s="25"/>
      <c r="C44" s="24"/>
      <c r="D44" s="24"/>
      <c r="E44" s="24"/>
      <c r="F44" s="32"/>
      <c r="G44" s="33"/>
      <c r="H44" s="24"/>
      <c r="I44" s="24"/>
      <c r="J44" s="24"/>
      <c r="K44" s="24"/>
      <c r="L44" s="24"/>
      <c r="M44" s="24"/>
      <c r="N44" s="26" t="str">
        <f aca="false">IF($C44="","",IFERROR(INDEX(LOT_EXTE,MATCH($C44,LOT_KEY,0)),""))</f>
        <v/>
      </c>
      <c r="O44" s="26" t="str">
        <f aca="false">IF($C44="","",IFERROR(INDEX(LOT_PRODE,MATCH($C44,LOT_KEY,0)),"LOT NON REFERENCE"))</f>
        <v/>
      </c>
      <c r="P44" s="26" t="str">
        <f aca="false">IF($C44="","",IFERROR(INDEX(LOT_CONSERVE,MATCH($C44,LOT_KEY,0)),""))</f>
        <v/>
      </c>
      <c r="Q44" s="27" t="str">
        <f aca="false">IF(OR($C44="",$D44=""),"",SUMIFS(MVT_NET,MVT_LOT,$C44,MVT_EMPL,$D44))</f>
        <v/>
      </c>
      <c r="R44" s="26" t="str">
        <f aca="false">IF($C44="","",IF(OR($B44="",AND($F44="",$G44="",$H44="",$I44="",$J44="",$K44="")),"DONNEES MANQUANTES",IF(AND($D44&lt;&gt;"",$Q44&lt;=0),"EMPLACEMENT INCOHERENT","OK")))</f>
        <v/>
      </c>
      <c r="S44" s="26" t="str">
        <f aca="false">IF($C44="","",IF(AND(ISNUMBER($G44),$G44&gt;P_HIST),"HISTAMINE "&amp;TEXT($G44,"#,##0")&amp;" PPM &gt; seuil "&amp;TEXT(P_HIST,"#,##0")&amp;". ","")&amp;IF(AND(ISNUMBER($F44),$P44="CONGELE",$F44&gt;P_TCONG),"TEMPERATURE "&amp;TEXT($F44,"0.0")&amp;" C hors seuil congele. ","")&amp;IF(AND(ISNUMBER($F44),$P44="FRAIS",$F44&gt;P_TFRAIS),"TEMPERATURE "&amp;TEXT($F44,"0.0")&amp;" C hors seuil frais. ","")&amp;IF($K44="BLOQUER","Lot bloque qualite : stock signale mais inchange. ","")&amp;IF($R44="EMPLACEMENT INCOHERENT","Lot absent de cet emplacement : controle conserve, stock inchange. ","")&amp;IF($R44="DONNEES MANQUANTES","Renseigner la DATE et au moins une mesure. ",""))</f>
        <v/>
      </c>
      <c r="T44" s="28" t="n">
        <f aca="false">IF(OR($C44="",$B44=""),0,IF(COUNTIFS(QC_LOT,$C44,QC_DATE,"&gt;"&amp;$B44)&gt;0,0,IF(COUNTIFS($C$5:$C44,$C44,$B$5:$B44,$B44)=COUNTIFS(QC_LOT,$C44,QC_DATE,$B44),1,0)))</f>
        <v>0</v>
      </c>
      <c r="U44" s="26" t="str">
        <f aca="false">IF($T44=1,$C44,"")</f>
        <v/>
      </c>
      <c r="V44" s="28" t="n">
        <f aca="false">IF($C44="",0,IF($C44=R_LOT,1,0))</f>
        <v>0</v>
      </c>
      <c r="W44" s="26" t="str">
        <f aca="false">IF($V44=0,"",COUNTIF($V$5:$V44,1))</f>
        <v/>
      </c>
    </row>
    <row r="45" customFormat="false" ht="15" hidden="false" customHeight="false" outlineLevel="0" collapsed="false">
      <c r="A45" s="26" t="str">
        <f aca="false">IF($C45="","","QC-"&amp;TEXT(ROW()-4,"000"))</f>
        <v/>
      </c>
      <c r="B45" s="25"/>
      <c r="C45" s="24"/>
      <c r="D45" s="24"/>
      <c r="E45" s="24"/>
      <c r="F45" s="32"/>
      <c r="G45" s="33"/>
      <c r="H45" s="24"/>
      <c r="I45" s="24"/>
      <c r="J45" s="24"/>
      <c r="K45" s="24"/>
      <c r="L45" s="24"/>
      <c r="M45" s="24"/>
      <c r="N45" s="26" t="str">
        <f aca="false">IF($C45="","",IFERROR(INDEX(LOT_EXTE,MATCH($C45,LOT_KEY,0)),""))</f>
        <v/>
      </c>
      <c r="O45" s="26" t="str">
        <f aca="false">IF($C45="","",IFERROR(INDEX(LOT_PRODE,MATCH($C45,LOT_KEY,0)),"LOT NON REFERENCE"))</f>
        <v/>
      </c>
      <c r="P45" s="26" t="str">
        <f aca="false">IF($C45="","",IFERROR(INDEX(LOT_CONSERVE,MATCH($C45,LOT_KEY,0)),""))</f>
        <v/>
      </c>
      <c r="Q45" s="27" t="str">
        <f aca="false">IF(OR($C45="",$D45=""),"",SUMIFS(MVT_NET,MVT_LOT,$C45,MVT_EMPL,$D45))</f>
        <v/>
      </c>
      <c r="R45" s="26" t="str">
        <f aca="false">IF($C45="","",IF(OR($B45="",AND($F45="",$G45="",$H45="",$I45="",$J45="",$K45="")),"DONNEES MANQUANTES",IF(AND($D45&lt;&gt;"",$Q45&lt;=0),"EMPLACEMENT INCOHERENT","OK")))</f>
        <v/>
      </c>
      <c r="S45" s="26" t="str">
        <f aca="false">IF($C45="","",IF(AND(ISNUMBER($G45),$G45&gt;P_HIST),"HISTAMINE "&amp;TEXT($G45,"#,##0")&amp;" PPM &gt; seuil "&amp;TEXT(P_HIST,"#,##0")&amp;". ","")&amp;IF(AND(ISNUMBER($F45),$P45="CONGELE",$F45&gt;P_TCONG),"TEMPERATURE "&amp;TEXT($F45,"0.0")&amp;" C hors seuil congele. ","")&amp;IF(AND(ISNUMBER($F45),$P45="FRAIS",$F45&gt;P_TFRAIS),"TEMPERATURE "&amp;TEXT($F45,"0.0")&amp;" C hors seuil frais. ","")&amp;IF($K45="BLOQUER","Lot bloque qualite : stock signale mais inchange. ","")&amp;IF($R45="EMPLACEMENT INCOHERENT","Lot absent de cet emplacement : controle conserve, stock inchange. ","")&amp;IF($R45="DONNEES MANQUANTES","Renseigner la DATE et au moins une mesure. ",""))</f>
        <v/>
      </c>
      <c r="T45" s="28" t="n">
        <f aca="false">IF(OR($C45="",$B45=""),0,IF(COUNTIFS(QC_LOT,$C45,QC_DATE,"&gt;"&amp;$B45)&gt;0,0,IF(COUNTIFS($C$5:$C45,$C45,$B$5:$B45,$B45)=COUNTIFS(QC_LOT,$C45,QC_DATE,$B45),1,0)))</f>
        <v>0</v>
      </c>
      <c r="U45" s="26" t="str">
        <f aca="false">IF($T45=1,$C45,"")</f>
        <v/>
      </c>
      <c r="V45" s="28" t="n">
        <f aca="false">IF($C45="",0,IF($C45=R_LOT,1,0))</f>
        <v>0</v>
      </c>
      <c r="W45" s="26" t="str">
        <f aca="false">IF($V45=0,"",COUNTIF($V$5:$V45,1))</f>
        <v/>
      </c>
    </row>
    <row r="46" customFormat="false" ht="15" hidden="false" customHeight="false" outlineLevel="0" collapsed="false">
      <c r="A46" s="26" t="str">
        <f aca="false">IF($C46="","","QC-"&amp;TEXT(ROW()-4,"000"))</f>
        <v/>
      </c>
      <c r="B46" s="25"/>
      <c r="C46" s="24"/>
      <c r="D46" s="24"/>
      <c r="E46" s="24"/>
      <c r="F46" s="32"/>
      <c r="G46" s="33"/>
      <c r="H46" s="24"/>
      <c r="I46" s="24"/>
      <c r="J46" s="24"/>
      <c r="K46" s="24"/>
      <c r="L46" s="24"/>
      <c r="M46" s="24"/>
      <c r="N46" s="26" t="str">
        <f aca="false">IF($C46="","",IFERROR(INDEX(LOT_EXTE,MATCH($C46,LOT_KEY,0)),""))</f>
        <v/>
      </c>
      <c r="O46" s="26" t="str">
        <f aca="false">IF($C46="","",IFERROR(INDEX(LOT_PRODE,MATCH($C46,LOT_KEY,0)),"LOT NON REFERENCE"))</f>
        <v/>
      </c>
      <c r="P46" s="26" t="str">
        <f aca="false">IF($C46="","",IFERROR(INDEX(LOT_CONSERVE,MATCH($C46,LOT_KEY,0)),""))</f>
        <v/>
      </c>
      <c r="Q46" s="27" t="str">
        <f aca="false">IF(OR($C46="",$D46=""),"",SUMIFS(MVT_NET,MVT_LOT,$C46,MVT_EMPL,$D46))</f>
        <v/>
      </c>
      <c r="R46" s="26" t="str">
        <f aca="false">IF($C46="","",IF(OR($B46="",AND($F46="",$G46="",$H46="",$I46="",$J46="",$K46="")),"DONNEES MANQUANTES",IF(AND($D46&lt;&gt;"",$Q46&lt;=0),"EMPLACEMENT INCOHERENT","OK")))</f>
        <v/>
      </c>
      <c r="S46" s="26" t="str">
        <f aca="false">IF($C46="","",IF(AND(ISNUMBER($G46),$G46&gt;P_HIST),"HISTAMINE "&amp;TEXT($G46,"#,##0")&amp;" PPM &gt; seuil "&amp;TEXT(P_HIST,"#,##0")&amp;". ","")&amp;IF(AND(ISNUMBER($F46),$P46="CONGELE",$F46&gt;P_TCONG),"TEMPERATURE "&amp;TEXT($F46,"0.0")&amp;" C hors seuil congele. ","")&amp;IF(AND(ISNUMBER($F46),$P46="FRAIS",$F46&gt;P_TFRAIS),"TEMPERATURE "&amp;TEXT($F46,"0.0")&amp;" C hors seuil frais. ","")&amp;IF($K46="BLOQUER","Lot bloque qualite : stock signale mais inchange. ","")&amp;IF($R46="EMPLACEMENT INCOHERENT","Lot absent de cet emplacement : controle conserve, stock inchange. ","")&amp;IF($R46="DONNEES MANQUANTES","Renseigner la DATE et au moins une mesure. ",""))</f>
        <v/>
      </c>
      <c r="T46" s="28" t="n">
        <f aca="false">IF(OR($C46="",$B46=""),0,IF(COUNTIFS(QC_LOT,$C46,QC_DATE,"&gt;"&amp;$B46)&gt;0,0,IF(COUNTIFS($C$5:$C46,$C46,$B$5:$B46,$B46)=COUNTIFS(QC_LOT,$C46,QC_DATE,$B46),1,0)))</f>
        <v>0</v>
      </c>
      <c r="U46" s="26" t="str">
        <f aca="false">IF($T46=1,$C46,"")</f>
        <v/>
      </c>
      <c r="V46" s="28" t="n">
        <f aca="false">IF($C46="",0,IF($C46=R_LOT,1,0))</f>
        <v>0</v>
      </c>
      <c r="W46" s="26" t="str">
        <f aca="false">IF($V46=0,"",COUNTIF($V$5:$V46,1))</f>
        <v/>
      </c>
    </row>
    <row r="47" customFormat="false" ht="15" hidden="false" customHeight="false" outlineLevel="0" collapsed="false">
      <c r="A47" s="26" t="str">
        <f aca="false">IF($C47="","","QC-"&amp;TEXT(ROW()-4,"000"))</f>
        <v/>
      </c>
      <c r="B47" s="25"/>
      <c r="C47" s="24"/>
      <c r="D47" s="24"/>
      <c r="E47" s="24"/>
      <c r="F47" s="32"/>
      <c r="G47" s="33"/>
      <c r="H47" s="24"/>
      <c r="I47" s="24"/>
      <c r="J47" s="24"/>
      <c r="K47" s="24"/>
      <c r="L47" s="24"/>
      <c r="M47" s="24"/>
      <c r="N47" s="26" t="str">
        <f aca="false">IF($C47="","",IFERROR(INDEX(LOT_EXTE,MATCH($C47,LOT_KEY,0)),""))</f>
        <v/>
      </c>
      <c r="O47" s="26" t="str">
        <f aca="false">IF($C47="","",IFERROR(INDEX(LOT_PRODE,MATCH($C47,LOT_KEY,0)),"LOT NON REFERENCE"))</f>
        <v/>
      </c>
      <c r="P47" s="26" t="str">
        <f aca="false">IF($C47="","",IFERROR(INDEX(LOT_CONSERVE,MATCH($C47,LOT_KEY,0)),""))</f>
        <v/>
      </c>
      <c r="Q47" s="27" t="str">
        <f aca="false">IF(OR($C47="",$D47=""),"",SUMIFS(MVT_NET,MVT_LOT,$C47,MVT_EMPL,$D47))</f>
        <v/>
      </c>
      <c r="R47" s="26" t="str">
        <f aca="false">IF($C47="","",IF(OR($B47="",AND($F47="",$G47="",$H47="",$I47="",$J47="",$K47="")),"DONNEES MANQUANTES",IF(AND($D47&lt;&gt;"",$Q47&lt;=0),"EMPLACEMENT INCOHERENT","OK")))</f>
        <v/>
      </c>
      <c r="S47" s="26" t="str">
        <f aca="false">IF($C47="","",IF(AND(ISNUMBER($G47),$G47&gt;P_HIST),"HISTAMINE "&amp;TEXT($G47,"#,##0")&amp;" PPM &gt; seuil "&amp;TEXT(P_HIST,"#,##0")&amp;". ","")&amp;IF(AND(ISNUMBER($F47),$P47="CONGELE",$F47&gt;P_TCONG),"TEMPERATURE "&amp;TEXT($F47,"0.0")&amp;" C hors seuil congele. ","")&amp;IF(AND(ISNUMBER($F47),$P47="FRAIS",$F47&gt;P_TFRAIS),"TEMPERATURE "&amp;TEXT($F47,"0.0")&amp;" C hors seuil frais. ","")&amp;IF($K47="BLOQUER","Lot bloque qualite : stock signale mais inchange. ","")&amp;IF($R47="EMPLACEMENT INCOHERENT","Lot absent de cet emplacement : controle conserve, stock inchange. ","")&amp;IF($R47="DONNEES MANQUANTES","Renseigner la DATE et au moins une mesure. ",""))</f>
        <v/>
      </c>
      <c r="T47" s="28" t="n">
        <f aca="false">IF(OR($C47="",$B47=""),0,IF(COUNTIFS(QC_LOT,$C47,QC_DATE,"&gt;"&amp;$B47)&gt;0,0,IF(COUNTIFS($C$5:$C47,$C47,$B$5:$B47,$B47)=COUNTIFS(QC_LOT,$C47,QC_DATE,$B47),1,0)))</f>
        <v>0</v>
      </c>
      <c r="U47" s="26" t="str">
        <f aca="false">IF($T47=1,$C47,"")</f>
        <v/>
      </c>
      <c r="V47" s="28" t="n">
        <f aca="false">IF($C47="",0,IF($C47=R_LOT,1,0))</f>
        <v>0</v>
      </c>
      <c r="W47" s="26" t="str">
        <f aca="false">IF($V47=0,"",COUNTIF($V$5:$V47,1))</f>
        <v/>
      </c>
    </row>
    <row r="48" customFormat="false" ht="15" hidden="false" customHeight="false" outlineLevel="0" collapsed="false">
      <c r="A48" s="26" t="str">
        <f aca="false">IF($C48="","","QC-"&amp;TEXT(ROW()-4,"000"))</f>
        <v/>
      </c>
      <c r="B48" s="25"/>
      <c r="C48" s="24"/>
      <c r="D48" s="24"/>
      <c r="E48" s="24"/>
      <c r="F48" s="32"/>
      <c r="G48" s="33"/>
      <c r="H48" s="24"/>
      <c r="I48" s="24"/>
      <c r="J48" s="24"/>
      <c r="K48" s="24"/>
      <c r="L48" s="24"/>
      <c r="M48" s="24"/>
      <c r="N48" s="26" t="str">
        <f aca="false">IF($C48="","",IFERROR(INDEX(LOT_EXTE,MATCH($C48,LOT_KEY,0)),""))</f>
        <v/>
      </c>
      <c r="O48" s="26" t="str">
        <f aca="false">IF($C48="","",IFERROR(INDEX(LOT_PRODE,MATCH($C48,LOT_KEY,0)),"LOT NON REFERENCE"))</f>
        <v/>
      </c>
      <c r="P48" s="26" t="str">
        <f aca="false">IF($C48="","",IFERROR(INDEX(LOT_CONSERVE,MATCH($C48,LOT_KEY,0)),""))</f>
        <v/>
      </c>
      <c r="Q48" s="27" t="str">
        <f aca="false">IF(OR($C48="",$D48=""),"",SUMIFS(MVT_NET,MVT_LOT,$C48,MVT_EMPL,$D48))</f>
        <v/>
      </c>
      <c r="R48" s="26" t="str">
        <f aca="false">IF($C48="","",IF(OR($B48="",AND($F48="",$G48="",$H48="",$I48="",$J48="",$K48="")),"DONNEES MANQUANTES",IF(AND($D48&lt;&gt;"",$Q48&lt;=0),"EMPLACEMENT INCOHERENT","OK")))</f>
        <v/>
      </c>
      <c r="S48" s="26" t="str">
        <f aca="false">IF($C48="","",IF(AND(ISNUMBER($G48),$G48&gt;P_HIST),"HISTAMINE "&amp;TEXT($G48,"#,##0")&amp;" PPM &gt; seuil "&amp;TEXT(P_HIST,"#,##0")&amp;". ","")&amp;IF(AND(ISNUMBER($F48),$P48="CONGELE",$F48&gt;P_TCONG),"TEMPERATURE "&amp;TEXT($F48,"0.0")&amp;" C hors seuil congele. ","")&amp;IF(AND(ISNUMBER($F48),$P48="FRAIS",$F48&gt;P_TFRAIS),"TEMPERATURE "&amp;TEXT($F48,"0.0")&amp;" C hors seuil frais. ","")&amp;IF($K48="BLOQUER","Lot bloque qualite : stock signale mais inchange. ","")&amp;IF($R48="EMPLACEMENT INCOHERENT","Lot absent de cet emplacement : controle conserve, stock inchange. ","")&amp;IF($R48="DONNEES MANQUANTES","Renseigner la DATE et au moins une mesure. ",""))</f>
        <v/>
      </c>
      <c r="T48" s="28" t="n">
        <f aca="false">IF(OR($C48="",$B48=""),0,IF(COUNTIFS(QC_LOT,$C48,QC_DATE,"&gt;"&amp;$B48)&gt;0,0,IF(COUNTIFS($C$5:$C48,$C48,$B$5:$B48,$B48)=COUNTIFS(QC_LOT,$C48,QC_DATE,$B48),1,0)))</f>
        <v>0</v>
      </c>
      <c r="U48" s="26" t="str">
        <f aca="false">IF($T48=1,$C48,"")</f>
        <v/>
      </c>
      <c r="V48" s="28" t="n">
        <f aca="false">IF($C48="",0,IF($C48=R_LOT,1,0))</f>
        <v>0</v>
      </c>
      <c r="W48" s="26" t="str">
        <f aca="false">IF($V48=0,"",COUNTIF($V$5:$V48,1))</f>
        <v/>
      </c>
    </row>
    <row r="49" customFormat="false" ht="15" hidden="false" customHeight="false" outlineLevel="0" collapsed="false">
      <c r="A49" s="26" t="str">
        <f aca="false">IF($C49="","","QC-"&amp;TEXT(ROW()-4,"000"))</f>
        <v/>
      </c>
      <c r="B49" s="25"/>
      <c r="C49" s="24"/>
      <c r="D49" s="24"/>
      <c r="E49" s="24"/>
      <c r="F49" s="32"/>
      <c r="G49" s="33"/>
      <c r="H49" s="24"/>
      <c r="I49" s="24"/>
      <c r="J49" s="24"/>
      <c r="K49" s="24"/>
      <c r="L49" s="24"/>
      <c r="M49" s="24"/>
      <c r="N49" s="26" t="str">
        <f aca="false">IF($C49="","",IFERROR(INDEX(LOT_EXTE,MATCH($C49,LOT_KEY,0)),""))</f>
        <v/>
      </c>
      <c r="O49" s="26" t="str">
        <f aca="false">IF($C49="","",IFERROR(INDEX(LOT_PRODE,MATCH($C49,LOT_KEY,0)),"LOT NON REFERENCE"))</f>
        <v/>
      </c>
      <c r="P49" s="26" t="str">
        <f aca="false">IF($C49="","",IFERROR(INDEX(LOT_CONSERVE,MATCH($C49,LOT_KEY,0)),""))</f>
        <v/>
      </c>
      <c r="Q49" s="27" t="str">
        <f aca="false">IF(OR($C49="",$D49=""),"",SUMIFS(MVT_NET,MVT_LOT,$C49,MVT_EMPL,$D49))</f>
        <v/>
      </c>
      <c r="R49" s="26" t="str">
        <f aca="false">IF($C49="","",IF(OR($B49="",AND($F49="",$G49="",$H49="",$I49="",$J49="",$K49="")),"DONNEES MANQUANTES",IF(AND($D49&lt;&gt;"",$Q49&lt;=0),"EMPLACEMENT INCOHERENT","OK")))</f>
        <v/>
      </c>
      <c r="S49" s="26" t="str">
        <f aca="false">IF($C49="","",IF(AND(ISNUMBER($G49),$G49&gt;P_HIST),"HISTAMINE "&amp;TEXT($G49,"#,##0")&amp;" PPM &gt; seuil "&amp;TEXT(P_HIST,"#,##0")&amp;". ","")&amp;IF(AND(ISNUMBER($F49),$P49="CONGELE",$F49&gt;P_TCONG),"TEMPERATURE "&amp;TEXT($F49,"0.0")&amp;" C hors seuil congele. ","")&amp;IF(AND(ISNUMBER($F49),$P49="FRAIS",$F49&gt;P_TFRAIS),"TEMPERATURE "&amp;TEXT($F49,"0.0")&amp;" C hors seuil frais. ","")&amp;IF($K49="BLOQUER","Lot bloque qualite : stock signale mais inchange. ","")&amp;IF($R49="EMPLACEMENT INCOHERENT","Lot absent de cet emplacement : controle conserve, stock inchange. ","")&amp;IF($R49="DONNEES MANQUANTES","Renseigner la DATE et au moins une mesure. ",""))</f>
        <v/>
      </c>
      <c r="T49" s="28" t="n">
        <f aca="false">IF(OR($C49="",$B49=""),0,IF(COUNTIFS(QC_LOT,$C49,QC_DATE,"&gt;"&amp;$B49)&gt;0,0,IF(COUNTIFS($C$5:$C49,$C49,$B$5:$B49,$B49)=COUNTIFS(QC_LOT,$C49,QC_DATE,$B49),1,0)))</f>
        <v>0</v>
      </c>
      <c r="U49" s="26" t="str">
        <f aca="false">IF($T49=1,$C49,"")</f>
        <v/>
      </c>
      <c r="V49" s="28" t="n">
        <f aca="false">IF($C49="",0,IF($C49=R_LOT,1,0))</f>
        <v>0</v>
      </c>
      <c r="W49" s="26" t="str">
        <f aca="false">IF($V49=0,"",COUNTIF($V$5:$V49,1))</f>
        <v/>
      </c>
    </row>
    <row r="50" customFormat="false" ht="15" hidden="false" customHeight="false" outlineLevel="0" collapsed="false">
      <c r="A50" s="26" t="str">
        <f aca="false">IF($C50="","","QC-"&amp;TEXT(ROW()-4,"000"))</f>
        <v/>
      </c>
      <c r="B50" s="25"/>
      <c r="C50" s="24"/>
      <c r="D50" s="24"/>
      <c r="E50" s="24"/>
      <c r="F50" s="32"/>
      <c r="G50" s="33"/>
      <c r="H50" s="24"/>
      <c r="I50" s="24"/>
      <c r="J50" s="24"/>
      <c r="K50" s="24"/>
      <c r="L50" s="24"/>
      <c r="M50" s="24"/>
      <c r="N50" s="26" t="str">
        <f aca="false">IF($C50="","",IFERROR(INDEX(LOT_EXTE,MATCH($C50,LOT_KEY,0)),""))</f>
        <v/>
      </c>
      <c r="O50" s="26" t="str">
        <f aca="false">IF($C50="","",IFERROR(INDEX(LOT_PRODE,MATCH($C50,LOT_KEY,0)),"LOT NON REFERENCE"))</f>
        <v/>
      </c>
      <c r="P50" s="26" t="str">
        <f aca="false">IF($C50="","",IFERROR(INDEX(LOT_CONSERVE,MATCH($C50,LOT_KEY,0)),""))</f>
        <v/>
      </c>
      <c r="Q50" s="27" t="str">
        <f aca="false">IF(OR($C50="",$D50=""),"",SUMIFS(MVT_NET,MVT_LOT,$C50,MVT_EMPL,$D50))</f>
        <v/>
      </c>
      <c r="R50" s="26" t="str">
        <f aca="false">IF($C50="","",IF(OR($B50="",AND($F50="",$G50="",$H50="",$I50="",$J50="",$K50="")),"DONNEES MANQUANTES",IF(AND($D50&lt;&gt;"",$Q50&lt;=0),"EMPLACEMENT INCOHERENT","OK")))</f>
        <v/>
      </c>
      <c r="S50" s="26" t="str">
        <f aca="false">IF($C50="","",IF(AND(ISNUMBER($G50),$G50&gt;P_HIST),"HISTAMINE "&amp;TEXT($G50,"#,##0")&amp;" PPM &gt; seuil "&amp;TEXT(P_HIST,"#,##0")&amp;". ","")&amp;IF(AND(ISNUMBER($F50),$P50="CONGELE",$F50&gt;P_TCONG),"TEMPERATURE "&amp;TEXT($F50,"0.0")&amp;" C hors seuil congele. ","")&amp;IF(AND(ISNUMBER($F50),$P50="FRAIS",$F50&gt;P_TFRAIS),"TEMPERATURE "&amp;TEXT($F50,"0.0")&amp;" C hors seuil frais. ","")&amp;IF($K50="BLOQUER","Lot bloque qualite : stock signale mais inchange. ","")&amp;IF($R50="EMPLACEMENT INCOHERENT","Lot absent de cet emplacement : controle conserve, stock inchange. ","")&amp;IF($R50="DONNEES MANQUANTES","Renseigner la DATE et au moins une mesure. ",""))</f>
        <v/>
      </c>
      <c r="T50" s="28" t="n">
        <f aca="false">IF(OR($C50="",$B50=""),0,IF(COUNTIFS(QC_LOT,$C50,QC_DATE,"&gt;"&amp;$B50)&gt;0,0,IF(COUNTIFS($C$5:$C50,$C50,$B$5:$B50,$B50)=COUNTIFS(QC_LOT,$C50,QC_DATE,$B50),1,0)))</f>
        <v>0</v>
      </c>
      <c r="U50" s="26" t="str">
        <f aca="false">IF($T50=1,$C50,"")</f>
        <v/>
      </c>
      <c r="V50" s="28" t="n">
        <f aca="false">IF($C50="",0,IF($C50=R_LOT,1,0))</f>
        <v>0</v>
      </c>
      <c r="W50" s="26" t="str">
        <f aca="false">IF($V50=0,"",COUNTIF($V$5:$V50,1))</f>
        <v/>
      </c>
    </row>
    <row r="51" customFormat="false" ht="15" hidden="false" customHeight="false" outlineLevel="0" collapsed="false">
      <c r="A51" s="26" t="str">
        <f aca="false">IF($C51="","","QC-"&amp;TEXT(ROW()-4,"000"))</f>
        <v/>
      </c>
      <c r="B51" s="25"/>
      <c r="C51" s="24"/>
      <c r="D51" s="24"/>
      <c r="E51" s="24"/>
      <c r="F51" s="32"/>
      <c r="G51" s="33"/>
      <c r="H51" s="24"/>
      <c r="I51" s="24"/>
      <c r="J51" s="24"/>
      <c r="K51" s="24"/>
      <c r="L51" s="24"/>
      <c r="M51" s="24"/>
      <c r="N51" s="26" t="str">
        <f aca="false">IF($C51="","",IFERROR(INDEX(LOT_EXTE,MATCH($C51,LOT_KEY,0)),""))</f>
        <v/>
      </c>
      <c r="O51" s="26" t="str">
        <f aca="false">IF($C51="","",IFERROR(INDEX(LOT_PRODE,MATCH($C51,LOT_KEY,0)),"LOT NON REFERENCE"))</f>
        <v/>
      </c>
      <c r="P51" s="26" t="str">
        <f aca="false">IF($C51="","",IFERROR(INDEX(LOT_CONSERVE,MATCH($C51,LOT_KEY,0)),""))</f>
        <v/>
      </c>
      <c r="Q51" s="27" t="str">
        <f aca="false">IF(OR($C51="",$D51=""),"",SUMIFS(MVT_NET,MVT_LOT,$C51,MVT_EMPL,$D51))</f>
        <v/>
      </c>
      <c r="R51" s="26" t="str">
        <f aca="false">IF($C51="","",IF(OR($B51="",AND($F51="",$G51="",$H51="",$I51="",$J51="",$K51="")),"DONNEES MANQUANTES",IF(AND($D51&lt;&gt;"",$Q51&lt;=0),"EMPLACEMENT INCOHERENT","OK")))</f>
        <v/>
      </c>
      <c r="S51" s="26" t="str">
        <f aca="false">IF($C51="","",IF(AND(ISNUMBER($G51),$G51&gt;P_HIST),"HISTAMINE "&amp;TEXT($G51,"#,##0")&amp;" PPM &gt; seuil "&amp;TEXT(P_HIST,"#,##0")&amp;". ","")&amp;IF(AND(ISNUMBER($F51),$P51="CONGELE",$F51&gt;P_TCONG),"TEMPERATURE "&amp;TEXT($F51,"0.0")&amp;" C hors seuil congele. ","")&amp;IF(AND(ISNUMBER($F51),$P51="FRAIS",$F51&gt;P_TFRAIS),"TEMPERATURE "&amp;TEXT($F51,"0.0")&amp;" C hors seuil frais. ","")&amp;IF($K51="BLOQUER","Lot bloque qualite : stock signale mais inchange. ","")&amp;IF($R51="EMPLACEMENT INCOHERENT","Lot absent de cet emplacement : controle conserve, stock inchange. ","")&amp;IF($R51="DONNEES MANQUANTES","Renseigner la DATE et au moins une mesure. ",""))</f>
        <v/>
      </c>
      <c r="T51" s="28" t="n">
        <f aca="false">IF(OR($C51="",$B51=""),0,IF(COUNTIFS(QC_LOT,$C51,QC_DATE,"&gt;"&amp;$B51)&gt;0,0,IF(COUNTIFS($C$5:$C51,$C51,$B$5:$B51,$B51)=COUNTIFS(QC_LOT,$C51,QC_DATE,$B51),1,0)))</f>
        <v>0</v>
      </c>
      <c r="U51" s="26" t="str">
        <f aca="false">IF($T51=1,$C51,"")</f>
        <v/>
      </c>
      <c r="V51" s="28" t="n">
        <f aca="false">IF($C51="",0,IF($C51=R_LOT,1,0))</f>
        <v>0</v>
      </c>
      <c r="W51" s="26" t="str">
        <f aca="false">IF($V51=0,"",COUNTIF($V$5:$V51,1))</f>
        <v/>
      </c>
    </row>
    <row r="52" customFormat="false" ht="15" hidden="false" customHeight="false" outlineLevel="0" collapsed="false">
      <c r="A52" s="26" t="str">
        <f aca="false">IF($C52="","","QC-"&amp;TEXT(ROW()-4,"000"))</f>
        <v/>
      </c>
      <c r="B52" s="25"/>
      <c r="C52" s="24"/>
      <c r="D52" s="24"/>
      <c r="E52" s="24"/>
      <c r="F52" s="32"/>
      <c r="G52" s="33"/>
      <c r="H52" s="24"/>
      <c r="I52" s="24"/>
      <c r="J52" s="24"/>
      <c r="K52" s="24"/>
      <c r="L52" s="24"/>
      <c r="M52" s="24"/>
      <c r="N52" s="26" t="str">
        <f aca="false">IF($C52="","",IFERROR(INDEX(LOT_EXTE,MATCH($C52,LOT_KEY,0)),""))</f>
        <v/>
      </c>
      <c r="O52" s="26" t="str">
        <f aca="false">IF($C52="","",IFERROR(INDEX(LOT_PRODE,MATCH($C52,LOT_KEY,0)),"LOT NON REFERENCE"))</f>
        <v/>
      </c>
      <c r="P52" s="26" t="str">
        <f aca="false">IF($C52="","",IFERROR(INDEX(LOT_CONSERVE,MATCH($C52,LOT_KEY,0)),""))</f>
        <v/>
      </c>
      <c r="Q52" s="27" t="str">
        <f aca="false">IF(OR($C52="",$D52=""),"",SUMIFS(MVT_NET,MVT_LOT,$C52,MVT_EMPL,$D52))</f>
        <v/>
      </c>
      <c r="R52" s="26" t="str">
        <f aca="false">IF($C52="","",IF(OR($B52="",AND($F52="",$G52="",$H52="",$I52="",$J52="",$K52="")),"DONNEES MANQUANTES",IF(AND($D52&lt;&gt;"",$Q52&lt;=0),"EMPLACEMENT INCOHERENT","OK")))</f>
        <v/>
      </c>
      <c r="S52" s="26" t="str">
        <f aca="false">IF($C52="","",IF(AND(ISNUMBER($G52),$G52&gt;P_HIST),"HISTAMINE "&amp;TEXT($G52,"#,##0")&amp;" PPM &gt; seuil "&amp;TEXT(P_HIST,"#,##0")&amp;". ","")&amp;IF(AND(ISNUMBER($F52),$P52="CONGELE",$F52&gt;P_TCONG),"TEMPERATURE "&amp;TEXT($F52,"0.0")&amp;" C hors seuil congele. ","")&amp;IF(AND(ISNUMBER($F52),$P52="FRAIS",$F52&gt;P_TFRAIS),"TEMPERATURE "&amp;TEXT($F52,"0.0")&amp;" C hors seuil frais. ","")&amp;IF($K52="BLOQUER","Lot bloque qualite : stock signale mais inchange. ","")&amp;IF($R52="EMPLACEMENT INCOHERENT","Lot absent de cet emplacement : controle conserve, stock inchange. ","")&amp;IF($R52="DONNEES MANQUANTES","Renseigner la DATE et au moins une mesure. ",""))</f>
        <v/>
      </c>
      <c r="T52" s="28" t="n">
        <f aca="false">IF(OR($C52="",$B52=""),0,IF(COUNTIFS(QC_LOT,$C52,QC_DATE,"&gt;"&amp;$B52)&gt;0,0,IF(COUNTIFS($C$5:$C52,$C52,$B$5:$B52,$B52)=COUNTIFS(QC_LOT,$C52,QC_DATE,$B52),1,0)))</f>
        <v>0</v>
      </c>
      <c r="U52" s="26" t="str">
        <f aca="false">IF($T52=1,$C52,"")</f>
        <v/>
      </c>
      <c r="V52" s="28" t="n">
        <f aca="false">IF($C52="",0,IF($C52=R_LOT,1,0))</f>
        <v>0</v>
      </c>
      <c r="W52" s="26" t="str">
        <f aca="false">IF($V52=0,"",COUNTIF($V$5:$V52,1))</f>
        <v/>
      </c>
    </row>
    <row r="53" customFormat="false" ht="15" hidden="false" customHeight="false" outlineLevel="0" collapsed="false">
      <c r="A53" s="26" t="str">
        <f aca="false">IF($C53="","","QC-"&amp;TEXT(ROW()-4,"000"))</f>
        <v/>
      </c>
      <c r="B53" s="25"/>
      <c r="C53" s="24"/>
      <c r="D53" s="24"/>
      <c r="E53" s="24"/>
      <c r="F53" s="32"/>
      <c r="G53" s="33"/>
      <c r="H53" s="24"/>
      <c r="I53" s="24"/>
      <c r="J53" s="24"/>
      <c r="K53" s="24"/>
      <c r="L53" s="24"/>
      <c r="M53" s="24"/>
      <c r="N53" s="26" t="str">
        <f aca="false">IF($C53="","",IFERROR(INDEX(LOT_EXTE,MATCH($C53,LOT_KEY,0)),""))</f>
        <v/>
      </c>
      <c r="O53" s="26" t="str">
        <f aca="false">IF($C53="","",IFERROR(INDEX(LOT_PRODE,MATCH($C53,LOT_KEY,0)),"LOT NON REFERENCE"))</f>
        <v/>
      </c>
      <c r="P53" s="26" t="str">
        <f aca="false">IF($C53="","",IFERROR(INDEX(LOT_CONSERVE,MATCH($C53,LOT_KEY,0)),""))</f>
        <v/>
      </c>
      <c r="Q53" s="27" t="str">
        <f aca="false">IF(OR($C53="",$D53=""),"",SUMIFS(MVT_NET,MVT_LOT,$C53,MVT_EMPL,$D53))</f>
        <v/>
      </c>
      <c r="R53" s="26" t="str">
        <f aca="false">IF($C53="","",IF(OR($B53="",AND($F53="",$G53="",$H53="",$I53="",$J53="",$K53="")),"DONNEES MANQUANTES",IF(AND($D53&lt;&gt;"",$Q53&lt;=0),"EMPLACEMENT INCOHERENT","OK")))</f>
        <v/>
      </c>
      <c r="S53" s="26" t="str">
        <f aca="false">IF($C53="","",IF(AND(ISNUMBER($G53),$G53&gt;P_HIST),"HISTAMINE "&amp;TEXT($G53,"#,##0")&amp;" PPM &gt; seuil "&amp;TEXT(P_HIST,"#,##0")&amp;". ","")&amp;IF(AND(ISNUMBER($F53),$P53="CONGELE",$F53&gt;P_TCONG),"TEMPERATURE "&amp;TEXT($F53,"0.0")&amp;" C hors seuil congele. ","")&amp;IF(AND(ISNUMBER($F53),$P53="FRAIS",$F53&gt;P_TFRAIS),"TEMPERATURE "&amp;TEXT($F53,"0.0")&amp;" C hors seuil frais. ","")&amp;IF($K53="BLOQUER","Lot bloque qualite : stock signale mais inchange. ","")&amp;IF($R53="EMPLACEMENT INCOHERENT","Lot absent de cet emplacement : controle conserve, stock inchange. ","")&amp;IF($R53="DONNEES MANQUANTES","Renseigner la DATE et au moins une mesure. ",""))</f>
        <v/>
      </c>
      <c r="T53" s="28" t="n">
        <f aca="false">IF(OR($C53="",$B53=""),0,IF(COUNTIFS(QC_LOT,$C53,QC_DATE,"&gt;"&amp;$B53)&gt;0,0,IF(COUNTIFS($C$5:$C53,$C53,$B$5:$B53,$B53)=COUNTIFS(QC_LOT,$C53,QC_DATE,$B53),1,0)))</f>
        <v>0</v>
      </c>
      <c r="U53" s="26" t="str">
        <f aca="false">IF($T53=1,$C53,"")</f>
        <v/>
      </c>
      <c r="V53" s="28" t="n">
        <f aca="false">IF($C53="",0,IF($C53=R_LOT,1,0))</f>
        <v>0</v>
      </c>
      <c r="W53" s="26" t="str">
        <f aca="false">IF($V53=0,"",COUNTIF($V$5:$V53,1))</f>
        <v/>
      </c>
    </row>
    <row r="54" customFormat="false" ht="15" hidden="false" customHeight="false" outlineLevel="0" collapsed="false">
      <c r="A54" s="26" t="str">
        <f aca="false">IF($C54="","","QC-"&amp;TEXT(ROW()-4,"000"))</f>
        <v/>
      </c>
      <c r="B54" s="25"/>
      <c r="C54" s="24"/>
      <c r="D54" s="24"/>
      <c r="E54" s="24"/>
      <c r="F54" s="32"/>
      <c r="G54" s="33"/>
      <c r="H54" s="24"/>
      <c r="I54" s="24"/>
      <c r="J54" s="24"/>
      <c r="K54" s="24"/>
      <c r="L54" s="24"/>
      <c r="M54" s="24"/>
      <c r="N54" s="26" t="str">
        <f aca="false">IF($C54="","",IFERROR(INDEX(LOT_EXTE,MATCH($C54,LOT_KEY,0)),""))</f>
        <v/>
      </c>
      <c r="O54" s="26" t="str">
        <f aca="false">IF($C54="","",IFERROR(INDEX(LOT_PRODE,MATCH($C54,LOT_KEY,0)),"LOT NON REFERENCE"))</f>
        <v/>
      </c>
      <c r="P54" s="26" t="str">
        <f aca="false">IF($C54="","",IFERROR(INDEX(LOT_CONSERVE,MATCH($C54,LOT_KEY,0)),""))</f>
        <v/>
      </c>
      <c r="Q54" s="27" t="str">
        <f aca="false">IF(OR($C54="",$D54=""),"",SUMIFS(MVT_NET,MVT_LOT,$C54,MVT_EMPL,$D54))</f>
        <v/>
      </c>
      <c r="R54" s="26" t="str">
        <f aca="false">IF($C54="","",IF(OR($B54="",AND($F54="",$G54="",$H54="",$I54="",$J54="",$K54="")),"DONNEES MANQUANTES",IF(AND($D54&lt;&gt;"",$Q54&lt;=0),"EMPLACEMENT INCOHERENT","OK")))</f>
        <v/>
      </c>
      <c r="S54" s="26" t="str">
        <f aca="false">IF($C54="","",IF(AND(ISNUMBER($G54),$G54&gt;P_HIST),"HISTAMINE "&amp;TEXT($G54,"#,##0")&amp;" PPM &gt; seuil "&amp;TEXT(P_HIST,"#,##0")&amp;". ","")&amp;IF(AND(ISNUMBER($F54),$P54="CONGELE",$F54&gt;P_TCONG),"TEMPERATURE "&amp;TEXT($F54,"0.0")&amp;" C hors seuil congele. ","")&amp;IF(AND(ISNUMBER($F54),$P54="FRAIS",$F54&gt;P_TFRAIS),"TEMPERATURE "&amp;TEXT($F54,"0.0")&amp;" C hors seuil frais. ","")&amp;IF($K54="BLOQUER","Lot bloque qualite : stock signale mais inchange. ","")&amp;IF($R54="EMPLACEMENT INCOHERENT","Lot absent de cet emplacement : controle conserve, stock inchange. ","")&amp;IF($R54="DONNEES MANQUANTES","Renseigner la DATE et au moins une mesure. ",""))</f>
        <v/>
      </c>
      <c r="T54" s="28" t="n">
        <f aca="false">IF(OR($C54="",$B54=""),0,IF(COUNTIFS(QC_LOT,$C54,QC_DATE,"&gt;"&amp;$B54)&gt;0,0,IF(COUNTIFS($C$5:$C54,$C54,$B$5:$B54,$B54)=COUNTIFS(QC_LOT,$C54,QC_DATE,$B54),1,0)))</f>
        <v>0</v>
      </c>
      <c r="U54" s="26" t="str">
        <f aca="false">IF($T54=1,$C54,"")</f>
        <v/>
      </c>
      <c r="V54" s="28" t="n">
        <f aca="false">IF($C54="",0,IF($C54=R_LOT,1,0))</f>
        <v>0</v>
      </c>
      <c r="W54" s="26" t="str">
        <f aca="false">IF($V54=0,"",COUNTIF($V$5:$V54,1))</f>
        <v/>
      </c>
    </row>
    <row r="55" customFormat="false" ht="15" hidden="false" customHeight="false" outlineLevel="0" collapsed="false">
      <c r="A55" s="26" t="str">
        <f aca="false">IF($C55="","","QC-"&amp;TEXT(ROW()-4,"000"))</f>
        <v/>
      </c>
      <c r="B55" s="25"/>
      <c r="C55" s="24"/>
      <c r="D55" s="24"/>
      <c r="E55" s="24"/>
      <c r="F55" s="32"/>
      <c r="G55" s="33"/>
      <c r="H55" s="24"/>
      <c r="I55" s="24"/>
      <c r="J55" s="24"/>
      <c r="K55" s="24"/>
      <c r="L55" s="24"/>
      <c r="M55" s="24"/>
      <c r="N55" s="26" t="str">
        <f aca="false">IF($C55="","",IFERROR(INDEX(LOT_EXTE,MATCH($C55,LOT_KEY,0)),""))</f>
        <v/>
      </c>
      <c r="O55" s="26" t="str">
        <f aca="false">IF($C55="","",IFERROR(INDEX(LOT_PRODE,MATCH($C55,LOT_KEY,0)),"LOT NON REFERENCE"))</f>
        <v/>
      </c>
      <c r="P55" s="26" t="str">
        <f aca="false">IF($C55="","",IFERROR(INDEX(LOT_CONSERVE,MATCH($C55,LOT_KEY,0)),""))</f>
        <v/>
      </c>
      <c r="Q55" s="27" t="str">
        <f aca="false">IF(OR($C55="",$D55=""),"",SUMIFS(MVT_NET,MVT_LOT,$C55,MVT_EMPL,$D55))</f>
        <v/>
      </c>
      <c r="R55" s="26" t="str">
        <f aca="false">IF($C55="","",IF(OR($B55="",AND($F55="",$G55="",$H55="",$I55="",$J55="",$K55="")),"DONNEES MANQUANTES",IF(AND($D55&lt;&gt;"",$Q55&lt;=0),"EMPLACEMENT INCOHERENT","OK")))</f>
        <v/>
      </c>
      <c r="S55" s="26" t="str">
        <f aca="false">IF($C55="","",IF(AND(ISNUMBER($G55),$G55&gt;P_HIST),"HISTAMINE "&amp;TEXT($G55,"#,##0")&amp;" PPM &gt; seuil "&amp;TEXT(P_HIST,"#,##0")&amp;". ","")&amp;IF(AND(ISNUMBER($F55),$P55="CONGELE",$F55&gt;P_TCONG),"TEMPERATURE "&amp;TEXT($F55,"0.0")&amp;" C hors seuil congele. ","")&amp;IF(AND(ISNUMBER($F55),$P55="FRAIS",$F55&gt;P_TFRAIS),"TEMPERATURE "&amp;TEXT($F55,"0.0")&amp;" C hors seuil frais. ","")&amp;IF($K55="BLOQUER","Lot bloque qualite : stock signale mais inchange. ","")&amp;IF($R55="EMPLACEMENT INCOHERENT","Lot absent de cet emplacement : controle conserve, stock inchange. ","")&amp;IF($R55="DONNEES MANQUANTES","Renseigner la DATE et au moins une mesure. ",""))</f>
        <v/>
      </c>
      <c r="T55" s="28" t="n">
        <f aca="false">IF(OR($C55="",$B55=""),0,IF(COUNTIFS(QC_LOT,$C55,QC_DATE,"&gt;"&amp;$B55)&gt;0,0,IF(COUNTIFS($C$5:$C55,$C55,$B$5:$B55,$B55)=COUNTIFS(QC_LOT,$C55,QC_DATE,$B55),1,0)))</f>
        <v>0</v>
      </c>
      <c r="U55" s="26" t="str">
        <f aca="false">IF($T55=1,$C55,"")</f>
        <v/>
      </c>
      <c r="V55" s="28" t="n">
        <f aca="false">IF($C55="",0,IF($C55=R_LOT,1,0))</f>
        <v>0</v>
      </c>
      <c r="W55" s="26" t="str">
        <f aca="false">IF($V55=0,"",COUNTIF($V$5:$V55,1))</f>
        <v/>
      </c>
    </row>
    <row r="56" customFormat="false" ht="15" hidden="false" customHeight="false" outlineLevel="0" collapsed="false">
      <c r="A56" s="26" t="str">
        <f aca="false">IF($C56="","","QC-"&amp;TEXT(ROW()-4,"000"))</f>
        <v/>
      </c>
      <c r="B56" s="25"/>
      <c r="C56" s="24"/>
      <c r="D56" s="24"/>
      <c r="E56" s="24"/>
      <c r="F56" s="32"/>
      <c r="G56" s="33"/>
      <c r="H56" s="24"/>
      <c r="I56" s="24"/>
      <c r="J56" s="24"/>
      <c r="K56" s="24"/>
      <c r="L56" s="24"/>
      <c r="M56" s="24"/>
      <c r="N56" s="26" t="str">
        <f aca="false">IF($C56="","",IFERROR(INDEX(LOT_EXTE,MATCH($C56,LOT_KEY,0)),""))</f>
        <v/>
      </c>
      <c r="O56" s="26" t="str">
        <f aca="false">IF($C56="","",IFERROR(INDEX(LOT_PRODE,MATCH($C56,LOT_KEY,0)),"LOT NON REFERENCE"))</f>
        <v/>
      </c>
      <c r="P56" s="26" t="str">
        <f aca="false">IF($C56="","",IFERROR(INDEX(LOT_CONSERVE,MATCH($C56,LOT_KEY,0)),""))</f>
        <v/>
      </c>
      <c r="Q56" s="27" t="str">
        <f aca="false">IF(OR($C56="",$D56=""),"",SUMIFS(MVT_NET,MVT_LOT,$C56,MVT_EMPL,$D56))</f>
        <v/>
      </c>
      <c r="R56" s="26" t="str">
        <f aca="false">IF($C56="","",IF(OR($B56="",AND($F56="",$G56="",$H56="",$I56="",$J56="",$K56="")),"DONNEES MANQUANTES",IF(AND($D56&lt;&gt;"",$Q56&lt;=0),"EMPLACEMENT INCOHERENT","OK")))</f>
        <v/>
      </c>
      <c r="S56" s="26" t="str">
        <f aca="false">IF($C56="","",IF(AND(ISNUMBER($G56),$G56&gt;P_HIST),"HISTAMINE "&amp;TEXT($G56,"#,##0")&amp;" PPM &gt; seuil "&amp;TEXT(P_HIST,"#,##0")&amp;". ","")&amp;IF(AND(ISNUMBER($F56),$P56="CONGELE",$F56&gt;P_TCONG),"TEMPERATURE "&amp;TEXT($F56,"0.0")&amp;" C hors seuil congele. ","")&amp;IF(AND(ISNUMBER($F56),$P56="FRAIS",$F56&gt;P_TFRAIS),"TEMPERATURE "&amp;TEXT($F56,"0.0")&amp;" C hors seuil frais. ","")&amp;IF($K56="BLOQUER","Lot bloque qualite : stock signale mais inchange. ","")&amp;IF($R56="EMPLACEMENT INCOHERENT","Lot absent de cet emplacement : controle conserve, stock inchange. ","")&amp;IF($R56="DONNEES MANQUANTES","Renseigner la DATE et au moins une mesure. ",""))</f>
        <v/>
      </c>
      <c r="T56" s="28" t="n">
        <f aca="false">IF(OR($C56="",$B56=""),0,IF(COUNTIFS(QC_LOT,$C56,QC_DATE,"&gt;"&amp;$B56)&gt;0,0,IF(COUNTIFS($C$5:$C56,$C56,$B$5:$B56,$B56)=COUNTIFS(QC_LOT,$C56,QC_DATE,$B56),1,0)))</f>
        <v>0</v>
      </c>
      <c r="U56" s="26" t="str">
        <f aca="false">IF($T56=1,$C56,"")</f>
        <v/>
      </c>
      <c r="V56" s="28" t="n">
        <f aca="false">IF($C56="",0,IF($C56=R_LOT,1,0))</f>
        <v>0</v>
      </c>
      <c r="W56" s="26" t="str">
        <f aca="false">IF($V56=0,"",COUNTIF($V$5:$V56,1))</f>
        <v/>
      </c>
    </row>
    <row r="57" customFormat="false" ht="15" hidden="false" customHeight="false" outlineLevel="0" collapsed="false">
      <c r="A57" s="26" t="str">
        <f aca="false">IF($C57="","","QC-"&amp;TEXT(ROW()-4,"000"))</f>
        <v/>
      </c>
      <c r="B57" s="25"/>
      <c r="C57" s="24"/>
      <c r="D57" s="24"/>
      <c r="E57" s="24"/>
      <c r="F57" s="32"/>
      <c r="G57" s="33"/>
      <c r="H57" s="24"/>
      <c r="I57" s="24"/>
      <c r="J57" s="24"/>
      <c r="K57" s="24"/>
      <c r="L57" s="24"/>
      <c r="M57" s="24"/>
      <c r="N57" s="26" t="str">
        <f aca="false">IF($C57="","",IFERROR(INDEX(LOT_EXTE,MATCH($C57,LOT_KEY,0)),""))</f>
        <v/>
      </c>
      <c r="O57" s="26" t="str">
        <f aca="false">IF($C57="","",IFERROR(INDEX(LOT_PRODE,MATCH($C57,LOT_KEY,0)),"LOT NON REFERENCE"))</f>
        <v/>
      </c>
      <c r="P57" s="26" t="str">
        <f aca="false">IF($C57="","",IFERROR(INDEX(LOT_CONSERVE,MATCH($C57,LOT_KEY,0)),""))</f>
        <v/>
      </c>
      <c r="Q57" s="27" t="str">
        <f aca="false">IF(OR($C57="",$D57=""),"",SUMIFS(MVT_NET,MVT_LOT,$C57,MVT_EMPL,$D57))</f>
        <v/>
      </c>
      <c r="R57" s="26" t="str">
        <f aca="false">IF($C57="","",IF(OR($B57="",AND($F57="",$G57="",$H57="",$I57="",$J57="",$K57="")),"DONNEES MANQUANTES",IF(AND($D57&lt;&gt;"",$Q57&lt;=0),"EMPLACEMENT INCOHERENT","OK")))</f>
        <v/>
      </c>
      <c r="S57" s="26" t="str">
        <f aca="false">IF($C57="","",IF(AND(ISNUMBER($G57),$G57&gt;P_HIST),"HISTAMINE "&amp;TEXT($G57,"#,##0")&amp;" PPM &gt; seuil "&amp;TEXT(P_HIST,"#,##0")&amp;". ","")&amp;IF(AND(ISNUMBER($F57),$P57="CONGELE",$F57&gt;P_TCONG),"TEMPERATURE "&amp;TEXT($F57,"0.0")&amp;" C hors seuil congele. ","")&amp;IF(AND(ISNUMBER($F57),$P57="FRAIS",$F57&gt;P_TFRAIS),"TEMPERATURE "&amp;TEXT($F57,"0.0")&amp;" C hors seuil frais. ","")&amp;IF($K57="BLOQUER","Lot bloque qualite : stock signale mais inchange. ","")&amp;IF($R57="EMPLACEMENT INCOHERENT","Lot absent de cet emplacement : controle conserve, stock inchange. ","")&amp;IF($R57="DONNEES MANQUANTES","Renseigner la DATE et au moins une mesure. ",""))</f>
        <v/>
      </c>
      <c r="T57" s="28" t="n">
        <f aca="false">IF(OR($C57="",$B57=""),0,IF(COUNTIFS(QC_LOT,$C57,QC_DATE,"&gt;"&amp;$B57)&gt;0,0,IF(COUNTIFS($C$5:$C57,$C57,$B$5:$B57,$B57)=COUNTIFS(QC_LOT,$C57,QC_DATE,$B57),1,0)))</f>
        <v>0</v>
      </c>
      <c r="U57" s="26" t="str">
        <f aca="false">IF($T57=1,$C57,"")</f>
        <v/>
      </c>
      <c r="V57" s="28" t="n">
        <f aca="false">IF($C57="",0,IF($C57=R_LOT,1,0))</f>
        <v>0</v>
      </c>
      <c r="W57" s="26" t="str">
        <f aca="false">IF($V57=0,"",COUNTIF($V$5:$V57,1))</f>
        <v/>
      </c>
    </row>
    <row r="58" customFormat="false" ht="15" hidden="false" customHeight="false" outlineLevel="0" collapsed="false">
      <c r="A58" s="26" t="str">
        <f aca="false">IF($C58="","","QC-"&amp;TEXT(ROW()-4,"000"))</f>
        <v/>
      </c>
      <c r="B58" s="25"/>
      <c r="C58" s="24"/>
      <c r="D58" s="24"/>
      <c r="E58" s="24"/>
      <c r="F58" s="32"/>
      <c r="G58" s="33"/>
      <c r="H58" s="24"/>
      <c r="I58" s="24"/>
      <c r="J58" s="24"/>
      <c r="K58" s="24"/>
      <c r="L58" s="24"/>
      <c r="M58" s="24"/>
      <c r="N58" s="26" t="str">
        <f aca="false">IF($C58="","",IFERROR(INDEX(LOT_EXTE,MATCH($C58,LOT_KEY,0)),""))</f>
        <v/>
      </c>
      <c r="O58" s="26" t="str">
        <f aca="false">IF($C58="","",IFERROR(INDEX(LOT_PRODE,MATCH($C58,LOT_KEY,0)),"LOT NON REFERENCE"))</f>
        <v/>
      </c>
      <c r="P58" s="26" t="str">
        <f aca="false">IF($C58="","",IFERROR(INDEX(LOT_CONSERVE,MATCH($C58,LOT_KEY,0)),""))</f>
        <v/>
      </c>
      <c r="Q58" s="27" t="str">
        <f aca="false">IF(OR($C58="",$D58=""),"",SUMIFS(MVT_NET,MVT_LOT,$C58,MVT_EMPL,$D58))</f>
        <v/>
      </c>
      <c r="R58" s="26" t="str">
        <f aca="false">IF($C58="","",IF(OR($B58="",AND($F58="",$G58="",$H58="",$I58="",$J58="",$K58="")),"DONNEES MANQUANTES",IF(AND($D58&lt;&gt;"",$Q58&lt;=0),"EMPLACEMENT INCOHERENT","OK")))</f>
        <v/>
      </c>
      <c r="S58" s="26" t="str">
        <f aca="false">IF($C58="","",IF(AND(ISNUMBER($G58),$G58&gt;P_HIST),"HISTAMINE "&amp;TEXT($G58,"#,##0")&amp;" PPM &gt; seuil "&amp;TEXT(P_HIST,"#,##0")&amp;". ","")&amp;IF(AND(ISNUMBER($F58),$P58="CONGELE",$F58&gt;P_TCONG),"TEMPERATURE "&amp;TEXT($F58,"0.0")&amp;" C hors seuil congele. ","")&amp;IF(AND(ISNUMBER($F58),$P58="FRAIS",$F58&gt;P_TFRAIS),"TEMPERATURE "&amp;TEXT($F58,"0.0")&amp;" C hors seuil frais. ","")&amp;IF($K58="BLOQUER","Lot bloque qualite : stock signale mais inchange. ","")&amp;IF($R58="EMPLACEMENT INCOHERENT","Lot absent de cet emplacement : controle conserve, stock inchange. ","")&amp;IF($R58="DONNEES MANQUANTES","Renseigner la DATE et au moins une mesure. ",""))</f>
        <v/>
      </c>
      <c r="T58" s="28" t="n">
        <f aca="false">IF(OR($C58="",$B58=""),0,IF(COUNTIFS(QC_LOT,$C58,QC_DATE,"&gt;"&amp;$B58)&gt;0,0,IF(COUNTIFS($C$5:$C58,$C58,$B$5:$B58,$B58)=COUNTIFS(QC_LOT,$C58,QC_DATE,$B58),1,0)))</f>
        <v>0</v>
      </c>
      <c r="U58" s="26" t="str">
        <f aca="false">IF($T58=1,$C58,"")</f>
        <v/>
      </c>
      <c r="V58" s="28" t="n">
        <f aca="false">IF($C58="",0,IF($C58=R_LOT,1,0))</f>
        <v>0</v>
      </c>
      <c r="W58" s="26" t="str">
        <f aca="false">IF($V58=0,"",COUNTIF($V$5:$V58,1))</f>
        <v/>
      </c>
    </row>
    <row r="59" customFormat="false" ht="15" hidden="false" customHeight="false" outlineLevel="0" collapsed="false">
      <c r="A59" s="26" t="str">
        <f aca="false">IF($C59="","","QC-"&amp;TEXT(ROW()-4,"000"))</f>
        <v/>
      </c>
      <c r="B59" s="25"/>
      <c r="C59" s="24"/>
      <c r="D59" s="24"/>
      <c r="E59" s="24"/>
      <c r="F59" s="32"/>
      <c r="G59" s="33"/>
      <c r="H59" s="24"/>
      <c r="I59" s="24"/>
      <c r="J59" s="24"/>
      <c r="K59" s="24"/>
      <c r="L59" s="24"/>
      <c r="M59" s="24"/>
      <c r="N59" s="26" t="str">
        <f aca="false">IF($C59="","",IFERROR(INDEX(LOT_EXTE,MATCH($C59,LOT_KEY,0)),""))</f>
        <v/>
      </c>
      <c r="O59" s="26" t="str">
        <f aca="false">IF($C59="","",IFERROR(INDEX(LOT_PRODE,MATCH($C59,LOT_KEY,0)),"LOT NON REFERENCE"))</f>
        <v/>
      </c>
      <c r="P59" s="26" t="str">
        <f aca="false">IF($C59="","",IFERROR(INDEX(LOT_CONSERVE,MATCH($C59,LOT_KEY,0)),""))</f>
        <v/>
      </c>
      <c r="Q59" s="27" t="str">
        <f aca="false">IF(OR($C59="",$D59=""),"",SUMIFS(MVT_NET,MVT_LOT,$C59,MVT_EMPL,$D59))</f>
        <v/>
      </c>
      <c r="R59" s="26" t="str">
        <f aca="false">IF($C59="","",IF(OR($B59="",AND($F59="",$G59="",$H59="",$I59="",$J59="",$K59="")),"DONNEES MANQUANTES",IF(AND($D59&lt;&gt;"",$Q59&lt;=0),"EMPLACEMENT INCOHERENT","OK")))</f>
        <v/>
      </c>
      <c r="S59" s="26" t="str">
        <f aca="false">IF($C59="","",IF(AND(ISNUMBER($G59),$G59&gt;P_HIST),"HISTAMINE "&amp;TEXT($G59,"#,##0")&amp;" PPM &gt; seuil "&amp;TEXT(P_HIST,"#,##0")&amp;". ","")&amp;IF(AND(ISNUMBER($F59),$P59="CONGELE",$F59&gt;P_TCONG),"TEMPERATURE "&amp;TEXT($F59,"0.0")&amp;" C hors seuil congele. ","")&amp;IF(AND(ISNUMBER($F59),$P59="FRAIS",$F59&gt;P_TFRAIS),"TEMPERATURE "&amp;TEXT($F59,"0.0")&amp;" C hors seuil frais. ","")&amp;IF($K59="BLOQUER","Lot bloque qualite : stock signale mais inchange. ","")&amp;IF($R59="EMPLACEMENT INCOHERENT","Lot absent de cet emplacement : controle conserve, stock inchange. ","")&amp;IF($R59="DONNEES MANQUANTES","Renseigner la DATE et au moins une mesure. ",""))</f>
        <v/>
      </c>
      <c r="T59" s="28" t="n">
        <f aca="false">IF(OR($C59="",$B59=""),0,IF(COUNTIFS(QC_LOT,$C59,QC_DATE,"&gt;"&amp;$B59)&gt;0,0,IF(COUNTIFS($C$5:$C59,$C59,$B$5:$B59,$B59)=COUNTIFS(QC_LOT,$C59,QC_DATE,$B59),1,0)))</f>
        <v>0</v>
      </c>
      <c r="U59" s="26" t="str">
        <f aca="false">IF($T59=1,$C59,"")</f>
        <v/>
      </c>
      <c r="V59" s="28" t="n">
        <f aca="false">IF($C59="",0,IF($C59=R_LOT,1,0))</f>
        <v>0</v>
      </c>
      <c r="W59" s="26" t="str">
        <f aca="false">IF($V59=0,"",COUNTIF($V$5:$V59,1))</f>
        <v/>
      </c>
    </row>
    <row r="60" customFormat="false" ht="15" hidden="false" customHeight="false" outlineLevel="0" collapsed="false">
      <c r="A60" s="26" t="str">
        <f aca="false">IF($C60="","","QC-"&amp;TEXT(ROW()-4,"000"))</f>
        <v/>
      </c>
      <c r="B60" s="25"/>
      <c r="C60" s="24"/>
      <c r="D60" s="24"/>
      <c r="E60" s="24"/>
      <c r="F60" s="32"/>
      <c r="G60" s="33"/>
      <c r="H60" s="24"/>
      <c r="I60" s="24"/>
      <c r="J60" s="24"/>
      <c r="K60" s="24"/>
      <c r="L60" s="24"/>
      <c r="M60" s="24"/>
      <c r="N60" s="26" t="str">
        <f aca="false">IF($C60="","",IFERROR(INDEX(LOT_EXTE,MATCH($C60,LOT_KEY,0)),""))</f>
        <v/>
      </c>
      <c r="O60" s="26" t="str">
        <f aca="false">IF($C60="","",IFERROR(INDEX(LOT_PRODE,MATCH($C60,LOT_KEY,0)),"LOT NON REFERENCE"))</f>
        <v/>
      </c>
      <c r="P60" s="26" t="str">
        <f aca="false">IF($C60="","",IFERROR(INDEX(LOT_CONSERVE,MATCH($C60,LOT_KEY,0)),""))</f>
        <v/>
      </c>
      <c r="Q60" s="27" t="str">
        <f aca="false">IF(OR($C60="",$D60=""),"",SUMIFS(MVT_NET,MVT_LOT,$C60,MVT_EMPL,$D60))</f>
        <v/>
      </c>
      <c r="R60" s="26" t="str">
        <f aca="false">IF($C60="","",IF(OR($B60="",AND($F60="",$G60="",$H60="",$I60="",$J60="",$K60="")),"DONNEES MANQUANTES",IF(AND($D60&lt;&gt;"",$Q60&lt;=0),"EMPLACEMENT INCOHERENT","OK")))</f>
        <v/>
      </c>
      <c r="S60" s="26" t="str">
        <f aca="false">IF($C60="","",IF(AND(ISNUMBER($G60),$G60&gt;P_HIST),"HISTAMINE "&amp;TEXT($G60,"#,##0")&amp;" PPM &gt; seuil "&amp;TEXT(P_HIST,"#,##0")&amp;". ","")&amp;IF(AND(ISNUMBER($F60),$P60="CONGELE",$F60&gt;P_TCONG),"TEMPERATURE "&amp;TEXT($F60,"0.0")&amp;" C hors seuil congele. ","")&amp;IF(AND(ISNUMBER($F60),$P60="FRAIS",$F60&gt;P_TFRAIS),"TEMPERATURE "&amp;TEXT($F60,"0.0")&amp;" C hors seuil frais. ","")&amp;IF($K60="BLOQUER","Lot bloque qualite : stock signale mais inchange. ","")&amp;IF($R60="EMPLACEMENT INCOHERENT","Lot absent de cet emplacement : controle conserve, stock inchange. ","")&amp;IF($R60="DONNEES MANQUANTES","Renseigner la DATE et au moins une mesure. ",""))</f>
        <v/>
      </c>
      <c r="T60" s="28" t="n">
        <f aca="false">IF(OR($C60="",$B60=""),0,IF(COUNTIFS(QC_LOT,$C60,QC_DATE,"&gt;"&amp;$B60)&gt;0,0,IF(COUNTIFS($C$5:$C60,$C60,$B$5:$B60,$B60)=COUNTIFS(QC_LOT,$C60,QC_DATE,$B60),1,0)))</f>
        <v>0</v>
      </c>
      <c r="U60" s="26" t="str">
        <f aca="false">IF($T60=1,$C60,"")</f>
        <v/>
      </c>
      <c r="V60" s="28" t="n">
        <f aca="false">IF($C60="",0,IF($C60=R_LOT,1,0))</f>
        <v>0</v>
      </c>
      <c r="W60" s="26" t="str">
        <f aca="false">IF($V60=0,"",COUNTIF($V$5:$V60,1))</f>
        <v/>
      </c>
    </row>
    <row r="61" customFormat="false" ht="15" hidden="false" customHeight="false" outlineLevel="0" collapsed="false">
      <c r="A61" s="26" t="str">
        <f aca="false">IF($C61="","","QC-"&amp;TEXT(ROW()-4,"000"))</f>
        <v/>
      </c>
      <c r="B61" s="25"/>
      <c r="C61" s="24"/>
      <c r="D61" s="24"/>
      <c r="E61" s="24"/>
      <c r="F61" s="32"/>
      <c r="G61" s="33"/>
      <c r="H61" s="24"/>
      <c r="I61" s="24"/>
      <c r="J61" s="24"/>
      <c r="K61" s="24"/>
      <c r="L61" s="24"/>
      <c r="M61" s="24"/>
      <c r="N61" s="26" t="str">
        <f aca="false">IF($C61="","",IFERROR(INDEX(LOT_EXTE,MATCH($C61,LOT_KEY,0)),""))</f>
        <v/>
      </c>
      <c r="O61" s="26" t="str">
        <f aca="false">IF($C61="","",IFERROR(INDEX(LOT_PRODE,MATCH($C61,LOT_KEY,0)),"LOT NON REFERENCE"))</f>
        <v/>
      </c>
      <c r="P61" s="26" t="str">
        <f aca="false">IF($C61="","",IFERROR(INDEX(LOT_CONSERVE,MATCH($C61,LOT_KEY,0)),""))</f>
        <v/>
      </c>
      <c r="Q61" s="27" t="str">
        <f aca="false">IF(OR($C61="",$D61=""),"",SUMIFS(MVT_NET,MVT_LOT,$C61,MVT_EMPL,$D61))</f>
        <v/>
      </c>
      <c r="R61" s="26" t="str">
        <f aca="false">IF($C61="","",IF(OR($B61="",AND($F61="",$G61="",$H61="",$I61="",$J61="",$K61="")),"DONNEES MANQUANTES",IF(AND($D61&lt;&gt;"",$Q61&lt;=0),"EMPLACEMENT INCOHERENT","OK")))</f>
        <v/>
      </c>
      <c r="S61" s="26" t="str">
        <f aca="false">IF($C61="","",IF(AND(ISNUMBER($G61),$G61&gt;P_HIST),"HISTAMINE "&amp;TEXT($G61,"#,##0")&amp;" PPM &gt; seuil "&amp;TEXT(P_HIST,"#,##0")&amp;". ","")&amp;IF(AND(ISNUMBER($F61),$P61="CONGELE",$F61&gt;P_TCONG),"TEMPERATURE "&amp;TEXT($F61,"0.0")&amp;" C hors seuil congele. ","")&amp;IF(AND(ISNUMBER($F61),$P61="FRAIS",$F61&gt;P_TFRAIS),"TEMPERATURE "&amp;TEXT($F61,"0.0")&amp;" C hors seuil frais. ","")&amp;IF($K61="BLOQUER","Lot bloque qualite : stock signale mais inchange. ","")&amp;IF($R61="EMPLACEMENT INCOHERENT","Lot absent de cet emplacement : controle conserve, stock inchange. ","")&amp;IF($R61="DONNEES MANQUANTES","Renseigner la DATE et au moins une mesure. ",""))</f>
        <v/>
      </c>
      <c r="T61" s="28" t="n">
        <f aca="false">IF(OR($C61="",$B61=""),0,IF(COUNTIFS(QC_LOT,$C61,QC_DATE,"&gt;"&amp;$B61)&gt;0,0,IF(COUNTIFS($C$5:$C61,$C61,$B$5:$B61,$B61)=COUNTIFS(QC_LOT,$C61,QC_DATE,$B61),1,0)))</f>
        <v>0</v>
      </c>
      <c r="U61" s="26" t="str">
        <f aca="false">IF($T61=1,$C61,"")</f>
        <v/>
      </c>
      <c r="V61" s="28" t="n">
        <f aca="false">IF($C61="",0,IF($C61=R_LOT,1,0))</f>
        <v>0</v>
      </c>
      <c r="W61" s="26" t="str">
        <f aca="false">IF($V61=0,"",COUNTIF($V$5:$V61,1))</f>
        <v/>
      </c>
    </row>
    <row r="62" customFormat="false" ht="15" hidden="false" customHeight="false" outlineLevel="0" collapsed="false">
      <c r="A62" s="26" t="str">
        <f aca="false">IF($C62="","","QC-"&amp;TEXT(ROW()-4,"000"))</f>
        <v/>
      </c>
      <c r="B62" s="25"/>
      <c r="C62" s="24"/>
      <c r="D62" s="24"/>
      <c r="E62" s="24"/>
      <c r="F62" s="32"/>
      <c r="G62" s="33"/>
      <c r="H62" s="24"/>
      <c r="I62" s="24"/>
      <c r="J62" s="24"/>
      <c r="K62" s="24"/>
      <c r="L62" s="24"/>
      <c r="M62" s="24"/>
      <c r="N62" s="26" t="str">
        <f aca="false">IF($C62="","",IFERROR(INDEX(LOT_EXTE,MATCH($C62,LOT_KEY,0)),""))</f>
        <v/>
      </c>
      <c r="O62" s="26" t="str">
        <f aca="false">IF($C62="","",IFERROR(INDEX(LOT_PRODE,MATCH($C62,LOT_KEY,0)),"LOT NON REFERENCE"))</f>
        <v/>
      </c>
      <c r="P62" s="26" t="str">
        <f aca="false">IF($C62="","",IFERROR(INDEX(LOT_CONSERVE,MATCH($C62,LOT_KEY,0)),""))</f>
        <v/>
      </c>
      <c r="Q62" s="27" t="str">
        <f aca="false">IF(OR($C62="",$D62=""),"",SUMIFS(MVT_NET,MVT_LOT,$C62,MVT_EMPL,$D62))</f>
        <v/>
      </c>
      <c r="R62" s="26" t="str">
        <f aca="false">IF($C62="","",IF(OR($B62="",AND($F62="",$G62="",$H62="",$I62="",$J62="",$K62="")),"DONNEES MANQUANTES",IF(AND($D62&lt;&gt;"",$Q62&lt;=0),"EMPLACEMENT INCOHERENT","OK")))</f>
        <v/>
      </c>
      <c r="S62" s="26" t="str">
        <f aca="false">IF($C62="","",IF(AND(ISNUMBER($G62),$G62&gt;P_HIST),"HISTAMINE "&amp;TEXT($G62,"#,##0")&amp;" PPM &gt; seuil "&amp;TEXT(P_HIST,"#,##0")&amp;". ","")&amp;IF(AND(ISNUMBER($F62),$P62="CONGELE",$F62&gt;P_TCONG),"TEMPERATURE "&amp;TEXT($F62,"0.0")&amp;" C hors seuil congele. ","")&amp;IF(AND(ISNUMBER($F62),$P62="FRAIS",$F62&gt;P_TFRAIS),"TEMPERATURE "&amp;TEXT($F62,"0.0")&amp;" C hors seuil frais. ","")&amp;IF($K62="BLOQUER","Lot bloque qualite : stock signale mais inchange. ","")&amp;IF($R62="EMPLACEMENT INCOHERENT","Lot absent de cet emplacement : controle conserve, stock inchange. ","")&amp;IF($R62="DONNEES MANQUANTES","Renseigner la DATE et au moins une mesure. ",""))</f>
        <v/>
      </c>
      <c r="T62" s="28" t="n">
        <f aca="false">IF(OR($C62="",$B62=""),0,IF(COUNTIFS(QC_LOT,$C62,QC_DATE,"&gt;"&amp;$B62)&gt;0,0,IF(COUNTIFS($C$5:$C62,$C62,$B$5:$B62,$B62)=COUNTIFS(QC_LOT,$C62,QC_DATE,$B62),1,0)))</f>
        <v>0</v>
      </c>
      <c r="U62" s="26" t="str">
        <f aca="false">IF($T62=1,$C62,"")</f>
        <v/>
      </c>
      <c r="V62" s="28" t="n">
        <f aca="false">IF($C62="",0,IF($C62=R_LOT,1,0))</f>
        <v>0</v>
      </c>
      <c r="W62" s="26" t="str">
        <f aca="false">IF($V62=0,"",COUNTIF($V$5:$V62,1))</f>
        <v/>
      </c>
    </row>
    <row r="63" customFormat="false" ht="15" hidden="false" customHeight="false" outlineLevel="0" collapsed="false">
      <c r="A63" s="26" t="str">
        <f aca="false">IF($C63="","","QC-"&amp;TEXT(ROW()-4,"000"))</f>
        <v/>
      </c>
      <c r="B63" s="25"/>
      <c r="C63" s="24"/>
      <c r="D63" s="24"/>
      <c r="E63" s="24"/>
      <c r="F63" s="32"/>
      <c r="G63" s="33"/>
      <c r="H63" s="24"/>
      <c r="I63" s="24"/>
      <c r="J63" s="24"/>
      <c r="K63" s="24"/>
      <c r="L63" s="24"/>
      <c r="M63" s="24"/>
      <c r="N63" s="26" t="str">
        <f aca="false">IF($C63="","",IFERROR(INDEX(LOT_EXTE,MATCH($C63,LOT_KEY,0)),""))</f>
        <v/>
      </c>
      <c r="O63" s="26" t="str">
        <f aca="false">IF($C63="","",IFERROR(INDEX(LOT_PRODE,MATCH($C63,LOT_KEY,0)),"LOT NON REFERENCE"))</f>
        <v/>
      </c>
      <c r="P63" s="26" t="str">
        <f aca="false">IF($C63="","",IFERROR(INDEX(LOT_CONSERVE,MATCH($C63,LOT_KEY,0)),""))</f>
        <v/>
      </c>
      <c r="Q63" s="27" t="str">
        <f aca="false">IF(OR($C63="",$D63=""),"",SUMIFS(MVT_NET,MVT_LOT,$C63,MVT_EMPL,$D63))</f>
        <v/>
      </c>
      <c r="R63" s="26" t="str">
        <f aca="false">IF($C63="","",IF(OR($B63="",AND($F63="",$G63="",$H63="",$I63="",$J63="",$K63="")),"DONNEES MANQUANTES",IF(AND($D63&lt;&gt;"",$Q63&lt;=0),"EMPLACEMENT INCOHERENT","OK")))</f>
        <v/>
      </c>
      <c r="S63" s="26" t="str">
        <f aca="false">IF($C63="","",IF(AND(ISNUMBER($G63),$G63&gt;P_HIST),"HISTAMINE "&amp;TEXT($G63,"#,##0")&amp;" PPM &gt; seuil "&amp;TEXT(P_HIST,"#,##0")&amp;". ","")&amp;IF(AND(ISNUMBER($F63),$P63="CONGELE",$F63&gt;P_TCONG),"TEMPERATURE "&amp;TEXT($F63,"0.0")&amp;" C hors seuil congele. ","")&amp;IF(AND(ISNUMBER($F63),$P63="FRAIS",$F63&gt;P_TFRAIS),"TEMPERATURE "&amp;TEXT($F63,"0.0")&amp;" C hors seuil frais. ","")&amp;IF($K63="BLOQUER","Lot bloque qualite : stock signale mais inchange. ","")&amp;IF($R63="EMPLACEMENT INCOHERENT","Lot absent de cet emplacement : controle conserve, stock inchange. ","")&amp;IF($R63="DONNEES MANQUANTES","Renseigner la DATE et au moins une mesure. ",""))</f>
        <v/>
      </c>
      <c r="T63" s="28" t="n">
        <f aca="false">IF(OR($C63="",$B63=""),0,IF(COUNTIFS(QC_LOT,$C63,QC_DATE,"&gt;"&amp;$B63)&gt;0,0,IF(COUNTIFS($C$5:$C63,$C63,$B$5:$B63,$B63)=COUNTIFS(QC_LOT,$C63,QC_DATE,$B63),1,0)))</f>
        <v>0</v>
      </c>
      <c r="U63" s="26" t="str">
        <f aca="false">IF($T63=1,$C63,"")</f>
        <v/>
      </c>
      <c r="V63" s="28" t="n">
        <f aca="false">IF($C63="",0,IF($C63=R_LOT,1,0))</f>
        <v>0</v>
      </c>
      <c r="W63" s="26" t="str">
        <f aca="false">IF($V63=0,"",COUNTIF($V$5:$V63,1))</f>
        <v/>
      </c>
    </row>
    <row r="64" customFormat="false" ht="15" hidden="false" customHeight="false" outlineLevel="0" collapsed="false">
      <c r="A64" s="26" t="str">
        <f aca="false">IF($C64="","","QC-"&amp;TEXT(ROW()-4,"000"))</f>
        <v/>
      </c>
      <c r="B64" s="25"/>
      <c r="C64" s="24"/>
      <c r="D64" s="24"/>
      <c r="E64" s="24"/>
      <c r="F64" s="32"/>
      <c r="G64" s="33"/>
      <c r="H64" s="24"/>
      <c r="I64" s="24"/>
      <c r="J64" s="24"/>
      <c r="K64" s="24"/>
      <c r="L64" s="24"/>
      <c r="M64" s="24"/>
      <c r="N64" s="26" t="str">
        <f aca="false">IF($C64="","",IFERROR(INDEX(LOT_EXTE,MATCH($C64,LOT_KEY,0)),""))</f>
        <v/>
      </c>
      <c r="O64" s="26" t="str">
        <f aca="false">IF($C64="","",IFERROR(INDEX(LOT_PRODE,MATCH($C64,LOT_KEY,0)),"LOT NON REFERENCE"))</f>
        <v/>
      </c>
      <c r="P64" s="26" t="str">
        <f aca="false">IF($C64="","",IFERROR(INDEX(LOT_CONSERVE,MATCH($C64,LOT_KEY,0)),""))</f>
        <v/>
      </c>
      <c r="Q64" s="27" t="str">
        <f aca="false">IF(OR($C64="",$D64=""),"",SUMIFS(MVT_NET,MVT_LOT,$C64,MVT_EMPL,$D64))</f>
        <v/>
      </c>
      <c r="R64" s="26" t="str">
        <f aca="false">IF($C64="","",IF(OR($B64="",AND($F64="",$G64="",$H64="",$I64="",$J64="",$K64="")),"DONNEES MANQUANTES",IF(AND($D64&lt;&gt;"",$Q64&lt;=0),"EMPLACEMENT INCOHERENT","OK")))</f>
        <v/>
      </c>
      <c r="S64" s="26" t="str">
        <f aca="false">IF($C64="","",IF(AND(ISNUMBER($G64),$G64&gt;P_HIST),"HISTAMINE "&amp;TEXT($G64,"#,##0")&amp;" PPM &gt; seuil "&amp;TEXT(P_HIST,"#,##0")&amp;". ","")&amp;IF(AND(ISNUMBER($F64),$P64="CONGELE",$F64&gt;P_TCONG),"TEMPERATURE "&amp;TEXT($F64,"0.0")&amp;" C hors seuil congele. ","")&amp;IF(AND(ISNUMBER($F64),$P64="FRAIS",$F64&gt;P_TFRAIS),"TEMPERATURE "&amp;TEXT($F64,"0.0")&amp;" C hors seuil frais. ","")&amp;IF($K64="BLOQUER","Lot bloque qualite : stock signale mais inchange. ","")&amp;IF($R64="EMPLACEMENT INCOHERENT","Lot absent de cet emplacement : controle conserve, stock inchange. ","")&amp;IF($R64="DONNEES MANQUANTES","Renseigner la DATE et au moins une mesure. ",""))</f>
        <v/>
      </c>
      <c r="T64" s="28" t="n">
        <f aca="false">IF(OR($C64="",$B64=""),0,IF(COUNTIFS(QC_LOT,$C64,QC_DATE,"&gt;"&amp;$B64)&gt;0,0,IF(COUNTIFS($C$5:$C64,$C64,$B$5:$B64,$B64)=COUNTIFS(QC_LOT,$C64,QC_DATE,$B64),1,0)))</f>
        <v>0</v>
      </c>
      <c r="U64" s="26" t="str">
        <f aca="false">IF($T64=1,$C64,"")</f>
        <v/>
      </c>
      <c r="V64" s="28" t="n">
        <f aca="false">IF($C64="",0,IF($C64=R_LOT,1,0))</f>
        <v>0</v>
      </c>
      <c r="W64" s="26" t="str">
        <f aca="false">IF($V64=0,"",COUNTIF($V$5:$V64,1))</f>
        <v/>
      </c>
    </row>
    <row r="65" customFormat="false" ht="15" hidden="false" customHeight="false" outlineLevel="0" collapsed="false">
      <c r="A65" s="26" t="str">
        <f aca="false">IF($C65="","","QC-"&amp;TEXT(ROW()-4,"000"))</f>
        <v/>
      </c>
      <c r="B65" s="25"/>
      <c r="C65" s="24"/>
      <c r="D65" s="24"/>
      <c r="E65" s="24"/>
      <c r="F65" s="32"/>
      <c r="G65" s="33"/>
      <c r="H65" s="24"/>
      <c r="I65" s="24"/>
      <c r="J65" s="24"/>
      <c r="K65" s="24"/>
      <c r="L65" s="24"/>
      <c r="M65" s="24"/>
      <c r="N65" s="26" t="str">
        <f aca="false">IF($C65="","",IFERROR(INDEX(LOT_EXTE,MATCH($C65,LOT_KEY,0)),""))</f>
        <v/>
      </c>
      <c r="O65" s="26" t="str">
        <f aca="false">IF($C65="","",IFERROR(INDEX(LOT_PRODE,MATCH($C65,LOT_KEY,0)),"LOT NON REFERENCE"))</f>
        <v/>
      </c>
      <c r="P65" s="26" t="str">
        <f aca="false">IF($C65="","",IFERROR(INDEX(LOT_CONSERVE,MATCH($C65,LOT_KEY,0)),""))</f>
        <v/>
      </c>
      <c r="Q65" s="27" t="str">
        <f aca="false">IF(OR($C65="",$D65=""),"",SUMIFS(MVT_NET,MVT_LOT,$C65,MVT_EMPL,$D65))</f>
        <v/>
      </c>
      <c r="R65" s="26" t="str">
        <f aca="false">IF($C65="","",IF(OR($B65="",AND($F65="",$G65="",$H65="",$I65="",$J65="",$K65="")),"DONNEES MANQUANTES",IF(AND($D65&lt;&gt;"",$Q65&lt;=0),"EMPLACEMENT INCOHERENT","OK")))</f>
        <v/>
      </c>
      <c r="S65" s="26" t="str">
        <f aca="false">IF($C65="","",IF(AND(ISNUMBER($G65),$G65&gt;P_HIST),"HISTAMINE "&amp;TEXT($G65,"#,##0")&amp;" PPM &gt; seuil "&amp;TEXT(P_HIST,"#,##0")&amp;". ","")&amp;IF(AND(ISNUMBER($F65),$P65="CONGELE",$F65&gt;P_TCONG),"TEMPERATURE "&amp;TEXT($F65,"0.0")&amp;" C hors seuil congele. ","")&amp;IF(AND(ISNUMBER($F65),$P65="FRAIS",$F65&gt;P_TFRAIS),"TEMPERATURE "&amp;TEXT($F65,"0.0")&amp;" C hors seuil frais. ","")&amp;IF($K65="BLOQUER","Lot bloque qualite : stock signale mais inchange. ","")&amp;IF($R65="EMPLACEMENT INCOHERENT","Lot absent de cet emplacement : controle conserve, stock inchange. ","")&amp;IF($R65="DONNEES MANQUANTES","Renseigner la DATE et au moins une mesure. ",""))</f>
        <v/>
      </c>
      <c r="T65" s="28" t="n">
        <f aca="false">IF(OR($C65="",$B65=""),0,IF(COUNTIFS(QC_LOT,$C65,QC_DATE,"&gt;"&amp;$B65)&gt;0,0,IF(COUNTIFS($C$5:$C65,$C65,$B$5:$B65,$B65)=COUNTIFS(QC_LOT,$C65,QC_DATE,$B65),1,0)))</f>
        <v>0</v>
      </c>
      <c r="U65" s="26" t="str">
        <f aca="false">IF($T65=1,$C65,"")</f>
        <v/>
      </c>
      <c r="V65" s="28" t="n">
        <f aca="false">IF($C65="",0,IF($C65=R_LOT,1,0))</f>
        <v>0</v>
      </c>
      <c r="W65" s="26" t="str">
        <f aca="false">IF($V65=0,"",COUNTIF($V$5:$V65,1))</f>
        <v/>
      </c>
    </row>
    <row r="66" customFormat="false" ht="15" hidden="false" customHeight="false" outlineLevel="0" collapsed="false">
      <c r="A66" s="26" t="str">
        <f aca="false">IF($C66="","","QC-"&amp;TEXT(ROW()-4,"000"))</f>
        <v/>
      </c>
      <c r="B66" s="25"/>
      <c r="C66" s="24"/>
      <c r="D66" s="24"/>
      <c r="E66" s="24"/>
      <c r="F66" s="32"/>
      <c r="G66" s="33"/>
      <c r="H66" s="24"/>
      <c r="I66" s="24"/>
      <c r="J66" s="24"/>
      <c r="K66" s="24"/>
      <c r="L66" s="24"/>
      <c r="M66" s="24"/>
      <c r="N66" s="26" t="str">
        <f aca="false">IF($C66="","",IFERROR(INDEX(LOT_EXTE,MATCH($C66,LOT_KEY,0)),""))</f>
        <v/>
      </c>
      <c r="O66" s="26" t="str">
        <f aca="false">IF($C66="","",IFERROR(INDEX(LOT_PRODE,MATCH($C66,LOT_KEY,0)),"LOT NON REFERENCE"))</f>
        <v/>
      </c>
      <c r="P66" s="26" t="str">
        <f aca="false">IF($C66="","",IFERROR(INDEX(LOT_CONSERVE,MATCH($C66,LOT_KEY,0)),""))</f>
        <v/>
      </c>
      <c r="Q66" s="27" t="str">
        <f aca="false">IF(OR($C66="",$D66=""),"",SUMIFS(MVT_NET,MVT_LOT,$C66,MVT_EMPL,$D66))</f>
        <v/>
      </c>
      <c r="R66" s="26" t="str">
        <f aca="false">IF($C66="","",IF(OR($B66="",AND($F66="",$G66="",$H66="",$I66="",$J66="",$K66="")),"DONNEES MANQUANTES",IF(AND($D66&lt;&gt;"",$Q66&lt;=0),"EMPLACEMENT INCOHERENT","OK")))</f>
        <v/>
      </c>
      <c r="S66" s="26" t="str">
        <f aca="false">IF($C66="","",IF(AND(ISNUMBER($G66),$G66&gt;P_HIST),"HISTAMINE "&amp;TEXT($G66,"#,##0")&amp;" PPM &gt; seuil "&amp;TEXT(P_HIST,"#,##0")&amp;". ","")&amp;IF(AND(ISNUMBER($F66),$P66="CONGELE",$F66&gt;P_TCONG),"TEMPERATURE "&amp;TEXT($F66,"0.0")&amp;" C hors seuil congele. ","")&amp;IF(AND(ISNUMBER($F66),$P66="FRAIS",$F66&gt;P_TFRAIS),"TEMPERATURE "&amp;TEXT($F66,"0.0")&amp;" C hors seuil frais. ","")&amp;IF($K66="BLOQUER","Lot bloque qualite : stock signale mais inchange. ","")&amp;IF($R66="EMPLACEMENT INCOHERENT","Lot absent de cet emplacement : controle conserve, stock inchange. ","")&amp;IF($R66="DONNEES MANQUANTES","Renseigner la DATE et au moins une mesure. ",""))</f>
        <v/>
      </c>
      <c r="T66" s="28" t="n">
        <f aca="false">IF(OR($C66="",$B66=""),0,IF(COUNTIFS(QC_LOT,$C66,QC_DATE,"&gt;"&amp;$B66)&gt;0,0,IF(COUNTIFS($C$5:$C66,$C66,$B$5:$B66,$B66)=COUNTIFS(QC_LOT,$C66,QC_DATE,$B66),1,0)))</f>
        <v>0</v>
      </c>
      <c r="U66" s="26" t="str">
        <f aca="false">IF($T66=1,$C66,"")</f>
        <v/>
      </c>
      <c r="V66" s="28" t="n">
        <f aca="false">IF($C66="",0,IF($C66=R_LOT,1,0))</f>
        <v>0</v>
      </c>
      <c r="W66" s="26" t="str">
        <f aca="false">IF($V66=0,"",COUNTIF($V$5:$V66,1))</f>
        <v/>
      </c>
    </row>
    <row r="67" customFormat="false" ht="15" hidden="false" customHeight="false" outlineLevel="0" collapsed="false">
      <c r="A67" s="26" t="str">
        <f aca="false">IF($C67="","","QC-"&amp;TEXT(ROW()-4,"000"))</f>
        <v/>
      </c>
      <c r="B67" s="25"/>
      <c r="C67" s="24"/>
      <c r="D67" s="24"/>
      <c r="E67" s="24"/>
      <c r="F67" s="32"/>
      <c r="G67" s="33"/>
      <c r="H67" s="24"/>
      <c r="I67" s="24"/>
      <c r="J67" s="24"/>
      <c r="K67" s="24"/>
      <c r="L67" s="24"/>
      <c r="M67" s="24"/>
      <c r="N67" s="26" t="str">
        <f aca="false">IF($C67="","",IFERROR(INDEX(LOT_EXTE,MATCH($C67,LOT_KEY,0)),""))</f>
        <v/>
      </c>
      <c r="O67" s="26" t="str">
        <f aca="false">IF($C67="","",IFERROR(INDEX(LOT_PRODE,MATCH($C67,LOT_KEY,0)),"LOT NON REFERENCE"))</f>
        <v/>
      </c>
      <c r="P67" s="26" t="str">
        <f aca="false">IF($C67="","",IFERROR(INDEX(LOT_CONSERVE,MATCH($C67,LOT_KEY,0)),""))</f>
        <v/>
      </c>
      <c r="Q67" s="27" t="str">
        <f aca="false">IF(OR($C67="",$D67=""),"",SUMIFS(MVT_NET,MVT_LOT,$C67,MVT_EMPL,$D67))</f>
        <v/>
      </c>
      <c r="R67" s="26" t="str">
        <f aca="false">IF($C67="","",IF(OR($B67="",AND($F67="",$G67="",$H67="",$I67="",$J67="",$K67="")),"DONNEES MANQUANTES",IF(AND($D67&lt;&gt;"",$Q67&lt;=0),"EMPLACEMENT INCOHERENT","OK")))</f>
        <v/>
      </c>
      <c r="S67" s="26" t="str">
        <f aca="false">IF($C67="","",IF(AND(ISNUMBER($G67),$G67&gt;P_HIST),"HISTAMINE "&amp;TEXT($G67,"#,##0")&amp;" PPM &gt; seuil "&amp;TEXT(P_HIST,"#,##0")&amp;". ","")&amp;IF(AND(ISNUMBER($F67),$P67="CONGELE",$F67&gt;P_TCONG),"TEMPERATURE "&amp;TEXT($F67,"0.0")&amp;" C hors seuil congele. ","")&amp;IF(AND(ISNUMBER($F67),$P67="FRAIS",$F67&gt;P_TFRAIS),"TEMPERATURE "&amp;TEXT($F67,"0.0")&amp;" C hors seuil frais. ","")&amp;IF($K67="BLOQUER","Lot bloque qualite : stock signale mais inchange. ","")&amp;IF($R67="EMPLACEMENT INCOHERENT","Lot absent de cet emplacement : controle conserve, stock inchange. ","")&amp;IF($R67="DONNEES MANQUANTES","Renseigner la DATE et au moins une mesure. ",""))</f>
        <v/>
      </c>
      <c r="T67" s="28" t="n">
        <f aca="false">IF(OR($C67="",$B67=""),0,IF(COUNTIFS(QC_LOT,$C67,QC_DATE,"&gt;"&amp;$B67)&gt;0,0,IF(COUNTIFS($C$5:$C67,$C67,$B$5:$B67,$B67)=COUNTIFS(QC_LOT,$C67,QC_DATE,$B67),1,0)))</f>
        <v>0</v>
      </c>
      <c r="U67" s="26" t="str">
        <f aca="false">IF($T67=1,$C67,"")</f>
        <v/>
      </c>
      <c r="V67" s="28" t="n">
        <f aca="false">IF($C67="",0,IF($C67=R_LOT,1,0))</f>
        <v>0</v>
      </c>
      <c r="W67" s="26" t="str">
        <f aca="false">IF($V67=0,"",COUNTIF($V$5:$V67,1))</f>
        <v/>
      </c>
    </row>
    <row r="68" customFormat="false" ht="15" hidden="false" customHeight="false" outlineLevel="0" collapsed="false">
      <c r="A68" s="26" t="str">
        <f aca="false">IF($C68="","","QC-"&amp;TEXT(ROW()-4,"000"))</f>
        <v/>
      </c>
      <c r="B68" s="25"/>
      <c r="C68" s="24"/>
      <c r="D68" s="24"/>
      <c r="E68" s="24"/>
      <c r="F68" s="32"/>
      <c r="G68" s="33"/>
      <c r="H68" s="24"/>
      <c r="I68" s="24"/>
      <c r="J68" s="24"/>
      <c r="K68" s="24"/>
      <c r="L68" s="24"/>
      <c r="M68" s="24"/>
      <c r="N68" s="26" t="str">
        <f aca="false">IF($C68="","",IFERROR(INDEX(LOT_EXTE,MATCH($C68,LOT_KEY,0)),""))</f>
        <v/>
      </c>
      <c r="O68" s="26" t="str">
        <f aca="false">IF($C68="","",IFERROR(INDEX(LOT_PRODE,MATCH($C68,LOT_KEY,0)),"LOT NON REFERENCE"))</f>
        <v/>
      </c>
      <c r="P68" s="26" t="str">
        <f aca="false">IF($C68="","",IFERROR(INDEX(LOT_CONSERVE,MATCH($C68,LOT_KEY,0)),""))</f>
        <v/>
      </c>
      <c r="Q68" s="27" t="str">
        <f aca="false">IF(OR($C68="",$D68=""),"",SUMIFS(MVT_NET,MVT_LOT,$C68,MVT_EMPL,$D68))</f>
        <v/>
      </c>
      <c r="R68" s="26" t="str">
        <f aca="false">IF($C68="","",IF(OR($B68="",AND($F68="",$G68="",$H68="",$I68="",$J68="",$K68="")),"DONNEES MANQUANTES",IF(AND($D68&lt;&gt;"",$Q68&lt;=0),"EMPLACEMENT INCOHERENT","OK")))</f>
        <v/>
      </c>
      <c r="S68" s="26" t="str">
        <f aca="false">IF($C68="","",IF(AND(ISNUMBER($G68),$G68&gt;P_HIST),"HISTAMINE "&amp;TEXT($G68,"#,##0")&amp;" PPM &gt; seuil "&amp;TEXT(P_HIST,"#,##0")&amp;". ","")&amp;IF(AND(ISNUMBER($F68),$P68="CONGELE",$F68&gt;P_TCONG),"TEMPERATURE "&amp;TEXT($F68,"0.0")&amp;" C hors seuil congele. ","")&amp;IF(AND(ISNUMBER($F68),$P68="FRAIS",$F68&gt;P_TFRAIS),"TEMPERATURE "&amp;TEXT($F68,"0.0")&amp;" C hors seuil frais. ","")&amp;IF($K68="BLOQUER","Lot bloque qualite : stock signale mais inchange. ","")&amp;IF($R68="EMPLACEMENT INCOHERENT","Lot absent de cet emplacement : controle conserve, stock inchange. ","")&amp;IF($R68="DONNEES MANQUANTES","Renseigner la DATE et au moins une mesure. ",""))</f>
        <v/>
      </c>
      <c r="T68" s="28" t="n">
        <f aca="false">IF(OR($C68="",$B68=""),0,IF(COUNTIFS(QC_LOT,$C68,QC_DATE,"&gt;"&amp;$B68)&gt;0,0,IF(COUNTIFS($C$5:$C68,$C68,$B$5:$B68,$B68)=COUNTIFS(QC_LOT,$C68,QC_DATE,$B68),1,0)))</f>
        <v>0</v>
      </c>
      <c r="U68" s="26" t="str">
        <f aca="false">IF($T68=1,$C68,"")</f>
        <v/>
      </c>
      <c r="V68" s="28" t="n">
        <f aca="false">IF($C68="",0,IF($C68=R_LOT,1,0))</f>
        <v>0</v>
      </c>
      <c r="W68" s="26" t="str">
        <f aca="false">IF($V68=0,"",COUNTIF($V$5:$V68,1))</f>
        <v/>
      </c>
    </row>
    <row r="69" customFormat="false" ht="15" hidden="false" customHeight="false" outlineLevel="0" collapsed="false">
      <c r="A69" s="26" t="str">
        <f aca="false">IF($C69="","","QC-"&amp;TEXT(ROW()-4,"000"))</f>
        <v/>
      </c>
      <c r="B69" s="25"/>
      <c r="C69" s="24"/>
      <c r="D69" s="24"/>
      <c r="E69" s="24"/>
      <c r="F69" s="32"/>
      <c r="G69" s="33"/>
      <c r="H69" s="24"/>
      <c r="I69" s="24"/>
      <c r="J69" s="24"/>
      <c r="K69" s="24"/>
      <c r="L69" s="24"/>
      <c r="M69" s="24"/>
      <c r="N69" s="26" t="str">
        <f aca="false">IF($C69="","",IFERROR(INDEX(LOT_EXTE,MATCH($C69,LOT_KEY,0)),""))</f>
        <v/>
      </c>
      <c r="O69" s="26" t="str">
        <f aca="false">IF($C69="","",IFERROR(INDEX(LOT_PRODE,MATCH($C69,LOT_KEY,0)),"LOT NON REFERENCE"))</f>
        <v/>
      </c>
      <c r="P69" s="26" t="str">
        <f aca="false">IF($C69="","",IFERROR(INDEX(LOT_CONSERVE,MATCH($C69,LOT_KEY,0)),""))</f>
        <v/>
      </c>
      <c r="Q69" s="27" t="str">
        <f aca="false">IF(OR($C69="",$D69=""),"",SUMIFS(MVT_NET,MVT_LOT,$C69,MVT_EMPL,$D69))</f>
        <v/>
      </c>
      <c r="R69" s="26" t="str">
        <f aca="false">IF($C69="","",IF(OR($B69="",AND($F69="",$G69="",$H69="",$I69="",$J69="",$K69="")),"DONNEES MANQUANTES",IF(AND($D69&lt;&gt;"",$Q69&lt;=0),"EMPLACEMENT INCOHERENT","OK")))</f>
        <v/>
      </c>
      <c r="S69" s="26" t="str">
        <f aca="false">IF($C69="","",IF(AND(ISNUMBER($G69),$G69&gt;P_HIST),"HISTAMINE "&amp;TEXT($G69,"#,##0")&amp;" PPM &gt; seuil "&amp;TEXT(P_HIST,"#,##0")&amp;". ","")&amp;IF(AND(ISNUMBER($F69),$P69="CONGELE",$F69&gt;P_TCONG),"TEMPERATURE "&amp;TEXT($F69,"0.0")&amp;" C hors seuil congele. ","")&amp;IF(AND(ISNUMBER($F69),$P69="FRAIS",$F69&gt;P_TFRAIS),"TEMPERATURE "&amp;TEXT($F69,"0.0")&amp;" C hors seuil frais. ","")&amp;IF($K69="BLOQUER","Lot bloque qualite : stock signale mais inchange. ","")&amp;IF($R69="EMPLACEMENT INCOHERENT","Lot absent de cet emplacement : controle conserve, stock inchange. ","")&amp;IF($R69="DONNEES MANQUANTES","Renseigner la DATE et au moins une mesure. ",""))</f>
        <v/>
      </c>
      <c r="T69" s="28" t="n">
        <f aca="false">IF(OR($C69="",$B69=""),0,IF(COUNTIFS(QC_LOT,$C69,QC_DATE,"&gt;"&amp;$B69)&gt;0,0,IF(COUNTIFS($C$5:$C69,$C69,$B$5:$B69,$B69)=COUNTIFS(QC_LOT,$C69,QC_DATE,$B69),1,0)))</f>
        <v>0</v>
      </c>
      <c r="U69" s="26" t="str">
        <f aca="false">IF($T69=1,$C69,"")</f>
        <v/>
      </c>
      <c r="V69" s="28" t="n">
        <f aca="false">IF($C69="",0,IF($C69=R_LOT,1,0))</f>
        <v>0</v>
      </c>
      <c r="W69" s="26" t="str">
        <f aca="false">IF($V69=0,"",COUNTIF($V$5:$V69,1))</f>
        <v/>
      </c>
    </row>
    <row r="70" customFormat="false" ht="15" hidden="false" customHeight="false" outlineLevel="0" collapsed="false">
      <c r="A70" s="26" t="str">
        <f aca="false">IF($C70="","","QC-"&amp;TEXT(ROW()-4,"000"))</f>
        <v/>
      </c>
      <c r="B70" s="25"/>
      <c r="C70" s="24"/>
      <c r="D70" s="24"/>
      <c r="E70" s="24"/>
      <c r="F70" s="32"/>
      <c r="G70" s="33"/>
      <c r="H70" s="24"/>
      <c r="I70" s="24"/>
      <c r="J70" s="24"/>
      <c r="K70" s="24"/>
      <c r="L70" s="24"/>
      <c r="M70" s="24"/>
      <c r="N70" s="26" t="str">
        <f aca="false">IF($C70="","",IFERROR(INDEX(LOT_EXTE,MATCH($C70,LOT_KEY,0)),""))</f>
        <v/>
      </c>
      <c r="O70" s="26" t="str">
        <f aca="false">IF($C70="","",IFERROR(INDEX(LOT_PRODE,MATCH($C70,LOT_KEY,0)),"LOT NON REFERENCE"))</f>
        <v/>
      </c>
      <c r="P70" s="26" t="str">
        <f aca="false">IF($C70="","",IFERROR(INDEX(LOT_CONSERVE,MATCH($C70,LOT_KEY,0)),""))</f>
        <v/>
      </c>
      <c r="Q70" s="27" t="str">
        <f aca="false">IF(OR($C70="",$D70=""),"",SUMIFS(MVT_NET,MVT_LOT,$C70,MVT_EMPL,$D70))</f>
        <v/>
      </c>
      <c r="R70" s="26" t="str">
        <f aca="false">IF($C70="","",IF(OR($B70="",AND($F70="",$G70="",$H70="",$I70="",$J70="",$K70="")),"DONNEES MANQUANTES",IF(AND($D70&lt;&gt;"",$Q70&lt;=0),"EMPLACEMENT INCOHERENT","OK")))</f>
        <v/>
      </c>
      <c r="S70" s="26" t="str">
        <f aca="false">IF($C70="","",IF(AND(ISNUMBER($G70),$G70&gt;P_HIST),"HISTAMINE "&amp;TEXT($G70,"#,##0")&amp;" PPM &gt; seuil "&amp;TEXT(P_HIST,"#,##0")&amp;". ","")&amp;IF(AND(ISNUMBER($F70),$P70="CONGELE",$F70&gt;P_TCONG),"TEMPERATURE "&amp;TEXT($F70,"0.0")&amp;" C hors seuil congele. ","")&amp;IF(AND(ISNUMBER($F70),$P70="FRAIS",$F70&gt;P_TFRAIS),"TEMPERATURE "&amp;TEXT($F70,"0.0")&amp;" C hors seuil frais. ","")&amp;IF($K70="BLOQUER","Lot bloque qualite : stock signale mais inchange. ","")&amp;IF($R70="EMPLACEMENT INCOHERENT","Lot absent de cet emplacement : controle conserve, stock inchange. ","")&amp;IF($R70="DONNEES MANQUANTES","Renseigner la DATE et au moins une mesure. ",""))</f>
        <v/>
      </c>
      <c r="T70" s="28" t="n">
        <f aca="false">IF(OR($C70="",$B70=""),0,IF(COUNTIFS(QC_LOT,$C70,QC_DATE,"&gt;"&amp;$B70)&gt;0,0,IF(COUNTIFS($C$5:$C70,$C70,$B$5:$B70,$B70)=COUNTIFS(QC_LOT,$C70,QC_DATE,$B70),1,0)))</f>
        <v>0</v>
      </c>
      <c r="U70" s="26" t="str">
        <f aca="false">IF($T70=1,$C70,"")</f>
        <v/>
      </c>
      <c r="V70" s="28" t="n">
        <f aca="false">IF($C70="",0,IF($C70=R_LOT,1,0))</f>
        <v>0</v>
      </c>
      <c r="W70" s="26" t="str">
        <f aca="false">IF($V70=0,"",COUNTIF($V$5:$V70,1))</f>
        <v/>
      </c>
    </row>
    <row r="71" customFormat="false" ht="15" hidden="false" customHeight="false" outlineLevel="0" collapsed="false">
      <c r="A71" s="26" t="str">
        <f aca="false">IF($C71="","","QC-"&amp;TEXT(ROW()-4,"000"))</f>
        <v/>
      </c>
      <c r="B71" s="25"/>
      <c r="C71" s="24"/>
      <c r="D71" s="24"/>
      <c r="E71" s="24"/>
      <c r="F71" s="32"/>
      <c r="G71" s="33"/>
      <c r="H71" s="24"/>
      <c r="I71" s="24"/>
      <c r="J71" s="24"/>
      <c r="K71" s="24"/>
      <c r="L71" s="24"/>
      <c r="M71" s="24"/>
      <c r="N71" s="26" t="str">
        <f aca="false">IF($C71="","",IFERROR(INDEX(LOT_EXTE,MATCH($C71,LOT_KEY,0)),""))</f>
        <v/>
      </c>
      <c r="O71" s="26" t="str">
        <f aca="false">IF($C71="","",IFERROR(INDEX(LOT_PRODE,MATCH($C71,LOT_KEY,0)),"LOT NON REFERENCE"))</f>
        <v/>
      </c>
      <c r="P71" s="26" t="str">
        <f aca="false">IF($C71="","",IFERROR(INDEX(LOT_CONSERVE,MATCH($C71,LOT_KEY,0)),""))</f>
        <v/>
      </c>
      <c r="Q71" s="27" t="str">
        <f aca="false">IF(OR($C71="",$D71=""),"",SUMIFS(MVT_NET,MVT_LOT,$C71,MVT_EMPL,$D71))</f>
        <v/>
      </c>
      <c r="R71" s="26" t="str">
        <f aca="false">IF($C71="","",IF(OR($B71="",AND($F71="",$G71="",$H71="",$I71="",$J71="",$K71="")),"DONNEES MANQUANTES",IF(AND($D71&lt;&gt;"",$Q71&lt;=0),"EMPLACEMENT INCOHERENT","OK")))</f>
        <v/>
      </c>
      <c r="S71" s="26" t="str">
        <f aca="false">IF($C71="","",IF(AND(ISNUMBER($G71),$G71&gt;P_HIST),"HISTAMINE "&amp;TEXT($G71,"#,##0")&amp;" PPM &gt; seuil "&amp;TEXT(P_HIST,"#,##0")&amp;". ","")&amp;IF(AND(ISNUMBER($F71),$P71="CONGELE",$F71&gt;P_TCONG),"TEMPERATURE "&amp;TEXT($F71,"0.0")&amp;" C hors seuil congele. ","")&amp;IF(AND(ISNUMBER($F71),$P71="FRAIS",$F71&gt;P_TFRAIS),"TEMPERATURE "&amp;TEXT($F71,"0.0")&amp;" C hors seuil frais. ","")&amp;IF($K71="BLOQUER","Lot bloque qualite : stock signale mais inchange. ","")&amp;IF($R71="EMPLACEMENT INCOHERENT","Lot absent de cet emplacement : controle conserve, stock inchange. ","")&amp;IF($R71="DONNEES MANQUANTES","Renseigner la DATE et au moins une mesure. ",""))</f>
        <v/>
      </c>
      <c r="T71" s="28" t="n">
        <f aca="false">IF(OR($C71="",$B71=""),0,IF(COUNTIFS(QC_LOT,$C71,QC_DATE,"&gt;"&amp;$B71)&gt;0,0,IF(COUNTIFS($C$5:$C71,$C71,$B$5:$B71,$B71)=COUNTIFS(QC_LOT,$C71,QC_DATE,$B71),1,0)))</f>
        <v>0</v>
      </c>
      <c r="U71" s="26" t="str">
        <f aca="false">IF($T71=1,$C71,"")</f>
        <v/>
      </c>
      <c r="V71" s="28" t="n">
        <f aca="false">IF($C71="",0,IF($C71=R_LOT,1,0))</f>
        <v>0</v>
      </c>
      <c r="W71" s="26" t="str">
        <f aca="false">IF($V71=0,"",COUNTIF($V$5:$V71,1))</f>
        <v/>
      </c>
    </row>
    <row r="72" customFormat="false" ht="15" hidden="false" customHeight="false" outlineLevel="0" collapsed="false">
      <c r="A72" s="26" t="str">
        <f aca="false">IF($C72="","","QC-"&amp;TEXT(ROW()-4,"000"))</f>
        <v/>
      </c>
      <c r="B72" s="25"/>
      <c r="C72" s="24"/>
      <c r="D72" s="24"/>
      <c r="E72" s="24"/>
      <c r="F72" s="32"/>
      <c r="G72" s="33"/>
      <c r="H72" s="24"/>
      <c r="I72" s="24"/>
      <c r="J72" s="24"/>
      <c r="K72" s="24"/>
      <c r="L72" s="24"/>
      <c r="M72" s="24"/>
      <c r="N72" s="26" t="str">
        <f aca="false">IF($C72="","",IFERROR(INDEX(LOT_EXTE,MATCH($C72,LOT_KEY,0)),""))</f>
        <v/>
      </c>
      <c r="O72" s="26" t="str">
        <f aca="false">IF($C72="","",IFERROR(INDEX(LOT_PRODE,MATCH($C72,LOT_KEY,0)),"LOT NON REFERENCE"))</f>
        <v/>
      </c>
      <c r="P72" s="26" t="str">
        <f aca="false">IF($C72="","",IFERROR(INDEX(LOT_CONSERVE,MATCH($C72,LOT_KEY,0)),""))</f>
        <v/>
      </c>
      <c r="Q72" s="27" t="str">
        <f aca="false">IF(OR($C72="",$D72=""),"",SUMIFS(MVT_NET,MVT_LOT,$C72,MVT_EMPL,$D72))</f>
        <v/>
      </c>
      <c r="R72" s="26" t="str">
        <f aca="false">IF($C72="","",IF(OR($B72="",AND($F72="",$G72="",$H72="",$I72="",$J72="",$K72="")),"DONNEES MANQUANTES",IF(AND($D72&lt;&gt;"",$Q72&lt;=0),"EMPLACEMENT INCOHERENT","OK")))</f>
        <v/>
      </c>
      <c r="S72" s="26" t="str">
        <f aca="false">IF($C72="","",IF(AND(ISNUMBER($G72),$G72&gt;P_HIST),"HISTAMINE "&amp;TEXT($G72,"#,##0")&amp;" PPM &gt; seuil "&amp;TEXT(P_HIST,"#,##0")&amp;". ","")&amp;IF(AND(ISNUMBER($F72),$P72="CONGELE",$F72&gt;P_TCONG),"TEMPERATURE "&amp;TEXT($F72,"0.0")&amp;" C hors seuil congele. ","")&amp;IF(AND(ISNUMBER($F72),$P72="FRAIS",$F72&gt;P_TFRAIS),"TEMPERATURE "&amp;TEXT($F72,"0.0")&amp;" C hors seuil frais. ","")&amp;IF($K72="BLOQUER","Lot bloque qualite : stock signale mais inchange. ","")&amp;IF($R72="EMPLACEMENT INCOHERENT","Lot absent de cet emplacement : controle conserve, stock inchange. ","")&amp;IF($R72="DONNEES MANQUANTES","Renseigner la DATE et au moins une mesure. ",""))</f>
        <v/>
      </c>
      <c r="T72" s="28" t="n">
        <f aca="false">IF(OR($C72="",$B72=""),0,IF(COUNTIFS(QC_LOT,$C72,QC_DATE,"&gt;"&amp;$B72)&gt;0,0,IF(COUNTIFS($C$5:$C72,$C72,$B$5:$B72,$B72)=COUNTIFS(QC_LOT,$C72,QC_DATE,$B72),1,0)))</f>
        <v>0</v>
      </c>
      <c r="U72" s="26" t="str">
        <f aca="false">IF($T72=1,$C72,"")</f>
        <v/>
      </c>
      <c r="V72" s="28" t="n">
        <f aca="false">IF($C72="",0,IF($C72=R_LOT,1,0))</f>
        <v>0</v>
      </c>
      <c r="W72" s="26" t="str">
        <f aca="false">IF($V72=0,"",COUNTIF($V$5:$V72,1))</f>
        <v/>
      </c>
    </row>
    <row r="73" customFormat="false" ht="15" hidden="false" customHeight="false" outlineLevel="0" collapsed="false">
      <c r="A73" s="26" t="str">
        <f aca="false">IF($C73="","","QC-"&amp;TEXT(ROW()-4,"000"))</f>
        <v/>
      </c>
      <c r="B73" s="25"/>
      <c r="C73" s="24"/>
      <c r="D73" s="24"/>
      <c r="E73" s="24"/>
      <c r="F73" s="32"/>
      <c r="G73" s="33"/>
      <c r="H73" s="24"/>
      <c r="I73" s="24"/>
      <c r="J73" s="24"/>
      <c r="K73" s="24"/>
      <c r="L73" s="24"/>
      <c r="M73" s="24"/>
      <c r="N73" s="26" t="str">
        <f aca="false">IF($C73="","",IFERROR(INDEX(LOT_EXTE,MATCH($C73,LOT_KEY,0)),""))</f>
        <v/>
      </c>
      <c r="O73" s="26" t="str">
        <f aca="false">IF($C73="","",IFERROR(INDEX(LOT_PRODE,MATCH($C73,LOT_KEY,0)),"LOT NON REFERENCE"))</f>
        <v/>
      </c>
      <c r="P73" s="26" t="str">
        <f aca="false">IF($C73="","",IFERROR(INDEX(LOT_CONSERVE,MATCH($C73,LOT_KEY,0)),""))</f>
        <v/>
      </c>
      <c r="Q73" s="27" t="str">
        <f aca="false">IF(OR($C73="",$D73=""),"",SUMIFS(MVT_NET,MVT_LOT,$C73,MVT_EMPL,$D73))</f>
        <v/>
      </c>
      <c r="R73" s="26" t="str">
        <f aca="false">IF($C73="","",IF(OR($B73="",AND($F73="",$G73="",$H73="",$I73="",$J73="",$K73="")),"DONNEES MANQUANTES",IF(AND($D73&lt;&gt;"",$Q73&lt;=0),"EMPLACEMENT INCOHERENT","OK")))</f>
        <v/>
      </c>
      <c r="S73" s="26" t="str">
        <f aca="false">IF($C73="","",IF(AND(ISNUMBER($G73),$G73&gt;P_HIST),"HISTAMINE "&amp;TEXT($G73,"#,##0")&amp;" PPM &gt; seuil "&amp;TEXT(P_HIST,"#,##0")&amp;". ","")&amp;IF(AND(ISNUMBER($F73),$P73="CONGELE",$F73&gt;P_TCONG),"TEMPERATURE "&amp;TEXT($F73,"0.0")&amp;" C hors seuil congele. ","")&amp;IF(AND(ISNUMBER($F73),$P73="FRAIS",$F73&gt;P_TFRAIS),"TEMPERATURE "&amp;TEXT($F73,"0.0")&amp;" C hors seuil frais. ","")&amp;IF($K73="BLOQUER","Lot bloque qualite : stock signale mais inchange. ","")&amp;IF($R73="EMPLACEMENT INCOHERENT","Lot absent de cet emplacement : controle conserve, stock inchange. ","")&amp;IF($R73="DONNEES MANQUANTES","Renseigner la DATE et au moins une mesure. ",""))</f>
        <v/>
      </c>
      <c r="T73" s="28" t="n">
        <f aca="false">IF(OR($C73="",$B73=""),0,IF(COUNTIFS(QC_LOT,$C73,QC_DATE,"&gt;"&amp;$B73)&gt;0,0,IF(COUNTIFS($C$5:$C73,$C73,$B$5:$B73,$B73)=COUNTIFS(QC_LOT,$C73,QC_DATE,$B73),1,0)))</f>
        <v>0</v>
      </c>
      <c r="U73" s="26" t="str">
        <f aca="false">IF($T73=1,$C73,"")</f>
        <v/>
      </c>
      <c r="V73" s="28" t="n">
        <f aca="false">IF($C73="",0,IF($C73=R_LOT,1,0))</f>
        <v>0</v>
      </c>
      <c r="W73" s="26" t="str">
        <f aca="false">IF($V73=0,"",COUNTIF($V$5:$V73,1))</f>
        <v/>
      </c>
    </row>
    <row r="74" customFormat="false" ht="15" hidden="false" customHeight="false" outlineLevel="0" collapsed="false">
      <c r="A74" s="26" t="str">
        <f aca="false">IF($C74="","","QC-"&amp;TEXT(ROW()-4,"000"))</f>
        <v/>
      </c>
      <c r="B74" s="25"/>
      <c r="C74" s="24"/>
      <c r="D74" s="24"/>
      <c r="E74" s="24"/>
      <c r="F74" s="32"/>
      <c r="G74" s="33"/>
      <c r="H74" s="24"/>
      <c r="I74" s="24"/>
      <c r="J74" s="24"/>
      <c r="K74" s="24"/>
      <c r="L74" s="24"/>
      <c r="M74" s="24"/>
      <c r="N74" s="26" t="str">
        <f aca="false">IF($C74="","",IFERROR(INDEX(LOT_EXTE,MATCH($C74,LOT_KEY,0)),""))</f>
        <v/>
      </c>
      <c r="O74" s="26" t="str">
        <f aca="false">IF($C74="","",IFERROR(INDEX(LOT_PRODE,MATCH($C74,LOT_KEY,0)),"LOT NON REFERENCE"))</f>
        <v/>
      </c>
      <c r="P74" s="26" t="str">
        <f aca="false">IF($C74="","",IFERROR(INDEX(LOT_CONSERVE,MATCH($C74,LOT_KEY,0)),""))</f>
        <v/>
      </c>
      <c r="Q74" s="27" t="str">
        <f aca="false">IF(OR($C74="",$D74=""),"",SUMIFS(MVT_NET,MVT_LOT,$C74,MVT_EMPL,$D74))</f>
        <v/>
      </c>
      <c r="R74" s="26" t="str">
        <f aca="false">IF($C74="","",IF(OR($B74="",AND($F74="",$G74="",$H74="",$I74="",$J74="",$K74="")),"DONNEES MANQUANTES",IF(AND($D74&lt;&gt;"",$Q74&lt;=0),"EMPLACEMENT INCOHERENT","OK")))</f>
        <v/>
      </c>
      <c r="S74" s="26" t="str">
        <f aca="false">IF($C74="","",IF(AND(ISNUMBER($G74),$G74&gt;P_HIST),"HISTAMINE "&amp;TEXT($G74,"#,##0")&amp;" PPM &gt; seuil "&amp;TEXT(P_HIST,"#,##0")&amp;". ","")&amp;IF(AND(ISNUMBER($F74),$P74="CONGELE",$F74&gt;P_TCONG),"TEMPERATURE "&amp;TEXT($F74,"0.0")&amp;" C hors seuil congele. ","")&amp;IF(AND(ISNUMBER($F74),$P74="FRAIS",$F74&gt;P_TFRAIS),"TEMPERATURE "&amp;TEXT($F74,"0.0")&amp;" C hors seuil frais. ","")&amp;IF($K74="BLOQUER","Lot bloque qualite : stock signale mais inchange. ","")&amp;IF($R74="EMPLACEMENT INCOHERENT","Lot absent de cet emplacement : controle conserve, stock inchange. ","")&amp;IF($R74="DONNEES MANQUANTES","Renseigner la DATE et au moins une mesure. ",""))</f>
        <v/>
      </c>
      <c r="T74" s="28" t="n">
        <f aca="false">IF(OR($C74="",$B74=""),0,IF(COUNTIFS(QC_LOT,$C74,QC_DATE,"&gt;"&amp;$B74)&gt;0,0,IF(COUNTIFS($C$5:$C74,$C74,$B$5:$B74,$B74)=COUNTIFS(QC_LOT,$C74,QC_DATE,$B74),1,0)))</f>
        <v>0</v>
      </c>
      <c r="U74" s="26" t="str">
        <f aca="false">IF($T74=1,$C74,"")</f>
        <v/>
      </c>
      <c r="V74" s="28" t="n">
        <f aca="false">IF($C74="",0,IF($C74=R_LOT,1,0))</f>
        <v>0</v>
      </c>
      <c r="W74" s="26" t="str">
        <f aca="false">IF($V74=0,"",COUNTIF($V$5:$V74,1))</f>
        <v/>
      </c>
    </row>
    <row r="75" customFormat="false" ht="15" hidden="false" customHeight="false" outlineLevel="0" collapsed="false">
      <c r="A75" s="26" t="str">
        <f aca="false">IF($C75="","","QC-"&amp;TEXT(ROW()-4,"000"))</f>
        <v/>
      </c>
      <c r="B75" s="25"/>
      <c r="C75" s="24"/>
      <c r="D75" s="24"/>
      <c r="E75" s="24"/>
      <c r="F75" s="32"/>
      <c r="G75" s="33"/>
      <c r="H75" s="24"/>
      <c r="I75" s="24"/>
      <c r="J75" s="24"/>
      <c r="K75" s="24"/>
      <c r="L75" s="24"/>
      <c r="M75" s="24"/>
      <c r="N75" s="26" t="str">
        <f aca="false">IF($C75="","",IFERROR(INDEX(LOT_EXTE,MATCH($C75,LOT_KEY,0)),""))</f>
        <v/>
      </c>
      <c r="O75" s="26" t="str">
        <f aca="false">IF($C75="","",IFERROR(INDEX(LOT_PRODE,MATCH($C75,LOT_KEY,0)),"LOT NON REFERENCE"))</f>
        <v/>
      </c>
      <c r="P75" s="26" t="str">
        <f aca="false">IF($C75="","",IFERROR(INDEX(LOT_CONSERVE,MATCH($C75,LOT_KEY,0)),""))</f>
        <v/>
      </c>
      <c r="Q75" s="27" t="str">
        <f aca="false">IF(OR($C75="",$D75=""),"",SUMIFS(MVT_NET,MVT_LOT,$C75,MVT_EMPL,$D75))</f>
        <v/>
      </c>
      <c r="R75" s="26" t="str">
        <f aca="false">IF($C75="","",IF(OR($B75="",AND($F75="",$G75="",$H75="",$I75="",$J75="",$K75="")),"DONNEES MANQUANTES",IF(AND($D75&lt;&gt;"",$Q75&lt;=0),"EMPLACEMENT INCOHERENT","OK")))</f>
        <v/>
      </c>
      <c r="S75" s="26" t="str">
        <f aca="false">IF($C75="","",IF(AND(ISNUMBER($G75),$G75&gt;P_HIST),"HISTAMINE "&amp;TEXT($G75,"#,##0")&amp;" PPM &gt; seuil "&amp;TEXT(P_HIST,"#,##0")&amp;". ","")&amp;IF(AND(ISNUMBER($F75),$P75="CONGELE",$F75&gt;P_TCONG),"TEMPERATURE "&amp;TEXT($F75,"0.0")&amp;" C hors seuil congele. ","")&amp;IF(AND(ISNUMBER($F75),$P75="FRAIS",$F75&gt;P_TFRAIS),"TEMPERATURE "&amp;TEXT($F75,"0.0")&amp;" C hors seuil frais. ","")&amp;IF($K75="BLOQUER","Lot bloque qualite : stock signale mais inchange. ","")&amp;IF($R75="EMPLACEMENT INCOHERENT","Lot absent de cet emplacement : controle conserve, stock inchange. ","")&amp;IF($R75="DONNEES MANQUANTES","Renseigner la DATE et au moins une mesure. ",""))</f>
        <v/>
      </c>
      <c r="T75" s="28" t="n">
        <f aca="false">IF(OR($C75="",$B75=""),0,IF(COUNTIFS(QC_LOT,$C75,QC_DATE,"&gt;"&amp;$B75)&gt;0,0,IF(COUNTIFS($C$5:$C75,$C75,$B$5:$B75,$B75)=COUNTIFS(QC_LOT,$C75,QC_DATE,$B75),1,0)))</f>
        <v>0</v>
      </c>
      <c r="U75" s="26" t="str">
        <f aca="false">IF($T75=1,$C75,"")</f>
        <v/>
      </c>
      <c r="V75" s="28" t="n">
        <f aca="false">IF($C75="",0,IF($C75=R_LOT,1,0))</f>
        <v>0</v>
      </c>
      <c r="W75" s="26" t="str">
        <f aca="false">IF($V75=0,"",COUNTIF($V$5:$V75,1))</f>
        <v/>
      </c>
    </row>
    <row r="76" customFormat="false" ht="15" hidden="false" customHeight="false" outlineLevel="0" collapsed="false">
      <c r="A76" s="26" t="str">
        <f aca="false">IF($C76="","","QC-"&amp;TEXT(ROW()-4,"000"))</f>
        <v/>
      </c>
      <c r="B76" s="25"/>
      <c r="C76" s="24"/>
      <c r="D76" s="24"/>
      <c r="E76" s="24"/>
      <c r="F76" s="32"/>
      <c r="G76" s="33"/>
      <c r="H76" s="24"/>
      <c r="I76" s="24"/>
      <c r="J76" s="24"/>
      <c r="K76" s="24"/>
      <c r="L76" s="24"/>
      <c r="M76" s="24"/>
      <c r="N76" s="26" t="str">
        <f aca="false">IF($C76="","",IFERROR(INDEX(LOT_EXTE,MATCH($C76,LOT_KEY,0)),""))</f>
        <v/>
      </c>
      <c r="O76" s="26" t="str">
        <f aca="false">IF($C76="","",IFERROR(INDEX(LOT_PRODE,MATCH($C76,LOT_KEY,0)),"LOT NON REFERENCE"))</f>
        <v/>
      </c>
      <c r="P76" s="26" t="str">
        <f aca="false">IF($C76="","",IFERROR(INDEX(LOT_CONSERVE,MATCH($C76,LOT_KEY,0)),""))</f>
        <v/>
      </c>
      <c r="Q76" s="27" t="str">
        <f aca="false">IF(OR($C76="",$D76=""),"",SUMIFS(MVT_NET,MVT_LOT,$C76,MVT_EMPL,$D76))</f>
        <v/>
      </c>
      <c r="R76" s="26" t="str">
        <f aca="false">IF($C76="","",IF(OR($B76="",AND($F76="",$G76="",$H76="",$I76="",$J76="",$K76="")),"DONNEES MANQUANTES",IF(AND($D76&lt;&gt;"",$Q76&lt;=0),"EMPLACEMENT INCOHERENT","OK")))</f>
        <v/>
      </c>
      <c r="S76" s="26" t="str">
        <f aca="false">IF($C76="","",IF(AND(ISNUMBER($G76),$G76&gt;P_HIST),"HISTAMINE "&amp;TEXT($G76,"#,##0")&amp;" PPM &gt; seuil "&amp;TEXT(P_HIST,"#,##0")&amp;". ","")&amp;IF(AND(ISNUMBER($F76),$P76="CONGELE",$F76&gt;P_TCONG),"TEMPERATURE "&amp;TEXT($F76,"0.0")&amp;" C hors seuil congele. ","")&amp;IF(AND(ISNUMBER($F76),$P76="FRAIS",$F76&gt;P_TFRAIS),"TEMPERATURE "&amp;TEXT($F76,"0.0")&amp;" C hors seuil frais. ","")&amp;IF($K76="BLOQUER","Lot bloque qualite : stock signale mais inchange. ","")&amp;IF($R76="EMPLACEMENT INCOHERENT","Lot absent de cet emplacement : controle conserve, stock inchange. ","")&amp;IF($R76="DONNEES MANQUANTES","Renseigner la DATE et au moins une mesure. ",""))</f>
        <v/>
      </c>
      <c r="T76" s="28" t="n">
        <f aca="false">IF(OR($C76="",$B76=""),0,IF(COUNTIFS(QC_LOT,$C76,QC_DATE,"&gt;"&amp;$B76)&gt;0,0,IF(COUNTIFS($C$5:$C76,$C76,$B$5:$B76,$B76)=COUNTIFS(QC_LOT,$C76,QC_DATE,$B76),1,0)))</f>
        <v>0</v>
      </c>
      <c r="U76" s="26" t="str">
        <f aca="false">IF($T76=1,$C76,"")</f>
        <v/>
      </c>
      <c r="V76" s="28" t="n">
        <f aca="false">IF($C76="",0,IF($C76=R_LOT,1,0))</f>
        <v>0</v>
      </c>
      <c r="W76" s="26" t="str">
        <f aca="false">IF($V76=0,"",COUNTIF($V$5:$V76,1))</f>
        <v/>
      </c>
    </row>
    <row r="77" customFormat="false" ht="15" hidden="false" customHeight="false" outlineLevel="0" collapsed="false">
      <c r="A77" s="26" t="str">
        <f aca="false">IF($C77="","","QC-"&amp;TEXT(ROW()-4,"000"))</f>
        <v/>
      </c>
      <c r="B77" s="25"/>
      <c r="C77" s="24"/>
      <c r="D77" s="24"/>
      <c r="E77" s="24"/>
      <c r="F77" s="32"/>
      <c r="G77" s="33"/>
      <c r="H77" s="24"/>
      <c r="I77" s="24"/>
      <c r="J77" s="24"/>
      <c r="K77" s="24"/>
      <c r="L77" s="24"/>
      <c r="M77" s="24"/>
      <c r="N77" s="26" t="str">
        <f aca="false">IF($C77="","",IFERROR(INDEX(LOT_EXTE,MATCH($C77,LOT_KEY,0)),""))</f>
        <v/>
      </c>
      <c r="O77" s="26" t="str">
        <f aca="false">IF($C77="","",IFERROR(INDEX(LOT_PRODE,MATCH($C77,LOT_KEY,0)),"LOT NON REFERENCE"))</f>
        <v/>
      </c>
      <c r="P77" s="26" t="str">
        <f aca="false">IF($C77="","",IFERROR(INDEX(LOT_CONSERVE,MATCH($C77,LOT_KEY,0)),""))</f>
        <v/>
      </c>
      <c r="Q77" s="27" t="str">
        <f aca="false">IF(OR($C77="",$D77=""),"",SUMIFS(MVT_NET,MVT_LOT,$C77,MVT_EMPL,$D77))</f>
        <v/>
      </c>
      <c r="R77" s="26" t="str">
        <f aca="false">IF($C77="","",IF(OR($B77="",AND($F77="",$G77="",$H77="",$I77="",$J77="",$K77="")),"DONNEES MANQUANTES",IF(AND($D77&lt;&gt;"",$Q77&lt;=0),"EMPLACEMENT INCOHERENT","OK")))</f>
        <v/>
      </c>
      <c r="S77" s="26" t="str">
        <f aca="false">IF($C77="","",IF(AND(ISNUMBER($G77),$G77&gt;P_HIST),"HISTAMINE "&amp;TEXT($G77,"#,##0")&amp;" PPM &gt; seuil "&amp;TEXT(P_HIST,"#,##0")&amp;". ","")&amp;IF(AND(ISNUMBER($F77),$P77="CONGELE",$F77&gt;P_TCONG),"TEMPERATURE "&amp;TEXT($F77,"0.0")&amp;" C hors seuil congele. ","")&amp;IF(AND(ISNUMBER($F77),$P77="FRAIS",$F77&gt;P_TFRAIS),"TEMPERATURE "&amp;TEXT($F77,"0.0")&amp;" C hors seuil frais. ","")&amp;IF($K77="BLOQUER","Lot bloque qualite : stock signale mais inchange. ","")&amp;IF($R77="EMPLACEMENT INCOHERENT","Lot absent de cet emplacement : controle conserve, stock inchange. ","")&amp;IF($R77="DONNEES MANQUANTES","Renseigner la DATE et au moins une mesure. ",""))</f>
        <v/>
      </c>
      <c r="T77" s="28" t="n">
        <f aca="false">IF(OR($C77="",$B77=""),0,IF(COUNTIFS(QC_LOT,$C77,QC_DATE,"&gt;"&amp;$B77)&gt;0,0,IF(COUNTIFS($C$5:$C77,$C77,$B$5:$B77,$B77)=COUNTIFS(QC_LOT,$C77,QC_DATE,$B77),1,0)))</f>
        <v>0</v>
      </c>
      <c r="U77" s="26" t="str">
        <f aca="false">IF($T77=1,$C77,"")</f>
        <v/>
      </c>
      <c r="V77" s="28" t="n">
        <f aca="false">IF($C77="",0,IF($C77=R_LOT,1,0))</f>
        <v>0</v>
      </c>
      <c r="W77" s="26" t="str">
        <f aca="false">IF($V77=0,"",COUNTIF($V$5:$V77,1))</f>
        <v/>
      </c>
    </row>
    <row r="78" customFormat="false" ht="15" hidden="false" customHeight="false" outlineLevel="0" collapsed="false">
      <c r="A78" s="26" t="str">
        <f aca="false">IF($C78="","","QC-"&amp;TEXT(ROW()-4,"000"))</f>
        <v/>
      </c>
      <c r="B78" s="25"/>
      <c r="C78" s="24"/>
      <c r="D78" s="24"/>
      <c r="E78" s="24"/>
      <c r="F78" s="32"/>
      <c r="G78" s="33"/>
      <c r="H78" s="24"/>
      <c r="I78" s="24"/>
      <c r="J78" s="24"/>
      <c r="K78" s="24"/>
      <c r="L78" s="24"/>
      <c r="M78" s="24"/>
      <c r="N78" s="26" t="str">
        <f aca="false">IF($C78="","",IFERROR(INDEX(LOT_EXTE,MATCH($C78,LOT_KEY,0)),""))</f>
        <v/>
      </c>
      <c r="O78" s="26" t="str">
        <f aca="false">IF($C78="","",IFERROR(INDEX(LOT_PRODE,MATCH($C78,LOT_KEY,0)),"LOT NON REFERENCE"))</f>
        <v/>
      </c>
      <c r="P78" s="26" t="str">
        <f aca="false">IF($C78="","",IFERROR(INDEX(LOT_CONSERVE,MATCH($C78,LOT_KEY,0)),""))</f>
        <v/>
      </c>
      <c r="Q78" s="27" t="str">
        <f aca="false">IF(OR($C78="",$D78=""),"",SUMIFS(MVT_NET,MVT_LOT,$C78,MVT_EMPL,$D78))</f>
        <v/>
      </c>
      <c r="R78" s="26" t="str">
        <f aca="false">IF($C78="","",IF(OR($B78="",AND($F78="",$G78="",$H78="",$I78="",$J78="",$K78="")),"DONNEES MANQUANTES",IF(AND($D78&lt;&gt;"",$Q78&lt;=0),"EMPLACEMENT INCOHERENT","OK")))</f>
        <v/>
      </c>
      <c r="S78" s="26" t="str">
        <f aca="false">IF($C78="","",IF(AND(ISNUMBER($G78),$G78&gt;P_HIST),"HISTAMINE "&amp;TEXT($G78,"#,##0")&amp;" PPM &gt; seuil "&amp;TEXT(P_HIST,"#,##0")&amp;". ","")&amp;IF(AND(ISNUMBER($F78),$P78="CONGELE",$F78&gt;P_TCONG),"TEMPERATURE "&amp;TEXT($F78,"0.0")&amp;" C hors seuil congele. ","")&amp;IF(AND(ISNUMBER($F78),$P78="FRAIS",$F78&gt;P_TFRAIS),"TEMPERATURE "&amp;TEXT($F78,"0.0")&amp;" C hors seuil frais. ","")&amp;IF($K78="BLOQUER","Lot bloque qualite : stock signale mais inchange. ","")&amp;IF($R78="EMPLACEMENT INCOHERENT","Lot absent de cet emplacement : controle conserve, stock inchange. ","")&amp;IF($R78="DONNEES MANQUANTES","Renseigner la DATE et au moins une mesure. ",""))</f>
        <v/>
      </c>
      <c r="T78" s="28" t="n">
        <f aca="false">IF(OR($C78="",$B78=""),0,IF(COUNTIFS(QC_LOT,$C78,QC_DATE,"&gt;"&amp;$B78)&gt;0,0,IF(COUNTIFS($C$5:$C78,$C78,$B$5:$B78,$B78)=COUNTIFS(QC_LOT,$C78,QC_DATE,$B78),1,0)))</f>
        <v>0</v>
      </c>
      <c r="U78" s="26" t="str">
        <f aca="false">IF($T78=1,$C78,"")</f>
        <v/>
      </c>
      <c r="V78" s="28" t="n">
        <f aca="false">IF($C78="",0,IF($C78=R_LOT,1,0))</f>
        <v>0</v>
      </c>
      <c r="W78" s="26" t="str">
        <f aca="false">IF($V78=0,"",COUNTIF($V$5:$V78,1))</f>
        <v/>
      </c>
    </row>
    <row r="79" customFormat="false" ht="15" hidden="false" customHeight="false" outlineLevel="0" collapsed="false">
      <c r="A79" s="26" t="str">
        <f aca="false">IF($C79="","","QC-"&amp;TEXT(ROW()-4,"000"))</f>
        <v/>
      </c>
      <c r="B79" s="25"/>
      <c r="C79" s="24"/>
      <c r="D79" s="24"/>
      <c r="E79" s="24"/>
      <c r="F79" s="32"/>
      <c r="G79" s="33"/>
      <c r="H79" s="24"/>
      <c r="I79" s="24"/>
      <c r="J79" s="24"/>
      <c r="K79" s="24"/>
      <c r="L79" s="24"/>
      <c r="M79" s="24"/>
      <c r="N79" s="26" t="str">
        <f aca="false">IF($C79="","",IFERROR(INDEX(LOT_EXTE,MATCH($C79,LOT_KEY,0)),""))</f>
        <v/>
      </c>
      <c r="O79" s="26" t="str">
        <f aca="false">IF($C79="","",IFERROR(INDEX(LOT_PRODE,MATCH($C79,LOT_KEY,0)),"LOT NON REFERENCE"))</f>
        <v/>
      </c>
      <c r="P79" s="26" t="str">
        <f aca="false">IF($C79="","",IFERROR(INDEX(LOT_CONSERVE,MATCH($C79,LOT_KEY,0)),""))</f>
        <v/>
      </c>
      <c r="Q79" s="27" t="str">
        <f aca="false">IF(OR($C79="",$D79=""),"",SUMIFS(MVT_NET,MVT_LOT,$C79,MVT_EMPL,$D79))</f>
        <v/>
      </c>
      <c r="R79" s="26" t="str">
        <f aca="false">IF($C79="","",IF(OR($B79="",AND($F79="",$G79="",$H79="",$I79="",$J79="",$K79="")),"DONNEES MANQUANTES",IF(AND($D79&lt;&gt;"",$Q79&lt;=0),"EMPLACEMENT INCOHERENT","OK")))</f>
        <v/>
      </c>
      <c r="S79" s="26" t="str">
        <f aca="false">IF($C79="","",IF(AND(ISNUMBER($G79),$G79&gt;P_HIST),"HISTAMINE "&amp;TEXT($G79,"#,##0")&amp;" PPM &gt; seuil "&amp;TEXT(P_HIST,"#,##0")&amp;". ","")&amp;IF(AND(ISNUMBER($F79),$P79="CONGELE",$F79&gt;P_TCONG),"TEMPERATURE "&amp;TEXT($F79,"0.0")&amp;" C hors seuil congele. ","")&amp;IF(AND(ISNUMBER($F79),$P79="FRAIS",$F79&gt;P_TFRAIS),"TEMPERATURE "&amp;TEXT($F79,"0.0")&amp;" C hors seuil frais. ","")&amp;IF($K79="BLOQUER","Lot bloque qualite : stock signale mais inchange. ","")&amp;IF($R79="EMPLACEMENT INCOHERENT","Lot absent de cet emplacement : controle conserve, stock inchange. ","")&amp;IF($R79="DONNEES MANQUANTES","Renseigner la DATE et au moins une mesure. ",""))</f>
        <v/>
      </c>
      <c r="T79" s="28" t="n">
        <f aca="false">IF(OR($C79="",$B79=""),0,IF(COUNTIFS(QC_LOT,$C79,QC_DATE,"&gt;"&amp;$B79)&gt;0,0,IF(COUNTIFS($C$5:$C79,$C79,$B$5:$B79,$B79)=COUNTIFS(QC_LOT,$C79,QC_DATE,$B79),1,0)))</f>
        <v>0</v>
      </c>
      <c r="U79" s="26" t="str">
        <f aca="false">IF($T79=1,$C79,"")</f>
        <v/>
      </c>
      <c r="V79" s="28" t="n">
        <f aca="false">IF($C79="",0,IF($C79=R_LOT,1,0))</f>
        <v>0</v>
      </c>
      <c r="W79" s="26" t="str">
        <f aca="false">IF($V79=0,"",COUNTIF($V$5:$V79,1))</f>
        <v/>
      </c>
    </row>
    <row r="80" customFormat="false" ht="15" hidden="false" customHeight="false" outlineLevel="0" collapsed="false">
      <c r="A80" s="26" t="str">
        <f aca="false">IF($C80="","","QC-"&amp;TEXT(ROW()-4,"000"))</f>
        <v/>
      </c>
      <c r="B80" s="25"/>
      <c r="C80" s="24"/>
      <c r="D80" s="24"/>
      <c r="E80" s="24"/>
      <c r="F80" s="32"/>
      <c r="G80" s="33"/>
      <c r="H80" s="24"/>
      <c r="I80" s="24"/>
      <c r="J80" s="24"/>
      <c r="K80" s="24"/>
      <c r="L80" s="24"/>
      <c r="M80" s="24"/>
      <c r="N80" s="26" t="str">
        <f aca="false">IF($C80="","",IFERROR(INDEX(LOT_EXTE,MATCH($C80,LOT_KEY,0)),""))</f>
        <v/>
      </c>
      <c r="O80" s="26" t="str">
        <f aca="false">IF($C80="","",IFERROR(INDEX(LOT_PRODE,MATCH($C80,LOT_KEY,0)),"LOT NON REFERENCE"))</f>
        <v/>
      </c>
      <c r="P80" s="26" t="str">
        <f aca="false">IF($C80="","",IFERROR(INDEX(LOT_CONSERVE,MATCH($C80,LOT_KEY,0)),""))</f>
        <v/>
      </c>
      <c r="Q80" s="27" t="str">
        <f aca="false">IF(OR($C80="",$D80=""),"",SUMIFS(MVT_NET,MVT_LOT,$C80,MVT_EMPL,$D80))</f>
        <v/>
      </c>
      <c r="R80" s="26" t="str">
        <f aca="false">IF($C80="","",IF(OR($B80="",AND($F80="",$G80="",$H80="",$I80="",$J80="",$K80="")),"DONNEES MANQUANTES",IF(AND($D80&lt;&gt;"",$Q80&lt;=0),"EMPLACEMENT INCOHERENT","OK")))</f>
        <v/>
      </c>
      <c r="S80" s="26" t="str">
        <f aca="false">IF($C80="","",IF(AND(ISNUMBER($G80),$G80&gt;P_HIST),"HISTAMINE "&amp;TEXT($G80,"#,##0")&amp;" PPM &gt; seuil "&amp;TEXT(P_HIST,"#,##0")&amp;". ","")&amp;IF(AND(ISNUMBER($F80),$P80="CONGELE",$F80&gt;P_TCONG),"TEMPERATURE "&amp;TEXT($F80,"0.0")&amp;" C hors seuil congele. ","")&amp;IF(AND(ISNUMBER($F80),$P80="FRAIS",$F80&gt;P_TFRAIS),"TEMPERATURE "&amp;TEXT($F80,"0.0")&amp;" C hors seuil frais. ","")&amp;IF($K80="BLOQUER","Lot bloque qualite : stock signale mais inchange. ","")&amp;IF($R80="EMPLACEMENT INCOHERENT","Lot absent de cet emplacement : controle conserve, stock inchange. ","")&amp;IF($R80="DONNEES MANQUANTES","Renseigner la DATE et au moins une mesure. ",""))</f>
        <v/>
      </c>
      <c r="T80" s="28" t="n">
        <f aca="false">IF(OR($C80="",$B80=""),0,IF(COUNTIFS(QC_LOT,$C80,QC_DATE,"&gt;"&amp;$B80)&gt;0,0,IF(COUNTIFS($C$5:$C80,$C80,$B$5:$B80,$B80)=COUNTIFS(QC_LOT,$C80,QC_DATE,$B80),1,0)))</f>
        <v>0</v>
      </c>
      <c r="U80" s="26" t="str">
        <f aca="false">IF($T80=1,$C80,"")</f>
        <v/>
      </c>
      <c r="V80" s="28" t="n">
        <f aca="false">IF($C80="",0,IF($C80=R_LOT,1,0))</f>
        <v>0</v>
      </c>
      <c r="W80" s="26" t="str">
        <f aca="false">IF($V80=0,"",COUNTIF($V$5:$V80,1))</f>
        <v/>
      </c>
    </row>
    <row r="81" customFormat="false" ht="15" hidden="false" customHeight="false" outlineLevel="0" collapsed="false">
      <c r="A81" s="26" t="str">
        <f aca="false">IF($C81="","","QC-"&amp;TEXT(ROW()-4,"000"))</f>
        <v/>
      </c>
      <c r="B81" s="25"/>
      <c r="C81" s="24"/>
      <c r="D81" s="24"/>
      <c r="E81" s="24"/>
      <c r="F81" s="32"/>
      <c r="G81" s="33"/>
      <c r="H81" s="24"/>
      <c r="I81" s="24"/>
      <c r="J81" s="24"/>
      <c r="K81" s="24"/>
      <c r="L81" s="24"/>
      <c r="M81" s="24"/>
      <c r="N81" s="26" t="str">
        <f aca="false">IF($C81="","",IFERROR(INDEX(LOT_EXTE,MATCH($C81,LOT_KEY,0)),""))</f>
        <v/>
      </c>
      <c r="O81" s="26" t="str">
        <f aca="false">IF($C81="","",IFERROR(INDEX(LOT_PRODE,MATCH($C81,LOT_KEY,0)),"LOT NON REFERENCE"))</f>
        <v/>
      </c>
      <c r="P81" s="26" t="str">
        <f aca="false">IF($C81="","",IFERROR(INDEX(LOT_CONSERVE,MATCH($C81,LOT_KEY,0)),""))</f>
        <v/>
      </c>
      <c r="Q81" s="27" t="str">
        <f aca="false">IF(OR($C81="",$D81=""),"",SUMIFS(MVT_NET,MVT_LOT,$C81,MVT_EMPL,$D81))</f>
        <v/>
      </c>
      <c r="R81" s="26" t="str">
        <f aca="false">IF($C81="","",IF(OR($B81="",AND($F81="",$G81="",$H81="",$I81="",$J81="",$K81="")),"DONNEES MANQUANTES",IF(AND($D81&lt;&gt;"",$Q81&lt;=0),"EMPLACEMENT INCOHERENT","OK")))</f>
        <v/>
      </c>
      <c r="S81" s="26" t="str">
        <f aca="false">IF($C81="","",IF(AND(ISNUMBER($G81),$G81&gt;P_HIST),"HISTAMINE "&amp;TEXT($G81,"#,##0")&amp;" PPM &gt; seuil "&amp;TEXT(P_HIST,"#,##0")&amp;". ","")&amp;IF(AND(ISNUMBER($F81),$P81="CONGELE",$F81&gt;P_TCONG),"TEMPERATURE "&amp;TEXT($F81,"0.0")&amp;" C hors seuil congele. ","")&amp;IF(AND(ISNUMBER($F81),$P81="FRAIS",$F81&gt;P_TFRAIS),"TEMPERATURE "&amp;TEXT($F81,"0.0")&amp;" C hors seuil frais. ","")&amp;IF($K81="BLOQUER","Lot bloque qualite : stock signale mais inchange. ","")&amp;IF($R81="EMPLACEMENT INCOHERENT","Lot absent de cet emplacement : controle conserve, stock inchange. ","")&amp;IF($R81="DONNEES MANQUANTES","Renseigner la DATE et au moins une mesure. ",""))</f>
        <v/>
      </c>
      <c r="T81" s="28" t="n">
        <f aca="false">IF(OR($C81="",$B81=""),0,IF(COUNTIFS(QC_LOT,$C81,QC_DATE,"&gt;"&amp;$B81)&gt;0,0,IF(COUNTIFS($C$5:$C81,$C81,$B$5:$B81,$B81)=COUNTIFS(QC_LOT,$C81,QC_DATE,$B81),1,0)))</f>
        <v>0</v>
      </c>
      <c r="U81" s="26" t="str">
        <f aca="false">IF($T81=1,$C81,"")</f>
        <v/>
      </c>
      <c r="V81" s="28" t="n">
        <f aca="false">IF($C81="",0,IF($C81=R_LOT,1,0))</f>
        <v>0</v>
      </c>
      <c r="W81" s="26" t="str">
        <f aca="false">IF($V81=0,"",COUNTIF($V$5:$V81,1))</f>
        <v/>
      </c>
    </row>
    <row r="82" customFormat="false" ht="15" hidden="false" customHeight="false" outlineLevel="0" collapsed="false">
      <c r="A82" s="26" t="str">
        <f aca="false">IF($C82="","","QC-"&amp;TEXT(ROW()-4,"000"))</f>
        <v/>
      </c>
      <c r="B82" s="25"/>
      <c r="C82" s="24"/>
      <c r="D82" s="24"/>
      <c r="E82" s="24"/>
      <c r="F82" s="32"/>
      <c r="G82" s="33"/>
      <c r="H82" s="24"/>
      <c r="I82" s="24"/>
      <c r="J82" s="24"/>
      <c r="K82" s="24"/>
      <c r="L82" s="24"/>
      <c r="M82" s="24"/>
      <c r="N82" s="26" t="str">
        <f aca="false">IF($C82="","",IFERROR(INDEX(LOT_EXTE,MATCH($C82,LOT_KEY,0)),""))</f>
        <v/>
      </c>
      <c r="O82" s="26" t="str">
        <f aca="false">IF($C82="","",IFERROR(INDEX(LOT_PRODE,MATCH($C82,LOT_KEY,0)),"LOT NON REFERENCE"))</f>
        <v/>
      </c>
      <c r="P82" s="26" t="str">
        <f aca="false">IF($C82="","",IFERROR(INDEX(LOT_CONSERVE,MATCH($C82,LOT_KEY,0)),""))</f>
        <v/>
      </c>
      <c r="Q82" s="27" t="str">
        <f aca="false">IF(OR($C82="",$D82=""),"",SUMIFS(MVT_NET,MVT_LOT,$C82,MVT_EMPL,$D82))</f>
        <v/>
      </c>
      <c r="R82" s="26" t="str">
        <f aca="false">IF($C82="","",IF(OR($B82="",AND($F82="",$G82="",$H82="",$I82="",$J82="",$K82="")),"DONNEES MANQUANTES",IF(AND($D82&lt;&gt;"",$Q82&lt;=0),"EMPLACEMENT INCOHERENT","OK")))</f>
        <v/>
      </c>
      <c r="S82" s="26" t="str">
        <f aca="false">IF($C82="","",IF(AND(ISNUMBER($G82),$G82&gt;P_HIST),"HISTAMINE "&amp;TEXT($G82,"#,##0")&amp;" PPM &gt; seuil "&amp;TEXT(P_HIST,"#,##0")&amp;". ","")&amp;IF(AND(ISNUMBER($F82),$P82="CONGELE",$F82&gt;P_TCONG),"TEMPERATURE "&amp;TEXT($F82,"0.0")&amp;" C hors seuil congele. ","")&amp;IF(AND(ISNUMBER($F82),$P82="FRAIS",$F82&gt;P_TFRAIS),"TEMPERATURE "&amp;TEXT($F82,"0.0")&amp;" C hors seuil frais. ","")&amp;IF($K82="BLOQUER","Lot bloque qualite : stock signale mais inchange. ","")&amp;IF($R82="EMPLACEMENT INCOHERENT","Lot absent de cet emplacement : controle conserve, stock inchange. ","")&amp;IF($R82="DONNEES MANQUANTES","Renseigner la DATE et au moins une mesure. ",""))</f>
        <v/>
      </c>
      <c r="T82" s="28" t="n">
        <f aca="false">IF(OR($C82="",$B82=""),0,IF(COUNTIFS(QC_LOT,$C82,QC_DATE,"&gt;"&amp;$B82)&gt;0,0,IF(COUNTIFS($C$5:$C82,$C82,$B$5:$B82,$B82)=COUNTIFS(QC_LOT,$C82,QC_DATE,$B82),1,0)))</f>
        <v>0</v>
      </c>
      <c r="U82" s="26" t="str">
        <f aca="false">IF($T82=1,$C82,"")</f>
        <v/>
      </c>
      <c r="V82" s="28" t="n">
        <f aca="false">IF($C82="",0,IF($C82=R_LOT,1,0))</f>
        <v>0</v>
      </c>
      <c r="W82" s="26" t="str">
        <f aca="false">IF($V82=0,"",COUNTIF($V$5:$V82,1))</f>
        <v/>
      </c>
    </row>
    <row r="83" customFormat="false" ht="15" hidden="false" customHeight="false" outlineLevel="0" collapsed="false">
      <c r="A83" s="26" t="str">
        <f aca="false">IF($C83="","","QC-"&amp;TEXT(ROW()-4,"000"))</f>
        <v/>
      </c>
      <c r="B83" s="25"/>
      <c r="C83" s="24"/>
      <c r="D83" s="24"/>
      <c r="E83" s="24"/>
      <c r="F83" s="32"/>
      <c r="G83" s="33"/>
      <c r="H83" s="24"/>
      <c r="I83" s="24"/>
      <c r="J83" s="24"/>
      <c r="K83" s="24"/>
      <c r="L83" s="24"/>
      <c r="M83" s="24"/>
      <c r="N83" s="26" t="str">
        <f aca="false">IF($C83="","",IFERROR(INDEX(LOT_EXTE,MATCH($C83,LOT_KEY,0)),""))</f>
        <v/>
      </c>
      <c r="O83" s="26" t="str">
        <f aca="false">IF($C83="","",IFERROR(INDEX(LOT_PRODE,MATCH($C83,LOT_KEY,0)),"LOT NON REFERENCE"))</f>
        <v/>
      </c>
      <c r="P83" s="26" t="str">
        <f aca="false">IF($C83="","",IFERROR(INDEX(LOT_CONSERVE,MATCH($C83,LOT_KEY,0)),""))</f>
        <v/>
      </c>
      <c r="Q83" s="27" t="str">
        <f aca="false">IF(OR($C83="",$D83=""),"",SUMIFS(MVT_NET,MVT_LOT,$C83,MVT_EMPL,$D83))</f>
        <v/>
      </c>
      <c r="R83" s="26" t="str">
        <f aca="false">IF($C83="","",IF(OR($B83="",AND($F83="",$G83="",$H83="",$I83="",$J83="",$K83="")),"DONNEES MANQUANTES",IF(AND($D83&lt;&gt;"",$Q83&lt;=0),"EMPLACEMENT INCOHERENT","OK")))</f>
        <v/>
      </c>
      <c r="S83" s="26" t="str">
        <f aca="false">IF($C83="","",IF(AND(ISNUMBER($G83),$G83&gt;P_HIST),"HISTAMINE "&amp;TEXT($G83,"#,##0")&amp;" PPM &gt; seuil "&amp;TEXT(P_HIST,"#,##0")&amp;". ","")&amp;IF(AND(ISNUMBER($F83),$P83="CONGELE",$F83&gt;P_TCONG),"TEMPERATURE "&amp;TEXT($F83,"0.0")&amp;" C hors seuil congele. ","")&amp;IF(AND(ISNUMBER($F83),$P83="FRAIS",$F83&gt;P_TFRAIS),"TEMPERATURE "&amp;TEXT($F83,"0.0")&amp;" C hors seuil frais. ","")&amp;IF($K83="BLOQUER","Lot bloque qualite : stock signale mais inchange. ","")&amp;IF($R83="EMPLACEMENT INCOHERENT","Lot absent de cet emplacement : controle conserve, stock inchange. ","")&amp;IF($R83="DONNEES MANQUANTES","Renseigner la DATE et au moins une mesure. ",""))</f>
        <v/>
      </c>
      <c r="T83" s="28" t="n">
        <f aca="false">IF(OR($C83="",$B83=""),0,IF(COUNTIFS(QC_LOT,$C83,QC_DATE,"&gt;"&amp;$B83)&gt;0,0,IF(COUNTIFS($C$5:$C83,$C83,$B$5:$B83,$B83)=COUNTIFS(QC_LOT,$C83,QC_DATE,$B83),1,0)))</f>
        <v>0</v>
      </c>
      <c r="U83" s="26" t="str">
        <f aca="false">IF($T83=1,$C83,"")</f>
        <v/>
      </c>
      <c r="V83" s="28" t="n">
        <f aca="false">IF($C83="",0,IF($C83=R_LOT,1,0))</f>
        <v>0</v>
      </c>
      <c r="W83" s="26" t="str">
        <f aca="false">IF($V83=0,"",COUNTIF($V$5:$V83,1))</f>
        <v/>
      </c>
    </row>
    <row r="84" customFormat="false" ht="15" hidden="false" customHeight="false" outlineLevel="0" collapsed="false">
      <c r="A84" s="26" t="str">
        <f aca="false">IF($C84="","","QC-"&amp;TEXT(ROW()-4,"000"))</f>
        <v/>
      </c>
      <c r="B84" s="25"/>
      <c r="C84" s="24"/>
      <c r="D84" s="24"/>
      <c r="E84" s="24"/>
      <c r="F84" s="32"/>
      <c r="G84" s="33"/>
      <c r="H84" s="24"/>
      <c r="I84" s="24"/>
      <c r="J84" s="24"/>
      <c r="K84" s="24"/>
      <c r="L84" s="24"/>
      <c r="M84" s="24"/>
      <c r="N84" s="26" t="str">
        <f aca="false">IF($C84="","",IFERROR(INDEX(LOT_EXTE,MATCH($C84,LOT_KEY,0)),""))</f>
        <v/>
      </c>
      <c r="O84" s="26" t="str">
        <f aca="false">IF($C84="","",IFERROR(INDEX(LOT_PRODE,MATCH($C84,LOT_KEY,0)),"LOT NON REFERENCE"))</f>
        <v/>
      </c>
      <c r="P84" s="26" t="str">
        <f aca="false">IF($C84="","",IFERROR(INDEX(LOT_CONSERVE,MATCH($C84,LOT_KEY,0)),""))</f>
        <v/>
      </c>
      <c r="Q84" s="27" t="str">
        <f aca="false">IF(OR($C84="",$D84=""),"",SUMIFS(MVT_NET,MVT_LOT,$C84,MVT_EMPL,$D84))</f>
        <v/>
      </c>
      <c r="R84" s="26" t="str">
        <f aca="false">IF($C84="","",IF(OR($B84="",AND($F84="",$G84="",$H84="",$I84="",$J84="",$K84="")),"DONNEES MANQUANTES",IF(AND($D84&lt;&gt;"",$Q84&lt;=0),"EMPLACEMENT INCOHERENT","OK")))</f>
        <v/>
      </c>
      <c r="S84" s="26" t="str">
        <f aca="false">IF($C84="","",IF(AND(ISNUMBER($G84),$G84&gt;P_HIST),"HISTAMINE "&amp;TEXT($G84,"#,##0")&amp;" PPM &gt; seuil "&amp;TEXT(P_HIST,"#,##0")&amp;". ","")&amp;IF(AND(ISNUMBER($F84),$P84="CONGELE",$F84&gt;P_TCONG),"TEMPERATURE "&amp;TEXT($F84,"0.0")&amp;" C hors seuil congele. ","")&amp;IF(AND(ISNUMBER($F84),$P84="FRAIS",$F84&gt;P_TFRAIS),"TEMPERATURE "&amp;TEXT($F84,"0.0")&amp;" C hors seuil frais. ","")&amp;IF($K84="BLOQUER","Lot bloque qualite : stock signale mais inchange. ","")&amp;IF($R84="EMPLACEMENT INCOHERENT","Lot absent de cet emplacement : controle conserve, stock inchange. ","")&amp;IF($R84="DONNEES MANQUANTES","Renseigner la DATE et au moins une mesure. ",""))</f>
        <v/>
      </c>
      <c r="T84" s="28" t="n">
        <f aca="false">IF(OR($C84="",$B84=""),0,IF(COUNTIFS(QC_LOT,$C84,QC_DATE,"&gt;"&amp;$B84)&gt;0,0,IF(COUNTIFS($C$5:$C84,$C84,$B$5:$B84,$B84)=COUNTIFS(QC_LOT,$C84,QC_DATE,$B84),1,0)))</f>
        <v>0</v>
      </c>
      <c r="U84" s="26" t="str">
        <f aca="false">IF($T84=1,$C84,"")</f>
        <v/>
      </c>
      <c r="V84" s="28" t="n">
        <f aca="false">IF($C84="",0,IF($C84=R_LOT,1,0))</f>
        <v>0</v>
      </c>
      <c r="W84" s="26" t="str">
        <f aca="false">IF($V84=0,"",COUNTIF($V$5:$V84,1))</f>
        <v/>
      </c>
    </row>
    <row r="85" customFormat="false" ht="15" hidden="false" customHeight="false" outlineLevel="0" collapsed="false">
      <c r="A85" s="26" t="str">
        <f aca="false">IF($C85="","","QC-"&amp;TEXT(ROW()-4,"000"))</f>
        <v/>
      </c>
      <c r="B85" s="25"/>
      <c r="C85" s="24"/>
      <c r="D85" s="24"/>
      <c r="E85" s="24"/>
      <c r="F85" s="32"/>
      <c r="G85" s="33"/>
      <c r="H85" s="24"/>
      <c r="I85" s="24"/>
      <c r="J85" s="24"/>
      <c r="K85" s="24"/>
      <c r="L85" s="24"/>
      <c r="M85" s="24"/>
      <c r="N85" s="26" t="str">
        <f aca="false">IF($C85="","",IFERROR(INDEX(LOT_EXTE,MATCH($C85,LOT_KEY,0)),""))</f>
        <v/>
      </c>
      <c r="O85" s="26" t="str">
        <f aca="false">IF($C85="","",IFERROR(INDEX(LOT_PRODE,MATCH($C85,LOT_KEY,0)),"LOT NON REFERENCE"))</f>
        <v/>
      </c>
      <c r="P85" s="26" t="str">
        <f aca="false">IF($C85="","",IFERROR(INDEX(LOT_CONSERVE,MATCH($C85,LOT_KEY,0)),""))</f>
        <v/>
      </c>
      <c r="Q85" s="27" t="str">
        <f aca="false">IF(OR($C85="",$D85=""),"",SUMIFS(MVT_NET,MVT_LOT,$C85,MVT_EMPL,$D85))</f>
        <v/>
      </c>
      <c r="R85" s="26" t="str">
        <f aca="false">IF($C85="","",IF(OR($B85="",AND($F85="",$G85="",$H85="",$I85="",$J85="",$K85="")),"DONNEES MANQUANTES",IF(AND($D85&lt;&gt;"",$Q85&lt;=0),"EMPLACEMENT INCOHERENT","OK")))</f>
        <v/>
      </c>
      <c r="S85" s="26" t="str">
        <f aca="false">IF($C85="","",IF(AND(ISNUMBER($G85),$G85&gt;P_HIST),"HISTAMINE "&amp;TEXT($G85,"#,##0")&amp;" PPM &gt; seuil "&amp;TEXT(P_HIST,"#,##0")&amp;". ","")&amp;IF(AND(ISNUMBER($F85),$P85="CONGELE",$F85&gt;P_TCONG),"TEMPERATURE "&amp;TEXT($F85,"0.0")&amp;" C hors seuil congele. ","")&amp;IF(AND(ISNUMBER($F85),$P85="FRAIS",$F85&gt;P_TFRAIS),"TEMPERATURE "&amp;TEXT($F85,"0.0")&amp;" C hors seuil frais. ","")&amp;IF($K85="BLOQUER","Lot bloque qualite : stock signale mais inchange. ","")&amp;IF($R85="EMPLACEMENT INCOHERENT","Lot absent de cet emplacement : controle conserve, stock inchange. ","")&amp;IF($R85="DONNEES MANQUANTES","Renseigner la DATE et au moins une mesure. ",""))</f>
        <v/>
      </c>
      <c r="T85" s="28" t="n">
        <f aca="false">IF(OR($C85="",$B85=""),0,IF(COUNTIFS(QC_LOT,$C85,QC_DATE,"&gt;"&amp;$B85)&gt;0,0,IF(COUNTIFS($C$5:$C85,$C85,$B$5:$B85,$B85)=COUNTIFS(QC_LOT,$C85,QC_DATE,$B85),1,0)))</f>
        <v>0</v>
      </c>
      <c r="U85" s="26" t="str">
        <f aca="false">IF($T85=1,$C85,"")</f>
        <v/>
      </c>
      <c r="V85" s="28" t="n">
        <f aca="false">IF($C85="",0,IF($C85=R_LOT,1,0))</f>
        <v>0</v>
      </c>
      <c r="W85" s="26" t="str">
        <f aca="false">IF($V85=0,"",COUNTIF($V$5:$V85,1))</f>
        <v/>
      </c>
    </row>
    <row r="86" customFormat="false" ht="15" hidden="false" customHeight="false" outlineLevel="0" collapsed="false">
      <c r="A86" s="26" t="str">
        <f aca="false">IF($C86="","","QC-"&amp;TEXT(ROW()-4,"000"))</f>
        <v/>
      </c>
      <c r="B86" s="25"/>
      <c r="C86" s="24"/>
      <c r="D86" s="24"/>
      <c r="E86" s="24"/>
      <c r="F86" s="32"/>
      <c r="G86" s="33"/>
      <c r="H86" s="24"/>
      <c r="I86" s="24"/>
      <c r="J86" s="24"/>
      <c r="K86" s="24"/>
      <c r="L86" s="24"/>
      <c r="M86" s="24"/>
      <c r="N86" s="26" t="str">
        <f aca="false">IF($C86="","",IFERROR(INDEX(LOT_EXTE,MATCH($C86,LOT_KEY,0)),""))</f>
        <v/>
      </c>
      <c r="O86" s="26" t="str">
        <f aca="false">IF($C86="","",IFERROR(INDEX(LOT_PRODE,MATCH($C86,LOT_KEY,0)),"LOT NON REFERENCE"))</f>
        <v/>
      </c>
      <c r="P86" s="26" t="str">
        <f aca="false">IF($C86="","",IFERROR(INDEX(LOT_CONSERVE,MATCH($C86,LOT_KEY,0)),""))</f>
        <v/>
      </c>
      <c r="Q86" s="27" t="str">
        <f aca="false">IF(OR($C86="",$D86=""),"",SUMIFS(MVT_NET,MVT_LOT,$C86,MVT_EMPL,$D86))</f>
        <v/>
      </c>
      <c r="R86" s="26" t="str">
        <f aca="false">IF($C86="","",IF(OR($B86="",AND($F86="",$G86="",$H86="",$I86="",$J86="",$K86="")),"DONNEES MANQUANTES",IF(AND($D86&lt;&gt;"",$Q86&lt;=0),"EMPLACEMENT INCOHERENT","OK")))</f>
        <v/>
      </c>
      <c r="S86" s="26" t="str">
        <f aca="false">IF($C86="","",IF(AND(ISNUMBER($G86),$G86&gt;P_HIST),"HISTAMINE "&amp;TEXT($G86,"#,##0")&amp;" PPM &gt; seuil "&amp;TEXT(P_HIST,"#,##0")&amp;". ","")&amp;IF(AND(ISNUMBER($F86),$P86="CONGELE",$F86&gt;P_TCONG),"TEMPERATURE "&amp;TEXT($F86,"0.0")&amp;" C hors seuil congele. ","")&amp;IF(AND(ISNUMBER($F86),$P86="FRAIS",$F86&gt;P_TFRAIS),"TEMPERATURE "&amp;TEXT($F86,"0.0")&amp;" C hors seuil frais. ","")&amp;IF($K86="BLOQUER","Lot bloque qualite : stock signale mais inchange. ","")&amp;IF($R86="EMPLACEMENT INCOHERENT","Lot absent de cet emplacement : controle conserve, stock inchange. ","")&amp;IF($R86="DONNEES MANQUANTES","Renseigner la DATE et au moins une mesure. ",""))</f>
        <v/>
      </c>
      <c r="T86" s="28" t="n">
        <f aca="false">IF(OR($C86="",$B86=""),0,IF(COUNTIFS(QC_LOT,$C86,QC_DATE,"&gt;"&amp;$B86)&gt;0,0,IF(COUNTIFS($C$5:$C86,$C86,$B$5:$B86,$B86)=COUNTIFS(QC_LOT,$C86,QC_DATE,$B86),1,0)))</f>
        <v>0</v>
      </c>
      <c r="U86" s="26" t="str">
        <f aca="false">IF($T86=1,$C86,"")</f>
        <v/>
      </c>
      <c r="V86" s="28" t="n">
        <f aca="false">IF($C86="",0,IF($C86=R_LOT,1,0))</f>
        <v>0</v>
      </c>
      <c r="W86" s="26" t="str">
        <f aca="false">IF($V86=0,"",COUNTIF($V$5:$V86,1))</f>
        <v/>
      </c>
    </row>
    <row r="87" customFormat="false" ht="15" hidden="false" customHeight="false" outlineLevel="0" collapsed="false">
      <c r="A87" s="26" t="str">
        <f aca="false">IF($C87="","","QC-"&amp;TEXT(ROW()-4,"000"))</f>
        <v/>
      </c>
      <c r="B87" s="25"/>
      <c r="C87" s="24"/>
      <c r="D87" s="24"/>
      <c r="E87" s="24"/>
      <c r="F87" s="32"/>
      <c r="G87" s="33"/>
      <c r="H87" s="24"/>
      <c r="I87" s="24"/>
      <c r="J87" s="24"/>
      <c r="K87" s="24"/>
      <c r="L87" s="24"/>
      <c r="M87" s="24"/>
      <c r="N87" s="26" t="str">
        <f aca="false">IF($C87="","",IFERROR(INDEX(LOT_EXTE,MATCH($C87,LOT_KEY,0)),""))</f>
        <v/>
      </c>
      <c r="O87" s="26" t="str">
        <f aca="false">IF($C87="","",IFERROR(INDEX(LOT_PRODE,MATCH($C87,LOT_KEY,0)),"LOT NON REFERENCE"))</f>
        <v/>
      </c>
      <c r="P87" s="26" t="str">
        <f aca="false">IF($C87="","",IFERROR(INDEX(LOT_CONSERVE,MATCH($C87,LOT_KEY,0)),""))</f>
        <v/>
      </c>
      <c r="Q87" s="27" t="str">
        <f aca="false">IF(OR($C87="",$D87=""),"",SUMIFS(MVT_NET,MVT_LOT,$C87,MVT_EMPL,$D87))</f>
        <v/>
      </c>
      <c r="R87" s="26" t="str">
        <f aca="false">IF($C87="","",IF(OR($B87="",AND($F87="",$G87="",$H87="",$I87="",$J87="",$K87="")),"DONNEES MANQUANTES",IF(AND($D87&lt;&gt;"",$Q87&lt;=0),"EMPLACEMENT INCOHERENT","OK")))</f>
        <v/>
      </c>
      <c r="S87" s="26" t="str">
        <f aca="false">IF($C87="","",IF(AND(ISNUMBER($G87),$G87&gt;P_HIST),"HISTAMINE "&amp;TEXT($G87,"#,##0")&amp;" PPM &gt; seuil "&amp;TEXT(P_HIST,"#,##0")&amp;". ","")&amp;IF(AND(ISNUMBER($F87),$P87="CONGELE",$F87&gt;P_TCONG),"TEMPERATURE "&amp;TEXT($F87,"0.0")&amp;" C hors seuil congele. ","")&amp;IF(AND(ISNUMBER($F87),$P87="FRAIS",$F87&gt;P_TFRAIS),"TEMPERATURE "&amp;TEXT($F87,"0.0")&amp;" C hors seuil frais. ","")&amp;IF($K87="BLOQUER","Lot bloque qualite : stock signale mais inchange. ","")&amp;IF($R87="EMPLACEMENT INCOHERENT","Lot absent de cet emplacement : controle conserve, stock inchange. ","")&amp;IF($R87="DONNEES MANQUANTES","Renseigner la DATE et au moins une mesure. ",""))</f>
        <v/>
      </c>
      <c r="T87" s="28" t="n">
        <f aca="false">IF(OR($C87="",$B87=""),0,IF(COUNTIFS(QC_LOT,$C87,QC_DATE,"&gt;"&amp;$B87)&gt;0,0,IF(COUNTIFS($C$5:$C87,$C87,$B$5:$B87,$B87)=COUNTIFS(QC_LOT,$C87,QC_DATE,$B87),1,0)))</f>
        <v>0</v>
      </c>
      <c r="U87" s="26" t="str">
        <f aca="false">IF($T87=1,$C87,"")</f>
        <v/>
      </c>
      <c r="V87" s="28" t="n">
        <f aca="false">IF($C87="",0,IF($C87=R_LOT,1,0))</f>
        <v>0</v>
      </c>
      <c r="W87" s="26" t="str">
        <f aca="false">IF($V87=0,"",COUNTIF($V$5:$V87,1))</f>
        <v/>
      </c>
    </row>
    <row r="88" customFormat="false" ht="15" hidden="false" customHeight="false" outlineLevel="0" collapsed="false">
      <c r="A88" s="26" t="str">
        <f aca="false">IF($C88="","","QC-"&amp;TEXT(ROW()-4,"000"))</f>
        <v/>
      </c>
      <c r="B88" s="25"/>
      <c r="C88" s="24"/>
      <c r="D88" s="24"/>
      <c r="E88" s="24"/>
      <c r="F88" s="32"/>
      <c r="G88" s="33"/>
      <c r="H88" s="24"/>
      <c r="I88" s="24"/>
      <c r="J88" s="24"/>
      <c r="K88" s="24"/>
      <c r="L88" s="24"/>
      <c r="M88" s="24"/>
      <c r="N88" s="26" t="str">
        <f aca="false">IF($C88="","",IFERROR(INDEX(LOT_EXTE,MATCH($C88,LOT_KEY,0)),""))</f>
        <v/>
      </c>
      <c r="O88" s="26" t="str">
        <f aca="false">IF($C88="","",IFERROR(INDEX(LOT_PRODE,MATCH($C88,LOT_KEY,0)),"LOT NON REFERENCE"))</f>
        <v/>
      </c>
      <c r="P88" s="26" t="str">
        <f aca="false">IF($C88="","",IFERROR(INDEX(LOT_CONSERVE,MATCH($C88,LOT_KEY,0)),""))</f>
        <v/>
      </c>
      <c r="Q88" s="27" t="str">
        <f aca="false">IF(OR($C88="",$D88=""),"",SUMIFS(MVT_NET,MVT_LOT,$C88,MVT_EMPL,$D88))</f>
        <v/>
      </c>
      <c r="R88" s="26" t="str">
        <f aca="false">IF($C88="","",IF(OR($B88="",AND($F88="",$G88="",$H88="",$I88="",$J88="",$K88="")),"DONNEES MANQUANTES",IF(AND($D88&lt;&gt;"",$Q88&lt;=0),"EMPLACEMENT INCOHERENT","OK")))</f>
        <v/>
      </c>
      <c r="S88" s="26" t="str">
        <f aca="false">IF($C88="","",IF(AND(ISNUMBER($G88),$G88&gt;P_HIST),"HISTAMINE "&amp;TEXT($G88,"#,##0")&amp;" PPM &gt; seuil "&amp;TEXT(P_HIST,"#,##0")&amp;". ","")&amp;IF(AND(ISNUMBER($F88),$P88="CONGELE",$F88&gt;P_TCONG),"TEMPERATURE "&amp;TEXT($F88,"0.0")&amp;" C hors seuil congele. ","")&amp;IF(AND(ISNUMBER($F88),$P88="FRAIS",$F88&gt;P_TFRAIS),"TEMPERATURE "&amp;TEXT($F88,"0.0")&amp;" C hors seuil frais. ","")&amp;IF($K88="BLOQUER","Lot bloque qualite : stock signale mais inchange. ","")&amp;IF($R88="EMPLACEMENT INCOHERENT","Lot absent de cet emplacement : controle conserve, stock inchange. ","")&amp;IF($R88="DONNEES MANQUANTES","Renseigner la DATE et au moins une mesure. ",""))</f>
        <v/>
      </c>
      <c r="T88" s="28" t="n">
        <f aca="false">IF(OR($C88="",$B88=""),0,IF(COUNTIFS(QC_LOT,$C88,QC_DATE,"&gt;"&amp;$B88)&gt;0,0,IF(COUNTIFS($C$5:$C88,$C88,$B$5:$B88,$B88)=COUNTIFS(QC_LOT,$C88,QC_DATE,$B88),1,0)))</f>
        <v>0</v>
      </c>
      <c r="U88" s="26" t="str">
        <f aca="false">IF($T88=1,$C88,"")</f>
        <v/>
      </c>
      <c r="V88" s="28" t="n">
        <f aca="false">IF($C88="",0,IF($C88=R_LOT,1,0))</f>
        <v>0</v>
      </c>
      <c r="W88" s="26" t="str">
        <f aca="false">IF($V88=0,"",COUNTIF($V$5:$V88,1))</f>
        <v/>
      </c>
    </row>
    <row r="89" customFormat="false" ht="15" hidden="false" customHeight="false" outlineLevel="0" collapsed="false">
      <c r="A89" s="26" t="str">
        <f aca="false">IF($C89="","","QC-"&amp;TEXT(ROW()-4,"000"))</f>
        <v/>
      </c>
      <c r="B89" s="25"/>
      <c r="C89" s="24"/>
      <c r="D89" s="24"/>
      <c r="E89" s="24"/>
      <c r="F89" s="32"/>
      <c r="G89" s="33"/>
      <c r="H89" s="24"/>
      <c r="I89" s="24"/>
      <c r="J89" s="24"/>
      <c r="K89" s="24"/>
      <c r="L89" s="24"/>
      <c r="M89" s="24"/>
      <c r="N89" s="26" t="str">
        <f aca="false">IF($C89="","",IFERROR(INDEX(LOT_EXTE,MATCH($C89,LOT_KEY,0)),""))</f>
        <v/>
      </c>
      <c r="O89" s="26" t="str">
        <f aca="false">IF($C89="","",IFERROR(INDEX(LOT_PRODE,MATCH($C89,LOT_KEY,0)),"LOT NON REFERENCE"))</f>
        <v/>
      </c>
      <c r="P89" s="26" t="str">
        <f aca="false">IF($C89="","",IFERROR(INDEX(LOT_CONSERVE,MATCH($C89,LOT_KEY,0)),""))</f>
        <v/>
      </c>
      <c r="Q89" s="27" t="str">
        <f aca="false">IF(OR($C89="",$D89=""),"",SUMIFS(MVT_NET,MVT_LOT,$C89,MVT_EMPL,$D89))</f>
        <v/>
      </c>
      <c r="R89" s="26" t="str">
        <f aca="false">IF($C89="","",IF(OR($B89="",AND($F89="",$G89="",$H89="",$I89="",$J89="",$K89="")),"DONNEES MANQUANTES",IF(AND($D89&lt;&gt;"",$Q89&lt;=0),"EMPLACEMENT INCOHERENT","OK")))</f>
        <v/>
      </c>
      <c r="S89" s="26" t="str">
        <f aca="false">IF($C89="","",IF(AND(ISNUMBER($G89),$G89&gt;P_HIST),"HISTAMINE "&amp;TEXT($G89,"#,##0")&amp;" PPM &gt; seuil "&amp;TEXT(P_HIST,"#,##0")&amp;". ","")&amp;IF(AND(ISNUMBER($F89),$P89="CONGELE",$F89&gt;P_TCONG),"TEMPERATURE "&amp;TEXT($F89,"0.0")&amp;" C hors seuil congele. ","")&amp;IF(AND(ISNUMBER($F89),$P89="FRAIS",$F89&gt;P_TFRAIS),"TEMPERATURE "&amp;TEXT($F89,"0.0")&amp;" C hors seuil frais. ","")&amp;IF($K89="BLOQUER","Lot bloque qualite : stock signale mais inchange. ","")&amp;IF($R89="EMPLACEMENT INCOHERENT","Lot absent de cet emplacement : controle conserve, stock inchange. ","")&amp;IF($R89="DONNEES MANQUANTES","Renseigner la DATE et au moins une mesure. ",""))</f>
        <v/>
      </c>
      <c r="T89" s="28" t="n">
        <f aca="false">IF(OR($C89="",$B89=""),0,IF(COUNTIFS(QC_LOT,$C89,QC_DATE,"&gt;"&amp;$B89)&gt;0,0,IF(COUNTIFS($C$5:$C89,$C89,$B$5:$B89,$B89)=COUNTIFS(QC_LOT,$C89,QC_DATE,$B89),1,0)))</f>
        <v>0</v>
      </c>
      <c r="U89" s="26" t="str">
        <f aca="false">IF($T89=1,$C89,"")</f>
        <v/>
      </c>
      <c r="V89" s="28" t="n">
        <f aca="false">IF($C89="",0,IF($C89=R_LOT,1,0))</f>
        <v>0</v>
      </c>
      <c r="W89" s="26" t="str">
        <f aca="false">IF($V89=0,"",COUNTIF($V$5:$V89,1))</f>
        <v/>
      </c>
    </row>
    <row r="90" customFormat="false" ht="15" hidden="false" customHeight="false" outlineLevel="0" collapsed="false">
      <c r="A90" s="26" t="str">
        <f aca="false">IF($C90="","","QC-"&amp;TEXT(ROW()-4,"000"))</f>
        <v/>
      </c>
      <c r="B90" s="25"/>
      <c r="C90" s="24"/>
      <c r="D90" s="24"/>
      <c r="E90" s="24"/>
      <c r="F90" s="32"/>
      <c r="G90" s="33"/>
      <c r="H90" s="24"/>
      <c r="I90" s="24"/>
      <c r="J90" s="24"/>
      <c r="K90" s="24"/>
      <c r="L90" s="24"/>
      <c r="M90" s="24"/>
      <c r="N90" s="26" t="str">
        <f aca="false">IF($C90="","",IFERROR(INDEX(LOT_EXTE,MATCH($C90,LOT_KEY,0)),""))</f>
        <v/>
      </c>
      <c r="O90" s="26" t="str">
        <f aca="false">IF($C90="","",IFERROR(INDEX(LOT_PRODE,MATCH($C90,LOT_KEY,0)),"LOT NON REFERENCE"))</f>
        <v/>
      </c>
      <c r="P90" s="26" t="str">
        <f aca="false">IF($C90="","",IFERROR(INDEX(LOT_CONSERVE,MATCH($C90,LOT_KEY,0)),""))</f>
        <v/>
      </c>
      <c r="Q90" s="27" t="str">
        <f aca="false">IF(OR($C90="",$D90=""),"",SUMIFS(MVT_NET,MVT_LOT,$C90,MVT_EMPL,$D90))</f>
        <v/>
      </c>
      <c r="R90" s="26" t="str">
        <f aca="false">IF($C90="","",IF(OR($B90="",AND($F90="",$G90="",$H90="",$I90="",$J90="",$K90="")),"DONNEES MANQUANTES",IF(AND($D90&lt;&gt;"",$Q90&lt;=0),"EMPLACEMENT INCOHERENT","OK")))</f>
        <v/>
      </c>
      <c r="S90" s="26" t="str">
        <f aca="false">IF($C90="","",IF(AND(ISNUMBER($G90),$G90&gt;P_HIST),"HISTAMINE "&amp;TEXT($G90,"#,##0")&amp;" PPM &gt; seuil "&amp;TEXT(P_HIST,"#,##0")&amp;". ","")&amp;IF(AND(ISNUMBER($F90),$P90="CONGELE",$F90&gt;P_TCONG),"TEMPERATURE "&amp;TEXT($F90,"0.0")&amp;" C hors seuil congele. ","")&amp;IF(AND(ISNUMBER($F90),$P90="FRAIS",$F90&gt;P_TFRAIS),"TEMPERATURE "&amp;TEXT($F90,"0.0")&amp;" C hors seuil frais. ","")&amp;IF($K90="BLOQUER","Lot bloque qualite : stock signale mais inchange. ","")&amp;IF($R90="EMPLACEMENT INCOHERENT","Lot absent de cet emplacement : controle conserve, stock inchange. ","")&amp;IF($R90="DONNEES MANQUANTES","Renseigner la DATE et au moins une mesure. ",""))</f>
        <v/>
      </c>
      <c r="T90" s="28" t="n">
        <f aca="false">IF(OR($C90="",$B90=""),0,IF(COUNTIFS(QC_LOT,$C90,QC_DATE,"&gt;"&amp;$B90)&gt;0,0,IF(COUNTIFS($C$5:$C90,$C90,$B$5:$B90,$B90)=COUNTIFS(QC_LOT,$C90,QC_DATE,$B90),1,0)))</f>
        <v>0</v>
      </c>
      <c r="U90" s="26" t="str">
        <f aca="false">IF($T90=1,$C90,"")</f>
        <v/>
      </c>
      <c r="V90" s="28" t="n">
        <f aca="false">IF($C90="",0,IF($C90=R_LOT,1,0))</f>
        <v>0</v>
      </c>
      <c r="W90" s="26" t="str">
        <f aca="false">IF($V90=0,"",COUNTIF($V$5:$V90,1))</f>
        <v/>
      </c>
    </row>
    <row r="91" customFormat="false" ht="15" hidden="false" customHeight="false" outlineLevel="0" collapsed="false">
      <c r="A91" s="26" t="str">
        <f aca="false">IF($C91="","","QC-"&amp;TEXT(ROW()-4,"000"))</f>
        <v/>
      </c>
      <c r="B91" s="25"/>
      <c r="C91" s="24"/>
      <c r="D91" s="24"/>
      <c r="E91" s="24"/>
      <c r="F91" s="32"/>
      <c r="G91" s="33"/>
      <c r="H91" s="24"/>
      <c r="I91" s="24"/>
      <c r="J91" s="24"/>
      <c r="K91" s="24"/>
      <c r="L91" s="24"/>
      <c r="M91" s="24"/>
      <c r="N91" s="26" t="str">
        <f aca="false">IF($C91="","",IFERROR(INDEX(LOT_EXTE,MATCH($C91,LOT_KEY,0)),""))</f>
        <v/>
      </c>
      <c r="O91" s="26" t="str">
        <f aca="false">IF($C91="","",IFERROR(INDEX(LOT_PRODE,MATCH($C91,LOT_KEY,0)),"LOT NON REFERENCE"))</f>
        <v/>
      </c>
      <c r="P91" s="26" t="str">
        <f aca="false">IF($C91="","",IFERROR(INDEX(LOT_CONSERVE,MATCH($C91,LOT_KEY,0)),""))</f>
        <v/>
      </c>
      <c r="Q91" s="27" t="str">
        <f aca="false">IF(OR($C91="",$D91=""),"",SUMIFS(MVT_NET,MVT_LOT,$C91,MVT_EMPL,$D91))</f>
        <v/>
      </c>
      <c r="R91" s="26" t="str">
        <f aca="false">IF($C91="","",IF(OR($B91="",AND($F91="",$G91="",$H91="",$I91="",$J91="",$K91="")),"DONNEES MANQUANTES",IF(AND($D91&lt;&gt;"",$Q91&lt;=0),"EMPLACEMENT INCOHERENT","OK")))</f>
        <v/>
      </c>
      <c r="S91" s="26" t="str">
        <f aca="false">IF($C91="","",IF(AND(ISNUMBER($G91),$G91&gt;P_HIST),"HISTAMINE "&amp;TEXT($G91,"#,##0")&amp;" PPM &gt; seuil "&amp;TEXT(P_HIST,"#,##0")&amp;". ","")&amp;IF(AND(ISNUMBER($F91),$P91="CONGELE",$F91&gt;P_TCONG),"TEMPERATURE "&amp;TEXT($F91,"0.0")&amp;" C hors seuil congele. ","")&amp;IF(AND(ISNUMBER($F91),$P91="FRAIS",$F91&gt;P_TFRAIS),"TEMPERATURE "&amp;TEXT($F91,"0.0")&amp;" C hors seuil frais. ","")&amp;IF($K91="BLOQUER","Lot bloque qualite : stock signale mais inchange. ","")&amp;IF($R91="EMPLACEMENT INCOHERENT","Lot absent de cet emplacement : controle conserve, stock inchange. ","")&amp;IF($R91="DONNEES MANQUANTES","Renseigner la DATE et au moins une mesure. ",""))</f>
        <v/>
      </c>
      <c r="T91" s="28" t="n">
        <f aca="false">IF(OR($C91="",$B91=""),0,IF(COUNTIFS(QC_LOT,$C91,QC_DATE,"&gt;"&amp;$B91)&gt;0,0,IF(COUNTIFS($C$5:$C91,$C91,$B$5:$B91,$B91)=COUNTIFS(QC_LOT,$C91,QC_DATE,$B91),1,0)))</f>
        <v>0</v>
      </c>
      <c r="U91" s="26" t="str">
        <f aca="false">IF($T91=1,$C91,"")</f>
        <v/>
      </c>
      <c r="V91" s="28" t="n">
        <f aca="false">IF($C91="",0,IF($C91=R_LOT,1,0))</f>
        <v>0</v>
      </c>
      <c r="W91" s="26" t="str">
        <f aca="false">IF($V91=0,"",COUNTIF($V$5:$V91,1))</f>
        <v/>
      </c>
    </row>
    <row r="92" customFormat="false" ht="15" hidden="false" customHeight="false" outlineLevel="0" collapsed="false">
      <c r="A92" s="26" t="str">
        <f aca="false">IF($C92="","","QC-"&amp;TEXT(ROW()-4,"000"))</f>
        <v/>
      </c>
      <c r="B92" s="25"/>
      <c r="C92" s="24"/>
      <c r="D92" s="24"/>
      <c r="E92" s="24"/>
      <c r="F92" s="32"/>
      <c r="G92" s="33"/>
      <c r="H92" s="24"/>
      <c r="I92" s="24"/>
      <c r="J92" s="24"/>
      <c r="K92" s="24"/>
      <c r="L92" s="24"/>
      <c r="M92" s="24"/>
      <c r="N92" s="26" t="str">
        <f aca="false">IF($C92="","",IFERROR(INDEX(LOT_EXTE,MATCH($C92,LOT_KEY,0)),""))</f>
        <v/>
      </c>
      <c r="O92" s="26" t="str">
        <f aca="false">IF($C92="","",IFERROR(INDEX(LOT_PRODE,MATCH($C92,LOT_KEY,0)),"LOT NON REFERENCE"))</f>
        <v/>
      </c>
      <c r="P92" s="26" t="str">
        <f aca="false">IF($C92="","",IFERROR(INDEX(LOT_CONSERVE,MATCH($C92,LOT_KEY,0)),""))</f>
        <v/>
      </c>
      <c r="Q92" s="27" t="str">
        <f aca="false">IF(OR($C92="",$D92=""),"",SUMIFS(MVT_NET,MVT_LOT,$C92,MVT_EMPL,$D92))</f>
        <v/>
      </c>
      <c r="R92" s="26" t="str">
        <f aca="false">IF($C92="","",IF(OR($B92="",AND($F92="",$G92="",$H92="",$I92="",$J92="",$K92="")),"DONNEES MANQUANTES",IF(AND($D92&lt;&gt;"",$Q92&lt;=0),"EMPLACEMENT INCOHERENT","OK")))</f>
        <v/>
      </c>
      <c r="S92" s="26" t="str">
        <f aca="false">IF($C92="","",IF(AND(ISNUMBER($G92),$G92&gt;P_HIST),"HISTAMINE "&amp;TEXT($G92,"#,##0")&amp;" PPM &gt; seuil "&amp;TEXT(P_HIST,"#,##0")&amp;". ","")&amp;IF(AND(ISNUMBER($F92),$P92="CONGELE",$F92&gt;P_TCONG),"TEMPERATURE "&amp;TEXT($F92,"0.0")&amp;" C hors seuil congele. ","")&amp;IF(AND(ISNUMBER($F92),$P92="FRAIS",$F92&gt;P_TFRAIS),"TEMPERATURE "&amp;TEXT($F92,"0.0")&amp;" C hors seuil frais. ","")&amp;IF($K92="BLOQUER","Lot bloque qualite : stock signale mais inchange. ","")&amp;IF($R92="EMPLACEMENT INCOHERENT","Lot absent de cet emplacement : controle conserve, stock inchange. ","")&amp;IF($R92="DONNEES MANQUANTES","Renseigner la DATE et au moins une mesure. ",""))</f>
        <v/>
      </c>
      <c r="T92" s="28" t="n">
        <f aca="false">IF(OR($C92="",$B92=""),0,IF(COUNTIFS(QC_LOT,$C92,QC_DATE,"&gt;"&amp;$B92)&gt;0,0,IF(COUNTIFS($C$5:$C92,$C92,$B$5:$B92,$B92)=COUNTIFS(QC_LOT,$C92,QC_DATE,$B92),1,0)))</f>
        <v>0</v>
      </c>
      <c r="U92" s="26" t="str">
        <f aca="false">IF($T92=1,$C92,"")</f>
        <v/>
      </c>
      <c r="V92" s="28" t="n">
        <f aca="false">IF($C92="",0,IF($C92=R_LOT,1,0))</f>
        <v>0</v>
      </c>
      <c r="W92" s="26" t="str">
        <f aca="false">IF($V92=0,"",COUNTIF($V$5:$V92,1))</f>
        <v/>
      </c>
    </row>
    <row r="93" customFormat="false" ht="15" hidden="false" customHeight="false" outlineLevel="0" collapsed="false">
      <c r="A93" s="26" t="str">
        <f aca="false">IF($C93="","","QC-"&amp;TEXT(ROW()-4,"000"))</f>
        <v/>
      </c>
      <c r="B93" s="25"/>
      <c r="C93" s="24"/>
      <c r="D93" s="24"/>
      <c r="E93" s="24"/>
      <c r="F93" s="32"/>
      <c r="G93" s="33"/>
      <c r="H93" s="24"/>
      <c r="I93" s="24"/>
      <c r="J93" s="24"/>
      <c r="K93" s="24"/>
      <c r="L93" s="24"/>
      <c r="M93" s="24"/>
      <c r="N93" s="26" t="str">
        <f aca="false">IF($C93="","",IFERROR(INDEX(LOT_EXTE,MATCH($C93,LOT_KEY,0)),""))</f>
        <v/>
      </c>
      <c r="O93" s="26" t="str">
        <f aca="false">IF($C93="","",IFERROR(INDEX(LOT_PRODE,MATCH($C93,LOT_KEY,0)),"LOT NON REFERENCE"))</f>
        <v/>
      </c>
      <c r="P93" s="26" t="str">
        <f aca="false">IF($C93="","",IFERROR(INDEX(LOT_CONSERVE,MATCH($C93,LOT_KEY,0)),""))</f>
        <v/>
      </c>
      <c r="Q93" s="27" t="str">
        <f aca="false">IF(OR($C93="",$D93=""),"",SUMIFS(MVT_NET,MVT_LOT,$C93,MVT_EMPL,$D93))</f>
        <v/>
      </c>
      <c r="R93" s="26" t="str">
        <f aca="false">IF($C93="","",IF(OR($B93="",AND($F93="",$G93="",$H93="",$I93="",$J93="",$K93="")),"DONNEES MANQUANTES",IF(AND($D93&lt;&gt;"",$Q93&lt;=0),"EMPLACEMENT INCOHERENT","OK")))</f>
        <v/>
      </c>
      <c r="S93" s="26" t="str">
        <f aca="false">IF($C93="","",IF(AND(ISNUMBER($G93),$G93&gt;P_HIST),"HISTAMINE "&amp;TEXT($G93,"#,##0")&amp;" PPM &gt; seuil "&amp;TEXT(P_HIST,"#,##0")&amp;". ","")&amp;IF(AND(ISNUMBER($F93),$P93="CONGELE",$F93&gt;P_TCONG),"TEMPERATURE "&amp;TEXT($F93,"0.0")&amp;" C hors seuil congele. ","")&amp;IF(AND(ISNUMBER($F93),$P93="FRAIS",$F93&gt;P_TFRAIS),"TEMPERATURE "&amp;TEXT($F93,"0.0")&amp;" C hors seuil frais. ","")&amp;IF($K93="BLOQUER","Lot bloque qualite : stock signale mais inchange. ","")&amp;IF($R93="EMPLACEMENT INCOHERENT","Lot absent de cet emplacement : controle conserve, stock inchange. ","")&amp;IF($R93="DONNEES MANQUANTES","Renseigner la DATE et au moins une mesure. ",""))</f>
        <v/>
      </c>
      <c r="T93" s="28" t="n">
        <f aca="false">IF(OR($C93="",$B93=""),0,IF(COUNTIFS(QC_LOT,$C93,QC_DATE,"&gt;"&amp;$B93)&gt;0,0,IF(COUNTIFS($C$5:$C93,$C93,$B$5:$B93,$B93)=COUNTIFS(QC_LOT,$C93,QC_DATE,$B93),1,0)))</f>
        <v>0</v>
      </c>
      <c r="U93" s="26" t="str">
        <f aca="false">IF($T93=1,$C93,"")</f>
        <v/>
      </c>
      <c r="V93" s="28" t="n">
        <f aca="false">IF($C93="",0,IF($C93=R_LOT,1,0))</f>
        <v>0</v>
      </c>
      <c r="W93" s="26" t="str">
        <f aca="false">IF($V93=0,"",COUNTIF($V$5:$V93,1))</f>
        <v/>
      </c>
    </row>
    <row r="94" customFormat="false" ht="15" hidden="false" customHeight="false" outlineLevel="0" collapsed="false">
      <c r="A94" s="26" t="str">
        <f aca="false">IF($C94="","","QC-"&amp;TEXT(ROW()-4,"000"))</f>
        <v/>
      </c>
      <c r="B94" s="25"/>
      <c r="C94" s="24"/>
      <c r="D94" s="24"/>
      <c r="E94" s="24"/>
      <c r="F94" s="32"/>
      <c r="G94" s="33"/>
      <c r="H94" s="24"/>
      <c r="I94" s="24"/>
      <c r="J94" s="24"/>
      <c r="K94" s="24"/>
      <c r="L94" s="24"/>
      <c r="M94" s="24"/>
      <c r="N94" s="26" t="str">
        <f aca="false">IF($C94="","",IFERROR(INDEX(LOT_EXTE,MATCH($C94,LOT_KEY,0)),""))</f>
        <v/>
      </c>
      <c r="O94" s="26" t="str">
        <f aca="false">IF($C94="","",IFERROR(INDEX(LOT_PRODE,MATCH($C94,LOT_KEY,0)),"LOT NON REFERENCE"))</f>
        <v/>
      </c>
      <c r="P94" s="26" t="str">
        <f aca="false">IF($C94="","",IFERROR(INDEX(LOT_CONSERVE,MATCH($C94,LOT_KEY,0)),""))</f>
        <v/>
      </c>
      <c r="Q94" s="27" t="str">
        <f aca="false">IF(OR($C94="",$D94=""),"",SUMIFS(MVT_NET,MVT_LOT,$C94,MVT_EMPL,$D94))</f>
        <v/>
      </c>
      <c r="R94" s="26" t="str">
        <f aca="false">IF($C94="","",IF(OR($B94="",AND($F94="",$G94="",$H94="",$I94="",$J94="",$K94="")),"DONNEES MANQUANTES",IF(AND($D94&lt;&gt;"",$Q94&lt;=0),"EMPLACEMENT INCOHERENT","OK")))</f>
        <v/>
      </c>
      <c r="S94" s="26" t="str">
        <f aca="false">IF($C94="","",IF(AND(ISNUMBER($G94),$G94&gt;P_HIST),"HISTAMINE "&amp;TEXT($G94,"#,##0")&amp;" PPM &gt; seuil "&amp;TEXT(P_HIST,"#,##0")&amp;". ","")&amp;IF(AND(ISNUMBER($F94),$P94="CONGELE",$F94&gt;P_TCONG),"TEMPERATURE "&amp;TEXT($F94,"0.0")&amp;" C hors seuil congele. ","")&amp;IF(AND(ISNUMBER($F94),$P94="FRAIS",$F94&gt;P_TFRAIS),"TEMPERATURE "&amp;TEXT($F94,"0.0")&amp;" C hors seuil frais. ","")&amp;IF($K94="BLOQUER","Lot bloque qualite : stock signale mais inchange. ","")&amp;IF($R94="EMPLACEMENT INCOHERENT","Lot absent de cet emplacement : controle conserve, stock inchange. ","")&amp;IF($R94="DONNEES MANQUANTES","Renseigner la DATE et au moins une mesure. ",""))</f>
        <v/>
      </c>
      <c r="T94" s="28" t="n">
        <f aca="false">IF(OR($C94="",$B94=""),0,IF(COUNTIFS(QC_LOT,$C94,QC_DATE,"&gt;"&amp;$B94)&gt;0,0,IF(COUNTIFS($C$5:$C94,$C94,$B$5:$B94,$B94)=COUNTIFS(QC_LOT,$C94,QC_DATE,$B94),1,0)))</f>
        <v>0</v>
      </c>
      <c r="U94" s="26" t="str">
        <f aca="false">IF($T94=1,$C94,"")</f>
        <v/>
      </c>
      <c r="V94" s="28" t="n">
        <f aca="false">IF($C94="",0,IF($C94=R_LOT,1,0))</f>
        <v>0</v>
      </c>
      <c r="W94" s="26" t="str">
        <f aca="false">IF($V94=0,"",COUNTIF($V$5:$V94,1))</f>
        <v/>
      </c>
    </row>
    <row r="95" customFormat="false" ht="15" hidden="false" customHeight="false" outlineLevel="0" collapsed="false">
      <c r="A95" s="26" t="str">
        <f aca="false">IF($C95="","","QC-"&amp;TEXT(ROW()-4,"000"))</f>
        <v/>
      </c>
      <c r="B95" s="25"/>
      <c r="C95" s="24"/>
      <c r="D95" s="24"/>
      <c r="E95" s="24"/>
      <c r="F95" s="32"/>
      <c r="G95" s="33"/>
      <c r="H95" s="24"/>
      <c r="I95" s="24"/>
      <c r="J95" s="24"/>
      <c r="K95" s="24"/>
      <c r="L95" s="24"/>
      <c r="M95" s="24"/>
      <c r="N95" s="26" t="str">
        <f aca="false">IF($C95="","",IFERROR(INDEX(LOT_EXTE,MATCH($C95,LOT_KEY,0)),""))</f>
        <v/>
      </c>
      <c r="O95" s="26" t="str">
        <f aca="false">IF($C95="","",IFERROR(INDEX(LOT_PRODE,MATCH($C95,LOT_KEY,0)),"LOT NON REFERENCE"))</f>
        <v/>
      </c>
      <c r="P95" s="26" t="str">
        <f aca="false">IF($C95="","",IFERROR(INDEX(LOT_CONSERVE,MATCH($C95,LOT_KEY,0)),""))</f>
        <v/>
      </c>
      <c r="Q95" s="27" t="str">
        <f aca="false">IF(OR($C95="",$D95=""),"",SUMIFS(MVT_NET,MVT_LOT,$C95,MVT_EMPL,$D95))</f>
        <v/>
      </c>
      <c r="R95" s="26" t="str">
        <f aca="false">IF($C95="","",IF(OR($B95="",AND($F95="",$G95="",$H95="",$I95="",$J95="",$K95="")),"DONNEES MANQUANTES",IF(AND($D95&lt;&gt;"",$Q95&lt;=0),"EMPLACEMENT INCOHERENT","OK")))</f>
        <v/>
      </c>
      <c r="S95" s="26" t="str">
        <f aca="false">IF($C95="","",IF(AND(ISNUMBER($G95),$G95&gt;P_HIST),"HISTAMINE "&amp;TEXT($G95,"#,##0")&amp;" PPM &gt; seuil "&amp;TEXT(P_HIST,"#,##0")&amp;". ","")&amp;IF(AND(ISNUMBER($F95),$P95="CONGELE",$F95&gt;P_TCONG),"TEMPERATURE "&amp;TEXT($F95,"0.0")&amp;" C hors seuil congele. ","")&amp;IF(AND(ISNUMBER($F95),$P95="FRAIS",$F95&gt;P_TFRAIS),"TEMPERATURE "&amp;TEXT($F95,"0.0")&amp;" C hors seuil frais. ","")&amp;IF($K95="BLOQUER","Lot bloque qualite : stock signale mais inchange. ","")&amp;IF($R95="EMPLACEMENT INCOHERENT","Lot absent de cet emplacement : controle conserve, stock inchange. ","")&amp;IF($R95="DONNEES MANQUANTES","Renseigner la DATE et au moins une mesure. ",""))</f>
        <v/>
      </c>
      <c r="T95" s="28" t="n">
        <f aca="false">IF(OR($C95="",$B95=""),0,IF(COUNTIFS(QC_LOT,$C95,QC_DATE,"&gt;"&amp;$B95)&gt;0,0,IF(COUNTIFS($C$5:$C95,$C95,$B$5:$B95,$B95)=COUNTIFS(QC_LOT,$C95,QC_DATE,$B95),1,0)))</f>
        <v>0</v>
      </c>
      <c r="U95" s="26" t="str">
        <f aca="false">IF($T95=1,$C95,"")</f>
        <v/>
      </c>
      <c r="V95" s="28" t="n">
        <f aca="false">IF($C95="",0,IF($C95=R_LOT,1,0))</f>
        <v>0</v>
      </c>
      <c r="W95" s="26" t="str">
        <f aca="false">IF($V95=0,"",COUNTIF($V$5:$V95,1))</f>
        <v/>
      </c>
    </row>
    <row r="96" customFormat="false" ht="15" hidden="false" customHeight="false" outlineLevel="0" collapsed="false">
      <c r="A96" s="26" t="str">
        <f aca="false">IF($C96="","","QC-"&amp;TEXT(ROW()-4,"000"))</f>
        <v/>
      </c>
      <c r="B96" s="25"/>
      <c r="C96" s="24"/>
      <c r="D96" s="24"/>
      <c r="E96" s="24"/>
      <c r="F96" s="32"/>
      <c r="G96" s="33"/>
      <c r="H96" s="24"/>
      <c r="I96" s="24"/>
      <c r="J96" s="24"/>
      <c r="K96" s="24"/>
      <c r="L96" s="24"/>
      <c r="M96" s="24"/>
      <c r="N96" s="26" t="str">
        <f aca="false">IF($C96="","",IFERROR(INDEX(LOT_EXTE,MATCH($C96,LOT_KEY,0)),""))</f>
        <v/>
      </c>
      <c r="O96" s="26" t="str">
        <f aca="false">IF($C96="","",IFERROR(INDEX(LOT_PRODE,MATCH($C96,LOT_KEY,0)),"LOT NON REFERENCE"))</f>
        <v/>
      </c>
      <c r="P96" s="26" t="str">
        <f aca="false">IF($C96="","",IFERROR(INDEX(LOT_CONSERVE,MATCH($C96,LOT_KEY,0)),""))</f>
        <v/>
      </c>
      <c r="Q96" s="27" t="str">
        <f aca="false">IF(OR($C96="",$D96=""),"",SUMIFS(MVT_NET,MVT_LOT,$C96,MVT_EMPL,$D96))</f>
        <v/>
      </c>
      <c r="R96" s="26" t="str">
        <f aca="false">IF($C96="","",IF(OR($B96="",AND($F96="",$G96="",$H96="",$I96="",$J96="",$K96="")),"DONNEES MANQUANTES",IF(AND($D96&lt;&gt;"",$Q96&lt;=0),"EMPLACEMENT INCOHERENT","OK")))</f>
        <v/>
      </c>
      <c r="S96" s="26" t="str">
        <f aca="false">IF($C96="","",IF(AND(ISNUMBER($G96),$G96&gt;P_HIST),"HISTAMINE "&amp;TEXT($G96,"#,##0")&amp;" PPM &gt; seuil "&amp;TEXT(P_HIST,"#,##0")&amp;". ","")&amp;IF(AND(ISNUMBER($F96),$P96="CONGELE",$F96&gt;P_TCONG),"TEMPERATURE "&amp;TEXT($F96,"0.0")&amp;" C hors seuil congele. ","")&amp;IF(AND(ISNUMBER($F96),$P96="FRAIS",$F96&gt;P_TFRAIS),"TEMPERATURE "&amp;TEXT($F96,"0.0")&amp;" C hors seuil frais. ","")&amp;IF($K96="BLOQUER","Lot bloque qualite : stock signale mais inchange. ","")&amp;IF($R96="EMPLACEMENT INCOHERENT","Lot absent de cet emplacement : controle conserve, stock inchange. ","")&amp;IF($R96="DONNEES MANQUANTES","Renseigner la DATE et au moins une mesure. ",""))</f>
        <v/>
      </c>
      <c r="T96" s="28" t="n">
        <f aca="false">IF(OR($C96="",$B96=""),0,IF(COUNTIFS(QC_LOT,$C96,QC_DATE,"&gt;"&amp;$B96)&gt;0,0,IF(COUNTIFS($C$5:$C96,$C96,$B$5:$B96,$B96)=COUNTIFS(QC_LOT,$C96,QC_DATE,$B96),1,0)))</f>
        <v>0</v>
      </c>
      <c r="U96" s="26" t="str">
        <f aca="false">IF($T96=1,$C96,"")</f>
        <v/>
      </c>
      <c r="V96" s="28" t="n">
        <f aca="false">IF($C96="",0,IF($C96=R_LOT,1,0))</f>
        <v>0</v>
      </c>
      <c r="W96" s="26" t="str">
        <f aca="false">IF($V96=0,"",COUNTIF($V$5:$V96,1))</f>
        <v/>
      </c>
    </row>
    <row r="97" customFormat="false" ht="15" hidden="false" customHeight="false" outlineLevel="0" collapsed="false">
      <c r="A97" s="26" t="str">
        <f aca="false">IF($C97="","","QC-"&amp;TEXT(ROW()-4,"000"))</f>
        <v/>
      </c>
      <c r="B97" s="25"/>
      <c r="C97" s="24"/>
      <c r="D97" s="24"/>
      <c r="E97" s="24"/>
      <c r="F97" s="32"/>
      <c r="G97" s="33"/>
      <c r="H97" s="24"/>
      <c r="I97" s="24"/>
      <c r="J97" s="24"/>
      <c r="K97" s="24"/>
      <c r="L97" s="24"/>
      <c r="M97" s="24"/>
      <c r="N97" s="26" t="str">
        <f aca="false">IF($C97="","",IFERROR(INDEX(LOT_EXTE,MATCH($C97,LOT_KEY,0)),""))</f>
        <v/>
      </c>
      <c r="O97" s="26" t="str">
        <f aca="false">IF($C97="","",IFERROR(INDEX(LOT_PRODE,MATCH($C97,LOT_KEY,0)),"LOT NON REFERENCE"))</f>
        <v/>
      </c>
      <c r="P97" s="26" t="str">
        <f aca="false">IF($C97="","",IFERROR(INDEX(LOT_CONSERVE,MATCH($C97,LOT_KEY,0)),""))</f>
        <v/>
      </c>
      <c r="Q97" s="27" t="str">
        <f aca="false">IF(OR($C97="",$D97=""),"",SUMIFS(MVT_NET,MVT_LOT,$C97,MVT_EMPL,$D97))</f>
        <v/>
      </c>
      <c r="R97" s="26" t="str">
        <f aca="false">IF($C97="","",IF(OR($B97="",AND($F97="",$G97="",$H97="",$I97="",$J97="",$K97="")),"DONNEES MANQUANTES",IF(AND($D97&lt;&gt;"",$Q97&lt;=0),"EMPLACEMENT INCOHERENT","OK")))</f>
        <v/>
      </c>
      <c r="S97" s="26" t="str">
        <f aca="false">IF($C97="","",IF(AND(ISNUMBER($G97),$G97&gt;P_HIST),"HISTAMINE "&amp;TEXT($G97,"#,##0")&amp;" PPM &gt; seuil "&amp;TEXT(P_HIST,"#,##0")&amp;". ","")&amp;IF(AND(ISNUMBER($F97),$P97="CONGELE",$F97&gt;P_TCONG),"TEMPERATURE "&amp;TEXT($F97,"0.0")&amp;" C hors seuil congele. ","")&amp;IF(AND(ISNUMBER($F97),$P97="FRAIS",$F97&gt;P_TFRAIS),"TEMPERATURE "&amp;TEXT($F97,"0.0")&amp;" C hors seuil frais. ","")&amp;IF($K97="BLOQUER","Lot bloque qualite : stock signale mais inchange. ","")&amp;IF($R97="EMPLACEMENT INCOHERENT","Lot absent de cet emplacement : controle conserve, stock inchange. ","")&amp;IF($R97="DONNEES MANQUANTES","Renseigner la DATE et au moins une mesure. ",""))</f>
        <v/>
      </c>
      <c r="T97" s="28" t="n">
        <f aca="false">IF(OR($C97="",$B97=""),0,IF(COUNTIFS(QC_LOT,$C97,QC_DATE,"&gt;"&amp;$B97)&gt;0,0,IF(COUNTIFS($C$5:$C97,$C97,$B$5:$B97,$B97)=COUNTIFS(QC_LOT,$C97,QC_DATE,$B97),1,0)))</f>
        <v>0</v>
      </c>
      <c r="U97" s="26" t="str">
        <f aca="false">IF($T97=1,$C97,"")</f>
        <v/>
      </c>
      <c r="V97" s="28" t="n">
        <f aca="false">IF($C97="",0,IF($C97=R_LOT,1,0))</f>
        <v>0</v>
      </c>
      <c r="W97" s="26" t="str">
        <f aca="false">IF($V97=0,"",COUNTIF($V$5:$V97,1))</f>
        <v/>
      </c>
    </row>
    <row r="98" customFormat="false" ht="15" hidden="false" customHeight="false" outlineLevel="0" collapsed="false">
      <c r="A98" s="26" t="str">
        <f aca="false">IF($C98="","","QC-"&amp;TEXT(ROW()-4,"000"))</f>
        <v/>
      </c>
      <c r="B98" s="25"/>
      <c r="C98" s="24"/>
      <c r="D98" s="24"/>
      <c r="E98" s="24"/>
      <c r="F98" s="32"/>
      <c r="G98" s="33"/>
      <c r="H98" s="24"/>
      <c r="I98" s="24"/>
      <c r="J98" s="24"/>
      <c r="K98" s="24"/>
      <c r="L98" s="24"/>
      <c r="M98" s="24"/>
      <c r="N98" s="26" t="str">
        <f aca="false">IF($C98="","",IFERROR(INDEX(LOT_EXTE,MATCH($C98,LOT_KEY,0)),""))</f>
        <v/>
      </c>
      <c r="O98" s="26" t="str">
        <f aca="false">IF($C98="","",IFERROR(INDEX(LOT_PRODE,MATCH($C98,LOT_KEY,0)),"LOT NON REFERENCE"))</f>
        <v/>
      </c>
      <c r="P98" s="26" t="str">
        <f aca="false">IF($C98="","",IFERROR(INDEX(LOT_CONSERVE,MATCH($C98,LOT_KEY,0)),""))</f>
        <v/>
      </c>
      <c r="Q98" s="27" t="str">
        <f aca="false">IF(OR($C98="",$D98=""),"",SUMIFS(MVT_NET,MVT_LOT,$C98,MVT_EMPL,$D98))</f>
        <v/>
      </c>
      <c r="R98" s="26" t="str">
        <f aca="false">IF($C98="","",IF(OR($B98="",AND($F98="",$G98="",$H98="",$I98="",$J98="",$K98="")),"DONNEES MANQUANTES",IF(AND($D98&lt;&gt;"",$Q98&lt;=0),"EMPLACEMENT INCOHERENT","OK")))</f>
        <v/>
      </c>
      <c r="S98" s="26" t="str">
        <f aca="false">IF($C98="","",IF(AND(ISNUMBER($G98),$G98&gt;P_HIST),"HISTAMINE "&amp;TEXT($G98,"#,##0")&amp;" PPM &gt; seuil "&amp;TEXT(P_HIST,"#,##0")&amp;". ","")&amp;IF(AND(ISNUMBER($F98),$P98="CONGELE",$F98&gt;P_TCONG),"TEMPERATURE "&amp;TEXT($F98,"0.0")&amp;" C hors seuil congele. ","")&amp;IF(AND(ISNUMBER($F98),$P98="FRAIS",$F98&gt;P_TFRAIS),"TEMPERATURE "&amp;TEXT($F98,"0.0")&amp;" C hors seuil frais. ","")&amp;IF($K98="BLOQUER","Lot bloque qualite : stock signale mais inchange. ","")&amp;IF($R98="EMPLACEMENT INCOHERENT","Lot absent de cet emplacement : controle conserve, stock inchange. ","")&amp;IF($R98="DONNEES MANQUANTES","Renseigner la DATE et au moins une mesure. ",""))</f>
        <v/>
      </c>
      <c r="T98" s="28" t="n">
        <f aca="false">IF(OR($C98="",$B98=""),0,IF(COUNTIFS(QC_LOT,$C98,QC_DATE,"&gt;"&amp;$B98)&gt;0,0,IF(COUNTIFS($C$5:$C98,$C98,$B$5:$B98,$B98)=COUNTIFS(QC_LOT,$C98,QC_DATE,$B98),1,0)))</f>
        <v>0</v>
      </c>
      <c r="U98" s="26" t="str">
        <f aca="false">IF($T98=1,$C98,"")</f>
        <v/>
      </c>
      <c r="V98" s="28" t="n">
        <f aca="false">IF($C98="",0,IF($C98=R_LOT,1,0))</f>
        <v>0</v>
      </c>
      <c r="W98" s="26" t="str">
        <f aca="false">IF($V98=0,"",COUNTIF($V$5:$V98,1))</f>
        <v/>
      </c>
    </row>
    <row r="99" customFormat="false" ht="15" hidden="false" customHeight="false" outlineLevel="0" collapsed="false">
      <c r="A99" s="26" t="str">
        <f aca="false">IF($C99="","","QC-"&amp;TEXT(ROW()-4,"000"))</f>
        <v/>
      </c>
      <c r="B99" s="25"/>
      <c r="C99" s="24"/>
      <c r="D99" s="24"/>
      <c r="E99" s="24"/>
      <c r="F99" s="32"/>
      <c r="G99" s="33"/>
      <c r="H99" s="24"/>
      <c r="I99" s="24"/>
      <c r="J99" s="24"/>
      <c r="K99" s="24"/>
      <c r="L99" s="24"/>
      <c r="M99" s="24"/>
      <c r="N99" s="26" t="str">
        <f aca="false">IF($C99="","",IFERROR(INDEX(LOT_EXTE,MATCH($C99,LOT_KEY,0)),""))</f>
        <v/>
      </c>
      <c r="O99" s="26" t="str">
        <f aca="false">IF($C99="","",IFERROR(INDEX(LOT_PRODE,MATCH($C99,LOT_KEY,0)),"LOT NON REFERENCE"))</f>
        <v/>
      </c>
      <c r="P99" s="26" t="str">
        <f aca="false">IF($C99="","",IFERROR(INDEX(LOT_CONSERVE,MATCH($C99,LOT_KEY,0)),""))</f>
        <v/>
      </c>
      <c r="Q99" s="27" t="str">
        <f aca="false">IF(OR($C99="",$D99=""),"",SUMIFS(MVT_NET,MVT_LOT,$C99,MVT_EMPL,$D99))</f>
        <v/>
      </c>
      <c r="R99" s="26" t="str">
        <f aca="false">IF($C99="","",IF(OR($B99="",AND($F99="",$G99="",$H99="",$I99="",$J99="",$K99="")),"DONNEES MANQUANTES",IF(AND($D99&lt;&gt;"",$Q99&lt;=0),"EMPLACEMENT INCOHERENT","OK")))</f>
        <v/>
      </c>
      <c r="S99" s="26" t="str">
        <f aca="false">IF($C99="","",IF(AND(ISNUMBER($G99),$G99&gt;P_HIST),"HISTAMINE "&amp;TEXT($G99,"#,##0")&amp;" PPM &gt; seuil "&amp;TEXT(P_HIST,"#,##0")&amp;". ","")&amp;IF(AND(ISNUMBER($F99),$P99="CONGELE",$F99&gt;P_TCONG),"TEMPERATURE "&amp;TEXT($F99,"0.0")&amp;" C hors seuil congele. ","")&amp;IF(AND(ISNUMBER($F99),$P99="FRAIS",$F99&gt;P_TFRAIS),"TEMPERATURE "&amp;TEXT($F99,"0.0")&amp;" C hors seuil frais. ","")&amp;IF($K99="BLOQUER","Lot bloque qualite : stock signale mais inchange. ","")&amp;IF($R99="EMPLACEMENT INCOHERENT","Lot absent de cet emplacement : controle conserve, stock inchange. ","")&amp;IF($R99="DONNEES MANQUANTES","Renseigner la DATE et au moins une mesure. ",""))</f>
        <v/>
      </c>
      <c r="T99" s="28" t="n">
        <f aca="false">IF(OR($C99="",$B99=""),0,IF(COUNTIFS(QC_LOT,$C99,QC_DATE,"&gt;"&amp;$B99)&gt;0,0,IF(COUNTIFS($C$5:$C99,$C99,$B$5:$B99,$B99)=COUNTIFS(QC_LOT,$C99,QC_DATE,$B99),1,0)))</f>
        <v>0</v>
      </c>
      <c r="U99" s="26" t="str">
        <f aca="false">IF($T99=1,$C99,"")</f>
        <v/>
      </c>
      <c r="V99" s="28" t="n">
        <f aca="false">IF($C99="",0,IF($C99=R_LOT,1,0))</f>
        <v>0</v>
      </c>
      <c r="W99" s="26" t="str">
        <f aca="false">IF($V99=0,"",COUNTIF($V$5:$V99,1))</f>
        <v/>
      </c>
    </row>
    <row r="100" customFormat="false" ht="15" hidden="false" customHeight="false" outlineLevel="0" collapsed="false">
      <c r="A100" s="26" t="str">
        <f aca="false">IF($C100="","","QC-"&amp;TEXT(ROW()-4,"000"))</f>
        <v/>
      </c>
      <c r="B100" s="25"/>
      <c r="C100" s="24"/>
      <c r="D100" s="24"/>
      <c r="E100" s="24"/>
      <c r="F100" s="32"/>
      <c r="G100" s="33"/>
      <c r="H100" s="24"/>
      <c r="I100" s="24"/>
      <c r="J100" s="24"/>
      <c r="K100" s="24"/>
      <c r="L100" s="24"/>
      <c r="M100" s="24"/>
      <c r="N100" s="26" t="str">
        <f aca="false">IF($C100="","",IFERROR(INDEX(LOT_EXTE,MATCH($C100,LOT_KEY,0)),""))</f>
        <v/>
      </c>
      <c r="O100" s="26" t="str">
        <f aca="false">IF($C100="","",IFERROR(INDEX(LOT_PRODE,MATCH($C100,LOT_KEY,0)),"LOT NON REFERENCE"))</f>
        <v/>
      </c>
      <c r="P100" s="26" t="str">
        <f aca="false">IF($C100="","",IFERROR(INDEX(LOT_CONSERVE,MATCH($C100,LOT_KEY,0)),""))</f>
        <v/>
      </c>
      <c r="Q100" s="27" t="str">
        <f aca="false">IF(OR($C100="",$D100=""),"",SUMIFS(MVT_NET,MVT_LOT,$C100,MVT_EMPL,$D100))</f>
        <v/>
      </c>
      <c r="R100" s="26" t="str">
        <f aca="false">IF($C100="","",IF(OR($B100="",AND($F100="",$G100="",$H100="",$I100="",$J100="",$K100="")),"DONNEES MANQUANTES",IF(AND($D100&lt;&gt;"",$Q100&lt;=0),"EMPLACEMENT INCOHERENT","OK")))</f>
        <v/>
      </c>
      <c r="S100" s="26" t="str">
        <f aca="false">IF($C100="","",IF(AND(ISNUMBER($G100),$G100&gt;P_HIST),"HISTAMINE "&amp;TEXT($G100,"#,##0")&amp;" PPM &gt; seuil "&amp;TEXT(P_HIST,"#,##0")&amp;". ","")&amp;IF(AND(ISNUMBER($F100),$P100="CONGELE",$F100&gt;P_TCONG),"TEMPERATURE "&amp;TEXT($F100,"0.0")&amp;" C hors seuil congele. ","")&amp;IF(AND(ISNUMBER($F100),$P100="FRAIS",$F100&gt;P_TFRAIS),"TEMPERATURE "&amp;TEXT($F100,"0.0")&amp;" C hors seuil frais. ","")&amp;IF($K100="BLOQUER","Lot bloque qualite : stock signale mais inchange. ","")&amp;IF($R100="EMPLACEMENT INCOHERENT","Lot absent de cet emplacement : controle conserve, stock inchange. ","")&amp;IF($R100="DONNEES MANQUANTES","Renseigner la DATE et au moins une mesure. ",""))</f>
        <v/>
      </c>
      <c r="T100" s="28" t="n">
        <f aca="false">IF(OR($C100="",$B100=""),0,IF(COUNTIFS(QC_LOT,$C100,QC_DATE,"&gt;"&amp;$B100)&gt;0,0,IF(COUNTIFS($C$5:$C100,$C100,$B$5:$B100,$B100)=COUNTIFS(QC_LOT,$C100,QC_DATE,$B100),1,0)))</f>
        <v>0</v>
      </c>
      <c r="U100" s="26" t="str">
        <f aca="false">IF($T100=1,$C100,"")</f>
        <v/>
      </c>
      <c r="V100" s="28" t="n">
        <f aca="false">IF($C100="",0,IF($C100=R_LOT,1,0))</f>
        <v>0</v>
      </c>
      <c r="W100" s="26" t="str">
        <f aca="false">IF($V100=0,"",COUNTIF($V$5:$V100,1))</f>
        <v/>
      </c>
    </row>
    <row r="101" customFormat="false" ht="15" hidden="false" customHeight="false" outlineLevel="0" collapsed="false">
      <c r="A101" s="26" t="str">
        <f aca="false">IF($C101="","","QC-"&amp;TEXT(ROW()-4,"000"))</f>
        <v/>
      </c>
      <c r="B101" s="25"/>
      <c r="C101" s="24"/>
      <c r="D101" s="24"/>
      <c r="E101" s="24"/>
      <c r="F101" s="32"/>
      <c r="G101" s="33"/>
      <c r="H101" s="24"/>
      <c r="I101" s="24"/>
      <c r="J101" s="24"/>
      <c r="K101" s="24"/>
      <c r="L101" s="24"/>
      <c r="M101" s="24"/>
      <c r="N101" s="26" t="str">
        <f aca="false">IF($C101="","",IFERROR(INDEX(LOT_EXTE,MATCH($C101,LOT_KEY,0)),""))</f>
        <v/>
      </c>
      <c r="O101" s="26" t="str">
        <f aca="false">IF($C101="","",IFERROR(INDEX(LOT_PRODE,MATCH($C101,LOT_KEY,0)),"LOT NON REFERENCE"))</f>
        <v/>
      </c>
      <c r="P101" s="26" t="str">
        <f aca="false">IF($C101="","",IFERROR(INDEX(LOT_CONSERVE,MATCH($C101,LOT_KEY,0)),""))</f>
        <v/>
      </c>
      <c r="Q101" s="27" t="str">
        <f aca="false">IF(OR($C101="",$D101=""),"",SUMIFS(MVT_NET,MVT_LOT,$C101,MVT_EMPL,$D101))</f>
        <v/>
      </c>
      <c r="R101" s="26" t="str">
        <f aca="false">IF($C101="","",IF(OR($B101="",AND($F101="",$G101="",$H101="",$I101="",$J101="",$K101="")),"DONNEES MANQUANTES",IF(AND($D101&lt;&gt;"",$Q101&lt;=0),"EMPLACEMENT INCOHERENT","OK")))</f>
        <v/>
      </c>
      <c r="S101" s="26" t="str">
        <f aca="false">IF($C101="","",IF(AND(ISNUMBER($G101),$G101&gt;P_HIST),"HISTAMINE "&amp;TEXT($G101,"#,##0")&amp;" PPM &gt; seuil "&amp;TEXT(P_HIST,"#,##0")&amp;". ","")&amp;IF(AND(ISNUMBER($F101),$P101="CONGELE",$F101&gt;P_TCONG),"TEMPERATURE "&amp;TEXT($F101,"0.0")&amp;" C hors seuil congele. ","")&amp;IF(AND(ISNUMBER($F101),$P101="FRAIS",$F101&gt;P_TFRAIS),"TEMPERATURE "&amp;TEXT($F101,"0.0")&amp;" C hors seuil frais. ","")&amp;IF($K101="BLOQUER","Lot bloque qualite : stock signale mais inchange. ","")&amp;IF($R101="EMPLACEMENT INCOHERENT","Lot absent de cet emplacement : controle conserve, stock inchange. ","")&amp;IF($R101="DONNEES MANQUANTES","Renseigner la DATE et au moins une mesure. ",""))</f>
        <v/>
      </c>
      <c r="T101" s="28" t="n">
        <f aca="false">IF(OR($C101="",$B101=""),0,IF(COUNTIFS(QC_LOT,$C101,QC_DATE,"&gt;"&amp;$B101)&gt;0,0,IF(COUNTIFS($C$5:$C101,$C101,$B$5:$B101,$B101)=COUNTIFS(QC_LOT,$C101,QC_DATE,$B101),1,0)))</f>
        <v>0</v>
      </c>
      <c r="U101" s="26" t="str">
        <f aca="false">IF($T101=1,$C101,"")</f>
        <v/>
      </c>
      <c r="V101" s="28" t="n">
        <f aca="false">IF($C101="",0,IF($C101=R_LOT,1,0))</f>
        <v>0</v>
      </c>
      <c r="W101" s="26" t="str">
        <f aca="false">IF($V101=0,"",COUNTIF($V$5:$V101,1))</f>
        <v/>
      </c>
    </row>
    <row r="102" customFormat="false" ht="15" hidden="false" customHeight="false" outlineLevel="0" collapsed="false">
      <c r="A102" s="26" t="str">
        <f aca="false">IF($C102="","","QC-"&amp;TEXT(ROW()-4,"000"))</f>
        <v/>
      </c>
      <c r="B102" s="25"/>
      <c r="C102" s="24"/>
      <c r="D102" s="24"/>
      <c r="E102" s="24"/>
      <c r="F102" s="32"/>
      <c r="G102" s="33"/>
      <c r="H102" s="24"/>
      <c r="I102" s="24"/>
      <c r="J102" s="24"/>
      <c r="K102" s="24"/>
      <c r="L102" s="24"/>
      <c r="M102" s="24"/>
      <c r="N102" s="26" t="str">
        <f aca="false">IF($C102="","",IFERROR(INDEX(LOT_EXTE,MATCH($C102,LOT_KEY,0)),""))</f>
        <v/>
      </c>
      <c r="O102" s="26" t="str">
        <f aca="false">IF($C102="","",IFERROR(INDEX(LOT_PRODE,MATCH($C102,LOT_KEY,0)),"LOT NON REFERENCE"))</f>
        <v/>
      </c>
      <c r="P102" s="26" t="str">
        <f aca="false">IF($C102="","",IFERROR(INDEX(LOT_CONSERVE,MATCH($C102,LOT_KEY,0)),""))</f>
        <v/>
      </c>
      <c r="Q102" s="27" t="str">
        <f aca="false">IF(OR($C102="",$D102=""),"",SUMIFS(MVT_NET,MVT_LOT,$C102,MVT_EMPL,$D102))</f>
        <v/>
      </c>
      <c r="R102" s="26" t="str">
        <f aca="false">IF($C102="","",IF(OR($B102="",AND($F102="",$G102="",$H102="",$I102="",$J102="",$K102="")),"DONNEES MANQUANTES",IF(AND($D102&lt;&gt;"",$Q102&lt;=0),"EMPLACEMENT INCOHERENT","OK")))</f>
        <v/>
      </c>
      <c r="S102" s="26" t="str">
        <f aca="false">IF($C102="","",IF(AND(ISNUMBER($G102),$G102&gt;P_HIST),"HISTAMINE "&amp;TEXT($G102,"#,##0")&amp;" PPM &gt; seuil "&amp;TEXT(P_HIST,"#,##0")&amp;". ","")&amp;IF(AND(ISNUMBER($F102),$P102="CONGELE",$F102&gt;P_TCONG),"TEMPERATURE "&amp;TEXT($F102,"0.0")&amp;" C hors seuil congele. ","")&amp;IF(AND(ISNUMBER($F102),$P102="FRAIS",$F102&gt;P_TFRAIS),"TEMPERATURE "&amp;TEXT($F102,"0.0")&amp;" C hors seuil frais. ","")&amp;IF($K102="BLOQUER","Lot bloque qualite : stock signale mais inchange. ","")&amp;IF($R102="EMPLACEMENT INCOHERENT","Lot absent de cet emplacement : controle conserve, stock inchange. ","")&amp;IF($R102="DONNEES MANQUANTES","Renseigner la DATE et au moins une mesure. ",""))</f>
        <v/>
      </c>
      <c r="T102" s="28" t="n">
        <f aca="false">IF(OR($C102="",$B102=""),0,IF(COUNTIFS(QC_LOT,$C102,QC_DATE,"&gt;"&amp;$B102)&gt;0,0,IF(COUNTIFS($C$5:$C102,$C102,$B$5:$B102,$B102)=COUNTIFS(QC_LOT,$C102,QC_DATE,$B102),1,0)))</f>
        <v>0</v>
      </c>
      <c r="U102" s="26" t="str">
        <f aca="false">IF($T102=1,$C102,"")</f>
        <v/>
      </c>
      <c r="V102" s="28" t="n">
        <f aca="false">IF($C102="",0,IF($C102=R_LOT,1,0))</f>
        <v>0</v>
      </c>
      <c r="W102" s="26" t="str">
        <f aca="false">IF($V102=0,"",COUNTIF($V$5:$V102,1))</f>
        <v/>
      </c>
    </row>
    <row r="103" customFormat="false" ht="15" hidden="false" customHeight="false" outlineLevel="0" collapsed="false">
      <c r="A103" s="26" t="str">
        <f aca="false">IF($C103="","","QC-"&amp;TEXT(ROW()-4,"000"))</f>
        <v/>
      </c>
      <c r="B103" s="25"/>
      <c r="C103" s="24"/>
      <c r="D103" s="24"/>
      <c r="E103" s="24"/>
      <c r="F103" s="32"/>
      <c r="G103" s="33"/>
      <c r="H103" s="24"/>
      <c r="I103" s="24"/>
      <c r="J103" s="24"/>
      <c r="K103" s="24"/>
      <c r="L103" s="24"/>
      <c r="M103" s="24"/>
      <c r="N103" s="26" t="str">
        <f aca="false">IF($C103="","",IFERROR(INDEX(LOT_EXTE,MATCH($C103,LOT_KEY,0)),""))</f>
        <v/>
      </c>
      <c r="O103" s="26" t="str">
        <f aca="false">IF($C103="","",IFERROR(INDEX(LOT_PRODE,MATCH($C103,LOT_KEY,0)),"LOT NON REFERENCE"))</f>
        <v/>
      </c>
      <c r="P103" s="26" t="str">
        <f aca="false">IF($C103="","",IFERROR(INDEX(LOT_CONSERVE,MATCH($C103,LOT_KEY,0)),""))</f>
        <v/>
      </c>
      <c r="Q103" s="27" t="str">
        <f aca="false">IF(OR($C103="",$D103=""),"",SUMIFS(MVT_NET,MVT_LOT,$C103,MVT_EMPL,$D103))</f>
        <v/>
      </c>
      <c r="R103" s="26" t="str">
        <f aca="false">IF($C103="","",IF(OR($B103="",AND($F103="",$G103="",$H103="",$I103="",$J103="",$K103="")),"DONNEES MANQUANTES",IF(AND($D103&lt;&gt;"",$Q103&lt;=0),"EMPLACEMENT INCOHERENT","OK")))</f>
        <v/>
      </c>
      <c r="S103" s="26" t="str">
        <f aca="false">IF($C103="","",IF(AND(ISNUMBER($G103),$G103&gt;P_HIST),"HISTAMINE "&amp;TEXT($G103,"#,##0")&amp;" PPM &gt; seuil "&amp;TEXT(P_HIST,"#,##0")&amp;". ","")&amp;IF(AND(ISNUMBER($F103),$P103="CONGELE",$F103&gt;P_TCONG),"TEMPERATURE "&amp;TEXT($F103,"0.0")&amp;" C hors seuil congele. ","")&amp;IF(AND(ISNUMBER($F103),$P103="FRAIS",$F103&gt;P_TFRAIS),"TEMPERATURE "&amp;TEXT($F103,"0.0")&amp;" C hors seuil frais. ","")&amp;IF($K103="BLOQUER","Lot bloque qualite : stock signale mais inchange. ","")&amp;IF($R103="EMPLACEMENT INCOHERENT","Lot absent de cet emplacement : controle conserve, stock inchange. ","")&amp;IF($R103="DONNEES MANQUANTES","Renseigner la DATE et au moins une mesure. ",""))</f>
        <v/>
      </c>
      <c r="T103" s="28" t="n">
        <f aca="false">IF(OR($C103="",$B103=""),0,IF(COUNTIFS(QC_LOT,$C103,QC_DATE,"&gt;"&amp;$B103)&gt;0,0,IF(COUNTIFS($C$5:$C103,$C103,$B$5:$B103,$B103)=COUNTIFS(QC_LOT,$C103,QC_DATE,$B103),1,0)))</f>
        <v>0</v>
      </c>
      <c r="U103" s="26" t="str">
        <f aca="false">IF($T103=1,$C103,"")</f>
        <v/>
      </c>
      <c r="V103" s="28" t="n">
        <f aca="false">IF($C103="",0,IF($C103=R_LOT,1,0))</f>
        <v>0</v>
      </c>
      <c r="W103" s="26" t="str">
        <f aca="false">IF($V103=0,"",COUNTIF($V$5:$V103,1))</f>
        <v/>
      </c>
    </row>
    <row r="104" customFormat="false" ht="15" hidden="false" customHeight="false" outlineLevel="0" collapsed="false">
      <c r="A104" s="26" t="str">
        <f aca="false">IF($C104="","","QC-"&amp;TEXT(ROW()-4,"000"))</f>
        <v/>
      </c>
      <c r="B104" s="25"/>
      <c r="C104" s="24"/>
      <c r="D104" s="24"/>
      <c r="E104" s="24"/>
      <c r="F104" s="32"/>
      <c r="G104" s="33"/>
      <c r="H104" s="24"/>
      <c r="I104" s="24"/>
      <c r="J104" s="24"/>
      <c r="K104" s="24"/>
      <c r="L104" s="24"/>
      <c r="M104" s="24"/>
      <c r="N104" s="26" t="str">
        <f aca="false">IF($C104="","",IFERROR(INDEX(LOT_EXTE,MATCH($C104,LOT_KEY,0)),""))</f>
        <v/>
      </c>
      <c r="O104" s="26" t="str">
        <f aca="false">IF($C104="","",IFERROR(INDEX(LOT_PRODE,MATCH($C104,LOT_KEY,0)),"LOT NON REFERENCE"))</f>
        <v/>
      </c>
      <c r="P104" s="26" t="str">
        <f aca="false">IF($C104="","",IFERROR(INDEX(LOT_CONSERVE,MATCH($C104,LOT_KEY,0)),""))</f>
        <v/>
      </c>
      <c r="Q104" s="27" t="str">
        <f aca="false">IF(OR($C104="",$D104=""),"",SUMIFS(MVT_NET,MVT_LOT,$C104,MVT_EMPL,$D104))</f>
        <v/>
      </c>
      <c r="R104" s="26" t="str">
        <f aca="false">IF($C104="","",IF(OR($B104="",AND($F104="",$G104="",$H104="",$I104="",$J104="",$K104="")),"DONNEES MANQUANTES",IF(AND($D104&lt;&gt;"",$Q104&lt;=0),"EMPLACEMENT INCOHERENT","OK")))</f>
        <v/>
      </c>
      <c r="S104" s="26" t="str">
        <f aca="false">IF($C104="","",IF(AND(ISNUMBER($G104),$G104&gt;P_HIST),"HISTAMINE "&amp;TEXT($G104,"#,##0")&amp;" PPM &gt; seuil "&amp;TEXT(P_HIST,"#,##0")&amp;". ","")&amp;IF(AND(ISNUMBER($F104),$P104="CONGELE",$F104&gt;P_TCONG),"TEMPERATURE "&amp;TEXT($F104,"0.0")&amp;" C hors seuil congele. ","")&amp;IF(AND(ISNUMBER($F104),$P104="FRAIS",$F104&gt;P_TFRAIS),"TEMPERATURE "&amp;TEXT($F104,"0.0")&amp;" C hors seuil frais. ","")&amp;IF($K104="BLOQUER","Lot bloque qualite : stock signale mais inchange. ","")&amp;IF($R104="EMPLACEMENT INCOHERENT","Lot absent de cet emplacement : controle conserve, stock inchange. ","")&amp;IF($R104="DONNEES MANQUANTES","Renseigner la DATE et au moins une mesure. ",""))</f>
        <v/>
      </c>
      <c r="T104" s="28" t="n">
        <f aca="false">IF(OR($C104="",$B104=""),0,IF(COUNTIFS(QC_LOT,$C104,QC_DATE,"&gt;"&amp;$B104)&gt;0,0,IF(COUNTIFS($C$5:$C104,$C104,$B$5:$B104,$B104)=COUNTIFS(QC_LOT,$C104,QC_DATE,$B104),1,0)))</f>
        <v>0</v>
      </c>
      <c r="U104" s="26" t="str">
        <f aca="false">IF($T104=1,$C104,"")</f>
        <v/>
      </c>
      <c r="V104" s="28" t="n">
        <f aca="false">IF($C104="",0,IF($C104=R_LOT,1,0))</f>
        <v>0</v>
      </c>
      <c r="W104" s="26" t="str">
        <f aca="false">IF($V104=0,"",COUNTIF($V$5:$V104,1))</f>
        <v/>
      </c>
    </row>
    <row r="105" customFormat="false" ht="15" hidden="false" customHeight="false" outlineLevel="0" collapsed="false">
      <c r="A105" s="26" t="str">
        <f aca="false">IF($C105="","","QC-"&amp;TEXT(ROW()-4,"000"))</f>
        <v/>
      </c>
      <c r="B105" s="25"/>
      <c r="C105" s="24"/>
      <c r="D105" s="24"/>
      <c r="E105" s="24"/>
      <c r="F105" s="32"/>
      <c r="G105" s="33"/>
      <c r="H105" s="24"/>
      <c r="I105" s="24"/>
      <c r="J105" s="24"/>
      <c r="K105" s="24"/>
      <c r="L105" s="24"/>
      <c r="M105" s="24"/>
      <c r="N105" s="26" t="str">
        <f aca="false">IF($C105="","",IFERROR(INDEX(LOT_EXTE,MATCH($C105,LOT_KEY,0)),""))</f>
        <v/>
      </c>
      <c r="O105" s="26" t="str">
        <f aca="false">IF($C105="","",IFERROR(INDEX(LOT_PRODE,MATCH($C105,LOT_KEY,0)),"LOT NON REFERENCE"))</f>
        <v/>
      </c>
      <c r="P105" s="26" t="str">
        <f aca="false">IF($C105="","",IFERROR(INDEX(LOT_CONSERVE,MATCH($C105,LOT_KEY,0)),""))</f>
        <v/>
      </c>
      <c r="Q105" s="27" t="str">
        <f aca="false">IF(OR($C105="",$D105=""),"",SUMIFS(MVT_NET,MVT_LOT,$C105,MVT_EMPL,$D105))</f>
        <v/>
      </c>
      <c r="R105" s="26" t="str">
        <f aca="false">IF($C105="","",IF(OR($B105="",AND($F105="",$G105="",$H105="",$I105="",$J105="",$K105="")),"DONNEES MANQUANTES",IF(AND($D105&lt;&gt;"",$Q105&lt;=0),"EMPLACEMENT INCOHERENT","OK")))</f>
        <v/>
      </c>
      <c r="S105" s="26" t="str">
        <f aca="false">IF($C105="","",IF(AND(ISNUMBER($G105),$G105&gt;P_HIST),"HISTAMINE "&amp;TEXT($G105,"#,##0")&amp;" PPM &gt; seuil "&amp;TEXT(P_HIST,"#,##0")&amp;". ","")&amp;IF(AND(ISNUMBER($F105),$P105="CONGELE",$F105&gt;P_TCONG),"TEMPERATURE "&amp;TEXT($F105,"0.0")&amp;" C hors seuil congele. ","")&amp;IF(AND(ISNUMBER($F105),$P105="FRAIS",$F105&gt;P_TFRAIS),"TEMPERATURE "&amp;TEXT($F105,"0.0")&amp;" C hors seuil frais. ","")&amp;IF($K105="BLOQUER","Lot bloque qualite : stock signale mais inchange. ","")&amp;IF($R105="EMPLACEMENT INCOHERENT","Lot absent de cet emplacement : controle conserve, stock inchange. ","")&amp;IF($R105="DONNEES MANQUANTES","Renseigner la DATE et au moins une mesure. ",""))</f>
        <v/>
      </c>
      <c r="T105" s="28" t="n">
        <f aca="false">IF(OR($C105="",$B105=""),0,IF(COUNTIFS(QC_LOT,$C105,QC_DATE,"&gt;"&amp;$B105)&gt;0,0,IF(COUNTIFS($C$5:$C105,$C105,$B$5:$B105,$B105)=COUNTIFS(QC_LOT,$C105,QC_DATE,$B105),1,0)))</f>
        <v>0</v>
      </c>
      <c r="U105" s="26" t="str">
        <f aca="false">IF($T105=1,$C105,"")</f>
        <v/>
      </c>
      <c r="V105" s="28" t="n">
        <f aca="false">IF($C105="",0,IF($C105=R_LOT,1,0))</f>
        <v>0</v>
      </c>
      <c r="W105" s="26" t="str">
        <f aca="false">IF($V105=0,"",COUNTIF($V$5:$V105,1))</f>
        <v/>
      </c>
    </row>
    <row r="106" customFormat="false" ht="15" hidden="false" customHeight="false" outlineLevel="0" collapsed="false">
      <c r="A106" s="26" t="str">
        <f aca="false">IF($C106="","","QC-"&amp;TEXT(ROW()-4,"000"))</f>
        <v/>
      </c>
      <c r="B106" s="25"/>
      <c r="C106" s="24"/>
      <c r="D106" s="24"/>
      <c r="E106" s="24"/>
      <c r="F106" s="32"/>
      <c r="G106" s="33"/>
      <c r="H106" s="24"/>
      <c r="I106" s="24"/>
      <c r="J106" s="24"/>
      <c r="K106" s="24"/>
      <c r="L106" s="24"/>
      <c r="M106" s="24"/>
      <c r="N106" s="26" t="str">
        <f aca="false">IF($C106="","",IFERROR(INDEX(LOT_EXTE,MATCH($C106,LOT_KEY,0)),""))</f>
        <v/>
      </c>
      <c r="O106" s="26" t="str">
        <f aca="false">IF($C106="","",IFERROR(INDEX(LOT_PRODE,MATCH($C106,LOT_KEY,0)),"LOT NON REFERENCE"))</f>
        <v/>
      </c>
      <c r="P106" s="26" t="str">
        <f aca="false">IF($C106="","",IFERROR(INDEX(LOT_CONSERVE,MATCH($C106,LOT_KEY,0)),""))</f>
        <v/>
      </c>
      <c r="Q106" s="27" t="str">
        <f aca="false">IF(OR($C106="",$D106=""),"",SUMIFS(MVT_NET,MVT_LOT,$C106,MVT_EMPL,$D106))</f>
        <v/>
      </c>
      <c r="R106" s="26" t="str">
        <f aca="false">IF($C106="","",IF(OR($B106="",AND($F106="",$G106="",$H106="",$I106="",$J106="",$K106="")),"DONNEES MANQUANTES",IF(AND($D106&lt;&gt;"",$Q106&lt;=0),"EMPLACEMENT INCOHERENT","OK")))</f>
        <v/>
      </c>
      <c r="S106" s="26" t="str">
        <f aca="false">IF($C106="","",IF(AND(ISNUMBER($G106),$G106&gt;P_HIST),"HISTAMINE "&amp;TEXT($G106,"#,##0")&amp;" PPM &gt; seuil "&amp;TEXT(P_HIST,"#,##0")&amp;". ","")&amp;IF(AND(ISNUMBER($F106),$P106="CONGELE",$F106&gt;P_TCONG),"TEMPERATURE "&amp;TEXT($F106,"0.0")&amp;" C hors seuil congele. ","")&amp;IF(AND(ISNUMBER($F106),$P106="FRAIS",$F106&gt;P_TFRAIS),"TEMPERATURE "&amp;TEXT($F106,"0.0")&amp;" C hors seuil frais. ","")&amp;IF($K106="BLOQUER","Lot bloque qualite : stock signale mais inchange. ","")&amp;IF($R106="EMPLACEMENT INCOHERENT","Lot absent de cet emplacement : controle conserve, stock inchange. ","")&amp;IF($R106="DONNEES MANQUANTES","Renseigner la DATE et au moins une mesure. ",""))</f>
        <v/>
      </c>
      <c r="T106" s="28" t="n">
        <f aca="false">IF(OR($C106="",$B106=""),0,IF(COUNTIFS(QC_LOT,$C106,QC_DATE,"&gt;"&amp;$B106)&gt;0,0,IF(COUNTIFS($C$5:$C106,$C106,$B$5:$B106,$B106)=COUNTIFS(QC_LOT,$C106,QC_DATE,$B106),1,0)))</f>
        <v>0</v>
      </c>
      <c r="U106" s="26" t="str">
        <f aca="false">IF($T106=1,$C106,"")</f>
        <v/>
      </c>
      <c r="V106" s="28" t="n">
        <f aca="false">IF($C106="",0,IF($C106=R_LOT,1,0))</f>
        <v>0</v>
      </c>
      <c r="W106" s="26" t="str">
        <f aca="false">IF($V106=0,"",COUNTIF($V$5:$V106,1))</f>
        <v/>
      </c>
    </row>
    <row r="107" customFormat="false" ht="15" hidden="false" customHeight="false" outlineLevel="0" collapsed="false">
      <c r="A107" s="26" t="str">
        <f aca="false">IF($C107="","","QC-"&amp;TEXT(ROW()-4,"000"))</f>
        <v/>
      </c>
      <c r="B107" s="25"/>
      <c r="C107" s="24"/>
      <c r="D107" s="24"/>
      <c r="E107" s="24"/>
      <c r="F107" s="32"/>
      <c r="G107" s="33"/>
      <c r="H107" s="24"/>
      <c r="I107" s="24"/>
      <c r="J107" s="24"/>
      <c r="K107" s="24"/>
      <c r="L107" s="24"/>
      <c r="M107" s="24"/>
      <c r="N107" s="26" t="str">
        <f aca="false">IF($C107="","",IFERROR(INDEX(LOT_EXTE,MATCH($C107,LOT_KEY,0)),""))</f>
        <v/>
      </c>
      <c r="O107" s="26" t="str">
        <f aca="false">IF($C107="","",IFERROR(INDEX(LOT_PRODE,MATCH($C107,LOT_KEY,0)),"LOT NON REFERENCE"))</f>
        <v/>
      </c>
      <c r="P107" s="26" t="str">
        <f aca="false">IF($C107="","",IFERROR(INDEX(LOT_CONSERVE,MATCH($C107,LOT_KEY,0)),""))</f>
        <v/>
      </c>
      <c r="Q107" s="27" t="str">
        <f aca="false">IF(OR($C107="",$D107=""),"",SUMIFS(MVT_NET,MVT_LOT,$C107,MVT_EMPL,$D107))</f>
        <v/>
      </c>
      <c r="R107" s="26" t="str">
        <f aca="false">IF($C107="","",IF(OR($B107="",AND($F107="",$G107="",$H107="",$I107="",$J107="",$K107="")),"DONNEES MANQUANTES",IF(AND($D107&lt;&gt;"",$Q107&lt;=0),"EMPLACEMENT INCOHERENT","OK")))</f>
        <v/>
      </c>
      <c r="S107" s="26" t="str">
        <f aca="false">IF($C107="","",IF(AND(ISNUMBER($G107),$G107&gt;P_HIST),"HISTAMINE "&amp;TEXT($G107,"#,##0")&amp;" PPM &gt; seuil "&amp;TEXT(P_HIST,"#,##0")&amp;". ","")&amp;IF(AND(ISNUMBER($F107),$P107="CONGELE",$F107&gt;P_TCONG),"TEMPERATURE "&amp;TEXT($F107,"0.0")&amp;" C hors seuil congele. ","")&amp;IF(AND(ISNUMBER($F107),$P107="FRAIS",$F107&gt;P_TFRAIS),"TEMPERATURE "&amp;TEXT($F107,"0.0")&amp;" C hors seuil frais. ","")&amp;IF($K107="BLOQUER","Lot bloque qualite : stock signale mais inchange. ","")&amp;IF($R107="EMPLACEMENT INCOHERENT","Lot absent de cet emplacement : controle conserve, stock inchange. ","")&amp;IF($R107="DONNEES MANQUANTES","Renseigner la DATE et au moins une mesure. ",""))</f>
        <v/>
      </c>
      <c r="T107" s="28" t="n">
        <f aca="false">IF(OR($C107="",$B107=""),0,IF(COUNTIFS(QC_LOT,$C107,QC_DATE,"&gt;"&amp;$B107)&gt;0,0,IF(COUNTIFS($C$5:$C107,$C107,$B$5:$B107,$B107)=COUNTIFS(QC_LOT,$C107,QC_DATE,$B107),1,0)))</f>
        <v>0</v>
      </c>
      <c r="U107" s="26" t="str">
        <f aca="false">IF($T107=1,$C107,"")</f>
        <v/>
      </c>
      <c r="V107" s="28" t="n">
        <f aca="false">IF($C107="",0,IF($C107=R_LOT,1,0))</f>
        <v>0</v>
      </c>
      <c r="W107" s="26" t="str">
        <f aca="false">IF($V107=0,"",COUNTIF($V$5:$V107,1))</f>
        <v/>
      </c>
    </row>
    <row r="108" customFormat="false" ht="15" hidden="false" customHeight="false" outlineLevel="0" collapsed="false">
      <c r="A108" s="26" t="str">
        <f aca="false">IF($C108="","","QC-"&amp;TEXT(ROW()-4,"000"))</f>
        <v/>
      </c>
      <c r="B108" s="25"/>
      <c r="C108" s="24"/>
      <c r="D108" s="24"/>
      <c r="E108" s="24"/>
      <c r="F108" s="32"/>
      <c r="G108" s="33"/>
      <c r="H108" s="24"/>
      <c r="I108" s="24"/>
      <c r="J108" s="24"/>
      <c r="K108" s="24"/>
      <c r="L108" s="24"/>
      <c r="M108" s="24"/>
      <c r="N108" s="26" t="str">
        <f aca="false">IF($C108="","",IFERROR(INDEX(LOT_EXTE,MATCH($C108,LOT_KEY,0)),""))</f>
        <v/>
      </c>
      <c r="O108" s="26" t="str">
        <f aca="false">IF($C108="","",IFERROR(INDEX(LOT_PRODE,MATCH($C108,LOT_KEY,0)),"LOT NON REFERENCE"))</f>
        <v/>
      </c>
      <c r="P108" s="26" t="str">
        <f aca="false">IF($C108="","",IFERROR(INDEX(LOT_CONSERVE,MATCH($C108,LOT_KEY,0)),""))</f>
        <v/>
      </c>
      <c r="Q108" s="27" t="str">
        <f aca="false">IF(OR($C108="",$D108=""),"",SUMIFS(MVT_NET,MVT_LOT,$C108,MVT_EMPL,$D108))</f>
        <v/>
      </c>
      <c r="R108" s="26" t="str">
        <f aca="false">IF($C108="","",IF(OR($B108="",AND($F108="",$G108="",$H108="",$I108="",$J108="",$K108="")),"DONNEES MANQUANTES",IF(AND($D108&lt;&gt;"",$Q108&lt;=0),"EMPLACEMENT INCOHERENT","OK")))</f>
        <v/>
      </c>
      <c r="S108" s="26" t="str">
        <f aca="false">IF($C108="","",IF(AND(ISNUMBER($G108),$G108&gt;P_HIST),"HISTAMINE "&amp;TEXT($G108,"#,##0")&amp;" PPM &gt; seuil "&amp;TEXT(P_HIST,"#,##0")&amp;". ","")&amp;IF(AND(ISNUMBER($F108),$P108="CONGELE",$F108&gt;P_TCONG),"TEMPERATURE "&amp;TEXT($F108,"0.0")&amp;" C hors seuil congele. ","")&amp;IF(AND(ISNUMBER($F108),$P108="FRAIS",$F108&gt;P_TFRAIS),"TEMPERATURE "&amp;TEXT($F108,"0.0")&amp;" C hors seuil frais. ","")&amp;IF($K108="BLOQUER","Lot bloque qualite : stock signale mais inchange. ","")&amp;IF($R108="EMPLACEMENT INCOHERENT","Lot absent de cet emplacement : controle conserve, stock inchange. ","")&amp;IF($R108="DONNEES MANQUANTES","Renseigner la DATE et au moins une mesure. ",""))</f>
        <v/>
      </c>
      <c r="T108" s="28" t="n">
        <f aca="false">IF(OR($C108="",$B108=""),0,IF(COUNTIFS(QC_LOT,$C108,QC_DATE,"&gt;"&amp;$B108)&gt;0,0,IF(COUNTIFS($C$5:$C108,$C108,$B$5:$B108,$B108)=COUNTIFS(QC_LOT,$C108,QC_DATE,$B108),1,0)))</f>
        <v>0</v>
      </c>
      <c r="U108" s="26" t="str">
        <f aca="false">IF($T108=1,$C108,"")</f>
        <v/>
      </c>
      <c r="V108" s="28" t="n">
        <f aca="false">IF($C108="",0,IF($C108=R_LOT,1,0))</f>
        <v>0</v>
      </c>
      <c r="W108" s="26" t="str">
        <f aca="false">IF($V108=0,"",COUNTIF($V$5:$V108,1))</f>
        <v/>
      </c>
    </row>
    <row r="109" customFormat="false" ht="15" hidden="false" customHeight="false" outlineLevel="0" collapsed="false">
      <c r="A109" s="26" t="str">
        <f aca="false">IF($C109="","","QC-"&amp;TEXT(ROW()-4,"000"))</f>
        <v/>
      </c>
      <c r="B109" s="25"/>
      <c r="C109" s="24"/>
      <c r="D109" s="24"/>
      <c r="E109" s="24"/>
      <c r="F109" s="32"/>
      <c r="G109" s="33"/>
      <c r="H109" s="24"/>
      <c r="I109" s="24"/>
      <c r="J109" s="24"/>
      <c r="K109" s="24"/>
      <c r="L109" s="24"/>
      <c r="M109" s="24"/>
      <c r="N109" s="26" t="str">
        <f aca="false">IF($C109="","",IFERROR(INDEX(LOT_EXTE,MATCH($C109,LOT_KEY,0)),""))</f>
        <v/>
      </c>
      <c r="O109" s="26" t="str">
        <f aca="false">IF($C109="","",IFERROR(INDEX(LOT_PRODE,MATCH($C109,LOT_KEY,0)),"LOT NON REFERENCE"))</f>
        <v/>
      </c>
      <c r="P109" s="26" t="str">
        <f aca="false">IF($C109="","",IFERROR(INDEX(LOT_CONSERVE,MATCH($C109,LOT_KEY,0)),""))</f>
        <v/>
      </c>
      <c r="Q109" s="27" t="str">
        <f aca="false">IF(OR($C109="",$D109=""),"",SUMIFS(MVT_NET,MVT_LOT,$C109,MVT_EMPL,$D109))</f>
        <v/>
      </c>
      <c r="R109" s="26" t="str">
        <f aca="false">IF($C109="","",IF(OR($B109="",AND($F109="",$G109="",$H109="",$I109="",$J109="",$K109="")),"DONNEES MANQUANTES",IF(AND($D109&lt;&gt;"",$Q109&lt;=0),"EMPLACEMENT INCOHERENT","OK")))</f>
        <v/>
      </c>
      <c r="S109" s="26" t="str">
        <f aca="false">IF($C109="","",IF(AND(ISNUMBER($G109),$G109&gt;P_HIST),"HISTAMINE "&amp;TEXT($G109,"#,##0")&amp;" PPM &gt; seuil "&amp;TEXT(P_HIST,"#,##0")&amp;". ","")&amp;IF(AND(ISNUMBER($F109),$P109="CONGELE",$F109&gt;P_TCONG),"TEMPERATURE "&amp;TEXT($F109,"0.0")&amp;" C hors seuil congele. ","")&amp;IF(AND(ISNUMBER($F109),$P109="FRAIS",$F109&gt;P_TFRAIS),"TEMPERATURE "&amp;TEXT($F109,"0.0")&amp;" C hors seuil frais. ","")&amp;IF($K109="BLOQUER","Lot bloque qualite : stock signale mais inchange. ","")&amp;IF($R109="EMPLACEMENT INCOHERENT","Lot absent de cet emplacement : controle conserve, stock inchange. ","")&amp;IF($R109="DONNEES MANQUANTES","Renseigner la DATE et au moins une mesure. ",""))</f>
        <v/>
      </c>
      <c r="T109" s="28" t="n">
        <f aca="false">IF(OR($C109="",$B109=""),0,IF(COUNTIFS(QC_LOT,$C109,QC_DATE,"&gt;"&amp;$B109)&gt;0,0,IF(COUNTIFS($C$5:$C109,$C109,$B$5:$B109,$B109)=COUNTIFS(QC_LOT,$C109,QC_DATE,$B109),1,0)))</f>
        <v>0</v>
      </c>
      <c r="U109" s="26" t="str">
        <f aca="false">IF($T109=1,$C109,"")</f>
        <v/>
      </c>
      <c r="V109" s="28" t="n">
        <f aca="false">IF($C109="",0,IF($C109=R_LOT,1,0))</f>
        <v>0</v>
      </c>
      <c r="W109" s="26" t="str">
        <f aca="false">IF($V109=0,"",COUNTIF($V$5:$V109,1))</f>
        <v/>
      </c>
    </row>
    <row r="110" customFormat="false" ht="15" hidden="false" customHeight="false" outlineLevel="0" collapsed="false">
      <c r="A110" s="26" t="str">
        <f aca="false">IF($C110="","","QC-"&amp;TEXT(ROW()-4,"000"))</f>
        <v/>
      </c>
      <c r="B110" s="25"/>
      <c r="C110" s="24"/>
      <c r="D110" s="24"/>
      <c r="E110" s="24"/>
      <c r="F110" s="32"/>
      <c r="G110" s="33"/>
      <c r="H110" s="24"/>
      <c r="I110" s="24"/>
      <c r="J110" s="24"/>
      <c r="K110" s="24"/>
      <c r="L110" s="24"/>
      <c r="M110" s="24"/>
      <c r="N110" s="26" t="str">
        <f aca="false">IF($C110="","",IFERROR(INDEX(LOT_EXTE,MATCH($C110,LOT_KEY,0)),""))</f>
        <v/>
      </c>
      <c r="O110" s="26" t="str">
        <f aca="false">IF($C110="","",IFERROR(INDEX(LOT_PRODE,MATCH($C110,LOT_KEY,0)),"LOT NON REFERENCE"))</f>
        <v/>
      </c>
      <c r="P110" s="26" t="str">
        <f aca="false">IF($C110="","",IFERROR(INDEX(LOT_CONSERVE,MATCH($C110,LOT_KEY,0)),""))</f>
        <v/>
      </c>
      <c r="Q110" s="27" t="str">
        <f aca="false">IF(OR($C110="",$D110=""),"",SUMIFS(MVT_NET,MVT_LOT,$C110,MVT_EMPL,$D110))</f>
        <v/>
      </c>
      <c r="R110" s="26" t="str">
        <f aca="false">IF($C110="","",IF(OR($B110="",AND($F110="",$G110="",$H110="",$I110="",$J110="",$K110="")),"DONNEES MANQUANTES",IF(AND($D110&lt;&gt;"",$Q110&lt;=0),"EMPLACEMENT INCOHERENT","OK")))</f>
        <v/>
      </c>
      <c r="S110" s="26" t="str">
        <f aca="false">IF($C110="","",IF(AND(ISNUMBER($G110),$G110&gt;P_HIST),"HISTAMINE "&amp;TEXT($G110,"#,##0")&amp;" PPM &gt; seuil "&amp;TEXT(P_HIST,"#,##0")&amp;". ","")&amp;IF(AND(ISNUMBER($F110),$P110="CONGELE",$F110&gt;P_TCONG),"TEMPERATURE "&amp;TEXT($F110,"0.0")&amp;" C hors seuil congele. ","")&amp;IF(AND(ISNUMBER($F110),$P110="FRAIS",$F110&gt;P_TFRAIS),"TEMPERATURE "&amp;TEXT($F110,"0.0")&amp;" C hors seuil frais. ","")&amp;IF($K110="BLOQUER","Lot bloque qualite : stock signale mais inchange. ","")&amp;IF($R110="EMPLACEMENT INCOHERENT","Lot absent de cet emplacement : controle conserve, stock inchange. ","")&amp;IF($R110="DONNEES MANQUANTES","Renseigner la DATE et au moins une mesure. ",""))</f>
        <v/>
      </c>
      <c r="T110" s="28" t="n">
        <f aca="false">IF(OR($C110="",$B110=""),0,IF(COUNTIFS(QC_LOT,$C110,QC_DATE,"&gt;"&amp;$B110)&gt;0,0,IF(COUNTIFS($C$5:$C110,$C110,$B$5:$B110,$B110)=COUNTIFS(QC_LOT,$C110,QC_DATE,$B110),1,0)))</f>
        <v>0</v>
      </c>
      <c r="U110" s="26" t="str">
        <f aca="false">IF($T110=1,$C110,"")</f>
        <v/>
      </c>
      <c r="V110" s="28" t="n">
        <f aca="false">IF($C110="",0,IF($C110=R_LOT,1,0))</f>
        <v>0</v>
      </c>
      <c r="W110" s="26" t="str">
        <f aca="false">IF($V110=0,"",COUNTIF($V$5:$V110,1))</f>
        <v/>
      </c>
    </row>
    <row r="111" customFormat="false" ht="15" hidden="false" customHeight="false" outlineLevel="0" collapsed="false">
      <c r="A111" s="26" t="str">
        <f aca="false">IF($C111="","","QC-"&amp;TEXT(ROW()-4,"000"))</f>
        <v/>
      </c>
      <c r="B111" s="25"/>
      <c r="C111" s="24"/>
      <c r="D111" s="24"/>
      <c r="E111" s="24"/>
      <c r="F111" s="32"/>
      <c r="G111" s="33"/>
      <c r="H111" s="24"/>
      <c r="I111" s="24"/>
      <c r="J111" s="24"/>
      <c r="K111" s="24"/>
      <c r="L111" s="24"/>
      <c r="M111" s="24"/>
      <c r="N111" s="26" t="str">
        <f aca="false">IF($C111="","",IFERROR(INDEX(LOT_EXTE,MATCH($C111,LOT_KEY,0)),""))</f>
        <v/>
      </c>
      <c r="O111" s="26" t="str">
        <f aca="false">IF($C111="","",IFERROR(INDEX(LOT_PRODE,MATCH($C111,LOT_KEY,0)),"LOT NON REFERENCE"))</f>
        <v/>
      </c>
      <c r="P111" s="26" t="str">
        <f aca="false">IF($C111="","",IFERROR(INDEX(LOT_CONSERVE,MATCH($C111,LOT_KEY,0)),""))</f>
        <v/>
      </c>
      <c r="Q111" s="27" t="str">
        <f aca="false">IF(OR($C111="",$D111=""),"",SUMIFS(MVT_NET,MVT_LOT,$C111,MVT_EMPL,$D111))</f>
        <v/>
      </c>
      <c r="R111" s="26" t="str">
        <f aca="false">IF($C111="","",IF(OR($B111="",AND($F111="",$G111="",$H111="",$I111="",$J111="",$K111="")),"DONNEES MANQUANTES",IF(AND($D111&lt;&gt;"",$Q111&lt;=0),"EMPLACEMENT INCOHERENT","OK")))</f>
        <v/>
      </c>
      <c r="S111" s="26" t="str">
        <f aca="false">IF($C111="","",IF(AND(ISNUMBER($G111),$G111&gt;P_HIST),"HISTAMINE "&amp;TEXT($G111,"#,##0")&amp;" PPM &gt; seuil "&amp;TEXT(P_HIST,"#,##0")&amp;". ","")&amp;IF(AND(ISNUMBER($F111),$P111="CONGELE",$F111&gt;P_TCONG),"TEMPERATURE "&amp;TEXT($F111,"0.0")&amp;" C hors seuil congele. ","")&amp;IF(AND(ISNUMBER($F111),$P111="FRAIS",$F111&gt;P_TFRAIS),"TEMPERATURE "&amp;TEXT($F111,"0.0")&amp;" C hors seuil frais. ","")&amp;IF($K111="BLOQUER","Lot bloque qualite : stock signale mais inchange. ","")&amp;IF($R111="EMPLACEMENT INCOHERENT","Lot absent de cet emplacement : controle conserve, stock inchange. ","")&amp;IF($R111="DONNEES MANQUANTES","Renseigner la DATE et au moins une mesure. ",""))</f>
        <v/>
      </c>
      <c r="T111" s="28" t="n">
        <f aca="false">IF(OR($C111="",$B111=""),0,IF(COUNTIFS(QC_LOT,$C111,QC_DATE,"&gt;"&amp;$B111)&gt;0,0,IF(COUNTIFS($C$5:$C111,$C111,$B$5:$B111,$B111)=COUNTIFS(QC_LOT,$C111,QC_DATE,$B111),1,0)))</f>
        <v>0</v>
      </c>
      <c r="U111" s="26" t="str">
        <f aca="false">IF($T111=1,$C111,"")</f>
        <v/>
      </c>
      <c r="V111" s="28" t="n">
        <f aca="false">IF($C111="",0,IF($C111=R_LOT,1,0))</f>
        <v>0</v>
      </c>
      <c r="W111" s="26" t="str">
        <f aca="false">IF($V111=0,"",COUNTIF($V$5:$V111,1))</f>
        <v/>
      </c>
    </row>
    <row r="112" customFormat="false" ht="15" hidden="false" customHeight="false" outlineLevel="0" collapsed="false">
      <c r="A112" s="26" t="str">
        <f aca="false">IF($C112="","","QC-"&amp;TEXT(ROW()-4,"000"))</f>
        <v/>
      </c>
      <c r="B112" s="25"/>
      <c r="C112" s="24"/>
      <c r="D112" s="24"/>
      <c r="E112" s="24"/>
      <c r="F112" s="32"/>
      <c r="G112" s="33"/>
      <c r="H112" s="24"/>
      <c r="I112" s="24"/>
      <c r="J112" s="24"/>
      <c r="K112" s="24"/>
      <c r="L112" s="24"/>
      <c r="M112" s="24"/>
      <c r="N112" s="26" t="str">
        <f aca="false">IF($C112="","",IFERROR(INDEX(LOT_EXTE,MATCH($C112,LOT_KEY,0)),""))</f>
        <v/>
      </c>
      <c r="O112" s="26" t="str">
        <f aca="false">IF($C112="","",IFERROR(INDEX(LOT_PRODE,MATCH($C112,LOT_KEY,0)),"LOT NON REFERENCE"))</f>
        <v/>
      </c>
      <c r="P112" s="26" t="str">
        <f aca="false">IF($C112="","",IFERROR(INDEX(LOT_CONSERVE,MATCH($C112,LOT_KEY,0)),""))</f>
        <v/>
      </c>
      <c r="Q112" s="27" t="str">
        <f aca="false">IF(OR($C112="",$D112=""),"",SUMIFS(MVT_NET,MVT_LOT,$C112,MVT_EMPL,$D112))</f>
        <v/>
      </c>
      <c r="R112" s="26" t="str">
        <f aca="false">IF($C112="","",IF(OR($B112="",AND($F112="",$G112="",$H112="",$I112="",$J112="",$K112="")),"DONNEES MANQUANTES",IF(AND($D112&lt;&gt;"",$Q112&lt;=0),"EMPLACEMENT INCOHERENT","OK")))</f>
        <v/>
      </c>
      <c r="S112" s="26" t="str">
        <f aca="false">IF($C112="","",IF(AND(ISNUMBER($G112),$G112&gt;P_HIST),"HISTAMINE "&amp;TEXT($G112,"#,##0")&amp;" PPM &gt; seuil "&amp;TEXT(P_HIST,"#,##0")&amp;". ","")&amp;IF(AND(ISNUMBER($F112),$P112="CONGELE",$F112&gt;P_TCONG),"TEMPERATURE "&amp;TEXT($F112,"0.0")&amp;" C hors seuil congele. ","")&amp;IF(AND(ISNUMBER($F112),$P112="FRAIS",$F112&gt;P_TFRAIS),"TEMPERATURE "&amp;TEXT($F112,"0.0")&amp;" C hors seuil frais. ","")&amp;IF($K112="BLOQUER","Lot bloque qualite : stock signale mais inchange. ","")&amp;IF($R112="EMPLACEMENT INCOHERENT","Lot absent de cet emplacement : controle conserve, stock inchange. ","")&amp;IF($R112="DONNEES MANQUANTES","Renseigner la DATE et au moins une mesure. ",""))</f>
        <v/>
      </c>
      <c r="T112" s="28" t="n">
        <f aca="false">IF(OR($C112="",$B112=""),0,IF(COUNTIFS(QC_LOT,$C112,QC_DATE,"&gt;"&amp;$B112)&gt;0,0,IF(COUNTIFS($C$5:$C112,$C112,$B$5:$B112,$B112)=COUNTIFS(QC_LOT,$C112,QC_DATE,$B112),1,0)))</f>
        <v>0</v>
      </c>
      <c r="U112" s="26" t="str">
        <f aca="false">IF($T112=1,$C112,"")</f>
        <v/>
      </c>
      <c r="V112" s="28" t="n">
        <f aca="false">IF($C112="",0,IF($C112=R_LOT,1,0))</f>
        <v>0</v>
      </c>
      <c r="W112" s="26" t="str">
        <f aca="false">IF($V112=0,"",COUNTIF($V$5:$V112,1))</f>
        <v/>
      </c>
    </row>
    <row r="113" customFormat="false" ht="15" hidden="false" customHeight="false" outlineLevel="0" collapsed="false">
      <c r="A113" s="26" t="str">
        <f aca="false">IF($C113="","","QC-"&amp;TEXT(ROW()-4,"000"))</f>
        <v/>
      </c>
      <c r="B113" s="25"/>
      <c r="C113" s="24"/>
      <c r="D113" s="24"/>
      <c r="E113" s="24"/>
      <c r="F113" s="32"/>
      <c r="G113" s="33"/>
      <c r="H113" s="24"/>
      <c r="I113" s="24"/>
      <c r="J113" s="24"/>
      <c r="K113" s="24"/>
      <c r="L113" s="24"/>
      <c r="M113" s="24"/>
      <c r="N113" s="26" t="str">
        <f aca="false">IF($C113="","",IFERROR(INDEX(LOT_EXTE,MATCH($C113,LOT_KEY,0)),""))</f>
        <v/>
      </c>
      <c r="O113" s="26" t="str">
        <f aca="false">IF($C113="","",IFERROR(INDEX(LOT_PRODE,MATCH($C113,LOT_KEY,0)),"LOT NON REFERENCE"))</f>
        <v/>
      </c>
      <c r="P113" s="26" t="str">
        <f aca="false">IF($C113="","",IFERROR(INDEX(LOT_CONSERVE,MATCH($C113,LOT_KEY,0)),""))</f>
        <v/>
      </c>
      <c r="Q113" s="27" t="str">
        <f aca="false">IF(OR($C113="",$D113=""),"",SUMIFS(MVT_NET,MVT_LOT,$C113,MVT_EMPL,$D113))</f>
        <v/>
      </c>
      <c r="R113" s="26" t="str">
        <f aca="false">IF($C113="","",IF(OR($B113="",AND($F113="",$G113="",$H113="",$I113="",$J113="",$K113="")),"DONNEES MANQUANTES",IF(AND($D113&lt;&gt;"",$Q113&lt;=0),"EMPLACEMENT INCOHERENT","OK")))</f>
        <v/>
      </c>
      <c r="S113" s="26" t="str">
        <f aca="false">IF($C113="","",IF(AND(ISNUMBER($G113),$G113&gt;P_HIST),"HISTAMINE "&amp;TEXT($G113,"#,##0")&amp;" PPM &gt; seuil "&amp;TEXT(P_HIST,"#,##0")&amp;". ","")&amp;IF(AND(ISNUMBER($F113),$P113="CONGELE",$F113&gt;P_TCONG),"TEMPERATURE "&amp;TEXT($F113,"0.0")&amp;" C hors seuil congele. ","")&amp;IF(AND(ISNUMBER($F113),$P113="FRAIS",$F113&gt;P_TFRAIS),"TEMPERATURE "&amp;TEXT($F113,"0.0")&amp;" C hors seuil frais. ","")&amp;IF($K113="BLOQUER","Lot bloque qualite : stock signale mais inchange. ","")&amp;IF($R113="EMPLACEMENT INCOHERENT","Lot absent de cet emplacement : controle conserve, stock inchange. ","")&amp;IF($R113="DONNEES MANQUANTES","Renseigner la DATE et au moins une mesure. ",""))</f>
        <v/>
      </c>
      <c r="T113" s="28" t="n">
        <f aca="false">IF(OR($C113="",$B113=""),0,IF(COUNTIFS(QC_LOT,$C113,QC_DATE,"&gt;"&amp;$B113)&gt;0,0,IF(COUNTIFS($C$5:$C113,$C113,$B$5:$B113,$B113)=COUNTIFS(QC_LOT,$C113,QC_DATE,$B113),1,0)))</f>
        <v>0</v>
      </c>
      <c r="U113" s="26" t="str">
        <f aca="false">IF($T113=1,$C113,"")</f>
        <v/>
      </c>
      <c r="V113" s="28" t="n">
        <f aca="false">IF($C113="",0,IF($C113=R_LOT,1,0))</f>
        <v>0</v>
      </c>
      <c r="W113" s="26" t="str">
        <f aca="false">IF($V113=0,"",COUNTIF($V$5:$V113,1))</f>
        <v/>
      </c>
    </row>
    <row r="114" customFormat="false" ht="15" hidden="false" customHeight="false" outlineLevel="0" collapsed="false">
      <c r="A114" s="26" t="str">
        <f aca="false">IF($C114="","","QC-"&amp;TEXT(ROW()-4,"000"))</f>
        <v/>
      </c>
      <c r="B114" s="25"/>
      <c r="C114" s="24"/>
      <c r="D114" s="24"/>
      <c r="E114" s="24"/>
      <c r="F114" s="32"/>
      <c r="G114" s="33"/>
      <c r="H114" s="24"/>
      <c r="I114" s="24"/>
      <c r="J114" s="24"/>
      <c r="K114" s="24"/>
      <c r="L114" s="24"/>
      <c r="M114" s="24"/>
      <c r="N114" s="26" t="str">
        <f aca="false">IF($C114="","",IFERROR(INDEX(LOT_EXTE,MATCH($C114,LOT_KEY,0)),""))</f>
        <v/>
      </c>
      <c r="O114" s="26" t="str">
        <f aca="false">IF($C114="","",IFERROR(INDEX(LOT_PRODE,MATCH($C114,LOT_KEY,0)),"LOT NON REFERENCE"))</f>
        <v/>
      </c>
      <c r="P114" s="26" t="str">
        <f aca="false">IF($C114="","",IFERROR(INDEX(LOT_CONSERVE,MATCH($C114,LOT_KEY,0)),""))</f>
        <v/>
      </c>
      <c r="Q114" s="27" t="str">
        <f aca="false">IF(OR($C114="",$D114=""),"",SUMIFS(MVT_NET,MVT_LOT,$C114,MVT_EMPL,$D114))</f>
        <v/>
      </c>
      <c r="R114" s="26" t="str">
        <f aca="false">IF($C114="","",IF(OR($B114="",AND($F114="",$G114="",$H114="",$I114="",$J114="",$K114="")),"DONNEES MANQUANTES",IF(AND($D114&lt;&gt;"",$Q114&lt;=0),"EMPLACEMENT INCOHERENT","OK")))</f>
        <v/>
      </c>
      <c r="S114" s="26" t="str">
        <f aca="false">IF($C114="","",IF(AND(ISNUMBER($G114),$G114&gt;P_HIST),"HISTAMINE "&amp;TEXT($G114,"#,##0")&amp;" PPM &gt; seuil "&amp;TEXT(P_HIST,"#,##0")&amp;". ","")&amp;IF(AND(ISNUMBER($F114),$P114="CONGELE",$F114&gt;P_TCONG),"TEMPERATURE "&amp;TEXT($F114,"0.0")&amp;" C hors seuil congele. ","")&amp;IF(AND(ISNUMBER($F114),$P114="FRAIS",$F114&gt;P_TFRAIS),"TEMPERATURE "&amp;TEXT($F114,"0.0")&amp;" C hors seuil frais. ","")&amp;IF($K114="BLOQUER","Lot bloque qualite : stock signale mais inchange. ","")&amp;IF($R114="EMPLACEMENT INCOHERENT","Lot absent de cet emplacement : controle conserve, stock inchange. ","")&amp;IF($R114="DONNEES MANQUANTES","Renseigner la DATE et au moins une mesure. ",""))</f>
        <v/>
      </c>
      <c r="T114" s="28" t="n">
        <f aca="false">IF(OR($C114="",$B114=""),0,IF(COUNTIFS(QC_LOT,$C114,QC_DATE,"&gt;"&amp;$B114)&gt;0,0,IF(COUNTIFS($C$5:$C114,$C114,$B$5:$B114,$B114)=COUNTIFS(QC_LOT,$C114,QC_DATE,$B114),1,0)))</f>
        <v>0</v>
      </c>
      <c r="U114" s="26" t="str">
        <f aca="false">IF($T114=1,$C114,"")</f>
        <v/>
      </c>
      <c r="V114" s="28" t="n">
        <f aca="false">IF($C114="",0,IF($C114=R_LOT,1,0))</f>
        <v>0</v>
      </c>
      <c r="W114" s="26" t="str">
        <f aca="false">IF($V114=0,"",COUNTIF($V$5:$V114,1))</f>
        <v/>
      </c>
    </row>
    <row r="115" customFormat="false" ht="15" hidden="false" customHeight="false" outlineLevel="0" collapsed="false">
      <c r="A115" s="26" t="str">
        <f aca="false">IF($C115="","","QC-"&amp;TEXT(ROW()-4,"000"))</f>
        <v/>
      </c>
      <c r="B115" s="25"/>
      <c r="C115" s="24"/>
      <c r="D115" s="24"/>
      <c r="E115" s="24"/>
      <c r="F115" s="32"/>
      <c r="G115" s="33"/>
      <c r="H115" s="24"/>
      <c r="I115" s="24"/>
      <c r="J115" s="24"/>
      <c r="K115" s="24"/>
      <c r="L115" s="24"/>
      <c r="M115" s="24"/>
      <c r="N115" s="26" t="str">
        <f aca="false">IF($C115="","",IFERROR(INDEX(LOT_EXTE,MATCH($C115,LOT_KEY,0)),""))</f>
        <v/>
      </c>
      <c r="O115" s="26" t="str">
        <f aca="false">IF($C115="","",IFERROR(INDEX(LOT_PRODE,MATCH($C115,LOT_KEY,0)),"LOT NON REFERENCE"))</f>
        <v/>
      </c>
      <c r="P115" s="26" t="str">
        <f aca="false">IF($C115="","",IFERROR(INDEX(LOT_CONSERVE,MATCH($C115,LOT_KEY,0)),""))</f>
        <v/>
      </c>
      <c r="Q115" s="27" t="str">
        <f aca="false">IF(OR($C115="",$D115=""),"",SUMIFS(MVT_NET,MVT_LOT,$C115,MVT_EMPL,$D115))</f>
        <v/>
      </c>
      <c r="R115" s="26" t="str">
        <f aca="false">IF($C115="","",IF(OR($B115="",AND($F115="",$G115="",$H115="",$I115="",$J115="",$K115="")),"DONNEES MANQUANTES",IF(AND($D115&lt;&gt;"",$Q115&lt;=0),"EMPLACEMENT INCOHERENT","OK")))</f>
        <v/>
      </c>
      <c r="S115" s="26" t="str">
        <f aca="false">IF($C115="","",IF(AND(ISNUMBER($G115),$G115&gt;P_HIST),"HISTAMINE "&amp;TEXT($G115,"#,##0")&amp;" PPM &gt; seuil "&amp;TEXT(P_HIST,"#,##0")&amp;". ","")&amp;IF(AND(ISNUMBER($F115),$P115="CONGELE",$F115&gt;P_TCONG),"TEMPERATURE "&amp;TEXT($F115,"0.0")&amp;" C hors seuil congele. ","")&amp;IF(AND(ISNUMBER($F115),$P115="FRAIS",$F115&gt;P_TFRAIS),"TEMPERATURE "&amp;TEXT($F115,"0.0")&amp;" C hors seuil frais. ","")&amp;IF($K115="BLOQUER","Lot bloque qualite : stock signale mais inchange. ","")&amp;IF($R115="EMPLACEMENT INCOHERENT","Lot absent de cet emplacement : controle conserve, stock inchange. ","")&amp;IF($R115="DONNEES MANQUANTES","Renseigner la DATE et au moins une mesure. ",""))</f>
        <v/>
      </c>
      <c r="T115" s="28" t="n">
        <f aca="false">IF(OR($C115="",$B115=""),0,IF(COUNTIFS(QC_LOT,$C115,QC_DATE,"&gt;"&amp;$B115)&gt;0,0,IF(COUNTIFS($C$5:$C115,$C115,$B$5:$B115,$B115)=COUNTIFS(QC_LOT,$C115,QC_DATE,$B115),1,0)))</f>
        <v>0</v>
      </c>
      <c r="U115" s="26" t="str">
        <f aca="false">IF($T115=1,$C115,"")</f>
        <v/>
      </c>
      <c r="V115" s="28" t="n">
        <f aca="false">IF($C115="",0,IF($C115=R_LOT,1,0))</f>
        <v>0</v>
      </c>
      <c r="W115" s="26" t="str">
        <f aca="false">IF($V115=0,"",COUNTIF($V$5:$V115,1))</f>
        <v/>
      </c>
    </row>
    <row r="116" customFormat="false" ht="15" hidden="false" customHeight="false" outlineLevel="0" collapsed="false">
      <c r="A116" s="26" t="str">
        <f aca="false">IF($C116="","","QC-"&amp;TEXT(ROW()-4,"000"))</f>
        <v/>
      </c>
      <c r="B116" s="25"/>
      <c r="C116" s="24"/>
      <c r="D116" s="24"/>
      <c r="E116" s="24"/>
      <c r="F116" s="32"/>
      <c r="G116" s="33"/>
      <c r="H116" s="24"/>
      <c r="I116" s="24"/>
      <c r="J116" s="24"/>
      <c r="K116" s="24"/>
      <c r="L116" s="24"/>
      <c r="M116" s="24"/>
      <c r="N116" s="26" t="str">
        <f aca="false">IF($C116="","",IFERROR(INDEX(LOT_EXTE,MATCH($C116,LOT_KEY,0)),""))</f>
        <v/>
      </c>
      <c r="O116" s="26" t="str">
        <f aca="false">IF($C116="","",IFERROR(INDEX(LOT_PRODE,MATCH($C116,LOT_KEY,0)),"LOT NON REFERENCE"))</f>
        <v/>
      </c>
      <c r="P116" s="26" t="str">
        <f aca="false">IF($C116="","",IFERROR(INDEX(LOT_CONSERVE,MATCH($C116,LOT_KEY,0)),""))</f>
        <v/>
      </c>
      <c r="Q116" s="27" t="str">
        <f aca="false">IF(OR($C116="",$D116=""),"",SUMIFS(MVT_NET,MVT_LOT,$C116,MVT_EMPL,$D116))</f>
        <v/>
      </c>
      <c r="R116" s="26" t="str">
        <f aca="false">IF($C116="","",IF(OR($B116="",AND($F116="",$G116="",$H116="",$I116="",$J116="",$K116="")),"DONNEES MANQUANTES",IF(AND($D116&lt;&gt;"",$Q116&lt;=0),"EMPLACEMENT INCOHERENT","OK")))</f>
        <v/>
      </c>
      <c r="S116" s="26" t="str">
        <f aca="false">IF($C116="","",IF(AND(ISNUMBER($G116),$G116&gt;P_HIST),"HISTAMINE "&amp;TEXT($G116,"#,##0")&amp;" PPM &gt; seuil "&amp;TEXT(P_HIST,"#,##0")&amp;". ","")&amp;IF(AND(ISNUMBER($F116),$P116="CONGELE",$F116&gt;P_TCONG),"TEMPERATURE "&amp;TEXT($F116,"0.0")&amp;" C hors seuil congele. ","")&amp;IF(AND(ISNUMBER($F116),$P116="FRAIS",$F116&gt;P_TFRAIS),"TEMPERATURE "&amp;TEXT($F116,"0.0")&amp;" C hors seuil frais. ","")&amp;IF($K116="BLOQUER","Lot bloque qualite : stock signale mais inchange. ","")&amp;IF($R116="EMPLACEMENT INCOHERENT","Lot absent de cet emplacement : controle conserve, stock inchange. ","")&amp;IF($R116="DONNEES MANQUANTES","Renseigner la DATE et au moins une mesure. ",""))</f>
        <v/>
      </c>
      <c r="T116" s="28" t="n">
        <f aca="false">IF(OR($C116="",$B116=""),0,IF(COUNTIFS(QC_LOT,$C116,QC_DATE,"&gt;"&amp;$B116)&gt;0,0,IF(COUNTIFS($C$5:$C116,$C116,$B$5:$B116,$B116)=COUNTIFS(QC_LOT,$C116,QC_DATE,$B116),1,0)))</f>
        <v>0</v>
      </c>
      <c r="U116" s="26" t="str">
        <f aca="false">IF($T116=1,$C116,"")</f>
        <v/>
      </c>
      <c r="V116" s="28" t="n">
        <f aca="false">IF($C116="",0,IF($C116=R_LOT,1,0))</f>
        <v>0</v>
      </c>
      <c r="W116" s="26" t="str">
        <f aca="false">IF($V116=0,"",COUNTIF($V$5:$V116,1))</f>
        <v/>
      </c>
    </row>
    <row r="117" customFormat="false" ht="15" hidden="false" customHeight="false" outlineLevel="0" collapsed="false">
      <c r="A117" s="26" t="str">
        <f aca="false">IF($C117="","","QC-"&amp;TEXT(ROW()-4,"000"))</f>
        <v/>
      </c>
      <c r="B117" s="25"/>
      <c r="C117" s="24"/>
      <c r="D117" s="24"/>
      <c r="E117" s="24"/>
      <c r="F117" s="32"/>
      <c r="G117" s="33"/>
      <c r="H117" s="24"/>
      <c r="I117" s="24"/>
      <c r="J117" s="24"/>
      <c r="K117" s="24"/>
      <c r="L117" s="24"/>
      <c r="M117" s="24"/>
      <c r="N117" s="26" t="str">
        <f aca="false">IF($C117="","",IFERROR(INDEX(LOT_EXTE,MATCH($C117,LOT_KEY,0)),""))</f>
        <v/>
      </c>
      <c r="O117" s="26" t="str">
        <f aca="false">IF($C117="","",IFERROR(INDEX(LOT_PRODE,MATCH($C117,LOT_KEY,0)),"LOT NON REFERENCE"))</f>
        <v/>
      </c>
      <c r="P117" s="26" t="str">
        <f aca="false">IF($C117="","",IFERROR(INDEX(LOT_CONSERVE,MATCH($C117,LOT_KEY,0)),""))</f>
        <v/>
      </c>
      <c r="Q117" s="27" t="str">
        <f aca="false">IF(OR($C117="",$D117=""),"",SUMIFS(MVT_NET,MVT_LOT,$C117,MVT_EMPL,$D117))</f>
        <v/>
      </c>
      <c r="R117" s="26" t="str">
        <f aca="false">IF($C117="","",IF(OR($B117="",AND($F117="",$G117="",$H117="",$I117="",$J117="",$K117="")),"DONNEES MANQUANTES",IF(AND($D117&lt;&gt;"",$Q117&lt;=0),"EMPLACEMENT INCOHERENT","OK")))</f>
        <v/>
      </c>
      <c r="S117" s="26" t="str">
        <f aca="false">IF($C117="","",IF(AND(ISNUMBER($G117),$G117&gt;P_HIST),"HISTAMINE "&amp;TEXT($G117,"#,##0")&amp;" PPM &gt; seuil "&amp;TEXT(P_HIST,"#,##0")&amp;". ","")&amp;IF(AND(ISNUMBER($F117),$P117="CONGELE",$F117&gt;P_TCONG),"TEMPERATURE "&amp;TEXT($F117,"0.0")&amp;" C hors seuil congele. ","")&amp;IF(AND(ISNUMBER($F117),$P117="FRAIS",$F117&gt;P_TFRAIS),"TEMPERATURE "&amp;TEXT($F117,"0.0")&amp;" C hors seuil frais. ","")&amp;IF($K117="BLOQUER","Lot bloque qualite : stock signale mais inchange. ","")&amp;IF($R117="EMPLACEMENT INCOHERENT","Lot absent de cet emplacement : controle conserve, stock inchange. ","")&amp;IF($R117="DONNEES MANQUANTES","Renseigner la DATE et au moins une mesure. ",""))</f>
        <v/>
      </c>
      <c r="T117" s="28" t="n">
        <f aca="false">IF(OR($C117="",$B117=""),0,IF(COUNTIFS(QC_LOT,$C117,QC_DATE,"&gt;"&amp;$B117)&gt;0,0,IF(COUNTIFS($C$5:$C117,$C117,$B$5:$B117,$B117)=COUNTIFS(QC_LOT,$C117,QC_DATE,$B117),1,0)))</f>
        <v>0</v>
      </c>
      <c r="U117" s="26" t="str">
        <f aca="false">IF($T117=1,$C117,"")</f>
        <v/>
      </c>
      <c r="V117" s="28" t="n">
        <f aca="false">IF($C117="",0,IF($C117=R_LOT,1,0))</f>
        <v>0</v>
      </c>
      <c r="W117" s="26" t="str">
        <f aca="false">IF($V117=0,"",COUNTIF($V$5:$V117,1))</f>
        <v/>
      </c>
    </row>
    <row r="118" customFormat="false" ht="15" hidden="false" customHeight="false" outlineLevel="0" collapsed="false">
      <c r="A118" s="26" t="str">
        <f aca="false">IF($C118="","","QC-"&amp;TEXT(ROW()-4,"000"))</f>
        <v/>
      </c>
      <c r="B118" s="25"/>
      <c r="C118" s="24"/>
      <c r="D118" s="24"/>
      <c r="E118" s="24"/>
      <c r="F118" s="32"/>
      <c r="G118" s="33"/>
      <c r="H118" s="24"/>
      <c r="I118" s="24"/>
      <c r="J118" s="24"/>
      <c r="K118" s="24"/>
      <c r="L118" s="24"/>
      <c r="M118" s="24"/>
      <c r="N118" s="26" t="str">
        <f aca="false">IF($C118="","",IFERROR(INDEX(LOT_EXTE,MATCH($C118,LOT_KEY,0)),""))</f>
        <v/>
      </c>
      <c r="O118" s="26" t="str">
        <f aca="false">IF($C118="","",IFERROR(INDEX(LOT_PRODE,MATCH($C118,LOT_KEY,0)),"LOT NON REFERENCE"))</f>
        <v/>
      </c>
      <c r="P118" s="26" t="str">
        <f aca="false">IF($C118="","",IFERROR(INDEX(LOT_CONSERVE,MATCH($C118,LOT_KEY,0)),""))</f>
        <v/>
      </c>
      <c r="Q118" s="27" t="str">
        <f aca="false">IF(OR($C118="",$D118=""),"",SUMIFS(MVT_NET,MVT_LOT,$C118,MVT_EMPL,$D118))</f>
        <v/>
      </c>
      <c r="R118" s="26" t="str">
        <f aca="false">IF($C118="","",IF(OR($B118="",AND($F118="",$G118="",$H118="",$I118="",$J118="",$K118="")),"DONNEES MANQUANTES",IF(AND($D118&lt;&gt;"",$Q118&lt;=0),"EMPLACEMENT INCOHERENT","OK")))</f>
        <v/>
      </c>
      <c r="S118" s="26" t="str">
        <f aca="false">IF($C118="","",IF(AND(ISNUMBER($G118),$G118&gt;P_HIST),"HISTAMINE "&amp;TEXT($G118,"#,##0")&amp;" PPM &gt; seuil "&amp;TEXT(P_HIST,"#,##0")&amp;". ","")&amp;IF(AND(ISNUMBER($F118),$P118="CONGELE",$F118&gt;P_TCONG),"TEMPERATURE "&amp;TEXT($F118,"0.0")&amp;" C hors seuil congele. ","")&amp;IF(AND(ISNUMBER($F118),$P118="FRAIS",$F118&gt;P_TFRAIS),"TEMPERATURE "&amp;TEXT($F118,"0.0")&amp;" C hors seuil frais. ","")&amp;IF($K118="BLOQUER","Lot bloque qualite : stock signale mais inchange. ","")&amp;IF($R118="EMPLACEMENT INCOHERENT","Lot absent de cet emplacement : controle conserve, stock inchange. ","")&amp;IF($R118="DONNEES MANQUANTES","Renseigner la DATE et au moins une mesure. ",""))</f>
        <v/>
      </c>
      <c r="T118" s="28" t="n">
        <f aca="false">IF(OR($C118="",$B118=""),0,IF(COUNTIFS(QC_LOT,$C118,QC_DATE,"&gt;"&amp;$B118)&gt;0,0,IF(COUNTIFS($C$5:$C118,$C118,$B$5:$B118,$B118)=COUNTIFS(QC_LOT,$C118,QC_DATE,$B118),1,0)))</f>
        <v>0</v>
      </c>
      <c r="U118" s="26" t="str">
        <f aca="false">IF($T118=1,$C118,"")</f>
        <v/>
      </c>
      <c r="V118" s="28" t="n">
        <f aca="false">IF($C118="",0,IF($C118=R_LOT,1,0))</f>
        <v>0</v>
      </c>
      <c r="W118" s="26" t="str">
        <f aca="false">IF($V118=0,"",COUNTIF($V$5:$V118,1))</f>
        <v/>
      </c>
    </row>
    <row r="119" customFormat="false" ht="15" hidden="false" customHeight="false" outlineLevel="0" collapsed="false">
      <c r="A119" s="26" t="str">
        <f aca="false">IF($C119="","","QC-"&amp;TEXT(ROW()-4,"000"))</f>
        <v/>
      </c>
      <c r="B119" s="25"/>
      <c r="C119" s="24"/>
      <c r="D119" s="24"/>
      <c r="E119" s="24"/>
      <c r="F119" s="32"/>
      <c r="G119" s="33"/>
      <c r="H119" s="24"/>
      <c r="I119" s="24"/>
      <c r="J119" s="24"/>
      <c r="K119" s="24"/>
      <c r="L119" s="24"/>
      <c r="M119" s="24"/>
      <c r="N119" s="26" t="str">
        <f aca="false">IF($C119="","",IFERROR(INDEX(LOT_EXTE,MATCH($C119,LOT_KEY,0)),""))</f>
        <v/>
      </c>
      <c r="O119" s="26" t="str">
        <f aca="false">IF($C119="","",IFERROR(INDEX(LOT_PRODE,MATCH($C119,LOT_KEY,0)),"LOT NON REFERENCE"))</f>
        <v/>
      </c>
      <c r="P119" s="26" t="str">
        <f aca="false">IF($C119="","",IFERROR(INDEX(LOT_CONSERVE,MATCH($C119,LOT_KEY,0)),""))</f>
        <v/>
      </c>
      <c r="Q119" s="27" t="str">
        <f aca="false">IF(OR($C119="",$D119=""),"",SUMIFS(MVT_NET,MVT_LOT,$C119,MVT_EMPL,$D119))</f>
        <v/>
      </c>
      <c r="R119" s="26" t="str">
        <f aca="false">IF($C119="","",IF(OR($B119="",AND($F119="",$G119="",$H119="",$I119="",$J119="",$K119="")),"DONNEES MANQUANTES",IF(AND($D119&lt;&gt;"",$Q119&lt;=0),"EMPLACEMENT INCOHERENT","OK")))</f>
        <v/>
      </c>
      <c r="S119" s="26" t="str">
        <f aca="false">IF($C119="","",IF(AND(ISNUMBER($G119),$G119&gt;P_HIST),"HISTAMINE "&amp;TEXT($G119,"#,##0")&amp;" PPM &gt; seuil "&amp;TEXT(P_HIST,"#,##0")&amp;". ","")&amp;IF(AND(ISNUMBER($F119),$P119="CONGELE",$F119&gt;P_TCONG),"TEMPERATURE "&amp;TEXT($F119,"0.0")&amp;" C hors seuil congele. ","")&amp;IF(AND(ISNUMBER($F119),$P119="FRAIS",$F119&gt;P_TFRAIS),"TEMPERATURE "&amp;TEXT($F119,"0.0")&amp;" C hors seuil frais. ","")&amp;IF($K119="BLOQUER","Lot bloque qualite : stock signale mais inchange. ","")&amp;IF($R119="EMPLACEMENT INCOHERENT","Lot absent de cet emplacement : controle conserve, stock inchange. ","")&amp;IF($R119="DONNEES MANQUANTES","Renseigner la DATE et au moins une mesure. ",""))</f>
        <v/>
      </c>
      <c r="T119" s="28" t="n">
        <f aca="false">IF(OR($C119="",$B119=""),0,IF(COUNTIFS(QC_LOT,$C119,QC_DATE,"&gt;"&amp;$B119)&gt;0,0,IF(COUNTIFS($C$5:$C119,$C119,$B$5:$B119,$B119)=COUNTIFS(QC_LOT,$C119,QC_DATE,$B119),1,0)))</f>
        <v>0</v>
      </c>
      <c r="U119" s="26" t="str">
        <f aca="false">IF($T119=1,$C119,"")</f>
        <v/>
      </c>
      <c r="V119" s="28" t="n">
        <f aca="false">IF($C119="",0,IF($C119=R_LOT,1,0))</f>
        <v>0</v>
      </c>
      <c r="W119" s="26" t="str">
        <f aca="false">IF($V119=0,"",COUNTIF($V$5:$V119,1))</f>
        <v/>
      </c>
    </row>
    <row r="120" customFormat="false" ht="15" hidden="false" customHeight="false" outlineLevel="0" collapsed="false">
      <c r="A120" s="26" t="str">
        <f aca="false">IF($C120="","","QC-"&amp;TEXT(ROW()-4,"000"))</f>
        <v/>
      </c>
      <c r="B120" s="25"/>
      <c r="C120" s="24"/>
      <c r="D120" s="24"/>
      <c r="E120" s="24"/>
      <c r="F120" s="32"/>
      <c r="G120" s="33"/>
      <c r="H120" s="24"/>
      <c r="I120" s="24"/>
      <c r="J120" s="24"/>
      <c r="K120" s="24"/>
      <c r="L120" s="24"/>
      <c r="M120" s="24"/>
      <c r="N120" s="26" t="str">
        <f aca="false">IF($C120="","",IFERROR(INDEX(LOT_EXTE,MATCH($C120,LOT_KEY,0)),""))</f>
        <v/>
      </c>
      <c r="O120" s="26" t="str">
        <f aca="false">IF($C120="","",IFERROR(INDEX(LOT_PRODE,MATCH($C120,LOT_KEY,0)),"LOT NON REFERENCE"))</f>
        <v/>
      </c>
      <c r="P120" s="26" t="str">
        <f aca="false">IF($C120="","",IFERROR(INDEX(LOT_CONSERVE,MATCH($C120,LOT_KEY,0)),""))</f>
        <v/>
      </c>
      <c r="Q120" s="27" t="str">
        <f aca="false">IF(OR($C120="",$D120=""),"",SUMIFS(MVT_NET,MVT_LOT,$C120,MVT_EMPL,$D120))</f>
        <v/>
      </c>
      <c r="R120" s="26" t="str">
        <f aca="false">IF($C120="","",IF(OR($B120="",AND($F120="",$G120="",$H120="",$I120="",$J120="",$K120="")),"DONNEES MANQUANTES",IF(AND($D120&lt;&gt;"",$Q120&lt;=0),"EMPLACEMENT INCOHERENT","OK")))</f>
        <v/>
      </c>
      <c r="S120" s="26" t="str">
        <f aca="false">IF($C120="","",IF(AND(ISNUMBER($G120),$G120&gt;P_HIST),"HISTAMINE "&amp;TEXT($G120,"#,##0")&amp;" PPM &gt; seuil "&amp;TEXT(P_HIST,"#,##0")&amp;". ","")&amp;IF(AND(ISNUMBER($F120),$P120="CONGELE",$F120&gt;P_TCONG),"TEMPERATURE "&amp;TEXT($F120,"0.0")&amp;" C hors seuil congele. ","")&amp;IF(AND(ISNUMBER($F120),$P120="FRAIS",$F120&gt;P_TFRAIS),"TEMPERATURE "&amp;TEXT($F120,"0.0")&amp;" C hors seuil frais. ","")&amp;IF($K120="BLOQUER","Lot bloque qualite : stock signale mais inchange. ","")&amp;IF($R120="EMPLACEMENT INCOHERENT","Lot absent de cet emplacement : controle conserve, stock inchange. ","")&amp;IF($R120="DONNEES MANQUANTES","Renseigner la DATE et au moins une mesure. ",""))</f>
        <v/>
      </c>
      <c r="T120" s="28" t="n">
        <f aca="false">IF(OR($C120="",$B120=""),0,IF(COUNTIFS(QC_LOT,$C120,QC_DATE,"&gt;"&amp;$B120)&gt;0,0,IF(COUNTIFS($C$5:$C120,$C120,$B$5:$B120,$B120)=COUNTIFS(QC_LOT,$C120,QC_DATE,$B120),1,0)))</f>
        <v>0</v>
      </c>
      <c r="U120" s="26" t="str">
        <f aca="false">IF($T120=1,$C120,"")</f>
        <v/>
      </c>
      <c r="V120" s="28" t="n">
        <f aca="false">IF($C120="",0,IF($C120=R_LOT,1,0))</f>
        <v>0</v>
      </c>
      <c r="W120" s="26" t="str">
        <f aca="false">IF($V120=0,"",COUNTIF($V$5:$V120,1))</f>
        <v/>
      </c>
    </row>
    <row r="121" customFormat="false" ht="15" hidden="false" customHeight="false" outlineLevel="0" collapsed="false">
      <c r="A121" s="26" t="str">
        <f aca="false">IF($C121="","","QC-"&amp;TEXT(ROW()-4,"000"))</f>
        <v/>
      </c>
      <c r="B121" s="25"/>
      <c r="C121" s="24"/>
      <c r="D121" s="24"/>
      <c r="E121" s="24"/>
      <c r="F121" s="32"/>
      <c r="G121" s="33"/>
      <c r="H121" s="24"/>
      <c r="I121" s="24"/>
      <c r="J121" s="24"/>
      <c r="K121" s="24"/>
      <c r="L121" s="24"/>
      <c r="M121" s="24"/>
      <c r="N121" s="26" t="str">
        <f aca="false">IF($C121="","",IFERROR(INDEX(LOT_EXTE,MATCH($C121,LOT_KEY,0)),""))</f>
        <v/>
      </c>
      <c r="O121" s="26" t="str">
        <f aca="false">IF($C121="","",IFERROR(INDEX(LOT_PRODE,MATCH($C121,LOT_KEY,0)),"LOT NON REFERENCE"))</f>
        <v/>
      </c>
      <c r="P121" s="26" t="str">
        <f aca="false">IF($C121="","",IFERROR(INDEX(LOT_CONSERVE,MATCH($C121,LOT_KEY,0)),""))</f>
        <v/>
      </c>
      <c r="Q121" s="27" t="str">
        <f aca="false">IF(OR($C121="",$D121=""),"",SUMIFS(MVT_NET,MVT_LOT,$C121,MVT_EMPL,$D121))</f>
        <v/>
      </c>
      <c r="R121" s="26" t="str">
        <f aca="false">IF($C121="","",IF(OR($B121="",AND($F121="",$G121="",$H121="",$I121="",$J121="",$K121="")),"DONNEES MANQUANTES",IF(AND($D121&lt;&gt;"",$Q121&lt;=0),"EMPLACEMENT INCOHERENT","OK")))</f>
        <v/>
      </c>
      <c r="S121" s="26" t="str">
        <f aca="false">IF($C121="","",IF(AND(ISNUMBER($G121),$G121&gt;P_HIST),"HISTAMINE "&amp;TEXT($G121,"#,##0")&amp;" PPM &gt; seuil "&amp;TEXT(P_HIST,"#,##0")&amp;". ","")&amp;IF(AND(ISNUMBER($F121),$P121="CONGELE",$F121&gt;P_TCONG),"TEMPERATURE "&amp;TEXT($F121,"0.0")&amp;" C hors seuil congele. ","")&amp;IF(AND(ISNUMBER($F121),$P121="FRAIS",$F121&gt;P_TFRAIS),"TEMPERATURE "&amp;TEXT($F121,"0.0")&amp;" C hors seuil frais. ","")&amp;IF($K121="BLOQUER","Lot bloque qualite : stock signale mais inchange. ","")&amp;IF($R121="EMPLACEMENT INCOHERENT","Lot absent de cet emplacement : controle conserve, stock inchange. ","")&amp;IF($R121="DONNEES MANQUANTES","Renseigner la DATE et au moins une mesure. ",""))</f>
        <v/>
      </c>
      <c r="T121" s="28" t="n">
        <f aca="false">IF(OR($C121="",$B121=""),0,IF(COUNTIFS(QC_LOT,$C121,QC_DATE,"&gt;"&amp;$B121)&gt;0,0,IF(COUNTIFS($C$5:$C121,$C121,$B$5:$B121,$B121)=COUNTIFS(QC_LOT,$C121,QC_DATE,$B121),1,0)))</f>
        <v>0</v>
      </c>
      <c r="U121" s="26" t="str">
        <f aca="false">IF($T121=1,$C121,"")</f>
        <v/>
      </c>
      <c r="V121" s="28" t="n">
        <f aca="false">IF($C121="",0,IF($C121=R_LOT,1,0))</f>
        <v>0</v>
      </c>
      <c r="W121" s="26" t="str">
        <f aca="false">IF($V121=0,"",COUNTIF($V$5:$V121,1))</f>
        <v/>
      </c>
    </row>
    <row r="122" customFormat="false" ht="15" hidden="false" customHeight="false" outlineLevel="0" collapsed="false">
      <c r="A122" s="26" t="str">
        <f aca="false">IF($C122="","","QC-"&amp;TEXT(ROW()-4,"000"))</f>
        <v/>
      </c>
      <c r="B122" s="25"/>
      <c r="C122" s="24"/>
      <c r="D122" s="24"/>
      <c r="E122" s="24"/>
      <c r="F122" s="32"/>
      <c r="G122" s="33"/>
      <c r="H122" s="24"/>
      <c r="I122" s="24"/>
      <c r="J122" s="24"/>
      <c r="K122" s="24"/>
      <c r="L122" s="24"/>
      <c r="M122" s="24"/>
      <c r="N122" s="26" t="str">
        <f aca="false">IF($C122="","",IFERROR(INDEX(LOT_EXTE,MATCH($C122,LOT_KEY,0)),""))</f>
        <v/>
      </c>
      <c r="O122" s="26" t="str">
        <f aca="false">IF($C122="","",IFERROR(INDEX(LOT_PRODE,MATCH($C122,LOT_KEY,0)),"LOT NON REFERENCE"))</f>
        <v/>
      </c>
      <c r="P122" s="26" t="str">
        <f aca="false">IF($C122="","",IFERROR(INDEX(LOT_CONSERVE,MATCH($C122,LOT_KEY,0)),""))</f>
        <v/>
      </c>
      <c r="Q122" s="27" t="str">
        <f aca="false">IF(OR($C122="",$D122=""),"",SUMIFS(MVT_NET,MVT_LOT,$C122,MVT_EMPL,$D122))</f>
        <v/>
      </c>
      <c r="R122" s="26" t="str">
        <f aca="false">IF($C122="","",IF(OR($B122="",AND($F122="",$G122="",$H122="",$I122="",$J122="",$K122="")),"DONNEES MANQUANTES",IF(AND($D122&lt;&gt;"",$Q122&lt;=0),"EMPLACEMENT INCOHERENT","OK")))</f>
        <v/>
      </c>
      <c r="S122" s="26" t="str">
        <f aca="false">IF($C122="","",IF(AND(ISNUMBER($G122),$G122&gt;P_HIST),"HISTAMINE "&amp;TEXT($G122,"#,##0")&amp;" PPM &gt; seuil "&amp;TEXT(P_HIST,"#,##0")&amp;". ","")&amp;IF(AND(ISNUMBER($F122),$P122="CONGELE",$F122&gt;P_TCONG),"TEMPERATURE "&amp;TEXT($F122,"0.0")&amp;" C hors seuil congele. ","")&amp;IF(AND(ISNUMBER($F122),$P122="FRAIS",$F122&gt;P_TFRAIS),"TEMPERATURE "&amp;TEXT($F122,"0.0")&amp;" C hors seuil frais. ","")&amp;IF($K122="BLOQUER","Lot bloque qualite : stock signale mais inchange. ","")&amp;IF($R122="EMPLACEMENT INCOHERENT","Lot absent de cet emplacement : controle conserve, stock inchange. ","")&amp;IF($R122="DONNEES MANQUANTES","Renseigner la DATE et au moins une mesure. ",""))</f>
        <v/>
      </c>
      <c r="T122" s="28" t="n">
        <f aca="false">IF(OR($C122="",$B122=""),0,IF(COUNTIFS(QC_LOT,$C122,QC_DATE,"&gt;"&amp;$B122)&gt;0,0,IF(COUNTIFS($C$5:$C122,$C122,$B$5:$B122,$B122)=COUNTIFS(QC_LOT,$C122,QC_DATE,$B122),1,0)))</f>
        <v>0</v>
      </c>
      <c r="U122" s="26" t="str">
        <f aca="false">IF($T122=1,$C122,"")</f>
        <v/>
      </c>
      <c r="V122" s="28" t="n">
        <f aca="false">IF($C122="",0,IF($C122=R_LOT,1,0))</f>
        <v>0</v>
      </c>
      <c r="W122" s="26" t="str">
        <f aca="false">IF($V122=0,"",COUNTIF($V$5:$V122,1))</f>
        <v/>
      </c>
    </row>
    <row r="123" customFormat="false" ht="15" hidden="false" customHeight="false" outlineLevel="0" collapsed="false">
      <c r="A123" s="26" t="str">
        <f aca="false">IF($C123="","","QC-"&amp;TEXT(ROW()-4,"000"))</f>
        <v/>
      </c>
      <c r="B123" s="25"/>
      <c r="C123" s="24"/>
      <c r="D123" s="24"/>
      <c r="E123" s="24"/>
      <c r="F123" s="32"/>
      <c r="G123" s="33"/>
      <c r="H123" s="24"/>
      <c r="I123" s="24"/>
      <c r="J123" s="24"/>
      <c r="K123" s="24"/>
      <c r="L123" s="24"/>
      <c r="M123" s="24"/>
      <c r="N123" s="26" t="str">
        <f aca="false">IF($C123="","",IFERROR(INDEX(LOT_EXTE,MATCH($C123,LOT_KEY,0)),""))</f>
        <v/>
      </c>
      <c r="O123" s="26" t="str">
        <f aca="false">IF($C123="","",IFERROR(INDEX(LOT_PRODE,MATCH($C123,LOT_KEY,0)),"LOT NON REFERENCE"))</f>
        <v/>
      </c>
      <c r="P123" s="26" t="str">
        <f aca="false">IF($C123="","",IFERROR(INDEX(LOT_CONSERVE,MATCH($C123,LOT_KEY,0)),""))</f>
        <v/>
      </c>
      <c r="Q123" s="27" t="str">
        <f aca="false">IF(OR($C123="",$D123=""),"",SUMIFS(MVT_NET,MVT_LOT,$C123,MVT_EMPL,$D123))</f>
        <v/>
      </c>
      <c r="R123" s="26" t="str">
        <f aca="false">IF($C123="","",IF(OR($B123="",AND($F123="",$G123="",$H123="",$I123="",$J123="",$K123="")),"DONNEES MANQUANTES",IF(AND($D123&lt;&gt;"",$Q123&lt;=0),"EMPLACEMENT INCOHERENT","OK")))</f>
        <v/>
      </c>
      <c r="S123" s="26" t="str">
        <f aca="false">IF($C123="","",IF(AND(ISNUMBER($G123),$G123&gt;P_HIST),"HISTAMINE "&amp;TEXT($G123,"#,##0")&amp;" PPM &gt; seuil "&amp;TEXT(P_HIST,"#,##0")&amp;". ","")&amp;IF(AND(ISNUMBER($F123),$P123="CONGELE",$F123&gt;P_TCONG),"TEMPERATURE "&amp;TEXT($F123,"0.0")&amp;" C hors seuil congele. ","")&amp;IF(AND(ISNUMBER($F123),$P123="FRAIS",$F123&gt;P_TFRAIS),"TEMPERATURE "&amp;TEXT($F123,"0.0")&amp;" C hors seuil frais. ","")&amp;IF($K123="BLOQUER","Lot bloque qualite : stock signale mais inchange. ","")&amp;IF($R123="EMPLACEMENT INCOHERENT","Lot absent de cet emplacement : controle conserve, stock inchange. ","")&amp;IF($R123="DONNEES MANQUANTES","Renseigner la DATE et au moins une mesure. ",""))</f>
        <v/>
      </c>
      <c r="T123" s="28" t="n">
        <f aca="false">IF(OR($C123="",$B123=""),0,IF(COUNTIFS(QC_LOT,$C123,QC_DATE,"&gt;"&amp;$B123)&gt;0,0,IF(COUNTIFS($C$5:$C123,$C123,$B$5:$B123,$B123)=COUNTIFS(QC_LOT,$C123,QC_DATE,$B123),1,0)))</f>
        <v>0</v>
      </c>
      <c r="U123" s="26" t="str">
        <f aca="false">IF($T123=1,$C123,"")</f>
        <v/>
      </c>
      <c r="V123" s="28" t="n">
        <f aca="false">IF($C123="",0,IF($C123=R_LOT,1,0))</f>
        <v>0</v>
      </c>
      <c r="W123" s="26" t="str">
        <f aca="false">IF($V123=0,"",COUNTIF($V$5:$V123,1))</f>
        <v/>
      </c>
    </row>
    <row r="124" customFormat="false" ht="15" hidden="false" customHeight="false" outlineLevel="0" collapsed="false">
      <c r="A124" s="26" t="str">
        <f aca="false">IF($C124="","","QC-"&amp;TEXT(ROW()-4,"000"))</f>
        <v/>
      </c>
      <c r="B124" s="25"/>
      <c r="C124" s="24"/>
      <c r="D124" s="24"/>
      <c r="E124" s="24"/>
      <c r="F124" s="32"/>
      <c r="G124" s="33"/>
      <c r="H124" s="24"/>
      <c r="I124" s="24"/>
      <c r="J124" s="24"/>
      <c r="K124" s="24"/>
      <c r="L124" s="24"/>
      <c r="M124" s="24"/>
      <c r="N124" s="26" t="str">
        <f aca="false">IF($C124="","",IFERROR(INDEX(LOT_EXTE,MATCH($C124,LOT_KEY,0)),""))</f>
        <v/>
      </c>
      <c r="O124" s="26" t="str">
        <f aca="false">IF($C124="","",IFERROR(INDEX(LOT_PRODE,MATCH($C124,LOT_KEY,0)),"LOT NON REFERENCE"))</f>
        <v/>
      </c>
      <c r="P124" s="26" t="str">
        <f aca="false">IF($C124="","",IFERROR(INDEX(LOT_CONSERVE,MATCH($C124,LOT_KEY,0)),""))</f>
        <v/>
      </c>
      <c r="Q124" s="27" t="str">
        <f aca="false">IF(OR($C124="",$D124=""),"",SUMIFS(MVT_NET,MVT_LOT,$C124,MVT_EMPL,$D124))</f>
        <v/>
      </c>
      <c r="R124" s="26" t="str">
        <f aca="false">IF($C124="","",IF(OR($B124="",AND($F124="",$G124="",$H124="",$I124="",$J124="",$K124="")),"DONNEES MANQUANTES",IF(AND($D124&lt;&gt;"",$Q124&lt;=0),"EMPLACEMENT INCOHERENT","OK")))</f>
        <v/>
      </c>
      <c r="S124" s="26" t="str">
        <f aca="false">IF($C124="","",IF(AND(ISNUMBER($G124),$G124&gt;P_HIST),"HISTAMINE "&amp;TEXT($G124,"#,##0")&amp;" PPM &gt; seuil "&amp;TEXT(P_HIST,"#,##0")&amp;". ","")&amp;IF(AND(ISNUMBER($F124),$P124="CONGELE",$F124&gt;P_TCONG),"TEMPERATURE "&amp;TEXT($F124,"0.0")&amp;" C hors seuil congele. ","")&amp;IF(AND(ISNUMBER($F124),$P124="FRAIS",$F124&gt;P_TFRAIS),"TEMPERATURE "&amp;TEXT($F124,"0.0")&amp;" C hors seuil frais. ","")&amp;IF($K124="BLOQUER","Lot bloque qualite : stock signale mais inchange. ","")&amp;IF($R124="EMPLACEMENT INCOHERENT","Lot absent de cet emplacement : controle conserve, stock inchange. ","")&amp;IF($R124="DONNEES MANQUANTES","Renseigner la DATE et au moins une mesure. ",""))</f>
        <v/>
      </c>
      <c r="T124" s="28" t="n">
        <f aca="false">IF(OR($C124="",$B124=""),0,IF(COUNTIFS(QC_LOT,$C124,QC_DATE,"&gt;"&amp;$B124)&gt;0,0,IF(COUNTIFS($C$5:$C124,$C124,$B$5:$B124,$B124)=COUNTIFS(QC_LOT,$C124,QC_DATE,$B124),1,0)))</f>
        <v>0</v>
      </c>
      <c r="U124" s="26" t="str">
        <f aca="false">IF($T124=1,$C124,"")</f>
        <v/>
      </c>
      <c r="V124" s="28" t="n">
        <f aca="false">IF($C124="",0,IF($C124=R_LOT,1,0))</f>
        <v>0</v>
      </c>
      <c r="W124" s="26" t="str">
        <f aca="false">IF($V124=0,"",COUNTIF($V$5:$V124,1))</f>
        <v/>
      </c>
    </row>
    <row r="125" customFormat="false" ht="15" hidden="false" customHeight="false" outlineLevel="0" collapsed="false">
      <c r="A125" s="26" t="str">
        <f aca="false">IF($C125="","","QC-"&amp;TEXT(ROW()-4,"000"))</f>
        <v/>
      </c>
      <c r="B125" s="25"/>
      <c r="C125" s="24"/>
      <c r="D125" s="24"/>
      <c r="E125" s="24"/>
      <c r="F125" s="32"/>
      <c r="G125" s="33"/>
      <c r="H125" s="24"/>
      <c r="I125" s="24"/>
      <c r="J125" s="24"/>
      <c r="K125" s="24"/>
      <c r="L125" s="24"/>
      <c r="M125" s="24"/>
      <c r="N125" s="26" t="str">
        <f aca="false">IF($C125="","",IFERROR(INDEX(LOT_EXTE,MATCH($C125,LOT_KEY,0)),""))</f>
        <v/>
      </c>
      <c r="O125" s="26" t="str">
        <f aca="false">IF($C125="","",IFERROR(INDEX(LOT_PRODE,MATCH($C125,LOT_KEY,0)),"LOT NON REFERENCE"))</f>
        <v/>
      </c>
      <c r="P125" s="26" t="str">
        <f aca="false">IF($C125="","",IFERROR(INDEX(LOT_CONSERVE,MATCH($C125,LOT_KEY,0)),""))</f>
        <v/>
      </c>
      <c r="Q125" s="27" t="str">
        <f aca="false">IF(OR($C125="",$D125=""),"",SUMIFS(MVT_NET,MVT_LOT,$C125,MVT_EMPL,$D125))</f>
        <v/>
      </c>
      <c r="R125" s="26" t="str">
        <f aca="false">IF($C125="","",IF(OR($B125="",AND($F125="",$G125="",$H125="",$I125="",$J125="",$K125="")),"DONNEES MANQUANTES",IF(AND($D125&lt;&gt;"",$Q125&lt;=0),"EMPLACEMENT INCOHERENT","OK")))</f>
        <v/>
      </c>
      <c r="S125" s="26" t="str">
        <f aca="false">IF($C125="","",IF(AND(ISNUMBER($G125),$G125&gt;P_HIST),"HISTAMINE "&amp;TEXT($G125,"#,##0")&amp;" PPM &gt; seuil "&amp;TEXT(P_HIST,"#,##0")&amp;". ","")&amp;IF(AND(ISNUMBER($F125),$P125="CONGELE",$F125&gt;P_TCONG),"TEMPERATURE "&amp;TEXT($F125,"0.0")&amp;" C hors seuil congele. ","")&amp;IF(AND(ISNUMBER($F125),$P125="FRAIS",$F125&gt;P_TFRAIS),"TEMPERATURE "&amp;TEXT($F125,"0.0")&amp;" C hors seuil frais. ","")&amp;IF($K125="BLOQUER","Lot bloque qualite : stock signale mais inchange. ","")&amp;IF($R125="EMPLACEMENT INCOHERENT","Lot absent de cet emplacement : controle conserve, stock inchange. ","")&amp;IF($R125="DONNEES MANQUANTES","Renseigner la DATE et au moins une mesure. ",""))</f>
        <v/>
      </c>
      <c r="T125" s="28" t="n">
        <f aca="false">IF(OR($C125="",$B125=""),0,IF(COUNTIFS(QC_LOT,$C125,QC_DATE,"&gt;"&amp;$B125)&gt;0,0,IF(COUNTIFS($C$5:$C125,$C125,$B$5:$B125,$B125)=COUNTIFS(QC_LOT,$C125,QC_DATE,$B125),1,0)))</f>
        <v>0</v>
      </c>
      <c r="U125" s="26" t="str">
        <f aca="false">IF($T125=1,$C125,"")</f>
        <v/>
      </c>
      <c r="V125" s="28" t="n">
        <f aca="false">IF($C125="",0,IF($C125=R_LOT,1,0))</f>
        <v>0</v>
      </c>
      <c r="W125" s="26" t="str">
        <f aca="false">IF($V125=0,"",COUNTIF($V$5:$V125,1))</f>
        <v/>
      </c>
    </row>
    <row r="126" customFormat="false" ht="15" hidden="false" customHeight="false" outlineLevel="0" collapsed="false">
      <c r="A126" s="26" t="str">
        <f aca="false">IF($C126="","","QC-"&amp;TEXT(ROW()-4,"000"))</f>
        <v/>
      </c>
      <c r="B126" s="25"/>
      <c r="C126" s="24"/>
      <c r="D126" s="24"/>
      <c r="E126" s="24"/>
      <c r="F126" s="32"/>
      <c r="G126" s="33"/>
      <c r="H126" s="24"/>
      <c r="I126" s="24"/>
      <c r="J126" s="24"/>
      <c r="K126" s="24"/>
      <c r="L126" s="24"/>
      <c r="M126" s="24"/>
      <c r="N126" s="26" t="str">
        <f aca="false">IF($C126="","",IFERROR(INDEX(LOT_EXTE,MATCH($C126,LOT_KEY,0)),""))</f>
        <v/>
      </c>
      <c r="O126" s="26" t="str">
        <f aca="false">IF($C126="","",IFERROR(INDEX(LOT_PRODE,MATCH($C126,LOT_KEY,0)),"LOT NON REFERENCE"))</f>
        <v/>
      </c>
      <c r="P126" s="26" t="str">
        <f aca="false">IF($C126="","",IFERROR(INDEX(LOT_CONSERVE,MATCH($C126,LOT_KEY,0)),""))</f>
        <v/>
      </c>
      <c r="Q126" s="27" t="str">
        <f aca="false">IF(OR($C126="",$D126=""),"",SUMIFS(MVT_NET,MVT_LOT,$C126,MVT_EMPL,$D126))</f>
        <v/>
      </c>
      <c r="R126" s="26" t="str">
        <f aca="false">IF($C126="","",IF(OR($B126="",AND($F126="",$G126="",$H126="",$I126="",$J126="",$K126="")),"DONNEES MANQUANTES",IF(AND($D126&lt;&gt;"",$Q126&lt;=0),"EMPLACEMENT INCOHERENT","OK")))</f>
        <v/>
      </c>
      <c r="S126" s="26" t="str">
        <f aca="false">IF($C126="","",IF(AND(ISNUMBER($G126),$G126&gt;P_HIST),"HISTAMINE "&amp;TEXT($G126,"#,##0")&amp;" PPM &gt; seuil "&amp;TEXT(P_HIST,"#,##0")&amp;". ","")&amp;IF(AND(ISNUMBER($F126),$P126="CONGELE",$F126&gt;P_TCONG),"TEMPERATURE "&amp;TEXT($F126,"0.0")&amp;" C hors seuil congele. ","")&amp;IF(AND(ISNUMBER($F126),$P126="FRAIS",$F126&gt;P_TFRAIS),"TEMPERATURE "&amp;TEXT($F126,"0.0")&amp;" C hors seuil frais. ","")&amp;IF($K126="BLOQUER","Lot bloque qualite : stock signale mais inchange. ","")&amp;IF($R126="EMPLACEMENT INCOHERENT","Lot absent de cet emplacement : controle conserve, stock inchange. ","")&amp;IF($R126="DONNEES MANQUANTES","Renseigner la DATE et au moins une mesure. ",""))</f>
        <v/>
      </c>
      <c r="T126" s="28" t="n">
        <f aca="false">IF(OR($C126="",$B126=""),0,IF(COUNTIFS(QC_LOT,$C126,QC_DATE,"&gt;"&amp;$B126)&gt;0,0,IF(COUNTIFS($C$5:$C126,$C126,$B$5:$B126,$B126)=COUNTIFS(QC_LOT,$C126,QC_DATE,$B126),1,0)))</f>
        <v>0</v>
      </c>
      <c r="U126" s="26" t="str">
        <f aca="false">IF($T126=1,$C126,"")</f>
        <v/>
      </c>
      <c r="V126" s="28" t="n">
        <f aca="false">IF($C126="",0,IF($C126=R_LOT,1,0))</f>
        <v>0</v>
      </c>
      <c r="W126" s="26" t="str">
        <f aca="false">IF($V126=0,"",COUNTIF($V$5:$V126,1))</f>
        <v/>
      </c>
    </row>
    <row r="127" customFormat="false" ht="15" hidden="false" customHeight="false" outlineLevel="0" collapsed="false">
      <c r="A127" s="26" t="str">
        <f aca="false">IF($C127="","","QC-"&amp;TEXT(ROW()-4,"000"))</f>
        <v/>
      </c>
      <c r="B127" s="25"/>
      <c r="C127" s="24"/>
      <c r="D127" s="24"/>
      <c r="E127" s="24"/>
      <c r="F127" s="32"/>
      <c r="G127" s="33"/>
      <c r="H127" s="24"/>
      <c r="I127" s="24"/>
      <c r="J127" s="24"/>
      <c r="K127" s="24"/>
      <c r="L127" s="24"/>
      <c r="M127" s="24"/>
      <c r="N127" s="26" t="str">
        <f aca="false">IF($C127="","",IFERROR(INDEX(LOT_EXTE,MATCH($C127,LOT_KEY,0)),""))</f>
        <v/>
      </c>
      <c r="O127" s="26" t="str">
        <f aca="false">IF($C127="","",IFERROR(INDEX(LOT_PRODE,MATCH($C127,LOT_KEY,0)),"LOT NON REFERENCE"))</f>
        <v/>
      </c>
      <c r="P127" s="26" t="str">
        <f aca="false">IF($C127="","",IFERROR(INDEX(LOT_CONSERVE,MATCH($C127,LOT_KEY,0)),""))</f>
        <v/>
      </c>
      <c r="Q127" s="27" t="str">
        <f aca="false">IF(OR($C127="",$D127=""),"",SUMIFS(MVT_NET,MVT_LOT,$C127,MVT_EMPL,$D127))</f>
        <v/>
      </c>
      <c r="R127" s="26" t="str">
        <f aca="false">IF($C127="","",IF(OR($B127="",AND($F127="",$G127="",$H127="",$I127="",$J127="",$K127="")),"DONNEES MANQUANTES",IF(AND($D127&lt;&gt;"",$Q127&lt;=0),"EMPLACEMENT INCOHERENT","OK")))</f>
        <v/>
      </c>
      <c r="S127" s="26" t="str">
        <f aca="false">IF($C127="","",IF(AND(ISNUMBER($G127),$G127&gt;P_HIST),"HISTAMINE "&amp;TEXT($G127,"#,##0")&amp;" PPM &gt; seuil "&amp;TEXT(P_HIST,"#,##0")&amp;". ","")&amp;IF(AND(ISNUMBER($F127),$P127="CONGELE",$F127&gt;P_TCONG),"TEMPERATURE "&amp;TEXT($F127,"0.0")&amp;" C hors seuil congele. ","")&amp;IF(AND(ISNUMBER($F127),$P127="FRAIS",$F127&gt;P_TFRAIS),"TEMPERATURE "&amp;TEXT($F127,"0.0")&amp;" C hors seuil frais. ","")&amp;IF($K127="BLOQUER","Lot bloque qualite : stock signale mais inchange. ","")&amp;IF($R127="EMPLACEMENT INCOHERENT","Lot absent de cet emplacement : controle conserve, stock inchange. ","")&amp;IF($R127="DONNEES MANQUANTES","Renseigner la DATE et au moins une mesure. ",""))</f>
        <v/>
      </c>
      <c r="T127" s="28" t="n">
        <f aca="false">IF(OR($C127="",$B127=""),0,IF(COUNTIFS(QC_LOT,$C127,QC_DATE,"&gt;"&amp;$B127)&gt;0,0,IF(COUNTIFS($C$5:$C127,$C127,$B$5:$B127,$B127)=COUNTIFS(QC_LOT,$C127,QC_DATE,$B127),1,0)))</f>
        <v>0</v>
      </c>
      <c r="U127" s="26" t="str">
        <f aca="false">IF($T127=1,$C127,"")</f>
        <v/>
      </c>
      <c r="V127" s="28" t="n">
        <f aca="false">IF($C127="",0,IF($C127=R_LOT,1,0))</f>
        <v>0</v>
      </c>
      <c r="W127" s="26" t="str">
        <f aca="false">IF($V127=0,"",COUNTIF($V$5:$V127,1))</f>
        <v/>
      </c>
    </row>
    <row r="128" customFormat="false" ht="15" hidden="false" customHeight="false" outlineLevel="0" collapsed="false">
      <c r="A128" s="26" t="str">
        <f aca="false">IF($C128="","","QC-"&amp;TEXT(ROW()-4,"000"))</f>
        <v/>
      </c>
      <c r="B128" s="25"/>
      <c r="C128" s="24"/>
      <c r="D128" s="24"/>
      <c r="E128" s="24"/>
      <c r="F128" s="32"/>
      <c r="G128" s="33"/>
      <c r="H128" s="24"/>
      <c r="I128" s="24"/>
      <c r="J128" s="24"/>
      <c r="K128" s="24"/>
      <c r="L128" s="24"/>
      <c r="M128" s="24"/>
      <c r="N128" s="26" t="str">
        <f aca="false">IF($C128="","",IFERROR(INDEX(LOT_EXTE,MATCH($C128,LOT_KEY,0)),""))</f>
        <v/>
      </c>
      <c r="O128" s="26" t="str">
        <f aca="false">IF($C128="","",IFERROR(INDEX(LOT_PRODE,MATCH($C128,LOT_KEY,0)),"LOT NON REFERENCE"))</f>
        <v/>
      </c>
      <c r="P128" s="26" t="str">
        <f aca="false">IF($C128="","",IFERROR(INDEX(LOT_CONSERVE,MATCH($C128,LOT_KEY,0)),""))</f>
        <v/>
      </c>
      <c r="Q128" s="27" t="str">
        <f aca="false">IF(OR($C128="",$D128=""),"",SUMIFS(MVT_NET,MVT_LOT,$C128,MVT_EMPL,$D128))</f>
        <v/>
      </c>
      <c r="R128" s="26" t="str">
        <f aca="false">IF($C128="","",IF(OR($B128="",AND($F128="",$G128="",$H128="",$I128="",$J128="",$K128="")),"DONNEES MANQUANTES",IF(AND($D128&lt;&gt;"",$Q128&lt;=0),"EMPLACEMENT INCOHERENT","OK")))</f>
        <v/>
      </c>
      <c r="S128" s="26" t="str">
        <f aca="false">IF($C128="","",IF(AND(ISNUMBER($G128),$G128&gt;P_HIST),"HISTAMINE "&amp;TEXT($G128,"#,##0")&amp;" PPM &gt; seuil "&amp;TEXT(P_HIST,"#,##0")&amp;". ","")&amp;IF(AND(ISNUMBER($F128),$P128="CONGELE",$F128&gt;P_TCONG),"TEMPERATURE "&amp;TEXT($F128,"0.0")&amp;" C hors seuil congele. ","")&amp;IF(AND(ISNUMBER($F128),$P128="FRAIS",$F128&gt;P_TFRAIS),"TEMPERATURE "&amp;TEXT($F128,"0.0")&amp;" C hors seuil frais. ","")&amp;IF($K128="BLOQUER","Lot bloque qualite : stock signale mais inchange. ","")&amp;IF($R128="EMPLACEMENT INCOHERENT","Lot absent de cet emplacement : controle conserve, stock inchange. ","")&amp;IF($R128="DONNEES MANQUANTES","Renseigner la DATE et au moins une mesure. ",""))</f>
        <v/>
      </c>
      <c r="T128" s="28" t="n">
        <f aca="false">IF(OR($C128="",$B128=""),0,IF(COUNTIFS(QC_LOT,$C128,QC_DATE,"&gt;"&amp;$B128)&gt;0,0,IF(COUNTIFS($C$5:$C128,$C128,$B$5:$B128,$B128)=COUNTIFS(QC_LOT,$C128,QC_DATE,$B128),1,0)))</f>
        <v>0</v>
      </c>
      <c r="U128" s="26" t="str">
        <f aca="false">IF($T128=1,$C128,"")</f>
        <v/>
      </c>
      <c r="V128" s="28" t="n">
        <f aca="false">IF($C128="",0,IF($C128=R_LOT,1,0))</f>
        <v>0</v>
      </c>
      <c r="W128" s="26" t="str">
        <f aca="false">IF($V128=0,"",COUNTIF($V$5:$V128,1))</f>
        <v/>
      </c>
    </row>
    <row r="129" customFormat="false" ht="15" hidden="false" customHeight="false" outlineLevel="0" collapsed="false">
      <c r="A129" s="26" t="str">
        <f aca="false">IF($C129="","","QC-"&amp;TEXT(ROW()-4,"000"))</f>
        <v/>
      </c>
      <c r="B129" s="25"/>
      <c r="C129" s="24"/>
      <c r="D129" s="24"/>
      <c r="E129" s="24"/>
      <c r="F129" s="32"/>
      <c r="G129" s="33"/>
      <c r="H129" s="24"/>
      <c r="I129" s="24"/>
      <c r="J129" s="24"/>
      <c r="K129" s="24"/>
      <c r="L129" s="24"/>
      <c r="M129" s="24"/>
      <c r="N129" s="26" t="str">
        <f aca="false">IF($C129="","",IFERROR(INDEX(LOT_EXTE,MATCH($C129,LOT_KEY,0)),""))</f>
        <v/>
      </c>
      <c r="O129" s="26" t="str">
        <f aca="false">IF($C129="","",IFERROR(INDEX(LOT_PRODE,MATCH($C129,LOT_KEY,0)),"LOT NON REFERENCE"))</f>
        <v/>
      </c>
      <c r="P129" s="26" t="str">
        <f aca="false">IF($C129="","",IFERROR(INDEX(LOT_CONSERVE,MATCH($C129,LOT_KEY,0)),""))</f>
        <v/>
      </c>
      <c r="Q129" s="27" t="str">
        <f aca="false">IF(OR($C129="",$D129=""),"",SUMIFS(MVT_NET,MVT_LOT,$C129,MVT_EMPL,$D129))</f>
        <v/>
      </c>
      <c r="R129" s="26" t="str">
        <f aca="false">IF($C129="","",IF(OR($B129="",AND($F129="",$G129="",$H129="",$I129="",$J129="",$K129="")),"DONNEES MANQUANTES",IF(AND($D129&lt;&gt;"",$Q129&lt;=0),"EMPLACEMENT INCOHERENT","OK")))</f>
        <v/>
      </c>
      <c r="S129" s="26" t="str">
        <f aca="false">IF($C129="","",IF(AND(ISNUMBER($G129),$G129&gt;P_HIST),"HISTAMINE "&amp;TEXT($G129,"#,##0")&amp;" PPM &gt; seuil "&amp;TEXT(P_HIST,"#,##0")&amp;". ","")&amp;IF(AND(ISNUMBER($F129),$P129="CONGELE",$F129&gt;P_TCONG),"TEMPERATURE "&amp;TEXT($F129,"0.0")&amp;" C hors seuil congele. ","")&amp;IF(AND(ISNUMBER($F129),$P129="FRAIS",$F129&gt;P_TFRAIS),"TEMPERATURE "&amp;TEXT($F129,"0.0")&amp;" C hors seuil frais. ","")&amp;IF($K129="BLOQUER","Lot bloque qualite : stock signale mais inchange. ","")&amp;IF($R129="EMPLACEMENT INCOHERENT","Lot absent de cet emplacement : controle conserve, stock inchange. ","")&amp;IF($R129="DONNEES MANQUANTES","Renseigner la DATE et au moins une mesure. ",""))</f>
        <v/>
      </c>
      <c r="T129" s="28" t="n">
        <f aca="false">IF(OR($C129="",$B129=""),0,IF(COUNTIFS(QC_LOT,$C129,QC_DATE,"&gt;"&amp;$B129)&gt;0,0,IF(COUNTIFS($C$5:$C129,$C129,$B$5:$B129,$B129)=COUNTIFS(QC_LOT,$C129,QC_DATE,$B129),1,0)))</f>
        <v>0</v>
      </c>
      <c r="U129" s="26" t="str">
        <f aca="false">IF($T129=1,$C129,"")</f>
        <v/>
      </c>
      <c r="V129" s="28" t="n">
        <f aca="false">IF($C129="",0,IF($C129=R_LOT,1,0))</f>
        <v>0</v>
      </c>
      <c r="W129" s="26" t="str">
        <f aca="false">IF($V129=0,"",COUNTIF($V$5:$V129,1))</f>
        <v/>
      </c>
    </row>
    <row r="130" customFormat="false" ht="15" hidden="false" customHeight="false" outlineLevel="0" collapsed="false">
      <c r="A130" s="26" t="str">
        <f aca="false">IF($C130="","","QC-"&amp;TEXT(ROW()-4,"000"))</f>
        <v/>
      </c>
      <c r="B130" s="25"/>
      <c r="C130" s="24"/>
      <c r="D130" s="24"/>
      <c r="E130" s="24"/>
      <c r="F130" s="32"/>
      <c r="G130" s="33"/>
      <c r="H130" s="24"/>
      <c r="I130" s="24"/>
      <c r="J130" s="24"/>
      <c r="K130" s="24"/>
      <c r="L130" s="24"/>
      <c r="M130" s="24"/>
      <c r="N130" s="26" t="str">
        <f aca="false">IF($C130="","",IFERROR(INDEX(LOT_EXTE,MATCH($C130,LOT_KEY,0)),""))</f>
        <v/>
      </c>
      <c r="O130" s="26" t="str">
        <f aca="false">IF($C130="","",IFERROR(INDEX(LOT_PRODE,MATCH($C130,LOT_KEY,0)),"LOT NON REFERENCE"))</f>
        <v/>
      </c>
      <c r="P130" s="26" t="str">
        <f aca="false">IF($C130="","",IFERROR(INDEX(LOT_CONSERVE,MATCH($C130,LOT_KEY,0)),""))</f>
        <v/>
      </c>
      <c r="Q130" s="27" t="str">
        <f aca="false">IF(OR($C130="",$D130=""),"",SUMIFS(MVT_NET,MVT_LOT,$C130,MVT_EMPL,$D130))</f>
        <v/>
      </c>
      <c r="R130" s="26" t="str">
        <f aca="false">IF($C130="","",IF(OR($B130="",AND($F130="",$G130="",$H130="",$I130="",$J130="",$K130="")),"DONNEES MANQUANTES",IF(AND($D130&lt;&gt;"",$Q130&lt;=0),"EMPLACEMENT INCOHERENT","OK")))</f>
        <v/>
      </c>
      <c r="S130" s="26" t="str">
        <f aca="false">IF($C130="","",IF(AND(ISNUMBER($G130),$G130&gt;P_HIST),"HISTAMINE "&amp;TEXT($G130,"#,##0")&amp;" PPM &gt; seuil "&amp;TEXT(P_HIST,"#,##0")&amp;". ","")&amp;IF(AND(ISNUMBER($F130),$P130="CONGELE",$F130&gt;P_TCONG),"TEMPERATURE "&amp;TEXT($F130,"0.0")&amp;" C hors seuil congele. ","")&amp;IF(AND(ISNUMBER($F130),$P130="FRAIS",$F130&gt;P_TFRAIS),"TEMPERATURE "&amp;TEXT($F130,"0.0")&amp;" C hors seuil frais. ","")&amp;IF($K130="BLOQUER","Lot bloque qualite : stock signale mais inchange. ","")&amp;IF($R130="EMPLACEMENT INCOHERENT","Lot absent de cet emplacement : controle conserve, stock inchange. ","")&amp;IF($R130="DONNEES MANQUANTES","Renseigner la DATE et au moins une mesure. ",""))</f>
        <v/>
      </c>
      <c r="T130" s="28" t="n">
        <f aca="false">IF(OR($C130="",$B130=""),0,IF(COUNTIFS(QC_LOT,$C130,QC_DATE,"&gt;"&amp;$B130)&gt;0,0,IF(COUNTIFS($C$5:$C130,$C130,$B$5:$B130,$B130)=COUNTIFS(QC_LOT,$C130,QC_DATE,$B130),1,0)))</f>
        <v>0</v>
      </c>
      <c r="U130" s="26" t="str">
        <f aca="false">IF($T130=1,$C130,"")</f>
        <v/>
      </c>
      <c r="V130" s="28" t="n">
        <f aca="false">IF($C130="",0,IF($C130=R_LOT,1,0))</f>
        <v>0</v>
      </c>
      <c r="W130" s="26" t="str">
        <f aca="false">IF($V130=0,"",COUNTIF($V$5:$V130,1))</f>
        <v/>
      </c>
    </row>
    <row r="131" customFormat="false" ht="15" hidden="false" customHeight="false" outlineLevel="0" collapsed="false">
      <c r="A131" s="26" t="str">
        <f aca="false">IF($C131="","","QC-"&amp;TEXT(ROW()-4,"000"))</f>
        <v/>
      </c>
      <c r="B131" s="25"/>
      <c r="C131" s="24"/>
      <c r="D131" s="24"/>
      <c r="E131" s="24"/>
      <c r="F131" s="32"/>
      <c r="G131" s="33"/>
      <c r="H131" s="24"/>
      <c r="I131" s="24"/>
      <c r="J131" s="24"/>
      <c r="K131" s="24"/>
      <c r="L131" s="24"/>
      <c r="M131" s="24"/>
      <c r="N131" s="26" t="str">
        <f aca="false">IF($C131="","",IFERROR(INDEX(LOT_EXTE,MATCH($C131,LOT_KEY,0)),""))</f>
        <v/>
      </c>
      <c r="O131" s="26" t="str">
        <f aca="false">IF($C131="","",IFERROR(INDEX(LOT_PRODE,MATCH($C131,LOT_KEY,0)),"LOT NON REFERENCE"))</f>
        <v/>
      </c>
      <c r="P131" s="26" t="str">
        <f aca="false">IF($C131="","",IFERROR(INDEX(LOT_CONSERVE,MATCH($C131,LOT_KEY,0)),""))</f>
        <v/>
      </c>
      <c r="Q131" s="27" t="str">
        <f aca="false">IF(OR($C131="",$D131=""),"",SUMIFS(MVT_NET,MVT_LOT,$C131,MVT_EMPL,$D131))</f>
        <v/>
      </c>
      <c r="R131" s="26" t="str">
        <f aca="false">IF($C131="","",IF(OR($B131="",AND($F131="",$G131="",$H131="",$I131="",$J131="",$K131="")),"DONNEES MANQUANTES",IF(AND($D131&lt;&gt;"",$Q131&lt;=0),"EMPLACEMENT INCOHERENT","OK")))</f>
        <v/>
      </c>
      <c r="S131" s="26" t="str">
        <f aca="false">IF($C131="","",IF(AND(ISNUMBER($G131),$G131&gt;P_HIST),"HISTAMINE "&amp;TEXT($G131,"#,##0")&amp;" PPM &gt; seuil "&amp;TEXT(P_HIST,"#,##0")&amp;". ","")&amp;IF(AND(ISNUMBER($F131),$P131="CONGELE",$F131&gt;P_TCONG),"TEMPERATURE "&amp;TEXT($F131,"0.0")&amp;" C hors seuil congele. ","")&amp;IF(AND(ISNUMBER($F131),$P131="FRAIS",$F131&gt;P_TFRAIS),"TEMPERATURE "&amp;TEXT($F131,"0.0")&amp;" C hors seuil frais. ","")&amp;IF($K131="BLOQUER","Lot bloque qualite : stock signale mais inchange. ","")&amp;IF($R131="EMPLACEMENT INCOHERENT","Lot absent de cet emplacement : controle conserve, stock inchange. ","")&amp;IF($R131="DONNEES MANQUANTES","Renseigner la DATE et au moins une mesure. ",""))</f>
        <v/>
      </c>
      <c r="T131" s="28" t="n">
        <f aca="false">IF(OR($C131="",$B131=""),0,IF(COUNTIFS(QC_LOT,$C131,QC_DATE,"&gt;"&amp;$B131)&gt;0,0,IF(COUNTIFS($C$5:$C131,$C131,$B$5:$B131,$B131)=COUNTIFS(QC_LOT,$C131,QC_DATE,$B131),1,0)))</f>
        <v>0</v>
      </c>
      <c r="U131" s="26" t="str">
        <f aca="false">IF($T131=1,$C131,"")</f>
        <v/>
      </c>
      <c r="V131" s="28" t="n">
        <f aca="false">IF($C131="",0,IF($C131=R_LOT,1,0))</f>
        <v>0</v>
      </c>
      <c r="W131" s="26" t="str">
        <f aca="false">IF($V131=0,"",COUNTIF($V$5:$V131,1))</f>
        <v/>
      </c>
    </row>
    <row r="132" customFormat="false" ht="15" hidden="false" customHeight="false" outlineLevel="0" collapsed="false">
      <c r="A132" s="26" t="str">
        <f aca="false">IF($C132="","","QC-"&amp;TEXT(ROW()-4,"000"))</f>
        <v/>
      </c>
      <c r="B132" s="25"/>
      <c r="C132" s="24"/>
      <c r="D132" s="24"/>
      <c r="E132" s="24"/>
      <c r="F132" s="32"/>
      <c r="G132" s="33"/>
      <c r="H132" s="24"/>
      <c r="I132" s="24"/>
      <c r="J132" s="24"/>
      <c r="K132" s="24"/>
      <c r="L132" s="24"/>
      <c r="M132" s="24"/>
      <c r="N132" s="26" t="str">
        <f aca="false">IF($C132="","",IFERROR(INDEX(LOT_EXTE,MATCH($C132,LOT_KEY,0)),""))</f>
        <v/>
      </c>
      <c r="O132" s="26" t="str">
        <f aca="false">IF($C132="","",IFERROR(INDEX(LOT_PRODE,MATCH($C132,LOT_KEY,0)),"LOT NON REFERENCE"))</f>
        <v/>
      </c>
      <c r="P132" s="26" t="str">
        <f aca="false">IF($C132="","",IFERROR(INDEX(LOT_CONSERVE,MATCH($C132,LOT_KEY,0)),""))</f>
        <v/>
      </c>
      <c r="Q132" s="27" t="str">
        <f aca="false">IF(OR($C132="",$D132=""),"",SUMIFS(MVT_NET,MVT_LOT,$C132,MVT_EMPL,$D132))</f>
        <v/>
      </c>
      <c r="R132" s="26" t="str">
        <f aca="false">IF($C132="","",IF(OR($B132="",AND($F132="",$G132="",$H132="",$I132="",$J132="",$K132="")),"DONNEES MANQUANTES",IF(AND($D132&lt;&gt;"",$Q132&lt;=0),"EMPLACEMENT INCOHERENT","OK")))</f>
        <v/>
      </c>
      <c r="S132" s="26" t="str">
        <f aca="false">IF($C132="","",IF(AND(ISNUMBER($G132),$G132&gt;P_HIST),"HISTAMINE "&amp;TEXT($G132,"#,##0")&amp;" PPM &gt; seuil "&amp;TEXT(P_HIST,"#,##0")&amp;". ","")&amp;IF(AND(ISNUMBER($F132),$P132="CONGELE",$F132&gt;P_TCONG),"TEMPERATURE "&amp;TEXT($F132,"0.0")&amp;" C hors seuil congele. ","")&amp;IF(AND(ISNUMBER($F132),$P132="FRAIS",$F132&gt;P_TFRAIS),"TEMPERATURE "&amp;TEXT($F132,"0.0")&amp;" C hors seuil frais. ","")&amp;IF($K132="BLOQUER","Lot bloque qualite : stock signale mais inchange. ","")&amp;IF($R132="EMPLACEMENT INCOHERENT","Lot absent de cet emplacement : controle conserve, stock inchange. ","")&amp;IF($R132="DONNEES MANQUANTES","Renseigner la DATE et au moins une mesure. ",""))</f>
        <v/>
      </c>
      <c r="T132" s="28" t="n">
        <f aca="false">IF(OR($C132="",$B132=""),0,IF(COUNTIFS(QC_LOT,$C132,QC_DATE,"&gt;"&amp;$B132)&gt;0,0,IF(COUNTIFS($C$5:$C132,$C132,$B$5:$B132,$B132)=COUNTIFS(QC_LOT,$C132,QC_DATE,$B132),1,0)))</f>
        <v>0</v>
      </c>
      <c r="U132" s="26" t="str">
        <f aca="false">IF($T132=1,$C132,"")</f>
        <v/>
      </c>
      <c r="V132" s="28" t="n">
        <f aca="false">IF($C132="",0,IF($C132=R_LOT,1,0))</f>
        <v>0</v>
      </c>
      <c r="W132" s="26" t="str">
        <f aca="false">IF($V132=0,"",COUNTIF($V$5:$V132,1))</f>
        <v/>
      </c>
    </row>
    <row r="133" customFormat="false" ht="15" hidden="false" customHeight="false" outlineLevel="0" collapsed="false">
      <c r="A133" s="26" t="str">
        <f aca="false">IF($C133="","","QC-"&amp;TEXT(ROW()-4,"000"))</f>
        <v/>
      </c>
      <c r="B133" s="25"/>
      <c r="C133" s="24"/>
      <c r="D133" s="24"/>
      <c r="E133" s="24"/>
      <c r="F133" s="32"/>
      <c r="G133" s="33"/>
      <c r="H133" s="24"/>
      <c r="I133" s="24"/>
      <c r="J133" s="24"/>
      <c r="K133" s="24"/>
      <c r="L133" s="24"/>
      <c r="M133" s="24"/>
      <c r="N133" s="26" t="str">
        <f aca="false">IF($C133="","",IFERROR(INDEX(LOT_EXTE,MATCH($C133,LOT_KEY,0)),""))</f>
        <v/>
      </c>
      <c r="O133" s="26" t="str">
        <f aca="false">IF($C133="","",IFERROR(INDEX(LOT_PRODE,MATCH($C133,LOT_KEY,0)),"LOT NON REFERENCE"))</f>
        <v/>
      </c>
      <c r="P133" s="26" t="str">
        <f aca="false">IF($C133="","",IFERROR(INDEX(LOT_CONSERVE,MATCH($C133,LOT_KEY,0)),""))</f>
        <v/>
      </c>
      <c r="Q133" s="27" t="str">
        <f aca="false">IF(OR($C133="",$D133=""),"",SUMIFS(MVT_NET,MVT_LOT,$C133,MVT_EMPL,$D133))</f>
        <v/>
      </c>
      <c r="R133" s="26" t="str">
        <f aca="false">IF($C133="","",IF(OR($B133="",AND($F133="",$G133="",$H133="",$I133="",$J133="",$K133="")),"DONNEES MANQUANTES",IF(AND($D133&lt;&gt;"",$Q133&lt;=0),"EMPLACEMENT INCOHERENT","OK")))</f>
        <v/>
      </c>
      <c r="S133" s="26" t="str">
        <f aca="false">IF($C133="","",IF(AND(ISNUMBER($G133),$G133&gt;P_HIST),"HISTAMINE "&amp;TEXT($G133,"#,##0")&amp;" PPM &gt; seuil "&amp;TEXT(P_HIST,"#,##0")&amp;". ","")&amp;IF(AND(ISNUMBER($F133),$P133="CONGELE",$F133&gt;P_TCONG),"TEMPERATURE "&amp;TEXT($F133,"0.0")&amp;" C hors seuil congele. ","")&amp;IF(AND(ISNUMBER($F133),$P133="FRAIS",$F133&gt;P_TFRAIS),"TEMPERATURE "&amp;TEXT($F133,"0.0")&amp;" C hors seuil frais. ","")&amp;IF($K133="BLOQUER","Lot bloque qualite : stock signale mais inchange. ","")&amp;IF($R133="EMPLACEMENT INCOHERENT","Lot absent de cet emplacement : controle conserve, stock inchange. ","")&amp;IF($R133="DONNEES MANQUANTES","Renseigner la DATE et au moins une mesure. ",""))</f>
        <v/>
      </c>
      <c r="T133" s="28" t="n">
        <f aca="false">IF(OR($C133="",$B133=""),0,IF(COUNTIFS(QC_LOT,$C133,QC_DATE,"&gt;"&amp;$B133)&gt;0,0,IF(COUNTIFS($C$5:$C133,$C133,$B$5:$B133,$B133)=COUNTIFS(QC_LOT,$C133,QC_DATE,$B133),1,0)))</f>
        <v>0</v>
      </c>
      <c r="U133" s="26" t="str">
        <f aca="false">IF($T133=1,$C133,"")</f>
        <v/>
      </c>
      <c r="V133" s="28" t="n">
        <f aca="false">IF($C133="",0,IF($C133=R_LOT,1,0))</f>
        <v>0</v>
      </c>
      <c r="W133" s="26" t="str">
        <f aca="false">IF($V133=0,"",COUNTIF($V$5:$V133,1))</f>
        <v/>
      </c>
    </row>
    <row r="134" customFormat="false" ht="15" hidden="false" customHeight="false" outlineLevel="0" collapsed="false">
      <c r="A134" s="26" t="str">
        <f aca="false">IF($C134="","","QC-"&amp;TEXT(ROW()-4,"000"))</f>
        <v/>
      </c>
      <c r="B134" s="25"/>
      <c r="C134" s="24"/>
      <c r="D134" s="24"/>
      <c r="E134" s="24"/>
      <c r="F134" s="32"/>
      <c r="G134" s="33"/>
      <c r="H134" s="24"/>
      <c r="I134" s="24"/>
      <c r="J134" s="24"/>
      <c r="K134" s="24"/>
      <c r="L134" s="24"/>
      <c r="M134" s="24"/>
      <c r="N134" s="26" t="str">
        <f aca="false">IF($C134="","",IFERROR(INDEX(LOT_EXTE,MATCH($C134,LOT_KEY,0)),""))</f>
        <v/>
      </c>
      <c r="O134" s="26" t="str">
        <f aca="false">IF($C134="","",IFERROR(INDEX(LOT_PRODE,MATCH($C134,LOT_KEY,0)),"LOT NON REFERENCE"))</f>
        <v/>
      </c>
      <c r="P134" s="26" t="str">
        <f aca="false">IF($C134="","",IFERROR(INDEX(LOT_CONSERVE,MATCH($C134,LOT_KEY,0)),""))</f>
        <v/>
      </c>
      <c r="Q134" s="27" t="str">
        <f aca="false">IF(OR($C134="",$D134=""),"",SUMIFS(MVT_NET,MVT_LOT,$C134,MVT_EMPL,$D134))</f>
        <v/>
      </c>
      <c r="R134" s="26" t="str">
        <f aca="false">IF($C134="","",IF(OR($B134="",AND($F134="",$G134="",$H134="",$I134="",$J134="",$K134="")),"DONNEES MANQUANTES",IF(AND($D134&lt;&gt;"",$Q134&lt;=0),"EMPLACEMENT INCOHERENT","OK")))</f>
        <v/>
      </c>
      <c r="S134" s="26" t="str">
        <f aca="false">IF($C134="","",IF(AND(ISNUMBER($G134),$G134&gt;P_HIST),"HISTAMINE "&amp;TEXT($G134,"#,##0")&amp;" PPM &gt; seuil "&amp;TEXT(P_HIST,"#,##0")&amp;". ","")&amp;IF(AND(ISNUMBER($F134),$P134="CONGELE",$F134&gt;P_TCONG),"TEMPERATURE "&amp;TEXT($F134,"0.0")&amp;" C hors seuil congele. ","")&amp;IF(AND(ISNUMBER($F134),$P134="FRAIS",$F134&gt;P_TFRAIS),"TEMPERATURE "&amp;TEXT($F134,"0.0")&amp;" C hors seuil frais. ","")&amp;IF($K134="BLOQUER","Lot bloque qualite : stock signale mais inchange. ","")&amp;IF($R134="EMPLACEMENT INCOHERENT","Lot absent de cet emplacement : controle conserve, stock inchange. ","")&amp;IF($R134="DONNEES MANQUANTES","Renseigner la DATE et au moins une mesure. ",""))</f>
        <v/>
      </c>
      <c r="T134" s="28" t="n">
        <f aca="false">IF(OR($C134="",$B134=""),0,IF(COUNTIFS(QC_LOT,$C134,QC_DATE,"&gt;"&amp;$B134)&gt;0,0,IF(COUNTIFS($C$5:$C134,$C134,$B$5:$B134,$B134)=COUNTIFS(QC_LOT,$C134,QC_DATE,$B134),1,0)))</f>
        <v>0</v>
      </c>
      <c r="U134" s="26" t="str">
        <f aca="false">IF($T134=1,$C134,"")</f>
        <v/>
      </c>
      <c r="V134" s="28" t="n">
        <f aca="false">IF($C134="",0,IF($C134=R_LOT,1,0))</f>
        <v>0</v>
      </c>
      <c r="W134" s="26" t="str">
        <f aca="false">IF($V134=0,"",COUNTIF($V$5:$V134,1))</f>
        <v/>
      </c>
    </row>
    <row r="135" customFormat="false" ht="15" hidden="false" customHeight="false" outlineLevel="0" collapsed="false">
      <c r="A135" s="26" t="str">
        <f aca="false">IF($C135="","","QC-"&amp;TEXT(ROW()-4,"000"))</f>
        <v/>
      </c>
      <c r="B135" s="25"/>
      <c r="C135" s="24"/>
      <c r="D135" s="24"/>
      <c r="E135" s="24"/>
      <c r="F135" s="32"/>
      <c r="G135" s="33"/>
      <c r="H135" s="24"/>
      <c r="I135" s="24"/>
      <c r="J135" s="24"/>
      <c r="K135" s="24"/>
      <c r="L135" s="24"/>
      <c r="M135" s="24"/>
      <c r="N135" s="26" t="str">
        <f aca="false">IF($C135="","",IFERROR(INDEX(LOT_EXTE,MATCH($C135,LOT_KEY,0)),""))</f>
        <v/>
      </c>
      <c r="O135" s="26" t="str">
        <f aca="false">IF($C135="","",IFERROR(INDEX(LOT_PRODE,MATCH($C135,LOT_KEY,0)),"LOT NON REFERENCE"))</f>
        <v/>
      </c>
      <c r="P135" s="26" t="str">
        <f aca="false">IF($C135="","",IFERROR(INDEX(LOT_CONSERVE,MATCH($C135,LOT_KEY,0)),""))</f>
        <v/>
      </c>
      <c r="Q135" s="27" t="str">
        <f aca="false">IF(OR($C135="",$D135=""),"",SUMIFS(MVT_NET,MVT_LOT,$C135,MVT_EMPL,$D135))</f>
        <v/>
      </c>
      <c r="R135" s="26" t="str">
        <f aca="false">IF($C135="","",IF(OR($B135="",AND($F135="",$G135="",$H135="",$I135="",$J135="",$K135="")),"DONNEES MANQUANTES",IF(AND($D135&lt;&gt;"",$Q135&lt;=0),"EMPLACEMENT INCOHERENT","OK")))</f>
        <v/>
      </c>
      <c r="S135" s="26" t="str">
        <f aca="false">IF($C135="","",IF(AND(ISNUMBER($G135),$G135&gt;P_HIST),"HISTAMINE "&amp;TEXT($G135,"#,##0")&amp;" PPM &gt; seuil "&amp;TEXT(P_HIST,"#,##0")&amp;". ","")&amp;IF(AND(ISNUMBER($F135),$P135="CONGELE",$F135&gt;P_TCONG),"TEMPERATURE "&amp;TEXT($F135,"0.0")&amp;" C hors seuil congele. ","")&amp;IF(AND(ISNUMBER($F135),$P135="FRAIS",$F135&gt;P_TFRAIS),"TEMPERATURE "&amp;TEXT($F135,"0.0")&amp;" C hors seuil frais. ","")&amp;IF($K135="BLOQUER","Lot bloque qualite : stock signale mais inchange. ","")&amp;IF($R135="EMPLACEMENT INCOHERENT","Lot absent de cet emplacement : controle conserve, stock inchange. ","")&amp;IF($R135="DONNEES MANQUANTES","Renseigner la DATE et au moins une mesure. ",""))</f>
        <v/>
      </c>
      <c r="T135" s="28" t="n">
        <f aca="false">IF(OR($C135="",$B135=""),0,IF(COUNTIFS(QC_LOT,$C135,QC_DATE,"&gt;"&amp;$B135)&gt;0,0,IF(COUNTIFS($C$5:$C135,$C135,$B$5:$B135,$B135)=COUNTIFS(QC_LOT,$C135,QC_DATE,$B135),1,0)))</f>
        <v>0</v>
      </c>
      <c r="U135" s="26" t="str">
        <f aca="false">IF($T135=1,$C135,"")</f>
        <v/>
      </c>
      <c r="V135" s="28" t="n">
        <f aca="false">IF($C135="",0,IF($C135=R_LOT,1,0))</f>
        <v>0</v>
      </c>
      <c r="W135" s="26" t="str">
        <f aca="false">IF($V135=0,"",COUNTIF($V$5:$V135,1))</f>
        <v/>
      </c>
    </row>
    <row r="136" customFormat="false" ht="15" hidden="false" customHeight="false" outlineLevel="0" collapsed="false">
      <c r="A136" s="26" t="str">
        <f aca="false">IF($C136="","","QC-"&amp;TEXT(ROW()-4,"000"))</f>
        <v/>
      </c>
      <c r="B136" s="25"/>
      <c r="C136" s="24"/>
      <c r="D136" s="24"/>
      <c r="E136" s="24"/>
      <c r="F136" s="32"/>
      <c r="G136" s="33"/>
      <c r="H136" s="24"/>
      <c r="I136" s="24"/>
      <c r="J136" s="24"/>
      <c r="K136" s="24"/>
      <c r="L136" s="24"/>
      <c r="M136" s="24"/>
      <c r="N136" s="26" t="str">
        <f aca="false">IF($C136="","",IFERROR(INDEX(LOT_EXTE,MATCH($C136,LOT_KEY,0)),""))</f>
        <v/>
      </c>
      <c r="O136" s="26" t="str">
        <f aca="false">IF($C136="","",IFERROR(INDEX(LOT_PRODE,MATCH($C136,LOT_KEY,0)),"LOT NON REFERENCE"))</f>
        <v/>
      </c>
      <c r="P136" s="26" t="str">
        <f aca="false">IF($C136="","",IFERROR(INDEX(LOT_CONSERVE,MATCH($C136,LOT_KEY,0)),""))</f>
        <v/>
      </c>
      <c r="Q136" s="27" t="str">
        <f aca="false">IF(OR($C136="",$D136=""),"",SUMIFS(MVT_NET,MVT_LOT,$C136,MVT_EMPL,$D136))</f>
        <v/>
      </c>
      <c r="R136" s="26" t="str">
        <f aca="false">IF($C136="","",IF(OR($B136="",AND($F136="",$G136="",$H136="",$I136="",$J136="",$K136="")),"DONNEES MANQUANTES",IF(AND($D136&lt;&gt;"",$Q136&lt;=0),"EMPLACEMENT INCOHERENT","OK")))</f>
        <v/>
      </c>
      <c r="S136" s="26" t="str">
        <f aca="false">IF($C136="","",IF(AND(ISNUMBER($G136),$G136&gt;P_HIST),"HISTAMINE "&amp;TEXT($G136,"#,##0")&amp;" PPM &gt; seuil "&amp;TEXT(P_HIST,"#,##0")&amp;". ","")&amp;IF(AND(ISNUMBER($F136),$P136="CONGELE",$F136&gt;P_TCONG),"TEMPERATURE "&amp;TEXT($F136,"0.0")&amp;" C hors seuil congele. ","")&amp;IF(AND(ISNUMBER($F136),$P136="FRAIS",$F136&gt;P_TFRAIS),"TEMPERATURE "&amp;TEXT($F136,"0.0")&amp;" C hors seuil frais. ","")&amp;IF($K136="BLOQUER","Lot bloque qualite : stock signale mais inchange. ","")&amp;IF($R136="EMPLACEMENT INCOHERENT","Lot absent de cet emplacement : controle conserve, stock inchange. ","")&amp;IF($R136="DONNEES MANQUANTES","Renseigner la DATE et au moins une mesure. ",""))</f>
        <v/>
      </c>
      <c r="T136" s="28" t="n">
        <f aca="false">IF(OR($C136="",$B136=""),0,IF(COUNTIFS(QC_LOT,$C136,QC_DATE,"&gt;"&amp;$B136)&gt;0,0,IF(COUNTIFS($C$5:$C136,$C136,$B$5:$B136,$B136)=COUNTIFS(QC_LOT,$C136,QC_DATE,$B136),1,0)))</f>
        <v>0</v>
      </c>
      <c r="U136" s="26" t="str">
        <f aca="false">IF($T136=1,$C136,"")</f>
        <v/>
      </c>
      <c r="V136" s="28" t="n">
        <f aca="false">IF($C136="",0,IF($C136=R_LOT,1,0))</f>
        <v>0</v>
      </c>
      <c r="W136" s="26" t="str">
        <f aca="false">IF($V136=0,"",COUNTIF($V$5:$V136,1))</f>
        <v/>
      </c>
    </row>
    <row r="137" customFormat="false" ht="15" hidden="false" customHeight="false" outlineLevel="0" collapsed="false">
      <c r="A137" s="26" t="str">
        <f aca="false">IF($C137="","","QC-"&amp;TEXT(ROW()-4,"000"))</f>
        <v/>
      </c>
      <c r="B137" s="25"/>
      <c r="C137" s="24"/>
      <c r="D137" s="24"/>
      <c r="E137" s="24"/>
      <c r="F137" s="32"/>
      <c r="G137" s="33"/>
      <c r="H137" s="24"/>
      <c r="I137" s="24"/>
      <c r="J137" s="24"/>
      <c r="K137" s="24"/>
      <c r="L137" s="24"/>
      <c r="M137" s="24"/>
      <c r="N137" s="26" t="str">
        <f aca="false">IF($C137="","",IFERROR(INDEX(LOT_EXTE,MATCH($C137,LOT_KEY,0)),""))</f>
        <v/>
      </c>
      <c r="O137" s="26" t="str">
        <f aca="false">IF($C137="","",IFERROR(INDEX(LOT_PRODE,MATCH($C137,LOT_KEY,0)),"LOT NON REFERENCE"))</f>
        <v/>
      </c>
      <c r="P137" s="26" t="str">
        <f aca="false">IF($C137="","",IFERROR(INDEX(LOT_CONSERVE,MATCH($C137,LOT_KEY,0)),""))</f>
        <v/>
      </c>
      <c r="Q137" s="27" t="str">
        <f aca="false">IF(OR($C137="",$D137=""),"",SUMIFS(MVT_NET,MVT_LOT,$C137,MVT_EMPL,$D137))</f>
        <v/>
      </c>
      <c r="R137" s="26" t="str">
        <f aca="false">IF($C137="","",IF(OR($B137="",AND($F137="",$G137="",$H137="",$I137="",$J137="",$K137="")),"DONNEES MANQUANTES",IF(AND($D137&lt;&gt;"",$Q137&lt;=0),"EMPLACEMENT INCOHERENT","OK")))</f>
        <v/>
      </c>
      <c r="S137" s="26" t="str">
        <f aca="false">IF($C137="","",IF(AND(ISNUMBER($G137),$G137&gt;P_HIST),"HISTAMINE "&amp;TEXT($G137,"#,##0")&amp;" PPM &gt; seuil "&amp;TEXT(P_HIST,"#,##0")&amp;". ","")&amp;IF(AND(ISNUMBER($F137),$P137="CONGELE",$F137&gt;P_TCONG),"TEMPERATURE "&amp;TEXT($F137,"0.0")&amp;" C hors seuil congele. ","")&amp;IF(AND(ISNUMBER($F137),$P137="FRAIS",$F137&gt;P_TFRAIS),"TEMPERATURE "&amp;TEXT($F137,"0.0")&amp;" C hors seuil frais. ","")&amp;IF($K137="BLOQUER","Lot bloque qualite : stock signale mais inchange. ","")&amp;IF($R137="EMPLACEMENT INCOHERENT","Lot absent de cet emplacement : controle conserve, stock inchange. ","")&amp;IF($R137="DONNEES MANQUANTES","Renseigner la DATE et au moins une mesure. ",""))</f>
        <v/>
      </c>
      <c r="T137" s="28" t="n">
        <f aca="false">IF(OR($C137="",$B137=""),0,IF(COUNTIFS(QC_LOT,$C137,QC_DATE,"&gt;"&amp;$B137)&gt;0,0,IF(COUNTIFS($C$5:$C137,$C137,$B$5:$B137,$B137)=COUNTIFS(QC_LOT,$C137,QC_DATE,$B137),1,0)))</f>
        <v>0</v>
      </c>
      <c r="U137" s="26" t="str">
        <f aca="false">IF($T137=1,$C137,"")</f>
        <v/>
      </c>
      <c r="V137" s="28" t="n">
        <f aca="false">IF($C137="",0,IF($C137=R_LOT,1,0))</f>
        <v>0</v>
      </c>
      <c r="W137" s="26" t="str">
        <f aca="false">IF($V137=0,"",COUNTIF($V$5:$V137,1))</f>
        <v/>
      </c>
    </row>
    <row r="138" customFormat="false" ht="15" hidden="false" customHeight="false" outlineLevel="0" collapsed="false">
      <c r="A138" s="26" t="str">
        <f aca="false">IF($C138="","","QC-"&amp;TEXT(ROW()-4,"000"))</f>
        <v/>
      </c>
      <c r="B138" s="25"/>
      <c r="C138" s="24"/>
      <c r="D138" s="24"/>
      <c r="E138" s="24"/>
      <c r="F138" s="32"/>
      <c r="G138" s="33"/>
      <c r="H138" s="24"/>
      <c r="I138" s="24"/>
      <c r="J138" s="24"/>
      <c r="K138" s="24"/>
      <c r="L138" s="24"/>
      <c r="M138" s="24"/>
      <c r="N138" s="26" t="str">
        <f aca="false">IF($C138="","",IFERROR(INDEX(LOT_EXTE,MATCH($C138,LOT_KEY,0)),""))</f>
        <v/>
      </c>
      <c r="O138" s="26" t="str">
        <f aca="false">IF($C138="","",IFERROR(INDEX(LOT_PRODE,MATCH($C138,LOT_KEY,0)),"LOT NON REFERENCE"))</f>
        <v/>
      </c>
      <c r="P138" s="26" t="str">
        <f aca="false">IF($C138="","",IFERROR(INDEX(LOT_CONSERVE,MATCH($C138,LOT_KEY,0)),""))</f>
        <v/>
      </c>
      <c r="Q138" s="27" t="str">
        <f aca="false">IF(OR($C138="",$D138=""),"",SUMIFS(MVT_NET,MVT_LOT,$C138,MVT_EMPL,$D138))</f>
        <v/>
      </c>
      <c r="R138" s="26" t="str">
        <f aca="false">IF($C138="","",IF(OR($B138="",AND($F138="",$G138="",$H138="",$I138="",$J138="",$K138="")),"DONNEES MANQUANTES",IF(AND($D138&lt;&gt;"",$Q138&lt;=0),"EMPLACEMENT INCOHERENT","OK")))</f>
        <v/>
      </c>
      <c r="S138" s="26" t="str">
        <f aca="false">IF($C138="","",IF(AND(ISNUMBER($G138),$G138&gt;P_HIST),"HISTAMINE "&amp;TEXT($G138,"#,##0")&amp;" PPM &gt; seuil "&amp;TEXT(P_HIST,"#,##0")&amp;". ","")&amp;IF(AND(ISNUMBER($F138),$P138="CONGELE",$F138&gt;P_TCONG),"TEMPERATURE "&amp;TEXT($F138,"0.0")&amp;" C hors seuil congele. ","")&amp;IF(AND(ISNUMBER($F138),$P138="FRAIS",$F138&gt;P_TFRAIS),"TEMPERATURE "&amp;TEXT($F138,"0.0")&amp;" C hors seuil frais. ","")&amp;IF($K138="BLOQUER","Lot bloque qualite : stock signale mais inchange. ","")&amp;IF($R138="EMPLACEMENT INCOHERENT","Lot absent de cet emplacement : controle conserve, stock inchange. ","")&amp;IF($R138="DONNEES MANQUANTES","Renseigner la DATE et au moins une mesure. ",""))</f>
        <v/>
      </c>
      <c r="T138" s="28" t="n">
        <f aca="false">IF(OR($C138="",$B138=""),0,IF(COUNTIFS(QC_LOT,$C138,QC_DATE,"&gt;"&amp;$B138)&gt;0,0,IF(COUNTIFS($C$5:$C138,$C138,$B$5:$B138,$B138)=COUNTIFS(QC_LOT,$C138,QC_DATE,$B138),1,0)))</f>
        <v>0</v>
      </c>
      <c r="U138" s="26" t="str">
        <f aca="false">IF($T138=1,$C138,"")</f>
        <v/>
      </c>
      <c r="V138" s="28" t="n">
        <f aca="false">IF($C138="",0,IF($C138=R_LOT,1,0))</f>
        <v>0</v>
      </c>
      <c r="W138" s="26" t="str">
        <f aca="false">IF($V138=0,"",COUNTIF($V$5:$V138,1))</f>
        <v/>
      </c>
    </row>
    <row r="139" customFormat="false" ht="15" hidden="false" customHeight="false" outlineLevel="0" collapsed="false">
      <c r="A139" s="26" t="str">
        <f aca="false">IF($C139="","","QC-"&amp;TEXT(ROW()-4,"000"))</f>
        <v/>
      </c>
      <c r="B139" s="25"/>
      <c r="C139" s="24"/>
      <c r="D139" s="24"/>
      <c r="E139" s="24"/>
      <c r="F139" s="32"/>
      <c r="G139" s="33"/>
      <c r="H139" s="24"/>
      <c r="I139" s="24"/>
      <c r="J139" s="24"/>
      <c r="K139" s="24"/>
      <c r="L139" s="24"/>
      <c r="M139" s="24"/>
      <c r="N139" s="26" t="str">
        <f aca="false">IF($C139="","",IFERROR(INDEX(LOT_EXTE,MATCH($C139,LOT_KEY,0)),""))</f>
        <v/>
      </c>
      <c r="O139" s="26" t="str">
        <f aca="false">IF($C139="","",IFERROR(INDEX(LOT_PRODE,MATCH($C139,LOT_KEY,0)),"LOT NON REFERENCE"))</f>
        <v/>
      </c>
      <c r="P139" s="26" t="str">
        <f aca="false">IF($C139="","",IFERROR(INDEX(LOT_CONSERVE,MATCH($C139,LOT_KEY,0)),""))</f>
        <v/>
      </c>
      <c r="Q139" s="27" t="str">
        <f aca="false">IF(OR($C139="",$D139=""),"",SUMIFS(MVT_NET,MVT_LOT,$C139,MVT_EMPL,$D139))</f>
        <v/>
      </c>
      <c r="R139" s="26" t="str">
        <f aca="false">IF($C139="","",IF(OR($B139="",AND($F139="",$G139="",$H139="",$I139="",$J139="",$K139="")),"DONNEES MANQUANTES",IF(AND($D139&lt;&gt;"",$Q139&lt;=0),"EMPLACEMENT INCOHERENT","OK")))</f>
        <v/>
      </c>
      <c r="S139" s="26" t="str">
        <f aca="false">IF($C139="","",IF(AND(ISNUMBER($G139),$G139&gt;P_HIST),"HISTAMINE "&amp;TEXT($G139,"#,##0")&amp;" PPM &gt; seuil "&amp;TEXT(P_HIST,"#,##0")&amp;". ","")&amp;IF(AND(ISNUMBER($F139),$P139="CONGELE",$F139&gt;P_TCONG),"TEMPERATURE "&amp;TEXT($F139,"0.0")&amp;" C hors seuil congele. ","")&amp;IF(AND(ISNUMBER($F139),$P139="FRAIS",$F139&gt;P_TFRAIS),"TEMPERATURE "&amp;TEXT($F139,"0.0")&amp;" C hors seuil frais. ","")&amp;IF($K139="BLOQUER","Lot bloque qualite : stock signale mais inchange. ","")&amp;IF($R139="EMPLACEMENT INCOHERENT","Lot absent de cet emplacement : controle conserve, stock inchange. ","")&amp;IF($R139="DONNEES MANQUANTES","Renseigner la DATE et au moins une mesure. ",""))</f>
        <v/>
      </c>
      <c r="T139" s="28" t="n">
        <f aca="false">IF(OR($C139="",$B139=""),0,IF(COUNTIFS(QC_LOT,$C139,QC_DATE,"&gt;"&amp;$B139)&gt;0,0,IF(COUNTIFS($C$5:$C139,$C139,$B$5:$B139,$B139)=COUNTIFS(QC_LOT,$C139,QC_DATE,$B139),1,0)))</f>
        <v>0</v>
      </c>
      <c r="U139" s="26" t="str">
        <f aca="false">IF($T139=1,$C139,"")</f>
        <v/>
      </c>
      <c r="V139" s="28" t="n">
        <f aca="false">IF($C139="",0,IF($C139=R_LOT,1,0))</f>
        <v>0</v>
      </c>
      <c r="W139" s="26" t="str">
        <f aca="false">IF($V139=0,"",COUNTIF($V$5:$V139,1))</f>
        <v/>
      </c>
    </row>
    <row r="140" customFormat="false" ht="15" hidden="false" customHeight="false" outlineLevel="0" collapsed="false">
      <c r="A140" s="26" t="str">
        <f aca="false">IF($C140="","","QC-"&amp;TEXT(ROW()-4,"000"))</f>
        <v/>
      </c>
      <c r="B140" s="25"/>
      <c r="C140" s="24"/>
      <c r="D140" s="24"/>
      <c r="E140" s="24"/>
      <c r="F140" s="32"/>
      <c r="G140" s="33"/>
      <c r="H140" s="24"/>
      <c r="I140" s="24"/>
      <c r="J140" s="24"/>
      <c r="K140" s="24"/>
      <c r="L140" s="24"/>
      <c r="M140" s="24"/>
      <c r="N140" s="26" t="str">
        <f aca="false">IF($C140="","",IFERROR(INDEX(LOT_EXTE,MATCH($C140,LOT_KEY,0)),""))</f>
        <v/>
      </c>
      <c r="O140" s="26" t="str">
        <f aca="false">IF($C140="","",IFERROR(INDEX(LOT_PRODE,MATCH($C140,LOT_KEY,0)),"LOT NON REFERENCE"))</f>
        <v/>
      </c>
      <c r="P140" s="26" t="str">
        <f aca="false">IF($C140="","",IFERROR(INDEX(LOT_CONSERVE,MATCH($C140,LOT_KEY,0)),""))</f>
        <v/>
      </c>
      <c r="Q140" s="27" t="str">
        <f aca="false">IF(OR($C140="",$D140=""),"",SUMIFS(MVT_NET,MVT_LOT,$C140,MVT_EMPL,$D140))</f>
        <v/>
      </c>
      <c r="R140" s="26" t="str">
        <f aca="false">IF($C140="","",IF(OR($B140="",AND($F140="",$G140="",$H140="",$I140="",$J140="",$K140="")),"DONNEES MANQUANTES",IF(AND($D140&lt;&gt;"",$Q140&lt;=0),"EMPLACEMENT INCOHERENT","OK")))</f>
        <v/>
      </c>
      <c r="S140" s="26" t="str">
        <f aca="false">IF($C140="","",IF(AND(ISNUMBER($G140),$G140&gt;P_HIST),"HISTAMINE "&amp;TEXT($G140,"#,##0")&amp;" PPM &gt; seuil "&amp;TEXT(P_HIST,"#,##0")&amp;". ","")&amp;IF(AND(ISNUMBER($F140),$P140="CONGELE",$F140&gt;P_TCONG),"TEMPERATURE "&amp;TEXT($F140,"0.0")&amp;" C hors seuil congele. ","")&amp;IF(AND(ISNUMBER($F140),$P140="FRAIS",$F140&gt;P_TFRAIS),"TEMPERATURE "&amp;TEXT($F140,"0.0")&amp;" C hors seuil frais. ","")&amp;IF($K140="BLOQUER","Lot bloque qualite : stock signale mais inchange. ","")&amp;IF($R140="EMPLACEMENT INCOHERENT","Lot absent de cet emplacement : controle conserve, stock inchange. ","")&amp;IF($R140="DONNEES MANQUANTES","Renseigner la DATE et au moins une mesure. ",""))</f>
        <v/>
      </c>
      <c r="T140" s="28" t="n">
        <f aca="false">IF(OR($C140="",$B140=""),0,IF(COUNTIFS(QC_LOT,$C140,QC_DATE,"&gt;"&amp;$B140)&gt;0,0,IF(COUNTIFS($C$5:$C140,$C140,$B$5:$B140,$B140)=COUNTIFS(QC_LOT,$C140,QC_DATE,$B140),1,0)))</f>
        <v>0</v>
      </c>
      <c r="U140" s="26" t="str">
        <f aca="false">IF($T140=1,$C140,"")</f>
        <v/>
      </c>
      <c r="V140" s="28" t="n">
        <f aca="false">IF($C140="",0,IF($C140=R_LOT,1,0))</f>
        <v>0</v>
      </c>
      <c r="W140" s="26" t="str">
        <f aca="false">IF($V140=0,"",COUNTIF($V$5:$V140,1))</f>
        <v/>
      </c>
    </row>
    <row r="141" customFormat="false" ht="15" hidden="false" customHeight="false" outlineLevel="0" collapsed="false">
      <c r="A141" s="26" t="str">
        <f aca="false">IF($C141="","","QC-"&amp;TEXT(ROW()-4,"000"))</f>
        <v/>
      </c>
      <c r="B141" s="25"/>
      <c r="C141" s="24"/>
      <c r="D141" s="24"/>
      <c r="E141" s="24"/>
      <c r="F141" s="32"/>
      <c r="G141" s="33"/>
      <c r="H141" s="24"/>
      <c r="I141" s="24"/>
      <c r="J141" s="24"/>
      <c r="K141" s="24"/>
      <c r="L141" s="24"/>
      <c r="M141" s="24"/>
      <c r="N141" s="26" t="str">
        <f aca="false">IF($C141="","",IFERROR(INDEX(LOT_EXTE,MATCH($C141,LOT_KEY,0)),""))</f>
        <v/>
      </c>
      <c r="O141" s="26" t="str">
        <f aca="false">IF($C141="","",IFERROR(INDEX(LOT_PRODE,MATCH($C141,LOT_KEY,0)),"LOT NON REFERENCE"))</f>
        <v/>
      </c>
      <c r="P141" s="26" t="str">
        <f aca="false">IF($C141="","",IFERROR(INDEX(LOT_CONSERVE,MATCH($C141,LOT_KEY,0)),""))</f>
        <v/>
      </c>
      <c r="Q141" s="27" t="str">
        <f aca="false">IF(OR($C141="",$D141=""),"",SUMIFS(MVT_NET,MVT_LOT,$C141,MVT_EMPL,$D141))</f>
        <v/>
      </c>
      <c r="R141" s="26" t="str">
        <f aca="false">IF($C141="","",IF(OR($B141="",AND($F141="",$G141="",$H141="",$I141="",$J141="",$K141="")),"DONNEES MANQUANTES",IF(AND($D141&lt;&gt;"",$Q141&lt;=0),"EMPLACEMENT INCOHERENT","OK")))</f>
        <v/>
      </c>
      <c r="S141" s="26" t="str">
        <f aca="false">IF($C141="","",IF(AND(ISNUMBER($G141),$G141&gt;P_HIST),"HISTAMINE "&amp;TEXT($G141,"#,##0")&amp;" PPM &gt; seuil "&amp;TEXT(P_HIST,"#,##0")&amp;". ","")&amp;IF(AND(ISNUMBER($F141),$P141="CONGELE",$F141&gt;P_TCONG),"TEMPERATURE "&amp;TEXT($F141,"0.0")&amp;" C hors seuil congele. ","")&amp;IF(AND(ISNUMBER($F141),$P141="FRAIS",$F141&gt;P_TFRAIS),"TEMPERATURE "&amp;TEXT($F141,"0.0")&amp;" C hors seuil frais. ","")&amp;IF($K141="BLOQUER","Lot bloque qualite : stock signale mais inchange. ","")&amp;IF($R141="EMPLACEMENT INCOHERENT","Lot absent de cet emplacement : controle conserve, stock inchange. ","")&amp;IF($R141="DONNEES MANQUANTES","Renseigner la DATE et au moins une mesure. ",""))</f>
        <v/>
      </c>
      <c r="T141" s="28" t="n">
        <f aca="false">IF(OR($C141="",$B141=""),0,IF(COUNTIFS(QC_LOT,$C141,QC_DATE,"&gt;"&amp;$B141)&gt;0,0,IF(COUNTIFS($C$5:$C141,$C141,$B$5:$B141,$B141)=COUNTIFS(QC_LOT,$C141,QC_DATE,$B141),1,0)))</f>
        <v>0</v>
      </c>
      <c r="U141" s="26" t="str">
        <f aca="false">IF($T141=1,$C141,"")</f>
        <v/>
      </c>
      <c r="V141" s="28" t="n">
        <f aca="false">IF($C141="",0,IF($C141=R_LOT,1,0))</f>
        <v>0</v>
      </c>
      <c r="W141" s="26" t="str">
        <f aca="false">IF($V141=0,"",COUNTIF($V$5:$V141,1))</f>
        <v/>
      </c>
    </row>
    <row r="142" customFormat="false" ht="15" hidden="false" customHeight="false" outlineLevel="0" collapsed="false">
      <c r="A142" s="26" t="str">
        <f aca="false">IF($C142="","","QC-"&amp;TEXT(ROW()-4,"000"))</f>
        <v/>
      </c>
      <c r="B142" s="25"/>
      <c r="C142" s="24"/>
      <c r="D142" s="24"/>
      <c r="E142" s="24"/>
      <c r="F142" s="32"/>
      <c r="G142" s="33"/>
      <c r="H142" s="24"/>
      <c r="I142" s="24"/>
      <c r="J142" s="24"/>
      <c r="K142" s="24"/>
      <c r="L142" s="24"/>
      <c r="M142" s="24"/>
      <c r="N142" s="26" t="str">
        <f aca="false">IF($C142="","",IFERROR(INDEX(LOT_EXTE,MATCH($C142,LOT_KEY,0)),""))</f>
        <v/>
      </c>
      <c r="O142" s="26" t="str">
        <f aca="false">IF($C142="","",IFERROR(INDEX(LOT_PRODE,MATCH($C142,LOT_KEY,0)),"LOT NON REFERENCE"))</f>
        <v/>
      </c>
      <c r="P142" s="26" t="str">
        <f aca="false">IF($C142="","",IFERROR(INDEX(LOT_CONSERVE,MATCH($C142,LOT_KEY,0)),""))</f>
        <v/>
      </c>
      <c r="Q142" s="27" t="str">
        <f aca="false">IF(OR($C142="",$D142=""),"",SUMIFS(MVT_NET,MVT_LOT,$C142,MVT_EMPL,$D142))</f>
        <v/>
      </c>
      <c r="R142" s="26" t="str">
        <f aca="false">IF($C142="","",IF(OR($B142="",AND($F142="",$G142="",$H142="",$I142="",$J142="",$K142="")),"DONNEES MANQUANTES",IF(AND($D142&lt;&gt;"",$Q142&lt;=0),"EMPLACEMENT INCOHERENT","OK")))</f>
        <v/>
      </c>
      <c r="S142" s="26" t="str">
        <f aca="false">IF($C142="","",IF(AND(ISNUMBER($G142),$G142&gt;P_HIST),"HISTAMINE "&amp;TEXT($G142,"#,##0")&amp;" PPM &gt; seuil "&amp;TEXT(P_HIST,"#,##0")&amp;". ","")&amp;IF(AND(ISNUMBER($F142),$P142="CONGELE",$F142&gt;P_TCONG),"TEMPERATURE "&amp;TEXT($F142,"0.0")&amp;" C hors seuil congele. ","")&amp;IF(AND(ISNUMBER($F142),$P142="FRAIS",$F142&gt;P_TFRAIS),"TEMPERATURE "&amp;TEXT($F142,"0.0")&amp;" C hors seuil frais. ","")&amp;IF($K142="BLOQUER","Lot bloque qualite : stock signale mais inchange. ","")&amp;IF($R142="EMPLACEMENT INCOHERENT","Lot absent de cet emplacement : controle conserve, stock inchange. ","")&amp;IF($R142="DONNEES MANQUANTES","Renseigner la DATE et au moins une mesure. ",""))</f>
        <v/>
      </c>
      <c r="T142" s="28" t="n">
        <f aca="false">IF(OR($C142="",$B142=""),0,IF(COUNTIFS(QC_LOT,$C142,QC_DATE,"&gt;"&amp;$B142)&gt;0,0,IF(COUNTIFS($C$5:$C142,$C142,$B$5:$B142,$B142)=COUNTIFS(QC_LOT,$C142,QC_DATE,$B142),1,0)))</f>
        <v>0</v>
      </c>
      <c r="U142" s="26" t="str">
        <f aca="false">IF($T142=1,$C142,"")</f>
        <v/>
      </c>
      <c r="V142" s="28" t="n">
        <f aca="false">IF($C142="",0,IF($C142=R_LOT,1,0))</f>
        <v>0</v>
      </c>
      <c r="W142" s="26" t="str">
        <f aca="false">IF($V142=0,"",COUNTIF($V$5:$V142,1))</f>
        <v/>
      </c>
    </row>
    <row r="143" customFormat="false" ht="15" hidden="false" customHeight="false" outlineLevel="0" collapsed="false">
      <c r="A143" s="26" t="str">
        <f aca="false">IF($C143="","","QC-"&amp;TEXT(ROW()-4,"000"))</f>
        <v/>
      </c>
      <c r="B143" s="25"/>
      <c r="C143" s="24"/>
      <c r="D143" s="24"/>
      <c r="E143" s="24"/>
      <c r="F143" s="32"/>
      <c r="G143" s="33"/>
      <c r="H143" s="24"/>
      <c r="I143" s="24"/>
      <c r="J143" s="24"/>
      <c r="K143" s="24"/>
      <c r="L143" s="24"/>
      <c r="M143" s="24"/>
      <c r="N143" s="26" t="str">
        <f aca="false">IF($C143="","",IFERROR(INDEX(LOT_EXTE,MATCH($C143,LOT_KEY,0)),""))</f>
        <v/>
      </c>
      <c r="O143" s="26" t="str">
        <f aca="false">IF($C143="","",IFERROR(INDEX(LOT_PRODE,MATCH($C143,LOT_KEY,0)),"LOT NON REFERENCE"))</f>
        <v/>
      </c>
      <c r="P143" s="26" t="str">
        <f aca="false">IF($C143="","",IFERROR(INDEX(LOT_CONSERVE,MATCH($C143,LOT_KEY,0)),""))</f>
        <v/>
      </c>
      <c r="Q143" s="27" t="str">
        <f aca="false">IF(OR($C143="",$D143=""),"",SUMIFS(MVT_NET,MVT_LOT,$C143,MVT_EMPL,$D143))</f>
        <v/>
      </c>
      <c r="R143" s="26" t="str">
        <f aca="false">IF($C143="","",IF(OR($B143="",AND($F143="",$G143="",$H143="",$I143="",$J143="",$K143="")),"DONNEES MANQUANTES",IF(AND($D143&lt;&gt;"",$Q143&lt;=0),"EMPLACEMENT INCOHERENT","OK")))</f>
        <v/>
      </c>
      <c r="S143" s="26" t="str">
        <f aca="false">IF($C143="","",IF(AND(ISNUMBER($G143),$G143&gt;P_HIST),"HISTAMINE "&amp;TEXT($G143,"#,##0")&amp;" PPM &gt; seuil "&amp;TEXT(P_HIST,"#,##0")&amp;". ","")&amp;IF(AND(ISNUMBER($F143),$P143="CONGELE",$F143&gt;P_TCONG),"TEMPERATURE "&amp;TEXT($F143,"0.0")&amp;" C hors seuil congele. ","")&amp;IF(AND(ISNUMBER($F143),$P143="FRAIS",$F143&gt;P_TFRAIS),"TEMPERATURE "&amp;TEXT($F143,"0.0")&amp;" C hors seuil frais. ","")&amp;IF($K143="BLOQUER","Lot bloque qualite : stock signale mais inchange. ","")&amp;IF($R143="EMPLACEMENT INCOHERENT","Lot absent de cet emplacement : controle conserve, stock inchange. ","")&amp;IF($R143="DONNEES MANQUANTES","Renseigner la DATE et au moins une mesure. ",""))</f>
        <v/>
      </c>
      <c r="T143" s="28" t="n">
        <f aca="false">IF(OR($C143="",$B143=""),0,IF(COUNTIFS(QC_LOT,$C143,QC_DATE,"&gt;"&amp;$B143)&gt;0,0,IF(COUNTIFS($C$5:$C143,$C143,$B$5:$B143,$B143)=COUNTIFS(QC_LOT,$C143,QC_DATE,$B143),1,0)))</f>
        <v>0</v>
      </c>
      <c r="U143" s="26" t="str">
        <f aca="false">IF($T143=1,$C143,"")</f>
        <v/>
      </c>
      <c r="V143" s="28" t="n">
        <f aca="false">IF($C143="",0,IF($C143=R_LOT,1,0))</f>
        <v>0</v>
      </c>
      <c r="W143" s="26" t="str">
        <f aca="false">IF($V143=0,"",COUNTIF($V$5:$V143,1))</f>
        <v/>
      </c>
    </row>
    <row r="144" customFormat="false" ht="15" hidden="false" customHeight="false" outlineLevel="0" collapsed="false">
      <c r="A144" s="26" t="str">
        <f aca="false">IF($C144="","","QC-"&amp;TEXT(ROW()-4,"000"))</f>
        <v/>
      </c>
      <c r="B144" s="25"/>
      <c r="C144" s="24"/>
      <c r="D144" s="24"/>
      <c r="E144" s="24"/>
      <c r="F144" s="32"/>
      <c r="G144" s="33"/>
      <c r="H144" s="24"/>
      <c r="I144" s="24"/>
      <c r="J144" s="24"/>
      <c r="K144" s="24"/>
      <c r="L144" s="24"/>
      <c r="M144" s="24"/>
      <c r="N144" s="26" t="str">
        <f aca="false">IF($C144="","",IFERROR(INDEX(LOT_EXTE,MATCH($C144,LOT_KEY,0)),""))</f>
        <v/>
      </c>
      <c r="O144" s="26" t="str">
        <f aca="false">IF($C144="","",IFERROR(INDEX(LOT_PRODE,MATCH($C144,LOT_KEY,0)),"LOT NON REFERENCE"))</f>
        <v/>
      </c>
      <c r="P144" s="26" t="str">
        <f aca="false">IF($C144="","",IFERROR(INDEX(LOT_CONSERVE,MATCH($C144,LOT_KEY,0)),""))</f>
        <v/>
      </c>
      <c r="Q144" s="27" t="str">
        <f aca="false">IF(OR($C144="",$D144=""),"",SUMIFS(MVT_NET,MVT_LOT,$C144,MVT_EMPL,$D144))</f>
        <v/>
      </c>
      <c r="R144" s="26" t="str">
        <f aca="false">IF($C144="","",IF(OR($B144="",AND($F144="",$G144="",$H144="",$I144="",$J144="",$K144="")),"DONNEES MANQUANTES",IF(AND($D144&lt;&gt;"",$Q144&lt;=0),"EMPLACEMENT INCOHERENT","OK")))</f>
        <v/>
      </c>
      <c r="S144" s="26" t="str">
        <f aca="false">IF($C144="","",IF(AND(ISNUMBER($G144),$G144&gt;P_HIST),"HISTAMINE "&amp;TEXT($G144,"#,##0")&amp;" PPM &gt; seuil "&amp;TEXT(P_HIST,"#,##0")&amp;". ","")&amp;IF(AND(ISNUMBER($F144),$P144="CONGELE",$F144&gt;P_TCONG),"TEMPERATURE "&amp;TEXT($F144,"0.0")&amp;" C hors seuil congele. ","")&amp;IF(AND(ISNUMBER($F144),$P144="FRAIS",$F144&gt;P_TFRAIS),"TEMPERATURE "&amp;TEXT($F144,"0.0")&amp;" C hors seuil frais. ","")&amp;IF($K144="BLOQUER","Lot bloque qualite : stock signale mais inchange. ","")&amp;IF($R144="EMPLACEMENT INCOHERENT","Lot absent de cet emplacement : controle conserve, stock inchange. ","")&amp;IF($R144="DONNEES MANQUANTES","Renseigner la DATE et au moins une mesure. ",""))</f>
        <v/>
      </c>
      <c r="T144" s="28" t="n">
        <f aca="false">IF(OR($C144="",$B144=""),0,IF(COUNTIFS(QC_LOT,$C144,QC_DATE,"&gt;"&amp;$B144)&gt;0,0,IF(COUNTIFS($C$5:$C144,$C144,$B$5:$B144,$B144)=COUNTIFS(QC_LOT,$C144,QC_DATE,$B144),1,0)))</f>
        <v>0</v>
      </c>
      <c r="U144" s="26" t="str">
        <f aca="false">IF($T144=1,$C144,"")</f>
        <v/>
      </c>
      <c r="V144" s="28" t="n">
        <f aca="false">IF($C144="",0,IF($C144=R_LOT,1,0))</f>
        <v>0</v>
      </c>
      <c r="W144" s="26" t="str">
        <f aca="false">IF($V144=0,"",COUNTIF($V$5:$V144,1))</f>
        <v/>
      </c>
    </row>
    <row r="145" customFormat="false" ht="15" hidden="false" customHeight="false" outlineLevel="0" collapsed="false">
      <c r="A145" s="26" t="str">
        <f aca="false">IF($C145="","","QC-"&amp;TEXT(ROW()-4,"000"))</f>
        <v/>
      </c>
      <c r="B145" s="25"/>
      <c r="C145" s="24"/>
      <c r="D145" s="24"/>
      <c r="E145" s="24"/>
      <c r="F145" s="32"/>
      <c r="G145" s="33"/>
      <c r="H145" s="24"/>
      <c r="I145" s="24"/>
      <c r="J145" s="24"/>
      <c r="K145" s="24"/>
      <c r="L145" s="24"/>
      <c r="M145" s="24"/>
      <c r="N145" s="26" t="str">
        <f aca="false">IF($C145="","",IFERROR(INDEX(LOT_EXTE,MATCH($C145,LOT_KEY,0)),""))</f>
        <v/>
      </c>
      <c r="O145" s="26" t="str">
        <f aca="false">IF($C145="","",IFERROR(INDEX(LOT_PRODE,MATCH($C145,LOT_KEY,0)),"LOT NON REFERENCE"))</f>
        <v/>
      </c>
      <c r="P145" s="26" t="str">
        <f aca="false">IF($C145="","",IFERROR(INDEX(LOT_CONSERVE,MATCH($C145,LOT_KEY,0)),""))</f>
        <v/>
      </c>
      <c r="Q145" s="27" t="str">
        <f aca="false">IF(OR($C145="",$D145=""),"",SUMIFS(MVT_NET,MVT_LOT,$C145,MVT_EMPL,$D145))</f>
        <v/>
      </c>
      <c r="R145" s="26" t="str">
        <f aca="false">IF($C145="","",IF(OR($B145="",AND($F145="",$G145="",$H145="",$I145="",$J145="",$K145="")),"DONNEES MANQUANTES",IF(AND($D145&lt;&gt;"",$Q145&lt;=0),"EMPLACEMENT INCOHERENT","OK")))</f>
        <v/>
      </c>
      <c r="S145" s="26" t="str">
        <f aca="false">IF($C145="","",IF(AND(ISNUMBER($G145),$G145&gt;P_HIST),"HISTAMINE "&amp;TEXT($G145,"#,##0")&amp;" PPM &gt; seuil "&amp;TEXT(P_HIST,"#,##0")&amp;". ","")&amp;IF(AND(ISNUMBER($F145),$P145="CONGELE",$F145&gt;P_TCONG),"TEMPERATURE "&amp;TEXT($F145,"0.0")&amp;" C hors seuil congele. ","")&amp;IF(AND(ISNUMBER($F145),$P145="FRAIS",$F145&gt;P_TFRAIS),"TEMPERATURE "&amp;TEXT($F145,"0.0")&amp;" C hors seuil frais. ","")&amp;IF($K145="BLOQUER","Lot bloque qualite : stock signale mais inchange. ","")&amp;IF($R145="EMPLACEMENT INCOHERENT","Lot absent de cet emplacement : controle conserve, stock inchange. ","")&amp;IF($R145="DONNEES MANQUANTES","Renseigner la DATE et au moins une mesure. ",""))</f>
        <v/>
      </c>
      <c r="T145" s="28" t="n">
        <f aca="false">IF(OR($C145="",$B145=""),0,IF(COUNTIFS(QC_LOT,$C145,QC_DATE,"&gt;"&amp;$B145)&gt;0,0,IF(COUNTIFS($C$5:$C145,$C145,$B$5:$B145,$B145)=COUNTIFS(QC_LOT,$C145,QC_DATE,$B145),1,0)))</f>
        <v>0</v>
      </c>
      <c r="U145" s="26" t="str">
        <f aca="false">IF($T145=1,$C145,"")</f>
        <v/>
      </c>
      <c r="V145" s="28" t="n">
        <f aca="false">IF($C145="",0,IF($C145=R_LOT,1,0))</f>
        <v>0</v>
      </c>
      <c r="W145" s="26" t="str">
        <f aca="false">IF($V145=0,"",COUNTIF($V$5:$V145,1))</f>
        <v/>
      </c>
    </row>
    <row r="146" customFormat="false" ht="15" hidden="false" customHeight="false" outlineLevel="0" collapsed="false">
      <c r="A146" s="26" t="str">
        <f aca="false">IF($C146="","","QC-"&amp;TEXT(ROW()-4,"000"))</f>
        <v/>
      </c>
      <c r="B146" s="25"/>
      <c r="C146" s="24"/>
      <c r="D146" s="24"/>
      <c r="E146" s="24"/>
      <c r="F146" s="32"/>
      <c r="G146" s="33"/>
      <c r="H146" s="24"/>
      <c r="I146" s="24"/>
      <c r="J146" s="24"/>
      <c r="K146" s="24"/>
      <c r="L146" s="24"/>
      <c r="M146" s="24"/>
      <c r="N146" s="26" t="str">
        <f aca="false">IF($C146="","",IFERROR(INDEX(LOT_EXTE,MATCH($C146,LOT_KEY,0)),""))</f>
        <v/>
      </c>
      <c r="O146" s="26" t="str">
        <f aca="false">IF($C146="","",IFERROR(INDEX(LOT_PRODE,MATCH($C146,LOT_KEY,0)),"LOT NON REFERENCE"))</f>
        <v/>
      </c>
      <c r="P146" s="26" t="str">
        <f aca="false">IF($C146="","",IFERROR(INDEX(LOT_CONSERVE,MATCH($C146,LOT_KEY,0)),""))</f>
        <v/>
      </c>
      <c r="Q146" s="27" t="str">
        <f aca="false">IF(OR($C146="",$D146=""),"",SUMIFS(MVT_NET,MVT_LOT,$C146,MVT_EMPL,$D146))</f>
        <v/>
      </c>
      <c r="R146" s="26" t="str">
        <f aca="false">IF($C146="","",IF(OR($B146="",AND($F146="",$G146="",$H146="",$I146="",$J146="",$K146="")),"DONNEES MANQUANTES",IF(AND($D146&lt;&gt;"",$Q146&lt;=0),"EMPLACEMENT INCOHERENT","OK")))</f>
        <v/>
      </c>
      <c r="S146" s="26" t="str">
        <f aca="false">IF($C146="","",IF(AND(ISNUMBER($G146),$G146&gt;P_HIST),"HISTAMINE "&amp;TEXT($G146,"#,##0")&amp;" PPM &gt; seuil "&amp;TEXT(P_HIST,"#,##0")&amp;". ","")&amp;IF(AND(ISNUMBER($F146),$P146="CONGELE",$F146&gt;P_TCONG),"TEMPERATURE "&amp;TEXT($F146,"0.0")&amp;" C hors seuil congele. ","")&amp;IF(AND(ISNUMBER($F146),$P146="FRAIS",$F146&gt;P_TFRAIS),"TEMPERATURE "&amp;TEXT($F146,"0.0")&amp;" C hors seuil frais. ","")&amp;IF($K146="BLOQUER","Lot bloque qualite : stock signale mais inchange. ","")&amp;IF($R146="EMPLACEMENT INCOHERENT","Lot absent de cet emplacement : controle conserve, stock inchange. ","")&amp;IF($R146="DONNEES MANQUANTES","Renseigner la DATE et au moins une mesure. ",""))</f>
        <v/>
      </c>
      <c r="T146" s="28" t="n">
        <f aca="false">IF(OR($C146="",$B146=""),0,IF(COUNTIFS(QC_LOT,$C146,QC_DATE,"&gt;"&amp;$B146)&gt;0,0,IF(COUNTIFS($C$5:$C146,$C146,$B$5:$B146,$B146)=COUNTIFS(QC_LOT,$C146,QC_DATE,$B146),1,0)))</f>
        <v>0</v>
      </c>
      <c r="U146" s="26" t="str">
        <f aca="false">IF($T146=1,$C146,"")</f>
        <v/>
      </c>
      <c r="V146" s="28" t="n">
        <f aca="false">IF($C146="",0,IF($C146=R_LOT,1,0))</f>
        <v>0</v>
      </c>
      <c r="W146" s="26" t="str">
        <f aca="false">IF($V146=0,"",COUNTIF($V$5:$V146,1))</f>
        <v/>
      </c>
    </row>
    <row r="147" customFormat="false" ht="15" hidden="false" customHeight="false" outlineLevel="0" collapsed="false">
      <c r="A147" s="26" t="str">
        <f aca="false">IF($C147="","","QC-"&amp;TEXT(ROW()-4,"000"))</f>
        <v/>
      </c>
      <c r="B147" s="25"/>
      <c r="C147" s="24"/>
      <c r="D147" s="24"/>
      <c r="E147" s="24"/>
      <c r="F147" s="32"/>
      <c r="G147" s="33"/>
      <c r="H147" s="24"/>
      <c r="I147" s="24"/>
      <c r="J147" s="24"/>
      <c r="K147" s="24"/>
      <c r="L147" s="24"/>
      <c r="M147" s="24"/>
      <c r="N147" s="26" t="str">
        <f aca="false">IF($C147="","",IFERROR(INDEX(LOT_EXTE,MATCH($C147,LOT_KEY,0)),""))</f>
        <v/>
      </c>
      <c r="O147" s="26" t="str">
        <f aca="false">IF($C147="","",IFERROR(INDEX(LOT_PRODE,MATCH($C147,LOT_KEY,0)),"LOT NON REFERENCE"))</f>
        <v/>
      </c>
      <c r="P147" s="26" t="str">
        <f aca="false">IF($C147="","",IFERROR(INDEX(LOT_CONSERVE,MATCH($C147,LOT_KEY,0)),""))</f>
        <v/>
      </c>
      <c r="Q147" s="27" t="str">
        <f aca="false">IF(OR($C147="",$D147=""),"",SUMIFS(MVT_NET,MVT_LOT,$C147,MVT_EMPL,$D147))</f>
        <v/>
      </c>
      <c r="R147" s="26" t="str">
        <f aca="false">IF($C147="","",IF(OR($B147="",AND($F147="",$G147="",$H147="",$I147="",$J147="",$K147="")),"DONNEES MANQUANTES",IF(AND($D147&lt;&gt;"",$Q147&lt;=0),"EMPLACEMENT INCOHERENT","OK")))</f>
        <v/>
      </c>
      <c r="S147" s="26" t="str">
        <f aca="false">IF($C147="","",IF(AND(ISNUMBER($G147),$G147&gt;P_HIST),"HISTAMINE "&amp;TEXT($G147,"#,##0")&amp;" PPM &gt; seuil "&amp;TEXT(P_HIST,"#,##0")&amp;". ","")&amp;IF(AND(ISNUMBER($F147),$P147="CONGELE",$F147&gt;P_TCONG),"TEMPERATURE "&amp;TEXT($F147,"0.0")&amp;" C hors seuil congele. ","")&amp;IF(AND(ISNUMBER($F147),$P147="FRAIS",$F147&gt;P_TFRAIS),"TEMPERATURE "&amp;TEXT($F147,"0.0")&amp;" C hors seuil frais. ","")&amp;IF($K147="BLOQUER","Lot bloque qualite : stock signale mais inchange. ","")&amp;IF($R147="EMPLACEMENT INCOHERENT","Lot absent de cet emplacement : controle conserve, stock inchange. ","")&amp;IF($R147="DONNEES MANQUANTES","Renseigner la DATE et au moins une mesure. ",""))</f>
        <v/>
      </c>
      <c r="T147" s="28" t="n">
        <f aca="false">IF(OR($C147="",$B147=""),0,IF(COUNTIFS(QC_LOT,$C147,QC_DATE,"&gt;"&amp;$B147)&gt;0,0,IF(COUNTIFS($C$5:$C147,$C147,$B$5:$B147,$B147)=COUNTIFS(QC_LOT,$C147,QC_DATE,$B147),1,0)))</f>
        <v>0</v>
      </c>
      <c r="U147" s="26" t="str">
        <f aca="false">IF($T147=1,$C147,"")</f>
        <v/>
      </c>
      <c r="V147" s="28" t="n">
        <f aca="false">IF($C147="",0,IF($C147=R_LOT,1,0))</f>
        <v>0</v>
      </c>
      <c r="W147" s="26" t="str">
        <f aca="false">IF($V147=0,"",COUNTIF($V$5:$V147,1))</f>
        <v/>
      </c>
    </row>
    <row r="148" customFormat="false" ht="15" hidden="false" customHeight="false" outlineLevel="0" collapsed="false">
      <c r="A148" s="26" t="str">
        <f aca="false">IF($C148="","","QC-"&amp;TEXT(ROW()-4,"000"))</f>
        <v/>
      </c>
      <c r="B148" s="25"/>
      <c r="C148" s="24"/>
      <c r="D148" s="24"/>
      <c r="E148" s="24"/>
      <c r="F148" s="32"/>
      <c r="G148" s="33"/>
      <c r="H148" s="24"/>
      <c r="I148" s="24"/>
      <c r="J148" s="24"/>
      <c r="K148" s="24"/>
      <c r="L148" s="24"/>
      <c r="M148" s="24"/>
      <c r="N148" s="26" t="str">
        <f aca="false">IF($C148="","",IFERROR(INDEX(LOT_EXTE,MATCH($C148,LOT_KEY,0)),""))</f>
        <v/>
      </c>
      <c r="O148" s="26" t="str">
        <f aca="false">IF($C148="","",IFERROR(INDEX(LOT_PRODE,MATCH($C148,LOT_KEY,0)),"LOT NON REFERENCE"))</f>
        <v/>
      </c>
      <c r="P148" s="26" t="str">
        <f aca="false">IF($C148="","",IFERROR(INDEX(LOT_CONSERVE,MATCH($C148,LOT_KEY,0)),""))</f>
        <v/>
      </c>
      <c r="Q148" s="27" t="str">
        <f aca="false">IF(OR($C148="",$D148=""),"",SUMIFS(MVT_NET,MVT_LOT,$C148,MVT_EMPL,$D148))</f>
        <v/>
      </c>
      <c r="R148" s="26" t="str">
        <f aca="false">IF($C148="","",IF(OR($B148="",AND($F148="",$G148="",$H148="",$I148="",$J148="",$K148="")),"DONNEES MANQUANTES",IF(AND($D148&lt;&gt;"",$Q148&lt;=0),"EMPLACEMENT INCOHERENT","OK")))</f>
        <v/>
      </c>
      <c r="S148" s="26" t="str">
        <f aca="false">IF($C148="","",IF(AND(ISNUMBER($G148),$G148&gt;P_HIST),"HISTAMINE "&amp;TEXT($G148,"#,##0")&amp;" PPM &gt; seuil "&amp;TEXT(P_HIST,"#,##0")&amp;". ","")&amp;IF(AND(ISNUMBER($F148),$P148="CONGELE",$F148&gt;P_TCONG),"TEMPERATURE "&amp;TEXT($F148,"0.0")&amp;" C hors seuil congele. ","")&amp;IF(AND(ISNUMBER($F148),$P148="FRAIS",$F148&gt;P_TFRAIS),"TEMPERATURE "&amp;TEXT($F148,"0.0")&amp;" C hors seuil frais. ","")&amp;IF($K148="BLOQUER","Lot bloque qualite : stock signale mais inchange. ","")&amp;IF($R148="EMPLACEMENT INCOHERENT","Lot absent de cet emplacement : controle conserve, stock inchange. ","")&amp;IF($R148="DONNEES MANQUANTES","Renseigner la DATE et au moins une mesure. ",""))</f>
        <v/>
      </c>
      <c r="T148" s="28" t="n">
        <f aca="false">IF(OR($C148="",$B148=""),0,IF(COUNTIFS(QC_LOT,$C148,QC_DATE,"&gt;"&amp;$B148)&gt;0,0,IF(COUNTIFS($C$5:$C148,$C148,$B$5:$B148,$B148)=COUNTIFS(QC_LOT,$C148,QC_DATE,$B148),1,0)))</f>
        <v>0</v>
      </c>
      <c r="U148" s="26" t="str">
        <f aca="false">IF($T148=1,$C148,"")</f>
        <v/>
      </c>
      <c r="V148" s="28" t="n">
        <f aca="false">IF($C148="",0,IF($C148=R_LOT,1,0))</f>
        <v>0</v>
      </c>
      <c r="W148" s="26" t="str">
        <f aca="false">IF($V148=0,"",COUNTIF($V$5:$V148,1))</f>
        <v/>
      </c>
    </row>
    <row r="149" customFormat="false" ht="15" hidden="false" customHeight="false" outlineLevel="0" collapsed="false">
      <c r="A149" s="26" t="str">
        <f aca="false">IF($C149="","","QC-"&amp;TEXT(ROW()-4,"000"))</f>
        <v/>
      </c>
      <c r="B149" s="25"/>
      <c r="C149" s="24"/>
      <c r="D149" s="24"/>
      <c r="E149" s="24"/>
      <c r="F149" s="32"/>
      <c r="G149" s="33"/>
      <c r="H149" s="24"/>
      <c r="I149" s="24"/>
      <c r="J149" s="24"/>
      <c r="K149" s="24"/>
      <c r="L149" s="24"/>
      <c r="M149" s="24"/>
      <c r="N149" s="26" t="str">
        <f aca="false">IF($C149="","",IFERROR(INDEX(LOT_EXTE,MATCH($C149,LOT_KEY,0)),""))</f>
        <v/>
      </c>
      <c r="O149" s="26" t="str">
        <f aca="false">IF($C149="","",IFERROR(INDEX(LOT_PRODE,MATCH($C149,LOT_KEY,0)),"LOT NON REFERENCE"))</f>
        <v/>
      </c>
      <c r="P149" s="26" t="str">
        <f aca="false">IF($C149="","",IFERROR(INDEX(LOT_CONSERVE,MATCH($C149,LOT_KEY,0)),""))</f>
        <v/>
      </c>
      <c r="Q149" s="27" t="str">
        <f aca="false">IF(OR($C149="",$D149=""),"",SUMIFS(MVT_NET,MVT_LOT,$C149,MVT_EMPL,$D149))</f>
        <v/>
      </c>
      <c r="R149" s="26" t="str">
        <f aca="false">IF($C149="","",IF(OR($B149="",AND($F149="",$G149="",$H149="",$I149="",$J149="",$K149="")),"DONNEES MANQUANTES",IF(AND($D149&lt;&gt;"",$Q149&lt;=0),"EMPLACEMENT INCOHERENT","OK")))</f>
        <v/>
      </c>
      <c r="S149" s="26" t="str">
        <f aca="false">IF($C149="","",IF(AND(ISNUMBER($G149),$G149&gt;P_HIST),"HISTAMINE "&amp;TEXT($G149,"#,##0")&amp;" PPM &gt; seuil "&amp;TEXT(P_HIST,"#,##0")&amp;". ","")&amp;IF(AND(ISNUMBER($F149),$P149="CONGELE",$F149&gt;P_TCONG),"TEMPERATURE "&amp;TEXT($F149,"0.0")&amp;" C hors seuil congele. ","")&amp;IF(AND(ISNUMBER($F149),$P149="FRAIS",$F149&gt;P_TFRAIS),"TEMPERATURE "&amp;TEXT($F149,"0.0")&amp;" C hors seuil frais. ","")&amp;IF($K149="BLOQUER","Lot bloque qualite : stock signale mais inchange. ","")&amp;IF($R149="EMPLACEMENT INCOHERENT","Lot absent de cet emplacement : controle conserve, stock inchange. ","")&amp;IF($R149="DONNEES MANQUANTES","Renseigner la DATE et au moins une mesure. ",""))</f>
        <v/>
      </c>
      <c r="T149" s="28" t="n">
        <f aca="false">IF(OR($C149="",$B149=""),0,IF(COUNTIFS(QC_LOT,$C149,QC_DATE,"&gt;"&amp;$B149)&gt;0,0,IF(COUNTIFS($C$5:$C149,$C149,$B$5:$B149,$B149)=COUNTIFS(QC_LOT,$C149,QC_DATE,$B149),1,0)))</f>
        <v>0</v>
      </c>
      <c r="U149" s="26" t="str">
        <f aca="false">IF($T149=1,$C149,"")</f>
        <v/>
      </c>
      <c r="V149" s="28" t="n">
        <f aca="false">IF($C149="",0,IF($C149=R_LOT,1,0))</f>
        <v>0</v>
      </c>
      <c r="W149" s="26" t="str">
        <f aca="false">IF($V149=0,"",COUNTIF($V$5:$V149,1))</f>
        <v/>
      </c>
    </row>
    <row r="150" customFormat="false" ht="15" hidden="false" customHeight="false" outlineLevel="0" collapsed="false">
      <c r="A150" s="26" t="str">
        <f aca="false">IF($C150="","","QC-"&amp;TEXT(ROW()-4,"000"))</f>
        <v/>
      </c>
      <c r="B150" s="25"/>
      <c r="C150" s="24"/>
      <c r="D150" s="24"/>
      <c r="E150" s="24"/>
      <c r="F150" s="32"/>
      <c r="G150" s="33"/>
      <c r="H150" s="24"/>
      <c r="I150" s="24"/>
      <c r="J150" s="24"/>
      <c r="K150" s="24"/>
      <c r="L150" s="24"/>
      <c r="M150" s="24"/>
      <c r="N150" s="26" t="str">
        <f aca="false">IF($C150="","",IFERROR(INDEX(LOT_EXTE,MATCH($C150,LOT_KEY,0)),""))</f>
        <v/>
      </c>
      <c r="O150" s="26" t="str">
        <f aca="false">IF($C150="","",IFERROR(INDEX(LOT_PRODE,MATCH($C150,LOT_KEY,0)),"LOT NON REFERENCE"))</f>
        <v/>
      </c>
      <c r="P150" s="26" t="str">
        <f aca="false">IF($C150="","",IFERROR(INDEX(LOT_CONSERVE,MATCH($C150,LOT_KEY,0)),""))</f>
        <v/>
      </c>
      <c r="Q150" s="27" t="str">
        <f aca="false">IF(OR($C150="",$D150=""),"",SUMIFS(MVT_NET,MVT_LOT,$C150,MVT_EMPL,$D150))</f>
        <v/>
      </c>
      <c r="R150" s="26" t="str">
        <f aca="false">IF($C150="","",IF(OR($B150="",AND($F150="",$G150="",$H150="",$I150="",$J150="",$K150="")),"DONNEES MANQUANTES",IF(AND($D150&lt;&gt;"",$Q150&lt;=0),"EMPLACEMENT INCOHERENT","OK")))</f>
        <v/>
      </c>
      <c r="S150" s="26" t="str">
        <f aca="false">IF($C150="","",IF(AND(ISNUMBER($G150),$G150&gt;P_HIST),"HISTAMINE "&amp;TEXT($G150,"#,##0")&amp;" PPM &gt; seuil "&amp;TEXT(P_HIST,"#,##0")&amp;". ","")&amp;IF(AND(ISNUMBER($F150),$P150="CONGELE",$F150&gt;P_TCONG),"TEMPERATURE "&amp;TEXT($F150,"0.0")&amp;" C hors seuil congele. ","")&amp;IF(AND(ISNUMBER($F150),$P150="FRAIS",$F150&gt;P_TFRAIS),"TEMPERATURE "&amp;TEXT($F150,"0.0")&amp;" C hors seuil frais. ","")&amp;IF($K150="BLOQUER","Lot bloque qualite : stock signale mais inchange. ","")&amp;IF($R150="EMPLACEMENT INCOHERENT","Lot absent de cet emplacement : controle conserve, stock inchange. ","")&amp;IF($R150="DONNEES MANQUANTES","Renseigner la DATE et au moins une mesure. ",""))</f>
        <v/>
      </c>
      <c r="T150" s="28" t="n">
        <f aca="false">IF(OR($C150="",$B150=""),0,IF(COUNTIFS(QC_LOT,$C150,QC_DATE,"&gt;"&amp;$B150)&gt;0,0,IF(COUNTIFS($C$5:$C150,$C150,$B$5:$B150,$B150)=COUNTIFS(QC_LOT,$C150,QC_DATE,$B150),1,0)))</f>
        <v>0</v>
      </c>
      <c r="U150" s="26" t="str">
        <f aca="false">IF($T150=1,$C150,"")</f>
        <v/>
      </c>
      <c r="V150" s="28" t="n">
        <f aca="false">IF($C150="",0,IF($C150=R_LOT,1,0))</f>
        <v>0</v>
      </c>
      <c r="W150" s="26" t="str">
        <f aca="false">IF($V150=0,"",COUNTIF($V$5:$V150,1))</f>
        <v/>
      </c>
    </row>
    <row r="151" customFormat="false" ht="15" hidden="false" customHeight="false" outlineLevel="0" collapsed="false">
      <c r="A151" s="26" t="str">
        <f aca="false">IF($C151="","","QC-"&amp;TEXT(ROW()-4,"000"))</f>
        <v/>
      </c>
      <c r="B151" s="25"/>
      <c r="C151" s="24"/>
      <c r="D151" s="24"/>
      <c r="E151" s="24"/>
      <c r="F151" s="32"/>
      <c r="G151" s="33"/>
      <c r="H151" s="24"/>
      <c r="I151" s="24"/>
      <c r="J151" s="24"/>
      <c r="K151" s="24"/>
      <c r="L151" s="24"/>
      <c r="M151" s="24"/>
      <c r="N151" s="26" t="str">
        <f aca="false">IF($C151="","",IFERROR(INDEX(LOT_EXTE,MATCH($C151,LOT_KEY,0)),""))</f>
        <v/>
      </c>
      <c r="O151" s="26" t="str">
        <f aca="false">IF($C151="","",IFERROR(INDEX(LOT_PRODE,MATCH($C151,LOT_KEY,0)),"LOT NON REFERENCE"))</f>
        <v/>
      </c>
      <c r="P151" s="26" t="str">
        <f aca="false">IF($C151="","",IFERROR(INDEX(LOT_CONSERVE,MATCH($C151,LOT_KEY,0)),""))</f>
        <v/>
      </c>
      <c r="Q151" s="27" t="str">
        <f aca="false">IF(OR($C151="",$D151=""),"",SUMIFS(MVT_NET,MVT_LOT,$C151,MVT_EMPL,$D151))</f>
        <v/>
      </c>
      <c r="R151" s="26" t="str">
        <f aca="false">IF($C151="","",IF(OR($B151="",AND($F151="",$G151="",$H151="",$I151="",$J151="",$K151="")),"DONNEES MANQUANTES",IF(AND($D151&lt;&gt;"",$Q151&lt;=0),"EMPLACEMENT INCOHERENT","OK")))</f>
        <v/>
      </c>
      <c r="S151" s="26" t="str">
        <f aca="false">IF($C151="","",IF(AND(ISNUMBER($G151),$G151&gt;P_HIST),"HISTAMINE "&amp;TEXT($G151,"#,##0")&amp;" PPM &gt; seuil "&amp;TEXT(P_HIST,"#,##0")&amp;". ","")&amp;IF(AND(ISNUMBER($F151),$P151="CONGELE",$F151&gt;P_TCONG),"TEMPERATURE "&amp;TEXT($F151,"0.0")&amp;" C hors seuil congele. ","")&amp;IF(AND(ISNUMBER($F151),$P151="FRAIS",$F151&gt;P_TFRAIS),"TEMPERATURE "&amp;TEXT($F151,"0.0")&amp;" C hors seuil frais. ","")&amp;IF($K151="BLOQUER","Lot bloque qualite : stock signale mais inchange. ","")&amp;IF($R151="EMPLACEMENT INCOHERENT","Lot absent de cet emplacement : controle conserve, stock inchange. ","")&amp;IF($R151="DONNEES MANQUANTES","Renseigner la DATE et au moins une mesure. ",""))</f>
        <v/>
      </c>
      <c r="T151" s="28" t="n">
        <f aca="false">IF(OR($C151="",$B151=""),0,IF(COUNTIFS(QC_LOT,$C151,QC_DATE,"&gt;"&amp;$B151)&gt;0,0,IF(COUNTIFS($C$5:$C151,$C151,$B$5:$B151,$B151)=COUNTIFS(QC_LOT,$C151,QC_DATE,$B151),1,0)))</f>
        <v>0</v>
      </c>
      <c r="U151" s="26" t="str">
        <f aca="false">IF($T151=1,$C151,"")</f>
        <v/>
      </c>
      <c r="V151" s="28" t="n">
        <f aca="false">IF($C151="",0,IF($C151=R_LOT,1,0))</f>
        <v>0</v>
      </c>
      <c r="W151" s="26" t="str">
        <f aca="false">IF($V151=0,"",COUNTIF($V$5:$V151,1))</f>
        <v/>
      </c>
    </row>
    <row r="152" customFormat="false" ht="15" hidden="false" customHeight="false" outlineLevel="0" collapsed="false">
      <c r="A152" s="26" t="str">
        <f aca="false">IF($C152="","","QC-"&amp;TEXT(ROW()-4,"000"))</f>
        <v/>
      </c>
      <c r="B152" s="25"/>
      <c r="C152" s="24"/>
      <c r="D152" s="24"/>
      <c r="E152" s="24"/>
      <c r="F152" s="32"/>
      <c r="G152" s="33"/>
      <c r="H152" s="24"/>
      <c r="I152" s="24"/>
      <c r="J152" s="24"/>
      <c r="K152" s="24"/>
      <c r="L152" s="24"/>
      <c r="M152" s="24"/>
      <c r="N152" s="26" t="str">
        <f aca="false">IF($C152="","",IFERROR(INDEX(LOT_EXTE,MATCH($C152,LOT_KEY,0)),""))</f>
        <v/>
      </c>
      <c r="O152" s="26" t="str">
        <f aca="false">IF($C152="","",IFERROR(INDEX(LOT_PRODE,MATCH($C152,LOT_KEY,0)),"LOT NON REFERENCE"))</f>
        <v/>
      </c>
      <c r="P152" s="26" t="str">
        <f aca="false">IF($C152="","",IFERROR(INDEX(LOT_CONSERVE,MATCH($C152,LOT_KEY,0)),""))</f>
        <v/>
      </c>
      <c r="Q152" s="27" t="str">
        <f aca="false">IF(OR($C152="",$D152=""),"",SUMIFS(MVT_NET,MVT_LOT,$C152,MVT_EMPL,$D152))</f>
        <v/>
      </c>
      <c r="R152" s="26" t="str">
        <f aca="false">IF($C152="","",IF(OR($B152="",AND($F152="",$G152="",$H152="",$I152="",$J152="",$K152="")),"DONNEES MANQUANTES",IF(AND($D152&lt;&gt;"",$Q152&lt;=0),"EMPLACEMENT INCOHERENT","OK")))</f>
        <v/>
      </c>
      <c r="S152" s="26" t="str">
        <f aca="false">IF($C152="","",IF(AND(ISNUMBER($G152),$G152&gt;P_HIST),"HISTAMINE "&amp;TEXT($G152,"#,##0")&amp;" PPM &gt; seuil "&amp;TEXT(P_HIST,"#,##0")&amp;". ","")&amp;IF(AND(ISNUMBER($F152),$P152="CONGELE",$F152&gt;P_TCONG),"TEMPERATURE "&amp;TEXT($F152,"0.0")&amp;" C hors seuil congele. ","")&amp;IF(AND(ISNUMBER($F152),$P152="FRAIS",$F152&gt;P_TFRAIS),"TEMPERATURE "&amp;TEXT($F152,"0.0")&amp;" C hors seuil frais. ","")&amp;IF($K152="BLOQUER","Lot bloque qualite : stock signale mais inchange. ","")&amp;IF($R152="EMPLACEMENT INCOHERENT","Lot absent de cet emplacement : controle conserve, stock inchange. ","")&amp;IF($R152="DONNEES MANQUANTES","Renseigner la DATE et au moins une mesure. ",""))</f>
        <v/>
      </c>
      <c r="T152" s="28" t="n">
        <f aca="false">IF(OR($C152="",$B152=""),0,IF(COUNTIFS(QC_LOT,$C152,QC_DATE,"&gt;"&amp;$B152)&gt;0,0,IF(COUNTIFS($C$5:$C152,$C152,$B$5:$B152,$B152)=COUNTIFS(QC_LOT,$C152,QC_DATE,$B152),1,0)))</f>
        <v>0</v>
      </c>
      <c r="U152" s="26" t="str">
        <f aca="false">IF($T152=1,$C152,"")</f>
        <v/>
      </c>
      <c r="V152" s="28" t="n">
        <f aca="false">IF($C152="",0,IF($C152=R_LOT,1,0))</f>
        <v>0</v>
      </c>
      <c r="W152" s="26" t="str">
        <f aca="false">IF($V152=0,"",COUNTIF($V$5:$V152,1))</f>
        <v/>
      </c>
    </row>
    <row r="153" customFormat="false" ht="15" hidden="false" customHeight="false" outlineLevel="0" collapsed="false">
      <c r="A153" s="26" t="str">
        <f aca="false">IF($C153="","","QC-"&amp;TEXT(ROW()-4,"000"))</f>
        <v/>
      </c>
      <c r="B153" s="25"/>
      <c r="C153" s="24"/>
      <c r="D153" s="24"/>
      <c r="E153" s="24"/>
      <c r="F153" s="32"/>
      <c r="G153" s="33"/>
      <c r="H153" s="24"/>
      <c r="I153" s="24"/>
      <c r="J153" s="24"/>
      <c r="K153" s="24"/>
      <c r="L153" s="24"/>
      <c r="M153" s="24"/>
      <c r="N153" s="26" t="str">
        <f aca="false">IF($C153="","",IFERROR(INDEX(LOT_EXTE,MATCH($C153,LOT_KEY,0)),""))</f>
        <v/>
      </c>
      <c r="O153" s="26" t="str">
        <f aca="false">IF($C153="","",IFERROR(INDEX(LOT_PRODE,MATCH($C153,LOT_KEY,0)),"LOT NON REFERENCE"))</f>
        <v/>
      </c>
      <c r="P153" s="26" t="str">
        <f aca="false">IF($C153="","",IFERROR(INDEX(LOT_CONSERVE,MATCH($C153,LOT_KEY,0)),""))</f>
        <v/>
      </c>
      <c r="Q153" s="27" t="str">
        <f aca="false">IF(OR($C153="",$D153=""),"",SUMIFS(MVT_NET,MVT_LOT,$C153,MVT_EMPL,$D153))</f>
        <v/>
      </c>
      <c r="R153" s="26" t="str">
        <f aca="false">IF($C153="","",IF(OR($B153="",AND($F153="",$G153="",$H153="",$I153="",$J153="",$K153="")),"DONNEES MANQUANTES",IF(AND($D153&lt;&gt;"",$Q153&lt;=0),"EMPLACEMENT INCOHERENT","OK")))</f>
        <v/>
      </c>
      <c r="S153" s="26" t="str">
        <f aca="false">IF($C153="","",IF(AND(ISNUMBER($G153),$G153&gt;P_HIST),"HISTAMINE "&amp;TEXT($G153,"#,##0")&amp;" PPM &gt; seuil "&amp;TEXT(P_HIST,"#,##0")&amp;". ","")&amp;IF(AND(ISNUMBER($F153),$P153="CONGELE",$F153&gt;P_TCONG),"TEMPERATURE "&amp;TEXT($F153,"0.0")&amp;" C hors seuil congele. ","")&amp;IF(AND(ISNUMBER($F153),$P153="FRAIS",$F153&gt;P_TFRAIS),"TEMPERATURE "&amp;TEXT($F153,"0.0")&amp;" C hors seuil frais. ","")&amp;IF($K153="BLOQUER","Lot bloque qualite : stock signale mais inchange. ","")&amp;IF($R153="EMPLACEMENT INCOHERENT","Lot absent de cet emplacement : controle conserve, stock inchange. ","")&amp;IF($R153="DONNEES MANQUANTES","Renseigner la DATE et au moins une mesure. ",""))</f>
        <v/>
      </c>
      <c r="T153" s="28" t="n">
        <f aca="false">IF(OR($C153="",$B153=""),0,IF(COUNTIFS(QC_LOT,$C153,QC_DATE,"&gt;"&amp;$B153)&gt;0,0,IF(COUNTIFS($C$5:$C153,$C153,$B$5:$B153,$B153)=COUNTIFS(QC_LOT,$C153,QC_DATE,$B153),1,0)))</f>
        <v>0</v>
      </c>
      <c r="U153" s="26" t="str">
        <f aca="false">IF($T153=1,$C153,"")</f>
        <v/>
      </c>
      <c r="V153" s="28" t="n">
        <f aca="false">IF($C153="",0,IF($C153=R_LOT,1,0))</f>
        <v>0</v>
      </c>
      <c r="W153" s="26" t="str">
        <f aca="false">IF($V153=0,"",COUNTIF($V$5:$V153,1))</f>
        <v/>
      </c>
    </row>
    <row r="154" customFormat="false" ht="15" hidden="false" customHeight="false" outlineLevel="0" collapsed="false">
      <c r="A154" s="26" t="str">
        <f aca="false">IF($C154="","","QC-"&amp;TEXT(ROW()-4,"000"))</f>
        <v/>
      </c>
      <c r="B154" s="25"/>
      <c r="C154" s="24"/>
      <c r="D154" s="24"/>
      <c r="E154" s="24"/>
      <c r="F154" s="32"/>
      <c r="G154" s="33"/>
      <c r="H154" s="24"/>
      <c r="I154" s="24"/>
      <c r="J154" s="24"/>
      <c r="K154" s="24"/>
      <c r="L154" s="24"/>
      <c r="M154" s="24"/>
      <c r="N154" s="26" t="str">
        <f aca="false">IF($C154="","",IFERROR(INDEX(LOT_EXTE,MATCH($C154,LOT_KEY,0)),""))</f>
        <v/>
      </c>
      <c r="O154" s="26" t="str">
        <f aca="false">IF($C154="","",IFERROR(INDEX(LOT_PRODE,MATCH($C154,LOT_KEY,0)),"LOT NON REFERENCE"))</f>
        <v/>
      </c>
      <c r="P154" s="26" t="str">
        <f aca="false">IF($C154="","",IFERROR(INDEX(LOT_CONSERVE,MATCH($C154,LOT_KEY,0)),""))</f>
        <v/>
      </c>
      <c r="Q154" s="27" t="str">
        <f aca="false">IF(OR($C154="",$D154=""),"",SUMIFS(MVT_NET,MVT_LOT,$C154,MVT_EMPL,$D154))</f>
        <v/>
      </c>
      <c r="R154" s="26" t="str">
        <f aca="false">IF($C154="","",IF(OR($B154="",AND($F154="",$G154="",$H154="",$I154="",$J154="",$K154="")),"DONNEES MANQUANTES",IF(AND($D154&lt;&gt;"",$Q154&lt;=0),"EMPLACEMENT INCOHERENT","OK")))</f>
        <v/>
      </c>
      <c r="S154" s="26" t="str">
        <f aca="false">IF($C154="","",IF(AND(ISNUMBER($G154),$G154&gt;P_HIST),"HISTAMINE "&amp;TEXT($G154,"#,##0")&amp;" PPM &gt; seuil "&amp;TEXT(P_HIST,"#,##0")&amp;". ","")&amp;IF(AND(ISNUMBER($F154),$P154="CONGELE",$F154&gt;P_TCONG),"TEMPERATURE "&amp;TEXT($F154,"0.0")&amp;" C hors seuil congele. ","")&amp;IF(AND(ISNUMBER($F154),$P154="FRAIS",$F154&gt;P_TFRAIS),"TEMPERATURE "&amp;TEXT($F154,"0.0")&amp;" C hors seuil frais. ","")&amp;IF($K154="BLOQUER","Lot bloque qualite : stock signale mais inchange. ","")&amp;IF($R154="EMPLACEMENT INCOHERENT","Lot absent de cet emplacement : controle conserve, stock inchange. ","")&amp;IF($R154="DONNEES MANQUANTES","Renseigner la DATE et au moins une mesure. ",""))</f>
        <v/>
      </c>
      <c r="T154" s="28" t="n">
        <f aca="false">IF(OR($C154="",$B154=""),0,IF(COUNTIFS(QC_LOT,$C154,QC_DATE,"&gt;"&amp;$B154)&gt;0,0,IF(COUNTIFS($C$5:$C154,$C154,$B$5:$B154,$B154)=COUNTIFS(QC_LOT,$C154,QC_DATE,$B154),1,0)))</f>
        <v>0</v>
      </c>
      <c r="U154" s="26" t="str">
        <f aca="false">IF($T154=1,$C154,"")</f>
        <v/>
      </c>
      <c r="V154" s="28" t="n">
        <f aca="false">IF($C154="",0,IF($C154=R_LOT,1,0))</f>
        <v>0</v>
      </c>
      <c r="W154" s="26" t="str">
        <f aca="false">IF($V154=0,"",COUNTIF($V$5:$V154,1))</f>
        <v/>
      </c>
    </row>
    <row r="155" customFormat="false" ht="15" hidden="false" customHeight="false" outlineLevel="0" collapsed="false">
      <c r="A155" s="26" t="str">
        <f aca="false">IF($C155="","","QC-"&amp;TEXT(ROW()-4,"000"))</f>
        <v/>
      </c>
      <c r="B155" s="25"/>
      <c r="C155" s="24"/>
      <c r="D155" s="24"/>
      <c r="E155" s="24"/>
      <c r="F155" s="32"/>
      <c r="G155" s="33"/>
      <c r="H155" s="24"/>
      <c r="I155" s="24"/>
      <c r="J155" s="24"/>
      <c r="K155" s="24"/>
      <c r="L155" s="24"/>
      <c r="M155" s="24"/>
      <c r="N155" s="26" t="str">
        <f aca="false">IF($C155="","",IFERROR(INDEX(LOT_EXTE,MATCH($C155,LOT_KEY,0)),""))</f>
        <v/>
      </c>
      <c r="O155" s="26" t="str">
        <f aca="false">IF($C155="","",IFERROR(INDEX(LOT_PRODE,MATCH($C155,LOT_KEY,0)),"LOT NON REFERENCE"))</f>
        <v/>
      </c>
      <c r="P155" s="26" t="str">
        <f aca="false">IF($C155="","",IFERROR(INDEX(LOT_CONSERVE,MATCH($C155,LOT_KEY,0)),""))</f>
        <v/>
      </c>
      <c r="Q155" s="27" t="str">
        <f aca="false">IF(OR($C155="",$D155=""),"",SUMIFS(MVT_NET,MVT_LOT,$C155,MVT_EMPL,$D155))</f>
        <v/>
      </c>
      <c r="R155" s="26" t="str">
        <f aca="false">IF($C155="","",IF(OR($B155="",AND($F155="",$G155="",$H155="",$I155="",$J155="",$K155="")),"DONNEES MANQUANTES",IF(AND($D155&lt;&gt;"",$Q155&lt;=0),"EMPLACEMENT INCOHERENT","OK")))</f>
        <v/>
      </c>
      <c r="S155" s="26" t="str">
        <f aca="false">IF($C155="","",IF(AND(ISNUMBER($G155),$G155&gt;P_HIST),"HISTAMINE "&amp;TEXT($G155,"#,##0")&amp;" PPM &gt; seuil "&amp;TEXT(P_HIST,"#,##0")&amp;". ","")&amp;IF(AND(ISNUMBER($F155),$P155="CONGELE",$F155&gt;P_TCONG),"TEMPERATURE "&amp;TEXT($F155,"0.0")&amp;" C hors seuil congele. ","")&amp;IF(AND(ISNUMBER($F155),$P155="FRAIS",$F155&gt;P_TFRAIS),"TEMPERATURE "&amp;TEXT($F155,"0.0")&amp;" C hors seuil frais. ","")&amp;IF($K155="BLOQUER","Lot bloque qualite : stock signale mais inchange. ","")&amp;IF($R155="EMPLACEMENT INCOHERENT","Lot absent de cet emplacement : controle conserve, stock inchange. ","")&amp;IF($R155="DONNEES MANQUANTES","Renseigner la DATE et au moins une mesure. ",""))</f>
        <v/>
      </c>
      <c r="T155" s="28" t="n">
        <f aca="false">IF(OR($C155="",$B155=""),0,IF(COUNTIFS(QC_LOT,$C155,QC_DATE,"&gt;"&amp;$B155)&gt;0,0,IF(COUNTIFS($C$5:$C155,$C155,$B$5:$B155,$B155)=COUNTIFS(QC_LOT,$C155,QC_DATE,$B155),1,0)))</f>
        <v>0</v>
      </c>
      <c r="U155" s="26" t="str">
        <f aca="false">IF($T155=1,$C155,"")</f>
        <v/>
      </c>
      <c r="V155" s="28" t="n">
        <f aca="false">IF($C155="",0,IF($C155=R_LOT,1,0))</f>
        <v>0</v>
      </c>
      <c r="W155" s="26" t="str">
        <f aca="false">IF($V155=0,"",COUNTIF($V$5:$V155,1))</f>
        <v/>
      </c>
    </row>
    <row r="156" customFormat="false" ht="15" hidden="false" customHeight="false" outlineLevel="0" collapsed="false">
      <c r="A156" s="26" t="str">
        <f aca="false">IF($C156="","","QC-"&amp;TEXT(ROW()-4,"000"))</f>
        <v/>
      </c>
      <c r="B156" s="25"/>
      <c r="C156" s="24"/>
      <c r="D156" s="24"/>
      <c r="E156" s="24"/>
      <c r="F156" s="32"/>
      <c r="G156" s="33"/>
      <c r="H156" s="24"/>
      <c r="I156" s="24"/>
      <c r="J156" s="24"/>
      <c r="K156" s="24"/>
      <c r="L156" s="24"/>
      <c r="M156" s="24"/>
      <c r="N156" s="26" t="str">
        <f aca="false">IF($C156="","",IFERROR(INDEX(LOT_EXTE,MATCH($C156,LOT_KEY,0)),""))</f>
        <v/>
      </c>
      <c r="O156" s="26" t="str">
        <f aca="false">IF($C156="","",IFERROR(INDEX(LOT_PRODE,MATCH($C156,LOT_KEY,0)),"LOT NON REFERENCE"))</f>
        <v/>
      </c>
      <c r="P156" s="26" t="str">
        <f aca="false">IF($C156="","",IFERROR(INDEX(LOT_CONSERVE,MATCH($C156,LOT_KEY,0)),""))</f>
        <v/>
      </c>
      <c r="Q156" s="27" t="str">
        <f aca="false">IF(OR($C156="",$D156=""),"",SUMIFS(MVT_NET,MVT_LOT,$C156,MVT_EMPL,$D156))</f>
        <v/>
      </c>
      <c r="R156" s="26" t="str">
        <f aca="false">IF($C156="","",IF(OR($B156="",AND($F156="",$G156="",$H156="",$I156="",$J156="",$K156="")),"DONNEES MANQUANTES",IF(AND($D156&lt;&gt;"",$Q156&lt;=0),"EMPLACEMENT INCOHERENT","OK")))</f>
        <v/>
      </c>
      <c r="S156" s="26" t="str">
        <f aca="false">IF($C156="","",IF(AND(ISNUMBER($G156),$G156&gt;P_HIST),"HISTAMINE "&amp;TEXT($G156,"#,##0")&amp;" PPM &gt; seuil "&amp;TEXT(P_HIST,"#,##0")&amp;". ","")&amp;IF(AND(ISNUMBER($F156),$P156="CONGELE",$F156&gt;P_TCONG),"TEMPERATURE "&amp;TEXT($F156,"0.0")&amp;" C hors seuil congele. ","")&amp;IF(AND(ISNUMBER($F156),$P156="FRAIS",$F156&gt;P_TFRAIS),"TEMPERATURE "&amp;TEXT($F156,"0.0")&amp;" C hors seuil frais. ","")&amp;IF($K156="BLOQUER","Lot bloque qualite : stock signale mais inchange. ","")&amp;IF($R156="EMPLACEMENT INCOHERENT","Lot absent de cet emplacement : controle conserve, stock inchange. ","")&amp;IF($R156="DONNEES MANQUANTES","Renseigner la DATE et au moins une mesure. ",""))</f>
        <v/>
      </c>
      <c r="T156" s="28" t="n">
        <f aca="false">IF(OR($C156="",$B156=""),0,IF(COUNTIFS(QC_LOT,$C156,QC_DATE,"&gt;"&amp;$B156)&gt;0,0,IF(COUNTIFS($C$5:$C156,$C156,$B$5:$B156,$B156)=COUNTIFS(QC_LOT,$C156,QC_DATE,$B156),1,0)))</f>
        <v>0</v>
      </c>
      <c r="U156" s="26" t="str">
        <f aca="false">IF($T156=1,$C156,"")</f>
        <v/>
      </c>
      <c r="V156" s="28" t="n">
        <f aca="false">IF($C156="",0,IF($C156=R_LOT,1,0))</f>
        <v>0</v>
      </c>
      <c r="W156" s="26" t="str">
        <f aca="false">IF($V156=0,"",COUNTIF($V$5:$V156,1))</f>
        <v/>
      </c>
    </row>
    <row r="157" customFormat="false" ht="15" hidden="false" customHeight="false" outlineLevel="0" collapsed="false">
      <c r="A157" s="26" t="str">
        <f aca="false">IF($C157="","","QC-"&amp;TEXT(ROW()-4,"000"))</f>
        <v/>
      </c>
      <c r="B157" s="25"/>
      <c r="C157" s="24"/>
      <c r="D157" s="24"/>
      <c r="E157" s="24"/>
      <c r="F157" s="32"/>
      <c r="G157" s="33"/>
      <c r="H157" s="24"/>
      <c r="I157" s="24"/>
      <c r="J157" s="24"/>
      <c r="K157" s="24"/>
      <c r="L157" s="24"/>
      <c r="M157" s="24"/>
      <c r="N157" s="26" t="str">
        <f aca="false">IF($C157="","",IFERROR(INDEX(LOT_EXTE,MATCH($C157,LOT_KEY,0)),""))</f>
        <v/>
      </c>
      <c r="O157" s="26" t="str">
        <f aca="false">IF($C157="","",IFERROR(INDEX(LOT_PRODE,MATCH($C157,LOT_KEY,0)),"LOT NON REFERENCE"))</f>
        <v/>
      </c>
      <c r="P157" s="26" t="str">
        <f aca="false">IF($C157="","",IFERROR(INDEX(LOT_CONSERVE,MATCH($C157,LOT_KEY,0)),""))</f>
        <v/>
      </c>
      <c r="Q157" s="27" t="str">
        <f aca="false">IF(OR($C157="",$D157=""),"",SUMIFS(MVT_NET,MVT_LOT,$C157,MVT_EMPL,$D157))</f>
        <v/>
      </c>
      <c r="R157" s="26" t="str">
        <f aca="false">IF($C157="","",IF(OR($B157="",AND($F157="",$G157="",$H157="",$I157="",$J157="",$K157="")),"DONNEES MANQUANTES",IF(AND($D157&lt;&gt;"",$Q157&lt;=0),"EMPLACEMENT INCOHERENT","OK")))</f>
        <v/>
      </c>
      <c r="S157" s="26" t="str">
        <f aca="false">IF($C157="","",IF(AND(ISNUMBER($G157),$G157&gt;P_HIST),"HISTAMINE "&amp;TEXT($G157,"#,##0")&amp;" PPM &gt; seuil "&amp;TEXT(P_HIST,"#,##0")&amp;". ","")&amp;IF(AND(ISNUMBER($F157),$P157="CONGELE",$F157&gt;P_TCONG),"TEMPERATURE "&amp;TEXT($F157,"0.0")&amp;" C hors seuil congele. ","")&amp;IF(AND(ISNUMBER($F157),$P157="FRAIS",$F157&gt;P_TFRAIS),"TEMPERATURE "&amp;TEXT($F157,"0.0")&amp;" C hors seuil frais. ","")&amp;IF($K157="BLOQUER","Lot bloque qualite : stock signale mais inchange. ","")&amp;IF($R157="EMPLACEMENT INCOHERENT","Lot absent de cet emplacement : controle conserve, stock inchange. ","")&amp;IF($R157="DONNEES MANQUANTES","Renseigner la DATE et au moins une mesure. ",""))</f>
        <v/>
      </c>
      <c r="T157" s="28" t="n">
        <f aca="false">IF(OR($C157="",$B157=""),0,IF(COUNTIFS(QC_LOT,$C157,QC_DATE,"&gt;"&amp;$B157)&gt;0,0,IF(COUNTIFS($C$5:$C157,$C157,$B$5:$B157,$B157)=COUNTIFS(QC_LOT,$C157,QC_DATE,$B157),1,0)))</f>
        <v>0</v>
      </c>
      <c r="U157" s="26" t="str">
        <f aca="false">IF($T157=1,$C157,"")</f>
        <v/>
      </c>
      <c r="V157" s="28" t="n">
        <f aca="false">IF($C157="",0,IF($C157=R_LOT,1,0))</f>
        <v>0</v>
      </c>
      <c r="W157" s="26" t="str">
        <f aca="false">IF($V157=0,"",COUNTIF($V$5:$V157,1))</f>
        <v/>
      </c>
    </row>
    <row r="158" customFormat="false" ht="15" hidden="false" customHeight="false" outlineLevel="0" collapsed="false">
      <c r="A158" s="26" t="str">
        <f aca="false">IF($C158="","","QC-"&amp;TEXT(ROW()-4,"000"))</f>
        <v/>
      </c>
      <c r="B158" s="25"/>
      <c r="C158" s="24"/>
      <c r="D158" s="24"/>
      <c r="E158" s="24"/>
      <c r="F158" s="32"/>
      <c r="G158" s="33"/>
      <c r="H158" s="24"/>
      <c r="I158" s="24"/>
      <c r="J158" s="24"/>
      <c r="K158" s="24"/>
      <c r="L158" s="24"/>
      <c r="M158" s="24"/>
      <c r="N158" s="26" t="str">
        <f aca="false">IF($C158="","",IFERROR(INDEX(LOT_EXTE,MATCH($C158,LOT_KEY,0)),""))</f>
        <v/>
      </c>
      <c r="O158" s="26" t="str">
        <f aca="false">IF($C158="","",IFERROR(INDEX(LOT_PRODE,MATCH($C158,LOT_KEY,0)),"LOT NON REFERENCE"))</f>
        <v/>
      </c>
      <c r="P158" s="26" t="str">
        <f aca="false">IF($C158="","",IFERROR(INDEX(LOT_CONSERVE,MATCH($C158,LOT_KEY,0)),""))</f>
        <v/>
      </c>
      <c r="Q158" s="27" t="str">
        <f aca="false">IF(OR($C158="",$D158=""),"",SUMIFS(MVT_NET,MVT_LOT,$C158,MVT_EMPL,$D158))</f>
        <v/>
      </c>
      <c r="R158" s="26" t="str">
        <f aca="false">IF($C158="","",IF(OR($B158="",AND($F158="",$G158="",$H158="",$I158="",$J158="",$K158="")),"DONNEES MANQUANTES",IF(AND($D158&lt;&gt;"",$Q158&lt;=0),"EMPLACEMENT INCOHERENT","OK")))</f>
        <v/>
      </c>
      <c r="S158" s="26" t="str">
        <f aca="false">IF($C158="","",IF(AND(ISNUMBER($G158),$G158&gt;P_HIST),"HISTAMINE "&amp;TEXT($G158,"#,##0")&amp;" PPM &gt; seuil "&amp;TEXT(P_HIST,"#,##0")&amp;". ","")&amp;IF(AND(ISNUMBER($F158),$P158="CONGELE",$F158&gt;P_TCONG),"TEMPERATURE "&amp;TEXT($F158,"0.0")&amp;" C hors seuil congele. ","")&amp;IF(AND(ISNUMBER($F158),$P158="FRAIS",$F158&gt;P_TFRAIS),"TEMPERATURE "&amp;TEXT($F158,"0.0")&amp;" C hors seuil frais. ","")&amp;IF($K158="BLOQUER","Lot bloque qualite : stock signale mais inchange. ","")&amp;IF($R158="EMPLACEMENT INCOHERENT","Lot absent de cet emplacement : controle conserve, stock inchange. ","")&amp;IF($R158="DONNEES MANQUANTES","Renseigner la DATE et au moins une mesure. ",""))</f>
        <v/>
      </c>
      <c r="T158" s="28" t="n">
        <f aca="false">IF(OR($C158="",$B158=""),0,IF(COUNTIFS(QC_LOT,$C158,QC_DATE,"&gt;"&amp;$B158)&gt;0,0,IF(COUNTIFS($C$5:$C158,$C158,$B$5:$B158,$B158)=COUNTIFS(QC_LOT,$C158,QC_DATE,$B158),1,0)))</f>
        <v>0</v>
      </c>
      <c r="U158" s="26" t="str">
        <f aca="false">IF($T158=1,$C158,"")</f>
        <v/>
      </c>
      <c r="V158" s="28" t="n">
        <f aca="false">IF($C158="",0,IF($C158=R_LOT,1,0))</f>
        <v>0</v>
      </c>
      <c r="W158" s="26" t="str">
        <f aca="false">IF($V158=0,"",COUNTIF($V$5:$V158,1))</f>
        <v/>
      </c>
    </row>
    <row r="159" customFormat="false" ht="15" hidden="false" customHeight="false" outlineLevel="0" collapsed="false">
      <c r="A159" s="26" t="str">
        <f aca="false">IF($C159="","","QC-"&amp;TEXT(ROW()-4,"000"))</f>
        <v/>
      </c>
      <c r="B159" s="25"/>
      <c r="C159" s="24"/>
      <c r="D159" s="24"/>
      <c r="E159" s="24"/>
      <c r="F159" s="32"/>
      <c r="G159" s="33"/>
      <c r="H159" s="24"/>
      <c r="I159" s="24"/>
      <c r="J159" s="24"/>
      <c r="K159" s="24"/>
      <c r="L159" s="24"/>
      <c r="M159" s="24"/>
      <c r="N159" s="26" t="str">
        <f aca="false">IF($C159="","",IFERROR(INDEX(LOT_EXTE,MATCH($C159,LOT_KEY,0)),""))</f>
        <v/>
      </c>
      <c r="O159" s="26" t="str">
        <f aca="false">IF($C159="","",IFERROR(INDEX(LOT_PRODE,MATCH($C159,LOT_KEY,0)),"LOT NON REFERENCE"))</f>
        <v/>
      </c>
      <c r="P159" s="26" t="str">
        <f aca="false">IF($C159="","",IFERROR(INDEX(LOT_CONSERVE,MATCH($C159,LOT_KEY,0)),""))</f>
        <v/>
      </c>
      <c r="Q159" s="27" t="str">
        <f aca="false">IF(OR($C159="",$D159=""),"",SUMIFS(MVT_NET,MVT_LOT,$C159,MVT_EMPL,$D159))</f>
        <v/>
      </c>
      <c r="R159" s="26" t="str">
        <f aca="false">IF($C159="","",IF(OR($B159="",AND($F159="",$G159="",$H159="",$I159="",$J159="",$K159="")),"DONNEES MANQUANTES",IF(AND($D159&lt;&gt;"",$Q159&lt;=0),"EMPLACEMENT INCOHERENT","OK")))</f>
        <v/>
      </c>
      <c r="S159" s="26" t="str">
        <f aca="false">IF($C159="","",IF(AND(ISNUMBER($G159),$G159&gt;P_HIST),"HISTAMINE "&amp;TEXT($G159,"#,##0")&amp;" PPM &gt; seuil "&amp;TEXT(P_HIST,"#,##0")&amp;". ","")&amp;IF(AND(ISNUMBER($F159),$P159="CONGELE",$F159&gt;P_TCONG),"TEMPERATURE "&amp;TEXT($F159,"0.0")&amp;" C hors seuil congele. ","")&amp;IF(AND(ISNUMBER($F159),$P159="FRAIS",$F159&gt;P_TFRAIS),"TEMPERATURE "&amp;TEXT($F159,"0.0")&amp;" C hors seuil frais. ","")&amp;IF($K159="BLOQUER","Lot bloque qualite : stock signale mais inchange. ","")&amp;IF($R159="EMPLACEMENT INCOHERENT","Lot absent de cet emplacement : controle conserve, stock inchange. ","")&amp;IF($R159="DONNEES MANQUANTES","Renseigner la DATE et au moins une mesure. ",""))</f>
        <v/>
      </c>
      <c r="T159" s="28" t="n">
        <f aca="false">IF(OR($C159="",$B159=""),0,IF(COUNTIFS(QC_LOT,$C159,QC_DATE,"&gt;"&amp;$B159)&gt;0,0,IF(COUNTIFS($C$5:$C159,$C159,$B$5:$B159,$B159)=COUNTIFS(QC_LOT,$C159,QC_DATE,$B159),1,0)))</f>
        <v>0</v>
      </c>
      <c r="U159" s="26" t="str">
        <f aca="false">IF($T159=1,$C159,"")</f>
        <v/>
      </c>
      <c r="V159" s="28" t="n">
        <f aca="false">IF($C159="",0,IF($C159=R_LOT,1,0))</f>
        <v>0</v>
      </c>
      <c r="W159" s="26" t="str">
        <f aca="false">IF($V159=0,"",COUNTIF($V$5:$V159,1))</f>
        <v/>
      </c>
    </row>
    <row r="160" customFormat="false" ht="15" hidden="false" customHeight="false" outlineLevel="0" collapsed="false">
      <c r="A160" s="26" t="str">
        <f aca="false">IF($C160="","","QC-"&amp;TEXT(ROW()-4,"000"))</f>
        <v/>
      </c>
      <c r="B160" s="25"/>
      <c r="C160" s="24"/>
      <c r="D160" s="24"/>
      <c r="E160" s="24"/>
      <c r="F160" s="32"/>
      <c r="G160" s="33"/>
      <c r="H160" s="24"/>
      <c r="I160" s="24"/>
      <c r="J160" s="24"/>
      <c r="K160" s="24"/>
      <c r="L160" s="24"/>
      <c r="M160" s="24"/>
      <c r="N160" s="26" t="str">
        <f aca="false">IF($C160="","",IFERROR(INDEX(LOT_EXTE,MATCH($C160,LOT_KEY,0)),""))</f>
        <v/>
      </c>
      <c r="O160" s="26" t="str">
        <f aca="false">IF($C160="","",IFERROR(INDEX(LOT_PRODE,MATCH($C160,LOT_KEY,0)),"LOT NON REFERENCE"))</f>
        <v/>
      </c>
      <c r="P160" s="26" t="str">
        <f aca="false">IF($C160="","",IFERROR(INDEX(LOT_CONSERVE,MATCH($C160,LOT_KEY,0)),""))</f>
        <v/>
      </c>
      <c r="Q160" s="27" t="str">
        <f aca="false">IF(OR($C160="",$D160=""),"",SUMIFS(MVT_NET,MVT_LOT,$C160,MVT_EMPL,$D160))</f>
        <v/>
      </c>
      <c r="R160" s="26" t="str">
        <f aca="false">IF($C160="","",IF(OR($B160="",AND($F160="",$G160="",$H160="",$I160="",$J160="",$K160="")),"DONNEES MANQUANTES",IF(AND($D160&lt;&gt;"",$Q160&lt;=0),"EMPLACEMENT INCOHERENT","OK")))</f>
        <v/>
      </c>
      <c r="S160" s="26" t="str">
        <f aca="false">IF($C160="","",IF(AND(ISNUMBER($G160),$G160&gt;P_HIST),"HISTAMINE "&amp;TEXT($G160,"#,##0")&amp;" PPM &gt; seuil "&amp;TEXT(P_HIST,"#,##0")&amp;". ","")&amp;IF(AND(ISNUMBER($F160),$P160="CONGELE",$F160&gt;P_TCONG),"TEMPERATURE "&amp;TEXT($F160,"0.0")&amp;" C hors seuil congele. ","")&amp;IF(AND(ISNUMBER($F160),$P160="FRAIS",$F160&gt;P_TFRAIS),"TEMPERATURE "&amp;TEXT($F160,"0.0")&amp;" C hors seuil frais. ","")&amp;IF($K160="BLOQUER","Lot bloque qualite : stock signale mais inchange. ","")&amp;IF($R160="EMPLACEMENT INCOHERENT","Lot absent de cet emplacement : controle conserve, stock inchange. ","")&amp;IF($R160="DONNEES MANQUANTES","Renseigner la DATE et au moins une mesure. ",""))</f>
        <v/>
      </c>
      <c r="T160" s="28" t="n">
        <f aca="false">IF(OR($C160="",$B160=""),0,IF(COUNTIFS(QC_LOT,$C160,QC_DATE,"&gt;"&amp;$B160)&gt;0,0,IF(COUNTIFS($C$5:$C160,$C160,$B$5:$B160,$B160)=COUNTIFS(QC_LOT,$C160,QC_DATE,$B160),1,0)))</f>
        <v>0</v>
      </c>
      <c r="U160" s="26" t="str">
        <f aca="false">IF($T160=1,$C160,"")</f>
        <v/>
      </c>
      <c r="V160" s="28" t="n">
        <f aca="false">IF($C160="",0,IF($C160=R_LOT,1,0))</f>
        <v>0</v>
      </c>
      <c r="W160" s="26" t="str">
        <f aca="false">IF($V160=0,"",COUNTIF($V$5:$V160,1))</f>
        <v/>
      </c>
    </row>
    <row r="161" customFormat="false" ht="15" hidden="false" customHeight="false" outlineLevel="0" collapsed="false">
      <c r="A161" s="26" t="str">
        <f aca="false">IF($C161="","","QC-"&amp;TEXT(ROW()-4,"000"))</f>
        <v/>
      </c>
      <c r="B161" s="25"/>
      <c r="C161" s="24"/>
      <c r="D161" s="24"/>
      <c r="E161" s="24"/>
      <c r="F161" s="32"/>
      <c r="G161" s="33"/>
      <c r="H161" s="24"/>
      <c r="I161" s="24"/>
      <c r="J161" s="24"/>
      <c r="K161" s="24"/>
      <c r="L161" s="24"/>
      <c r="M161" s="24"/>
      <c r="N161" s="26" t="str">
        <f aca="false">IF($C161="","",IFERROR(INDEX(LOT_EXTE,MATCH($C161,LOT_KEY,0)),""))</f>
        <v/>
      </c>
      <c r="O161" s="26" t="str">
        <f aca="false">IF($C161="","",IFERROR(INDEX(LOT_PRODE,MATCH($C161,LOT_KEY,0)),"LOT NON REFERENCE"))</f>
        <v/>
      </c>
      <c r="P161" s="26" t="str">
        <f aca="false">IF($C161="","",IFERROR(INDEX(LOT_CONSERVE,MATCH($C161,LOT_KEY,0)),""))</f>
        <v/>
      </c>
      <c r="Q161" s="27" t="str">
        <f aca="false">IF(OR($C161="",$D161=""),"",SUMIFS(MVT_NET,MVT_LOT,$C161,MVT_EMPL,$D161))</f>
        <v/>
      </c>
      <c r="R161" s="26" t="str">
        <f aca="false">IF($C161="","",IF(OR($B161="",AND($F161="",$G161="",$H161="",$I161="",$J161="",$K161="")),"DONNEES MANQUANTES",IF(AND($D161&lt;&gt;"",$Q161&lt;=0),"EMPLACEMENT INCOHERENT","OK")))</f>
        <v/>
      </c>
      <c r="S161" s="26" t="str">
        <f aca="false">IF($C161="","",IF(AND(ISNUMBER($G161),$G161&gt;P_HIST),"HISTAMINE "&amp;TEXT($G161,"#,##0")&amp;" PPM &gt; seuil "&amp;TEXT(P_HIST,"#,##0")&amp;". ","")&amp;IF(AND(ISNUMBER($F161),$P161="CONGELE",$F161&gt;P_TCONG),"TEMPERATURE "&amp;TEXT($F161,"0.0")&amp;" C hors seuil congele. ","")&amp;IF(AND(ISNUMBER($F161),$P161="FRAIS",$F161&gt;P_TFRAIS),"TEMPERATURE "&amp;TEXT($F161,"0.0")&amp;" C hors seuil frais. ","")&amp;IF($K161="BLOQUER","Lot bloque qualite : stock signale mais inchange. ","")&amp;IF($R161="EMPLACEMENT INCOHERENT","Lot absent de cet emplacement : controle conserve, stock inchange. ","")&amp;IF($R161="DONNEES MANQUANTES","Renseigner la DATE et au moins une mesure. ",""))</f>
        <v/>
      </c>
      <c r="T161" s="28" t="n">
        <f aca="false">IF(OR($C161="",$B161=""),0,IF(COUNTIFS(QC_LOT,$C161,QC_DATE,"&gt;"&amp;$B161)&gt;0,0,IF(COUNTIFS($C$5:$C161,$C161,$B$5:$B161,$B161)=COUNTIFS(QC_LOT,$C161,QC_DATE,$B161),1,0)))</f>
        <v>0</v>
      </c>
      <c r="U161" s="26" t="str">
        <f aca="false">IF($T161=1,$C161,"")</f>
        <v/>
      </c>
      <c r="V161" s="28" t="n">
        <f aca="false">IF($C161="",0,IF($C161=R_LOT,1,0))</f>
        <v>0</v>
      </c>
      <c r="W161" s="26" t="str">
        <f aca="false">IF($V161=0,"",COUNTIF($V$5:$V161,1))</f>
        <v/>
      </c>
    </row>
    <row r="162" customFormat="false" ht="15" hidden="false" customHeight="false" outlineLevel="0" collapsed="false">
      <c r="A162" s="26" t="str">
        <f aca="false">IF($C162="","","QC-"&amp;TEXT(ROW()-4,"000"))</f>
        <v/>
      </c>
      <c r="B162" s="25"/>
      <c r="C162" s="24"/>
      <c r="D162" s="24"/>
      <c r="E162" s="24"/>
      <c r="F162" s="32"/>
      <c r="G162" s="33"/>
      <c r="H162" s="24"/>
      <c r="I162" s="24"/>
      <c r="J162" s="24"/>
      <c r="K162" s="24"/>
      <c r="L162" s="24"/>
      <c r="M162" s="24"/>
      <c r="N162" s="26" t="str">
        <f aca="false">IF($C162="","",IFERROR(INDEX(LOT_EXTE,MATCH($C162,LOT_KEY,0)),""))</f>
        <v/>
      </c>
      <c r="O162" s="26" t="str">
        <f aca="false">IF($C162="","",IFERROR(INDEX(LOT_PRODE,MATCH($C162,LOT_KEY,0)),"LOT NON REFERENCE"))</f>
        <v/>
      </c>
      <c r="P162" s="26" t="str">
        <f aca="false">IF($C162="","",IFERROR(INDEX(LOT_CONSERVE,MATCH($C162,LOT_KEY,0)),""))</f>
        <v/>
      </c>
      <c r="Q162" s="27" t="str">
        <f aca="false">IF(OR($C162="",$D162=""),"",SUMIFS(MVT_NET,MVT_LOT,$C162,MVT_EMPL,$D162))</f>
        <v/>
      </c>
      <c r="R162" s="26" t="str">
        <f aca="false">IF($C162="","",IF(OR($B162="",AND($F162="",$G162="",$H162="",$I162="",$J162="",$K162="")),"DONNEES MANQUANTES",IF(AND($D162&lt;&gt;"",$Q162&lt;=0),"EMPLACEMENT INCOHERENT","OK")))</f>
        <v/>
      </c>
      <c r="S162" s="26" t="str">
        <f aca="false">IF($C162="","",IF(AND(ISNUMBER($G162),$G162&gt;P_HIST),"HISTAMINE "&amp;TEXT($G162,"#,##0")&amp;" PPM &gt; seuil "&amp;TEXT(P_HIST,"#,##0")&amp;". ","")&amp;IF(AND(ISNUMBER($F162),$P162="CONGELE",$F162&gt;P_TCONG),"TEMPERATURE "&amp;TEXT($F162,"0.0")&amp;" C hors seuil congele. ","")&amp;IF(AND(ISNUMBER($F162),$P162="FRAIS",$F162&gt;P_TFRAIS),"TEMPERATURE "&amp;TEXT($F162,"0.0")&amp;" C hors seuil frais. ","")&amp;IF($K162="BLOQUER","Lot bloque qualite : stock signale mais inchange. ","")&amp;IF($R162="EMPLACEMENT INCOHERENT","Lot absent de cet emplacement : controle conserve, stock inchange. ","")&amp;IF($R162="DONNEES MANQUANTES","Renseigner la DATE et au moins une mesure. ",""))</f>
        <v/>
      </c>
      <c r="T162" s="28" t="n">
        <f aca="false">IF(OR($C162="",$B162=""),0,IF(COUNTIFS(QC_LOT,$C162,QC_DATE,"&gt;"&amp;$B162)&gt;0,0,IF(COUNTIFS($C$5:$C162,$C162,$B$5:$B162,$B162)=COUNTIFS(QC_LOT,$C162,QC_DATE,$B162),1,0)))</f>
        <v>0</v>
      </c>
      <c r="U162" s="26" t="str">
        <f aca="false">IF($T162=1,$C162,"")</f>
        <v/>
      </c>
      <c r="V162" s="28" t="n">
        <f aca="false">IF($C162="",0,IF($C162=R_LOT,1,0))</f>
        <v>0</v>
      </c>
      <c r="W162" s="26" t="str">
        <f aca="false">IF($V162=0,"",COUNTIF($V$5:$V162,1))</f>
        <v/>
      </c>
    </row>
    <row r="163" customFormat="false" ht="15" hidden="false" customHeight="false" outlineLevel="0" collapsed="false">
      <c r="A163" s="26" t="str">
        <f aca="false">IF($C163="","","QC-"&amp;TEXT(ROW()-4,"000"))</f>
        <v/>
      </c>
      <c r="B163" s="25"/>
      <c r="C163" s="24"/>
      <c r="D163" s="24"/>
      <c r="E163" s="24"/>
      <c r="F163" s="32"/>
      <c r="G163" s="33"/>
      <c r="H163" s="24"/>
      <c r="I163" s="24"/>
      <c r="J163" s="24"/>
      <c r="K163" s="24"/>
      <c r="L163" s="24"/>
      <c r="M163" s="24"/>
      <c r="N163" s="26" t="str">
        <f aca="false">IF($C163="","",IFERROR(INDEX(LOT_EXTE,MATCH($C163,LOT_KEY,0)),""))</f>
        <v/>
      </c>
      <c r="O163" s="26" t="str">
        <f aca="false">IF($C163="","",IFERROR(INDEX(LOT_PRODE,MATCH($C163,LOT_KEY,0)),"LOT NON REFERENCE"))</f>
        <v/>
      </c>
      <c r="P163" s="26" t="str">
        <f aca="false">IF($C163="","",IFERROR(INDEX(LOT_CONSERVE,MATCH($C163,LOT_KEY,0)),""))</f>
        <v/>
      </c>
      <c r="Q163" s="27" t="str">
        <f aca="false">IF(OR($C163="",$D163=""),"",SUMIFS(MVT_NET,MVT_LOT,$C163,MVT_EMPL,$D163))</f>
        <v/>
      </c>
      <c r="R163" s="26" t="str">
        <f aca="false">IF($C163="","",IF(OR($B163="",AND($F163="",$G163="",$H163="",$I163="",$J163="",$K163="")),"DONNEES MANQUANTES",IF(AND($D163&lt;&gt;"",$Q163&lt;=0),"EMPLACEMENT INCOHERENT","OK")))</f>
        <v/>
      </c>
      <c r="S163" s="26" t="str">
        <f aca="false">IF($C163="","",IF(AND(ISNUMBER($G163),$G163&gt;P_HIST),"HISTAMINE "&amp;TEXT($G163,"#,##0")&amp;" PPM &gt; seuil "&amp;TEXT(P_HIST,"#,##0")&amp;". ","")&amp;IF(AND(ISNUMBER($F163),$P163="CONGELE",$F163&gt;P_TCONG),"TEMPERATURE "&amp;TEXT($F163,"0.0")&amp;" C hors seuil congele. ","")&amp;IF(AND(ISNUMBER($F163),$P163="FRAIS",$F163&gt;P_TFRAIS),"TEMPERATURE "&amp;TEXT($F163,"0.0")&amp;" C hors seuil frais. ","")&amp;IF($K163="BLOQUER","Lot bloque qualite : stock signale mais inchange. ","")&amp;IF($R163="EMPLACEMENT INCOHERENT","Lot absent de cet emplacement : controle conserve, stock inchange. ","")&amp;IF($R163="DONNEES MANQUANTES","Renseigner la DATE et au moins une mesure. ",""))</f>
        <v/>
      </c>
      <c r="T163" s="28" t="n">
        <f aca="false">IF(OR($C163="",$B163=""),0,IF(COUNTIFS(QC_LOT,$C163,QC_DATE,"&gt;"&amp;$B163)&gt;0,0,IF(COUNTIFS($C$5:$C163,$C163,$B$5:$B163,$B163)=COUNTIFS(QC_LOT,$C163,QC_DATE,$B163),1,0)))</f>
        <v>0</v>
      </c>
      <c r="U163" s="26" t="str">
        <f aca="false">IF($T163=1,$C163,"")</f>
        <v/>
      </c>
      <c r="V163" s="28" t="n">
        <f aca="false">IF($C163="",0,IF($C163=R_LOT,1,0))</f>
        <v>0</v>
      </c>
      <c r="W163" s="26" t="str">
        <f aca="false">IF($V163=0,"",COUNTIF($V$5:$V163,1))</f>
        <v/>
      </c>
    </row>
    <row r="164" customFormat="false" ht="15" hidden="false" customHeight="false" outlineLevel="0" collapsed="false">
      <c r="A164" s="26" t="str">
        <f aca="false">IF($C164="","","QC-"&amp;TEXT(ROW()-4,"000"))</f>
        <v/>
      </c>
      <c r="B164" s="25"/>
      <c r="C164" s="24"/>
      <c r="D164" s="24"/>
      <c r="E164" s="24"/>
      <c r="F164" s="32"/>
      <c r="G164" s="33"/>
      <c r="H164" s="24"/>
      <c r="I164" s="24"/>
      <c r="J164" s="24"/>
      <c r="K164" s="24"/>
      <c r="L164" s="24"/>
      <c r="M164" s="24"/>
      <c r="N164" s="26" t="str">
        <f aca="false">IF($C164="","",IFERROR(INDEX(LOT_EXTE,MATCH($C164,LOT_KEY,0)),""))</f>
        <v/>
      </c>
      <c r="O164" s="26" t="str">
        <f aca="false">IF($C164="","",IFERROR(INDEX(LOT_PRODE,MATCH($C164,LOT_KEY,0)),"LOT NON REFERENCE"))</f>
        <v/>
      </c>
      <c r="P164" s="26" t="str">
        <f aca="false">IF($C164="","",IFERROR(INDEX(LOT_CONSERVE,MATCH($C164,LOT_KEY,0)),""))</f>
        <v/>
      </c>
      <c r="Q164" s="27" t="str">
        <f aca="false">IF(OR($C164="",$D164=""),"",SUMIFS(MVT_NET,MVT_LOT,$C164,MVT_EMPL,$D164))</f>
        <v/>
      </c>
      <c r="R164" s="26" t="str">
        <f aca="false">IF($C164="","",IF(OR($B164="",AND($F164="",$G164="",$H164="",$I164="",$J164="",$K164="")),"DONNEES MANQUANTES",IF(AND($D164&lt;&gt;"",$Q164&lt;=0),"EMPLACEMENT INCOHERENT","OK")))</f>
        <v/>
      </c>
      <c r="S164" s="26" t="str">
        <f aca="false">IF($C164="","",IF(AND(ISNUMBER($G164),$G164&gt;P_HIST),"HISTAMINE "&amp;TEXT($G164,"#,##0")&amp;" PPM &gt; seuil "&amp;TEXT(P_HIST,"#,##0")&amp;". ","")&amp;IF(AND(ISNUMBER($F164),$P164="CONGELE",$F164&gt;P_TCONG),"TEMPERATURE "&amp;TEXT($F164,"0.0")&amp;" C hors seuil congele. ","")&amp;IF(AND(ISNUMBER($F164),$P164="FRAIS",$F164&gt;P_TFRAIS),"TEMPERATURE "&amp;TEXT($F164,"0.0")&amp;" C hors seuil frais. ","")&amp;IF($K164="BLOQUER","Lot bloque qualite : stock signale mais inchange. ","")&amp;IF($R164="EMPLACEMENT INCOHERENT","Lot absent de cet emplacement : controle conserve, stock inchange. ","")&amp;IF($R164="DONNEES MANQUANTES","Renseigner la DATE et au moins une mesure. ",""))</f>
        <v/>
      </c>
      <c r="T164" s="28" t="n">
        <f aca="false">IF(OR($C164="",$B164=""),0,IF(COUNTIFS(QC_LOT,$C164,QC_DATE,"&gt;"&amp;$B164)&gt;0,0,IF(COUNTIFS($C$5:$C164,$C164,$B$5:$B164,$B164)=COUNTIFS(QC_LOT,$C164,QC_DATE,$B164),1,0)))</f>
        <v>0</v>
      </c>
      <c r="U164" s="26" t="str">
        <f aca="false">IF($T164=1,$C164,"")</f>
        <v/>
      </c>
      <c r="V164" s="28" t="n">
        <f aca="false">IF($C164="",0,IF($C164=R_LOT,1,0))</f>
        <v>0</v>
      </c>
      <c r="W164" s="26" t="str">
        <f aca="false">IF($V164=0,"",COUNTIF($V$5:$V164,1))</f>
        <v/>
      </c>
    </row>
    <row r="165" customFormat="false" ht="15" hidden="false" customHeight="false" outlineLevel="0" collapsed="false">
      <c r="A165" s="26" t="str">
        <f aca="false">IF($C165="","","QC-"&amp;TEXT(ROW()-4,"000"))</f>
        <v/>
      </c>
      <c r="B165" s="25"/>
      <c r="C165" s="24"/>
      <c r="D165" s="24"/>
      <c r="E165" s="24"/>
      <c r="F165" s="32"/>
      <c r="G165" s="33"/>
      <c r="H165" s="24"/>
      <c r="I165" s="24"/>
      <c r="J165" s="24"/>
      <c r="K165" s="24"/>
      <c r="L165" s="24"/>
      <c r="M165" s="24"/>
      <c r="N165" s="26" t="str">
        <f aca="false">IF($C165="","",IFERROR(INDEX(LOT_EXTE,MATCH($C165,LOT_KEY,0)),""))</f>
        <v/>
      </c>
      <c r="O165" s="26" t="str">
        <f aca="false">IF($C165="","",IFERROR(INDEX(LOT_PRODE,MATCH($C165,LOT_KEY,0)),"LOT NON REFERENCE"))</f>
        <v/>
      </c>
      <c r="P165" s="26" t="str">
        <f aca="false">IF($C165="","",IFERROR(INDEX(LOT_CONSERVE,MATCH($C165,LOT_KEY,0)),""))</f>
        <v/>
      </c>
      <c r="Q165" s="27" t="str">
        <f aca="false">IF(OR($C165="",$D165=""),"",SUMIFS(MVT_NET,MVT_LOT,$C165,MVT_EMPL,$D165))</f>
        <v/>
      </c>
      <c r="R165" s="26" t="str">
        <f aca="false">IF($C165="","",IF(OR($B165="",AND($F165="",$G165="",$H165="",$I165="",$J165="",$K165="")),"DONNEES MANQUANTES",IF(AND($D165&lt;&gt;"",$Q165&lt;=0),"EMPLACEMENT INCOHERENT","OK")))</f>
        <v/>
      </c>
      <c r="S165" s="26" t="str">
        <f aca="false">IF($C165="","",IF(AND(ISNUMBER($G165),$G165&gt;P_HIST),"HISTAMINE "&amp;TEXT($G165,"#,##0")&amp;" PPM &gt; seuil "&amp;TEXT(P_HIST,"#,##0")&amp;". ","")&amp;IF(AND(ISNUMBER($F165),$P165="CONGELE",$F165&gt;P_TCONG),"TEMPERATURE "&amp;TEXT($F165,"0.0")&amp;" C hors seuil congele. ","")&amp;IF(AND(ISNUMBER($F165),$P165="FRAIS",$F165&gt;P_TFRAIS),"TEMPERATURE "&amp;TEXT($F165,"0.0")&amp;" C hors seuil frais. ","")&amp;IF($K165="BLOQUER","Lot bloque qualite : stock signale mais inchange. ","")&amp;IF($R165="EMPLACEMENT INCOHERENT","Lot absent de cet emplacement : controle conserve, stock inchange. ","")&amp;IF($R165="DONNEES MANQUANTES","Renseigner la DATE et au moins une mesure. ",""))</f>
        <v/>
      </c>
      <c r="T165" s="28" t="n">
        <f aca="false">IF(OR($C165="",$B165=""),0,IF(COUNTIFS(QC_LOT,$C165,QC_DATE,"&gt;"&amp;$B165)&gt;0,0,IF(COUNTIFS($C$5:$C165,$C165,$B$5:$B165,$B165)=COUNTIFS(QC_LOT,$C165,QC_DATE,$B165),1,0)))</f>
        <v>0</v>
      </c>
      <c r="U165" s="26" t="str">
        <f aca="false">IF($T165=1,$C165,"")</f>
        <v/>
      </c>
      <c r="V165" s="28" t="n">
        <f aca="false">IF($C165="",0,IF($C165=R_LOT,1,0))</f>
        <v>0</v>
      </c>
      <c r="W165" s="26" t="str">
        <f aca="false">IF($V165=0,"",COUNTIF($V$5:$V165,1))</f>
        <v/>
      </c>
    </row>
    <row r="166" customFormat="false" ht="15" hidden="false" customHeight="false" outlineLevel="0" collapsed="false">
      <c r="A166" s="26" t="str">
        <f aca="false">IF($C166="","","QC-"&amp;TEXT(ROW()-4,"000"))</f>
        <v/>
      </c>
      <c r="B166" s="25"/>
      <c r="C166" s="24"/>
      <c r="D166" s="24"/>
      <c r="E166" s="24"/>
      <c r="F166" s="32"/>
      <c r="G166" s="33"/>
      <c r="H166" s="24"/>
      <c r="I166" s="24"/>
      <c r="J166" s="24"/>
      <c r="K166" s="24"/>
      <c r="L166" s="24"/>
      <c r="M166" s="24"/>
      <c r="N166" s="26" t="str">
        <f aca="false">IF($C166="","",IFERROR(INDEX(LOT_EXTE,MATCH($C166,LOT_KEY,0)),""))</f>
        <v/>
      </c>
      <c r="O166" s="26" t="str">
        <f aca="false">IF($C166="","",IFERROR(INDEX(LOT_PRODE,MATCH($C166,LOT_KEY,0)),"LOT NON REFERENCE"))</f>
        <v/>
      </c>
      <c r="P166" s="26" t="str">
        <f aca="false">IF($C166="","",IFERROR(INDEX(LOT_CONSERVE,MATCH($C166,LOT_KEY,0)),""))</f>
        <v/>
      </c>
      <c r="Q166" s="27" t="str">
        <f aca="false">IF(OR($C166="",$D166=""),"",SUMIFS(MVT_NET,MVT_LOT,$C166,MVT_EMPL,$D166))</f>
        <v/>
      </c>
      <c r="R166" s="26" t="str">
        <f aca="false">IF($C166="","",IF(OR($B166="",AND($F166="",$G166="",$H166="",$I166="",$J166="",$K166="")),"DONNEES MANQUANTES",IF(AND($D166&lt;&gt;"",$Q166&lt;=0),"EMPLACEMENT INCOHERENT","OK")))</f>
        <v/>
      </c>
      <c r="S166" s="26" t="str">
        <f aca="false">IF($C166="","",IF(AND(ISNUMBER($G166),$G166&gt;P_HIST),"HISTAMINE "&amp;TEXT($G166,"#,##0")&amp;" PPM &gt; seuil "&amp;TEXT(P_HIST,"#,##0")&amp;". ","")&amp;IF(AND(ISNUMBER($F166),$P166="CONGELE",$F166&gt;P_TCONG),"TEMPERATURE "&amp;TEXT($F166,"0.0")&amp;" C hors seuil congele. ","")&amp;IF(AND(ISNUMBER($F166),$P166="FRAIS",$F166&gt;P_TFRAIS),"TEMPERATURE "&amp;TEXT($F166,"0.0")&amp;" C hors seuil frais. ","")&amp;IF($K166="BLOQUER","Lot bloque qualite : stock signale mais inchange. ","")&amp;IF($R166="EMPLACEMENT INCOHERENT","Lot absent de cet emplacement : controle conserve, stock inchange. ","")&amp;IF($R166="DONNEES MANQUANTES","Renseigner la DATE et au moins une mesure. ",""))</f>
        <v/>
      </c>
      <c r="T166" s="28" t="n">
        <f aca="false">IF(OR($C166="",$B166=""),0,IF(COUNTIFS(QC_LOT,$C166,QC_DATE,"&gt;"&amp;$B166)&gt;0,0,IF(COUNTIFS($C$5:$C166,$C166,$B$5:$B166,$B166)=COUNTIFS(QC_LOT,$C166,QC_DATE,$B166),1,0)))</f>
        <v>0</v>
      </c>
      <c r="U166" s="26" t="str">
        <f aca="false">IF($T166=1,$C166,"")</f>
        <v/>
      </c>
      <c r="V166" s="28" t="n">
        <f aca="false">IF($C166="",0,IF($C166=R_LOT,1,0))</f>
        <v>0</v>
      </c>
      <c r="W166" s="26" t="str">
        <f aca="false">IF($V166=0,"",COUNTIF($V$5:$V166,1))</f>
        <v/>
      </c>
    </row>
    <row r="167" customFormat="false" ht="15" hidden="false" customHeight="false" outlineLevel="0" collapsed="false">
      <c r="A167" s="26" t="str">
        <f aca="false">IF($C167="","","QC-"&amp;TEXT(ROW()-4,"000"))</f>
        <v/>
      </c>
      <c r="B167" s="25"/>
      <c r="C167" s="24"/>
      <c r="D167" s="24"/>
      <c r="E167" s="24"/>
      <c r="F167" s="32"/>
      <c r="G167" s="33"/>
      <c r="H167" s="24"/>
      <c r="I167" s="24"/>
      <c r="J167" s="24"/>
      <c r="K167" s="24"/>
      <c r="L167" s="24"/>
      <c r="M167" s="24"/>
      <c r="N167" s="26" t="str">
        <f aca="false">IF($C167="","",IFERROR(INDEX(LOT_EXTE,MATCH($C167,LOT_KEY,0)),""))</f>
        <v/>
      </c>
      <c r="O167" s="26" t="str">
        <f aca="false">IF($C167="","",IFERROR(INDEX(LOT_PRODE,MATCH($C167,LOT_KEY,0)),"LOT NON REFERENCE"))</f>
        <v/>
      </c>
      <c r="P167" s="26" t="str">
        <f aca="false">IF($C167="","",IFERROR(INDEX(LOT_CONSERVE,MATCH($C167,LOT_KEY,0)),""))</f>
        <v/>
      </c>
      <c r="Q167" s="27" t="str">
        <f aca="false">IF(OR($C167="",$D167=""),"",SUMIFS(MVT_NET,MVT_LOT,$C167,MVT_EMPL,$D167))</f>
        <v/>
      </c>
      <c r="R167" s="26" t="str">
        <f aca="false">IF($C167="","",IF(OR($B167="",AND($F167="",$G167="",$H167="",$I167="",$J167="",$K167="")),"DONNEES MANQUANTES",IF(AND($D167&lt;&gt;"",$Q167&lt;=0),"EMPLACEMENT INCOHERENT","OK")))</f>
        <v/>
      </c>
      <c r="S167" s="26" t="str">
        <f aca="false">IF($C167="","",IF(AND(ISNUMBER($G167),$G167&gt;P_HIST),"HISTAMINE "&amp;TEXT($G167,"#,##0")&amp;" PPM &gt; seuil "&amp;TEXT(P_HIST,"#,##0")&amp;". ","")&amp;IF(AND(ISNUMBER($F167),$P167="CONGELE",$F167&gt;P_TCONG),"TEMPERATURE "&amp;TEXT($F167,"0.0")&amp;" C hors seuil congele. ","")&amp;IF(AND(ISNUMBER($F167),$P167="FRAIS",$F167&gt;P_TFRAIS),"TEMPERATURE "&amp;TEXT($F167,"0.0")&amp;" C hors seuil frais. ","")&amp;IF($K167="BLOQUER","Lot bloque qualite : stock signale mais inchange. ","")&amp;IF($R167="EMPLACEMENT INCOHERENT","Lot absent de cet emplacement : controle conserve, stock inchange. ","")&amp;IF($R167="DONNEES MANQUANTES","Renseigner la DATE et au moins une mesure. ",""))</f>
        <v/>
      </c>
      <c r="T167" s="28" t="n">
        <f aca="false">IF(OR($C167="",$B167=""),0,IF(COUNTIFS(QC_LOT,$C167,QC_DATE,"&gt;"&amp;$B167)&gt;0,0,IF(COUNTIFS($C$5:$C167,$C167,$B$5:$B167,$B167)=COUNTIFS(QC_LOT,$C167,QC_DATE,$B167),1,0)))</f>
        <v>0</v>
      </c>
      <c r="U167" s="26" t="str">
        <f aca="false">IF($T167=1,$C167,"")</f>
        <v/>
      </c>
      <c r="V167" s="28" t="n">
        <f aca="false">IF($C167="",0,IF($C167=R_LOT,1,0))</f>
        <v>0</v>
      </c>
      <c r="W167" s="26" t="str">
        <f aca="false">IF($V167=0,"",COUNTIF($V$5:$V167,1))</f>
        <v/>
      </c>
    </row>
    <row r="168" customFormat="false" ht="15" hidden="false" customHeight="false" outlineLevel="0" collapsed="false">
      <c r="A168" s="26" t="str">
        <f aca="false">IF($C168="","","QC-"&amp;TEXT(ROW()-4,"000"))</f>
        <v/>
      </c>
      <c r="B168" s="25"/>
      <c r="C168" s="24"/>
      <c r="D168" s="24"/>
      <c r="E168" s="24"/>
      <c r="F168" s="32"/>
      <c r="G168" s="33"/>
      <c r="H168" s="24"/>
      <c r="I168" s="24"/>
      <c r="J168" s="24"/>
      <c r="K168" s="24"/>
      <c r="L168" s="24"/>
      <c r="M168" s="24"/>
      <c r="N168" s="26" t="str">
        <f aca="false">IF($C168="","",IFERROR(INDEX(LOT_EXTE,MATCH($C168,LOT_KEY,0)),""))</f>
        <v/>
      </c>
      <c r="O168" s="26" t="str">
        <f aca="false">IF($C168="","",IFERROR(INDEX(LOT_PRODE,MATCH($C168,LOT_KEY,0)),"LOT NON REFERENCE"))</f>
        <v/>
      </c>
      <c r="P168" s="26" t="str">
        <f aca="false">IF($C168="","",IFERROR(INDEX(LOT_CONSERVE,MATCH($C168,LOT_KEY,0)),""))</f>
        <v/>
      </c>
      <c r="Q168" s="27" t="str">
        <f aca="false">IF(OR($C168="",$D168=""),"",SUMIFS(MVT_NET,MVT_LOT,$C168,MVT_EMPL,$D168))</f>
        <v/>
      </c>
      <c r="R168" s="26" t="str">
        <f aca="false">IF($C168="","",IF(OR($B168="",AND($F168="",$G168="",$H168="",$I168="",$J168="",$K168="")),"DONNEES MANQUANTES",IF(AND($D168&lt;&gt;"",$Q168&lt;=0),"EMPLACEMENT INCOHERENT","OK")))</f>
        <v/>
      </c>
      <c r="S168" s="26" t="str">
        <f aca="false">IF($C168="","",IF(AND(ISNUMBER($G168),$G168&gt;P_HIST),"HISTAMINE "&amp;TEXT($G168,"#,##0")&amp;" PPM &gt; seuil "&amp;TEXT(P_HIST,"#,##0")&amp;". ","")&amp;IF(AND(ISNUMBER($F168),$P168="CONGELE",$F168&gt;P_TCONG),"TEMPERATURE "&amp;TEXT($F168,"0.0")&amp;" C hors seuil congele. ","")&amp;IF(AND(ISNUMBER($F168),$P168="FRAIS",$F168&gt;P_TFRAIS),"TEMPERATURE "&amp;TEXT($F168,"0.0")&amp;" C hors seuil frais. ","")&amp;IF($K168="BLOQUER","Lot bloque qualite : stock signale mais inchange. ","")&amp;IF($R168="EMPLACEMENT INCOHERENT","Lot absent de cet emplacement : controle conserve, stock inchange. ","")&amp;IF($R168="DONNEES MANQUANTES","Renseigner la DATE et au moins une mesure. ",""))</f>
        <v/>
      </c>
      <c r="T168" s="28" t="n">
        <f aca="false">IF(OR($C168="",$B168=""),0,IF(COUNTIFS(QC_LOT,$C168,QC_DATE,"&gt;"&amp;$B168)&gt;0,0,IF(COUNTIFS($C$5:$C168,$C168,$B$5:$B168,$B168)=COUNTIFS(QC_LOT,$C168,QC_DATE,$B168),1,0)))</f>
        <v>0</v>
      </c>
      <c r="U168" s="26" t="str">
        <f aca="false">IF($T168=1,$C168,"")</f>
        <v/>
      </c>
      <c r="V168" s="28" t="n">
        <f aca="false">IF($C168="",0,IF($C168=R_LOT,1,0))</f>
        <v>0</v>
      </c>
      <c r="W168" s="26" t="str">
        <f aca="false">IF($V168=0,"",COUNTIF($V$5:$V168,1))</f>
        <v/>
      </c>
    </row>
    <row r="169" customFormat="false" ht="15" hidden="false" customHeight="false" outlineLevel="0" collapsed="false">
      <c r="A169" s="26" t="str">
        <f aca="false">IF($C169="","","QC-"&amp;TEXT(ROW()-4,"000"))</f>
        <v/>
      </c>
      <c r="B169" s="25"/>
      <c r="C169" s="24"/>
      <c r="D169" s="24"/>
      <c r="E169" s="24"/>
      <c r="F169" s="32"/>
      <c r="G169" s="33"/>
      <c r="H169" s="24"/>
      <c r="I169" s="24"/>
      <c r="J169" s="24"/>
      <c r="K169" s="24"/>
      <c r="L169" s="24"/>
      <c r="M169" s="24"/>
      <c r="N169" s="26" t="str">
        <f aca="false">IF($C169="","",IFERROR(INDEX(LOT_EXTE,MATCH($C169,LOT_KEY,0)),""))</f>
        <v/>
      </c>
      <c r="O169" s="26" t="str">
        <f aca="false">IF($C169="","",IFERROR(INDEX(LOT_PRODE,MATCH($C169,LOT_KEY,0)),"LOT NON REFERENCE"))</f>
        <v/>
      </c>
      <c r="P169" s="26" t="str">
        <f aca="false">IF($C169="","",IFERROR(INDEX(LOT_CONSERVE,MATCH($C169,LOT_KEY,0)),""))</f>
        <v/>
      </c>
      <c r="Q169" s="27" t="str">
        <f aca="false">IF(OR($C169="",$D169=""),"",SUMIFS(MVT_NET,MVT_LOT,$C169,MVT_EMPL,$D169))</f>
        <v/>
      </c>
      <c r="R169" s="26" t="str">
        <f aca="false">IF($C169="","",IF(OR($B169="",AND($F169="",$G169="",$H169="",$I169="",$J169="",$K169="")),"DONNEES MANQUANTES",IF(AND($D169&lt;&gt;"",$Q169&lt;=0),"EMPLACEMENT INCOHERENT","OK")))</f>
        <v/>
      </c>
      <c r="S169" s="26" t="str">
        <f aca="false">IF($C169="","",IF(AND(ISNUMBER($G169),$G169&gt;P_HIST),"HISTAMINE "&amp;TEXT($G169,"#,##0")&amp;" PPM &gt; seuil "&amp;TEXT(P_HIST,"#,##0")&amp;". ","")&amp;IF(AND(ISNUMBER($F169),$P169="CONGELE",$F169&gt;P_TCONG),"TEMPERATURE "&amp;TEXT($F169,"0.0")&amp;" C hors seuil congele. ","")&amp;IF(AND(ISNUMBER($F169),$P169="FRAIS",$F169&gt;P_TFRAIS),"TEMPERATURE "&amp;TEXT($F169,"0.0")&amp;" C hors seuil frais. ","")&amp;IF($K169="BLOQUER","Lot bloque qualite : stock signale mais inchange. ","")&amp;IF($R169="EMPLACEMENT INCOHERENT","Lot absent de cet emplacement : controle conserve, stock inchange. ","")&amp;IF($R169="DONNEES MANQUANTES","Renseigner la DATE et au moins une mesure. ",""))</f>
        <v/>
      </c>
      <c r="T169" s="28" t="n">
        <f aca="false">IF(OR($C169="",$B169=""),0,IF(COUNTIFS(QC_LOT,$C169,QC_DATE,"&gt;"&amp;$B169)&gt;0,0,IF(COUNTIFS($C$5:$C169,$C169,$B$5:$B169,$B169)=COUNTIFS(QC_LOT,$C169,QC_DATE,$B169),1,0)))</f>
        <v>0</v>
      </c>
      <c r="U169" s="26" t="str">
        <f aca="false">IF($T169=1,$C169,"")</f>
        <v/>
      </c>
      <c r="V169" s="28" t="n">
        <f aca="false">IF($C169="",0,IF($C169=R_LOT,1,0))</f>
        <v>0</v>
      </c>
      <c r="W169" s="26" t="str">
        <f aca="false">IF($V169=0,"",COUNTIF($V$5:$V169,1))</f>
        <v/>
      </c>
    </row>
    <row r="170" customFormat="false" ht="15" hidden="false" customHeight="false" outlineLevel="0" collapsed="false">
      <c r="A170" s="26" t="str">
        <f aca="false">IF($C170="","","QC-"&amp;TEXT(ROW()-4,"000"))</f>
        <v/>
      </c>
      <c r="B170" s="25"/>
      <c r="C170" s="24"/>
      <c r="D170" s="24"/>
      <c r="E170" s="24"/>
      <c r="F170" s="32"/>
      <c r="G170" s="33"/>
      <c r="H170" s="24"/>
      <c r="I170" s="24"/>
      <c r="J170" s="24"/>
      <c r="K170" s="24"/>
      <c r="L170" s="24"/>
      <c r="M170" s="24"/>
      <c r="N170" s="26" t="str">
        <f aca="false">IF($C170="","",IFERROR(INDEX(LOT_EXTE,MATCH($C170,LOT_KEY,0)),""))</f>
        <v/>
      </c>
      <c r="O170" s="26" t="str">
        <f aca="false">IF($C170="","",IFERROR(INDEX(LOT_PRODE,MATCH($C170,LOT_KEY,0)),"LOT NON REFERENCE"))</f>
        <v/>
      </c>
      <c r="P170" s="26" t="str">
        <f aca="false">IF($C170="","",IFERROR(INDEX(LOT_CONSERVE,MATCH($C170,LOT_KEY,0)),""))</f>
        <v/>
      </c>
      <c r="Q170" s="27" t="str">
        <f aca="false">IF(OR($C170="",$D170=""),"",SUMIFS(MVT_NET,MVT_LOT,$C170,MVT_EMPL,$D170))</f>
        <v/>
      </c>
      <c r="R170" s="26" t="str">
        <f aca="false">IF($C170="","",IF(OR($B170="",AND($F170="",$G170="",$H170="",$I170="",$J170="",$K170="")),"DONNEES MANQUANTES",IF(AND($D170&lt;&gt;"",$Q170&lt;=0),"EMPLACEMENT INCOHERENT","OK")))</f>
        <v/>
      </c>
      <c r="S170" s="26" t="str">
        <f aca="false">IF($C170="","",IF(AND(ISNUMBER($G170),$G170&gt;P_HIST),"HISTAMINE "&amp;TEXT($G170,"#,##0")&amp;" PPM &gt; seuil "&amp;TEXT(P_HIST,"#,##0")&amp;". ","")&amp;IF(AND(ISNUMBER($F170),$P170="CONGELE",$F170&gt;P_TCONG),"TEMPERATURE "&amp;TEXT($F170,"0.0")&amp;" C hors seuil congele. ","")&amp;IF(AND(ISNUMBER($F170),$P170="FRAIS",$F170&gt;P_TFRAIS),"TEMPERATURE "&amp;TEXT($F170,"0.0")&amp;" C hors seuil frais. ","")&amp;IF($K170="BLOQUER","Lot bloque qualite : stock signale mais inchange. ","")&amp;IF($R170="EMPLACEMENT INCOHERENT","Lot absent de cet emplacement : controle conserve, stock inchange. ","")&amp;IF($R170="DONNEES MANQUANTES","Renseigner la DATE et au moins une mesure. ",""))</f>
        <v/>
      </c>
      <c r="T170" s="28" t="n">
        <f aca="false">IF(OR($C170="",$B170=""),0,IF(COUNTIFS(QC_LOT,$C170,QC_DATE,"&gt;"&amp;$B170)&gt;0,0,IF(COUNTIFS($C$5:$C170,$C170,$B$5:$B170,$B170)=COUNTIFS(QC_LOT,$C170,QC_DATE,$B170),1,0)))</f>
        <v>0</v>
      </c>
      <c r="U170" s="26" t="str">
        <f aca="false">IF($T170=1,$C170,"")</f>
        <v/>
      </c>
      <c r="V170" s="28" t="n">
        <f aca="false">IF($C170="",0,IF($C170=R_LOT,1,0))</f>
        <v>0</v>
      </c>
      <c r="W170" s="26" t="str">
        <f aca="false">IF($V170=0,"",COUNTIF($V$5:$V170,1))</f>
        <v/>
      </c>
    </row>
    <row r="171" customFormat="false" ht="15" hidden="false" customHeight="false" outlineLevel="0" collapsed="false">
      <c r="A171" s="26" t="str">
        <f aca="false">IF($C171="","","QC-"&amp;TEXT(ROW()-4,"000"))</f>
        <v/>
      </c>
      <c r="B171" s="25"/>
      <c r="C171" s="24"/>
      <c r="D171" s="24"/>
      <c r="E171" s="24"/>
      <c r="F171" s="32"/>
      <c r="G171" s="33"/>
      <c r="H171" s="24"/>
      <c r="I171" s="24"/>
      <c r="J171" s="24"/>
      <c r="K171" s="24"/>
      <c r="L171" s="24"/>
      <c r="M171" s="24"/>
      <c r="N171" s="26" t="str">
        <f aca="false">IF($C171="","",IFERROR(INDEX(LOT_EXTE,MATCH($C171,LOT_KEY,0)),""))</f>
        <v/>
      </c>
      <c r="O171" s="26" t="str">
        <f aca="false">IF($C171="","",IFERROR(INDEX(LOT_PRODE,MATCH($C171,LOT_KEY,0)),"LOT NON REFERENCE"))</f>
        <v/>
      </c>
      <c r="P171" s="26" t="str">
        <f aca="false">IF($C171="","",IFERROR(INDEX(LOT_CONSERVE,MATCH($C171,LOT_KEY,0)),""))</f>
        <v/>
      </c>
      <c r="Q171" s="27" t="str">
        <f aca="false">IF(OR($C171="",$D171=""),"",SUMIFS(MVT_NET,MVT_LOT,$C171,MVT_EMPL,$D171))</f>
        <v/>
      </c>
      <c r="R171" s="26" t="str">
        <f aca="false">IF($C171="","",IF(OR($B171="",AND($F171="",$G171="",$H171="",$I171="",$J171="",$K171="")),"DONNEES MANQUANTES",IF(AND($D171&lt;&gt;"",$Q171&lt;=0),"EMPLACEMENT INCOHERENT","OK")))</f>
        <v/>
      </c>
      <c r="S171" s="26" t="str">
        <f aca="false">IF($C171="","",IF(AND(ISNUMBER($G171),$G171&gt;P_HIST),"HISTAMINE "&amp;TEXT($G171,"#,##0")&amp;" PPM &gt; seuil "&amp;TEXT(P_HIST,"#,##0")&amp;". ","")&amp;IF(AND(ISNUMBER($F171),$P171="CONGELE",$F171&gt;P_TCONG),"TEMPERATURE "&amp;TEXT($F171,"0.0")&amp;" C hors seuil congele. ","")&amp;IF(AND(ISNUMBER($F171),$P171="FRAIS",$F171&gt;P_TFRAIS),"TEMPERATURE "&amp;TEXT($F171,"0.0")&amp;" C hors seuil frais. ","")&amp;IF($K171="BLOQUER","Lot bloque qualite : stock signale mais inchange. ","")&amp;IF($R171="EMPLACEMENT INCOHERENT","Lot absent de cet emplacement : controle conserve, stock inchange. ","")&amp;IF($R171="DONNEES MANQUANTES","Renseigner la DATE et au moins une mesure. ",""))</f>
        <v/>
      </c>
      <c r="T171" s="28" t="n">
        <f aca="false">IF(OR($C171="",$B171=""),0,IF(COUNTIFS(QC_LOT,$C171,QC_DATE,"&gt;"&amp;$B171)&gt;0,0,IF(COUNTIFS($C$5:$C171,$C171,$B$5:$B171,$B171)=COUNTIFS(QC_LOT,$C171,QC_DATE,$B171),1,0)))</f>
        <v>0</v>
      </c>
      <c r="U171" s="26" t="str">
        <f aca="false">IF($T171=1,$C171,"")</f>
        <v/>
      </c>
      <c r="V171" s="28" t="n">
        <f aca="false">IF($C171="",0,IF($C171=R_LOT,1,0))</f>
        <v>0</v>
      </c>
      <c r="W171" s="26" t="str">
        <f aca="false">IF($V171=0,"",COUNTIF($V$5:$V171,1))</f>
        <v/>
      </c>
    </row>
    <row r="172" customFormat="false" ht="15" hidden="false" customHeight="false" outlineLevel="0" collapsed="false">
      <c r="A172" s="26" t="str">
        <f aca="false">IF($C172="","","QC-"&amp;TEXT(ROW()-4,"000"))</f>
        <v/>
      </c>
      <c r="B172" s="25"/>
      <c r="C172" s="24"/>
      <c r="D172" s="24"/>
      <c r="E172" s="24"/>
      <c r="F172" s="32"/>
      <c r="G172" s="33"/>
      <c r="H172" s="24"/>
      <c r="I172" s="24"/>
      <c r="J172" s="24"/>
      <c r="K172" s="24"/>
      <c r="L172" s="24"/>
      <c r="M172" s="24"/>
      <c r="N172" s="26" t="str">
        <f aca="false">IF($C172="","",IFERROR(INDEX(LOT_EXTE,MATCH($C172,LOT_KEY,0)),""))</f>
        <v/>
      </c>
      <c r="O172" s="26" t="str">
        <f aca="false">IF($C172="","",IFERROR(INDEX(LOT_PRODE,MATCH($C172,LOT_KEY,0)),"LOT NON REFERENCE"))</f>
        <v/>
      </c>
      <c r="P172" s="26" t="str">
        <f aca="false">IF($C172="","",IFERROR(INDEX(LOT_CONSERVE,MATCH($C172,LOT_KEY,0)),""))</f>
        <v/>
      </c>
      <c r="Q172" s="27" t="str">
        <f aca="false">IF(OR($C172="",$D172=""),"",SUMIFS(MVT_NET,MVT_LOT,$C172,MVT_EMPL,$D172))</f>
        <v/>
      </c>
      <c r="R172" s="26" t="str">
        <f aca="false">IF($C172="","",IF(OR($B172="",AND($F172="",$G172="",$H172="",$I172="",$J172="",$K172="")),"DONNEES MANQUANTES",IF(AND($D172&lt;&gt;"",$Q172&lt;=0),"EMPLACEMENT INCOHERENT","OK")))</f>
        <v/>
      </c>
      <c r="S172" s="26" t="str">
        <f aca="false">IF($C172="","",IF(AND(ISNUMBER($G172),$G172&gt;P_HIST),"HISTAMINE "&amp;TEXT($G172,"#,##0")&amp;" PPM &gt; seuil "&amp;TEXT(P_HIST,"#,##0")&amp;". ","")&amp;IF(AND(ISNUMBER($F172),$P172="CONGELE",$F172&gt;P_TCONG),"TEMPERATURE "&amp;TEXT($F172,"0.0")&amp;" C hors seuil congele. ","")&amp;IF(AND(ISNUMBER($F172),$P172="FRAIS",$F172&gt;P_TFRAIS),"TEMPERATURE "&amp;TEXT($F172,"0.0")&amp;" C hors seuil frais. ","")&amp;IF($K172="BLOQUER","Lot bloque qualite : stock signale mais inchange. ","")&amp;IF($R172="EMPLACEMENT INCOHERENT","Lot absent de cet emplacement : controle conserve, stock inchange. ","")&amp;IF($R172="DONNEES MANQUANTES","Renseigner la DATE et au moins une mesure. ",""))</f>
        <v/>
      </c>
      <c r="T172" s="28" t="n">
        <f aca="false">IF(OR($C172="",$B172=""),0,IF(COUNTIFS(QC_LOT,$C172,QC_DATE,"&gt;"&amp;$B172)&gt;0,0,IF(COUNTIFS($C$5:$C172,$C172,$B$5:$B172,$B172)=COUNTIFS(QC_LOT,$C172,QC_DATE,$B172),1,0)))</f>
        <v>0</v>
      </c>
      <c r="U172" s="26" t="str">
        <f aca="false">IF($T172=1,$C172,"")</f>
        <v/>
      </c>
      <c r="V172" s="28" t="n">
        <f aca="false">IF($C172="",0,IF($C172=R_LOT,1,0))</f>
        <v>0</v>
      </c>
      <c r="W172" s="26" t="str">
        <f aca="false">IF($V172=0,"",COUNTIF($V$5:$V172,1))</f>
        <v/>
      </c>
    </row>
    <row r="173" customFormat="false" ht="15" hidden="false" customHeight="false" outlineLevel="0" collapsed="false">
      <c r="A173" s="26" t="str">
        <f aca="false">IF($C173="","","QC-"&amp;TEXT(ROW()-4,"000"))</f>
        <v/>
      </c>
      <c r="B173" s="25"/>
      <c r="C173" s="24"/>
      <c r="D173" s="24"/>
      <c r="E173" s="24"/>
      <c r="F173" s="32"/>
      <c r="G173" s="33"/>
      <c r="H173" s="24"/>
      <c r="I173" s="24"/>
      <c r="J173" s="24"/>
      <c r="K173" s="24"/>
      <c r="L173" s="24"/>
      <c r="M173" s="24"/>
      <c r="N173" s="26" t="str">
        <f aca="false">IF($C173="","",IFERROR(INDEX(LOT_EXTE,MATCH($C173,LOT_KEY,0)),""))</f>
        <v/>
      </c>
      <c r="O173" s="26" t="str">
        <f aca="false">IF($C173="","",IFERROR(INDEX(LOT_PRODE,MATCH($C173,LOT_KEY,0)),"LOT NON REFERENCE"))</f>
        <v/>
      </c>
      <c r="P173" s="26" t="str">
        <f aca="false">IF($C173="","",IFERROR(INDEX(LOT_CONSERVE,MATCH($C173,LOT_KEY,0)),""))</f>
        <v/>
      </c>
      <c r="Q173" s="27" t="str">
        <f aca="false">IF(OR($C173="",$D173=""),"",SUMIFS(MVT_NET,MVT_LOT,$C173,MVT_EMPL,$D173))</f>
        <v/>
      </c>
      <c r="R173" s="26" t="str">
        <f aca="false">IF($C173="","",IF(OR($B173="",AND($F173="",$G173="",$H173="",$I173="",$J173="",$K173="")),"DONNEES MANQUANTES",IF(AND($D173&lt;&gt;"",$Q173&lt;=0),"EMPLACEMENT INCOHERENT","OK")))</f>
        <v/>
      </c>
      <c r="S173" s="26" t="str">
        <f aca="false">IF($C173="","",IF(AND(ISNUMBER($G173),$G173&gt;P_HIST),"HISTAMINE "&amp;TEXT($G173,"#,##0")&amp;" PPM &gt; seuil "&amp;TEXT(P_HIST,"#,##0")&amp;". ","")&amp;IF(AND(ISNUMBER($F173),$P173="CONGELE",$F173&gt;P_TCONG),"TEMPERATURE "&amp;TEXT($F173,"0.0")&amp;" C hors seuil congele. ","")&amp;IF(AND(ISNUMBER($F173),$P173="FRAIS",$F173&gt;P_TFRAIS),"TEMPERATURE "&amp;TEXT($F173,"0.0")&amp;" C hors seuil frais. ","")&amp;IF($K173="BLOQUER","Lot bloque qualite : stock signale mais inchange. ","")&amp;IF($R173="EMPLACEMENT INCOHERENT","Lot absent de cet emplacement : controle conserve, stock inchange. ","")&amp;IF($R173="DONNEES MANQUANTES","Renseigner la DATE et au moins une mesure. ",""))</f>
        <v/>
      </c>
      <c r="T173" s="28" t="n">
        <f aca="false">IF(OR($C173="",$B173=""),0,IF(COUNTIFS(QC_LOT,$C173,QC_DATE,"&gt;"&amp;$B173)&gt;0,0,IF(COUNTIFS($C$5:$C173,$C173,$B$5:$B173,$B173)=COUNTIFS(QC_LOT,$C173,QC_DATE,$B173),1,0)))</f>
        <v>0</v>
      </c>
      <c r="U173" s="26" t="str">
        <f aca="false">IF($T173=1,$C173,"")</f>
        <v/>
      </c>
      <c r="V173" s="28" t="n">
        <f aca="false">IF($C173="",0,IF($C173=R_LOT,1,0))</f>
        <v>0</v>
      </c>
      <c r="W173" s="26" t="str">
        <f aca="false">IF($V173=0,"",COUNTIF($V$5:$V173,1))</f>
        <v/>
      </c>
    </row>
    <row r="174" customFormat="false" ht="15" hidden="false" customHeight="false" outlineLevel="0" collapsed="false">
      <c r="A174" s="26" t="str">
        <f aca="false">IF($C174="","","QC-"&amp;TEXT(ROW()-4,"000"))</f>
        <v/>
      </c>
      <c r="B174" s="25"/>
      <c r="C174" s="24"/>
      <c r="D174" s="24"/>
      <c r="E174" s="24"/>
      <c r="F174" s="32"/>
      <c r="G174" s="33"/>
      <c r="H174" s="24"/>
      <c r="I174" s="24"/>
      <c r="J174" s="24"/>
      <c r="K174" s="24"/>
      <c r="L174" s="24"/>
      <c r="M174" s="24"/>
      <c r="N174" s="26" t="str">
        <f aca="false">IF($C174="","",IFERROR(INDEX(LOT_EXTE,MATCH($C174,LOT_KEY,0)),""))</f>
        <v/>
      </c>
      <c r="O174" s="26" t="str">
        <f aca="false">IF($C174="","",IFERROR(INDEX(LOT_PRODE,MATCH($C174,LOT_KEY,0)),"LOT NON REFERENCE"))</f>
        <v/>
      </c>
      <c r="P174" s="26" t="str">
        <f aca="false">IF($C174="","",IFERROR(INDEX(LOT_CONSERVE,MATCH($C174,LOT_KEY,0)),""))</f>
        <v/>
      </c>
      <c r="Q174" s="27" t="str">
        <f aca="false">IF(OR($C174="",$D174=""),"",SUMIFS(MVT_NET,MVT_LOT,$C174,MVT_EMPL,$D174))</f>
        <v/>
      </c>
      <c r="R174" s="26" t="str">
        <f aca="false">IF($C174="","",IF(OR($B174="",AND($F174="",$G174="",$H174="",$I174="",$J174="",$K174="")),"DONNEES MANQUANTES",IF(AND($D174&lt;&gt;"",$Q174&lt;=0),"EMPLACEMENT INCOHERENT","OK")))</f>
        <v/>
      </c>
      <c r="S174" s="26" t="str">
        <f aca="false">IF($C174="","",IF(AND(ISNUMBER($G174),$G174&gt;P_HIST),"HISTAMINE "&amp;TEXT($G174,"#,##0")&amp;" PPM &gt; seuil "&amp;TEXT(P_HIST,"#,##0")&amp;". ","")&amp;IF(AND(ISNUMBER($F174),$P174="CONGELE",$F174&gt;P_TCONG),"TEMPERATURE "&amp;TEXT($F174,"0.0")&amp;" C hors seuil congele. ","")&amp;IF(AND(ISNUMBER($F174),$P174="FRAIS",$F174&gt;P_TFRAIS),"TEMPERATURE "&amp;TEXT($F174,"0.0")&amp;" C hors seuil frais. ","")&amp;IF($K174="BLOQUER","Lot bloque qualite : stock signale mais inchange. ","")&amp;IF($R174="EMPLACEMENT INCOHERENT","Lot absent de cet emplacement : controle conserve, stock inchange. ","")&amp;IF($R174="DONNEES MANQUANTES","Renseigner la DATE et au moins une mesure. ",""))</f>
        <v/>
      </c>
      <c r="T174" s="28" t="n">
        <f aca="false">IF(OR($C174="",$B174=""),0,IF(COUNTIFS(QC_LOT,$C174,QC_DATE,"&gt;"&amp;$B174)&gt;0,0,IF(COUNTIFS($C$5:$C174,$C174,$B$5:$B174,$B174)=COUNTIFS(QC_LOT,$C174,QC_DATE,$B174),1,0)))</f>
        <v>0</v>
      </c>
      <c r="U174" s="26" t="str">
        <f aca="false">IF($T174=1,$C174,"")</f>
        <v/>
      </c>
      <c r="V174" s="28" t="n">
        <f aca="false">IF($C174="",0,IF($C174=R_LOT,1,0))</f>
        <v>0</v>
      </c>
      <c r="W174" s="26" t="str">
        <f aca="false">IF($V174=0,"",COUNTIF($V$5:$V174,1))</f>
        <v/>
      </c>
    </row>
    <row r="175" customFormat="false" ht="15" hidden="false" customHeight="false" outlineLevel="0" collapsed="false">
      <c r="A175" s="26" t="str">
        <f aca="false">IF($C175="","","QC-"&amp;TEXT(ROW()-4,"000"))</f>
        <v/>
      </c>
      <c r="B175" s="25"/>
      <c r="C175" s="24"/>
      <c r="D175" s="24"/>
      <c r="E175" s="24"/>
      <c r="F175" s="32"/>
      <c r="G175" s="33"/>
      <c r="H175" s="24"/>
      <c r="I175" s="24"/>
      <c r="J175" s="24"/>
      <c r="K175" s="24"/>
      <c r="L175" s="24"/>
      <c r="M175" s="24"/>
      <c r="N175" s="26" t="str">
        <f aca="false">IF($C175="","",IFERROR(INDEX(LOT_EXTE,MATCH($C175,LOT_KEY,0)),""))</f>
        <v/>
      </c>
      <c r="O175" s="26" t="str">
        <f aca="false">IF($C175="","",IFERROR(INDEX(LOT_PRODE,MATCH($C175,LOT_KEY,0)),"LOT NON REFERENCE"))</f>
        <v/>
      </c>
      <c r="P175" s="26" t="str">
        <f aca="false">IF($C175="","",IFERROR(INDEX(LOT_CONSERVE,MATCH($C175,LOT_KEY,0)),""))</f>
        <v/>
      </c>
      <c r="Q175" s="27" t="str">
        <f aca="false">IF(OR($C175="",$D175=""),"",SUMIFS(MVT_NET,MVT_LOT,$C175,MVT_EMPL,$D175))</f>
        <v/>
      </c>
      <c r="R175" s="26" t="str">
        <f aca="false">IF($C175="","",IF(OR($B175="",AND($F175="",$G175="",$H175="",$I175="",$J175="",$K175="")),"DONNEES MANQUANTES",IF(AND($D175&lt;&gt;"",$Q175&lt;=0),"EMPLACEMENT INCOHERENT","OK")))</f>
        <v/>
      </c>
      <c r="S175" s="26" t="str">
        <f aca="false">IF($C175="","",IF(AND(ISNUMBER($G175),$G175&gt;P_HIST),"HISTAMINE "&amp;TEXT($G175,"#,##0")&amp;" PPM &gt; seuil "&amp;TEXT(P_HIST,"#,##0")&amp;". ","")&amp;IF(AND(ISNUMBER($F175),$P175="CONGELE",$F175&gt;P_TCONG),"TEMPERATURE "&amp;TEXT($F175,"0.0")&amp;" C hors seuil congele. ","")&amp;IF(AND(ISNUMBER($F175),$P175="FRAIS",$F175&gt;P_TFRAIS),"TEMPERATURE "&amp;TEXT($F175,"0.0")&amp;" C hors seuil frais. ","")&amp;IF($K175="BLOQUER","Lot bloque qualite : stock signale mais inchange. ","")&amp;IF($R175="EMPLACEMENT INCOHERENT","Lot absent de cet emplacement : controle conserve, stock inchange. ","")&amp;IF($R175="DONNEES MANQUANTES","Renseigner la DATE et au moins une mesure. ",""))</f>
        <v/>
      </c>
      <c r="T175" s="28" t="n">
        <f aca="false">IF(OR($C175="",$B175=""),0,IF(COUNTIFS(QC_LOT,$C175,QC_DATE,"&gt;"&amp;$B175)&gt;0,0,IF(COUNTIFS($C$5:$C175,$C175,$B$5:$B175,$B175)=COUNTIFS(QC_LOT,$C175,QC_DATE,$B175),1,0)))</f>
        <v>0</v>
      </c>
      <c r="U175" s="26" t="str">
        <f aca="false">IF($T175=1,$C175,"")</f>
        <v/>
      </c>
      <c r="V175" s="28" t="n">
        <f aca="false">IF($C175="",0,IF($C175=R_LOT,1,0))</f>
        <v>0</v>
      </c>
      <c r="W175" s="26" t="str">
        <f aca="false">IF($V175=0,"",COUNTIF($V$5:$V175,1))</f>
        <v/>
      </c>
    </row>
    <row r="176" customFormat="false" ht="15" hidden="false" customHeight="false" outlineLevel="0" collapsed="false">
      <c r="A176" s="26" t="str">
        <f aca="false">IF($C176="","","QC-"&amp;TEXT(ROW()-4,"000"))</f>
        <v/>
      </c>
      <c r="B176" s="25"/>
      <c r="C176" s="24"/>
      <c r="D176" s="24"/>
      <c r="E176" s="24"/>
      <c r="F176" s="32"/>
      <c r="G176" s="33"/>
      <c r="H176" s="24"/>
      <c r="I176" s="24"/>
      <c r="J176" s="24"/>
      <c r="K176" s="24"/>
      <c r="L176" s="24"/>
      <c r="M176" s="24"/>
      <c r="N176" s="26" t="str">
        <f aca="false">IF($C176="","",IFERROR(INDEX(LOT_EXTE,MATCH($C176,LOT_KEY,0)),""))</f>
        <v/>
      </c>
      <c r="O176" s="26" t="str">
        <f aca="false">IF($C176="","",IFERROR(INDEX(LOT_PRODE,MATCH($C176,LOT_KEY,0)),"LOT NON REFERENCE"))</f>
        <v/>
      </c>
      <c r="P176" s="26" t="str">
        <f aca="false">IF($C176="","",IFERROR(INDEX(LOT_CONSERVE,MATCH($C176,LOT_KEY,0)),""))</f>
        <v/>
      </c>
      <c r="Q176" s="27" t="str">
        <f aca="false">IF(OR($C176="",$D176=""),"",SUMIFS(MVT_NET,MVT_LOT,$C176,MVT_EMPL,$D176))</f>
        <v/>
      </c>
      <c r="R176" s="26" t="str">
        <f aca="false">IF($C176="","",IF(OR($B176="",AND($F176="",$G176="",$H176="",$I176="",$J176="",$K176="")),"DONNEES MANQUANTES",IF(AND($D176&lt;&gt;"",$Q176&lt;=0),"EMPLACEMENT INCOHERENT","OK")))</f>
        <v/>
      </c>
      <c r="S176" s="26" t="str">
        <f aca="false">IF($C176="","",IF(AND(ISNUMBER($G176),$G176&gt;P_HIST),"HISTAMINE "&amp;TEXT($G176,"#,##0")&amp;" PPM &gt; seuil "&amp;TEXT(P_HIST,"#,##0")&amp;". ","")&amp;IF(AND(ISNUMBER($F176),$P176="CONGELE",$F176&gt;P_TCONG),"TEMPERATURE "&amp;TEXT($F176,"0.0")&amp;" C hors seuil congele. ","")&amp;IF(AND(ISNUMBER($F176),$P176="FRAIS",$F176&gt;P_TFRAIS),"TEMPERATURE "&amp;TEXT($F176,"0.0")&amp;" C hors seuil frais. ","")&amp;IF($K176="BLOQUER","Lot bloque qualite : stock signale mais inchange. ","")&amp;IF($R176="EMPLACEMENT INCOHERENT","Lot absent de cet emplacement : controle conserve, stock inchange. ","")&amp;IF($R176="DONNEES MANQUANTES","Renseigner la DATE et au moins une mesure. ",""))</f>
        <v/>
      </c>
      <c r="T176" s="28" t="n">
        <f aca="false">IF(OR($C176="",$B176=""),0,IF(COUNTIFS(QC_LOT,$C176,QC_DATE,"&gt;"&amp;$B176)&gt;0,0,IF(COUNTIFS($C$5:$C176,$C176,$B$5:$B176,$B176)=COUNTIFS(QC_LOT,$C176,QC_DATE,$B176),1,0)))</f>
        <v>0</v>
      </c>
      <c r="U176" s="26" t="str">
        <f aca="false">IF($T176=1,$C176,"")</f>
        <v/>
      </c>
      <c r="V176" s="28" t="n">
        <f aca="false">IF($C176="",0,IF($C176=R_LOT,1,0))</f>
        <v>0</v>
      </c>
      <c r="W176" s="26" t="str">
        <f aca="false">IF($V176=0,"",COUNTIF($V$5:$V176,1))</f>
        <v/>
      </c>
    </row>
    <row r="177" customFormat="false" ht="15" hidden="false" customHeight="false" outlineLevel="0" collapsed="false">
      <c r="A177" s="26" t="str">
        <f aca="false">IF($C177="","","QC-"&amp;TEXT(ROW()-4,"000"))</f>
        <v/>
      </c>
      <c r="B177" s="25"/>
      <c r="C177" s="24"/>
      <c r="D177" s="24"/>
      <c r="E177" s="24"/>
      <c r="F177" s="32"/>
      <c r="G177" s="33"/>
      <c r="H177" s="24"/>
      <c r="I177" s="24"/>
      <c r="J177" s="24"/>
      <c r="K177" s="24"/>
      <c r="L177" s="24"/>
      <c r="M177" s="24"/>
      <c r="N177" s="26" t="str">
        <f aca="false">IF($C177="","",IFERROR(INDEX(LOT_EXTE,MATCH($C177,LOT_KEY,0)),""))</f>
        <v/>
      </c>
      <c r="O177" s="26" t="str">
        <f aca="false">IF($C177="","",IFERROR(INDEX(LOT_PRODE,MATCH($C177,LOT_KEY,0)),"LOT NON REFERENCE"))</f>
        <v/>
      </c>
      <c r="P177" s="26" t="str">
        <f aca="false">IF($C177="","",IFERROR(INDEX(LOT_CONSERVE,MATCH($C177,LOT_KEY,0)),""))</f>
        <v/>
      </c>
      <c r="Q177" s="27" t="str">
        <f aca="false">IF(OR($C177="",$D177=""),"",SUMIFS(MVT_NET,MVT_LOT,$C177,MVT_EMPL,$D177))</f>
        <v/>
      </c>
      <c r="R177" s="26" t="str">
        <f aca="false">IF($C177="","",IF(OR($B177="",AND($F177="",$G177="",$H177="",$I177="",$J177="",$K177="")),"DONNEES MANQUANTES",IF(AND($D177&lt;&gt;"",$Q177&lt;=0),"EMPLACEMENT INCOHERENT","OK")))</f>
        <v/>
      </c>
      <c r="S177" s="26" t="str">
        <f aca="false">IF($C177="","",IF(AND(ISNUMBER($G177),$G177&gt;P_HIST),"HISTAMINE "&amp;TEXT($G177,"#,##0")&amp;" PPM &gt; seuil "&amp;TEXT(P_HIST,"#,##0")&amp;". ","")&amp;IF(AND(ISNUMBER($F177),$P177="CONGELE",$F177&gt;P_TCONG),"TEMPERATURE "&amp;TEXT($F177,"0.0")&amp;" C hors seuil congele. ","")&amp;IF(AND(ISNUMBER($F177),$P177="FRAIS",$F177&gt;P_TFRAIS),"TEMPERATURE "&amp;TEXT($F177,"0.0")&amp;" C hors seuil frais. ","")&amp;IF($K177="BLOQUER","Lot bloque qualite : stock signale mais inchange. ","")&amp;IF($R177="EMPLACEMENT INCOHERENT","Lot absent de cet emplacement : controle conserve, stock inchange. ","")&amp;IF($R177="DONNEES MANQUANTES","Renseigner la DATE et au moins une mesure. ",""))</f>
        <v/>
      </c>
      <c r="T177" s="28" t="n">
        <f aca="false">IF(OR($C177="",$B177=""),0,IF(COUNTIFS(QC_LOT,$C177,QC_DATE,"&gt;"&amp;$B177)&gt;0,0,IF(COUNTIFS($C$5:$C177,$C177,$B$5:$B177,$B177)=COUNTIFS(QC_LOT,$C177,QC_DATE,$B177),1,0)))</f>
        <v>0</v>
      </c>
      <c r="U177" s="26" t="str">
        <f aca="false">IF($T177=1,$C177,"")</f>
        <v/>
      </c>
      <c r="V177" s="28" t="n">
        <f aca="false">IF($C177="",0,IF($C177=R_LOT,1,0))</f>
        <v>0</v>
      </c>
      <c r="W177" s="26" t="str">
        <f aca="false">IF($V177=0,"",COUNTIF($V$5:$V177,1))</f>
        <v/>
      </c>
    </row>
    <row r="178" customFormat="false" ht="15" hidden="false" customHeight="false" outlineLevel="0" collapsed="false">
      <c r="A178" s="26" t="str">
        <f aca="false">IF($C178="","","QC-"&amp;TEXT(ROW()-4,"000"))</f>
        <v/>
      </c>
      <c r="B178" s="25"/>
      <c r="C178" s="24"/>
      <c r="D178" s="24"/>
      <c r="E178" s="24"/>
      <c r="F178" s="32"/>
      <c r="G178" s="33"/>
      <c r="H178" s="24"/>
      <c r="I178" s="24"/>
      <c r="J178" s="24"/>
      <c r="K178" s="24"/>
      <c r="L178" s="24"/>
      <c r="M178" s="24"/>
      <c r="N178" s="26" t="str">
        <f aca="false">IF($C178="","",IFERROR(INDEX(LOT_EXTE,MATCH($C178,LOT_KEY,0)),""))</f>
        <v/>
      </c>
      <c r="O178" s="26" t="str">
        <f aca="false">IF($C178="","",IFERROR(INDEX(LOT_PRODE,MATCH($C178,LOT_KEY,0)),"LOT NON REFERENCE"))</f>
        <v/>
      </c>
      <c r="P178" s="26" t="str">
        <f aca="false">IF($C178="","",IFERROR(INDEX(LOT_CONSERVE,MATCH($C178,LOT_KEY,0)),""))</f>
        <v/>
      </c>
      <c r="Q178" s="27" t="str">
        <f aca="false">IF(OR($C178="",$D178=""),"",SUMIFS(MVT_NET,MVT_LOT,$C178,MVT_EMPL,$D178))</f>
        <v/>
      </c>
      <c r="R178" s="26" t="str">
        <f aca="false">IF($C178="","",IF(OR($B178="",AND($F178="",$G178="",$H178="",$I178="",$J178="",$K178="")),"DONNEES MANQUANTES",IF(AND($D178&lt;&gt;"",$Q178&lt;=0),"EMPLACEMENT INCOHERENT","OK")))</f>
        <v/>
      </c>
      <c r="S178" s="26" t="str">
        <f aca="false">IF($C178="","",IF(AND(ISNUMBER($G178),$G178&gt;P_HIST),"HISTAMINE "&amp;TEXT($G178,"#,##0")&amp;" PPM &gt; seuil "&amp;TEXT(P_HIST,"#,##0")&amp;". ","")&amp;IF(AND(ISNUMBER($F178),$P178="CONGELE",$F178&gt;P_TCONG),"TEMPERATURE "&amp;TEXT($F178,"0.0")&amp;" C hors seuil congele. ","")&amp;IF(AND(ISNUMBER($F178),$P178="FRAIS",$F178&gt;P_TFRAIS),"TEMPERATURE "&amp;TEXT($F178,"0.0")&amp;" C hors seuil frais. ","")&amp;IF($K178="BLOQUER","Lot bloque qualite : stock signale mais inchange. ","")&amp;IF($R178="EMPLACEMENT INCOHERENT","Lot absent de cet emplacement : controle conserve, stock inchange. ","")&amp;IF($R178="DONNEES MANQUANTES","Renseigner la DATE et au moins une mesure. ",""))</f>
        <v/>
      </c>
      <c r="T178" s="28" t="n">
        <f aca="false">IF(OR($C178="",$B178=""),0,IF(COUNTIFS(QC_LOT,$C178,QC_DATE,"&gt;"&amp;$B178)&gt;0,0,IF(COUNTIFS($C$5:$C178,$C178,$B$5:$B178,$B178)=COUNTIFS(QC_LOT,$C178,QC_DATE,$B178),1,0)))</f>
        <v>0</v>
      </c>
      <c r="U178" s="26" t="str">
        <f aca="false">IF($T178=1,$C178,"")</f>
        <v/>
      </c>
      <c r="V178" s="28" t="n">
        <f aca="false">IF($C178="",0,IF($C178=R_LOT,1,0))</f>
        <v>0</v>
      </c>
      <c r="W178" s="26" t="str">
        <f aca="false">IF($V178=0,"",COUNTIF($V$5:$V178,1))</f>
        <v/>
      </c>
    </row>
    <row r="179" customFormat="false" ht="15" hidden="false" customHeight="false" outlineLevel="0" collapsed="false">
      <c r="A179" s="26" t="str">
        <f aca="false">IF($C179="","","QC-"&amp;TEXT(ROW()-4,"000"))</f>
        <v/>
      </c>
      <c r="B179" s="25"/>
      <c r="C179" s="24"/>
      <c r="D179" s="24"/>
      <c r="E179" s="24"/>
      <c r="F179" s="32"/>
      <c r="G179" s="33"/>
      <c r="H179" s="24"/>
      <c r="I179" s="24"/>
      <c r="J179" s="24"/>
      <c r="K179" s="24"/>
      <c r="L179" s="24"/>
      <c r="M179" s="24"/>
      <c r="N179" s="26" t="str">
        <f aca="false">IF($C179="","",IFERROR(INDEX(LOT_EXTE,MATCH($C179,LOT_KEY,0)),""))</f>
        <v/>
      </c>
      <c r="O179" s="26" t="str">
        <f aca="false">IF($C179="","",IFERROR(INDEX(LOT_PRODE,MATCH($C179,LOT_KEY,0)),"LOT NON REFERENCE"))</f>
        <v/>
      </c>
      <c r="P179" s="26" t="str">
        <f aca="false">IF($C179="","",IFERROR(INDEX(LOT_CONSERVE,MATCH($C179,LOT_KEY,0)),""))</f>
        <v/>
      </c>
      <c r="Q179" s="27" t="str">
        <f aca="false">IF(OR($C179="",$D179=""),"",SUMIFS(MVT_NET,MVT_LOT,$C179,MVT_EMPL,$D179))</f>
        <v/>
      </c>
      <c r="R179" s="26" t="str">
        <f aca="false">IF($C179="","",IF(OR($B179="",AND($F179="",$G179="",$H179="",$I179="",$J179="",$K179="")),"DONNEES MANQUANTES",IF(AND($D179&lt;&gt;"",$Q179&lt;=0),"EMPLACEMENT INCOHERENT","OK")))</f>
        <v/>
      </c>
      <c r="S179" s="26" t="str">
        <f aca="false">IF($C179="","",IF(AND(ISNUMBER($G179),$G179&gt;P_HIST),"HISTAMINE "&amp;TEXT($G179,"#,##0")&amp;" PPM &gt; seuil "&amp;TEXT(P_HIST,"#,##0")&amp;". ","")&amp;IF(AND(ISNUMBER($F179),$P179="CONGELE",$F179&gt;P_TCONG),"TEMPERATURE "&amp;TEXT($F179,"0.0")&amp;" C hors seuil congele. ","")&amp;IF(AND(ISNUMBER($F179),$P179="FRAIS",$F179&gt;P_TFRAIS),"TEMPERATURE "&amp;TEXT($F179,"0.0")&amp;" C hors seuil frais. ","")&amp;IF($K179="BLOQUER","Lot bloque qualite : stock signale mais inchange. ","")&amp;IF($R179="EMPLACEMENT INCOHERENT","Lot absent de cet emplacement : controle conserve, stock inchange. ","")&amp;IF($R179="DONNEES MANQUANTES","Renseigner la DATE et au moins une mesure. ",""))</f>
        <v/>
      </c>
      <c r="T179" s="28" t="n">
        <f aca="false">IF(OR($C179="",$B179=""),0,IF(COUNTIFS(QC_LOT,$C179,QC_DATE,"&gt;"&amp;$B179)&gt;0,0,IF(COUNTIFS($C$5:$C179,$C179,$B$5:$B179,$B179)=COUNTIFS(QC_LOT,$C179,QC_DATE,$B179),1,0)))</f>
        <v>0</v>
      </c>
      <c r="U179" s="26" t="str">
        <f aca="false">IF($T179=1,$C179,"")</f>
        <v/>
      </c>
      <c r="V179" s="28" t="n">
        <f aca="false">IF($C179="",0,IF($C179=R_LOT,1,0))</f>
        <v>0</v>
      </c>
      <c r="W179" s="26" t="str">
        <f aca="false">IF($V179=0,"",COUNTIF($V$5:$V179,1))</f>
        <v/>
      </c>
    </row>
    <row r="180" customFormat="false" ht="15" hidden="false" customHeight="false" outlineLevel="0" collapsed="false">
      <c r="A180" s="26" t="str">
        <f aca="false">IF($C180="","","QC-"&amp;TEXT(ROW()-4,"000"))</f>
        <v/>
      </c>
      <c r="B180" s="25"/>
      <c r="C180" s="24"/>
      <c r="D180" s="24"/>
      <c r="E180" s="24"/>
      <c r="F180" s="32"/>
      <c r="G180" s="33"/>
      <c r="H180" s="24"/>
      <c r="I180" s="24"/>
      <c r="J180" s="24"/>
      <c r="K180" s="24"/>
      <c r="L180" s="24"/>
      <c r="M180" s="24"/>
      <c r="N180" s="26" t="str">
        <f aca="false">IF($C180="","",IFERROR(INDEX(LOT_EXTE,MATCH($C180,LOT_KEY,0)),""))</f>
        <v/>
      </c>
      <c r="O180" s="26" t="str">
        <f aca="false">IF($C180="","",IFERROR(INDEX(LOT_PRODE,MATCH($C180,LOT_KEY,0)),"LOT NON REFERENCE"))</f>
        <v/>
      </c>
      <c r="P180" s="26" t="str">
        <f aca="false">IF($C180="","",IFERROR(INDEX(LOT_CONSERVE,MATCH($C180,LOT_KEY,0)),""))</f>
        <v/>
      </c>
      <c r="Q180" s="27" t="str">
        <f aca="false">IF(OR($C180="",$D180=""),"",SUMIFS(MVT_NET,MVT_LOT,$C180,MVT_EMPL,$D180))</f>
        <v/>
      </c>
      <c r="R180" s="26" t="str">
        <f aca="false">IF($C180="","",IF(OR($B180="",AND($F180="",$G180="",$H180="",$I180="",$J180="",$K180="")),"DONNEES MANQUANTES",IF(AND($D180&lt;&gt;"",$Q180&lt;=0),"EMPLACEMENT INCOHERENT","OK")))</f>
        <v/>
      </c>
      <c r="S180" s="26" t="str">
        <f aca="false">IF($C180="","",IF(AND(ISNUMBER($G180),$G180&gt;P_HIST),"HISTAMINE "&amp;TEXT($G180,"#,##0")&amp;" PPM &gt; seuil "&amp;TEXT(P_HIST,"#,##0")&amp;". ","")&amp;IF(AND(ISNUMBER($F180),$P180="CONGELE",$F180&gt;P_TCONG),"TEMPERATURE "&amp;TEXT($F180,"0.0")&amp;" C hors seuil congele. ","")&amp;IF(AND(ISNUMBER($F180),$P180="FRAIS",$F180&gt;P_TFRAIS),"TEMPERATURE "&amp;TEXT($F180,"0.0")&amp;" C hors seuil frais. ","")&amp;IF($K180="BLOQUER","Lot bloque qualite : stock signale mais inchange. ","")&amp;IF($R180="EMPLACEMENT INCOHERENT","Lot absent de cet emplacement : controle conserve, stock inchange. ","")&amp;IF($R180="DONNEES MANQUANTES","Renseigner la DATE et au moins une mesure. ",""))</f>
        <v/>
      </c>
      <c r="T180" s="28" t="n">
        <f aca="false">IF(OR($C180="",$B180=""),0,IF(COUNTIFS(QC_LOT,$C180,QC_DATE,"&gt;"&amp;$B180)&gt;0,0,IF(COUNTIFS($C$5:$C180,$C180,$B$5:$B180,$B180)=COUNTIFS(QC_LOT,$C180,QC_DATE,$B180),1,0)))</f>
        <v>0</v>
      </c>
      <c r="U180" s="26" t="str">
        <f aca="false">IF($T180=1,$C180,"")</f>
        <v/>
      </c>
      <c r="V180" s="28" t="n">
        <f aca="false">IF($C180="",0,IF($C180=R_LOT,1,0))</f>
        <v>0</v>
      </c>
      <c r="W180" s="26" t="str">
        <f aca="false">IF($V180=0,"",COUNTIF($V$5:$V180,1))</f>
        <v/>
      </c>
    </row>
    <row r="181" customFormat="false" ht="15" hidden="false" customHeight="false" outlineLevel="0" collapsed="false">
      <c r="A181" s="26" t="str">
        <f aca="false">IF($C181="","","QC-"&amp;TEXT(ROW()-4,"000"))</f>
        <v/>
      </c>
      <c r="B181" s="25"/>
      <c r="C181" s="24"/>
      <c r="D181" s="24"/>
      <c r="E181" s="24"/>
      <c r="F181" s="32"/>
      <c r="G181" s="33"/>
      <c r="H181" s="24"/>
      <c r="I181" s="24"/>
      <c r="J181" s="24"/>
      <c r="K181" s="24"/>
      <c r="L181" s="24"/>
      <c r="M181" s="24"/>
      <c r="N181" s="26" t="str">
        <f aca="false">IF($C181="","",IFERROR(INDEX(LOT_EXTE,MATCH($C181,LOT_KEY,0)),""))</f>
        <v/>
      </c>
      <c r="O181" s="26" t="str">
        <f aca="false">IF($C181="","",IFERROR(INDEX(LOT_PRODE,MATCH($C181,LOT_KEY,0)),"LOT NON REFERENCE"))</f>
        <v/>
      </c>
      <c r="P181" s="26" t="str">
        <f aca="false">IF($C181="","",IFERROR(INDEX(LOT_CONSERVE,MATCH($C181,LOT_KEY,0)),""))</f>
        <v/>
      </c>
      <c r="Q181" s="27" t="str">
        <f aca="false">IF(OR($C181="",$D181=""),"",SUMIFS(MVT_NET,MVT_LOT,$C181,MVT_EMPL,$D181))</f>
        <v/>
      </c>
      <c r="R181" s="26" t="str">
        <f aca="false">IF($C181="","",IF(OR($B181="",AND($F181="",$G181="",$H181="",$I181="",$J181="",$K181="")),"DONNEES MANQUANTES",IF(AND($D181&lt;&gt;"",$Q181&lt;=0),"EMPLACEMENT INCOHERENT","OK")))</f>
        <v/>
      </c>
      <c r="S181" s="26" t="str">
        <f aca="false">IF($C181="","",IF(AND(ISNUMBER($G181),$G181&gt;P_HIST),"HISTAMINE "&amp;TEXT($G181,"#,##0")&amp;" PPM &gt; seuil "&amp;TEXT(P_HIST,"#,##0")&amp;". ","")&amp;IF(AND(ISNUMBER($F181),$P181="CONGELE",$F181&gt;P_TCONG),"TEMPERATURE "&amp;TEXT($F181,"0.0")&amp;" C hors seuil congele. ","")&amp;IF(AND(ISNUMBER($F181),$P181="FRAIS",$F181&gt;P_TFRAIS),"TEMPERATURE "&amp;TEXT($F181,"0.0")&amp;" C hors seuil frais. ","")&amp;IF($K181="BLOQUER","Lot bloque qualite : stock signale mais inchange. ","")&amp;IF($R181="EMPLACEMENT INCOHERENT","Lot absent de cet emplacement : controle conserve, stock inchange. ","")&amp;IF($R181="DONNEES MANQUANTES","Renseigner la DATE et au moins une mesure. ",""))</f>
        <v/>
      </c>
      <c r="T181" s="28" t="n">
        <f aca="false">IF(OR($C181="",$B181=""),0,IF(COUNTIFS(QC_LOT,$C181,QC_DATE,"&gt;"&amp;$B181)&gt;0,0,IF(COUNTIFS($C$5:$C181,$C181,$B$5:$B181,$B181)=COUNTIFS(QC_LOT,$C181,QC_DATE,$B181),1,0)))</f>
        <v>0</v>
      </c>
      <c r="U181" s="26" t="str">
        <f aca="false">IF($T181=1,$C181,"")</f>
        <v/>
      </c>
      <c r="V181" s="28" t="n">
        <f aca="false">IF($C181="",0,IF($C181=R_LOT,1,0))</f>
        <v>0</v>
      </c>
      <c r="W181" s="26" t="str">
        <f aca="false">IF($V181=0,"",COUNTIF($V$5:$V181,1))</f>
        <v/>
      </c>
    </row>
    <row r="182" customFormat="false" ht="15" hidden="false" customHeight="false" outlineLevel="0" collapsed="false">
      <c r="A182" s="26" t="str">
        <f aca="false">IF($C182="","","QC-"&amp;TEXT(ROW()-4,"000"))</f>
        <v/>
      </c>
      <c r="B182" s="25"/>
      <c r="C182" s="24"/>
      <c r="D182" s="24"/>
      <c r="E182" s="24"/>
      <c r="F182" s="32"/>
      <c r="G182" s="33"/>
      <c r="H182" s="24"/>
      <c r="I182" s="24"/>
      <c r="J182" s="24"/>
      <c r="K182" s="24"/>
      <c r="L182" s="24"/>
      <c r="M182" s="24"/>
      <c r="N182" s="26" t="str">
        <f aca="false">IF($C182="","",IFERROR(INDEX(LOT_EXTE,MATCH($C182,LOT_KEY,0)),""))</f>
        <v/>
      </c>
      <c r="O182" s="26" t="str">
        <f aca="false">IF($C182="","",IFERROR(INDEX(LOT_PRODE,MATCH($C182,LOT_KEY,0)),"LOT NON REFERENCE"))</f>
        <v/>
      </c>
      <c r="P182" s="26" t="str">
        <f aca="false">IF($C182="","",IFERROR(INDEX(LOT_CONSERVE,MATCH($C182,LOT_KEY,0)),""))</f>
        <v/>
      </c>
      <c r="Q182" s="27" t="str">
        <f aca="false">IF(OR($C182="",$D182=""),"",SUMIFS(MVT_NET,MVT_LOT,$C182,MVT_EMPL,$D182))</f>
        <v/>
      </c>
      <c r="R182" s="26" t="str">
        <f aca="false">IF($C182="","",IF(OR($B182="",AND($F182="",$G182="",$H182="",$I182="",$J182="",$K182="")),"DONNEES MANQUANTES",IF(AND($D182&lt;&gt;"",$Q182&lt;=0),"EMPLACEMENT INCOHERENT","OK")))</f>
        <v/>
      </c>
      <c r="S182" s="26" t="str">
        <f aca="false">IF($C182="","",IF(AND(ISNUMBER($G182),$G182&gt;P_HIST),"HISTAMINE "&amp;TEXT($G182,"#,##0")&amp;" PPM &gt; seuil "&amp;TEXT(P_HIST,"#,##0")&amp;". ","")&amp;IF(AND(ISNUMBER($F182),$P182="CONGELE",$F182&gt;P_TCONG),"TEMPERATURE "&amp;TEXT($F182,"0.0")&amp;" C hors seuil congele. ","")&amp;IF(AND(ISNUMBER($F182),$P182="FRAIS",$F182&gt;P_TFRAIS),"TEMPERATURE "&amp;TEXT($F182,"0.0")&amp;" C hors seuil frais. ","")&amp;IF($K182="BLOQUER","Lot bloque qualite : stock signale mais inchange. ","")&amp;IF($R182="EMPLACEMENT INCOHERENT","Lot absent de cet emplacement : controle conserve, stock inchange. ","")&amp;IF($R182="DONNEES MANQUANTES","Renseigner la DATE et au moins une mesure. ",""))</f>
        <v/>
      </c>
      <c r="T182" s="28" t="n">
        <f aca="false">IF(OR($C182="",$B182=""),0,IF(COUNTIFS(QC_LOT,$C182,QC_DATE,"&gt;"&amp;$B182)&gt;0,0,IF(COUNTIFS($C$5:$C182,$C182,$B$5:$B182,$B182)=COUNTIFS(QC_LOT,$C182,QC_DATE,$B182),1,0)))</f>
        <v>0</v>
      </c>
      <c r="U182" s="26" t="str">
        <f aca="false">IF($T182=1,$C182,"")</f>
        <v/>
      </c>
      <c r="V182" s="28" t="n">
        <f aca="false">IF($C182="",0,IF($C182=R_LOT,1,0))</f>
        <v>0</v>
      </c>
      <c r="W182" s="26" t="str">
        <f aca="false">IF($V182=0,"",COUNTIF($V$5:$V182,1))</f>
        <v/>
      </c>
    </row>
    <row r="183" customFormat="false" ht="15" hidden="false" customHeight="false" outlineLevel="0" collapsed="false">
      <c r="A183" s="26" t="str">
        <f aca="false">IF($C183="","","QC-"&amp;TEXT(ROW()-4,"000"))</f>
        <v/>
      </c>
      <c r="B183" s="25"/>
      <c r="C183" s="24"/>
      <c r="D183" s="24"/>
      <c r="E183" s="24"/>
      <c r="F183" s="32"/>
      <c r="G183" s="33"/>
      <c r="H183" s="24"/>
      <c r="I183" s="24"/>
      <c r="J183" s="24"/>
      <c r="K183" s="24"/>
      <c r="L183" s="24"/>
      <c r="M183" s="24"/>
      <c r="N183" s="26" t="str">
        <f aca="false">IF($C183="","",IFERROR(INDEX(LOT_EXTE,MATCH($C183,LOT_KEY,0)),""))</f>
        <v/>
      </c>
      <c r="O183" s="26" t="str">
        <f aca="false">IF($C183="","",IFERROR(INDEX(LOT_PRODE,MATCH($C183,LOT_KEY,0)),"LOT NON REFERENCE"))</f>
        <v/>
      </c>
      <c r="P183" s="26" t="str">
        <f aca="false">IF($C183="","",IFERROR(INDEX(LOT_CONSERVE,MATCH($C183,LOT_KEY,0)),""))</f>
        <v/>
      </c>
      <c r="Q183" s="27" t="str">
        <f aca="false">IF(OR($C183="",$D183=""),"",SUMIFS(MVT_NET,MVT_LOT,$C183,MVT_EMPL,$D183))</f>
        <v/>
      </c>
      <c r="R183" s="26" t="str">
        <f aca="false">IF($C183="","",IF(OR($B183="",AND($F183="",$G183="",$H183="",$I183="",$J183="",$K183="")),"DONNEES MANQUANTES",IF(AND($D183&lt;&gt;"",$Q183&lt;=0),"EMPLACEMENT INCOHERENT","OK")))</f>
        <v/>
      </c>
      <c r="S183" s="26" t="str">
        <f aca="false">IF($C183="","",IF(AND(ISNUMBER($G183),$G183&gt;P_HIST),"HISTAMINE "&amp;TEXT($G183,"#,##0")&amp;" PPM &gt; seuil "&amp;TEXT(P_HIST,"#,##0")&amp;". ","")&amp;IF(AND(ISNUMBER($F183),$P183="CONGELE",$F183&gt;P_TCONG),"TEMPERATURE "&amp;TEXT($F183,"0.0")&amp;" C hors seuil congele. ","")&amp;IF(AND(ISNUMBER($F183),$P183="FRAIS",$F183&gt;P_TFRAIS),"TEMPERATURE "&amp;TEXT($F183,"0.0")&amp;" C hors seuil frais. ","")&amp;IF($K183="BLOQUER","Lot bloque qualite : stock signale mais inchange. ","")&amp;IF($R183="EMPLACEMENT INCOHERENT","Lot absent de cet emplacement : controle conserve, stock inchange. ","")&amp;IF($R183="DONNEES MANQUANTES","Renseigner la DATE et au moins une mesure. ",""))</f>
        <v/>
      </c>
      <c r="T183" s="28" t="n">
        <f aca="false">IF(OR($C183="",$B183=""),0,IF(COUNTIFS(QC_LOT,$C183,QC_DATE,"&gt;"&amp;$B183)&gt;0,0,IF(COUNTIFS($C$5:$C183,$C183,$B$5:$B183,$B183)=COUNTIFS(QC_LOT,$C183,QC_DATE,$B183),1,0)))</f>
        <v>0</v>
      </c>
      <c r="U183" s="26" t="str">
        <f aca="false">IF($T183=1,$C183,"")</f>
        <v/>
      </c>
      <c r="V183" s="28" t="n">
        <f aca="false">IF($C183="",0,IF($C183=R_LOT,1,0))</f>
        <v>0</v>
      </c>
      <c r="W183" s="26" t="str">
        <f aca="false">IF($V183=0,"",COUNTIF($V$5:$V183,1))</f>
        <v/>
      </c>
    </row>
    <row r="184" customFormat="false" ht="15" hidden="false" customHeight="false" outlineLevel="0" collapsed="false">
      <c r="A184" s="26" t="str">
        <f aca="false">IF($C184="","","QC-"&amp;TEXT(ROW()-4,"000"))</f>
        <v/>
      </c>
      <c r="B184" s="25"/>
      <c r="C184" s="24"/>
      <c r="D184" s="24"/>
      <c r="E184" s="24"/>
      <c r="F184" s="32"/>
      <c r="G184" s="33"/>
      <c r="H184" s="24"/>
      <c r="I184" s="24"/>
      <c r="J184" s="24"/>
      <c r="K184" s="24"/>
      <c r="L184" s="24"/>
      <c r="M184" s="24"/>
      <c r="N184" s="26" t="str">
        <f aca="false">IF($C184="","",IFERROR(INDEX(LOT_EXTE,MATCH($C184,LOT_KEY,0)),""))</f>
        <v/>
      </c>
      <c r="O184" s="26" t="str">
        <f aca="false">IF($C184="","",IFERROR(INDEX(LOT_PRODE,MATCH($C184,LOT_KEY,0)),"LOT NON REFERENCE"))</f>
        <v/>
      </c>
      <c r="P184" s="26" t="str">
        <f aca="false">IF($C184="","",IFERROR(INDEX(LOT_CONSERVE,MATCH($C184,LOT_KEY,0)),""))</f>
        <v/>
      </c>
      <c r="Q184" s="27" t="str">
        <f aca="false">IF(OR($C184="",$D184=""),"",SUMIFS(MVT_NET,MVT_LOT,$C184,MVT_EMPL,$D184))</f>
        <v/>
      </c>
      <c r="R184" s="26" t="str">
        <f aca="false">IF($C184="","",IF(OR($B184="",AND($F184="",$G184="",$H184="",$I184="",$J184="",$K184="")),"DONNEES MANQUANTES",IF(AND($D184&lt;&gt;"",$Q184&lt;=0),"EMPLACEMENT INCOHERENT","OK")))</f>
        <v/>
      </c>
      <c r="S184" s="26" t="str">
        <f aca="false">IF($C184="","",IF(AND(ISNUMBER($G184),$G184&gt;P_HIST),"HISTAMINE "&amp;TEXT($G184,"#,##0")&amp;" PPM &gt; seuil "&amp;TEXT(P_HIST,"#,##0")&amp;". ","")&amp;IF(AND(ISNUMBER($F184),$P184="CONGELE",$F184&gt;P_TCONG),"TEMPERATURE "&amp;TEXT($F184,"0.0")&amp;" C hors seuil congele. ","")&amp;IF(AND(ISNUMBER($F184),$P184="FRAIS",$F184&gt;P_TFRAIS),"TEMPERATURE "&amp;TEXT($F184,"0.0")&amp;" C hors seuil frais. ","")&amp;IF($K184="BLOQUER","Lot bloque qualite : stock signale mais inchange. ","")&amp;IF($R184="EMPLACEMENT INCOHERENT","Lot absent de cet emplacement : controle conserve, stock inchange. ","")&amp;IF($R184="DONNEES MANQUANTES","Renseigner la DATE et au moins une mesure. ",""))</f>
        <v/>
      </c>
      <c r="T184" s="28" t="n">
        <f aca="false">IF(OR($C184="",$B184=""),0,IF(COUNTIFS(QC_LOT,$C184,QC_DATE,"&gt;"&amp;$B184)&gt;0,0,IF(COUNTIFS($C$5:$C184,$C184,$B$5:$B184,$B184)=COUNTIFS(QC_LOT,$C184,QC_DATE,$B184),1,0)))</f>
        <v>0</v>
      </c>
      <c r="U184" s="26" t="str">
        <f aca="false">IF($T184=1,$C184,"")</f>
        <v/>
      </c>
      <c r="V184" s="28" t="n">
        <f aca="false">IF($C184="",0,IF($C184=R_LOT,1,0))</f>
        <v>0</v>
      </c>
      <c r="W184" s="26" t="str">
        <f aca="false">IF($V184=0,"",COUNTIF($V$5:$V184,1))</f>
        <v/>
      </c>
    </row>
    <row r="185" customFormat="false" ht="15" hidden="false" customHeight="false" outlineLevel="0" collapsed="false">
      <c r="A185" s="26" t="str">
        <f aca="false">IF($C185="","","QC-"&amp;TEXT(ROW()-4,"000"))</f>
        <v/>
      </c>
      <c r="B185" s="25"/>
      <c r="C185" s="24"/>
      <c r="D185" s="24"/>
      <c r="E185" s="24"/>
      <c r="F185" s="32"/>
      <c r="G185" s="33"/>
      <c r="H185" s="24"/>
      <c r="I185" s="24"/>
      <c r="J185" s="24"/>
      <c r="K185" s="24"/>
      <c r="L185" s="24"/>
      <c r="M185" s="24"/>
      <c r="N185" s="26" t="str">
        <f aca="false">IF($C185="","",IFERROR(INDEX(LOT_EXTE,MATCH($C185,LOT_KEY,0)),""))</f>
        <v/>
      </c>
      <c r="O185" s="26" t="str">
        <f aca="false">IF($C185="","",IFERROR(INDEX(LOT_PRODE,MATCH($C185,LOT_KEY,0)),"LOT NON REFERENCE"))</f>
        <v/>
      </c>
      <c r="P185" s="26" t="str">
        <f aca="false">IF($C185="","",IFERROR(INDEX(LOT_CONSERVE,MATCH($C185,LOT_KEY,0)),""))</f>
        <v/>
      </c>
      <c r="Q185" s="27" t="str">
        <f aca="false">IF(OR($C185="",$D185=""),"",SUMIFS(MVT_NET,MVT_LOT,$C185,MVT_EMPL,$D185))</f>
        <v/>
      </c>
      <c r="R185" s="26" t="str">
        <f aca="false">IF($C185="","",IF(OR($B185="",AND($F185="",$G185="",$H185="",$I185="",$J185="",$K185="")),"DONNEES MANQUANTES",IF(AND($D185&lt;&gt;"",$Q185&lt;=0),"EMPLACEMENT INCOHERENT","OK")))</f>
        <v/>
      </c>
      <c r="S185" s="26" t="str">
        <f aca="false">IF($C185="","",IF(AND(ISNUMBER($G185),$G185&gt;P_HIST),"HISTAMINE "&amp;TEXT($G185,"#,##0")&amp;" PPM &gt; seuil "&amp;TEXT(P_HIST,"#,##0")&amp;". ","")&amp;IF(AND(ISNUMBER($F185),$P185="CONGELE",$F185&gt;P_TCONG),"TEMPERATURE "&amp;TEXT($F185,"0.0")&amp;" C hors seuil congele. ","")&amp;IF(AND(ISNUMBER($F185),$P185="FRAIS",$F185&gt;P_TFRAIS),"TEMPERATURE "&amp;TEXT($F185,"0.0")&amp;" C hors seuil frais. ","")&amp;IF($K185="BLOQUER","Lot bloque qualite : stock signale mais inchange. ","")&amp;IF($R185="EMPLACEMENT INCOHERENT","Lot absent de cet emplacement : controle conserve, stock inchange. ","")&amp;IF($R185="DONNEES MANQUANTES","Renseigner la DATE et au moins une mesure. ",""))</f>
        <v/>
      </c>
      <c r="T185" s="28" t="n">
        <f aca="false">IF(OR($C185="",$B185=""),0,IF(COUNTIFS(QC_LOT,$C185,QC_DATE,"&gt;"&amp;$B185)&gt;0,0,IF(COUNTIFS($C$5:$C185,$C185,$B$5:$B185,$B185)=COUNTIFS(QC_LOT,$C185,QC_DATE,$B185),1,0)))</f>
        <v>0</v>
      </c>
      <c r="U185" s="26" t="str">
        <f aca="false">IF($T185=1,$C185,"")</f>
        <v/>
      </c>
      <c r="V185" s="28" t="n">
        <f aca="false">IF($C185="",0,IF($C185=R_LOT,1,0))</f>
        <v>0</v>
      </c>
      <c r="W185" s="26" t="str">
        <f aca="false">IF($V185=0,"",COUNTIF($V$5:$V185,1))</f>
        <v/>
      </c>
    </row>
    <row r="186" customFormat="false" ht="15" hidden="false" customHeight="false" outlineLevel="0" collapsed="false">
      <c r="A186" s="26" t="str">
        <f aca="false">IF($C186="","","QC-"&amp;TEXT(ROW()-4,"000"))</f>
        <v/>
      </c>
      <c r="B186" s="25"/>
      <c r="C186" s="24"/>
      <c r="D186" s="24"/>
      <c r="E186" s="24"/>
      <c r="F186" s="32"/>
      <c r="G186" s="33"/>
      <c r="H186" s="24"/>
      <c r="I186" s="24"/>
      <c r="J186" s="24"/>
      <c r="K186" s="24"/>
      <c r="L186" s="24"/>
      <c r="M186" s="24"/>
      <c r="N186" s="26" t="str">
        <f aca="false">IF($C186="","",IFERROR(INDEX(LOT_EXTE,MATCH($C186,LOT_KEY,0)),""))</f>
        <v/>
      </c>
      <c r="O186" s="26" t="str">
        <f aca="false">IF($C186="","",IFERROR(INDEX(LOT_PRODE,MATCH($C186,LOT_KEY,0)),"LOT NON REFERENCE"))</f>
        <v/>
      </c>
      <c r="P186" s="26" t="str">
        <f aca="false">IF($C186="","",IFERROR(INDEX(LOT_CONSERVE,MATCH($C186,LOT_KEY,0)),""))</f>
        <v/>
      </c>
      <c r="Q186" s="27" t="str">
        <f aca="false">IF(OR($C186="",$D186=""),"",SUMIFS(MVT_NET,MVT_LOT,$C186,MVT_EMPL,$D186))</f>
        <v/>
      </c>
      <c r="R186" s="26" t="str">
        <f aca="false">IF($C186="","",IF(OR($B186="",AND($F186="",$G186="",$H186="",$I186="",$J186="",$K186="")),"DONNEES MANQUANTES",IF(AND($D186&lt;&gt;"",$Q186&lt;=0),"EMPLACEMENT INCOHERENT","OK")))</f>
        <v/>
      </c>
      <c r="S186" s="26" t="str">
        <f aca="false">IF($C186="","",IF(AND(ISNUMBER($G186),$G186&gt;P_HIST),"HISTAMINE "&amp;TEXT($G186,"#,##0")&amp;" PPM &gt; seuil "&amp;TEXT(P_HIST,"#,##0")&amp;". ","")&amp;IF(AND(ISNUMBER($F186),$P186="CONGELE",$F186&gt;P_TCONG),"TEMPERATURE "&amp;TEXT($F186,"0.0")&amp;" C hors seuil congele. ","")&amp;IF(AND(ISNUMBER($F186),$P186="FRAIS",$F186&gt;P_TFRAIS),"TEMPERATURE "&amp;TEXT($F186,"0.0")&amp;" C hors seuil frais. ","")&amp;IF($K186="BLOQUER","Lot bloque qualite : stock signale mais inchange. ","")&amp;IF($R186="EMPLACEMENT INCOHERENT","Lot absent de cet emplacement : controle conserve, stock inchange. ","")&amp;IF($R186="DONNEES MANQUANTES","Renseigner la DATE et au moins une mesure. ",""))</f>
        <v/>
      </c>
      <c r="T186" s="28" t="n">
        <f aca="false">IF(OR($C186="",$B186=""),0,IF(COUNTIFS(QC_LOT,$C186,QC_DATE,"&gt;"&amp;$B186)&gt;0,0,IF(COUNTIFS($C$5:$C186,$C186,$B$5:$B186,$B186)=COUNTIFS(QC_LOT,$C186,QC_DATE,$B186),1,0)))</f>
        <v>0</v>
      </c>
      <c r="U186" s="26" t="str">
        <f aca="false">IF($T186=1,$C186,"")</f>
        <v/>
      </c>
      <c r="V186" s="28" t="n">
        <f aca="false">IF($C186="",0,IF($C186=R_LOT,1,0))</f>
        <v>0</v>
      </c>
      <c r="W186" s="26" t="str">
        <f aca="false">IF($V186=0,"",COUNTIF($V$5:$V186,1))</f>
        <v/>
      </c>
    </row>
    <row r="187" customFormat="false" ht="15" hidden="false" customHeight="false" outlineLevel="0" collapsed="false">
      <c r="A187" s="26" t="str">
        <f aca="false">IF($C187="","","QC-"&amp;TEXT(ROW()-4,"000"))</f>
        <v/>
      </c>
      <c r="B187" s="25"/>
      <c r="C187" s="24"/>
      <c r="D187" s="24"/>
      <c r="E187" s="24"/>
      <c r="F187" s="32"/>
      <c r="G187" s="33"/>
      <c r="H187" s="24"/>
      <c r="I187" s="24"/>
      <c r="J187" s="24"/>
      <c r="K187" s="24"/>
      <c r="L187" s="24"/>
      <c r="M187" s="24"/>
      <c r="N187" s="26" t="str">
        <f aca="false">IF($C187="","",IFERROR(INDEX(LOT_EXTE,MATCH($C187,LOT_KEY,0)),""))</f>
        <v/>
      </c>
      <c r="O187" s="26" t="str">
        <f aca="false">IF($C187="","",IFERROR(INDEX(LOT_PRODE,MATCH($C187,LOT_KEY,0)),"LOT NON REFERENCE"))</f>
        <v/>
      </c>
      <c r="P187" s="26" t="str">
        <f aca="false">IF($C187="","",IFERROR(INDEX(LOT_CONSERVE,MATCH($C187,LOT_KEY,0)),""))</f>
        <v/>
      </c>
      <c r="Q187" s="27" t="str">
        <f aca="false">IF(OR($C187="",$D187=""),"",SUMIFS(MVT_NET,MVT_LOT,$C187,MVT_EMPL,$D187))</f>
        <v/>
      </c>
      <c r="R187" s="26" t="str">
        <f aca="false">IF($C187="","",IF(OR($B187="",AND($F187="",$G187="",$H187="",$I187="",$J187="",$K187="")),"DONNEES MANQUANTES",IF(AND($D187&lt;&gt;"",$Q187&lt;=0),"EMPLACEMENT INCOHERENT","OK")))</f>
        <v/>
      </c>
      <c r="S187" s="26" t="str">
        <f aca="false">IF($C187="","",IF(AND(ISNUMBER($G187),$G187&gt;P_HIST),"HISTAMINE "&amp;TEXT($G187,"#,##0")&amp;" PPM &gt; seuil "&amp;TEXT(P_HIST,"#,##0")&amp;". ","")&amp;IF(AND(ISNUMBER($F187),$P187="CONGELE",$F187&gt;P_TCONG),"TEMPERATURE "&amp;TEXT($F187,"0.0")&amp;" C hors seuil congele. ","")&amp;IF(AND(ISNUMBER($F187),$P187="FRAIS",$F187&gt;P_TFRAIS),"TEMPERATURE "&amp;TEXT($F187,"0.0")&amp;" C hors seuil frais. ","")&amp;IF($K187="BLOQUER","Lot bloque qualite : stock signale mais inchange. ","")&amp;IF($R187="EMPLACEMENT INCOHERENT","Lot absent de cet emplacement : controle conserve, stock inchange. ","")&amp;IF($R187="DONNEES MANQUANTES","Renseigner la DATE et au moins une mesure. ",""))</f>
        <v/>
      </c>
      <c r="T187" s="28" t="n">
        <f aca="false">IF(OR($C187="",$B187=""),0,IF(COUNTIFS(QC_LOT,$C187,QC_DATE,"&gt;"&amp;$B187)&gt;0,0,IF(COUNTIFS($C$5:$C187,$C187,$B$5:$B187,$B187)=COUNTIFS(QC_LOT,$C187,QC_DATE,$B187),1,0)))</f>
        <v>0</v>
      </c>
      <c r="U187" s="26" t="str">
        <f aca="false">IF($T187=1,$C187,"")</f>
        <v/>
      </c>
      <c r="V187" s="28" t="n">
        <f aca="false">IF($C187="",0,IF($C187=R_LOT,1,0))</f>
        <v>0</v>
      </c>
      <c r="W187" s="26" t="str">
        <f aca="false">IF($V187=0,"",COUNTIF($V$5:$V187,1))</f>
        <v/>
      </c>
    </row>
    <row r="188" customFormat="false" ht="15" hidden="false" customHeight="false" outlineLevel="0" collapsed="false">
      <c r="A188" s="26" t="str">
        <f aca="false">IF($C188="","","QC-"&amp;TEXT(ROW()-4,"000"))</f>
        <v/>
      </c>
      <c r="B188" s="25"/>
      <c r="C188" s="24"/>
      <c r="D188" s="24"/>
      <c r="E188" s="24"/>
      <c r="F188" s="32"/>
      <c r="G188" s="33"/>
      <c r="H188" s="24"/>
      <c r="I188" s="24"/>
      <c r="J188" s="24"/>
      <c r="K188" s="24"/>
      <c r="L188" s="24"/>
      <c r="M188" s="24"/>
      <c r="N188" s="26" t="str">
        <f aca="false">IF($C188="","",IFERROR(INDEX(LOT_EXTE,MATCH($C188,LOT_KEY,0)),""))</f>
        <v/>
      </c>
      <c r="O188" s="26" t="str">
        <f aca="false">IF($C188="","",IFERROR(INDEX(LOT_PRODE,MATCH($C188,LOT_KEY,0)),"LOT NON REFERENCE"))</f>
        <v/>
      </c>
      <c r="P188" s="26" t="str">
        <f aca="false">IF($C188="","",IFERROR(INDEX(LOT_CONSERVE,MATCH($C188,LOT_KEY,0)),""))</f>
        <v/>
      </c>
      <c r="Q188" s="27" t="str">
        <f aca="false">IF(OR($C188="",$D188=""),"",SUMIFS(MVT_NET,MVT_LOT,$C188,MVT_EMPL,$D188))</f>
        <v/>
      </c>
      <c r="R188" s="26" t="str">
        <f aca="false">IF($C188="","",IF(OR($B188="",AND($F188="",$G188="",$H188="",$I188="",$J188="",$K188="")),"DONNEES MANQUANTES",IF(AND($D188&lt;&gt;"",$Q188&lt;=0),"EMPLACEMENT INCOHERENT","OK")))</f>
        <v/>
      </c>
      <c r="S188" s="26" t="str">
        <f aca="false">IF($C188="","",IF(AND(ISNUMBER($G188),$G188&gt;P_HIST),"HISTAMINE "&amp;TEXT($G188,"#,##0")&amp;" PPM &gt; seuil "&amp;TEXT(P_HIST,"#,##0")&amp;". ","")&amp;IF(AND(ISNUMBER($F188),$P188="CONGELE",$F188&gt;P_TCONG),"TEMPERATURE "&amp;TEXT($F188,"0.0")&amp;" C hors seuil congele. ","")&amp;IF(AND(ISNUMBER($F188),$P188="FRAIS",$F188&gt;P_TFRAIS),"TEMPERATURE "&amp;TEXT($F188,"0.0")&amp;" C hors seuil frais. ","")&amp;IF($K188="BLOQUER","Lot bloque qualite : stock signale mais inchange. ","")&amp;IF($R188="EMPLACEMENT INCOHERENT","Lot absent de cet emplacement : controle conserve, stock inchange. ","")&amp;IF($R188="DONNEES MANQUANTES","Renseigner la DATE et au moins une mesure. ",""))</f>
        <v/>
      </c>
      <c r="T188" s="28" t="n">
        <f aca="false">IF(OR($C188="",$B188=""),0,IF(COUNTIFS(QC_LOT,$C188,QC_DATE,"&gt;"&amp;$B188)&gt;0,0,IF(COUNTIFS($C$5:$C188,$C188,$B$5:$B188,$B188)=COUNTIFS(QC_LOT,$C188,QC_DATE,$B188),1,0)))</f>
        <v>0</v>
      </c>
      <c r="U188" s="26" t="str">
        <f aca="false">IF($T188=1,$C188,"")</f>
        <v/>
      </c>
      <c r="V188" s="28" t="n">
        <f aca="false">IF($C188="",0,IF($C188=R_LOT,1,0))</f>
        <v>0</v>
      </c>
      <c r="W188" s="26" t="str">
        <f aca="false">IF($V188=0,"",COUNTIF($V$5:$V188,1))</f>
        <v/>
      </c>
    </row>
    <row r="189" customFormat="false" ht="15" hidden="false" customHeight="false" outlineLevel="0" collapsed="false">
      <c r="A189" s="26" t="str">
        <f aca="false">IF($C189="","","QC-"&amp;TEXT(ROW()-4,"000"))</f>
        <v/>
      </c>
      <c r="B189" s="25"/>
      <c r="C189" s="24"/>
      <c r="D189" s="24"/>
      <c r="E189" s="24"/>
      <c r="F189" s="32"/>
      <c r="G189" s="33"/>
      <c r="H189" s="24"/>
      <c r="I189" s="24"/>
      <c r="J189" s="24"/>
      <c r="K189" s="24"/>
      <c r="L189" s="24"/>
      <c r="M189" s="24"/>
      <c r="N189" s="26" t="str">
        <f aca="false">IF($C189="","",IFERROR(INDEX(LOT_EXTE,MATCH($C189,LOT_KEY,0)),""))</f>
        <v/>
      </c>
      <c r="O189" s="26" t="str">
        <f aca="false">IF($C189="","",IFERROR(INDEX(LOT_PRODE,MATCH($C189,LOT_KEY,0)),"LOT NON REFERENCE"))</f>
        <v/>
      </c>
      <c r="P189" s="26" t="str">
        <f aca="false">IF($C189="","",IFERROR(INDEX(LOT_CONSERVE,MATCH($C189,LOT_KEY,0)),""))</f>
        <v/>
      </c>
      <c r="Q189" s="27" t="str">
        <f aca="false">IF(OR($C189="",$D189=""),"",SUMIFS(MVT_NET,MVT_LOT,$C189,MVT_EMPL,$D189))</f>
        <v/>
      </c>
      <c r="R189" s="26" t="str">
        <f aca="false">IF($C189="","",IF(OR($B189="",AND($F189="",$G189="",$H189="",$I189="",$J189="",$K189="")),"DONNEES MANQUANTES",IF(AND($D189&lt;&gt;"",$Q189&lt;=0),"EMPLACEMENT INCOHERENT","OK")))</f>
        <v/>
      </c>
      <c r="S189" s="26" t="str">
        <f aca="false">IF($C189="","",IF(AND(ISNUMBER($G189),$G189&gt;P_HIST),"HISTAMINE "&amp;TEXT($G189,"#,##0")&amp;" PPM &gt; seuil "&amp;TEXT(P_HIST,"#,##0")&amp;". ","")&amp;IF(AND(ISNUMBER($F189),$P189="CONGELE",$F189&gt;P_TCONG),"TEMPERATURE "&amp;TEXT($F189,"0.0")&amp;" C hors seuil congele. ","")&amp;IF(AND(ISNUMBER($F189),$P189="FRAIS",$F189&gt;P_TFRAIS),"TEMPERATURE "&amp;TEXT($F189,"0.0")&amp;" C hors seuil frais. ","")&amp;IF($K189="BLOQUER","Lot bloque qualite : stock signale mais inchange. ","")&amp;IF($R189="EMPLACEMENT INCOHERENT","Lot absent de cet emplacement : controle conserve, stock inchange. ","")&amp;IF($R189="DONNEES MANQUANTES","Renseigner la DATE et au moins une mesure. ",""))</f>
        <v/>
      </c>
      <c r="T189" s="28" t="n">
        <f aca="false">IF(OR($C189="",$B189=""),0,IF(COUNTIFS(QC_LOT,$C189,QC_DATE,"&gt;"&amp;$B189)&gt;0,0,IF(COUNTIFS($C$5:$C189,$C189,$B$5:$B189,$B189)=COUNTIFS(QC_LOT,$C189,QC_DATE,$B189),1,0)))</f>
        <v>0</v>
      </c>
      <c r="U189" s="26" t="str">
        <f aca="false">IF($T189=1,$C189,"")</f>
        <v/>
      </c>
      <c r="V189" s="28" t="n">
        <f aca="false">IF($C189="",0,IF($C189=R_LOT,1,0))</f>
        <v>0</v>
      </c>
      <c r="W189" s="26" t="str">
        <f aca="false">IF($V189=0,"",COUNTIF($V$5:$V189,1))</f>
        <v/>
      </c>
    </row>
    <row r="190" customFormat="false" ht="15" hidden="false" customHeight="false" outlineLevel="0" collapsed="false">
      <c r="A190" s="26" t="str">
        <f aca="false">IF($C190="","","QC-"&amp;TEXT(ROW()-4,"000"))</f>
        <v/>
      </c>
      <c r="B190" s="25"/>
      <c r="C190" s="24"/>
      <c r="D190" s="24"/>
      <c r="E190" s="24"/>
      <c r="F190" s="32"/>
      <c r="G190" s="33"/>
      <c r="H190" s="24"/>
      <c r="I190" s="24"/>
      <c r="J190" s="24"/>
      <c r="K190" s="24"/>
      <c r="L190" s="24"/>
      <c r="M190" s="24"/>
      <c r="N190" s="26" t="str">
        <f aca="false">IF($C190="","",IFERROR(INDEX(LOT_EXTE,MATCH($C190,LOT_KEY,0)),""))</f>
        <v/>
      </c>
      <c r="O190" s="26" t="str">
        <f aca="false">IF($C190="","",IFERROR(INDEX(LOT_PRODE,MATCH($C190,LOT_KEY,0)),"LOT NON REFERENCE"))</f>
        <v/>
      </c>
      <c r="P190" s="26" t="str">
        <f aca="false">IF($C190="","",IFERROR(INDEX(LOT_CONSERVE,MATCH($C190,LOT_KEY,0)),""))</f>
        <v/>
      </c>
      <c r="Q190" s="27" t="str">
        <f aca="false">IF(OR($C190="",$D190=""),"",SUMIFS(MVT_NET,MVT_LOT,$C190,MVT_EMPL,$D190))</f>
        <v/>
      </c>
      <c r="R190" s="26" t="str">
        <f aca="false">IF($C190="","",IF(OR($B190="",AND($F190="",$G190="",$H190="",$I190="",$J190="",$K190="")),"DONNEES MANQUANTES",IF(AND($D190&lt;&gt;"",$Q190&lt;=0),"EMPLACEMENT INCOHERENT","OK")))</f>
        <v/>
      </c>
      <c r="S190" s="26" t="str">
        <f aca="false">IF($C190="","",IF(AND(ISNUMBER($G190),$G190&gt;P_HIST),"HISTAMINE "&amp;TEXT($G190,"#,##0")&amp;" PPM &gt; seuil "&amp;TEXT(P_HIST,"#,##0")&amp;". ","")&amp;IF(AND(ISNUMBER($F190),$P190="CONGELE",$F190&gt;P_TCONG),"TEMPERATURE "&amp;TEXT($F190,"0.0")&amp;" C hors seuil congele. ","")&amp;IF(AND(ISNUMBER($F190),$P190="FRAIS",$F190&gt;P_TFRAIS),"TEMPERATURE "&amp;TEXT($F190,"0.0")&amp;" C hors seuil frais. ","")&amp;IF($K190="BLOQUER","Lot bloque qualite : stock signale mais inchange. ","")&amp;IF($R190="EMPLACEMENT INCOHERENT","Lot absent de cet emplacement : controle conserve, stock inchange. ","")&amp;IF($R190="DONNEES MANQUANTES","Renseigner la DATE et au moins une mesure. ",""))</f>
        <v/>
      </c>
      <c r="T190" s="28" t="n">
        <f aca="false">IF(OR($C190="",$B190=""),0,IF(COUNTIFS(QC_LOT,$C190,QC_DATE,"&gt;"&amp;$B190)&gt;0,0,IF(COUNTIFS($C$5:$C190,$C190,$B$5:$B190,$B190)=COUNTIFS(QC_LOT,$C190,QC_DATE,$B190),1,0)))</f>
        <v>0</v>
      </c>
      <c r="U190" s="26" t="str">
        <f aca="false">IF($T190=1,$C190,"")</f>
        <v/>
      </c>
      <c r="V190" s="28" t="n">
        <f aca="false">IF($C190="",0,IF($C190=R_LOT,1,0))</f>
        <v>0</v>
      </c>
      <c r="W190" s="26" t="str">
        <f aca="false">IF($V190=0,"",COUNTIF($V$5:$V190,1))</f>
        <v/>
      </c>
    </row>
    <row r="191" customFormat="false" ht="15" hidden="false" customHeight="false" outlineLevel="0" collapsed="false">
      <c r="A191" s="26" t="str">
        <f aca="false">IF($C191="","","QC-"&amp;TEXT(ROW()-4,"000"))</f>
        <v/>
      </c>
      <c r="B191" s="25"/>
      <c r="C191" s="24"/>
      <c r="D191" s="24"/>
      <c r="E191" s="24"/>
      <c r="F191" s="32"/>
      <c r="G191" s="33"/>
      <c r="H191" s="24"/>
      <c r="I191" s="24"/>
      <c r="J191" s="24"/>
      <c r="K191" s="24"/>
      <c r="L191" s="24"/>
      <c r="M191" s="24"/>
      <c r="N191" s="26" t="str">
        <f aca="false">IF($C191="","",IFERROR(INDEX(LOT_EXTE,MATCH($C191,LOT_KEY,0)),""))</f>
        <v/>
      </c>
      <c r="O191" s="26" t="str">
        <f aca="false">IF($C191="","",IFERROR(INDEX(LOT_PRODE,MATCH($C191,LOT_KEY,0)),"LOT NON REFERENCE"))</f>
        <v/>
      </c>
      <c r="P191" s="26" t="str">
        <f aca="false">IF($C191="","",IFERROR(INDEX(LOT_CONSERVE,MATCH($C191,LOT_KEY,0)),""))</f>
        <v/>
      </c>
      <c r="Q191" s="27" t="str">
        <f aca="false">IF(OR($C191="",$D191=""),"",SUMIFS(MVT_NET,MVT_LOT,$C191,MVT_EMPL,$D191))</f>
        <v/>
      </c>
      <c r="R191" s="26" t="str">
        <f aca="false">IF($C191="","",IF(OR($B191="",AND($F191="",$G191="",$H191="",$I191="",$J191="",$K191="")),"DONNEES MANQUANTES",IF(AND($D191&lt;&gt;"",$Q191&lt;=0),"EMPLACEMENT INCOHERENT","OK")))</f>
        <v/>
      </c>
      <c r="S191" s="26" t="str">
        <f aca="false">IF($C191="","",IF(AND(ISNUMBER($G191),$G191&gt;P_HIST),"HISTAMINE "&amp;TEXT($G191,"#,##0")&amp;" PPM &gt; seuil "&amp;TEXT(P_HIST,"#,##0")&amp;". ","")&amp;IF(AND(ISNUMBER($F191),$P191="CONGELE",$F191&gt;P_TCONG),"TEMPERATURE "&amp;TEXT($F191,"0.0")&amp;" C hors seuil congele. ","")&amp;IF(AND(ISNUMBER($F191),$P191="FRAIS",$F191&gt;P_TFRAIS),"TEMPERATURE "&amp;TEXT($F191,"0.0")&amp;" C hors seuil frais. ","")&amp;IF($K191="BLOQUER","Lot bloque qualite : stock signale mais inchange. ","")&amp;IF($R191="EMPLACEMENT INCOHERENT","Lot absent de cet emplacement : controle conserve, stock inchange. ","")&amp;IF($R191="DONNEES MANQUANTES","Renseigner la DATE et au moins une mesure. ",""))</f>
        <v/>
      </c>
      <c r="T191" s="28" t="n">
        <f aca="false">IF(OR($C191="",$B191=""),0,IF(COUNTIFS(QC_LOT,$C191,QC_DATE,"&gt;"&amp;$B191)&gt;0,0,IF(COUNTIFS($C$5:$C191,$C191,$B$5:$B191,$B191)=COUNTIFS(QC_LOT,$C191,QC_DATE,$B191),1,0)))</f>
        <v>0</v>
      </c>
      <c r="U191" s="26" t="str">
        <f aca="false">IF($T191=1,$C191,"")</f>
        <v/>
      </c>
      <c r="V191" s="28" t="n">
        <f aca="false">IF($C191="",0,IF($C191=R_LOT,1,0))</f>
        <v>0</v>
      </c>
      <c r="W191" s="26" t="str">
        <f aca="false">IF($V191=0,"",COUNTIF($V$5:$V191,1))</f>
        <v/>
      </c>
    </row>
    <row r="192" customFormat="false" ht="15" hidden="false" customHeight="false" outlineLevel="0" collapsed="false">
      <c r="A192" s="26" t="str">
        <f aca="false">IF($C192="","","QC-"&amp;TEXT(ROW()-4,"000"))</f>
        <v/>
      </c>
      <c r="B192" s="25"/>
      <c r="C192" s="24"/>
      <c r="D192" s="24"/>
      <c r="E192" s="24"/>
      <c r="F192" s="32"/>
      <c r="G192" s="33"/>
      <c r="H192" s="24"/>
      <c r="I192" s="24"/>
      <c r="J192" s="24"/>
      <c r="K192" s="24"/>
      <c r="L192" s="24"/>
      <c r="M192" s="24"/>
      <c r="N192" s="26" t="str">
        <f aca="false">IF($C192="","",IFERROR(INDEX(LOT_EXTE,MATCH($C192,LOT_KEY,0)),""))</f>
        <v/>
      </c>
      <c r="O192" s="26" t="str">
        <f aca="false">IF($C192="","",IFERROR(INDEX(LOT_PRODE,MATCH($C192,LOT_KEY,0)),"LOT NON REFERENCE"))</f>
        <v/>
      </c>
      <c r="P192" s="26" t="str">
        <f aca="false">IF($C192="","",IFERROR(INDEX(LOT_CONSERVE,MATCH($C192,LOT_KEY,0)),""))</f>
        <v/>
      </c>
      <c r="Q192" s="27" t="str">
        <f aca="false">IF(OR($C192="",$D192=""),"",SUMIFS(MVT_NET,MVT_LOT,$C192,MVT_EMPL,$D192))</f>
        <v/>
      </c>
      <c r="R192" s="26" t="str">
        <f aca="false">IF($C192="","",IF(OR($B192="",AND($F192="",$G192="",$H192="",$I192="",$J192="",$K192="")),"DONNEES MANQUANTES",IF(AND($D192&lt;&gt;"",$Q192&lt;=0),"EMPLACEMENT INCOHERENT","OK")))</f>
        <v/>
      </c>
      <c r="S192" s="26" t="str">
        <f aca="false">IF($C192="","",IF(AND(ISNUMBER($G192),$G192&gt;P_HIST),"HISTAMINE "&amp;TEXT($G192,"#,##0")&amp;" PPM &gt; seuil "&amp;TEXT(P_HIST,"#,##0")&amp;". ","")&amp;IF(AND(ISNUMBER($F192),$P192="CONGELE",$F192&gt;P_TCONG),"TEMPERATURE "&amp;TEXT($F192,"0.0")&amp;" C hors seuil congele. ","")&amp;IF(AND(ISNUMBER($F192),$P192="FRAIS",$F192&gt;P_TFRAIS),"TEMPERATURE "&amp;TEXT($F192,"0.0")&amp;" C hors seuil frais. ","")&amp;IF($K192="BLOQUER","Lot bloque qualite : stock signale mais inchange. ","")&amp;IF($R192="EMPLACEMENT INCOHERENT","Lot absent de cet emplacement : controle conserve, stock inchange. ","")&amp;IF($R192="DONNEES MANQUANTES","Renseigner la DATE et au moins une mesure. ",""))</f>
        <v/>
      </c>
      <c r="T192" s="28" t="n">
        <f aca="false">IF(OR($C192="",$B192=""),0,IF(COUNTIFS(QC_LOT,$C192,QC_DATE,"&gt;"&amp;$B192)&gt;0,0,IF(COUNTIFS($C$5:$C192,$C192,$B$5:$B192,$B192)=COUNTIFS(QC_LOT,$C192,QC_DATE,$B192),1,0)))</f>
        <v>0</v>
      </c>
      <c r="U192" s="26" t="str">
        <f aca="false">IF($T192=1,$C192,"")</f>
        <v/>
      </c>
      <c r="V192" s="28" t="n">
        <f aca="false">IF($C192="",0,IF($C192=R_LOT,1,0))</f>
        <v>0</v>
      </c>
      <c r="W192" s="26" t="str">
        <f aca="false">IF($V192=0,"",COUNTIF($V$5:$V192,1))</f>
        <v/>
      </c>
    </row>
    <row r="193" customFormat="false" ht="15" hidden="false" customHeight="false" outlineLevel="0" collapsed="false">
      <c r="A193" s="26" t="str">
        <f aca="false">IF($C193="","","QC-"&amp;TEXT(ROW()-4,"000"))</f>
        <v/>
      </c>
      <c r="B193" s="25"/>
      <c r="C193" s="24"/>
      <c r="D193" s="24"/>
      <c r="E193" s="24"/>
      <c r="F193" s="32"/>
      <c r="G193" s="33"/>
      <c r="H193" s="24"/>
      <c r="I193" s="24"/>
      <c r="J193" s="24"/>
      <c r="K193" s="24"/>
      <c r="L193" s="24"/>
      <c r="M193" s="24"/>
      <c r="N193" s="26" t="str">
        <f aca="false">IF($C193="","",IFERROR(INDEX(LOT_EXTE,MATCH($C193,LOT_KEY,0)),""))</f>
        <v/>
      </c>
      <c r="O193" s="26" t="str">
        <f aca="false">IF($C193="","",IFERROR(INDEX(LOT_PRODE,MATCH($C193,LOT_KEY,0)),"LOT NON REFERENCE"))</f>
        <v/>
      </c>
      <c r="P193" s="26" t="str">
        <f aca="false">IF($C193="","",IFERROR(INDEX(LOT_CONSERVE,MATCH($C193,LOT_KEY,0)),""))</f>
        <v/>
      </c>
      <c r="Q193" s="27" t="str">
        <f aca="false">IF(OR($C193="",$D193=""),"",SUMIFS(MVT_NET,MVT_LOT,$C193,MVT_EMPL,$D193))</f>
        <v/>
      </c>
      <c r="R193" s="26" t="str">
        <f aca="false">IF($C193="","",IF(OR($B193="",AND($F193="",$G193="",$H193="",$I193="",$J193="",$K193="")),"DONNEES MANQUANTES",IF(AND($D193&lt;&gt;"",$Q193&lt;=0),"EMPLACEMENT INCOHERENT","OK")))</f>
        <v/>
      </c>
      <c r="S193" s="26" t="str">
        <f aca="false">IF($C193="","",IF(AND(ISNUMBER($G193),$G193&gt;P_HIST),"HISTAMINE "&amp;TEXT($G193,"#,##0")&amp;" PPM &gt; seuil "&amp;TEXT(P_HIST,"#,##0")&amp;". ","")&amp;IF(AND(ISNUMBER($F193),$P193="CONGELE",$F193&gt;P_TCONG),"TEMPERATURE "&amp;TEXT($F193,"0.0")&amp;" C hors seuil congele. ","")&amp;IF(AND(ISNUMBER($F193),$P193="FRAIS",$F193&gt;P_TFRAIS),"TEMPERATURE "&amp;TEXT($F193,"0.0")&amp;" C hors seuil frais. ","")&amp;IF($K193="BLOQUER","Lot bloque qualite : stock signale mais inchange. ","")&amp;IF($R193="EMPLACEMENT INCOHERENT","Lot absent de cet emplacement : controle conserve, stock inchange. ","")&amp;IF($R193="DONNEES MANQUANTES","Renseigner la DATE et au moins une mesure. ",""))</f>
        <v/>
      </c>
      <c r="T193" s="28" t="n">
        <f aca="false">IF(OR($C193="",$B193=""),0,IF(COUNTIFS(QC_LOT,$C193,QC_DATE,"&gt;"&amp;$B193)&gt;0,0,IF(COUNTIFS($C$5:$C193,$C193,$B$5:$B193,$B193)=COUNTIFS(QC_LOT,$C193,QC_DATE,$B193),1,0)))</f>
        <v>0</v>
      </c>
      <c r="U193" s="26" t="str">
        <f aca="false">IF($T193=1,$C193,"")</f>
        <v/>
      </c>
      <c r="V193" s="28" t="n">
        <f aca="false">IF($C193="",0,IF($C193=R_LOT,1,0))</f>
        <v>0</v>
      </c>
      <c r="W193" s="26" t="str">
        <f aca="false">IF($V193=0,"",COUNTIF($V$5:$V193,1))</f>
        <v/>
      </c>
    </row>
    <row r="194" customFormat="false" ht="15" hidden="false" customHeight="false" outlineLevel="0" collapsed="false">
      <c r="A194" s="26" t="str">
        <f aca="false">IF($C194="","","QC-"&amp;TEXT(ROW()-4,"000"))</f>
        <v/>
      </c>
      <c r="B194" s="25"/>
      <c r="C194" s="24"/>
      <c r="D194" s="24"/>
      <c r="E194" s="24"/>
      <c r="F194" s="32"/>
      <c r="G194" s="33"/>
      <c r="H194" s="24"/>
      <c r="I194" s="24"/>
      <c r="J194" s="24"/>
      <c r="K194" s="24"/>
      <c r="L194" s="24"/>
      <c r="M194" s="24"/>
      <c r="N194" s="26" t="str">
        <f aca="false">IF($C194="","",IFERROR(INDEX(LOT_EXTE,MATCH($C194,LOT_KEY,0)),""))</f>
        <v/>
      </c>
      <c r="O194" s="26" t="str">
        <f aca="false">IF($C194="","",IFERROR(INDEX(LOT_PRODE,MATCH($C194,LOT_KEY,0)),"LOT NON REFERENCE"))</f>
        <v/>
      </c>
      <c r="P194" s="26" t="str">
        <f aca="false">IF($C194="","",IFERROR(INDEX(LOT_CONSERVE,MATCH($C194,LOT_KEY,0)),""))</f>
        <v/>
      </c>
      <c r="Q194" s="27" t="str">
        <f aca="false">IF(OR($C194="",$D194=""),"",SUMIFS(MVT_NET,MVT_LOT,$C194,MVT_EMPL,$D194))</f>
        <v/>
      </c>
      <c r="R194" s="26" t="str">
        <f aca="false">IF($C194="","",IF(OR($B194="",AND($F194="",$G194="",$H194="",$I194="",$J194="",$K194="")),"DONNEES MANQUANTES",IF(AND($D194&lt;&gt;"",$Q194&lt;=0),"EMPLACEMENT INCOHERENT","OK")))</f>
        <v/>
      </c>
      <c r="S194" s="26" t="str">
        <f aca="false">IF($C194="","",IF(AND(ISNUMBER($G194),$G194&gt;P_HIST),"HISTAMINE "&amp;TEXT($G194,"#,##0")&amp;" PPM &gt; seuil "&amp;TEXT(P_HIST,"#,##0")&amp;". ","")&amp;IF(AND(ISNUMBER($F194),$P194="CONGELE",$F194&gt;P_TCONG),"TEMPERATURE "&amp;TEXT($F194,"0.0")&amp;" C hors seuil congele. ","")&amp;IF(AND(ISNUMBER($F194),$P194="FRAIS",$F194&gt;P_TFRAIS),"TEMPERATURE "&amp;TEXT($F194,"0.0")&amp;" C hors seuil frais. ","")&amp;IF($K194="BLOQUER","Lot bloque qualite : stock signale mais inchange. ","")&amp;IF($R194="EMPLACEMENT INCOHERENT","Lot absent de cet emplacement : controle conserve, stock inchange. ","")&amp;IF($R194="DONNEES MANQUANTES","Renseigner la DATE et au moins une mesure. ",""))</f>
        <v/>
      </c>
      <c r="T194" s="28" t="n">
        <f aca="false">IF(OR($C194="",$B194=""),0,IF(COUNTIFS(QC_LOT,$C194,QC_DATE,"&gt;"&amp;$B194)&gt;0,0,IF(COUNTIFS($C$5:$C194,$C194,$B$5:$B194,$B194)=COUNTIFS(QC_LOT,$C194,QC_DATE,$B194),1,0)))</f>
        <v>0</v>
      </c>
      <c r="U194" s="26" t="str">
        <f aca="false">IF($T194=1,$C194,"")</f>
        <v/>
      </c>
      <c r="V194" s="28" t="n">
        <f aca="false">IF($C194="",0,IF($C194=R_LOT,1,0))</f>
        <v>0</v>
      </c>
      <c r="W194" s="26" t="str">
        <f aca="false">IF($V194=0,"",COUNTIF($V$5:$V194,1))</f>
        <v/>
      </c>
    </row>
    <row r="195" customFormat="false" ht="15" hidden="false" customHeight="false" outlineLevel="0" collapsed="false">
      <c r="A195" s="26" t="str">
        <f aca="false">IF($C195="","","QC-"&amp;TEXT(ROW()-4,"000"))</f>
        <v/>
      </c>
      <c r="B195" s="25"/>
      <c r="C195" s="24"/>
      <c r="D195" s="24"/>
      <c r="E195" s="24"/>
      <c r="F195" s="32"/>
      <c r="G195" s="33"/>
      <c r="H195" s="24"/>
      <c r="I195" s="24"/>
      <c r="J195" s="24"/>
      <c r="K195" s="24"/>
      <c r="L195" s="24"/>
      <c r="M195" s="24"/>
      <c r="N195" s="26" t="str">
        <f aca="false">IF($C195="","",IFERROR(INDEX(LOT_EXTE,MATCH($C195,LOT_KEY,0)),""))</f>
        <v/>
      </c>
      <c r="O195" s="26" t="str">
        <f aca="false">IF($C195="","",IFERROR(INDEX(LOT_PRODE,MATCH($C195,LOT_KEY,0)),"LOT NON REFERENCE"))</f>
        <v/>
      </c>
      <c r="P195" s="26" t="str">
        <f aca="false">IF($C195="","",IFERROR(INDEX(LOT_CONSERVE,MATCH($C195,LOT_KEY,0)),""))</f>
        <v/>
      </c>
      <c r="Q195" s="27" t="str">
        <f aca="false">IF(OR($C195="",$D195=""),"",SUMIFS(MVT_NET,MVT_LOT,$C195,MVT_EMPL,$D195))</f>
        <v/>
      </c>
      <c r="R195" s="26" t="str">
        <f aca="false">IF($C195="","",IF(OR($B195="",AND($F195="",$G195="",$H195="",$I195="",$J195="",$K195="")),"DONNEES MANQUANTES",IF(AND($D195&lt;&gt;"",$Q195&lt;=0),"EMPLACEMENT INCOHERENT","OK")))</f>
        <v/>
      </c>
      <c r="S195" s="26" t="str">
        <f aca="false">IF($C195="","",IF(AND(ISNUMBER($G195),$G195&gt;P_HIST),"HISTAMINE "&amp;TEXT($G195,"#,##0")&amp;" PPM &gt; seuil "&amp;TEXT(P_HIST,"#,##0")&amp;". ","")&amp;IF(AND(ISNUMBER($F195),$P195="CONGELE",$F195&gt;P_TCONG),"TEMPERATURE "&amp;TEXT($F195,"0.0")&amp;" C hors seuil congele. ","")&amp;IF(AND(ISNUMBER($F195),$P195="FRAIS",$F195&gt;P_TFRAIS),"TEMPERATURE "&amp;TEXT($F195,"0.0")&amp;" C hors seuil frais. ","")&amp;IF($K195="BLOQUER","Lot bloque qualite : stock signale mais inchange. ","")&amp;IF($R195="EMPLACEMENT INCOHERENT","Lot absent de cet emplacement : controle conserve, stock inchange. ","")&amp;IF($R195="DONNEES MANQUANTES","Renseigner la DATE et au moins une mesure. ",""))</f>
        <v/>
      </c>
      <c r="T195" s="28" t="n">
        <f aca="false">IF(OR($C195="",$B195=""),0,IF(COUNTIFS(QC_LOT,$C195,QC_DATE,"&gt;"&amp;$B195)&gt;0,0,IF(COUNTIFS($C$5:$C195,$C195,$B$5:$B195,$B195)=COUNTIFS(QC_LOT,$C195,QC_DATE,$B195),1,0)))</f>
        <v>0</v>
      </c>
      <c r="U195" s="26" t="str">
        <f aca="false">IF($T195=1,$C195,"")</f>
        <v/>
      </c>
      <c r="V195" s="28" t="n">
        <f aca="false">IF($C195="",0,IF($C195=R_LOT,1,0))</f>
        <v>0</v>
      </c>
      <c r="W195" s="26" t="str">
        <f aca="false">IF($V195=0,"",COUNTIF($V$5:$V195,1))</f>
        <v/>
      </c>
    </row>
    <row r="196" customFormat="false" ht="15" hidden="false" customHeight="false" outlineLevel="0" collapsed="false">
      <c r="A196" s="26" t="str">
        <f aca="false">IF($C196="","","QC-"&amp;TEXT(ROW()-4,"000"))</f>
        <v/>
      </c>
      <c r="B196" s="25"/>
      <c r="C196" s="24"/>
      <c r="D196" s="24"/>
      <c r="E196" s="24"/>
      <c r="F196" s="32"/>
      <c r="G196" s="33"/>
      <c r="H196" s="24"/>
      <c r="I196" s="24"/>
      <c r="J196" s="24"/>
      <c r="K196" s="24"/>
      <c r="L196" s="24"/>
      <c r="M196" s="24"/>
      <c r="N196" s="26" t="str">
        <f aca="false">IF($C196="","",IFERROR(INDEX(LOT_EXTE,MATCH($C196,LOT_KEY,0)),""))</f>
        <v/>
      </c>
      <c r="O196" s="26" t="str">
        <f aca="false">IF($C196="","",IFERROR(INDEX(LOT_PRODE,MATCH($C196,LOT_KEY,0)),"LOT NON REFERENCE"))</f>
        <v/>
      </c>
      <c r="P196" s="26" t="str">
        <f aca="false">IF($C196="","",IFERROR(INDEX(LOT_CONSERVE,MATCH($C196,LOT_KEY,0)),""))</f>
        <v/>
      </c>
      <c r="Q196" s="27" t="str">
        <f aca="false">IF(OR($C196="",$D196=""),"",SUMIFS(MVT_NET,MVT_LOT,$C196,MVT_EMPL,$D196))</f>
        <v/>
      </c>
      <c r="R196" s="26" t="str">
        <f aca="false">IF($C196="","",IF(OR($B196="",AND($F196="",$G196="",$H196="",$I196="",$J196="",$K196="")),"DONNEES MANQUANTES",IF(AND($D196&lt;&gt;"",$Q196&lt;=0),"EMPLACEMENT INCOHERENT","OK")))</f>
        <v/>
      </c>
      <c r="S196" s="26" t="str">
        <f aca="false">IF($C196="","",IF(AND(ISNUMBER($G196),$G196&gt;P_HIST),"HISTAMINE "&amp;TEXT($G196,"#,##0")&amp;" PPM &gt; seuil "&amp;TEXT(P_HIST,"#,##0")&amp;". ","")&amp;IF(AND(ISNUMBER($F196),$P196="CONGELE",$F196&gt;P_TCONG),"TEMPERATURE "&amp;TEXT($F196,"0.0")&amp;" C hors seuil congele. ","")&amp;IF(AND(ISNUMBER($F196),$P196="FRAIS",$F196&gt;P_TFRAIS),"TEMPERATURE "&amp;TEXT($F196,"0.0")&amp;" C hors seuil frais. ","")&amp;IF($K196="BLOQUER","Lot bloque qualite : stock signale mais inchange. ","")&amp;IF($R196="EMPLACEMENT INCOHERENT","Lot absent de cet emplacement : controle conserve, stock inchange. ","")&amp;IF($R196="DONNEES MANQUANTES","Renseigner la DATE et au moins une mesure. ",""))</f>
        <v/>
      </c>
      <c r="T196" s="28" t="n">
        <f aca="false">IF(OR($C196="",$B196=""),0,IF(COUNTIFS(QC_LOT,$C196,QC_DATE,"&gt;"&amp;$B196)&gt;0,0,IF(COUNTIFS($C$5:$C196,$C196,$B$5:$B196,$B196)=COUNTIFS(QC_LOT,$C196,QC_DATE,$B196),1,0)))</f>
        <v>0</v>
      </c>
      <c r="U196" s="26" t="str">
        <f aca="false">IF($T196=1,$C196,"")</f>
        <v/>
      </c>
      <c r="V196" s="28" t="n">
        <f aca="false">IF($C196="",0,IF($C196=R_LOT,1,0))</f>
        <v>0</v>
      </c>
      <c r="W196" s="26" t="str">
        <f aca="false">IF($V196=0,"",COUNTIF($V$5:$V196,1))</f>
        <v/>
      </c>
    </row>
    <row r="197" customFormat="false" ht="15" hidden="false" customHeight="false" outlineLevel="0" collapsed="false">
      <c r="A197" s="26" t="str">
        <f aca="false">IF($C197="","","QC-"&amp;TEXT(ROW()-4,"000"))</f>
        <v/>
      </c>
      <c r="B197" s="25"/>
      <c r="C197" s="24"/>
      <c r="D197" s="24"/>
      <c r="E197" s="24"/>
      <c r="F197" s="32"/>
      <c r="G197" s="33"/>
      <c r="H197" s="24"/>
      <c r="I197" s="24"/>
      <c r="J197" s="24"/>
      <c r="K197" s="24"/>
      <c r="L197" s="24"/>
      <c r="M197" s="24"/>
      <c r="N197" s="26" t="str">
        <f aca="false">IF($C197="","",IFERROR(INDEX(LOT_EXTE,MATCH($C197,LOT_KEY,0)),""))</f>
        <v/>
      </c>
      <c r="O197" s="26" t="str">
        <f aca="false">IF($C197="","",IFERROR(INDEX(LOT_PRODE,MATCH($C197,LOT_KEY,0)),"LOT NON REFERENCE"))</f>
        <v/>
      </c>
      <c r="P197" s="26" t="str">
        <f aca="false">IF($C197="","",IFERROR(INDEX(LOT_CONSERVE,MATCH($C197,LOT_KEY,0)),""))</f>
        <v/>
      </c>
      <c r="Q197" s="27" t="str">
        <f aca="false">IF(OR($C197="",$D197=""),"",SUMIFS(MVT_NET,MVT_LOT,$C197,MVT_EMPL,$D197))</f>
        <v/>
      </c>
      <c r="R197" s="26" t="str">
        <f aca="false">IF($C197="","",IF(OR($B197="",AND($F197="",$G197="",$H197="",$I197="",$J197="",$K197="")),"DONNEES MANQUANTES",IF(AND($D197&lt;&gt;"",$Q197&lt;=0),"EMPLACEMENT INCOHERENT","OK")))</f>
        <v/>
      </c>
      <c r="S197" s="26" t="str">
        <f aca="false">IF($C197="","",IF(AND(ISNUMBER($G197),$G197&gt;P_HIST),"HISTAMINE "&amp;TEXT($G197,"#,##0")&amp;" PPM &gt; seuil "&amp;TEXT(P_HIST,"#,##0")&amp;". ","")&amp;IF(AND(ISNUMBER($F197),$P197="CONGELE",$F197&gt;P_TCONG),"TEMPERATURE "&amp;TEXT($F197,"0.0")&amp;" C hors seuil congele. ","")&amp;IF(AND(ISNUMBER($F197),$P197="FRAIS",$F197&gt;P_TFRAIS),"TEMPERATURE "&amp;TEXT($F197,"0.0")&amp;" C hors seuil frais. ","")&amp;IF($K197="BLOQUER","Lot bloque qualite : stock signale mais inchange. ","")&amp;IF($R197="EMPLACEMENT INCOHERENT","Lot absent de cet emplacement : controle conserve, stock inchange. ","")&amp;IF($R197="DONNEES MANQUANTES","Renseigner la DATE et au moins une mesure. ",""))</f>
        <v/>
      </c>
      <c r="T197" s="28" t="n">
        <f aca="false">IF(OR($C197="",$B197=""),0,IF(COUNTIFS(QC_LOT,$C197,QC_DATE,"&gt;"&amp;$B197)&gt;0,0,IF(COUNTIFS($C$5:$C197,$C197,$B$5:$B197,$B197)=COUNTIFS(QC_LOT,$C197,QC_DATE,$B197),1,0)))</f>
        <v>0</v>
      </c>
      <c r="U197" s="26" t="str">
        <f aca="false">IF($T197=1,$C197,"")</f>
        <v/>
      </c>
      <c r="V197" s="28" t="n">
        <f aca="false">IF($C197="",0,IF($C197=R_LOT,1,0))</f>
        <v>0</v>
      </c>
      <c r="W197" s="26" t="str">
        <f aca="false">IF($V197=0,"",COUNTIF($V$5:$V197,1))</f>
        <v/>
      </c>
    </row>
    <row r="198" customFormat="false" ht="15" hidden="false" customHeight="false" outlineLevel="0" collapsed="false">
      <c r="A198" s="26" t="str">
        <f aca="false">IF($C198="","","QC-"&amp;TEXT(ROW()-4,"000"))</f>
        <v/>
      </c>
      <c r="B198" s="25"/>
      <c r="C198" s="24"/>
      <c r="D198" s="24"/>
      <c r="E198" s="24"/>
      <c r="F198" s="32"/>
      <c r="G198" s="33"/>
      <c r="H198" s="24"/>
      <c r="I198" s="24"/>
      <c r="J198" s="24"/>
      <c r="K198" s="24"/>
      <c r="L198" s="24"/>
      <c r="M198" s="24"/>
      <c r="N198" s="26" t="str">
        <f aca="false">IF($C198="","",IFERROR(INDEX(LOT_EXTE,MATCH($C198,LOT_KEY,0)),""))</f>
        <v/>
      </c>
      <c r="O198" s="26" t="str">
        <f aca="false">IF($C198="","",IFERROR(INDEX(LOT_PRODE,MATCH($C198,LOT_KEY,0)),"LOT NON REFERENCE"))</f>
        <v/>
      </c>
      <c r="P198" s="26" t="str">
        <f aca="false">IF($C198="","",IFERROR(INDEX(LOT_CONSERVE,MATCH($C198,LOT_KEY,0)),""))</f>
        <v/>
      </c>
      <c r="Q198" s="27" t="str">
        <f aca="false">IF(OR($C198="",$D198=""),"",SUMIFS(MVT_NET,MVT_LOT,$C198,MVT_EMPL,$D198))</f>
        <v/>
      </c>
      <c r="R198" s="26" t="str">
        <f aca="false">IF($C198="","",IF(OR($B198="",AND($F198="",$G198="",$H198="",$I198="",$J198="",$K198="")),"DONNEES MANQUANTES",IF(AND($D198&lt;&gt;"",$Q198&lt;=0),"EMPLACEMENT INCOHERENT","OK")))</f>
        <v/>
      </c>
      <c r="S198" s="26" t="str">
        <f aca="false">IF($C198="","",IF(AND(ISNUMBER($G198),$G198&gt;P_HIST),"HISTAMINE "&amp;TEXT($G198,"#,##0")&amp;" PPM &gt; seuil "&amp;TEXT(P_HIST,"#,##0")&amp;". ","")&amp;IF(AND(ISNUMBER($F198),$P198="CONGELE",$F198&gt;P_TCONG),"TEMPERATURE "&amp;TEXT($F198,"0.0")&amp;" C hors seuil congele. ","")&amp;IF(AND(ISNUMBER($F198),$P198="FRAIS",$F198&gt;P_TFRAIS),"TEMPERATURE "&amp;TEXT($F198,"0.0")&amp;" C hors seuil frais. ","")&amp;IF($K198="BLOQUER","Lot bloque qualite : stock signale mais inchange. ","")&amp;IF($R198="EMPLACEMENT INCOHERENT","Lot absent de cet emplacement : controle conserve, stock inchange. ","")&amp;IF($R198="DONNEES MANQUANTES","Renseigner la DATE et au moins une mesure. ",""))</f>
        <v/>
      </c>
      <c r="T198" s="28" t="n">
        <f aca="false">IF(OR($C198="",$B198=""),0,IF(COUNTIFS(QC_LOT,$C198,QC_DATE,"&gt;"&amp;$B198)&gt;0,0,IF(COUNTIFS($C$5:$C198,$C198,$B$5:$B198,$B198)=COUNTIFS(QC_LOT,$C198,QC_DATE,$B198),1,0)))</f>
        <v>0</v>
      </c>
      <c r="U198" s="26" t="str">
        <f aca="false">IF($T198=1,$C198,"")</f>
        <v/>
      </c>
      <c r="V198" s="28" t="n">
        <f aca="false">IF($C198="",0,IF($C198=R_LOT,1,0))</f>
        <v>0</v>
      </c>
      <c r="W198" s="26" t="str">
        <f aca="false">IF($V198=0,"",COUNTIF($V$5:$V198,1))</f>
        <v/>
      </c>
    </row>
    <row r="199" customFormat="false" ht="15" hidden="false" customHeight="false" outlineLevel="0" collapsed="false">
      <c r="A199" s="26" t="str">
        <f aca="false">IF($C199="","","QC-"&amp;TEXT(ROW()-4,"000"))</f>
        <v/>
      </c>
      <c r="B199" s="25"/>
      <c r="C199" s="24"/>
      <c r="D199" s="24"/>
      <c r="E199" s="24"/>
      <c r="F199" s="32"/>
      <c r="G199" s="33"/>
      <c r="H199" s="24"/>
      <c r="I199" s="24"/>
      <c r="J199" s="24"/>
      <c r="K199" s="24"/>
      <c r="L199" s="24"/>
      <c r="M199" s="24"/>
      <c r="N199" s="26" t="str">
        <f aca="false">IF($C199="","",IFERROR(INDEX(LOT_EXTE,MATCH($C199,LOT_KEY,0)),""))</f>
        <v/>
      </c>
      <c r="O199" s="26" t="str">
        <f aca="false">IF($C199="","",IFERROR(INDEX(LOT_PRODE,MATCH($C199,LOT_KEY,0)),"LOT NON REFERENCE"))</f>
        <v/>
      </c>
      <c r="P199" s="26" t="str">
        <f aca="false">IF($C199="","",IFERROR(INDEX(LOT_CONSERVE,MATCH($C199,LOT_KEY,0)),""))</f>
        <v/>
      </c>
      <c r="Q199" s="27" t="str">
        <f aca="false">IF(OR($C199="",$D199=""),"",SUMIFS(MVT_NET,MVT_LOT,$C199,MVT_EMPL,$D199))</f>
        <v/>
      </c>
      <c r="R199" s="26" t="str">
        <f aca="false">IF($C199="","",IF(OR($B199="",AND($F199="",$G199="",$H199="",$I199="",$J199="",$K199="")),"DONNEES MANQUANTES",IF(AND($D199&lt;&gt;"",$Q199&lt;=0),"EMPLACEMENT INCOHERENT","OK")))</f>
        <v/>
      </c>
      <c r="S199" s="26" t="str">
        <f aca="false">IF($C199="","",IF(AND(ISNUMBER($G199),$G199&gt;P_HIST),"HISTAMINE "&amp;TEXT($G199,"#,##0")&amp;" PPM &gt; seuil "&amp;TEXT(P_HIST,"#,##0")&amp;". ","")&amp;IF(AND(ISNUMBER($F199),$P199="CONGELE",$F199&gt;P_TCONG),"TEMPERATURE "&amp;TEXT($F199,"0.0")&amp;" C hors seuil congele. ","")&amp;IF(AND(ISNUMBER($F199),$P199="FRAIS",$F199&gt;P_TFRAIS),"TEMPERATURE "&amp;TEXT($F199,"0.0")&amp;" C hors seuil frais. ","")&amp;IF($K199="BLOQUER","Lot bloque qualite : stock signale mais inchange. ","")&amp;IF($R199="EMPLACEMENT INCOHERENT","Lot absent de cet emplacement : controle conserve, stock inchange. ","")&amp;IF($R199="DONNEES MANQUANTES","Renseigner la DATE et au moins une mesure. ",""))</f>
        <v/>
      </c>
      <c r="T199" s="28" t="n">
        <f aca="false">IF(OR($C199="",$B199=""),0,IF(COUNTIFS(QC_LOT,$C199,QC_DATE,"&gt;"&amp;$B199)&gt;0,0,IF(COUNTIFS($C$5:$C199,$C199,$B$5:$B199,$B199)=COUNTIFS(QC_LOT,$C199,QC_DATE,$B199),1,0)))</f>
        <v>0</v>
      </c>
      <c r="U199" s="26" t="str">
        <f aca="false">IF($T199=1,$C199,"")</f>
        <v/>
      </c>
      <c r="V199" s="28" t="n">
        <f aca="false">IF($C199="",0,IF($C199=R_LOT,1,0))</f>
        <v>0</v>
      </c>
      <c r="W199" s="26" t="str">
        <f aca="false">IF($V199=0,"",COUNTIF($V$5:$V199,1))</f>
        <v/>
      </c>
    </row>
    <row r="200" customFormat="false" ht="15" hidden="false" customHeight="false" outlineLevel="0" collapsed="false">
      <c r="A200" s="26" t="str">
        <f aca="false">IF($C200="","","QC-"&amp;TEXT(ROW()-4,"000"))</f>
        <v/>
      </c>
      <c r="B200" s="25"/>
      <c r="C200" s="24"/>
      <c r="D200" s="24"/>
      <c r="E200" s="24"/>
      <c r="F200" s="32"/>
      <c r="G200" s="33"/>
      <c r="H200" s="24"/>
      <c r="I200" s="24"/>
      <c r="J200" s="24"/>
      <c r="K200" s="24"/>
      <c r="L200" s="24"/>
      <c r="M200" s="24"/>
      <c r="N200" s="26" t="str">
        <f aca="false">IF($C200="","",IFERROR(INDEX(LOT_EXTE,MATCH($C200,LOT_KEY,0)),""))</f>
        <v/>
      </c>
      <c r="O200" s="26" t="str">
        <f aca="false">IF($C200="","",IFERROR(INDEX(LOT_PRODE,MATCH($C200,LOT_KEY,0)),"LOT NON REFERENCE"))</f>
        <v/>
      </c>
      <c r="P200" s="26" t="str">
        <f aca="false">IF($C200="","",IFERROR(INDEX(LOT_CONSERVE,MATCH($C200,LOT_KEY,0)),""))</f>
        <v/>
      </c>
      <c r="Q200" s="27" t="str">
        <f aca="false">IF(OR($C200="",$D200=""),"",SUMIFS(MVT_NET,MVT_LOT,$C200,MVT_EMPL,$D200))</f>
        <v/>
      </c>
      <c r="R200" s="26" t="str">
        <f aca="false">IF($C200="","",IF(OR($B200="",AND($F200="",$G200="",$H200="",$I200="",$J200="",$K200="")),"DONNEES MANQUANTES",IF(AND($D200&lt;&gt;"",$Q200&lt;=0),"EMPLACEMENT INCOHERENT","OK")))</f>
        <v/>
      </c>
      <c r="S200" s="26" t="str">
        <f aca="false">IF($C200="","",IF(AND(ISNUMBER($G200),$G200&gt;P_HIST),"HISTAMINE "&amp;TEXT($G200,"#,##0")&amp;" PPM &gt; seuil "&amp;TEXT(P_HIST,"#,##0")&amp;". ","")&amp;IF(AND(ISNUMBER($F200),$P200="CONGELE",$F200&gt;P_TCONG),"TEMPERATURE "&amp;TEXT($F200,"0.0")&amp;" C hors seuil congele. ","")&amp;IF(AND(ISNUMBER($F200),$P200="FRAIS",$F200&gt;P_TFRAIS),"TEMPERATURE "&amp;TEXT($F200,"0.0")&amp;" C hors seuil frais. ","")&amp;IF($K200="BLOQUER","Lot bloque qualite : stock signale mais inchange. ","")&amp;IF($R200="EMPLACEMENT INCOHERENT","Lot absent de cet emplacement : controle conserve, stock inchange. ","")&amp;IF($R200="DONNEES MANQUANTES","Renseigner la DATE et au moins une mesure. ",""))</f>
        <v/>
      </c>
      <c r="T200" s="28" t="n">
        <f aca="false">IF(OR($C200="",$B200=""),0,IF(COUNTIFS(QC_LOT,$C200,QC_DATE,"&gt;"&amp;$B200)&gt;0,0,IF(COUNTIFS($C$5:$C200,$C200,$B$5:$B200,$B200)=COUNTIFS(QC_LOT,$C200,QC_DATE,$B200),1,0)))</f>
        <v>0</v>
      </c>
      <c r="U200" s="26" t="str">
        <f aca="false">IF($T200=1,$C200,"")</f>
        <v/>
      </c>
      <c r="V200" s="28" t="n">
        <f aca="false">IF($C200="",0,IF($C200=R_LOT,1,0))</f>
        <v>0</v>
      </c>
      <c r="W200" s="26" t="str">
        <f aca="false">IF($V200=0,"",COUNTIF($V$5:$V200,1))</f>
        <v/>
      </c>
    </row>
    <row r="201" customFormat="false" ht="15" hidden="false" customHeight="false" outlineLevel="0" collapsed="false">
      <c r="A201" s="26" t="str">
        <f aca="false">IF($C201="","","QC-"&amp;TEXT(ROW()-4,"000"))</f>
        <v/>
      </c>
      <c r="B201" s="25"/>
      <c r="C201" s="24"/>
      <c r="D201" s="24"/>
      <c r="E201" s="24"/>
      <c r="F201" s="32"/>
      <c r="G201" s="33"/>
      <c r="H201" s="24"/>
      <c r="I201" s="24"/>
      <c r="J201" s="24"/>
      <c r="K201" s="24"/>
      <c r="L201" s="24"/>
      <c r="M201" s="24"/>
      <c r="N201" s="26" t="str">
        <f aca="false">IF($C201="","",IFERROR(INDEX(LOT_EXTE,MATCH($C201,LOT_KEY,0)),""))</f>
        <v/>
      </c>
      <c r="O201" s="26" t="str">
        <f aca="false">IF($C201="","",IFERROR(INDEX(LOT_PRODE,MATCH($C201,LOT_KEY,0)),"LOT NON REFERENCE"))</f>
        <v/>
      </c>
      <c r="P201" s="26" t="str">
        <f aca="false">IF($C201="","",IFERROR(INDEX(LOT_CONSERVE,MATCH($C201,LOT_KEY,0)),""))</f>
        <v/>
      </c>
      <c r="Q201" s="27" t="str">
        <f aca="false">IF(OR($C201="",$D201=""),"",SUMIFS(MVT_NET,MVT_LOT,$C201,MVT_EMPL,$D201))</f>
        <v/>
      </c>
      <c r="R201" s="26" t="str">
        <f aca="false">IF($C201="","",IF(OR($B201="",AND($F201="",$G201="",$H201="",$I201="",$J201="",$K201="")),"DONNEES MANQUANTES",IF(AND($D201&lt;&gt;"",$Q201&lt;=0),"EMPLACEMENT INCOHERENT","OK")))</f>
        <v/>
      </c>
      <c r="S201" s="26" t="str">
        <f aca="false">IF($C201="","",IF(AND(ISNUMBER($G201),$G201&gt;P_HIST),"HISTAMINE "&amp;TEXT($G201,"#,##0")&amp;" PPM &gt; seuil "&amp;TEXT(P_HIST,"#,##0")&amp;". ","")&amp;IF(AND(ISNUMBER($F201),$P201="CONGELE",$F201&gt;P_TCONG),"TEMPERATURE "&amp;TEXT($F201,"0.0")&amp;" C hors seuil congele. ","")&amp;IF(AND(ISNUMBER($F201),$P201="FRAIS",$F201&gt;P_TFRAIS),"TEMPERATURE "&amp;TEXT($F201,"0.0")&amp;" C hors seuil frais. ","")&amp;IF($K201="BLOQUER","Lot bloque qualite : stock signale mais inchange. ","")&amp;IF($R201="EMPLACEMENT INCOHERENT","Lot absent de cet emplacement : controle conserve, stock inchange. ","")&amp;IF($R201="DONNEES MANQUANTES","Renseigner la DATE et au moins une mesure. ",""))</f>
        <v/>
      </c>
      <c r="T201" s="28" t="n">
        <f aca="false">IF(OR($C201="",$B201=""),0,IF(COUNTIFS(QC_LOT,$C201,QC_DATE,"&gt;"&amp;$B201)&gt;0,0,IF(COUNTIFS($C$5:$C201,$C201,$B$5:$B201,$B201)=COUNTIFS(QC_LOT,$C201,QC_DATE,$B201),1,0)))</f>
        <v>0</v>
      </c>
      <c r="U201" s="26" t="str">
        <f aca="false">IF($T201=1,$C201,"")</f>
        <v/>
      </c>
      <c r="V201" s="28" t="n">
        <f aca="false">IF($C201="",0,IF($C201=R_LOT,1,0))</f>
        <v>0</v>
      </c>
      <c r="W201" s="26" t="str">
        <f aca="false">IF($V201=0,"",COUNTIF($V$5:$V201,1))</f>
        <v/>
      </c>
    </row>
    <row r="202" customFormat="false" ht="15" hidden="false" customHeight="false" outlineLevel="0" collapsed="false">
      <c r="A202" s="26" t="str">
        <f aca="false">IF($C202="","","QC-"&amp;TEXT(ROW()-4,"000"))</f>
        <v/>
      </c>
      <c r="B202" s="25"/>
      <c r="C202" s="24"/>
      <c r="D202" s="24"/>
      <c r="E202" s="24"/>
      <c r="F202" s="32"/>
      <c r="G202" s="33"/>
      <c r="H202" s="24"/>
      <c r="I202" s="24"/>
      <c r="J202" s="24"/>
      <c r="K202" s="24"/>
      <c r="L202" s="24"/>
      <c r="M202" s="24"/>
      <c r="N202" s="26" t="str">
        <f aca="false">IF($C202="","",IFERROR(INDEX(LOT_EXTE,MATCH($C202,LOT_KEY,0)),""))</f>
        <v/>
      </c>
      <c r="O202" s="26" t="str">
        <f aca="false">IF($C202="","",IFERROR(INDEX(LOT_PRODE,MATCH($C202,LOT_KEY,0)),"LOT NON REFERENCE"))</f>
        <v/>
      </c>
      <c r="P202" s="26" t="str">
        <f aca="false">IF($C202="","",IFERROR(INDEX(LOT_CONSERVE,MATCH($C202,LOT_KEY,0)),""))</f>
        <v/>
      </c>
      <c r="Q202" s="27" t="str">
        <f aca="false">IF(OR($C202="",$D202=""),"",SUMIFS(MVT_NET,MVT_LOT,$C202,MVT_EMPL,$D202))</f>
        <v/>
      </c>
      <c r="R202" s="26" t="str">
        <f aca="false">IF($C202="","",IF(OR($B202="",AND($F202="",$G202="",$H202="",$I202="",$J202="",$K202="")),"DONNEES MANQUANTES",IF(AND($D202&lt;&gt;"",$Q202&lt;=0),"EMPLACEMENT INCOHERENT","OK")))</f>
        <v/>
      </c>
      <c r="S202" s="26" t="str">
        <f aca="false">IF($C202="","",IF(AND(ISNUMBER($G202),$G202&gt;P_HIST),"HISTAMINE "&amp;TEXT($G202,"#,##0")&amp;" PPM &gt; seuil "&amp;TEXT(P_HIST,"#,##0")&amp;". ","")&amp;IF(AND(ISNUMBER($F202),$P202="CONGELE",$F202&gt;P_TCONG),"TEMPERATURE "&amp;TEXT($F202,"0.0")&amp;" C hors seuil congele. ","")&amp;IF(AND(ISNUMBER($F202),$P202="FRAIS",$F202&gt;P_TFRAIS),"TEMPERATURE "&amp;TEXT($F202,"0.0")&amp;" C hors seuil frais. ","")&amp;IF($K202="BLOQUER","Lot bloque qualite : stock signale mais inchange. ","")&amp;IF($R202="EMPLACEMENT INCOHERENT","Lot absent de cet emplacement : controle conserve, stock inchange. ","")&amp;IF($R202="DONNEES MANQUANTES","Renseigner la DATE et au moins une mesure. ",""))</f>
        <v/>
      </c>
      <c r="T202" s="28" t="n">
        <f aca="false">IF(OR($C202="",$B202=""),0,IF(COUNTIFS(QC_LOT,$C202,QC_DATE,"&gt;"&amp;$B202)&gt;0,0,IF(COUNTIFS($C$5:$C202,$C202,$B$5:$B202,$B202)=COUNTIFS(QC_LOT,$C202,QC_DATE,$B202),1,0)))</f>
        <v>0</v>
      </c>
      <c r="U202" s="26" t="str">
        <f aca="false">IF($T202=1,$C202,"")</f>
        <v/>
      </c>
      <c r="V202" s="28" t="n">
        <f aca="false">IF($C202="",0,IF($C202=R_LOT,1,0))</f>
        <v>0</v>
      </c>
      <c r="W202" s="26" t="str">
        <f aca="false">IF($V202=0,"",COUNTIF($V$5:$V202,1))</f>
        <v/>
      </c>
    </row>
    <row r="203" customFormat="false" ht="15" hidden="false" customHeight="false" outlineLevel="0" collapsed="false">
      <c r="A203" s="26" t="str">
        <f aca="false">IF($C203="","","QC-"&amp;TEXT(ROW()-4,"000"))</f>
        <v/>
      </c>
      <c r="B203" s="25"/>
      <c r="C203" s="24"/>
      <c r="D203" s="24"/>
      <c r="E203" s="24"/>
      <c r="F203" s="32"/>
      <c r="G203" s="33"/>
      <c r="H203" s="24"/>
      <c r="I203" s="24"/>
      <c r="J203" s="24"/>
      <c r="K203" s="24"/>
      <c r="L203" s="24"/>
      <c r="M203" s="24"/>
      <c r="N203" s="26" t="str">
        <f aca="false">IF($C203="","",IFERROR(INDEX(LOT_EXTE,MATCH($C203,LOT_KEY,0)),""))</f>
        <v/>
      </c>
      <c r="O203" s="26" t="str">
        <f aca="false">IF($C203="","",IFERROR(INDEX(LOT_PRODE,MATCH($C203,LOT_KEY,0)),"LOT NON REFERENCE"))</f>
        <v/>
      </c>
      <c r="P203" s="26" t="str">
        <f aca="false">IF($C203="","",IFERROR(INDEX(LOT_CONSERVE,MATCH($C203,LOT_KEY,0)),""))</f>
        <v/>
      </c>
      <c r="Q203" s="27" t="str">
        <f aca="false">IF(OR($C203="",$D203=""),"",SUMIFS(MVT_NET,MVT_LOT,$C203,MVT_EMPL,$D203))</f>
        <v/>
      </c>
      <c r="R203" s="26" t="str">
        <f aca="false">IF($C203="","",IF(OR($B203="",AND($F203="",$G203="",$H203="",$I203="",$J203="",$K203="")),"DONNEES MANQUANTES",IF(AND($D203&lt;&gt;"",$Q203&lt;=0),"EMPLACEMENT INCOHERENT","OK")))</f>
        <v/>
      </c>
      <c r="S203" s="26" t="str">
        <f aca="false">IF($C203="","",IF(AND(ISNUMBER($G203),$G203&gt;P_HIST),"HISTAMINE "&amp;TEXT($G203,"#,##0")&amp;" PPM &gt; seuil "&amp;TEXT(P_HIST,"#,##0")&amp;". ","")&amp;IF(AND(ISNUMBER($F203),$P203="CONGELE",$F203&gt;P_TCONG),"TEMPERATURE "&amp;TEXT($F203,"0.0")&amp;" C hors seuil congele. ","")&amp;IF(AND(ISNUMBER($F203),$P203="FRAIS",$F203&gt;P_TFRAIS),"TEMPERATURE "&amp;TEXT($F203,"0.0")&amp;" C hors seuil frais. ","")&amp;IF($K203="BLOQUER","Lot bloque qualite : stock signale mais inchange. ","")&amp;IF($R203="EMPLACEMENT INCOHERENT","Lot absent de cet emplacement : controle conserve, stock inchange. ","")&amp;IF($R203="DONNEES MANQUANTES","Renseigner la DATE et au moins une mesure. ",""))</f>
        <v/>
      </c>
      <c r="T203" s="28" t="n">
        <f aca="false">IF(OR($C203="",$B203=""),0,IF(COUNTIFS(QC_LOT,$C203,QC_DATE,"&gt;"&amp;$B203)&gt;0,0,IF(COUNTIFS($C$5:$C203,$C203,$B$5:$B203,$B203)=COUNTIFS(QC_LOT,$C203,QC_DATE,$B203),1,0)))</f>
        <v>0</v>
      </c>
      <c r="U203" s="26" t="str">
        <f aca="false">IF($T203=1,$C203,"")</f>
        <v/>
      </c>
      <c r="V203" s="28" t="n">
        <f aca="false">IF($C203="",0,IF($C203=R_LOT,1,0))</f>
        <v>0</v>
      </c>
      <c r="W203" s="26" t="str">
        <f aca="false">IF($V203=0,"",COUNTIF($V$5:$V203,1))</f>
        <v/>
      </c>
    </row>
    <row r="204" customFormat="false" ht="15" hidden="false" customHeight="false" outlineLevel="0" collapsed="false">
      <c r="A204" s="26" t="str">
        <f aca="false">IF($C204="","","QC-"&amp;TEXT(ROW()-4,"000"))</f>
        <v/>
      </c>
      <c r="B204" s="25"/>
      <c r="C204" s="24"/>
      <c r="D204" s="24"/>
      <c r="E204" s="24"/>
      <c r="F204" s="32"/>
      <c r="G204" s="33"/>
      <c r="H204" s="24"/>
      <c r="I204" s="24"/>
      <c r="J204" s="24"/>
      <c r="K204" s="24"/>
      <c r="L204" s="24"/>
      <c r="M204" s="24"/>
      <c r="N204" s="26" t="str">
        <f aca="false">IF($C204="","",IFERROR(INDEX(LOT_EXTE,MATCH($C204,LOT_KEY,0)),""))</f>
        <v/>
      </c>
      <c r="O204" s="26" t="str">
        <f aca="false">IF($C204="","",IFERROR(INDEX(LOT_PRODE,MATCH($C204,LOT_KEY,0)),"LOT NON REFERENCE"))</f>
        <v/>
      </c>
      <c r="P204" s="26" t="str">
        <f aca="false">IF($C204="","",IFERROR(INDEX(LOT_CONSERVE,MATCH($C204,LOT_KEY,0)),""))</f>
        <v/>
      </c>
      <c r="Q204" s="27" t="str">
        <f aca="false">IF(OR($C204="",$D204=""),"",SUMIFS(MVT_NET,MVT_LOT,$C204,MVT_EMPL,$D204))</f>
        <v/>
      </c>
      <c r="R204" s="26" t="str">
        <f aca="false">IF($C204="","",IF(OR($B204="",AND($F204="",$G204="",$H204="",$I204="",$J204="",$K204="")),"DONNEES MANQUANTES",IF(AND($D204&lt;&gt;"",$Q204&lt;=0),"EMPLACEMENT INCOHERENT","OK")))</f>
        <v/>
      </c>
      <c r="S204" s="26" t="str">
        <f aca="false">IF($C204="","",IF(AND(ISNUMBER($G204),$G204&gt;P_HIST),"HISTAMINE "&amp;TEXT($G204,"#,##0")&amp;" PPM &gt; seuil "&amp;TEXT(P_HIST,"#,##0")&amp;". ","")&amp;IF(AND(ISNUMBER($F204),$P204="CONGELE",$F204&gt;P_TCONG),"TEMPERATURE "&amp;TEXT($F204,"0.0")&amp;" C hors seuil congele. ","")&amp;IF(AND(ISNUMBER($F204),$P204="FRAIS",$F204&gt;P_TFRAIS),"TEMPERATURE "&amp;TEXT($F204,"0.0")&amp;" C hors seuil frais. ","")&amp;IF($K204="BLOQUER","Lot bloque qualite : stock signale mais inchange. ","")&amp;IF($R204="EMPLACEMENT INCOHERENT","Lot absent de cet emplacement : controle conserve, stock inchange. ","")&amp;IF($R204="DONNEES MANQUANTES","Renseigner la DATE et au moins une mesure. ",""))</f>
        <v/>
      </c>
      <c r="T204" s="28" t="n">
        <f aca="false">IF(OR($C204="",$B204=""),0,IF(COUNTIFS(QC_LOT,$C204,QC_DATE,"&gt;"&amp;$B204)&gt;0,0,IF(COUNTIFS($C$5:$C204,$C204,$B$5:$B204,$B204)=COUNTIFS(QC_LOT,$C204,QC_DATE,$B204),1,0)))</f>
        <v>0</v>
      </c>
      <c r="U204" s="26" t="str">
        <f aca="false">IF($T204=1,$C204,"")</f>
        <v/>
      </c>
      <c r="V204" s="28" t="n">
        <f aca="false">IF($C204="",0,IF($C204=R_LOT,1,0))</f>
        <v>0</v>
      </c>
      <c r="W204" s="26" t="str">
        <f aca="false">IF($V204=0,"",COUNTIF($V$5:$V204,1))</f>
        <v/>
      </c>
    </row>
    <row r="205" customFormat="false" ht="15" hidden="false" customHeight="false" outlineLevel="0" collapsed="false">
      <c r="A205" s="26" t="str">
        <f aca="false">IF($C205="","","QC-"&amp;TEXT(ROW()-4,"000"))</f>
        <v/>
      </c>
      <c r="B205" s="25"/>
      <c r="C205" s="24"/>
      <c r="D205" s="24"/>
      <c r="E205" s="24"/>
      <c r="F205" s="32"/>
      <c r="G205" s="33"/>
      <c r="H205" s="24"/>
      <c r="I205" s="24"/>
      <c r="J205" s="24"/>
      <c r="K205" s="24"/>
      <c r="L205" s="24"/>
      <c r="M205" s="24"/>
      <c r="N205" s="26" t="str">
        <f aca="false">IF($C205="","",IFERROR(INDEX(LOT_EXTE,MATCH($C205,LOT_KEY,0)),""))</f>
        <v/>
      </c>
      <c r="O205" s="26" t="str">
        <f aca="false">IF($C205="","",IFERROR(INDEX(LOT_PRODE,MATCH($C205,LOT_KEY,0)),"LOT NON REFERENCE"))</f>
        <v/>
      </c>
      <c r="P205" s="26" t="str">
        <f aca="false">IF($C205="","",IFERROR(INDEX(LOT_CONSERVE,MATCH($C205,LOT_KEY,0)),""))</f>
        <v/>
      </c>
      <c r="Q205" s="27" t="str">
        <f aca="false">IF(OR($C205="",$D205=""),"",SUMIFS(MVT_NET,MVT_LOT,$C205,MVT_EMPL,$D205))</f>
        <v/>
      </c>
      <c r="R205" s="26" t="str">
        <f aca="false">IF($C205="","",IF(OR($B205="",AND($F205="",$G205="",$H205="",$I205="",$J205="",$K205="")),"DONNEES MANQUANTES",IF(AND($D205&lt;&gt;"",$Q205&lt;=0),"EMPLACEMENT INCOHERENT","OK")))</f>
        <v/>
      </c>
      <c r="S205" s="26" t="str">
        <f aca="false">IF($C205="","",IF(AND(ISNUMBER($G205),$G205&gt;P_HIST),"HISTAMINE "&amp;TEXT($G205,"#,##0")&amp;" PPM &gt; seuil "&amp;TEXT(P_HIST,"#,##0")&amp;". ","")&amp;IF(AND(ISNUMBER($F205),$P205="CONGELE",$F205&gt;P_TCONG),"TEMPERATURE "&amp;TEXT($F205,"0.0")&amp;" C hors seuil congele. ","")&amp;IF(AND(ISNUMBER($F205),$P205="FRAIS",$F205&gt;P_TFRAIS),"TEMPERATURE "&amp;TEXT($F205,"0.0")&amp;" C hors seuil frais. ","")&amp;IF($K205="BLOQUER","Lot bloque qualite : stock signale mais inchange. ","")&amp;IF($R205="EMPLACEMENT INCOHERENT","Lot absent de cet emplacement : controle conserve, stock inchange. ","")&amp;IF($R205="DONNEES MANQUANTES","Renseigner la DATE et au moins une mesure. ",""))</f>
        <v/>
      </c>
      <c r="T205" s="28" t="n">
        <f aca="false">IF(OR($C205="",$B205=""),0,IF(COUNTIFS(QC_LOT,$C205,QC_DATE,"&gt;"&amp;$B205)&gt;0,0,IF(COUNTIFS($C$5:$C205,$C205,$B$5:$B205,$B205)=COUNTIFS(QC_LOT,$C205,QC_DATE,$B205),1,0)))</f>
        <v>0</v>
      </c>
      <c r="U205" s="26" t="str">
        <f aca="false">IF($T205=1,$C205,"")</f>
        <v/>
      </c>
      <c r="V205" s="28" t="n">
        <f aca="false">IF($C205="",0,IF($C205=R_LOT,1,0))</f>
        <v>0</v>
      </c>
      <c r="W205" s="26" t="str">
        <f aca="false">IF($V205=0,"",COUNTIF($V$5:$V205,1))</f>
        <v/>
      </c>
    </row>
    <row r="206" customFormat="false" ht="15" hidden="false" customHeight="false" outlineLevel="0" collapsed="false">
      <c r="A206" s="26" t="str">
        <f aca="false">IF($C206="","","QC-"&amp;TEXT(ROW()-4,"000"))</f>
        <v/>
      </c>
      <c r="B206" s="25"/>
      <c r="C206" s="24"/>
      <c r="D206" s="24"/>
      <c r="E206" s="24"/>
      <c r="F206" s="32"/>
      <c r="G206" s="33"/>
      <c r="H206" s="24"/>
      <c r="I206" s="24"/>
      <c r="J206" s="24"/>
      <c r="K206" s="24"/>
      <c r="L206" s="24"/>
      <c r="M206" s="24"/>
      <c r="N206" s="26" t="str">
        <f aca="false">IF($C206="","",IFERROR(INDEX(LOT_EXTE,MATCH($C206,LOT_KEY,0)),""))</f>
        <v/>
      </c>
      <c r="O206" s="26" t="str">
        <f aca="false">IF($C206="","",IFERROR(INDEX(LOT_PRODE,MATCH($C206,LOT_KEY,0)),"LOT NON REFERENCE"))</f>
        <v/>
      </c>
      <c r="P206" s="26" t="str">
        <f aca="false">IF($C206="","",IFERROR(INDEX(LOT_CONSERVE,MATCH($C206,LOT_KEY,0)),""))</f>
        <v/>
      </c>
      <c r="Q206" s="27" t="str">
        <f aca="false">IF(OR($C206="",$D206=""),"",SUMIFS(MVT_NET,MVT_LOT,$C206,MVT_EMPL,$D206))</f>
        <v/>
      </c>
      <c r="R206" s="26" t="str">
        <f aca="false">IF($C206="","",IF(OR($B206="",AND($F206="",$G206="",$H206="",$I206="",$J206="",$K206="")),"DONNEES MANQUANTES",IF(AND($D206&lt;&gt;"",$Q206&lt;=0),"EMPLACEMENT INCOHERENT","OK")))</f>
        <v/>
      </c>
      <c r="S206" s="26" t="str">
        <f aca="false">IF($C206="","",IF(AND(ISNUMBER($G206),$G206&gt;P_HIST),"HISTAMINE "&amp;TEXT($G206,"#,##0")&amp;" PPM &gt; seuil "&amp;TEXT(P_HIST,"#,##0")&amp;". ","")&amp;IF(AND(ISNUMBER($F206),$P206="CONGELE",$F206&gt;P_TCONG),"TEMPERATURE "&amp;TEXT($F206,"0.0")&amp;" C hors seuil congele. ","")&amp;IF(AND(ISNUMBER($F206),$P206="FRAIS",$F206&gt;P_TFRAIS),"TEMPERATURE "&amp;TEXT($F206,"0.0")&amp;" C hors seuil frais. ","")&amp;IF($K206="BLOQUER","Lot bloque qualite : stock signale mais inchange. ","")&amp;IF($R206="EMPLACEMENT INCOHERENT","Lot absent de cet emplacement : controle conserve, stock inchange. ","")&amp;IF($R206="DONNEES MANQUANTES","Renseigner la DATE et au moins une mesure. ",""))</f>
        <v/>
      </c>
      <c r="T206" s="28" t="n">
        <f aca="false">IF(OR($C206="",$B206=""),0,IF(COUNTIFS(QC_LOT,$C206,QC_DATE,"&gt;"&amp;$B206)&gt;0,0,IF(COUNTIFS($C$5:$C206,$C206,$B$5:$B206,$B206)=COUNTIFS(QC_LOT,$C206,QC_DATE,$B206),1,0)))</f>
        <v>0</v>
      </c>
      <c r="U206" s="26" t="str">
        <f aca="false">IF($T206=1,$C206,"")</f>
        <v/>
      </c>
      <c r="V206" s="28" t="n">
        <f aca="false">IF($C206="",0,IF($C206=R_LOT,1,0))</f>
        <v>0</v>
      </c>
      <c r="W206" s="26" t="str">
        <f aca="false">IF($V206=0,"",COUNTIF($V$5:$V206,1))</f>
        <v/>
      </c>
    </row>
    <row r="207" customFormat="false" ht="15" hidden="false" customHeight="false" outlineLevel="0" collapsed="false">
      <c r="A207" s="26" t="str">
        <f aca="false">IF($C207="","","QC-"&amp;TEXT(ROW()-4,"000"))</f>
        <v/>
      </c>
      <c r="B207" s="25"/>
      <c r="C207" s="24"/>
      <c r="D207" s="24"/>
      <c r="E207" s="24"/>
      <c r="F207" s="32"/>
      <c r="G207" s="33"/>
      <c r="H207" s="24"/>
      <c r="I207" s="24"/>
      <c r="J207" s="24"/>
      <c r="K207" s="24"/>
      <c r="L207" s="24"/>
      <c r="M207" s="24"/>
      <c r="N207" s="26" t="str">
        <f aca="false">IF($C207="","",IFERROR(INDEX(LOT_EXTE,MATCH($C207,LOT_KEY,0)),""))</f>
        <v/>
      </c>
      <c r="O207" s="26" t="str">
        <f aca="false">IF($C207="","",IFERROR(INDEX(LOT_PRODE,MATCH($C207,LOT_KEY,0)),"LOT NON REFERENCE"))</f>
        <v/>
      </c>
      <c r="P207" s="26" t="str">
        <f aca="false">IF($C207="","",IFERROR(INDEX(LOT_CONSERVE,MATCH($C207,LOT_KEY,0)),""))</f>
        <v/>
      </c>
      <c r="Q207" s="27" t="str">
        <f aca="false">IF(OR($C207="",$D207=""),"",SUMIFS(MVT_NET,MVT_LOT,$C207,MVT_EMPL,$D207))</f>
        <v/>
      </c>
      <c r="R207" s="26" t="str">
        <f aca="false">IF($C207="","",IF(OR($B207="",AND($F207="",$G207="",$H207="",$I207="",$J207="",$K207="")),"DONNEES MANQUANTES",IF(AND($D207&lt;&gt;"",$Q207&lt;=0),"EMPLACEMENT INCOHERENT","OK")))</f>
        <v/>
      </c>
      <c r="S207" s="26" t="str">
        <f aca="false">IF($C207="","",IF(AND(ISNUMBER($G207),$G207&gt;P_HIST),"HISTAMINE "&amp;TEXT($G207,"#,##0")&amp;" PPM &gt; seuil "&amp;TEXT(P_HIST,"#,##0")&amp;". ","")&amp;IF(AND(ISNUMBER($F207),$P207="CONGELE",$F207&gt;P_TCONG),"TEMPERATURE "&amp;TEXT($F207,"0.0")&amp;" C hors seuil congele. ","")&amp;IF(AND(ISNUMBER($F207),$P207="FRAIS",$F207&gt;P_TFRAIS),"TEMPERATURE "&amp;TEXT($F207,"0.0")&amp;" C hors seuil frais. ","")&amp;IF($K207="BLOQUER","Lot bloque qualite : stock signale mais inchange. ","")&amp;IF($R207="EMPLACEMENT INCOHERENT","Lot absent de cet emplacement : controle conserve, stock inchange. ","")&amp;IF($R207="DONNEES MANQUANTES","Renseigner la DATE et au moins une mesure. ",""))</f>
        <v/>
      </c>
      <c r="T207" s="28" t="n">
        <f aca="false">IF(OR($C207="",$B207=""),0,IF(COUNTIFS(QC_LOT,$C207,QC_DATE,"&gt;"&amp;$B207)&gt;0,0,IF(COUNTIFS($C$5:$C207,$C207,$B$5:$B207,$B207)=COUNTIFS(QC_LOT,$C207,QC_DATE,$B207),1,0)))</f>
        <v>0</v>
      </c>
      <c r="U207" s="26" t="str">
        <f aca="false">IF($T207=1,$C207,"")</f>
        <v/>
      </c>
      <c r="V207" s="28" t="n">
        <f aca="false">IF($C207="",0,IF($C207=R_LOT,1,0))</f>
        <v>0</v>
      </c>
      <c r="W207" s="26" t="str">
        <f aca="false">IF($V207=0,"",COUNTIF($V$5:$V207,1))</f>
        <v/>
      </c>
    </row>
    <row r="208" customFormat="false" ht="15" hidden="false" customHeight="false" outlineLevel="0" collapsed="false">
      <c r="A208" s="26" t="str">
        <f aca="false">IF($C208="","","QC-"&amp;TEXT(ROW()-4,"000"))</f>
        <v/>
      </c>
      <c r="B208" s="25"/>
      <c r="C208" s="24"/>
      <c r="D208" s="24"/>
      <c r="E208" s="24"/>
      <c r="F208" s="32"/>
      <c r="G208" s="33"/>
      <c r="H208" s="24"/>
      <c r="I208" s="24"/>
      <c r="J208" s="24"/>
      <c r="K208" s="24"/>
      <c r="L208" s="24"/>
      <c r="M208" s="24"/>
      <c r="N208" s="26" t="str">
        <f aca="false">IF($C208="","",IFERROR(INDEX(LOT_EXTE,MATCH($C208,LOT_KEY,0)),""))</f>
        <v/>
      </c>
      <c r="O208" s="26" t="str">
        <f aca="false">IF($C208="","",IFERROR(INDEX(LOT_PRODE,MATCH($C208,LOT_KEY,0)),"LOT NON REFERENCE"))</f>
        <v/>
      </c>
      <c r="P208" s="26" t="str">
        <f aca="false">IF($C208="","",IFERROR(INDEX(LOT_CONSERVE,MATCH($C208,LOT_KEY,0)),""))</f>
        <v/>
      </c>
      <c r="Q208" s="27" t="str">
        <f aca="false">IF(OR($C208="",$D208=""),"",SUMIFS(MVT_NET,MVT_LOT,$C208,MVT_EMPL,$D208))</f>
        <v/>
      </c>
      <c r="R208" s="26" t="str">
        <f aca="false">IF($C208="","",IF(OR($B208="",AND($F208="",$G208="",$H208="",$I208="",$J208="",$K208="")),"DONNEES MANQUANTES",IF(AND($D208&lt;&gt;"",$Q208&lt;=0),"EMPLACEMENT INCOHERENT","OK")))</f>
        <v/>
      </c>
      <c r="S208" s="26" t="str">
        <f aca="false">IF($C208="","",IF(AND(ISNUMBER($G208),$G208&gt;P_HIST),"HISTAMINE "&amp;TEXT($G208,"#,##0")&amp;" PPM &gt; seuil "&amp;TEXT(P_HIST,"#,##0")&amp;". ","")&amp;IF(AND(ISNUMBER($F208),$P208="CONGELE",$F208&gt;P_TCONG),"TEMPERATURE "&amp;TEXT($F208,"0.0")&amp;" C hors seuil congele. ","")&amp;IF(AND(ISNUMBER($F208),$P208="FRAIS",$F208&gt;P_TFRAIS),"TEMPERATURE "&amp;TEXT($F208,"0.0")&amp;" C hors seuil frais. ","")&amp;IF($K208="BLOQUER","Lot bloque qualite : stock signale mais inchange. ","")&amp;IF($R208="EMPLACEMENT INCOHERENT","Lot absent de cet emplacement : controle conserve, stock inchange. ","")&amp;IF($R208="DONNEES MANQUANTES","Renseigner la DATE et au moins une mesure. ",""))</f>
        <v/>
      </c>
      <c r="T208" s="28" t="n">
        <f aca="false">IF(OR($C208="",$B208=""),0,IF(COUNTIFS(QC_LOT,$C208,QC_DATE,"&gt;"&amp;$B208)&gt;0,0,IF(COUNTIFS($C$5:$C208,$C208,$B$5:$B208,$B208)=COUNTIFS(QC_LOT,$C208,QC_DATE,$B208),1,0)))</f>
        <v>0</v>
      </c>
      <c r="U208" s="26" t="str">
        <f aca="false">IF($T208=1,$C208,"")</f>
        <v/>
      </c>
      <c r="V208" s="28" t="n">
        <f aca="false">IF($C208="",0,IF($C208=R_LOT,1,0))</f>
        <v>0</v>
      </c>
      <c r="W208" s="26" t="str">
        <f aca="false">IF($V208=0,"",COUNTIF($V$5:$V208,1))</f>
        <v/>
      </c>
    </row>
    <row r="209" customFormat="false" ht="15" hidden="false" customHeight="false" outlineLevel="0" collapsed="false">
      <c r="A209" s="26" t="str">
        <f aca="false">IF($C209="","","QC-"&amp;TEXT(ROW()-4,"000"))</f>
        <v/>
      </c>
      <c r="B209" s="25"/>
      <c r="C209" s="24"/>
      <c r="D209" s="24"/>
      <c r="E209" s="24"/>
      <c r="F209" s="32"/>
      <c r="G209" s="33"/>
      <c r="H209" s="24"/>
      <c r="I209" s="24"/>
      <c r="J209" s="24"/>
      <c r="K209" s="24"/>
      <c r="L209" s="24"/>
      <c r="M209" s="24"/>
      <c r="N209" s="26" t="str">
        <f aca="false">IF($C209="","",IFERROR(INDEX(LOT_EXTE,MATCH($C209,LOT_KEY,0)),""))</f>
        <v/>
      </c>
      <c r="O209" s="26" t="str">
        <f aca="false">IF($C209="","",IFERROR(INDEX(LOT_PRODE,MATCH($C209,LOT_KEY,0)),"LOT NON REFERENCE"))</f>
        <v/>
      </c>
      <c r="P209" s="26" t="str">
        <f aca="false">IF($C209="","",IFERROR(INDEX(LOT_CONSERVE,MATCH($C209,LOT_KEY,0)),""))</f>
        <v/>
      </c>
      <c r="Q209" s="27" t="str">
        <f aca="false">IF(OR($C209="",$D209=""),"",SUMIFS(MVT_NET,MVT_LOT,$C209,MVT_EMPL,$D209))</f>
        <v/>
      </c>
      <c r="R209" s="26" t="str">
        <f aca="false">IF($C209="","",IF(OR($B209="",AND($F209="",$G209="",$H209="",$I209="",$J209="",$K209="")),"DONNEES MANQUANTES",IF(AND($D209&lt;&gt;"",$Q209&lt;=0),"EMPLACEMENT INCOHERENT","OK")))</f>
        <v/>
      </c>
      <c r="S209" s="26" t="str">
        <f aca="false">IF($C209="","",IF(AND(ISNUMBER($G209),$G209&gt;P_HIST),"HISTAMINE "&amp;TEXT($G209,"#,##0")&amp;" PPM &gt; seuil "&amp;TEXT(P_HIST,"#,##0")&amp;". ","")&amp;IF(AND(ISNUMBER($F209),$P209="CONGELE",$F209&gt;P_TCONG),"TEMPERATURE "&amp;TEXT($F209,"0.0")&amp;" C hors seuil congele. ","")&amp;IF(AND(ISNUMBER($F209),$P209="FRAIS",$F209&gt;P_TFRAIS),"TEMPERATURE "&amp;TEXT($F209,"0.0")&amp;" C hors seuil frais. ","")&amp;IF($K209="BLOQUER","Lot bloque qualite : stock signale mais inchange. ","")&amp;IF($R209="EMPLACEMENT INCOHERENT","Lot absent de cet emplacement : controle conserve, stock inchange. ","")&amp;IF($R209="DONNEES MANQUANTES","Renseigner la DATE et au moins une mesure. ",""))</f>
        <v/>
      </c>
      <c r="T209" s="28" t="n">
        <f aca="false">IF(OR($C209="",$B209=""),0,IF(COUNTIFS(QC_LOT,$C209,QC_DATE,"&gt;"&amp;$B209)&gt;0,0,IF(COUNTIFS($C$5:$C209,$C209,$B$5:$B209,$B209)=COUNTIFS(QC_LOT,$C209,QC_DATE,$B209),1,0)))</f>
        <v>0</v>
      </c>
      <c r="U209" s="26" t="str">
        <f aca="false">IF($T209=1,$C209,"")</f>
        <v/>
      </c>
      <c r="V209" s="28" t="n">
        <f aca="false">IF($C209="",0,IF($C209=R_LOT,1,0))</f>
        <v>0</v>
      </c>
      <c r="W209" s="26" t="str">
        <f aca="false">IF($V209=0,"",COUNTIF($V$5:$V209,1))</f>
        <v/>
      </c>
    </row>
    <row r="210" customFormat="false" ht="15" hidden="false" customHeight="false" outlineLevel="0" collapsed="false">
      <c r="A210" s="26" t="str">
        <f aca="false">IF($C210="","","QC-"&amp;TEXT(ROW()-4,"000"))</f>
        <v/>
      </c>
      <c r="B210" s="25"/>
      <c r="C210" s="24"/>
      <c r="D210" s="24"/>
      <c r="E210" s="24"/>
      <c r="F210" s="32"/>
      <c r="G210" s="33"/>
      <c r="H210" s="24"/>
      <c r="I210" s="24"/>
      <c r="J210" s="24"/>
      <c r="K210" s="24"/>
      <c r="L210" s="24"/>
      <c r="M210" s="24"/>
      <c r="N210" s="26" t="str">
        <f aca="false">IF($C210="","",IFERROR(INDEX(LOT_EXTE,MATCH($C210,LOT_KEY,0)),""))</f>
        <v/>
      </c>
      <c r="O210" s="26" t="str">
        <f aca="false">IF($C210="","",IFERROR(INDEX(LOT_PRODE,MATCH($C210,LOT_KEY,0)),"LOT NON REFERENCE"))</f>
        <v/>
      </c>
      <c r="P210" s="26" t="str">
        <f aca="false">IF($C210="","",IFERROR(INDEX(LOT_CONSERVE,MATCH($C210,LOT_KEY,0)),""))</f>
        <v/>
      </c>
      <c r="Q210" s="27" t="str">
        <f aca="false">IF(OR($C210="",$D210=""),"",SUMIFS(MVT_NET,MVT_LOT,$C210,MVT_EMPL,$D210))</f>
        <v/>
      </c>
      <c r="R210" s="26" t="str">
        <f aca="false">IF($C210="","",IF(OR($B210="",AND($F210="",$G210="",$H210="",$I210="",$J210="",$K210="")),"DONNEES MANQUANTES",IF(AND($D210&lt;&gt;"",$Q210&lt;=0),"EMPLACEMENT INCOHERENT","OK")))</f>
        <v/>
      </c>
      <c r="S210" s="26" t="str">
        <f aca="false">IF($C210="","",IF(AND(ISNUMBER($G210),$G210&gt;P_HIST),"HISTAMINE "&amp;TEXT($G210,"#,##0")&amp;" PPM &gt; seuil "&amp;TEXT(P_HIST,"#,##0")&amp;". ","")&amp;IF(AND(ISNUMBER($F210),$P210="CONGELE",$F210&gt;P_TCONG),"TEMPERATURE "&amp;TEXT($F210,"0.0")&amp;" C hors seuil congele. ","")&amp;IF(AND(ISNUMBER($F210),$P210="FRAIS",$F210&gt;P_TFRAIS),"TEMPERATURE "&amp;TEXT($F210,"0.0")&amp;" C hors seuil frais. ","")&amp;IF($K210="BLOQUER","Lot bloque qualite : stock signale mais inchange. ","")&amp;IF($R210="EMPLACEMENT INCOHERENT","Lot absent de cet emplacement : controle conserve, stock inchange. ","")&amp;IF($R210="DONNEES MANQUANTES","Renseigner la DATE et au moins une mesure. ",""))</f>
        <v/>
      </c>
      <c r="T210" s="28" t="n">
        <f aca="false">IF(OR($C210="",$B210=""),0,IF(COUNTIFS(QC_LOT,$C210,QC_DATE,"&gt;"&amp;$B210)&gt;0,0,IF(COUNTIFS($C$5:$C210,$C210,$B$5:$B210,$B210)=COUNTIFS(QC_LOT,$C210,QC_DATE,$B210),1,0)))</f>
        <v>0</v>
      </c>
      <c r="U210" s="26" t="str">
        <f aca="false">IF($T210=1,$C210,"")</f>
        <v/>
      </c>
      <c r="V210" s="28" t="n">
        <f aca="false">IF($C210="",0,IF($C210=R_LOT,1,0))</f>
        <v>0</v>
      </c>
      <c r="W210" s="26" t="str">
        <f aca="false">IF($V210=0,"",COUNTIF($V$5:$V210,1))</f>
        <v/>
      </c>
    </row>
    <row r="211" customFormat="false" ht="15" hidden="false" customHeight="false" outlineLevel="0" collapsed="false">
      <c r="A211" s="26" t="str">
        <f aca="false">IF($C211="","","QC-"&amp;TEXT(ROW()-4,"000"))</f>
        <v/>
      </c>
      <c r="B211" s="25"/>
      <c r="C211" s="24"/>
      <c r="D211" s="24"/>
      <c r="E211" s="24"/>
      <c r="F211" s="32"/>
      <c r="G211" s="33"/>
      <c r="H211" s="24"/>
      <c r="I211" s="24"/>
      <c r="J211" s="24"/>
      <c r="K211" s="24"/>
      <c r="L211" s="24"/>
      <c r="M211" s="24"/>
      <c r="N211" s="26" t="str">
        <f aca="false">IF($C211="","",IFERROR(INDEX(LOT_EXTE,MATCH($C211,LOT_KEY,0)),""))</f>
        <v/>
      </c>
      <c r="O211" s="26" t="str">
        <f aca="false">IF($C211="","",IFERROR(INDEX(LOT_PRODE,MATCH($C211,LOT_KEY,0)),"LOT NON REFERENCE"))</f>
        <v/>
      </c>
      <c r="P211" s="26" t="str">
        <f aca="false">IF($C211="","",IFERROR(INDEX(LOT_CONSERVE,MATCH($C211,LOT_KEY,0)),""))</f>
        <v/>
      </c>
      <c r="Q211" s="27" t="str">
        <f aca="false">IF(OR($C211="",$D211=""),"",SUMIFS(MVT_NET,MVT_LOT,$C211,MVT_EMPL,$D211))</f>
        <v/>
      </c>
      <c r="R211" s="26" t="str">
        <f aca="false">IF($C211="","",IF(OR($B211="",AND($F211="",$G211="",$H211="",$I211="",$J211="",$K211="")),"DONNEES MANQUANTES",IF(AND($D211&lt;&gt;"",$Q211&lt;=0),"EMPLACEMENT INCOHERENT","OK")))</f>
        <v/>
      </c>
      <c r="S211" s="26" t="str">
        <f aca="false">IF($C211="","",IF(AND(ISNUMBER($G211),$G211&gt;P_HIST),"HISTAMINE "&amp;TEXT($G211,"#,##0")&amp;" PPM &gt; seuil "&amp;TEXT(P_HIST,"#,##0")&amp;". ","")&amp;IF(AND(ISNUMBER($F211),$P211="CONGELE",$F211&gt;P_TCONG),"TEMPERATURE "&amp;TEXT($F211,"0.0")&amp;" C hors seuil congele. ","")&amp;IF(AND(ISNUMBER($F211),$P211="FRAIS",$F211&gt;P_TFRAIS),"TEMPERATURE "&amp;TEXT($F211,"0.0")&amp;" C hors seuil frais. ","")&amp;IF($K211="BLOQUER","Lot bloque qualite : stock signale mais inchange. ","")&amp;IF($R211="EMPLACEMENT INCOHERENT","Lot absent de cet emplacement : controle conserve, stock inchange. ","")&amp;IF($R211="DONNEES MANQUANTES","Renseigner la DATE et au moins une mesure. ",""))</f>
        <v/>
      </c>
      <c r="T211" s="28" t="n">
        <f aca="false">IF(OR($C211="",$B211=""),0,IF(COUNTIFS(QC_LOT,$C211,QC_DATE,"&gt;"&amp;$B211)&gt;0,0,IF(COUNTIFS($C$5:$C211,$C211,$B$5:$B211,$B211)=COUNTIFS(QC_LOT,$C211,QC_DATE,$B211),1,0)))</f>
        <v>0</v>
      </c>
      <c r="U211" s="26" t="str">
        <f aca="false">IF($T211=1,$C211,"")</f>
        <v/>
      </c>
      <c r="V211" s="28" t="n">
        <f aca="false">IF($C211="",0,IF($C211=R_LOT,1,0))</f>
        <v>0</v>
      </c>
      <c r="W211" s="26" t="str">
        <f aca="false">IF($V211=0,"",COUNTIF($V$5:$V211,1))</f>
        <v/>
      </c>
    </row>
    <row r="212" customFormat="false" ht="15" hidden="false" customHeight="false" outlineLevel="0" collapsed="false">
      <c r="A212" s="26" t="str">
        <f aca="false">IF($C212="","","QC-"&amp;TEXT(ROW()-4,"000"))</f>
        <v/>
      </c>
      <c r="B212" s="25"/>
      <c r="C212" s="24"/>
      <c r="D212" s="24"/>
      <c r="E212" s="24"/>
      <c r="F212" s="32"/>
      <c r="G212" s="33"/>
      <c r="H212" s="24"/>
      <c r="I212" s="24"/>
      <c r="J212" s="24"/>
      <c r="K212" s="24"/>
      <c r="L212" s="24"/>
      <c r="M212" s="24"/>
      <c r="N212" s="26" t="str">
        <f aca="false">IF($C212="","",IFERROR(INDEX(LOT_EXTE,MATCH($C212,LOT_KEY,0)),""))</f>
        <v/>
      </c>
      <c r="O212" s="26" t="str">
        <f aca="false">IF($C212="","",IFERROR(INDEX(LOT_PRODE,MATCH($C212,LOT_KEY,0)),"LOT NON REFERENCE"))</f>
        <v/>
      </c>
      <c r="P212" s="26" t="str">
        <f aca="false">IF($C212="","",IFERROR(INDEX(LOT_CONSERVE,MATCH($C212,LOT_KEY,0)),""))</f>
        <v/>
      </c>
      <c r="Q212" s="27" t="str">
        <f aca="false">IF(OR($C212="",$D212=""),"",SUMIFS(MVT_NET,MVT_LOT,$C212,MVT_EMPL,$D212))</f>
        <v/>
      </c>
      <c r="R212" s="26" t="str">
        <f aca="false">IF($C212="","",IF(OR($B212="",AND($F212="",$G212="",$H212="",$I212="",$J212="",$K212="")),"DONNEES MANQUANTES",IF(AND($D212&lt;&gt;"",$Q212&lt;=0),"EMPLACEMENT INCOHERENT","OK")))</f>
        <v/>
      </c>
      <c r="S212" s="26" t="str">
        <f aca="false">IF($C212="","",IF(AND(ISNUMBER($G212),$G212&gt;P_HIST),"HISTAMINE "&amp;TEXT($G212,"#,##0")&amp;" PPM &gt; seuil "&amp;TEXT(P_HIST,"#,##0")&amp;". ","")&amp;IF(AND(ISNUMBER($F212),$P212="CONGELE",$F212&gt;P_TCONG),"TEMPERATURE "&amp;TEXT($F212,"0.0")&amp;" C hors seuil congele. ","")&amp;IF(AND(ISNUMBER($F212),$P212="FRAIS",$F212&gt;P_TFRAIS),"TEMPERATURE "&amp;TEXT($F212,"0.0")&amp;" C hors seuil frais. ","")&amp;IF($K212="BLOQUER","Lot bloque qualite : stock signale mais inchange. ","")&amp;IF($R212="EMPLACEMENT INCOHERENT","Lot absent de cet emplacement : controle conserve, stock inchange. ","")&amp;IF($R212="DONNEES MANQUANTES","Renseigner la DATE et au moins une mesure. ",""))</f>
        <v/>
      </c>
      <c r="T212" s="28" t="n">
        <f aca="false">IF(OR($C212="",$B212=""),0,IF(COUNTIFS(QC_LOT,$C212,QC_DATE,"&gt;"&amp;$B212)&gt;0,0,IF(COUNTIFS($C$5:$C212,$C212,$B$5:$B212,$B212)=COUNTIFS(QC_LOT,$C212,QC_DATE,$B212),1,0)))</f>
        <v>0</v>
      </c>
      <c r="U212" s="26" t="str">
        <f aca="false">IF($T212=1,$C212,"")</f>
        <v/>
      </c>
      <c r="V212" s="28" t="n">
        <f aca="false">IF($C212="",0,IF($C212=R_LOT,1,0))</f>
        <v>0</v>
      </c>
      <c r="W212" s="26" t="str">
        <f aca="false">IF($V212=0,"",COUNTIF($V$5:$V212,1))</f>
        <v/>
      </c>
    </row>
    <row r="213" customFormat="false" ht="15" hidden="false" customHeight="false" outlineLevel="0" collapsed="false">
      <c r="A213" s="26" t="str">
        <f aca="false">IF($C213="","","QC-"&amp;TEXT(ROW()-4,"000"))</f>
        <v/>
      </c>
      <c r="B213" s="25"/>
      <c r="C213" s="24"/>
      <c r="D213" s="24"/>
      <c r="E213" s="24"/>
      <c r="F213" s="32"/>
      <c r="G213" s="33"/>
      <c r="H213" s="24"/>
      <c r="I213" s="24"/>
      <c r="J213" s="24"/>
      <c r="K213" s="24"/>
      <c r="L213" s="24"/>
      <c r="M213" s="24"/>
      <c r="N213" s="26" t="str">
        <f aca="false">IF($C213="","",IFERROR(INDEX(LOT_EXTE,MATCH($C213,LOT_KEY,0)),""))</f>
        <v/>
      </c>
      <c r="O213" s="26" t="str">
        <f aca="false">IF($C213="","",IFERROR(INDEX(LOT_PRODE,MATCH($C213,LOT_KEY,0)),"LOT NON REFERENCE"))</f>
        <v/>
      </c>
      <c r="P213" s="26" t="str">
        <f aca="false">IF($C213="","",IFERROR(INDEX(LOT_CONSERVE,MATCH($C213,LOT_KEY,0)),""))</f>
        <v/>
      </c>
      <c r="Q213" s="27" t="str">
        <f aca="false">IF(OR($C213="",$D213=""),"",SUMIFS(MVT_NET,MVT_LOT,$C213,MVT_EMPL,$D213))</f>
        <v/>
      </c>
      <c r="R213" s="26" t="str">
        <f aca="false">IF($C213="","",IF(OR($B213="",AND($F213="",$G213="",$H213="",$I213="",$J213="",$K213="")),"DONNEES MANQUANTES",IF(AND($D213&lt;&gt;"",$Q213&lt;=0),"EMPLACEMENT INCOHERENT","OK")))</f>
        <v/>
      </c>
      <c r="S213" s="26" t="str">
        <f aca="false">IF($C213="","",IF(AND(ISNUMBER($G213),$G213&gt;P_HIST),"HISTAMINE "&amp;TEXT($G213,"#,##0")&amp;" PPM &gt; seuil "&amp;TEXT(P_HIST,"#,##0")&amp;". ","")&amp;IF(AND(ISNUMBER($F213),$P213="CONGELE",$F213&gt;P_TCONG),"TEMPERATURE "&amp;TEXT($F213,"0.0")&amp;" C hors seuil congele. ","")&amp;IF(AND(ISNUMBER($F213),$P213="FRAIS",$F213&gt;P_TFRAIS),"TEMPERATURE "&amp;TEXT($F213,"0.0")&amp;" C hors seuil frais. ","")&amp;IF($K213="BLOQUER","Lot bloque qualite : stock signale mais inchange. ","")&amp;IF($R213="EMPLACEMENT INCOHERENT","Lot absent de cet emplacement : controle conserve, stock inchange. ","")&amp;IF($R213="DONNEES MANQUANTES","Renseigner la DATE et au moins une mesure. ",""))</f>
        <v/>
      </c>
      <c r="T213" s="28" t="n">
        <f aca="false">IF(OR($C213="",$B213=""),0,IF(COUNTIFS(QC_LOT,$C213,QC_DATE,"&gt;"&amp;$B213)&gt;0,0,IF(COUNTIFS($C$5:$C213,$C213,$B$5:$B213,$B213)=COUNTIFS(QC_LOT,$C213,QC_DATE,$B213),1,0)))</f>
        <v>0</v>
      </c>
      <c r="U213" s="26" t="str">
        <f aca="false">IF($T213=1,$C213,"")</f>
        <v/>
      </c>
      <c r="V213" s="28" t="n">
        <f aca="false">IF($C213="",0,IF($C213=R_LOT,1,0))</f>
        <v>0</v>
      </c>
      <c r="W213" s="26" t="str">
        <f aca="false">IF($V213=0,"",COUNTIF($V$5:$V213,1))</f>
        <v/>
      </c>
    </row>
    <row r="214" customFormat="false" ht="15" hidden="false" customHeight="false" outlineLevel="0" collapsed="false">
      <c r="A214" s="26" t="str">
        <f aca="false">IF($C214="","","QC-"&amp;TEXT(ROW()-4,"000"))</f>
        <v/>
      </c>
      <c r="B214" s="25"/>
      <c r="C214" s="24"/>
      <c r="D214" s="24"/>
      <c r="E214" s="24"/>
      <c r="F214" s="32"/>
      <c r="G214" s="33"/>
      <c r="H214" s="24"/>
      <c r="I214" s="24"/>
      <c r="J214" s="24"/>
      <c r="K214" s="24"/>
      <c r="L214" s="24"/>
      <c r="M214" s="24"/>
      <c r="N214" s="26" t="str">
        <f aca="false">IF($C214="","",IFERROR(INDEX(LOT_EXTE,MATCH($C214,LOT_KEY,0)),""))</f>
        <v/>
      </c>
      <c r="O214" s="26" t="str">
        <f aca="false">IF($C214="","",IFERROR(INDEX(LOT_PRODE,MATCH($C214,LOT_KEY,0)),"LOT NON REFERENCE"))</f>
        <v/>
      </c>
      <c r="P214" s="26" t="str">
        <f aca="false">IF($C214="","",IFERROR(INDEX(LOT_CONSERVE,MATCH($C214,LOT_KEY,0)),""))</f>
        <v/>
      </c>
      <c r="Q214" s="27" t="str">
        <f aca="false">IF(OR($C214="",$D214=""),"",SUMIFS(MVT_NET,MVT_LOT,$C214,MVT_EMPL,$D214))</f>
        <v/>
      </c>
      <c r="R214" s="26" t="str">
        <f aca="false">IF($C214="","",IF(OR($B214="",AND($F214="",$G214="",$H214="",$I214="",$J214="",$K214="")),"DONNEES MANQUANTES",IF(AND($D214&lt;&gt;"",$Q214&lt;=0),"EMPLACEMENT INCOHERENT","OK")))</f>
        <v/>
      </c>
      <c r="S214" s="26" t="str">
        <f aca="false">IF($C214="","",IF(AND(ISNUMBER($G214),$G214&gt;P_HIST),"HISTAMINE "&amp;TEXT($G214,"#,##0")&amp;" PPM &gt; seuil "&amp;TEXT(P_HIST,"#,##0")&amp;". ","")&amp;IF(AND(ISNUMBER($F214),$P214="CONGELE",$F214&gt;P_TCONG),"TEMPERATURE "&amp;TEXT($F214,"0.0")&amp;" C hors seuil congele. ","")&amp;IF(AND(ISNUMBER($F214),$P214="FRAIS",$F214&gt;P_TFRAIS),"TEMPERATURE "&amp;TEXT($F214,"0.0")&amp;" C hors seuil frais. ","")&amp;IF($K214="BLOQUER","Lot bloque qualite : stock signale mais inchange. ","")&amp;IF($R214="EMPLACEMENT INCOHERENT","Lot absent de cet emplacement : controle conserve, stock inchange. ","")&amp;IF($R214="DONNEES MANQUANTES","Renseigner la DATE et au moins une mesure. ",""))</f>
        <v/>
      </c>
      <c r="T214" s="28" t="n">
        <f aca="false">IF(OR($C214="",$B214=""),0,IF(COUNTIFS(QC_LOT,$C214,QC_DATE,"&gt;"&amp;$B214)&gt;0,0,IF(COUNTIFS($C$5:$C214,$C214,$B$5:$B214,$B214)=COUNTIFS(QC_LOT,$C214,QC_DATE,$B214),1,0)))</f>
        <v>0</v>
      </c>
      <c r="U214" s="26" t="str">
        <f aca="false">IF($T214=1,$C214,"")</f>
        <v/>
      </c>
      <c r="V214" s="28" t="n">
        <f aca="false">IF($C214="",0,IF($C214=R_LOT,1,0))</f>
        <v>0</v>
      </c>
      <c r="W214" s="26" t="str">
        <f aca="false">IF($V214=0,"",COUNTIF($V$5:$V214,1))</f>
        <v/>
      </c>
    </row>
    <row r="215" customFormat="false" ht="15" hidden="false" customHeight="false" outlineLevel="0" collapsed="false">
      <c r="A215" s="26" t="str">
        <f aca="false">IF($C215="","","QC-"&amp;TEXT(ROW()-4,"000"))</f>
        <v/>
      </c>
      <c r="B215" s="25"/>
      <c r="C215" s="24"/>
      <c r="D215" s="24"/>
      <c r="E215" s="24"/>
      <c r="F215" s="32"/>
      <c r="G215" s="33"/>
      <c r="H215" s="24"/>
      <c r="I215" s="24"/>
      <c r="J215" s="24"/>
      <c r="K215" s="24"/>
      <c r="L215" s="24"/>
      <c r="M215" s="24"/>
      <c r="N215" s="26" t="str">
        <f aca="false">IF($C215="","",IFERROR(INDEX(LOT_EXTE,MATCH($C215,LOT_KEY,0)),""))</f>
        <v/>
      </c>
      <c r="O215" s="26" t="str">
        <f aca="false">IF($C215="","",IFERROR(INDEX(LOT_PRODE,MATCH($C215,LOT_KEY,0)),"LOT NON REFERENCE"))</f>
        <v/>
      </c>
      <c r="P215" s="26" t="str">
        <f aca="false">IF($C215="","",IFERROR(INDEX(LOT_CONSERVE,MATCH($C215,LOT_KEY,0)),""))</f>
        <v/>
      </c>
      <c r="Q215" s="27" t="str">
        <f aca="false">IF(OR($C215="",$D215=""),"",SUMIFS(MVT_NET,MVT_LOT,$C215,MVT_EMPL,$D215))</f>
        <v/>
      </c>
      <c r="R215" s="26" t="str">
        <f aca="false">IF($C215="","",IF(OR($B215="",AND($F215="",$G215="",$H215="",$I215="",$J215="",$K215="")),"DONNEES MANQUANTES",IF(AND($D215&lt;&gt;"",$Q215&lt;=0),"EMPLACEMENT INCOHERENT","OK")))</f>
        <v/>
      </c>
      <c r="S215" s="26" t="str">
        <f aca="false">IF($C215="","",IF(AND(ISNUMBER($G215),$G215&gt;P_HIST),"HISTAMINE "&amp;TEXT($G215,"#,##0")&amp;" PPM &gt; seuil "&amp;TEXT(P_HIST,"#,##0")&amp;". ","")&amp;IF(AND(ISNUMBER($F215),$P215="CONGELE",$F215&gt;P_TCONG),"TEMPERATURE "&amp;TEXT($F215,"0.0")&amp;" C hors seuil congele. ","")&amp;IF(AND(ISNUMBER($F215),$P215="FRAIS",$F215&gt;P_TFRAIS),"TEMPERATURE "&amp;TEXT($F215,"0.0")&amp;" C hors seuil frais. ","")&amp;IF($K215="BLOQUER","Lot bloque qualite : stock signale mais inchange. ","")&amp;IF($R215="EMPLACEMENT INCOHERENT","Lot absent de cet emplacement : controle conserve, stock inchange. ","")&amp;IF($R215="DONNEES MANQUANTES","Renseigner la DATE et au moins une mesure. ",""))</f>
        <v/>
      </c>
      <c r="T215" s="28" t="n">
        <f aca="false">IF(OR($C215="",$B215=""),0,IF(COUNTIFS(QC_LOT,$C215,QC_DATE,"&gt;"&amp;$B215)&gt;0,0,IF(COUNTIFS($C$5:$C215,$C215,$B$5:$B215,$B215)=COUNTIFS(QC_LOT,$C215,QC_DATE,$B215),1,0)))</f>
        <v>0</v>
      </c>
      <c r="U215" s="26" t="str">
        <f aca="false">IF($T215=1,$C215,"")</f>
        <v/>
      </c>
      <c r="V215" s="28" t="n">
        <f aca="false">IF($C215="",0,IF($C215=R_LOT,1,0))</f>
        <v>0</v>
      </c>
      <c r="W215" s="26" t="str">
        <f aca="false">IF($V215=0,"",COUNTIF($V$5:$V215,1))</f>
        <v/>
      </c>
    </row>
    <row r="216" customFormat="false" ht="15" hidden="false" customHeight="false" outlineLevel="0" collapsed="false">
      <c r="A216" s="26" t="str">
        <f aca="false">IF($C216="","","QC-"&amp;TEXT(ROW()-4,"000"))</f>
        <v/>
      </c>
      <c r="B216" s="25"/>
      <c r="C216" s="24"/>
      <c r="D216" s="24"/>
      <c r="E216" s="24"/>
      <c r="F216" s="32"/>
      <c r="G216" s="33"/>
      <c r="H216" s="24"/>
      <c r="I216" s="24"/>
      <c r="J216" s="24"/>
      <c r="K216" s="24"/>
      <c r="L216" s="24"/>
      <c r="M216" s="24"/>
      <c r="N216" s="26" t="str">
        <f aca="false">IF($C216="","",IFERROR(INDEX(LOT_EXTE,MATCH($C216,LOT_KEY,0)),""))</f>
        <v/>
      </c>
      <c r="O216" s="26" t="str">
        <f aca="false">IF($C216="","",IFERROR(INDEX(LOT_PRODE,MATCH($C216,LOT_KEY,0)),"LOT NON REFERENCE"))</f>
        <v/>
      </c>
      <c r="P216" s="26" t="str">
        <f aca="false">IF($C216="","",IFERROR(INDEX(LOT_CONSERVE,MATCH($C216,LOT_KEY,0)),""))</f>
        <v/>
      </c>
      <c r="Q216" s="27" t="str">
        <f aca="false">IF(OR($C216="",$D216=""),"",SUMIFS(MVT_NET,MVT_LOT,$C216,MVT_EMPL,$D216))</f>
        <v/>
      </c>
      <c r="R216" s="26" t="str">
        <f aca="false">IF($C216="","",IF(OR($B216="",AND($F216="",$G216="",$H216="",$I216="",$J216="",$K216="")),"DONNEES MANQUANTES",IF(AND($D216&lt;&gt;"",$Q216&lt;=0),"EMPLACEMENT INCOHERENT","OK")))</f>
        <v/>
      </c>
      <c r="S216" s="26" t="str">
        <f aca="false">IF($C216="","",IF(AND(ISNUMBER($G216),$G216&gt;P_HIST),"HISTAMINE "&amp;TEXT($G216,"#,##0")&amp;" PPM &gt; seuil "&amp;TEXT(P_HIST,"#,##0")&amp;". ","")&amp;IF(AND(ISNUMBER($F216),$P216="CONGELE",$F216&gt;P_TCONG),"TEMPERATURE "&amp;TEXT($F216,"0.0")&amp;" C hors seuil congele. ","")&amp;IF(AND(ISNUMBER($F216),$P216="FRAIS",$F216&gt;P_TFRAIS),"TEMPERATURE "&amp;TEXT($F216,"0.0")&amp;" C hors seuil frais. ","")&amp;IF($K216="BLOQUER","Lot bloque qualite : stock signale mais inchange. ","")&amp;IF($R216="EMPLACEMENT INCOHERENT","Lot absent de cet emplacement : controle conserve, stock inchange. ","")&amp;IF($R216="DONNEES MANQUANTES","Renseigner la DATE et au moins une mesure. ",""))</f>
        <v/>
      </c>
      <c r="T216" s="28" t="n">
        <f aca="false">IF(OR($C216="",$B216=""),0,IF(COUNTIFS(QC_LOT,$C216,QC_DATE,"&gt;"&amp;$B216)&gt;0,0,IF(COUNTIFS($C$5:$C216,$C216,$B$5:$B216,$B216)=COUNTIFS(QC_LOT,$C216,QC_DATE,$B216),1,0)))</f>
        <v>0</v>
      </c>
      <c r="U216" s="26" t="str">
        <f aca="false">IF($T216=1,$C216,"")</f>
        <v/>
      </c>
      <c r="V216" s="28" t="n">
        <f aca="false">IF($C216="",0,IF($C216=R_LOT,1,0))</f>
        <v>0</v>
      </c>
      <c r="W216" s="26" t="str">
        <f aca="false">IF($V216=0,"",COUNTIF($V$5:$V216,1))</f>
        <v/>
      </c>
    </row>
    <row r="217" customFormat="false" ht="15" hidden="false" customHeight="false" outlineLevel="0" collapsed="false">
      <c r="A217" s="26" t="str">
        <f aca="false">IF($C217="","","QC-"&amp;TEXT(ROW()-4,"000"))</f>
        <v/>
      </c>
      <c r="B217" s="25"/>
      <c r="C217" s="24"/>
      <c r="D217" s="24"/>
      <c r="E217" s="24"/>
      <c r="F217" s="32"/>
      <c r="G217" s="33"/>
      <c r="H217" s="24"/>
      <c r="I217" s="24"/>
      <c r="J217" s="24"/>
      <c r="K217" s="24"/>
      <c r="L217" s="24"/>
      <c r="M217" s="24"/>
      <c r="N217" s="26" t="str">
        <f aca="false">IF($C217="","",IFERROR(INDEX(LOT_EXTE,MATCH($C217,LOT_KEY,0)),""))</f>
        <v/>
      </c>
      <c r="O217" s="26" t="str">
        <f aca="false">IF($C217="","",IFERROR(INDEX(LOT_PRODE,MATCH($C217,LOT_KEY,0)),"LOT NON REFERENCE"))</f>
        <v/>
      </c>
      <c r="P217" s="26" t="str">
        <f aca="false">IF($C217="","",IFERROR(INDEX(LOT_CONSERVE,MATCH($C217,LOT_KEY,0)),""))</f>
        <v/>
      </c>
      <c r="Q217" s="27" t="str">
        <f aca="false">IF(OR($C217="",$D217=""),"",SUMIFS(MVT_NET,MVT_LOT,$C217,MVT_EMPL,$D217))</f>
        <v/>
      </c>
      <c r="R217" s="26" t="str">
        <f aca="false">IF($C217="","",IF(OR($B217="",AND($F217="",$G217="",$H217="",$I217="",$J217="",$K217="")),"DONNEES MANQUANTES",IF(AND($D217&lt;&gt;"",$Q217&lt;=0),"EMPLACEMENT INCOHERENT","OK")))</f>
        <v/>
      </c>
      <c r="S217" s="26" t="str">
        <f aca="false">IF($C217="","",IF(AND(ISNUMBER($G217),$G217&gt;P_HIST),"HISTAMINE "&amp;TEXT($G217,"#,##0")&amp;" PPM &gt; seuil "&amp;TEXT(P_HIST,"#,##0")&amp;". ","")&amp;IF(AND(ISNUMBER($F217),$P217="CONGELE",$F217&gt;P_TCONG),"TEMPERATURE "&amp;TEXT($F217,"0.0")&amp;" C hors seuil congele. ","")&amp;IF(AND(ISNUMBER($F217),$P217="FRAIS",$F217&gt;P_TFRAIS),"TEMPERATURE "&amp;TEXT($F217,"0.0")&amp;" C hors seuil frais. ","")&amp;IF($K217="BLOQUER","Lot bloque qualite : stock signale mais inchange. ","")&amp;IF($R217="EMPLACEMENT INCOHERENT","Lot absent de cet emplacement : controle conserve, stock inchange. ","")&amp;IF($R217="DONNEES MANQUANTES","Renseigner la DATE et au moins une mesure. ",""))</f>
        <v/>
      </c>
      <c r="T217" s="28" t="n">
        <f aca="false">IF(OR($C217="",$B217=""),0,IF(COUNTIFS(QC_LOT,$C217,QC_DATE,"&gt;"&amp;$B217)&gt;0,0,IF(COUNTIFS($C$5:$C217,$C217,$B$5:$B217,$B217)=COUNTIFS(QC_LOT,$C217,QC_DATE,$B217),1,0)))</f>
        <v>0</v>
      </c>
      <c r="U217" s="26" t="str">
        <f aca="false">IF($T217=1,$C217,"")</f>
        <v/>
      </c>
      <c r="V217" s="28" t="n">
        <f aca="false">IF($C217="",0,IF($C217=R_LOT,1,0))</f>
        <v>0</v>
      </c>
      <c r="W217" s="26" t="str">
        <f aca="false">IF($V217=0,"",COUNTIF($V$5:$V217,1))</f>
        <v/>
      </c>
    </row>
    <row r="218" customFormat="false" ht="15" hidden="false" customHeight="false" outlineLevel="0" collapsed="false">
      <c r="A218" s="26" t="str">
        <f aca="false">IF($C218="","","QC-"&amp;TEXT(ROW()-4,"000"))</f>
        <v/>
      </c>
      <c r="B218" s="25"/>
      <c r="C218" s="24"/>
      <c r="D218" s="24"/>
      <c r="E218" s="24"/>
      <c r="F218" s="32"/>
      <c r="G218" s="33"/>
      <c r="H218" s="24"/>
      <c r="I218" s="24"/>
      <c r="J218" s="24"/>
      <c r="K218" s="24"/>
      <c r="L218" s="24"/>
      <c r="M218" s="24"/>
      <c r="N218" s="26" t="str">
        <f aca="false">IF($C218="","",IFERROR(INDEX(LOT_EXTE,MATCH($C218,LOT_KEY,0)),""))</f>
        <v/>
      </c>
      <c r="O218" s="26" t="str">
        <f aca="false">IF($C218="","",IFERROR(INDEX(LOT_PRODE,MATCH($C218,LOT_KEY,0)),"LOT NON REFERENCE"))</f>
        <v/>
      </c>
      <c r="P218" s="26" t="str">
        <f aca="false">IF($C218="","",IFERROR(INDEX(LOT_CONSERVE,MATCH($C218,LOT_KEY,0)),""))</f>
        <v/>
      </c>
      <c r="Q218" s="27" t="str">
        <f aca="false">IF(OR($C218="",$D218=""),"",SUMIFS(MVT_NET,MVT_LOT,$C218,MVT_EMPL,$D218))</f>
        <v/>
      </c>
      <c r="R218" s="26" t="str">
        <f aca="false">IF($C218="","",IF(OR($B218="",AND($F218="",$G218="",$H218="",$I218="",$J218="",$K218="")),"DONNEES MANQUANTES",IF(AND($D218&lt;&gt;"",$Q218&lt;=0),"EMPLACEMENT INCOHERENT","OK")))</f>
        <v/>
      </c>
      <c r="S218" s="26" t="str">
        <f aca="false">IF($C218="","",IF(AND(ISNUMBER($G218),$G218&gt;P_HIST),"HISTAMINE "&amp;TEXT($G218,"#,##0")&amp;" PPM &gt; seuil "&amp;TEXT(P_HIST,"#,##0")&amp;". ","")&amp;IF(AND(ISNUMBER($F218),$P218="CONGELE",$F218&gt;P_TCONG),"TEMPERATURE "&amp;TEXT($F218,"0.0")&amp;" C hors seuil congele. ","")&amp;IF(AND(ISNUMBER($F218),$P218="FRAIS",$F218&gt;P_TFRAIS),"TEMPERATURE "&amp;TEXT($F218,"0.0")&amp;" C hors seuil frais. ","")&amp;IF($K218="BLOQUER","Lot bloque qualite : stock signale mais inchange. ","")&amp;IF($R218="EMPLACEMENT INCOHERENT","Lot absent de cet emplacement : controle conserve, stock inchange. ","")&amp;IF($R218="DONNEES MANQUANTES","Renseigner la DATE et au moins une mesure. ",""))</f>
        <v/>
      </c>
      <c r="T218" s="28" t="n">
        <f aca="false">IF(OR($C218="",$B218=""),0,IF(COUNTIFS(QC_LOT,$C218,QC_DATE,"&gt;"&amp;$B218)&gt;0,0,IF(COUNTIFS($C$5:$C218,$C218,$B$5:$B218,$B218)=COUNTIFS(QC_LOT,$C218,QC_DATE,$B218),1,0)))</f>
        <v>0</v>
      </c>
      <c r="U218" s="26" t="str">
        <f aca="false">IF($T218=1,$C218,"")</f>
        <v/>
      </c>
      <c r="V218" s="28" t="n">
        <f aca="false">IF($C218="",0,IF($C218=R_LOT,1,0))</f>
        <v>0</v>
      </c>
      <c r="W218" s="26" t="str">
        <f aca="false">IF($V218=0,"",COUNTIF($V$5:$V218,1))</f>
        <v/>
      </c>
    </row>
    <row r="219" customFormat="false" ht="15" hidden="false" customHeight="false" outlineLevel="0" collapsed="false">
      <c r="A219" s="26" t="str">
        <f aca="false">IF($C219="","","QC-"&amp;TEXT(ROW()-4,"000"))</f>
        <v/>
      </c>
      <c r="B219" s="25"/>
      <c r="C219" s="24"/>
      <c r="D219" s="24"/>
      <c r="E219" s="24"/>
      <c r="F219" s="32"/>
      <c r="G219" s="33"/>
      <c r="H219" s="24"/>
      <c r="I219" s="24"/>
      <c r="J219" s="24"/>
      <c r="K219" s="24"/>
      <c r="L219" s="24"/>
      <c r="M219" s="24"/>
      <c r="N219" s="26" t="str">
        <f aca="false">IF($C219="","",IFERROR(INDEX(LOT_EXTE,MATCH($C219,LOT_KEY,0)),""))</f>
        <v/>
      </c>
      <c r="O219" s="26" t="str">
        <f aca="false">IF($C219="","",IFERROR(INDEX(LOT_PRODE,MATCH($C219,LOT_KEY,0)),"LOT NON REFERENCE"))</f>
        <v/>
      </c>
      <c r="P219" s="26" t="str">
        <f aca="false">IF($C219="","",IFERROR(INDEX(LOT_CONSERVE,MATCH($C219,LOT_KEY,0)),""))</f>
        <v/>
      </c>
      <c r="Q219" s="27" t="str">
        <f aca="false">IF(OR($C219="",$D219=""),"",SUMIFS(MVT_NET,MVT_LOT,$C219,MVT_EMPL,$D219))</f>
        <v/>
      </c>
      <c r="R219" s="26" t="str">
        <f aca="false">IF($C219="","",IF(OR($B219="",AND($F219="",$G219="",$H219="",$I219="",$J219="",$K219="")),"DONNEES MANQUANTES",IF(AND($D219&lt;&gt;"",$Q219&lt;=0),"EMPLACEMENT INCOHERENT","OK")))</f>
        <v/>
      </c>
      <c r="S219" s="26" t="str">
        <f aca="false">IF($C219="","",IF(AND(ISNUMBER($G219),$G219&gt;P_HIST),"HISTAMINE "&amp;TEXT($G219,"#,##0")&amp;" PPM &gt; seuil "&amp;TEXT(P_HIST,"#,##0")&amp;". ","")&amp;IF(AND(ISNUMBER($F219),$P219="CONGELE",$F219&gt;P_TCONG),"TEMPERATURE "&amp;TEXT($F219,"0.0")&amp;" C hors seuil congele. ","")&amp;IF(AND(ISNUMBER($F219),$P219="FRAIS",$F219&gt;P_TFRAIS),"TEMPERATURE "&amp;TEXT($F219,"0.0")&amp;" C hors seuil frais. ","")&amp;IF($K219="BLOQUER","Lot bloque qualite : stock signale mais inchange. ","")&amp;IF($R219="EMPLACEMENT INCOHERENT","Lot absent de cet emplacement : controle conserve, stock inchange. ","")&amp;IF($R219="DONNEES MANQUANTES","Renseigner la DATE et au moins une mesure. ",""))</f>
        <v/>
      </c>
      <c r="T219" s="28" t="n">
        <f aca="false">IF(OR($C219="",$B219=""),0,IF(COUNTIFS(QC_LOT,$C219,QC_DATE,"&gt;"&amp;$B219)&gt;0,0,IF(COUNTIFS($C$5:$C219,$C219,$B$5:$B219,$B219)=COUNTIFS(QC_LOT,$C219,QC_DATE,$B219),1,0)))</f>
        <v>0</v>
      </c>
      <c r="U219" s="26" t="str">
        <f aca="false">IF($T219=1,$C219,"")</f>
        <v/>
      </c>
      <c r="V219" s="28" t="n">
        <f aca="false">IF($C219="",0,IF($C219=R_LOT,1,0))</f>
        <v>0</v>
      </c>
      <c r="W219" s="26" t="str">
        <f aca="false">IF($V219=0,"",COUNTIF($V$5:$V219,1))</f>
        <v/>
      </c>
    </row>
    <row r="220" customFormat="false" ht="15" hidden="false" customHeight="false" outlineLevel="0" collapsed="false">
      <c r="A220" s="26" t="str">
        <f aca="false">IF($C220="","","QC-"&amp;TEXT(ROW()-4,"000"))</f>
        <v/>
      </c>
      <c r="B220" s="25"/>
      <c r="C220" s="24"/>
      <c r="D220" s="24"/>
      <c r="E220" s="24"/>
      <c r="F220" s="32"/>
      <c r="G220" s="33"/>
      <c r="H220" s="24"/>
      <c r="I220" s="24"/>
      <c r="J220" s="24"/>
      <c r="K220" s="24"/>
      <c r="L220" s="24"/>
      <c r="M220" s="24"/>
      <c r="N220" s="26" t="str">
        <f aca="false">IF($C220="","",IFERROR(INDEX(LOT_EXTE,MATCH($C220,LOT_KEY,0)),""))</f>
        <v/>
      </c>
      <c r="O220" s="26" t="str">
        <f aca="false">IF($C220="","",IFERROR(INDEX(LOT_PRODE,MATCH($C220,LOT_KEY,0)),"LOT NON REFERENCE"))</f>
        <v/>
      </c>
      <c r="P220" s="26" t="str">
        <f aca="false">IF($C220="","",IFERROR(INDEX(LOT_CONSERVE,MATCH($C220,LOT_KEY,0)),""))</f>
        <v/>
      </c>
      <c r="Q220" s="27" t="str">
        <f aca="false">IF(OR($C220="",$D220=""),"",SUMIFS(MVT_NET,MVT_LOT,$C220,MVT_EMPL,$D220))</f>
        <v/>
      </c>
      <c r="R220" s="26" t="str">
        <f aca="false">IF($C220="","",IF(OR($B220="",AND($F220="",$G220="",$H220="",$I220="",$J220="",$K220="")),"DONNEES MANQUANTES",IF(AND($D220&lt;&gt;"",$Q220&lt;=0),"EMPLACEMENT INCOHERENT","OK")))</f>
        <v/>
      </c>
      <c r="S220" s="26" t="str">
        <f aca="false">IF($C220="","",IF(AND(ISNUMBER($G220),$G220&gt;P_HIST),"HISTAMINE "&amp;TEXT($G220,"#,##0")&amp;" PPM &gt; seuil "&amp;TEXT(P_HIST,"#,##0")&amp;". ","")&amp;IF(AND(ISNUMBER($F220),$P220="CONGELE",$F220&gt;P_TCONG),"TEMPERATURE "&amp;TEXT($F220,"0.0")&amp;" C hors seuil congele. ","")&amp;IF(AND(ISNUMBER($F220),$P220="FRAIS",$F220&gt;P_TFRAIS),"TEMPERATURE "&amp;TEXT($F220,"0.0")&amp;" C hors seuil frais. ","")&amp;IF($K220="BLOQUER","Lot bloque qualite : stock signale mais inchange. ","")&amp;IF($R220="EMPLACEMENT INCOHERENT","Lot absent de cet emplacement : controle conserve, stock inchange. ","")&amp;IF($R220="DONNEES MANQUANTES","Renseigner la DATE et au moins une mesure. ",""))</f>
        <v/>
      </c>
      <c r="T220" s="28" t="n">
        <f aca="false">IF(OR($C220="",$B220=""),0,IF(COUNTIFS(QC_LOT,$C220,QC_DATE,"&gt;"&amp;$B220)&gt;0,0,IF(COUNTIFS($C$5:$C220,$C220,$B$5:$B220,$B220)=COUNTIFS(QC_LOT,$C220,QC_DATE,$B220),1,0)))</f>
        <v>0</v>
      </c>
      <c r="U220" s="26" t="str">
        <f aca="false">IF($T220=1,$C220,"")</f>
        <v/>
      </c>
      <c r="V220" s="28" t="n">
        <f aca="false">IF($C220="",0,IF($C220=R_LOT,1,0))</f>
        <v>0</v>
      </c>
      <c r="W220" s="26" t="str">
        <f aca="false">IF($V220=0,"",COUNTIF($V$5:$V220,1))</f>
        <v/>
      </c>
    </row>
    <row r="221" customFormat="false" ht="15" hidden="false" customHeight="false" outlineLevel="0" collapsed="false">
      <c r="A221" s="26" t="str">
        <f aca="false">IF($C221="","","QC-"&amp;TEXT(ROW()-4,"000"))</f>
        <v/>
      </c>
      <c r="B221" s="25"/>
      <c r="C221" s="24"/>
      <c r="D221" s="24"/>
      <c r="E221" s="24"/>
      <c r="F221" s="32"/>
      <c r="G221" s="33"/>
      <c r="H221" s="24"/>
      <c r="I221" s="24"/>
      <c r="J221" s="24"/>
      <c r="K221" s="24"/>
      <c r="L221" s="24"/>
      <c r="M221" s="24"/>
      <c r="N221" s="26" t="str">
        <f aca="false">IF($C221="","",IFERROR(INDEX(LOT_EXTE,MATCH($C221,LOT_KEY,0)),""))</f>
        <v/>
      </c>
      <c r="O221" s="26" t="str">
        <f aca="false">IF($C221="","",IFERROR(INDEX(LOT_PRODE,MATCH($C221,LOT_KEY,0)),"LOT NON REFERENCE"))</f>
        <v/>
      </c>
      <c r="P221" s="26" t="str">
        <f aca="false">IF($C221="","",IFERROR(INDEX(LOT_CONSERVE,MATCH($C221,LOT_KEY,0)),""))</f>
        <v/>
      </c>
      <c r="Q221" s="27" t="str">
        <f aca="false">IF(OR($C221="",$D221=""),"",SUMIFS(MVT_NET,MVT_LOT,$C221,MVT_EMPL,$D221))</f>
        <v/>
      </c>
      <c r="R221" s="26" t="str">
        <f aca="false">IF($C221="","",IF(OR($B221="",AND($F221="",$G221="",$H221="",$I221="",$J221="",$K221="")),"DONNEES MANQUANTES",IF(AND($D221&lt;&gt;"",$Q221&lt;=0),"EMPLACEMENT INCOHERENT","OK")))</f>
        <v/>
      </c>
      <c r="S221" s="26" t="str">
        <f aca="false">IF($C221="","",IF(AND(ISNUMBER($G221),$G221&gt;P_HIST),"HISTAMINE "&amp;TEXT($G221,"#,##0")&amp;" PPM &gt; seuil "&amp;TEXT(P_HIST,"#,##0")&amp;". ","")&amp;IF(AND(ISNUMBER($F221),$P221="CONGELE",$F221&gt;P_TCONG),"TEMPERATURE "&amp;TEXT($F221,"0.0")&amp;" C hors seuil congele. ","")&amp;IF(AND(ISNUMBER($F221),$P221="FRAIS",$F221&gt;P_TFRAIS),"TEMPERATURE "&amp;TEXT($F221,"0.0")&amp;" C hors seuil frais. ","")&amp;IF($K221="BLOQUER","Lot bloque qualite : stock signale mais inchange. ","")&amp;IF($R221="EMPLACEMENT INCOHERENT","Lot absent de cet emplacement : controle conserve, stock inchange. ","")&amp;IF($R221="DONNEES MANQUANTES","Renseigner la DATE et au moins une mesure. ",""))</f>
        <v/>
      </c>
      <c r="T221" s="28" t="n">
        <f aca="false">IF(OR($C221="",$B221=""),0,IF(COUNTIFS(QC_LOT,$C221,QC_DATE,"&gt;"&amp;$B221)&gt;0,0,IF(COUNTIFS($C$5:$C221,$C221,$B$5:$B221,$B221)=COUNTIFS(QC_LOT,$C221,QC_DATE,$B221),1,0)))</f>
        <v>0</v>
      </c>
      <c r="U221" s="26" t="str">
        <f aca="false">IF($T221=1,$C221,"")</f>
        <v/>
      </c>
      <c r="V221" s="28" t="n">
        <f aca="false">IF($C221="",0,IF($C221=R_LOT,1,0))</f>
        <v>0</v>
      </c>
      <c r="W221" s="26" t="str">
        <f aca="false">IF($V221=0,"",COUNTIF($V$5:$V221,1))</f>
        <v/>
      </c>
    </row>
    <row r="222" customFormat="false" ht="15" hidden="false" customHeight="false" outlineLevel="0" collapsed="false">
      <c r="A222" s="26" t="str">
        <f aca="false">IF($C222="","","QC-"&amp;TEXT(ROW()-4,"000"))</f>
        <v/>
      </c>
      <c r="B222" s="25"/>
      <c r="C222" s="24"/>
      <c r="D222" s="24"/>
      <c r="E222" s="24"/>
      <c r="F222" s="32"/>
      <c r="G222" s="33"/>
      <c r="H222" s="24"/>
      <c r="I222" s="24"/>
      <c r="J222" s="24"/>
      <c r="K222" s="24"/>
      <c r="L222" s="24"/>
      <c r="M222" s="24"/>
      <c r="N222" s="26" t="str">
        <f aca="false">IF($C222="","",IFERROR(INDEX(LOT_EXTE,MATCH($C222,LOT_KEY,0)),""))</f>
        <v/>
      </c>
      <c r="O222" s="26" t="str">
        <f aca="false">IF($C222="","",IFERROR(INDEX(LOT_PRODE,MATCH($C222,LOT_KEY,0)),"LOT NON REFERENCE"))</f>
        <v/>
      </c>
      <c r="P222" s="26" t="str">
        <f aca="false">IF($C222="","",IFERROR(INDEX(LOT_CONSERVE,MATCH($C222,LOT_KEY,0)),""))</f>
        <v/>
      </c>
      <c r="Q222" s="27" t="str">
        <f aca="false">IF(OR($C222="",$D222=""),"",SUMIFS(MVT_NET,MVT_LOT,$C222,MVT_EMPL,$D222))</f>
        <v/>
      </c>
      <c r="R222" s="26" t="str">
        <f aca="false">IF($C222="","",IF(OR($B222="",AND($F222="",$G222="",$H222="",$I222="",$J222="",$K222="")),"DONNEES MANQUANTES",IF(AND($D222&lt;&gt;"",$Q222&lt;=0),"EMPLACEMENT INCOHERENT","OK")))</f>
        <v/>
      </c>
      <c r="S222" s="26" t="str">
        <f aca="false">IF($C222="","",IF(AND(ISNUMBER($G222),$G222&gt;P_HIST),"HISTAMINE "&amp;TEXT($G222,"#,##0")&amp;" PPM &gt; seuil "&amp;TEXT(P_HIST,"#,##0")&amp;". ","")&amp;IF(AND(ISNUMBER($F222),$P222="CONGELE",$F222&gt;P_TCONG),"TEMPERATURE "&amp;TEXT($F222,"0.0")&amp;" C hors seuil congele. ","")&amp;IF(AND(ISNUMBER($F222),$P222="FRAIS",$F222&gt;P_TFRAIS),"TEMPERATURE "&amp;TEXT($F222,"0.0")&amp;" C hors seuil frais. ","")&amp;IF($K222="BLOQUER","Lot bloque qualite : stock signale mais inchange. ","")&amp;IF($R222="EMPLACEMENT INCOHERENT","Lot absent de cet emplacement : controle conserve, stock inchange. ","")&amp;IF($R222="DONNEES MANQUANTES","Renseigner la DATE et au moins une mesure. ",""))</f>
        <v/>
      </c>
      <c r="T222" s="28" t="n">
        <f aca="false">IF(OR($C222="",$B222=""),0,IF(COUNTIFS(QC_LOT,$C222,QC_DATE,"&gt;"&amp;$B222)&gt;0,0,IF(COUNTIFS($C$5:$C222,$C222,$B$5:$B222,$B222)=COUNTIFS(QC_LOT,$C222,QC_DATE,$B222),1,0)))</f>
        <v>0</v>
      </c>
      <c r="U222" s="26" t="str">
        <f aca="false">IF($T222=1,$C222,"")</f>
        <v/>
      </c>
      <c r="V222" s="28" t="n">
        <f aca="false">IF($C222="",0,IF($C222=R_LOT,1,0))</f>
        <v>0</v>
      </c>
      <c r="W222" s="26" t="str">
        <f aca="false">IF($V222=0,"",COUNTIF($V$5:$V222,1))</f>
        <v/>
      </c>
    </row>
    <row r="223" customFormat="false" ht="15" hidden="false" customHeight="false" outlineLevel="0" collapsed="false">
      <c r="A223" s="26" t="str">
        <f aca="false">IF($C223="","","QC-"&amp;TEXT(ROW()-4,"000"))</f>
        <v/>
      </c>
      <c r="B223" s="25"/>
      <c r="C223" s="24"/>
      <c r="D223" s="24"/>
      <c r="E223" s="24"/>
      <c r="F223" s="32"/>
      <c r="G223" s="33"/>
      <c r="H223" s="24"/>
      <c r="I223" s="24"/>
      <c r="J223" s="24"/>
      <c r="K223" s="24"/>
      <c r="L223" s="24"/>
      <c r="M223" s="24"/>
      <c r="N223" s="26" t="str">
        <f aca="false">IF($C223="","",IFERROR(INDEX(LOT_EXTE,MATCH($C223,LOT_KEY,0)),""))</f>
        <v/>
      </c>
      <c r="O223" s="26" t="str">
        <f aca="false">IF($C223="","",IFERROR(INDEX(LOT_PRODE,MATCH($C223,LOT_KEY,0)),"LOT NON REFERENCE"))</f>
        <v/>
      </c>
      <c r="P223" s="26" t="str">
        <f aca="false">IF($C223="","",IFERROR(INDEX(LOT_CONSERVE,MATCH($C223,LOT_KEY,0)),""))</f>
        <v/>
      </c>
      <c r="Q223" s="27" t="str">
        <f aca="false">IF(OR($C223="",$D223=""),"",SUMIFS(MVT_NET,MVT_LOT,$C223,MVT_EMPL,$D223))</f>
        <v/>
      </c>
      <c r="R223" s="26" t="str">
        <f aca="false">IF($C223="","",IF(OR($B223="",AND($F223="",$G223="",$H223="",$I223="",$J223="",$K223="")),"DONNEES MANQUANTES",IF(AND($D223&lt;&gt;"",$Q223&lt;=0),"EMPLACEMENT INCOHERENT","OK")))</f>
        <v/>
      </c>
      <c r="S223" s="26" t="str">
        <f aca="false">IF($C223="","",IF(AND(ISNUMBER($G223),$G223&gt;P_HIST),"HISTAMINE "&amp;TEXT($G223,"#,##0")&amp;" PPM &gt; seuil "&amp;TEXT(P_HIST,"#,##0")&amp;". ","")&amp;IF(AND(ISNUMBER($F223),$P223="CONGELE",$F223&gt;P_TCONG),"TEMPERATURE "&amp;TEXT($F223,"0.0")&amp;" C hors seuil congele. ","")&amp;IF(AND(ISNUMBER($F223),$P223="FRAIS",$F223&gt;P_TFRAIS),"TEMPERATURE "&amp;TEXT($F223,"0.0")&amp;" C hors seuil frais. ","")&amp;IF($K223="BLOQUER","Lot bloque qualite : stock signale mais inchange. ","")&amp;IF($R223="EMPLACEMENT INCOHERENT","Lot absent de cet emplacement : controle conserve, stock inchange. ","")&amp;IF($R223="DONNEES MANQUANTES","Renseigner la DATE et au moins une mesure. ",""))</f>
        <v/>
      </c>
      <c r="T223" s="28" t="n">
        <f aca="false">IF(OR($C223="",$B223=""),0,IF(COUNTIFS(QC_LOT,$C223,QC_DATE,"&gt;"&amp;$B223)&gt;0,0,IF(COUNTIFS($C$5:$C223,$C223,$B$5:$B223,$B223)=COUNTIFS(QC_LOT,$C223,QC_DATE,$B223),1,0)))</f>
        <v>0</v>
      </c>
      <c r="U223" s="26" t="str">
        <f aca="false">IF($T223=1,$C223,"")</f>
        <v/>
      </c>
      <c r="V223" s="28" t="n">
        <f aca="false">IF($C223="",0,IF($C223=R_LOT,1,0))</f>
        <v>0</v>
      </c>
      <c r="W223" s="26" t="str">
        <f aca="false">IF($V223=0,"",COUNTIF($V$5:$V223,1))</f>
        <v/>
      </c>
    </row>
    <row r="224" customFormat="false" ht="15" hidden="false" customHeight="false" outlineLevel="0" collapsed="false">
      <c r="A224" s="26" t="str">
        <f aca="false">IF($C224="","","QC-"&amp;TEXT(ROW()-4,"000"))</f>
        <v/>
      </c>
      <c r="B224" s="25"/>
      <c r="C224" s="24"/>
      <c r="D224" s="24"/>
      <c r="E224" s="24"/>
      <c r="F224" s="32"/>
      <c r="G224" s="33"/>
      <c r="H224" s="24"/>
      <c r="I224" s="24"/>
      <c r="J224" s="24"/>
      <c r="K224" s="24"/>
      <c r="L224" s="24"/>
      <c r="M224" s="24"/>
      <c r="N224" s="26" t="str">
        <f aca="false">IF($C224="","",IFERROR(INDEX(LOT_EXTE,MATCH($C224,LOT_KEY,0)),""))</f>
        <v/>
      </c>
      <c r="O224" s="26" t="str">
        <f aca="false">IF($C224="","",IFERROR(INDEX(LOT_PRODE,MATCH($C224,LOT_KEY,0)),"LOT NON REFERENCE"))</f>
        <v/>
      </c>
      <c r="P224" s="26" t="str">
        <f aca="false">IF($C224="","",IFERROR(INDEX(LOT_CONSERVE,MATCH($C224,LOT_KEY,0)),""))</f>
        <v/>
      </c>
      <c r="Q224" s="27" t="str">
        <f aca="false">IF(OR($C224="",$D224=""),"",SUMIFS(MVT_NET,MVT_LOT,$C224,MVT_EMPL,$D224))</f>
        <v/>
      </c>
      <c r="R224" s="26" t="str">
        <f aca="false">IF($C224="","",IF(OR($B224="",AND($F224="",$G224="",$H224="",$I224="",$J224="",$K224="")),"DONNEES MANQUANTES",IF(AND($D224&lt;&gt;"",$Q224&lt;=0),"EMPLACEMENT INCOHERENT","OK")))</f>
        <v/>
      </c>
      <c r="S224" s="26" t="str">
        <f aca="false">IF($C224="","",IF(AND(ISNUMBER($G224),$G224&gt;P_HIST),"HISTAMINE "&amp;TEXT($G224,"#,##0")&amp;" PPM &gt; seuil "&amp;TEXT(P_HIST,"#,##0")&amp;". ","")&amp;IF(AND(ISNUMBER($F224),$P224="CONGELE",$F224&gt;P_TCONG),"TEMPERATURE "&amp;TEXT($F224,"0.0")&amp;" C hors seuil congele. ","")&amp;IF(AND(ISNUMBER($F224),$P224="FRAIS",$F224&gt;P_TFRAIS),"TEMPERATURE "&amp;TEXT($F224,"0.0")&amp;" C hors seuil frais. ","")&amp;IF($K224="BLOQUER","Lot bloque qualite : stock signale mais inchange. ","")&amp;IF($R224="EMPLACEMENT INCOHERENT","Lot absent de cet emplacement : controle conserve, stock inchange. ","")&amp;IF($R224="DONNEES MANQUANTES","Renseigner la DATE et au moins une mesure. ",""))</f>
        <v/>
      </c>
      <c r="T224" s="28" t="n">
        <f aca="false">IF(OR($C224="",$B224=""),0,IF(COUNTIFS(QC_LOT,$C224,QC_DATE,"&gt;"&amp;$B224)&gt;0,0,IF(COUNTIFS($C$5:$C224,$C224,$B$5:$B224,$B224)=COUNTIFS(QC_LOT,$C224,QC_DATE,$B224),1,0)))</f>
        <v>0</v>
      </c>
      <c r="U224" s="26" t="str">
        <f aca="false">IF($T224=1,$C224,"")</f>
        <v/>
      </c>
      <c r="V224" s="28" t="n">
        <f aca="false">IF($C224="",0,IF($C224=R_LOT,1,0))</f>
        <v>0</v>
      </c>
      <c r="W224" s="26" t="str">
        <f aca="false">IF($V224=0,"",COUNTIF($V$5:$V224,1))</f>
        <v/>
      </c>
    </row>
    <row r="225" customFormat="false" ht="15" hidden="false" customHeight="false" outlineLevel="0" collapsed="false">
      <c r="A225" s="26" t="str">
        <f aca="false">IF($C225="","","QC-"&amp;TEXT(ROW()-4,"000"))</f>
        <v/>
      </c>
      <c r="B225" s="25"/>
      <c r="C225" s="24"/>
      <c r="D225" s="24"/>
      <c r="E225" s="24"/>
      <c r="F225" s="32"/>
      <c r="G225" s="33"/>
      <c r="H225" s="24"/>
      <c r="I225" s="24"/>
      <c r="J225" s="24"/>
      <c r="K225" s="24"/>
      <c r="L225" s="24"/>
      <c r="M225" s="24"/>
      <c r="N225" s="26" t="str">
        <f aca="false">IF($C225="","",IFERROR(INDEX(LOT_EXTE,MATCH($C225,LOT_KEY,0)),""))</f>
        <v/>
      </c>
      <c r="O225" s="26" t="str">
        <f aca="false">IF($C225="","",IFERROR(INDEX(LOT_PRODE,MATCH($C225,LOT_KEY,0)),"LOT NON REFERENCE"))</f>
        <v/>
      </c>
      <c r="P225" s="26" t="str">
        <f aca="false">IF($C225="","",IFERROR(INDEX(LOT_CONSERVE,MATCH($C225,LOT_KEY,0)),""))</f>
        <v/>
      </c>
      <c r="Q225" s="27" t="str">
        <f aca="false">IF(OR($C225="",$D225=""),"",SUMIFS(MVT_NET,MVT_LOT,$C225,MVT_EMPL,$D225))</f>
        <v/>
      </c>
      <c r="R225" s="26" t="str">
        <f aca="false">IF($C225="","",IF(OR($B225="",AND($F225="",$G225="",$H225="",$I225="",$J225="",$K225="")),"DONNEES MANQUANTES",IF(AND($D225&lt;&gt;"",$Q225&lt;=0),"EMPLACEMENT INCOHERENT","OK")))</f>
        <v/>
      </c>
      <c r="S225" s="26" t="str">
        <f aca="false">IF($C225="","",IF(AND(ISNUMBER($G225),$G225&gt;P_HIST),"HISTAMINE "&amp;TEXT($G225,"#,##0")&amp;" PPM &gt; seuil "&amp;TEXT(P_HIST,"#,##0")&amp;". ","")&amp;IF(AND(ISNUMBER($F225),$P225="CONGELE",$F225&gt;P_TCONG),"TEMPERATURE "&amp;TEXT($F225,"0.0")&amp;" C hors seuil congele. ","")&amp;IF(AND(ISNUMBER($F225),$P225="FRAIS",$F225&gt;P_TFRAIS),"TEMPERATURE "&amp;TEXT($F225,"0.0")&amp;" C hors seuil frais. ","")&amp;IF($K225="BLOQUER","Lot bloque qualite : stock signale mais inchange. ","")&amp;IF($R225="EMPLACEMENT INCOHERENT","Lot absent de cet emplacement : controle conserve, stock inchange. ","")&amp;IF($R225="DONNEES MANQUANTES","Renseigner la DATE et au moins une mesure. ",""))</f>
        <v/>
      </c>
      <c r="T225" s="28" t="n">
        <f aca="false">IF(OR($C225="",$B225=""),0,IF(COUNTIFS(QC_LOT,$C225,QC_DATE,"&gt;"&amp;$B225)&gt;0,0,IF(COUNTIFS($C$5:$C225,$C225,$B$5:$B225,$B225)=COUNTIFS(QC_LOT,$C225,QC_DATE,$B225),1,0)))</f>
        <v>0</v>
      </c>
      <c r="U225" s="26" t="str">
        <f aca="false">IF($T225=1,$C225,"")</f>
        <v/>
      </c>
      <c r="V225" s="28" t="n">
        <f aca="false">IF($C225="",0,IF($C225=R_LOT,1,0))</f>
        <v>0</v>
      </c>
      <c r="W225" s="26" t="str">
        <f aca="false">IF($V225=0,"",COUNTIF($V$5:$V225,1))</f>
        <v/>
      </c>
    </row>
    <row r="226" customFormat="false" ht="15" hidden="false" customHeight="false" outlineLevel="0" collapsed="false">
      <c r="A226" s="26" t="str">
        <f aca="false">IF($C226="","","QC-"&amp;TEXT(ROW()-4,"000"))</f>
        <v/>
      </c>
      <c r="B226" s="25"/>
      <c r="C226" s="24"/>
      <c r="D226" s="24"/>
      <c r="E226" s="24"/>
      <c r="F226" s="32"/>
      <c r="G226" s="33"/>
      <c r="H226" s="24"/>
      <c r="I226" s="24"/>
      <c r="J226" s="24"/>
      <c r="K226" s="24"/>
      <c r="L226" s="24"/>
      <c r="M226" s="24"/>
      <c r="N226" s="26" t="str">
        <f aca="false">IF($C226="","",IFERROR(INDEX(LOT_EXTE,MATCH($C226,LOT_KEY,0)),""))</f>
        <v/>
      </c>
      <c r="O226" s="26" t="str">
        <f aca="false">IF($C226="","",IFERROR(INDEX(LOT_PRODE,MATCH($C226,LOT_KEY,0)),"LOT NON REFERENCE"))</f>
        <v/>
      </c>
      <c r="P226" s="26" t="str">
        <f aca="false">IF($C226="","",IFERROR(INDEX(LOT_CONSERVE,MATCH($C226,LOT_KEY,0)),""))</f>
        <v/>
      </c>
      <c r="Q226" s="27" t="str">
        <f aca="false">IF(OR($C226="",$D226=""),"",SUMIFS(MVT_NET,MVT_LOT,$C226,MVT_EMPL,$D226))</f>
        <v/>
      </c>
      <c r="R226" s="26" t="str">
        <f aca="false">IF($C226="","",IF(OR($B226="",AND($F226="",$G226="",$H226="",$I226="",$J226="",$K226="")),"DONNEES MANQUANTES",IF(AND($D226&lt;&gt;"",$Q226&lt;=0),"EMPLACEMENT INCOHERENT","OK")))</f>
        <v/>
      </c>
      <c r="S226" s="26" t="str">
        <f aca="false">IF($C226="","",IF(AND(ISNUMBER($G226),$G226&gt;P_HIST),"HISTAMINE "&amp;TEXT($G226,"#,##0")&amp;" PPM &gt; seuil "&amp;TEXT(P_HIST,"#,##0")&amp;". ","")&amp;IF(AND(ISNUMBER($F226),$P226="CONGELE",$F226&gt;P_TCONG),"TEMPERATURE "&amp;TEXT($F226,"0.0")&amp;" C hors seuil congele. ","")&amp;IF(AND(ISNUMBER($F226),$P226="FRAIS",$F226&gt;P_TFRAIS),"TEMPERATURE "&amp;TEXT($F226,"0.0")&amp;" C hors seuil frais. ","")&amp;IF($K226="BLOQUER","Lot bloque qualite : stock signale mais inchange. ","")&amp;IF($R226="EMPLACEMENT INCOHERENT","Lot absent de cet emplacement : controle conserve, stock inchange. ","")&amp;IF($R226="DONNEES MANQUANTES","Renseigner la DATE et au moins une mesure. ",""))</f>
        <v/>
      </c>
      <c r="T226" s="28" t="n">
        <f aca="false">IF(OR($C226="",$B226=""),0,IF(COUNTIFS(QC_LOT,$C226,QC_DATE,"&gt;"&amp;$B226)&gt;0,0,IF(COUNTIFS($C$5:$C226,$C226,$B$5:$B226,$B226)=COUNTIFS(QC_LOT,$C226,QC_DATE,$B226),1,0)))</f>
        <v>0</v>
      </c>
      <c r="U226" s="26" t="str">
        <f aca="false">IF($T226=1,$C226,"")</f>
        <v/>
      </c>
      <c r="V226" s="28" t="n">
        <f aca="false">IF($C226="",0,IF($C226=R_LOT,1,0))</f>
        <v>0</v>
      </c>
      <c r="W226" s="26" t="str">
        <f aca="false">IF($V226=0,"",COUNTIF($V$5:$V226,1))</f>
        <v/>
      </c>
    </row>
    <row r="227" customFormat="false" ht="15" hidden="false" customHeight="false" outlineLevel="0" collapsed="false">
      <c r="A227" s="26" t="str">
        <f aca="false">IF($C227="","","QC-"&amp;TEXT(ROW()-4,"000"))</f>
        <v/>
      </c>
      <c r="B227" s="25"/>
      <c r="C227" s="24"/>
      <c r="D227" s="24"/>
      <c r="E227" s="24"/>
      <c r="F227" s="32"/>
      <c r="G227" s="33"/>
      <c r="H227" s="24"/>
      <c r="I227" s="24"/>
      <c r="J227" s="24"/>
      <c r="K227" s="24"/>
      <c r="L227" s="24"/>
      <c r="M227" s="24"/>
      <c r="N227" s="26" t="str">
        <f aca="false">IF($C227="","",IFERROR(INDEX(LOT_EXTE,MATCH($C227,LOT_KEY,0)),""))</f>
        <v/>
      </c>
      <c r="O227" s="26" t="str">
        <f aca="false">IF($C227="","",IFERROR(INDEX(LOT_PRODE,MATCH($C227,LOT_KEY,0)),"LOT NON REFERENCE"))</f>
        <v/>
      </c>
      <c r="P227" s="26" t="str">
        <f aca="false">IF($C227="","",IFERROR(INDEX(LOT_CONSERVE,MATCH($C227,LOT_KEY,0)),""))</f>
        <v/>
      </c>
      <c r="Q227" s="27" t="str">
        <f aca="false">IF(OR($C227="",$D227=""),"",SUMIFS(MVT_NET,MVT_LOT,$C227,MVT_EMPL,$D227))</f>
        <v/>
      </c>
      <c r="R227" s="26" t="str">
        <f aca="false">IF($C227="","",IF(OR($B227="",AND($F227="",$G227="",$H227="",$I227="",$J227="",$K227="")),"DONNEES MANQUANTES",IF(AND($D227&lt;&gt;"",$Q227&lt;=0),"EMPLACEMENT INCOHERENT","OK")))</f>
        <v/>
      </c>
      <c r="S227" s="26" t="str">
        <f aca="false">IF($C227="","",IF(AND(ISNUMBER($G227),$G227&gt;P_HIST),"HISTAMINE "&amp;TEXT($G227,"#,##0")&amp;" PPM &gt; seuil "&amp;TEXT(P_HIST,"#,##0")&amp;". ","")&amp;IF(AND(ISNUMBER($F227),$P227="CONGELE",$F227&gt;P_TCONG),"TEMPERATURE "&amp;TEXT($F227,"0.0")&amp;" C hors seuil congele. ","")&amp;IF(AND(ISNUMBER($F227),$P227="FRAIS",$F227&gt;P_TFRAIS),"TEMPERATURE "&amp;TEXT($F227,"0.0")&amp;" C hors seuil frais. ","")&amp;IF($K227="BLOQUER","Lot bloque qualite : stock signale mais inchange. ","")&amp;IF($R227="EMPLACEMENT INCOHERENT","Lot absent de cet emplacement : controle conserve, stock inchange. ","")&amp;IF($R227="DONNEES MANQUANTES","Renseigner la DATE et au moins une mesure. ",""))</f>
        <v/>
      </c>
      <c r="T227" s="28" t="n">
        <f aca="false">IF(OR($C227="",$B227=""),0,IF(COUNTIFS(QC_LOT,$C227,QC_DATE,"&gt;"&amp;$B227)&gt;0,0,IF(COUNTIFS($C$5:$C227,$C227,$B$5:$B227,$B227)=COUNTIFS(QC_LOT,$C227,QC_DATE,$B227),1,0)))</f>
        <v>0</v>
      </c>
      <c r="U227" s="26" t="str">
        <f aca="false">IF($T227=1,$C227,"")</f>
        <v/>
      </c>
      <c r="V227" s="28" t="n">
        <f aca="false">IF($C227="",0,IF($C227=R_LOT,1,0))</f>
        <v>0</v>
      </c>
      <c r="W227" s="26" t="str">
        <f aca="false">IF($V227=0,"",COUNTIF($V$5:$V227,1))</f>
        <v/>
      </c>
    </row>
    <row r="228" customFormat="false" ht="15" hidden="false" customHeight="false" outlineLevel="0" collapsed="false">
      <c r="A228" s="26" t="str">
        <f aca="false">IF($C228="","","QC-"&amp;TEXT(ROW()-4,"000"))</f>
        <v/>
      </c>
      <c r="B228" s="25"/>
      <c r="C228" s="24"/>
      <c r="D228" s="24"/>
      <c r="E228" s="24"/>
      <c r="F228" s="32"/>
      <c r="G228" s="33"/>
      <c r="H228" s="24"/>
      <c r="I228" s="24"/>
      <c r="J228" s="24"/>
      <c r="K228" s="24"/>
      <c r="L228" s="24"/>
      <c r="M228" s="24"/>
      <c r="N228" s="26" t="str">
        <f aca="false">IF($C228="","",IFERROR(INDEX(LOT_EXTE,MATCH($C228,LOT_KEY,0)),""))</f>
        <v/>
      </c>
      <c r="O228" s="26" t="str">
        <f aca="false">IF($C228="","",IFERROR(INDEX(LOT_PRODE,MATCH($C228,LOT_KEY,0)),"LOT NON REFERENCE"))</f>
        <v/>
      </c>
      <c r="P228" s="26" t="str">
        <f aca="false">IF($C228="","",IFERROR(INDEX(LOT_CONSERVE,MATCH($C228,LOT_KEY,0)),""))</f>
        <v/>
      </c>
      <c r="Q228" s="27" t="str">
        <f aca="false">IF(OR($C228="",$D228=""),"",SUMIFS(MVT_NET,MVT_LOT,$C228,MVT_EMPL,$D228))</f>
        <v/>
      </c>
      <c r="R228" s="26" t="str">
        <f aca="false">IF($C228="","",IF(OR($B228="",AND($F228="",$G228="",$H228="",$I228="",$J228="",$K228="")),"DONNEES MANQUANTES",IF(AND($D228&lt;&gt;"",$Q228&lt;=0),"EMPLACEMENT INCOHERENT","OK")))</f>
        <v/>
      </c>
      <c r="S228" s="26" t="str">
        <f aca="false">IF($C228="","",IF(AND(ISNUMBER($G228),$G228&gt;P_HIST),"HISTAMINE "&amp;TEXT($G228,"#,##0")&amp;" PPM &gt; seuil "&amp;TEXT(P_HIST,"#,##0")&amp;". ","")&amp;IF(AND(ISNUMBER($F228),$P228="CONGELE",$F228&gt;P_TCONG),"TEMPERATURE "&amp;TEXT($F228,"0.0")&amp;" C hors seuil congele. ","")&amp;IF(AND(ISNUMBER($F228),$P228="FRAIS",$F228&gt;P_TFRAIS),"TEMPERATURE "&amp;TEXT($F228,"0.0")&amp;" C hors seuil frais. ","")&amp;IF($K228="BLOQUER","Lot bloque qualite : stock signale mais inchange. ","")&amp;IF($R228="EMPLACEMENT INCOHERENT","Lot absent de cet emplacement : controle conserve, stock inchange. ","")&amp;IF($R228="DONNEES MANQUANTES","Renseigner la DATE et au moins une mesure. ",""))</f>
        <v/>
      </c>
      <c r="T228" s="28" t="n">
        <f aca="false">IF(OR($C228="",$B228=""),0,IF(COUNTIFS(QC_LOT,$C228,QC_DATE,"&gt;"&amp;$B228)&gt;0,0,IF(COUNTIFS($C$5:$C228,$C228,$B$5:$B228,$B228)=COUNTIFS(QC_LOT,$C228,QC_DATE,$B228),1,0)))</f>
        <v>0</v>
      </c>
      <c r="U228" s="26" t="str">
        <f aca="false">IF($T228=1,$C228,"")</f>
        <v/>
      </c>
      <c r="V228" s="28" t="n">
        <f aca="false">IF($C228="",0,IF($C228=R_LOT,1,0))</f>
        <v>0</v>
      </c>
      <c r="W228" s="26" t="str">
        <f aca="false">IF($V228=0,"",COUNTIF($V$5:$V228,1))</f>
        <v/>
      </c>
    </row>
    <row r="229" customFormat="false" ht="15" hidden="false" customHeight="false" outlineLevel="0" collapsed="false">
      <c r="A229" s="26" t="str">
        <f aca="false">IF($C229="","","QC-"&amp;TEXT(ROW()-4,"000"))</f>
        <v/>
      </c>
      <c r="B229" s="25"/>
      <c r="C229" s="24"/>
      <c r="D229" s="24"/>
      <c r="E229" s="24"/>
      <c r="F229" s="32"/>
      <c r="G229" s="33"/>
      <c r="H229" s="24"/>
      <c r="I229" s="24"/>
      <c r="J229" s="24"/>
      <c r="K229" s="24"/>
      <c r="L229" s="24"/>
      <c r="M229" s="24"/>
      <c r="N229" s="26" t="str">
        <f aca="false">IF($C229="","",IFERROR(INDEX(LOT_EXTE,MATCH($C229,LOT_KEY,0)),""))</f>
        <v/>
      </c>
      <c r="O229" s="26" t="str">
        <f aca="false">IF($C229="","",IFERROR(INDEX(LOT_PRODE,MATCH($C229,LOT_KEY,0)),"LOT NON REFERENCE"))</f>
        <v/>
      </c>
      <c r="P229" s="26" t="str">
        <f aca="false">IF($C229="","",IFERROR(INDEX(LOT_CONSERVE,MATCH($C229,LOT_KEY,0)),""))</f>
        <v/>
      </c>
      <c r="Q229" s="27" t="str">
        <f aca="false">IF(OR($C229="",$D229=""),"",SUMIFS(MVT_NET,MVT_LOT,$C229,MVT_EMPL,$D229))</f>
        <v/>
      </c>
      <c r="R229" s="26" t="str">
        <f aca="false">IF($C229="","",IF(OR($B229="",AND($F229="",$G229="",$H229="",$I229="",$J229="",$K229="")),"DONNEES MANQUANTES",IF(AND($D229&lt;&gt;"",$Q229&lt;=0),"EMPLACEMENT INCOHERENT","OK")))</f>
        <v/>
      </c>
      <c r="S229" s="26" t="str">
        <f aca="false">IF($C229="","",IF(AND(ISNUMBER($G229),$G229&gt;P_HIST),"HISTAMINE "&amp;TEXT($G229,"#,##0")&amp;" PPM &gt; seuil "&amp;TEXT(P_HIST,"#,##0")&amp;". ","")&amp;IF(AND(ISNUMBER($F229),$P229="CONGELE",$F229&gt;P_TCONG),"TEMPERATURE "&amp;TEXT($F229,"0.0")&amp;" C hors seuil congele. ","")&amp;IF(AND(ISNUMBER($F229),$P229="FRAIS",$F229&gt;P_TFRAIS),"TEMPERATURE "&amp;TEXT($F229,"0.0")&amp;" C hors seuil frais. ","")&amp;IF($K229="BLOQUER","Lot bloque qualite : stock signale mais inchange. ","")&amp;IF($R229="EMPLACEMENT INCOHERENT","Lot absent de cet emplacement : controle conserve, stock inchange. ","")&amp;IF($R229="DONNEES MANQUANTES","Renseigner la DATE et au moins une mesure. ",""))</f>
        <v/>
      </c>
      <c r="T229" s="28" t="n">
        <f aca="false">IF(OR($C229="",$B229=""),0,IF(COUNTIFS(QC_LOT,$C229,QC_DATE,"&gt;"&amp;$B229)&gt;0,0,IF(COUNTIFS($C$5:$C229,$C229,$B$5:$B229,$B229)=COUNTIFS(QC_LOT,$C229,QC_DATE,$B229),1,0)))</f>
        <v>0</v>
      </c>
      <c r="U229" s="26" t="str">
        <f aca="false">IF($T229=1,$C229,"")</f>
        <v/>
      </c>
      <c r="V229" s="28" t="n">
        <f aca="false">IF($C229="",0,IF($C229=R_LOT,1,0))</f>
        <v>0</v>
      </c>
      <c r="W229" s="26" t="str">
        <f aca="false">IF($V229=0,"",COUNTIF($V$5:$V229,1))</f>
        <v/>
      </c>
    </row>
    <row r="230" customFormat="false" ht="15" hidden="false" customHeight="false" outlineLevel="0" collapsed="false">
      <c r="A230" s="26" t="str">
        <f aca="false">IF($C230="","","QC-"&amp;TEXT(ROW()-4,"000"))</f>
        <v/>
      </c>
      <c r="B230" s="25"/>
      <c r="C230" s="24"/>
      <c r="D230" s="24"/>
      <c r="E230" s="24"/>
      <c r="F230" s="32"/>
      <c r="G230" s="33"/>
      <c r="H230" s="24"/>
      <c r="I230" s="24"/>
      <c r="J230" s="24"/>
      <c r="K230" s="24"/>
      <c r="L230" s="24"/>
      <c r="M230" s="24"/>
      <c r="N230" s="26" t="str">
        <f aca="false">IF($C230="","",IFERROR(INDEX(LOT_EXTE,MATCH($C230,LOT_KEY,0)),""))</f>
        <v/>
      </c>
      <c r="O230" s="26" t="str">
        <f aca="false">IF($C230="","",IFERROR(INDEX(LOT_PRODE,MATCH($C230,LOT_KEY,0)),"LOT NON REFERENCE"))</f>
        <v/>
      </c>
      <c r="P230" s="26" t="str">
        <f aca="false">IF($C230="","",IFERROR(INDEX(LOT_CONSERVE,MATCH($C230,LOT_KEY,0)),""))</f>
        <v/>
      </c>
      <c r="Q230" s="27" t="str">
        <f aca="false">IF(OR($C230="",$D230=""),"",SUMIFS(MVT_NET,MVT_LOT,$C230,MVT_EMPL,$D230))</f>
        <v/>
      </c>
      <c r="R230" s="26" t="str">
        <f aca="false">IF($C230="","",IF(OR($B230="",AND($F230="",$G230="",$H230="",$I230="",$J230="",$K230="")),"DONNEES MANQUANTES",IF(AND($D230&lt;&gt;"",$Q230&lt;=0),"EMPLACEMENT INCOHERENT","OK")))</f>
        <v/>
      </c>
      <c r="S230" s="26" t="str">
        <f aca="false">IF($C230="","",IF(AND(ISNUMBER($G230),$G230&gt;P_HIST),"HISTAMINE "&amp;TEXT($G230,"#,##0")&amp;" PPM &gt; seuil "&amp;TEXT(P_HIST,"#,##0")&amp;". ","")&amp;IF(AND(ISNUMBER($F230),$P230="CONGELE",$F230&gt;P_TCONG),"TEMPERATURE "&amp;TEXT($F230,"0.0")&amp;" C hors seuil congele. ","")&amp;IF(AND(ISNUMBER($F230),$P230="FRAIS",$F230&gt;P_TFRAIS),"TEMPERATURE "&amp;TEXT($F230,"0.0")&amp;" C hors seuil frais. ","")&amp;IF($K230="BLOQUER","Lot bloque qualite : stock signale mais inchange. ","")&amp;IF($R230="EMPLACEMENT INCOHERENT","Lot absent de cet emplacement : controle conserve, stock inchange. ","")&amp;IF($R230="DONNEES MANQUANTES","Renseigner la DATE et au moins une mesure. ",""))</f>
        <v/>
      </c>
      <c r="T230" s="28" t="n">
        <f aca="false">IF(OR($C230="",$B230=""),0,IF(COUNTIFS(QC_LOT,$C230,QC_DATE,"&gt;"&amp;$B230)&gt;0,0,IF(COUNTIFS($C$5:$C230,$C230,$B$5:$B230,$B230)=COUNTIFS(QC_LOT,$C230,QC_DATE,$B230),1,0)))</f>
        <v>0</v>
      </c>
      <c r="U230" s="26" t="str">
        <f aca="false">IF($T230=1,$C230,"")</f>
        <v/>
      </c>
      <c r="V230" s="28" t="n">
        <f aca="false">IF($C230="",0,IF($C230=R_LOT,1,0))</f>
        <v>0</v>
      </c>
      <c r="W230" s="26" t="str">
        <f aca="false">IF($V230=0,"",COUNTIF($V$5:$V230,1))</f>
        <v/>
      </c>
    </row>
    <row r="231" customFormat="false" ht="15" hidden="false" customHeight="false" outlineLevel="0" collapsed="false">
      <c r="A231" s="26" t="str">
        <f aca="false">IF($C231="","","QC-"&amp;TEXT(ROW()-4,"000"))</f>
        <v/>
      </c>
      <c r="B231" s="25"/>
      <c r="C231" s="24"/>
      <c r="D231" s="24"/>
      <c r="E231" s="24"/>
      <c r="F231" s="32"/>
      <c r="G231" s="33"/>
      <c r="H231" s="24"/>
      <c r="I231" s="24"/>
      <c r="J231" s="24"/>
      <c r="K231" s="24"/>
      <c r="L231" s="24"/>
      <c r="M231" s="24"/>
      <c r="N231" s="26" t="str">
        <f aca="false">IF($C231="","",IFERROR(INDEX(LOT_EXTE,MATCH($C231,LOT_KEY,0)),""))</f>
        <v/>
      </c>
      <c r="O231" s="26" t="str">
        <f aca="false">IF($C231="","",IFERROR(INDEX(LOT_PRODE,MATCH($C231,LOT_KEY,0)),"LOT NON REFERENCE"))</f>
        <v/>
      </c>
      <c r="P231" s="26" t="str">
        <f aca="false">IF($C231="","",IFERROR(INDEX(LOT_CONSERVE,MATCH($C231,LOT_KEY,0)),""))</f>
        <v/>
      </c>
      <c r="Q231" s="27" t="str">
        <f aca="false">IF(OR($C231="",$D231=""),"",SUMIFS(MVT_NET,MVT_LOT,$C231,MVT_EMPL,$D231))</f>
        <v/>
      </c>
      <c r="R231" s="26" t="str">
        <f aca="false">IF($C231="","",IF(OR($B231="",AND($F231="",$G231="",$H231="",$I231="",$J231="",$K231="")),"DONNEES MANQUANTES",IF(AND($D231&lt;&gt;"",$Q231&lt;=0),"EMPLACEMENT INCOHERENT","OK")))</f>
        <v/>
      </c>
      <c r="S231" s="26" t="str">
        <f aca="false">IF($C231="","",IF(AND(ISNUMBER($G231),$G231&gt;P_HIST),"HISTAMINE "&amp;TEXT($G231,"#,##0")&amp;" PPM &gt; seuil "&amp;TEXT(P_HIST,"#,##0")&amp;". ","")&amp;IF(AND(ISNUMBER($F231),$P231="CONGELE",$F231&gt;P_TCONG),"TEMPERATURE "&amp;TEXT($F231,"0.0")&amp;" C hors seuil congele. ","")&amp;IF(AND(ISNUMBER($F231),$P231="FRAIS",$F231&gt;P_TFRAIS),"TEMPERATURE "&amp;TEXT($F231,"0.0")&amp;" C hors seuil frais. ","")&amp;IF($K231="BLOQUER","Lot bloque qualite : stock signale mais inchange. ","")&amp;IF($R231="EMPLACEMENT INCOHERENT","Lot absent de cet emplacement : controle conserve, stock inchange. ","")&amp;IF($R231="DONNEES MANQUANTES","Renseigner la DATE et au moins une mesure. ",""))</f>
        <v/>
      </c>
      <c r="T231" s="28" t="n">
        <f aca="false">IF(OR($C231="",$B231=""),0,IF(COUNTIFS(QC_LOT,$C231,QC_DATE,"&gt;"&amp;$B231)&gt;0,0,IF(COUNTIFS($C$5:$C231,$C231,$B$5:$B231,$B231)=COUNTIFS(QC_LOT,$C231,QC_DATE,$B231),1,0)))</f>
        <v>0</v>
      </c>
      <c r="U231" s="26" t="str">
        <f aca="false">IF($T231=1,$C231,"")</f>
        <v/>
      </c>
      <c r="V231" s="28" t="n">
        <f aca="false">IF($C231="",0,IF($C231=R_LOT,1,0))</f>
        <v>0</v>
      </c>
      <c r="W231" s="26" t="str">
        <f aca="false">IF($V231=0,"",COUNTIF($V$5:$V231,1))</f>
        <v/>
      </c>
    </row>
    <row r="232" customFormat="false" ht="15" hidden="false" customHeight="false" outlineLevel="0" collapsed="false">
      <c r="A232" s="26" t="str">
        <f aca="false">IF($C232="","","QC-"&amp;TEXT(ROW()-4,"000"))</f>
        <v/>
      </c>
      <c r="B232" s="25"/>
      <c r="C232" s="24"/>
      <c r="D232" s="24"/>
      <c r="E232" s="24"/>
      <c r="F232" s="32"/>
      <c r="G232" s="33"/>
      <c r="H232" s="24"/>
      <c r="I232" s="24"/>
      <c r="J232" s="24"/>
      <c r="K232" s="24"/>
      <c r="L232" s="24"/>
      <c r="M232" s="24"/>
      <c r="N232" s="26" t="str">
        <f aca="false">IF($C232="","",IFERROR(INDEX(LOT_EXTE,MATCH($C232,LOT_KEY,0)),""))</f>
        <v/>
      </c>
      <c r="O232" s="26" t="str">
        <f aca="false">IF($C232="","",IFERROR(INDEX(LOT_PRODE,MATCH($C232,LOT_KEY,0)),"LOT NON REFERENCE"))</f>
        <v/>
      </c>
      <c r="P232" s="26" t="str">
        <f aca="false">IF($C232="","",IFERROR(INDEX(LOT_CONSERVE,MATCH($C232,LOT_KEY,0)),""))</f>
        <v/>
      </c>
      <c r="Q232" s="27" t="str">
        <f aca="false">IF(OR($C232="",$D232=""),"",SUMIFS(MVT_NET,MVT_LOT,$C232,MVT_EMPL,$D232))</f>
        <v/>
      </c>
      <c r="R232" s="26" t="str">
        <f aca="false">IF($C232="","",IF(OR($B232="",AND($F232="",$G232="",$H232="",$I232="",$J232="",$K232="")),"DONNEES MANQUANTES",IF(AND($D232&lt;&gt;"",$Q232&lt;=0),"EMPLACEMENT INCOHERENT","OK")))</f>
        <v/>
      </c>
      <c r="S232" s="26" t="str">
        <f aca="false">IF($C232="","",IF(AND(ISNUMBER($G232),$G232&gt;P_HIST),"HISTAMINE "&amp;TEXT($G232,"#,##0")&amp;" PPM &gt; seuil "&amp;TEXT(P_HIST,"#,##0")&amp;". ","")&amp;IF(AND(ISNUMBER($F232),$P232="CONGELE",$F232&gt;P_TCONG),"TEMPERATURE "&amp;TEXT($F232,"0.0")&amp;" C hors seuil congele. ","")&amp;IF(AND(ISNUMBER($F232),$P232="FRAIS",$F232&gt;P_TFRAIS),"TEMPERATURE "&amp;TEXT($F232,"0.0")&amp;" C hors seuil frais. ","")&amp;IF($K232="BLOQUER","Lot bloque qualite : stock signale mais inchange. ","")&amp;IF($R232="EMPLACEMENT INCOHERENT","Lot absent de cet emplacement : controle conserve, stock inchange. ","")&amp;IF($R232="DONNEES MANQUANTES","Renseigner la DATE et au moins une mesure. ",""))</f>
        <v/>
      </c>
      <c r="T232" s="28" t="n">
        <f aca="false">IF(OR($C232="",$B232=""),0,IF(COUNTIFS(QC_LOT,$C232,QC_DATE,"&gt;"&amp;$B232)&gt;0,0,IF(COUNTIFS($C$5:$C232,$C232,$B$5:$B232,$B232)=COUNTIFS(QC_LOT,$C232,QC_DATE,$B232),1,0)))</f>
        <v>0</v>
      </c>
      <c r="U232" s="26" t="str">
        <f aca="false">IF($T232=1,$C232,"")</f>
        <v/>
      </c>
      <c r="V232" s="28" t="n">
        <f aca="false">IF($C232="",0,IF($C232=R_LOT,1,0))</f>
        <v>0</v>
      </c>
      <c r="W232" s="26" t="str">
        <f aca="false">IF($V232=0,"",COUNTIF($V$5:$V232,1))</f>
        <v/>
      </c>
    </row>
    <row r="233" customFormat="false" ht="15" hidden="false" customHeight="false" outlineLevel="0" collapsed="false">
      <c r="A233" s="26" t="str">
        <f aca="false">IF($C233="","","QC-"&amp;TEXT(ROW()-4,"000"))</f>
        <v/>
      </c>
      <c r="B233" s="25"/>
      <c r="C233" s="24"/>
      <c r="D233" s="24"/>
      <c r="E233" s="24"/>
      <c r="F233" s="32"/>
      <c r="G233" s="33"/>
      <c r="H233" s="24"/>
      <c r="I233" s="24"/>
      <c r="J233" s="24"/>
      <c r="K233" s="24"/>
      <c r="L233" s="24"/>
      <c r="M233" s="24"/>
      <c r="N233" s="26" t="str">
        <f aca="false">IF($C233="","",IFERROR(INDEX(LOT_EXTE,MATCH($C233,LOT_KEY,0)),""))</f>
        <v/>
      </c>
      <c r="O233" s="26" t="str">
        <f aca="false">IF($C233="","",IFERROR(INDEX(LOT_PRODE,MATCH($C233,LOT_KEY,0)),"LOT NON REFERENCE"))</f>
        <v/>
      </c>
      <c r="P233" s="26" t="str">
        <f aca="false">IF($C233="","",IFERROR(INDEX(LOT_CONSERVE,MATCH($C233,LOT_KEY,0)),""))</f>
        <v/>
      </c>
      <c r="Q233" s="27" t="str">
        <f aca="false">IF(OR($C233="",$D233=""),"",SUMIFS(MVT_NET,MVT_LOT,$C233,MVT_EMPL,$D233))</f>
        <v/>
      </c>
      <c r="R233" s="26" t="str">
        <f aca="false">IF($C233="","",IF(OR($B233="",AND($F233="",$G233="",$H233="",$I233="",$J233="",$K233="")),"DONNEES MANQUANTES",IF(AND($D233&lt;&gt;"",$Q233&lt;=0),"EMPLACEMENT INCOHERENT","OK")))</f>
        <v/>
      </c>
      <c r="S233" s="26" t="str">
        <f aca="false">IF($C233="","",IF(AND(ISNUMBER($G233),$G233&gt;P_HIST),"HISTAMINE "&amp;TEXT($G233,"#,##0")&amp;" PPM &gt; seuil "&amp;TEXT(P_HIST,"#,##0")&amp;". ","")&amp;IF(AND(ISNUMBER($F233),$P233="CONGELE",$F233&gt;P_TCONG),"TEMPERATURE "&amp;TEXT($F233,"0.0")&amp;" C hors seuil congele. ","")&amp;IF(AND(ISNUMBER($F233),$P233="FRAIS",$F233&gt;P_TFRAIS),"TEMPERATURE "&amp;TEXT($F233,"0.0")&amp;" C hors seuil frais. ","")&amp;IF($K233="BLOQUER","Lot bloque qualite : stock signale mais inchange. ","")&amp;IF($R233="EMPLACEMENT INCOHERENT","Lot absent de cet emplacement : controle conserve, stock inchange. ","")&amp;IF($R233="DONNEES MANQUANTES","Renseigner la DATE et au moins une mesure. ",""))</f>
        <v/>
      </c>
      <c r="T233" s="28" t="n">
        <f aca="false">IF(OR($C233="",$B233=""),0,IF(COUNTIFS(QC_LOT,$C233,QC_DATE,"&gt;"&amp;$B233)&gt;0,0,IF(COUNTIFS($C$5:$C233,$C233,$B$5:$B233,$B233)=COUNTIFS(QC_LOT,$C233,QC_DATE,$B233),1,0)))</f>
        <v>0</v>
      </c>
      <c r="U233" s="26" t="str">
        <f aca="false">IF($T233=1,$C233,"")</f>
        <v/>
      </c>
      <c r="V233" s="28" t="n">
        <f aca="false">IF($C233="",0,IF($C233=R_LOT,1,0))</f>
        <v>0</v>
      </c>
      <c r="W233" s="26" t="str">
        <f aca="false">IF($V233=0,"",COUNTIF($V$5:$V233,1))</f>
        <v/>
      </c>
    </row>
    <row r="234" customFormat="false" ht="15" hidden="false" customHeight="false" outlineLevel="0" collapsed="false">
      <c r="A234" s="26" t="str">
        <f aca="false">IF($C234="","","QC-"&amp;TEXT(ROW()-4,"000"))</f>
        <v/>
      </c>
      <c r="B234" s="25"/>
      <c r="C234" s="24"/>
      <c r="D234" s="24"/>
      <c r="E234" s="24"/>
      <c r="F234" s="32"/>
      <c r="G234" s="33"/>
      <c r="H234" s="24"/>
      <c r="I234" s="24"/>
      <c r="J234" s="24"/>
      <c r="K234" s="24"/>
      <c r="L234" s="24"/>
      <c r="M234" s="24"/>
      <c r="N234" s="26" t="str">
        <f aca="false">IF($C234="","",IFERROR(INDEX(LOT_EXTE,MATCH($C234,LOT_KEY,0)),""))</f>
        <v/>
      </c>
      <c r="O234" s="26" t="str">
        <f aca="false">IF($C234="","",IFERROR(INDEX(LOT_PRODE,MATCH($C234,LOT_KEY,0)),"LOT NON REFERENCE"))</f>
        <v/>
      </c>
      <c r="P234" s="26" t="str">
        <f aca="false">IF($C234="","",IFERROR(INDEX(LOT_CONSERVE,MATCH($C234,LOT_KEY,0)),""))</f>
        <v/>
      </c>
      <c r="Q234" s="27" t="str">
        <f aca="false">IF(OR($C234="",$D234=""),"",SUMIFS(MVT_NET,MVT_LOT,$C234,MVT_EMPL,$D234))</f>
        <v/>
      </c>
      <c r="R234" s="26" t="str">
        <f aca="false">IF($C234="","",IF(OR($B234="",AND($F234="",$G234="",$H234="",$I234="",$J234="",$K234="")),"DONNEES MANQUANTES",IF(AND($D234&lt;&gt;"",$Q234&lt;=0),"EMPLACEMENT INCOHERENT","OK")))</f>
        <v/>
      </c>
      <c r="S234" s="26" t="str">
        <f aca="false">IF($C234="","",IF(AND(ISNUMBER($G234),$G234&gt;P_HIST),"HISTAMINE "&amp;TEXT($G234,"#,##0")&amp;" PPM &gt; seuil "&amp;TEXT(P_HIST,"#,##0")&amp;". ","")&amp;IF(AND(ISNUMBER($F234),$P234="CONGELE",$F234&gt;P_TCONG),"TEMPERATURE "&amp;TEXT($F234,"0.0")&amp;" C hors seuil congele. ","")&amp;IF(AND(ISNUMBER($F234),$P234="FRAIS",$F234&gt;P_TFRAIS),"TEMPERATURE "&amp;TEXT($F234,"0.0")&amp;" C hors seuil frais. ","")&amp;IF($K234="BLOQUER","Lot bloque qualite : stock signale mais inchange. ","")&amp;IF($R234="EMPLACEMENT INCOHERENT","Lot absent de cet emplacement : controle conserve, stock inchange. ","")&amp;IF($R234="DONNEES MANQUANTES","Renseigner la DATE et au moins une mesure. ",""))</f>
        <v/>
      </c>
      <c r="T234" s="28" t="n">
        <f aca="false">IF(OR($C234="",$B234=""),0,IF(COUNTIFS(QC_LOT,$C234,QC_DATE,"&gt;"&amp;$B234)&gt;0,0,IF(COUNTIFS($C$5:$C234,$C234,$B$5:$B234,$B234)=COUNTIFS(QC_LOT,$C234,QC_DATE,$B234),1,0)))</f>
        <v>0</v>
      </c>
      <c r="U234" s="26" t="str">
        <f aca="false">IF($T234=1,$C234,"")</f>
        <v/>
      </c>
      <c r="V234" s="28" t="n">
        <f aca="false">IF($C234="",0,IF($C234=R_LOT,1,0))</f>
        <v>0</v>
      </c>
      <c r="W234" s="26" t="str">
        <f aca="false">IF($V234=0,"",COUNTIF($V$5:$V234,1))</f>
        <v/>
      </c>
    </row>
    <row r="235" customFormat="false" ht="15" hidden="false" customHeight="false" outlineLevel="0" collapsed="false">
      <c r="A235" s="26" t="str">
        <f aca="false">IF($C235="","","QC-"&amp;TEXT(ROW()-4,"000"))</f>
        <v/>
      </c>
      <c r="B235" s="25"/>
      <c r="C235" s="24"/>
      <c r="D235" s="24"/>
      <c r="E235" s="24"/>
      <c r="F235" s="32"/>
      <c r="G235" s="33"/>
      <c r="H235" s="24"/>
      <c r="I235" s="24"/>
      <c r="J235" s="24"/>
      <c r="K235" s="24"/>
      <c r="L235" s="24"/>
      <c r="M235" s="24"/>
      <c r="N235" s="26" t="str">
        <f aca="false">IF($C235="","",IFERROR(INDEX(LOT_EXTE,MATCH($C235,LOT_KEY,0)),""))</f>
        <v/>
      </c>
      <c r="O235" s="26" t="str">
        <f aca="false">IF($C235="","",IFERROR(INDEX(LOT_PRODE,MATCH($C235,LOT_KEY,0)),"LOT NON REFERENCE"))</f>
        <v/>
      </c>
      <c r="P235" s="26" t="str">
        <f aca="false">IF($C235="","",IFERROR(INDEX(LOT_CONSERVE,MATCH($C235,LOT_KEY,0)),""))</f>
        <v/>
      </c>
      <c r="Q235" s="27" t="str">
        <f aca="false">IF(OR($C235="",$D235=""),"",SUMIFS(MVT_NET,MVT_LOT,$C235,MVT_EMPL,$D235))</f>
        <v/>
      </c>
      <c r="R235" s="26" t="str">
        <f aca="false">IF($C235="","",IF(OR($B235="",AND($F235="",$G235="",$H235="",$I235="",$J235="",$K235="")),"DONNEES MANQUANTES",IF(AND($D235&lt;&gt;"",$Q235&lt;=0),"EMPLACEMENT INCOHERENT","OK")))</f>
        <v/>
      </c>
      <c r="S235" s="26" t="str">
        <f aca="false">IF($C235="","",IF(AND(ISNUMBER($G235),$G235&gt;P_HIST),"HISTAMINE "&amp;TEXT($G235,"#,##0")&amp;" PPM &gt; seuil "&amp;TEXT(P_HIST,"#,##0")&amp;". ","")&amp;IF(AND(ISNUMBER($F235),$P235="CONGELE",$F235&gt;P_TCONG),"TEMPERATURE "&amp;TEXT($F235,"0.0")&amp;" C hors seuil congele. ","")&amp;IF(AND(ISNUMBER($F235),$P235="FRAIS",$F235&gt;P_TFRAIS),"TEMPERATURE "&amp;TEXT($F235,"0.0")&amp;" C hors seuil frais. ","")&amp;IF($K235="BLOQUER","Lot bloque qualite : stock signale mais inchange. ","")&amp;IF($R235="EMPLACEMENT INCOHERENT","Lot absent de cet emplacement : controle conserve, stock inchange. ","")&amp;IF($R235="DONNEES MANQUANTES","Renseigner la DATE et au moins une mesure. ",""))</f>
        <v/>
      </c>
      <c r="T235" s="28" t="n">
        <f aca="false">IF(OR($C235="",$B235=""),0,IF(COUNTIFS(QC_LOT,$C235,QC_DATE,"&gt;"&amp;$B235)&gt;0,0,IF(COUNTIFS($C$5:$C235,$C235,$B$5:$B235,$B235)=COUNTIFS(QC_LOT,$C235,QC_DATE,$B235),1,0)))</f>
        <v>0</v>
      </c>
      <c r="U235" s="26" t="str">
        <f aca="false">IF($T235=1,$C235,"")</f>
        <v/>
      </c>
      <c r="V235" s="28" t="n">
        <f aca="false">IF($C235="",0,IF($C235=R_LOT,1,0))</f>
        <v>0</v>
      </c>
      <c r="W235" s="26" t="str">
        <f aca="false">IF($V235=0,"",COUNTIF($V$5:$V235,1))</f>
        <v/>
      </c>
    </row>
    <row r="236" customFormat="false" ht="15" hidden="false" customHeight="false" outlineLevel="0" collapsed="false">
      <c r="A236" s="26" t="str">
        <f aca="false">IF($C236="","","QC-"&amp;TEXT(ROW()-4,"000"))</f>
        <v/>
      </c>
      <c r="B236" s="25"/>
      <c r="C236" s="24"/>
      <c r="D236" s="24"/>
      <c r="E236" s="24"/>
      <c r="F236" s="32"/>
      <c r="G236" s="33"/>
      <c r="H236" s="24"/>
      <c r="I236" s="24"/>
      <c r="J236" s="24"/>
      <c r="K236" s="24"/>
      <c r="L236" s="24"/>
      <c r="M236" s="24"/>
      <c r="N236" s="26" t="str">
        <f aca="false">IF($C236="","",IFERROR(INDEX(LOT_EXTE,MATCH($C236,LOT_KEY,0)),""))</f>
        <v/>
      </c>
      <c r="O236" s="26" t="str">
        <f aca="false">IF($C236="","",IFERROR(INDEX(LOT_PRODE,MATCH($C236,LOT_KEY,0)),"LOT NON REFERENCE"))</f>
        <v/>
      </c>
      <c r="P236" s="26" t="str">
        <f aca="false">IF($C236="","",IFERROR(INDEX(LOT_CONSERVE,MATCH($C236,LOT_KEY,0)),""))</f>
        <v/>
      </c>
      <c r="Q236" s="27" t="str">
        <f aca="false">IF(OR($C236="",$D236=""),"",SUMIFS(MVT_NET,MVT_LOT,$C236,MVT_EMPL,$D236))</f>
        <v/>
      </c>
      <c r="R236" s="26" t="str">
        <f aca="false">IF($C236="","",IF(OR($B236="",AND($F236="",$G236="",$H236="",$I236="",$J236="",$K236="")),"DONNEES MANQUANTES",IF(AND($D236&lt;&gt;"",$Q236&lt;=0),"EMPLACEMENT INCOHERENT","OK")))</f>
        <v/>
      </c>
      <c r="S236" s="26" t="str">
        <f aca="false">IF($C236="","",IF(AND(ISNUMBER($G236),$G236&gt;P_HIST),"HISTAMINE "&amp;TEXT($G236,"#,##0")&amp;" PPM &gt; seuil "&amp;TEXT(P_HIST,"#,##0")&amp;". ","")&amp;IF(AND(ISNUMBER($F236),$P236="CONGELE",$F236&gt;P_TCONG),"TEMPERATURE "&amp;TEXT($F236,"0.0")&amp;" C hors seuil congele. ","")&amp;IF(AND(ISNUMBER($F236),$P236="FRAIS",$F236&gt;P_TFRAIS),"TEMPERATURE "&amp;TEXT($F236,"0.0")&amp;" C hors seuil frais. ","")&amp;IF($K236="BLOQUER","Lot bloque qualite : stock signale mais inchange. ","")&amp;IF($R236="EMPLACEMENT INCOHERENT","Lot absent de cet emplacement : controle conserve, stock inchange. ","")&amp;IF($R236="DONNEES MANQUANTES","Renseigner la DATE et au moins une mesure. ",""))</f>
        <v/>
      </c>
      <c r="T236" s="28" t="n">
        <f aca="false">IF(OR($C236="",$B236=""),0,IF(COUNTIFS(QC_LOT,$C236,QC_DATE,"&gt;"&amp;$B236)&gt;0,0,IF(COUNTIFS($C$5:$C236,$C236,$B$5:$B236,$B236)=COUNTIFS(QC_LOT,$C236,QC_DATE,$B236),1,0)))</f>
        <v>0</v>
      </c>
      <c r="U236" s="26" t="str">
        <f aca="false">IF($T236=1,$C236,"")</f>
        <v/>
      </c>
      <c r="V236" s="28" t="n">
        <f aca="false">IF($C236="",0,IF($C236=R_LOT,1,0))</f>
        <v>0</v>
      </c>
      <c r="W236" s="26" t="str">
        <f aca="false">IF($V236=0,"",COUNTIF($V$5:$V236,1))</f>
        <v/>
      </c>
    </row>
    <row r="237" customFormat="false" ht="15" hidden="false" customHeight="false" outlineLevel="0" collapsed="false">
      <c r="A237" s="26" t="str">
        <f aca="false">IF($C237="","","QC-"&amp;TEXT(ROW()-4,"000"))</f>
        <v/>
      </c>
      <c r="B237" s="25"/>
      <c r="C237" s="24"/>
      <c r="D237" s="24"/>
      <c r="E237" s="24"/>
      <c r="F237" s="32"/>
      <c r="G237" s="33"/>
      <c r="H237" s="24"/>
      <c r="I237" s="24"/>
      <c r="J237" s="24"/>
      <c r="K237" s="24"/>
      <c r="L237" s="24"/>
      <c r="M237" s="24"/>
      <c r="N237" s="26" t="str">
        <f aca="false">IF($C237="","",IFERROR(INDEX(LOT_EXTE,MATCH($C237,LOT_KEY,0)),""))</f>
        <v/>
      </c>
      <c r="O237" s="26" t="str">
        <f aca="false">IF($C237="","",IFERROR(INDEX(LOT_PRODE,MATCH($C237,LOT_KEY,0)),"LOT NON REFERENCE"))</f>
        <v/>
      </c>
      <c r="P237" s="26" t="str">
        <f aca="false">IF($C237="","",IFERROR(INDEX(LOT_CONSERVE,MATCH($C237,LOT_KEY,0)),""))</f>
        <v/>
      </c>
      <c r="Q237" s="27" t="str">
        <f aca="false">IF(OR($C237="",$D237=""),"",SUMIFS(MVT_NET,MVT_LOT,$C237,MVT_EMPL,$D237))</f>
        <v/>
      </c>
      <c r="R237" s="26" t="str">
        <f aca="false">IF($C237="","",IF(OR($B237="",AND($F237="",$G237="",$H237="",$I237="",$J237="",$K237="")),"DONNEES MANQUANTES",IF(AND($D237&lt;&gt;"",$Q237&lt;=0),"EMPLACEMENT INCOHERENT","OK")))</f>
        <v/>
      </c>
      <c r="S237" s="26" t="str">
        <f aca="false">IF($C237="","",IF(AND(ISNUMBER($G237),$G237&gt;P_HIST),"HISTAMINE "&amp;TEXT($G237,"#,##0")&amp;" PPM &gt; seuil "&amp;TEXT(P_HIST,"#,##0")&amp;". ","")&amp;IF(AND(ISNUMBER($F237),$P237="CONGELE",$F237&gt;P_TCONG),"TEMPERATURE "&amp;TEXT($F237,"0.0")&amp;" C hors seuil congele. ","")&amp;IF(AND(ISNUMBER($F237),$P237="FRAIS",$F237&gt;P_TFRAIS),"TEMPERATURE "&amp;TEXT($F237,"0.0")&amp;" C hors seuil frais. ","")&amp;IF($K237="BLOQUER","Lot bloque qualite : stock signale mais inchange. ","")&amp;IF($R237="EMPLACEMENT INCOHERENT","Lot absent de cet emplacement : controle conserve, stock inchange. ","")&amp;IF($R237="DONNEES MANQUANTES","Renseigner la DATE et au moins une mesure. ",""))</f>
        <v/>
      </c>
      <c r="T237" s="28" t="n">
        <f aca="false">IF(OR($C237="",$B237=""),0,IF(COUNTIFS(QC_LOT,$C237,QC_DATE,"&gt;"&amp;$B237)&gt;0,0,IF(COUNTIFS($C$5:$C237,$C237,$B$5:$B237,$B237)=COUNTIFS(QC_LOT,$C237,QC_DATE,$B237),1,0)))</f>
        <v>0</v>
      </c>
      <c r="U237" s="26" t="str">
        <f aca="false">IF($T237=1,$C237,"")</f>
        <v/>
      </c>
      <c r="V237" s="28" t="n">
        <f aca="false">IF($C237="",0,IF($C237=R_LOT,1,0))</f>
        <v>0</v>
      </c>
      <c r="W237" s="26" t="str">
        <f aca="false">IF($V237=0,"",COUNTIF($V$5:$V237,1))</f>
        <v/>
      </c>
    </row>
    <row r="238" customFormat="false" ht="15" hidden="false" customHeight="false" outlineLevel="0" collapsed="false">
      <c r="A238" s="26" t="str">
        <f aca="false">IF($C238="","","QC-"&amp;TEXT(ROW()-4,"000"))</f>
        <v/>
      </c>
      <c r="B238" s="25"/>
      <c r="C238" s="24"/>
      <c r="D238" s="24"/>
      <c r="E238" s="24"/>
      <c r="F238" s="32"/>
      <c r="G238" s="33"/>
      <c r="H238" s="24"/>
      <c r="I238" s="24"/>
      <c r="J238" s="24"/>
      <c r="K238" s="24"/>
      <c r="L238" s="24"/>
      <c r="M238" s="24"/>
      <c r="N238" s="26" t="str">
        <f aca="false">IF($C238="","",IFERROR(INDEX(LOT_EXTE,MATCH($C238,LOT_KEY,0)),""))</f>
        <v/>
      </c>
      <c r="O238" s="26" t="str">
        <f aca="false">IF($C238="","",IFERROR(INDEX(LOT_PRODE,MATCH($C238,LOT_KEY,0)),"LOT NON REFERENCE"))</f>
        <v/>
      </c>
      <c r="P238" s="26" t="str">
        <f aca="false">IF($C238="","",IFERROR(INDEX(LOT_CONSERVE,MATCH($C238,LOT_KEY,0)),""))</f>
        <v/>
      </c>
      <c r="Q238" s="27" t="str">
        <f aca="false">IF(OR($C238="",$D238=""),"",SUMIFS(MVT_NET,MVT_LOT,$C238,MVT_EMPL,$D238))</f>
        <v/>
      </c>
      <c r="R238" s="26" t="str">
        <f aca="false">IF($C238="","",IF(OR($B238="",AND($F238="",$G238="",$H238="",$I238="",$J238="",$K238="")),"DONNEES MANQUANTES",IF(AND($D238&lt;&gt;"",$Q238&lt;=0),"EMPLACEMENT INCOHERENT","OK")))</f>
        <v/>
      </c>
      <c r="S238" s="26" t="str">
        <f aca="false">IF($C238="","",IF(AND(ISNUMBER($G238),$G238&gt;P_HIST),"HISTAMINE "&amp;TEXT($G238,"#,##0")&amp;" PPM &gt; seuil "&amp;TEXT(P_HIST,"#,##0")&amp;". ","")&amp;IF(AND(ISNUMBER($F238),$P238="CONGELE",$F238&gt;P_TCONG),"TEMPERATURE "&amp;TEXT($F238,"0.0")&amp;" C hors seuil congele. ","")&amp;IF(AND(ISNUMBER($F238),$P238="FRAIS",$F238&gt;P_TFRAIS),"TEMPERATURE "&amp;TEXT($F238,"0.0")&amp;" C hors seuil frais. ","")&amp;IF($K238="BLOQUER","Lot bloque qualite : stock signale mais inchange. ","")&amp;IF($R238="EMPLACEMENT INCOHERENT","Lot absent de cet emplacement : controle conserve, stock inchange. ","")&amp;IF($R238="DONNEES MANQUANTES","Renseigner la DATE et au moins une mesure. ",""))</f>
        <v/>
      </c>
      <c r="T238" s="28" t="n">
        <f aca="false">IF(OR($C238="",$B238=""),0,IF(COUNTIFS(QC_LOT,$C238,QC_DATE,"&gt;"&amp;$B238)&gt;0,0,IF(COUNTIFS($C$5:$C238,$C238,$B$5:$B238,$B238)=COUNTIFS(QC_LOT,$C238,QC_DATE,$B238),1,0)))</f>
        <v>0</v>
      </c>
      <c r="U238" s="26" t="str">
        <f aca="false">IF($T238=1,$C238,"")</f>
        <v/>
      </c>
      <c r="V238" s="28" t="n">
        <f aca="false">IF($C238="",0,IF($C238=R_LOT,1,0))</f>
        <v>0</v>
      </c>
      <c r="W238" s="26" t="str">
        <f aca="false">IF($V238=0,"",COUNTIF($V$5:$V238,1))</f>
        <v/>
      </c>
    </row>
    <row r="239" customFormat="false" ht="15" hidden="false" customHeight="false" outlineLevel="0" collapsed="false">
      <c r="A239" s="26" t="str">
        <f aca="false">IF($C239="","","QC-"&amp;TEXT(ROW()-4,"000"))</f>
        <v/>
      </c>
      <c r="B239" s="25"/>
      <c r="C239" s="24"/>
      <c r="D239" s="24"/>
      <c r="E239" s="24"/>
      <c r="F239" s="32"/>
      <c r="G239" s="33"/>
      <c r="H239" s="24"/>
      <c r="I239" s="24"/>
      <c r="J239" s="24"/>
      <c r="K239" s="24"/>
      <c r="L239" s="24"/>
      <c r="M239" s="24"/>
      <c r="N239" s="26" t="str">
        <f aca="false">IF($C239="","",IFERROR(INDEX(LOT_EXTE,MATCH($C239,LOT_KEY,0)),""))</f>
        <v/>
      </c>
      <c r="O239" s="26" t="str">
        <f aca="false">IF($C239="","",IFERROR(INDEX(LOT_PRODE,MATCH($C239,LOT_KEY,0)),"LOT NON REFERENCE"))</f>
        <v/>
      </c>
      <c r="P239" s="26" t="str">
        <f aca="false">IF($C239="","",IFERROR(INDEX(LOT_CONSERVE,MATCH($C239,LOT_KEY,0)),""))</f>
        <v/>
      </c>
      <c r="Q239" s="27" t="str">
        <f aca="false">IF(OR($C239="",$D239=""),"",SUMIFS(MVT_NET,MVT_LOT,$C239,MVT_EMPL,$D239))</f>
        <v/>
      </c>
      <c r="R239" s="26" t="str">
        <f aca="false">IF($C239="","",IF(OR($B239="",AND($F239="",$G239="",$H239="",$I239="",$J239="",$K239="")),"DONNEES MANQUANTES",IF(AND($D239&lt;&gt;"",$Q239&lt;=0),"EMPLACEMENT INCOHERENT","OK")))</f>
        <v/>
      </c>
      <c r="S239" s="26" t="str">
        <f aca="false">IF($C239="","",IF(AND(ISNUMBER($G239),$G239&gt;P_HIST),"HISTAMINE "&amp;TEXT($G239,"#,##0")&amp;" PPM &gt; seuil "&amp;TEXT(P_HIST,"#,##0")&amp;". ","")&amp;IF(AND(ISNUMBER($F239),$P239="CONGELE",$F239&gt;P_TCONG),"TEMPERATURE "&amp;TEXT($F239,"0.0")&amp;" C hors seuil congele. ","")&amp;IF(AND(ISNUMBER($F239),$P239="FRAIS",$F239&gt;P_TFRAIS),"TEMPERATURE "&amp;TEXT($F239,"0.0")&amp;" C hors seuil frais. ","")&amp;IF($K239="BLOQUER","Lot bloque qualite : stock signale mais inchange. ","")&amp;IF($R239="EMPLACEMENT INCOHERENT","Lot absent de cet emplacement : controle conserve, stock inchange. ","")&amp;IF($R239="DONNEES MANQUANTES","Renseigner la DATE et au moins une mesure. ",""))</f>
        <v/>
      </c>
      <c r="T239" s="28" t="n">
        <f aca="false">IF(OR($C239="",$B239=""),0,IF(COUNTIFS(QC_LOT,$C239,QC_DATE,"&gt;"&amp;$B239)&gt;0,0,IF(COUNTIFS($C$5:$C239,$C239,$B$5:$B239,$B239)=COUNTIFS(QC_LOT,$C239,QC_DATE,$B239),1,0)))</f>
        <v>0</v>
      </c>
      <c r="U239" s="26" t="str">
        <f aca="false">IF($T239=1,$C239,"")</f>
        <v/>
      </c>
      <c r="V239" s="28" t="n">
        <f aca="false">IF($C239="",0,IF($C239=R_LOT,1,0))</f>
        <v>0</v>
      </c>
      <c r="W239" s="26" t="str">
        <f aca="false">IF($V239=0,"",COUNTIF($V$5:$V239,1))</f>
        <v/>
      </c>
    </row>
    <row r="240" customFormat="false" ht="15" hidden="false" customHeight="false" outlineLevel="0" collapsed="false">
      <c r="A240" s="26" t="str">
        <f aca="false">IF($C240="","","QC-"&amp;TEXT(ROW()-4,"000"))</f>
        <v/>
      </c>
      <c r="B240" s="25"/>
      <c r="C240" s="24"/>
      <c r="D240" s="24"/>
      <c r="E240" s="24"/>
      <c r="F240" s="32"/>
      <c r="G240" s="33"/>
      <c r="H240" s="24"/>
      <c r="I240" s="24"/>
      <c r="J240" s="24"/>
      <c r="K240" s="24"/>
      <c r="L240" s="24"/>
      <c r="M240" s="24"/>
      <c r="N240" s="26" t="str">
        <f aca="false">IF($C240="","",IFERROR(INDEX(LOT_EXTE,MATCH($C240,LOT_KEY,0)),""))</f>
        <v/>
      </c>
      <c r="O240" s="26" t="str">
        <f aca="false">IF($C240="","",IFERROR(INDEX(LOT_PRODE,MATCH($C240,LOT_KEY,0)),"LOT NON REFERENCE"))</f>
        <v/>
      </c>
      <c r="P240" s="26" t="str">
        <f aca="false">IF($C240="","",IFERROR(INDEX(LOT_CONSERVE,MATCH($C240,LOT_KEY,0)),""))</f>
        <v/>
      </c>
      <c r="Q240" s="27" t="str">
        <f aca="false">IF(OR($C240="",$D240=""),"",SUMIFS(MVT_NET,MVT_LOT,$C240,MVT_EMPL,$D240))</f>
        <v/>
      </c>
      <c r="R240" s="26" t="str">
        <f aca="false">IF($C240="","",IF(OR($B240="",AND($F240="",$G240="",$H240="",$I240="",$J240="",$K240="")),"DONNEES MANQUANTES",IF(AND($D240&lt;&gt;"",$Q240&lt;=0),"EMPLACEMENT INCOHERENT","OK")))</f>
        <v/>
      </c>
      <c r="S240" s="26" t="str">
        <f aca="false">IF($C240="","",IF(AND(ISNUMBER($G240),$G240&gt;P_HIST),"HISTAMINE "&amp;TEXT($G240,"#,##0")&amp;" PPM &gt; seuil "&amp;TEXT(P_HIST,"#,##0")&amp;". ","")&amp;IF(AND(ISNUMBER($F240),$P240="CONGELE",$F240&gt;P_TCONG),"TEMPERATURE "&amp;TEXT($F240,"0.0")&amp;" C hors seuil congele. ","")&amp;IF(AND(ISNUMBER($F240),$P240="FRAIS",$F240&gt;P_TFRAIS),"TEMPERATURE "&amp;TEXT($F240,"0.0")&amp;" C hors seuil frais. ","")&amp;IF($K240="BLOQUER","Lot bloque qualite : stock signale mais inchange. ","")&amp;IF($R240="EMPLACEMENT INCOHERENT","Lot absent de cet emplacement : controle conserve, stock inchange. ","")&amp;IF($R240="DONNEES MANQUANTES","Renseigner la DATE et au moins une mesure. ",""))</f>
        <v/>
      </c>
      <c r="T240" s="28" t="n">
        <f aca="false">IF(OR($C240="",$B240=""),0,IF(COUNTIFS(QC_LOT,$C240,QC_DATE,"&gt;"&amp;$B240)&gt;0,0,IF(COUNTIFS($C$5:$C240,$C240,$B$5:$B240,$B240)=COUNTIFS(QC_LOT,$C240,QC_DATE,$B240),1,0)))</f>
        <v>0</v>
      </c>
      <c r="U240" s="26" t="str">
        <f aca="false">IF($T240=1,$C240,"")</f>
        <v/>
      </c>
      <c r="V240" s="28" t="n">
        <f aca="false">IF($C240="",0,IF($C240=R_LOT,1,0))</f>
        <v>0</v>
      </c>
      <c r="W240" s="26" t="str">
        <f aca="false">IF($V240=0,"",COUNTIF($V$5:$V240,1))</f>
        <v/>
      </c>
    </row>
    <row r="241" customFormat="false" ht="15" hidden="false" customHeight="false" outlineLevel="0" collapsed="false">
      <c r="A241" s="26" t="str">
        <f aca="false">IF($C241="","","QC-"&amp;TEXT(ROW()-4,"000"))</f>
        <v/>
      </c>
      <c r="B241" s="25"/>
      <c r="C241" s="24"/>
      <c r="D241" s="24"/>
      <c r="E241" s="24"/>
      <c r="F241" s="32"/>
      <c r="G241" s="33"/>
      <c r="H241" s="24"/>
      <c r="I241" s="24"/>
      <c r="J241" s="24"/>
      <c r="K241" s="24"/>
      <c r="L241" s="24"/>
      <c r="M241" s="24"/>
      <c r="N241" s="26" t="str">
        <f aca="false">IF($C241="","",IFERROR(INDEX(LOT_EXTE,MATCH($C241,LOT_KEY,0)),""))</f>
        <v/>
      </c>
      <c r="O241" s="26" t="str">
        <f aca="false">IF($C241="","",IFERROR(INDEX(LOT_PRODE,MATCH($C241,LOT_KEY,0)),"LOT NON REFERENCE"))</f>
        <v/>
      </c>
      <c r="P241" s="26" t="str">
        <f aca="false">IF($C241="","",IFERROR(INDEX(LOT_CONSERVE,MATCH($C241,LOT_KEY,0)),""))</f>
        <v/>
      </c>
      <c r="Q241" s="27" t="str">
        <f aca="false">IF(OR($C241="",$D241=""),"",SUMIFS(MVT_NET,MVT_LOT,$C241,MVT_EMPL,$D241))</f>
        <v/>
      </c>
      <c r="R241" s="26" t="str">
        <f aca="false">IF($C241="","",IF(OR($B241="",AND($F241="",$G241="",$H241="",$I241="",$J241="",$K241="")),"DONNEES MANQUANTES",IF(AND($D241&lt;&gt;"",$Q241&lt;=0),"EMPLACEMENT INCOHERENT","OK")))</f>
        <v/>
      </c>
      <c r="S241" s="26" t="str">
        <f aca="false">IF($C241="","",IF(AND(ISNUMBER($G241),$G241&gt;P_HIST),"HISTAMINE "&amp;TEXT($G241,"#,##0")&amp;" PPM &gt; seuil "&amp;TEXT(P_HIST,"#,##0")&amp;". ","")&amp;IF(AND(ISNUMBER($F241),$P241="CONGELE",$F241&gt;P_TCONG),"TEMPERATURE "&amp;TEXT($F241,"0.0")&amp;" C hors seuil congele. ","")&amp;IF(AND(ISNUMBER($F241),$P241="FRAIS",$F241&gt;P_TFRAIS),"TEMPERATURE "&amp;TEXT($F241,"0.0")&amp;" C hors seuil frais. ","")&amp;IF($K241="BLOQUER","Lot bloque qualite : stock signale mais inchange. ","")&amp;IF($R241="EMPLACEMENT INCOHERENT","Lot absent de cet emplacement : controle conserve, stock inchange. ","")&amp;IF($R241="DONNEES MANQUANTES","Renseigner la DATE et au moins une mesure. ",""))</f>
        <v/>
      </c>
      <c r="T241" s="28" t="n">
        <f aca="false">IF(OR($C241="",$B241=""),0,IF(COUNTIFS(QC_LOT,$C241,QC_DATE,"&gt;"&amp;$B241)&gt;0,0,IF(COUNTIFS($C$5:$C241,$C241,$B$5:$B241,$B241)=COUNTIFS(QC_LOT,$C241,QC_DATE,$B241),1,0)))</f>
        <v>0</v>
      </c>
      <c r="U241" s="26" t="str">
        <f aca="false">IF($T241=1,$C241,"")</f>
        <v/>
      </c>
      <c r="V241" s="28" t="n">
        <f aca="false">IF($C241="",0,IF($C241=R_LOT,1,0))</f>
        <v>0</v>
      </c>
      <c r="W241" s="26" t="str">
        <f aca="false">IF($V241=0,"",COUNTIF($V$5:$V241,1))</f>
        <v/>
      </c>
    </row>
    <row r="242" customFormat="false" ht="15" hidden="false" customHeight="false" outlineLevel="0" collapsed="false">
      <c r="A242" s="26" t="str">
        <f aca="false">IF($C242="","","QC-"&amp;TEXT(ROW()-4,"000"))</f>
        <v/>
      </c>
      <c r="B242" s="25"/>
      <c r="C242" s="24"/>
      <c r="D242" s="24"/>
      <c r="E242" s="24"/>
      <c r="F242" s="32"/>
      <c r="G242" s="33"/>
      <c r="H242" s="24"/>
      <c r="I242" s="24"/>
      <c r="J242" s="24"/>
      <c r="K242" s="24"/>
      <c r="L242" s="24"/>
      <c r="M242" s="24"/>
      <c r="N242" s="26" t="str">
        <f aca="false">IF($C242="","",IFERROR(INDEX(LOT_EXTE,MATCH($C242,LOT_KEY,0)),""))</f>
        <v/>
      </c>
      <c r="O242" s="26" t="str">
        <f aca="false">IF($C242="","",IFERROR(INDEX(LOT_PRODE,MATCH($C242,LOT_KEY,0)),"LOT NON REFERENCE"))</f>
        <v/>
      </c>
      <c r="P242" s="26" t="str">
        <f aca="false">IF($C242="","",IFERROR(INDEX(LOT_CONSERVE,MATCH($C242,LOT_KEY,0)),""))</f>
        <v/>
      </c>
      <c r="Q242" s="27" t="str">
        <f aca="false">IF(OR($C242="",$D242=""),"",SUMIFS(MVT_NET,MVT_LOT,$C242,MVT_EMPL,$D242))</f>
        <v/>
      </c>
      <c r="R242" s="26" t="str">
        <f aca="false">IF($C242="","",IF(OR($B242="",AND($F242="",$G242="",$H242="",$I242="",$J242="",$K242="")),"DONNEES MANQUANTES",IF(AND($D242&lt;&gt;"",$Q242&lt;=0),"EMPLACEMENT INCOHERENT","OK")))</f>
        <v/>
      </c>
      <c r="S242" s="26" t="str">
        <f aca="false">IF($C242="","",IF(AND(ISNUMBER($G242),$G242&gt;P_HIST),"HISTAMINE "&amp;TEXT($G242,"#,##0")&amp;" PPM &gt; seuil "&amp;TEXT(P_HIST,"#,##0")&amp;". ","")&amp;IF(AND(ISNUMBER($F242),$P242="CONGELE",$F242&gt;P_TCONG),"TEMPERATURE "&amp;TEXT($F242,"0.0")&amp;" C hors seuil congele. ","")&amp;IF(AND(ISNUMBER($F242),$P242="FRAIS",$F242&gt;P_TFRAIS),"TEMPERATURE "&amp;TEXT($F242,"0.0")&amp;" C hors seuil frais. ","")&amp;IF($K242="BLOQUER","Lot bloque qualite : stock signale mais inchange. ","")&amp;IF($R242="EMPLACEMENT INCOHERENT","Lot absent de cet emplacement : controle conserve, stock inchange. ","")&amp;IF($R242="DONNEES MANQUANTES","Renseigner la DATE et au moins une mesure. ",""))</f>
        <v/>
      </c>
      <c r="T242" s="28" t="n">
        <f aca="false">IF(OR($C242="",$B242=""),0,IF(COUNTIFS(QC_LOT,$C242,QC_DATE,"&gt;"&amp;$B242)&gt;0,0,IF(COUNTIFS($C$5:$C242,$C242,$B$5:$B242,$B242)=COUNTIFS(QC_LOT,$C242,QC_DATE,$B242),1,0)))</f>
        <v>0</v>
      </c>
      <c r="U242" s="26" t="str">
        <f aca="false">IF($T242=1,$C242,"")</f>
        <v/>
      </c>
      <c r="V242" s="28" t="n">
        <f aca="false">IF($C242="",0,IF($C242=R_LOT,1,0))</f>
        <v>0</v>
      </c>
      <c r="W242" s="26" t="str">
        <f aca="false">IF($V242=0,"",COUNTIF($V$5:$V242,1))</f>
        <v/>
      </c>
    </row>
    <row r="243" customFormat="false" ht="15" hidden="false" customHeight="false" outlineLevel="0" collapsed="false">
      <c r="A243" s="26" t="str">
        <f aca="false">IF($C243="","","QC-"&amp;TEXT(ROW()-4,"000"))</f>
        <v/>
      </c>
      <c r="B243" s="25"/>
      <c r="C243" s="24"/>
      <c r="D243" s="24"/>
      <c r="E243" s="24"/>
      <c r="F243" s="32"/>
      <c r="G243" s="33"/>
      <c r="H243" s="24"/>
      <c r="I243" s="24"/>
      <c r="J243" s="24"/>
      <c r="K243" s="24"/>
      <c r="L243" s="24"/>
      <c r="M243" s="24"/>
      <c r="N243" s="26" t="str">
        <f aca="false">IF($C243="","",IFERROR(INDEX(LOT_EXTE,MATCH($C243,LOT_KEY,0)),""))</f>
        <v/>
      </c>
      <c r="O243" s="26" t="str">
        <f aca="false">IF($C243="","",IFERROR(INDEX(LOT_PRODE,MATCH($C243,LOT_KEY,0)),"LOT NON REFERENCE"))</f>
        <v/>
      </c>
      <c r="P243" s="26" t="str">
        <f aca="false">IF($C243="","",IFERROR(INDEX(LOT_CONSERVE,MATCH($C243,LOT_KEY,0)),""))</f>
        <v/>
      </c>
      <c r="Q243" s="27" t="str">
        <f aca="false">IF(OR($C243="",$D243=""),"",SUMIFS(MVT_NET,MVT_LOT,$C243,MVT_EMPL,$D243))</f>
        <v/>
      </c>
      <c r="R243" s="26" t="str">
        <f aca="false">IF($C243="","",IF(OR($B243="",AND($F243="",$G243="",$H243="",$I243="",$J243="",$K243="")),"DONNEES MANQUANTES",IF(AND($D243&lt;&gt;"",$Q243&lt;=0),"EMPLACEMENT INCOHERENT","OK")))</f>
        <v/>
      </c>
      <c r="S243" s="26" t="str">
        <f aca="false">IF($C243="","",IF(AND(ISNUMBER($G243),$G243&gt;P_HIST),"HISTAMINE "&amp;TEXT($G243,"#,##0")&amp;" PPM &gt; seuil "&amp;TEXT(P_HIST,"#,##0")&amp;". ","")&amp;IF(AND(ISNUMBER($F243),$P243="CONGELE",$F243&gt;P_TCONG),"TEMPERATURE "&amp;TEXT($F243,"0.0")&amp;" C hors seuil congele. ","")&amp;IF(AND(ISNUMBER($F243),$P243="FRAIS",$F243&gt;P_TFRAIS),"TEMPERATURE "&amp;TEXT($F243,"0.0")&amp;" C hors seuil frais. ","")&amp;IF($K243="BLOQUER","Lot bloque qualite : stock signale mais inchange. ","")&amp;IF($R243="EMPLACEMENT INCOHERENT","Lot absent de cet emplacement : controle conserve, stock inchange. ","")&amp;IF($R243="DONNEES MANQUANTES","Renseigner la DATE et au moins une mesure. ",""))</f>
        <v/>
      </c>
      <c r="T243" s="28" t="n">
        <f aca="false">IF(OR($C243="",$B243=""),0,IF(COUNTIFS(QC_LOT,$C243,QC_DATE,"&gt;"&amp;$B243)&gt;0,0,IF(COUNTIFS($C$5:$C243,$C243,$B$5:$B243,$B243)=COUNTIFS(QC_LOT,$C243,QC_DATE,$B243),1,0)))</f>
        <v>0</v>
      </c>
      <c r="U243" s="26" t="str">
        <f aca="false">IF($T243=1,$C243,"")</f>
        <v/>
      </c>
      <c r="V243" s="28" t="n">
        <f aca="false">IF($C243="",0,IF($C243=R_LOT,1,0))</f>
        <v>0</v>
      </c>
      <c r="W243" s="26" t="str">
        <f aca="false">IF($V243=0,"",COUNTIF($V$5:$V243,1))</f>
        <v/>
      </c>
    </row>
    <row r="244" customFormat="false" ht="15" hidden="false" customHeight="false" outlineLevel="0" collapsed="false">
      <c r="A244" s="26" t="str">
        <f aca="false">IF($C244="","","QC-"&amp;TEXT(ROW()-4,"000"))</f>
        <v/>
      </c>
      <c r="B244" s="25"/>
      <c r="C244" s="24"/>
      <c r="D244" s="24"/>
      <c r="E244" s="24"/>
      <c r="F244" s="32"/>
      <c r="G244" s="33"/>
      <c r="H244" s="24"/>
      <c r="I244" s="24"/>
      <c r="J244" s="24"/>
      <c r="K244" s="24"/>
      <c r="L244" s="24"/>
      <c r="M244" s="24"/>
      <c r="N244" s="26" t="str">
        <f aca="false">IF($C244="","",IFERROR(INDEX(LOT_EXTE,MATCH($C244,LOT_KEY,0)),""))</f>
        <v/>
      </c>
      <c r="O244" s="26" t="str">
        <f aca="false">IF($C244="","",IFERROR(INDEX(LOT_PRODE,MATCH($C244,LOT_KEY,0)),"LOT NON REFERENCE"))</f>
        <v/>
      </c>
      <c r="P244" s="26" t="str">
        <f aca="false">IF($C244="","",IFERROR(INDEX(LOT_CONSERVE,MATCH($C244,LOT_KEY,0)),""))</f>
        <v/>
      </c>
      <c r="Q244" s="27" t="str">
        <f aca="false">IF(OR($C244="",$D244=""),"",SUMIFS(MVT_NET,MVT_LOT,$C244,MVT_EMPL,$D244))</f>
        <v/>
      </c>
      <c r="R244" s="26" t="str">
        <f aca="false">IF($C244="","",IF(OR($B244="",AND($F244="",$G244="",$H244="",$I244="",$J244="",$K244="")),"DONNEES MANQUANTES",IF(AND($D244&lt;&gt;"",$Q244&lt;=0),"EMPLACEMENT INCOHERENT","OK")))</f>
        <v/>
      </c>
      <c r="S244" s="26" t="str">
        <f aca="false">IF($C244="","",IF(AND(ISNUMBER($G244),$G244&gt;P_HIST),"HISTAMINE "&amp;TEXT($G244,"#,##0")&amp;" PPM &gt; seuil "&amp;TEXT(P_HIST,"#,##0")&amp;". ","")&amp;IF(AND(ISNUMBER($F244),$P244="CONGELE",$F244&gt;P_TCONG),"TEMPERATURE "&amp;TEXT($F244,"0.0")&amp;" C hors seuil congele. ","")&amp;IF(AND(ISNUMBER($F244),$P244="FRAIS",$F244&gt;P_TFRAIS),"TEMPERATURE "&amp;TEXT($F244,"0.0")&amp;" C hors seuil frais. ","")&amp;IF($K244="BLOQUER","Lot bloque qualite : stock signale mais inchange. ","")&amp;IF($R244="EMPLACEMENT INCOHERENT","Lot absent de cet emplacement : controle conserve, stock inchange. ","")&amp;IF($R244="DONNEES MANQUANTES","Renseigner la DATE et au moins une mesure. ",""))</f>
        <v/>
      </c>
      <c r="T244" s="28" t="n">
        <f aca="false">IF(OR($C244="",$B244=""),0,IF(COUNTIFS(QC_LOT,$C244,QC_DATE,"&gt;"&amp;$B244)&gt;0,0,IF(COUNTIFS($C$5:$C244,$C244,$B$5:$B244,$B244)=COUNTIFS(QC_LOT,$C244,QC_DATE,$B244),1,0)))</f>
        <v>0</v>
      </c>
      <c r="U244" s="26" t="str">
        <f aca="false">IF($T244=1,$C244,"")</f>
        <v/>
      </c>
      <c r="V244" s="28" t="n">
        <f aca="false">IF($C244="",0,IF($C244=R_LOT,1,0))</f>
        <v>0</v>
      </c>
      <c r="W244" s="26" t="str">
        <f aca="false">IF($V244=0,"",COUNTIF($V$5:$V244,1))</f>
        <v/>
      </c>
    </row>
    <row r="245" customFormat="false" ht="15" hidden="false" customHeight="false" outlineLevel="0" collapsed="false">
      <c r="A245" s="26" t="str">
        <f aca="false">IF($C245="","","QC-"&amp;TEXT(ROW()-4,"000"))</f>
        <v/>
      </c>
      <c r="B245" s="25"/>
      <c r="C245" s="24"/>
      <c r="D245" s="24"/>
      <c r="E245" s="24"/>
      <c r="F245" s="32"/>
      <c r="G245" s="33"/>
      <c r="H245" s="24"/>
      <c r="I245" s="24"/>
      <c r="J245" s="24"/>
      <c r="K245" s="24"/>
      <c r="L245" s="24"/>
      <c r="M245" s="24"/>
      <c r="N245" s="26" t="str">
        <f aca="false">IF($C245="","",IFERROR(INDEX(LOT_EXTE,MATCH($C245,LOT_KEY,0)),""))</f>
        <v/>
      </c>
      <c r="O245" s="26" t="str">
        <f aca="false">IF($C245="","",IFERROR(INDEX(LOT_PRODE,MATCH($C245,LOT_KEY,0)),"LOT NON REFERENCE"))</f>
        <v/>
      </c>
      <c r="P245" s="26" t="str">
        <f aca="false">IF($C245="","",IFERROR(INDEX(LOT_CONSERVE,MATCH($C245,LOT_KEY,0)),""))</f>
        <v/>
      </c>
      <c r="Q245" s="27" t="str">
        <f aca="false">IF(OR($C245="",$D245=""),"",SUMIFS(MVT_NET,MVT_LOT,$C245,MVT_EMPL,$D245))</f>
        <v/>
      </c>
      <c r="R245" s="26" t="str">
        <f aca="false">IF($C245="","",IF(OR($B245="",AND($F245="",$G245="",$H245="",$I245="",$J245="",$K245="")),"DONNEES MANQUANTES",IF(AND($D245&lt;&gt;"",$Q245&lt;=0),"EMPLACEMENT INCOHERENT","OK")))</f>
        <v/>
      </c>
      <c r="S245" s="26" t="str">
        <f aca="false">IF($C245="","",IF(AND(ISNUMBER($G245),$G245&gt;P_HIST),"HISTAMINE "&amp;TEXT($G245,"#,##0")&amp;" PPM &gt; seuil "&amp;TEXT(P_HIST,"#,##0")&amp;". ","")&amp;IF(AND(ISNUMBER($F245),$P245="CONGELE",$F245&gt;P_TCONG),"TEMPERATURE "&amp;TEXT($F245,"0.0")&amp;" C hors seuil congele. ","")&amp;IF(AND(ISNUMBER($F245),$P245="FRAIS",$F245&gt;P_TFRAIS),"TEMPERATURE "&amp;TEXT($F245,"0.0")&amp;" C hors seuil frais. ","")&amp;IF($K245="BLOQUER","Lot bloque qualite : stock signale mais inchange. ","")&amp;IF($R245="EMPLACEMENT INCOHERENT","Lot absent de cet emplacement : controle conserve, stock inchange. ","")&amp;IF($R245="DONNEES MANQUANTES","Renseigner la DATE et au moins une mesure. ",""))</f>
        <v/>
      </c>
      <c r="T245" s="28" t="n">
        <f aca="false">IF(OR($C245="",$B245=""),0,IF(COUNTIFS(QC_LOT,$C245,QC_DATE,"&gt;"&amp;$B245)&gt;0,0,IF(COUNTIFS($C$5:$C245,$C245,$B$5:$B245,$B245)=COUNTIFS(QC_LOT,$C245,QC_DATE,$B245),1,0)))</f>
        <v>0</v>
      </c>
      <c r="U245" s="26" t="str">
        <f aca="false">IF($T245=1,$C245,"")</f>
        <v/>
      </c>
      <c r="V245" s="28" t="n">
        <f aca="false">IF($C245="",0,IF($C245=R_LOT,1,0))</f>
        <v>0</v>
      </c>
      <c r="W245" s="26" t="str">
        <f aca="false">IF($V245=0,"",COUNTIF($V$5:$V245,1))</f>
        <v/>
      </c>
    </row>
    <row r="246" customFormat="false" ht="15" hidden="false" customHeight="false" outlineLevel="0" collapsed="false">
      <c r="A246" s="26" t="str">
        <f aca="false">IF($C246="","","QC-"&amp;TEXT(ROW()-4,"000"))</f>
        <v/>
      </c>
      <c r="B246" s="25"/>
      <c r="C246" s="24"/>
      <c r="D246" s="24"/>
      <c r="E246" s="24"/>
      <c r="F246" s="32"/>
      <c r="G246" s="33"/>
      <c r="H246" s="24"/>
      <c r="I246" s="24"/>
      <c r="J246" s="24"/>
      <c r="K246" s="24"/>
      <c r="L246" s="24"/>
      <c r="M246" s="24"/>
      <c r="N246" s="26" t="str">
        <f aca="false">IF($C246="","",IFERROR(INDEX(LOT_EXTE,MATCH($C246,LOT_KEY,0)),""))</f>
        <v/>
      </c>
      <c r="O246" s="26" t="str">
        <f aca="false">IF($C246="","",IFERROR(INDEX(LOT_PRODE,MATCH($C246,LOT_KEY,0)),"LOT NON REFERENCE"))</f>
        <v/>
      </c>
      <c r="P246" s="26" t="str">
        <f aca="false">IF($C246="","",IFERROR(INDEX(LOT_CONSERVE,MATCH($C246,LOT_KEY,0)),""))</f>
        <v/>
      </c>
      <c r="Q246" s="27" t="str">
        <f aca="false">IF(OR($C246="",$D246=""),"",SUMIFS(MVT_NET,MVT_LOT,$C246,MVT_EMPL,$D246))</f>
        <v/>
      </c>
      <c r="R246" s="26" t="str">
        <f aca="false">IF($C246="","",IF(OR($B246="",AND($F246="",$G246="",$H246="",$I246="",$J246="",$K246="")),"DONNEES MANQUANTES",IF(AND($D246&lt;&gt;"",$Q246&lt;=0),"EMPLACEMENT INCOHERENT","OK")))</f>
        <v/>
      </c>
      <c r="S246" s="26" t="str">
        <f aca="false">IF($C246="","",IF(AND(ISNUMBER($G246),$G246&gt;P_HIST),"HISTAMINE "&amp;TEXT($G246,"#,##0")&amp;" PPM &gt; seuil "&amp;TEXT(P_HIST,"#,##0")&amp;". ","")&amp;IF(AND(ISNUMBER($F246),$P246="CONGELE",$F246&gt;P_TCONG),"TEMPERATURE "&amp;TEXT($F246,"0.0")&amp;" C hors seuil congele. ","")&amp;IF(AND(ISNUMBER($F246),$P246="FRAIS",$F246&gt;P_TFRAIS),"TEMPERATURE "&amp;TEXT($F246,"0.0")&amp;" C hors seuil frais. ","")&amp;IF($K246="BLOQUER","Lot bloque qualite : stock signale mais inchange. ","")&amp;IF($R246="EMPLACEMENT INCOHERENT","Lot absent de cet emplacement : controle conserve, stock inchange. ","")&amp;IF($R246="DONNEES MANQUANTES","Renseigner la DATE et au moins une mesure. ",""))</f>
        <v/>
      </c>
      <c r="T246" s="28" t="n">
        <f aca="false">IF(OR($C246="",$B246=""),0,IF(COUNTIFS(QC_LOT,$C246,QC_DATE,"&gt;"&amp;$B246)&gt;0,0,IF(COUNTIFS($C$5:$C246,$C246,$B$5:$B246,$B246)=COUNTIFS(QC_LOT,$C246,QC_DATE,$B246),1,0)))</f>
        <v>0</v>
      </c>
      <c r="U246" s="26" t="str">
        <f aca="false">IF($T246=1,$C246,"")</f>
        <v/>
      </c>
      <c r="V246" s="28" t="n">
        <f aca="false">IF($C246="",0,IF($C246=R_LOT,1,0))</f>
        <v>0</v>
      </c>
      <c r="W246" s="26" t="str">
        <f aca="false">IF($V246=0,"",COUNTIF($V$5:$V246,1))</f>
        <v/>
      </c>
    </row>
    <row r="247" customFormat="false" ht="15" hidden="false" customHeight="false" outlineLevel="0" collapsed="false">
      <c r="A247" s="26" t="str">
        <f aca="false">IF($C247="","","QC-"&amp;TEXT(ROW()-4,"000"))</f>
        <v/>
      </c>
      <c r="B247" s="25"/>
      <c r="C247" s="24"/>
      <c r="D247" s="24"/>
      <c r="E247" s="24"/>
      <c r="F247" s="32"/>
      <c r="G247" s="33"/>
      <c r="H247" s="24"/>
      <c r="I247" s="24"/>
      <c r="J247" s="24"/>
      <c r="K247" s="24"/>
      <c r="L247" s="24"/>
      <c r="M247" s="24"/>
      <c r="N247" s="26" t="str">
        <f aca="false">IF($C247="","",IFERROR(INDEX(LOT_EXTE,MATCH($C247,LOT_KEY,0)),""))</f>
        <v/>
      </c>
      <c r="O247" s="26" t="str">
        <f aca="false">IF($C247="","",IFERROR(INDEX(LOT_PRODE,MATCH($C247,LOT_KEY,0)),"LOT NON REFERENCE"))</f>
        <v/>
      </c>
      <c r="P247" s="26" t="str">
        <f aca="false">IF($C247="","",IFERROR(INDEX(LOT_CONSERVE,MATCH($C247,LOT_KEY,0)),""))</f>
        <v/>
      </c>
      <c r="Q247" s="27" t="str">
        <f aca="false">IF(OR($C247="",$D247=""),"",SUMIFS(MVT_NET,MVT_LOT,$C247,MVT_EMPL,$D247))</f>
        <v/>
      </c>
      <c r="R247" s="26" t="str">
        <f aca="false">IF($C247="","",IF(OR($B247="",AND($F247="",$G247="",$H247="",$I247="",$J247="",$K247="")),"DONNEES MANQUANTES",IF(AND($D247&lt;&gt;"",$Q247&lt;=0),"EMPLACEMENT INCOHERENT","OK")))</f>
        <v/>
      </c>
      <c r="S247" s="26" t="str">
        <f aca="false">IF($C247="","",IF(AND(ISNUMBER($G247),$G247&gt;P_HIST),"HISTAMINE "&amp;TEXT($G247,"#,##0")&amp;" PPM &gt; seuil "&amp;TEXT(P_HIST,"#,##0")&amp;". ","")&amp;IF(AND(ISNUMBER($F247),$P247="CONGELE",$F247&gt;P_TCONG),"TEMPERATURE "&amp;TEXT($F247,"0.0")&amp;" C hors seuil congele. ","")&amp;IF(AND(ISNUMBER($F247),$P247="FRAIS",$F247&gt;P_TFRAIS),"TEMPERATURE "&amp;TEXT($F247,"0.0")&amp;" C hors seuil frais. ","")&amp;IF($K247="BLOQUER","Lot bloque qualite : stock signale mais inchange. ","")&amp;IF($R247="EMPLACEMENT INCOHERENT","Lot absent de cet emplacement : controle conserve, stock inchange. ","")&amp;IF($R247="DONNEES MANQUANTES","Renseigner la DATE et au moins une mesure. ",""))</f>
        <v/>
      </c>
      <c r="T247" s="28" t="n">
        <f aca="false">IF(OR($C247="",$B247=""),0,IF(COUNTIFS(QC_LOT,$C247,QC_DATE,"&gt;"&amp;$B247)&gt;0,0,IF(COUNTIFS($C$5:$C247,$C247,$B$5:$B247,$B247)=COUNTIFS(QC_LOT,$C247,QC_DATE,$B247),1,0)))</f>
        <v>0</v>
      </c>
      <c r="U247" s="26" t="str">
        <f aca="false">IF($T247=1,$C247,"")</f>
        <v/>
      </c>
      <c r="V247" s="28" t="n">
        <f aca="false">IF($C247="",0,IF($C247=R_LOT,1,0))</f>
        <v>0</v>
      </c>
      <c r="W247" s="26" t="str">
        <f aca="false">IF($V247=0,"",COUNTIF($V$5:$V247,1))</f>
        <v/>
      </c>
    </row>
    <row r="248" customFormat="false" ht="15" hidden="false" customHeight="false" outlineLevel="0" collapsed="false">
      <c r="A248" s="26" t="str">
        <f aca="false">IF($C248="","","QC-"&amp;TEXT(ROW()-4,"000"))</f>
        <v/>
      </c>
      <c r="B248" s="25"/>
      <c r="C248" s="24"/>
      <c r="D248" s="24"/>
      <c r="E248" s="24"/>
      <c r="F248" s="32"/>
      <c r="G248" s="33"/>
      <c r="H248" s="24"/>
      <c r="I248" s="24"/>
      <c r="J248" s="24"/>
      <c r="K248" s="24"/>
      <c r="L248" s="24"/>
      <c r="M248" s="24"/>
      <c r="N248" s="26" t="str">
        <f aca="false">IF($C248="","",IFERROR(INDEX(LOT_EXTE,MATCH($C248,LOT_KEY,0)),""))</f>
        <v/>
      </c>
      <c r="O248" s="26" t="str">
        <f aca="false">IF($C248="","",IFERROR(INDEX(LOT_PRODE,MATCH($C248,LOT_KEY,0)),"LOT NON REFERENCE"))</f>
        <v/>
      </c>
      <c r="P248" s="26" t="str">
        <f aca="false">IF($C248="","",IFERROR(INDEX(LOT_CONSERVE,MATCH($C248,LOT_KEY,0)),""))</f>
        <v/>
      </c>
      <c r="Q248" s="27" t="str">
        <f aca="false">IF(OR($C248="",$D248=""),"",SUMIFS(MVT_NET,MVT_LOT,$C248,MVT_EMPL,$D248))</f>
        <v/>
      </c>
      <c r="R248" s="26" t="str">
        <f aca="false">IF($C248="","",IF(OR($B248="",AND($F248="",$G248="",$H248="",$I248="",$J248="",$K248="")),"DONNEES MANQUANTES",IF(AND($D248&lt;&gt;"",$Q248&lt;=0),"EMPLACEMENT INCOHERENT","OK")))</f>
        <v/>
      </c>
      <c r="S248" s="26" t="str">
        <f aca="false">IF($C248="","",IF(AND(ISNUMBER($G248),$G248&gt;P_HIST),"HISTAMINE "&amp;TEXT($G248,"#,##0")&amp;" PPM &gt; seuil "&amp;TEXT(P_HIST,"#,##0")&amp;". ","")&amp;IF(AND(ISNUMBER($F248),$P248="CONGELE",$F248&gt;P_TCONG),"TEMPERATURE "&amp;TEXT($F248,"0.0")&amp;" C hors seuil congele. ","")&amp;IF(AND(ISNUMBER($F248),$P248="FRAIS",$F248&gt;P_TFRAIS),"TEMPERATURE "&amp;TEXT($F248,"0.0")&amp;" C hors seuil frais. ","")&amp;IF($K248="BLOQUER","Lot bloque qualite : stock signale mais inchange. ","")&amp;IF($R248="EMPLACEMENT INCOHERENT","Lot absent de cet emplacement : controle conserve, stock inchange. ","")&amp;IF($R248="DONNEES MANQUANTES","Renseigner la DATE et au moins une mesure. ",""))</f>
        <v/>
      </c>
      <c r="T248" s="28" t="n">
        <f aca="false">IF(OR($C248="",$B248=""),0,IF(COUNTIFS(QC_LOT,$C248,QC_DATE,"&gt;"&amp;$B248)&gt;0,0,IF(COUNTIFS($C$5:$C248,$C248,$B$5:$B248,$B248)=COUNTIFS(QC_LOT,$C248,QC_DATE,$B248),1,0)))</f>
        <v>0</v>
      </c>
      <c r="U248" s="26" t="str">
        <f aca="false">IF($T248=1,$C248,"")</f>
        <v/>
      </c>
      <c r="V248" s="28" t="n">
        <f aca="false">IF($C248="",0,IF($C248=R_LOT,1,0))</f>
        <v>0</v>
      </c>
      <c r="W248" s="26" t="str">
        <f aca="false">IF($V248=0,"",COUNTIF($V$5:$V248,1))</f>
        <v/>
      </c>
    </row>
    <row r="249" customFormat="false" ht="15" hidden="false" customHeight="false" outlineLevel="0" collapsed="false">
      <c r="A249" s="26" t="str">
        <f aca="false">IF($C249="","","QC-"&amp;TEXT(ROW()-4,"000"))</f>
        <v/>
      </c>
      <c r="B249" s="25"/>
      <c r="C249" s="24"/>
      <c r="D249" s="24"/>
      <c r="E249" s="24"/>
      <c r="F249" s="32"/>
      <c r="G249" s="33"/>
      <c r="H249" s="24"/>
      <c r="I249" s="24"/>
      <c r="J249" s="24"/>
      <c r="K249" s="24"/>
      <c r="L249" s="24"/>
      <c r="M249" s="24"/>
      <c r="N249" s="26" t="str">
        <f aca="false">IF($C249="","",IFERROR(INDEX(LOT_EXTE,MATCH($C249,LOT_KEY,0)),""))</f>
        <v/>
      </c>
      <c r="O249" s="26" t="str">
        <f aca="false">IF($C249="","",IFERROR(INDEX(LOT_PRODE,MATCH($C249,LOT_KEY,0)),"LOT NON REFERENCE"))</f>
        <v/>
      </c>
      <c r="P249" s="26" t="str">
        <f aca="false">IF($C249="","",IFERROR(INDEX(LOT_CONSERVE,MATCH($C249,LOT_KEY,0)),""))</f>
        <v/>
      </c>
      <c r="Q249" s="27" t="str">
        <f aca="false">IF(OR($C249="",$D249=""),"",SUMIFS(MVT_NET,MVT_LOT,$C249,MVT_EMPL,$D249))</f>
        <v/>
      </c>
      <c r="R249" s="26" t="str">
        <f aca="false">IF($C249="","",IF(OR($B249="",AND($F249="",$G249="",$H249="",$I249="",$J249="",$K249="")),"DONNEES MANQUANTES",IF(AND($D249&lt;&gt;"",$Q249&lt;=0),"EMPLACEMENT INCOHERENT","OK")))</f>
        <v/>
      </c>
      <c r="S249" s="26" t="str">
        <f aca="false">IF($C249="","",IF(AND(ISNUMBER($G249),$G249&gt;P_HIST),"HISTAMINE "&amp;TEXT($G249,"#,##0")&amp;" PPM &gt; seuil "&amp;TEXT(P_HIST,"#,##0")&amp;". ","")&amp;IF(AND(ISNUMBER($F249),$P249="CONGELE",$F249&gt;P_TCONG),"TEMPERATURE "&amp;TEXT($F249,"0.0")&amp;" C hors seuil congele. ","")&amp;IF(AND(ISNUMBER($F249),$P249="FRAIS",$F249&gt;P_TFRAIS),"TEMPERATURE "&amp;TEXT($F249,"0.0")&amp;" C hors seuil frais. ","")&amp;IF($K249="BLOQUER","Lot bloque qualite : stock signale mais inchange. ","")&amp;IF($R249="EMPLACEMENT INCOHERENT","Lot absent de cet emplacement : controle conserve, stock inchange. ","")&amp;IF($R249="DONNEES MANQUANTES","Renseigner la DATE et au moins une mesure. ",""))</f>
        <v/>
      </c>
      <c r="T249" s="28" t="n">
        <f aca="false">IF(OR($C249="",$B249=""),0,IF(COUNTIFS(QC_LOT,$C249,QC_DATE,"&gt;"&amp;$B249)&gt;0,0,IF(COUNTIFS($C$5:$C249,$C249,$B$5:$B249,$B249)=COUNTIFS(QC_LOT,$C249,QC_DATE,$B249),1,0)))</f>
        <v>0</v>
      </c>
      <c r="U249" s="26" t="str">
        <f aca="false">IF($T249=1,$C249,"")</f>
        <v/>
      </c>
      <c r="V249" s="28" t="n">
        <f aca="false">IF($C249="",0,IF($C249=R_LOT,1,0))</f>
        <v>0</v>
      </c>
      <c r="W249" s="26" t="str">
        <f aca="false">IF($V249=0,"",COUNTIF($V$5:$V249,1))</f>
        <v/>
      </c>
    </row>
    <row r="250" customFormat="false" ht="15" hidden="false" customHeight="false" outlineLevel="0" collapsed="false">
      <c r="A250" s="26" t="str">
        <f aca="false">IF($C250="","","QC-"&amp;TEXT(ROW()-4,"000"))</f>
        <v/>
      </c>
      <c r="B250" s="25"/>
      <c r="C250" s="24"/>
      <c r="D250" s="24"/>
      <c r="E250" s="24"/>
      <c r="F250" s="32"/>
      <c r="G250" s="33"/>
      <c r="H250" s="24"/>
      <c r="I250" s="24"/>
      <c r="J250" s="24"/>
      <c r="K250" s="24"/>
      <c r="L250" s="24"/>
      <c r="M250" s="24"/>
      <c r="N250" s="26" t="str">
        <f aca="false">IF($C250="","",IFERROR(INDEX(LOT_EXTE,MATCH($C250,LOT_KEY,0)),""))</f>
        <v/>
      </c>
      <c r="O250" s="26" t="str">
        <f aca="false">IF($C250="","",IFERROR(INDEX(LOT_PRODE,MATCH($C250,LOT_KEY,0)),"LOT NON REFERENCE"))</f>
        <v/>
      </c>
      <c r="P250" s="26" t="str">
        <f aca="false">IF($C250="","",IFERROR(INDEX(LOT_CONSERVE,MATCH($C250,LOT_KEY,0)),""))</f>
        <v/>
      </c>
      <c r="Q250" s="27" t="str">
        <f aca="false">IF(OR($C250="",$D250=""),"",SUMIFS(MVT_NET,MVT_LOT,$C250,MVT_EMPL,$D250))</f>
        <v/>
      </c>
      <c r="R250" s="26" t="str">
        <f aca="false">IF($C250="","",IF(OR($B250="",AND($F250="",$G250="",$H250="",$I250="",$J250="",$K250="")),"DONNEES MANQUANTES",IF(AND($D250&lt;&gt;"",$Q250&lt;=0),"EMPLACEMENT INCOHERENT","OK")))</f>
        <v/>
      </c>
      <c r="S250" s="26" t="str">
        <f aca="false">IF($C250="","",IF(AND(ISNUMBER($G250),$G250&gt;P_HIST),"HISTAMINE "&amp;TEXT($G250,"#,##0")&amp;" PPM &gt; seuil "&amp;TEXT(P_HIST,"#,##0")&amp;". ","")&amp;IF(AND(ISNUMBER($F250),$P250="CONGELE",$F250&gt;P_TCONG),"TEMPERATURE "&amp;TEXT($F250,"0.0")&amp;" C hors seuil congele. ","")&amp;IF(AND(ISNUMBER($F250),$P250="FRAIS",$F250&gt;P_TFRAIS),"TEMPERATURE "&amp;TEXT($F250,"0.0")&amp;" C hors seuil frais. ","")&amp;IF($K250="BLOQUER","Lot bloque qualite : stock signale mais inchange. ","")&amp;IF($R250="EMPLACEMENT INCOHERENT","Lot absent de cet emplacement : controle conserve, stock inchange. ","")&amp;IF($R250="DONNEES MANQUANTES","Renseigner la DATE et au moins une mesure. ",""))</f>
        <v/>
      </c>
      <c r="T250" s="28" t="n">
        <f aca="false">IF(OR($C250="",$B250=""),0,IF(COUNTIFS(QC_LOT,$C250,QC_DATE,"&gt;"&amp;$B250)&gt;0,0,IF(COUNTIFS($C$5:$C250,$C250,$B$5:$B250,$B250)=COUNTIFS(QC_LOT,$C250,QC_DATE,$B250),1,0)))</f>
        <v>0</v>
      </c>
      <c r="U250" s="26" t="str">
        <f aca="false">IF($T250=1,$C250,"")</f>
        <v/>
      </c>
      <c r="V250" s="28" t="n">
        <f aca="false">IF($C250="",0,IF($C250=R_LOT,1,0))</f>
        <v>0</v>
      </c>
      <c r="W250" s="26" t="str">
        <f aca="false">IF($V250=0,"",COUNTIF($V$5:$V250,1))</f>
        <v/>
      </c>
    </row>
    <row r="251" customFormat="false" ht="15" hidden="false" customHeight="false" outlineLevel="0" collapsed="false">
      <c r="A251" s="26" t="str">
        <f aca="false">IF($C251="","","QC-"&amp;TEXT(ROW()-4,"000"))</f>
        <v/>
      </c>
      <c r="B251" s="25"/>
      <c r="C251" s="24"/>
      <c r="D251" s="24"/>
      <c r="E251" s="24"/>
      <c r="F251" s="32"/>
      <c r="G251" s="33"/>
      <c r="H251" s="24"/>
      <c r="I251" s="24"/>
      <c r="J251" s="24"/>
      <c r="K251" s="24"/>
      <c r="L251" s="24"/>
      <c r="M251" s="24"/>
      <c r="N251" s="26" t="str">
        <f aca="false">IF($C251="","",IFERROR(INDEX(LOT_EXTE,MATCH($C251,LOT_KEY,0)),""))</f>
        <v/>
      </c>
      <c r="O251" s="26" t="str">
        <f aca="false">IF($C251="","",IFERROR(INDEX(LOT_PRODE,MATCH($C251,LOT_KEY,0)),"LOT NON REFERENCE"))</f>
        <v/>
      </c>
      <c r="P251" s="26" t="str">
        <f aca="false">IF($C251="","",IFERROR(INDEX(LOT_CONSERVE,MATCH($C251,LOT_KEY,0)),""))</f>
        <v/>
      </c>
      <c r="Q251" s="27" t="str">
        <f aca="false">IF(OR($C251="",$D251=""),"",SUMIFS(MVT_NET,MVT_LOT,$C251,MVT_EMPL,$D251))</f>
        <v/>
      </c>
      <c r="R251" s="26" t="str">
        <f aca="false">IF($C251="","",IF(OR($B251="",AND($F251="",$G251="",$H251="",$I251="",$J251="",$K251="")),"DONNEES MANQUANTES",IF(AND($D251&lt;&gt;"",$Q251&lt;=0),"EMPLACEMENT INCOHERENT","OK")))</f>
        <v/>
      </c>
      <c r="S251" s="26" t="str">
        <f aca="false">IF($C251="","",IF(AND(ISNUMBER($G251),$G251&gt;P_HIST),"HISTAMINE "&amp;TEXT($G251,"#,##0")&amp;" PPM &gt; seuil "&amp;TEXT(P_HIST,"#,##0")&amp;". ","")&amp;IF(AND(ISNUMBER($F251),$P251="CONGELE",$F251&gt;P_TCONG),"TEMPERATURE "&amp;TEXT($F251,"0.0")&amp;" C hors seuil congele. ","")&amp;IF(AND(ISNUMBER($F251),$P251="FRAIS",$F251&gt;P_TFRAIS),"TEMPERATURE "&amp;TEXT($F251,"0.0")&amp;" C hors seuil frais. ","")&amp;IF($K251="BLOQUER","Lot bloque qualite : stock signale mais inchange. ","")&amp;IF($R251="EMPLACEMENT INCOHERENT","Lot absent de cet emplacement : controle conserve, stock inchange. ","")&amp;IF($R251="DONNEES MANQUANTES","Renseigner la DATE et au moins une mesure. ",""))</f>
        <v/>
      </c>
      <c r="T251" s="28" t="n">
        <f aca="false">IF(OR($C251="",$B251=""),0,IF(COUNTIFS(QC_LOT,$C251,QC_DATE,"&gt;"&amp;$B251)&gt;0,0,IF(COUNTIFS($C$5:$C251,$C251,$B$5:$B251,$B251)=COUNTIFS(QC_LOT,$C251,QC_DATE,$B251),1,0)))</f>
        <v>0</v>
      </c>
      <c r="U251" s="26" t="str">
        <f aca="false">IF($T251=1,$C251,"")</f>
        <v/>
      </c>
      <c r="V251" s="28" t="n">
        <f aca="false">IF($C251="",0,IF($C251=R_LOT,1,0))</f>
        <v>0</v>
      </c>
      <c r="W251" s="26" t="str">
        <f aca="false">IF($V251=0,"",COUNTIF($V$5:$V251,1))</f>
        <v/>
      </c>
    </row>
    <row r="252" customFormat="false" ht="15" hidden="false" customHeight="false" outlineLevel="0" collapsed="false">
      <c r="A252" s="26" t="str">
        <f aca="false">IF($C252="","","QC-"&amp;TEXT(ROW()-4,"000"))</f>
        <v/>
      </c>
      <c r="B252" s="25"/>
      <c r="C252" s="24"/>
      <c r="D252" s="24"/>
      <c r="E252" s="24"/>
      <c r="F252" s="32"/>
      <c r="G252" s="33"/>
      <c r="H252" s="24"/>
      <c r="I252" s="24"/>
      <c r="J252" s="24"/>
      <c r="K252" s="24"/>
      <c r="L252" s="24"/>
      <c r="M252" s="24"/>
      <c r="N252" s="26" t="str">
        <f aca="false">IF($C252="","",IFERROR(INDEX(LOT_EXTE,MATCH($C252,LOT_KEY,0)),""))</f>
        <v/>
      </c>
      <c r="O252" s="26" t="str">
        <f aca="false">IF($C252="","",IFERROR(INDEX(LOT_PRODE,MATCH($C252,LOT_KEY,0)),"LOT NON REFERENCE"))</f>
        <v/>
      </c>
      <c r="P252" s="26" t="str">
        <f aca="false">IF($C252="","",IFERROR(INDEX(LOT_CONSERVE,MATCH($C252,LOT_KEY,0)),""))</f>
        <v/>
      </c>
      <c r="Q252" s="27" t="str">
        <f aca="false">IF(OR($C252="",$D252=""),"",SUMIFS(MVT_NET,MVT_LOT,$C252,MVT_EMPL,$D252))</f>
        <v/>
      </c>
      <c r="R252" s="26" t="str">
        <f aca="false">IF($C252="","",IF(OR($B252="",AND($F252="",$G252="",$H252="",$I252="",$J252="",$K252="")),"DONNEES MANQUANTES",IF(AND($D252&lt;&gt;"",$Q252&lt;=0),"EMPLACEMENT INCOHERENT","OK")))</f>
        <v/>
      </c>
      <c r="S252" s="26" t="str">
        <f aca="false">IF($C252="","",IF(AND(ISNUMBER($G252),$G252&gt;P_HIST),"HISTAMINE "&amp;TEXT($G252,"#,##0")&amp;" PPM &gt; seuil "&amp;TEXT(P_HIST,"#,##0")&amp;". ","")&amp;IF(AND(ISNUMBER($F252),$P252="CONGELE",$F252&gt;P_TCONG),"TEMPERATURE "&amp;TEXT($F252,"0.0")&amp;" C hors seuil congele. ","")&amp;IF(AND(ISNUMBER($F252),$P252="FRAIS",$F252&gt;P_TFRAIS),"TEMPERATURE "&amp;TEXT($F252,"0.0")&amp;" C hors seuil frais. ","")&amp;IF($K252="BLOQUER","Lot bloque qualite : stock signale mais inchange. ","")&amp;IF($R252="EMPLACEMENT INCOHERENT","Lot absent de cet emplacement : controle conserve, stock inchange. ","")&amp;IF($R252="DONNEES MANQUANTES","Renseigner la DATE et au moins une mesure. ",""))</f>
        <v/>
      </c>
      <c r="T252" s="28" t="n">
        <f aca="false">IF(OR($C252="",$B252=""),0,IF(COUNTIFS(QC_LOT,$C252,QC_DATE,"&gt;"&amp;$B252)&gt;0,0,IF(COUNTIFS($C$5:$C252,$C252,$B$5:$B252,$B252)=COUNTIFS(QC_LOT,$C252,QC_DATE,$B252),1,0)))</f>
        <v>0</v>
      </c>
      <c r="U252" s="26" t="str">
        <f aca="false">IF($T252=1,$C252,"")</f>
        <v/>
      </c>
      <c r="V252" s="28" t="n">
        <f aca="false">IF($C252="",0,IF($C252=R_LOT,1,0))</f>
        <v>0</v>
      </c>
      <c r="W252" s="26" t="str">
        <f aca="false">IF($V252=0,"",COUNTIF($V$5:$V252,1))</f>
        <v/>
      </c>
    </row>
    <row r="253" customFormat="false" ht="15" hidden="false" customHeight="false" outlineLevel="0" collapsed="false">
      <c r="A253" s="26" t="str">
        <f aca="false">IF($C253="","","QC-"&amp;TEXT(ROW()-4,"000"))</f>
        <v/>
      </c>
      <c r="B253" s="25"/>
      <c r="C253" s="24"/>
      <c r="D253" s="24"/>
      <c r="E253" s="24"/>
      <c r="F253" s="32"/>
      <c r="G253" s="33"/>
      <c r="H253" s="24"/>
      <c r="I253" s="24"/>
      <c r="J253" s="24"/>
      <c r="K253" s="24"/>
      <c r="L253" s="24"/>
      <c r="M253" s="24"/>
      <c r="N253" s="26" t="str">
        <f aca="false">IF($C253="","",IFERROR(INDEX(LOT_EXTE,MATCH($C253,LOT_KEY,0)),""))</f>
        <v/>
      </c>
      <c r="O253" s="26" t="str">
        <f aca="false">IF($C253="","",IFERROR(INDEX(LOT_PRODE,MATCH($C253,LOT_KEY,0)),"LOT NON REFERENCE"))</f>
        <v/>
      </c>
      <c r="P253" s="26" t="str">
        <f aca="false">IF($C253="","",IFERROR(INDEX(LOT_CONSERVE,MATCH($C253,LOT_KEY,0)),""))</f>
        <v/>
      </c>
      <c r="Q253" s="27" t="str">
        <f aca="false">IF(OR($C253="",$D253=""),"",SUMIFS(MVT_NET,MVT_LOT,$C253,MVT_EMPL,$D253))</f>
        <v/>
      </c>
      <c r="R253" s="26" t="str">
        <f aca="false">IF($C253="","",IF(OR($B253="",AND($F253="",$G253="",$H253="",$I253="",$J253="",$K253="")),"DONNEES MANQUANTES",IF(AND($D253&lt;&gt;"",$Q253&lt;=0),"EMPLACEMENT INCOHERENT","OK")))</f>
        <v/>
      </c>
      <c r="S253" s="26" t="str">
        <f aca="false">IF($C253="","",IF(AND(ISNUMBER($G253),$G253&gt;P_HIST),"HISTAMINE "&amp;TEXT($G253,"#,##0")&amp;" PPM &gt; seuil "&amp;TEXT(P_HIST,"#,##0")&amp;". ","")&amp;IF(AND(ISNUMBER($F253),$P253="CONGELE",$F253&gt;P_TCONG),"TEMPERATURE "&amp;TEXT($F253,"0.0")&amp;" C hors seuil congele. ","")&amp;IF(AND(ISNUMBER($F253),$P253="FRAIS",$F253&gt;P_TFRAIS),"TEMPERATURE "&amp;TEXT($F253,"0.0")&amp;" C hors seuil frais. ","")&amp;IF($K253="BLOQUER","Lot bloque qualite : stock signale mais inchange. ","")&amp;IF($R253="EMPLACEMENT INCOHERENT","Lot absent de cet emplacement : controle conserve, stock inchange. ","")&amp;IF($R253="DONNEES MANQUANTES","Renseigner la DATE et au moins une mesure. ",""))</f>
        <v/>
      </c>
      <c r="T253" s="28" t="n">
        <f aca="false">IF(OR($C253="",$B253=""),0,IF(COUNTIFS(QC_LOT,$C253,QC_DATE,"&gt;"&amp;$B253)&gt;0,0,IF(COUNTIFS($C$5:$C253,$C253,$B$5:$B253,$B253)=COUNTIFS(QC_LOT,$C253,QC_DATE,$B253),1,0)))</f>
        <v>0</v>
      </c>
      <c r="U253" s="26" t="str">
        <f aca="false">IF($T253=1,$C253,"")</f>
        <v/>
      </c>
      <c r="V253" s="28" t="n">
        <f aca="false">IF($C253="",0,IF($C253=R_LOT,1,0))</f>
        <v>0</v>
      </c>
      <c r="W253" s="26" t="str">
        <f aca="false">IF($V253=0,"",COUNTIF($V$5:$V253,1))</f>
        <v/>
      </c>
    </row>
    <row r="254" customFormat="false" ht="15" hidden="false" customHeight="false" outlineLevel="0" collapsed="false">
      <c r="A254" s="26" t="str">
        <f aca="false">IF($C254="","","QC-"&amp;TEXT(ROW()-4,"000"))</f>
        <v/>
      </c>
      <c r="B254" s="25"/>
      <c r="C254" s="24"/>
      <c r="D254" s="24"/>
      <c r="E254" s="24"/>
      <c r="F254" s="32"/>
      <c r="G254" s="33"/>
      <c r="H254" s="24"/>
      <c r="I254" s="24"/>
      <c r="J254" s="24"/>
      <c r="K254" s="24"/>
      <c r="L254" s="24"/>
      <c r="M254" s="24"/>
      <c r="N254" s="26" t="str">
        <f aca="false">IF($C254="","",IFERROR(INDEX(LOT_EXTE,MATCH($C254,LOT_KEY,0)),""))</f>
        <v/>
      </c>
      <c r="O254" s="26" t="str">
        <f aca="false">IF($C254="","",IFERROR(INDEX(LOT_PRODE,MATCH($C254,LOT_KEY,0)),"LOT NON REFERENCE"))</f>
        <v/>
      </c>
      <c r="P254" s="26" t="str">
        <f aca="false">IF($C254="","",IFERROR(INDEX(LOT_CONSERVE,MATCH($C254,LOT_KEY,0)),""))</f>
        <v/>
      </c>
      <c r="Q254" s="27" t="str">
        <f aca="false">IF(OR($C254="",$D254=""),"",SUMIFS(MVT_NET,MVT_LOT,$C254,MVT_EMPL,$D254))</f>
        <v/>
      </c>
      <c r="R254" s="26" t="str">
        <f aca="false">IF($C254="","",IF(OR($B254="",AND($F254="",$G254="",$H254="",$I254="",$J254="",$K254="")),"DONNEES MANQUANTES",IF(AND($D254&lt;&gt;"",$Q254&lt;=0),"EMPLACEMENT INCOHERENT","OK")))</f>
        <v/>
      </c>
      <c r="S254" s="26" t="str">
        <f aca="false">IF($C254="","",IF(AND(ISNUMBER($G254),$G254&gt;P_HIST),"HISTAMINE "&amp;TEXT($G254,"#,##0")&amp;" PPM &gt; seuil "&amp;TEXT(P_HIST,"#,##0")&amp;". ","")&amp;IF(AND(ISNUMBER($F254),$P254="CONGELE",$F254&gt;P_TCONG),"TEMPERATURE "&amp;TEXT($F254,"0.0")&amp;" C hors seuil congele. ","")&amp;IF(AND(ISNUMBER($F254),$P254="FRAIS",$F254&gt;P_TFRAIS),"TEMPERATURE "&amp;TEXT($F254,"0.0")&amp;" C hors seuil frais. ","")&amp;IF($K254="BLOQUER","Lot bloque qualite : stock signale mais inchange. ","")&amp;IF($R254="EMPLACEMENT INCOHERENT","Lot absent de cet emplacement : controle conserve, stock inchange. ","")&amp;IF($R254="DONNEES MANQUANTES","Renseigner la DATE et au moins une mesure. ",""))</f>
        <v/>
      </c>
      <c r="T254" s="28" t="n">
        <f aca="false">IF(OR($C254="",$B254=""),0,IF(COUNTIFS(QC_LOT,$C254,QC_DATE,"&gt;"&amp;$B254)&gt;0,0,IF(COUNTIFS($C$5:$C254,$C254,$B$5:$B254,$B254)=COUNTIFS(QC_LOT,$C254,QC_DATE,$B254),1,0)))</f>
        <v>0</v>
      </c>
      <c r="U254" s="26" t="str">
        <f aca="false">IF($T254=1,$C254,"")</f>
        <v/>
      </c>
      <c r="V254" s="28" t="n">
        <f aca="false">IF($C254="",0,IF($C254=R_LOT,1,0))</f>
        <v>0</v>
      </c>
      <c r="W254" s="26" t="str">
        <f aca="false">IF($V254=0,"",COUNTIF($V$5:$V254,1))</f>
        <v/>
      </c>
    </row>
  </sheetData>
  <autoFilter ref="A4:T254"/>
  <mergeCells count="3">
    <mergeCell ref="A1:W1"/>
    <mergeCell ref="A2:W2"/>
    <mergeCell ref="A3:W3"/>
  </mergeCells>
  <conditionalFormatting sqref="R5:R25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conditionalFormatting sqref="K5:K254">
    <cfRule type="cellIs" priority="11" operator="equal" aboveAverage="0" equalAverage="0" bottom="0" percent="0" rank="0" text="" dxfId="9">
      <formula>"OK"</formula>
    </cfRule>
    <cfRule type="cellIs" priority="12" operator="equal" aboveAverage="0" equalAverage="0" bottom="0" percent="0" rank="0" text="" dxfId="10">
      <formula>"EN COURS"</formula>
    </cfRule>
    <cfRule type="cellIs" priority="13" operator="equal" aboveAverage="0" equalAverage="0" bottom="0" percent="0" rank="0" text="" dxfId="11">
      <formula>"A JUSTIFIER"</formula>
    </cfRule>
    <cfRule type="cellIs" priority="14" operator="equal" aboveAverage="0" equalAverage="0" bottom="0" percent="0" rank="0" text="" dxfId="12">
      <formula>"DONNEES MANQUANTES"</formula>
    </cfRule>
    <cfRule type="cellIs" priority="15" operator="equal" aboveAverage="0" equalAverage="0" bottom="0" percent="0" rank="0" text="" dxfId="13">
      <formula>"STOCK INSUFFISANT"</formula>
    </cfRule>
    <cfRule type="cellIs" priority="16" operator="equal" aboveAverage="0" equalAverage="0" bottom="0" percent="0" rank="0" text="" dxfId="13">
      <formula>"EMPLACEMENT INCOHERENT"</formula>
    </cfRule>
    <cfRule type="cellIs" priority="17" operator="equal" aboveAverage="0" equalAverage="0" bottom="0" percent="0" rank="0" text="" dxfId="13">
      <formula>"BLOQUE"</formula>
    </cfRule>
    <cfRule type="cellIs" priority="18" operator="equal" aboveAverage="0" equalAverage="0" bottom="0" percent="0" rank="0" text="" dxfId="13">
      <formula>"INCOHERENCE"</formula>
    </cfRule>
    <cfRule type="cellIs" priority="19" operator="equal" aboveAverage="0" equalAverage="0" bottom="0" percent="0" rank="0" text="" dxfId="11">
      <formula>"LOT EN DOUBLE"</formula>
    </cfRule>
  </conditionalFormatting>
  <conditionalFormatting sqref="S5:S254">
    <cfRule type="expression" priority="20" aboveAverage="0" equalAverage="0" bottom="0" percent="0" rank="0" text="" dxfId="24">
      <formula>LEN($S5)&gt;0</formula>
    </cfRule>
  </conditionalFormatting>
  <dataValidations count="6">
    <dataValidation allowBlank="true" error="Choisissez une valeur dans la liste deroulante." errorStyle="stop" errorTitle="Valeur non autorisee" operator="between" showDropDown="false" showErrorMessage="true" showInputMessage="false" sqref="C5:C254" type="list">
      <formula1>L_LOTS</formula1>
      <formula2>0</formula2>
    </dataValidation>
    <dataValidation allowBlank="true" error="Choisissez une valeur dans la liste deroulante." errorStyle="stop" errorTitle="Valeur non autorisee" operator="between" prompt="Optionnel. Sert a verifier la coherence lot / emplacement." promptTitle="Aide" showDropDown="false" showErrorMessage="true" showInputMessage="true" sqref="D5:D254" type="list">
      <formula1>L_EMPL</formula1>
      <formula2>0</formula2>
    </dataValidation>
    <dataValidation allowBlank="true" errorStyle="stop" operator="between" showDropDown="false" showErrorMessage="false" showInputMessage="false" sqref="E5:E254" type="list">
      <formula1>L_TYPECTRL</formula1>
      <formula2>0</formula2>
    </dataValidation>
    <dataValidation allowBlank="true" errorStyle="stop" operator="between" showDropDown="false" showErrorMessage="false" showInputMessage="false" sqref="H5:H254" type="list">
      <formula1>L_QUALITE</formula1>
      <formula2>0</formula2>
    </dataValidation>
    <dataValidation allowBlank="true" errorStyle="stop" operator="between" showDropDown="false" showErrorMessage="false" showInputMessage="false" sqref="I5:I254" type="list">
      <formula1>L_MOULE</formula1>
      <formula2>0</formula2>
    </dataValidation>
    <dataValidation allowBlank="true" errorStyle="stop" operator="between" showDropDown="false" showErrorMessage="false" showInputMessage="false" sqref="K5:K254" type="list">
      <formula1>L_DECISION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D5C"/>
    <pageSetUpPr fitToPage="false"/>
  </sheetPr>
  <dimension ref="A1:U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6" min="2" style="0" width="13"/>
    <col collapsed="false" customWidth="true" hidden="false" outlineLevel="0" max="7" min="7" style="0" width="34"/>
    <col collapsed="false" customWidth="true" hidden="false" outlineLevel="0" max="8" min="8" style="0" width="16"/>
    <col collapsed="false" customWidth="true" hidden="false" outlineLevel="0" max="13" min="9" style="0" width="13"/>
    <col collapsed="false" customWidth="true" hidden="false" outlineLevel="0" max="18" min="14" style="0" width="15"/>
    <col collapsed="false" customWidth="true" hidden="false" outlineLevel="0" max="19" min="19" style="0" width="20"/>
    <col collapsed="false" customWidth="true" hidden="false" outlineLevel="0" max="20" min="20" style="0" width="15"/>
    <col collapsed="false" customWidth="true" hidden="false" outlineLevel="0" max="21" min="21" style="0" width="22"/>
  </cols>
  <sheetData>
    <row r="1" customFormat="false" ht="30" hidden="false" customHeight="true" outlineLevel="0" collapsed="false">
      <c r="A1" s="1" t="s">
        <v>256</v>
      </c>
      <c r="B1" s="1"/>
      <c r="C1" s="1"/>
      <c r="D1" s="1"/>
      <c r="E1" s="1"/>
      <c r="F1" s="1"/>
      <c r="G1" s="1"/>
      <c r="H1" s="1"/>
      <c r="I1" s="1"/>
      <c r="J1" s="1"/>
      <c r="K1" s="1"/>
      <c r="L1" s="1"/>
      <c r="M1" s="1"/>
      <c r="N1" s="1"/>
      <c r="O1" s="1"/>
      <c r="P1" s="1"/>
      <c r="Q1" s="1"/>
      <c r="R1" s="1"/>
      <c r="S1" s="1"/>
      <c r="T1" s="1"/>
      <c r="U1" s="1"/>
    </row>
    <row r="2" customFormat="false" ht="18" hidden="false" customHeight="true" outlineLevel="0" collapsed="false">
      <c r="A2" s="2" t="s">
        <v>257</v>
      </c>
      <c r="B2" s="2"/>
      <c r="C2" s="2"/>
      <c r="D2" s="2"/>
      <c r="E2" s="2"/>
      <c r="F2" s="2"/>
      <c r="G2" s="2"/>
      <c r="H2" s="2"/>
      <c r="I2" s="2"/>
      <c r="J2" s="2"/>
      <c r="K2" s="2"/>
      <c r="L2" s="2"/>
      <c r="M2" s="2"/>
      <c r="N2" s="2"/>
      <c r="O2" s="2"/>
      <c r="P2" s="2"/>
      <c r="Q2" s="2"/>
      <c r="R2" s="2"/>
      <c r="S2" s="2"/>
      <c r="T2" s="2"/>
      <c r="U2" s="2"/>
    </row>
    <row r="4" customFormat="false" ht="15" hidden="false" customHeight="false" outlineLevel="0" collapsed="false">
      <c r="A4" s="34" t="s">
        <v>258</v>
      </c>
      <c r="B4" s="34"/>
      <c r="C4" s="34"/>
      <c r="D4" s="35" t="n">
        <f aca="false">SUMIFS(MVT_NET,MVT_CLASSE,"INTERNE")</f>
        <v>4065</v>
      </c>
    </row>
    <row r="5" customFormat="false" ht="15" hidden="false" customHeight="false" outlineLevel="0" collapsed="false">
      <c r="A5" s="34" t="s">
        <v>259</v>
      </c>
      <c r="B5" s="34"/>
      <c r="C5" s="34"/>
      <c r="D5" s="35" t="n">
        <f aca="false">SUMIFS(MVT_NET,MVT_CLASSE,"EXTERNE")</f>
        <v>1350</v>
      </c>
    </row>
    <row r="6" customFormat="false" ht="15" hidden="false" customHeight="false" outlineLevel="0" collapsed="false">
      <c r="A6" s="34" t="s">
        <v>6</v>
      </c>
      <c r="B6" s="34"/>
      <c r="C6" s="34"/>
      <c r="D6" s="35" t="n">
        <f aca="false">SUM(MVT_NET)</f>
        <v>5415</v>
      </c>
    </row>
    <row r="7" customFormat="false" ht="15" hidden="false" customHeight="false" outlineLevel="0" collapsed="false">
      <c r="A7" s="34" t="s">
        <v>260</v>
      </c>
      <c r="B7" s="34"/>
      <c r="C7" s="34"/>
      <c r="D7" s="36" t="n">
        <f aca="false">COUNTIF($N$15:$N$214,"&gt;0")</f>
        <v>9</v>
      </c>
    </row>
    <row r="8" customFormat="false" ht="15" hidden="false" customHeight="false" outlineLevel="0" collapsed="false">
      <c r="A8" s="34" t="s">
        <v>261</v>
      </c>
      <c r="B8" s="34"/>
      <c r="C8" s="34"/>
      <c r="D8" s="35" t="n">
        <f aca="false">SUM(ST_ENCOURS)</f>
        <v>200</v>
      </c>
    </row>
    <row r="9" customFormat="false" ht="15" hidden="false" customHeight="false" outlineLevel="0" collapsed="false">
      <c r="A9" s="37" t="s">
        <v>8</v>
      </c>
      <c r="B9" s="37"/>
      <c r="C9" s="37"/>
      <c r="D9" s="35" t="n">
        <f aca="false">SUM($T$15:$T$214)</f>
        <v>200</v>
      </c>
    </row>
    <row r="10" customFormat="false" ht="15" hidden="false" customHeight="false" outlineLevel="0" collapsed="false">
      <c r="A10" s="37" t="s">
        <v>262</v>
      </c>
      <c r="B10" s="37"/>
      <c r="C10" s="37"/>
      <c r="D10" s="35" t="n">
        <f aca="false">ROUND(SUM(MVT_NET)-SUM($N$15:$N$214),3)</f>
        <v>0</v>
      </c>
      <c r="E10" s="38" t="s">
        <v>263</v>
      </c>
      <c r="F10" s="38"/>
      <c r="G10" s="38"/>
      <c r="H10" s="38"/>
      <c r="I10" s="38"/>
      <c r="J10" s="38"/>
      <c r="K10" s="38"/>
    </row>
    <row r="12" customFormat="false" ht="19.5" hidden="false" customHeight="true" outlineLevel="0" collapsed="false">
      <c r="A12" s="3" t="s">
        <v>264</v>
      </c>
      <c r="B12" s="3"/>
      <c r="C12" s="3"/>
      <c r="D12" s="3"/>
      <c r="E12" s="3"/>
      <c r="F12" s="3"/>
      <c r="G12" s="3"/>
      <c r="H12" s="3"/>
      <c r="I12" s="3"/>
      <c r="J12" s="3"/>
      <c r="K12" s="3"/>
      <c r="L12" s="3"/>
      <c r="M12" s="3"/>
      <c r="N12" s="3"/>
      <c r="O12" s="3"/>
      <c r="P12" s="3"/>
      <c r="Q12" s="3"/>
      <c r="R12" s="3"/>
      <c r="S12" s="3"/>
      <c r="T12" s="3"/>
      <c r="U12" s="3"/>
    </row>
    <row r="13" customFormat="false" ht="15" hidden="false" customHeight="false" outlineLevel="0" collapsed="false">
      <c r="A13" s="39" t="s">
        <v>265</v>
      </c>
      <c r="B13" s="39" t="str">
        <f aca="false">IF(INDEX(EMPL_KEY,1)="","",IFERROR(INDEX(EMPL_CLASSE,1),""))</f>
        <v>INTERNE</v>
      </c>
      <c r="C13" s="39" t="str">
        <f aca="false">IF(INDEX(EMPL_KEY,2)="","",IFERROR(INDEX(EMPL_CLASSE,2),""))</f>
        <v>EXTERNE</v>
      </c>
      <c r="D13" s="39" t="str">
        <f aca="false">IF(INDEX(EMPL_KEY,3)="","",IFERROR(INDEX(EMPL_CLASSE,3),""))</f>
        <v>EXTERNE</v>
      </c>
      <c r="E13" s="39" t="str">
        <f aca="false">IF(INDEX(EMPL_KEY,4)="","",IFERROR(INDEX(EMPL_CLASSE,4),""))</f>
        <v>EXTERNE</v>
      </c>
      <c r="F13" s="39" t="str">
        <f aca="false">IF(INDEX(EMPL_KEY,5)="","",IFERROR(INDEX(EMPL_CLASSE,5),""))</f>
        <v>EXTERNE</v>
      </c>
      <c r="G13" s="39" t="str">
        <f aca="false">IF(INDEX(EMPL_KEY,6)="","",IFERROR(INDEX(EMPL_CLASSE,6),""))</f>
        <v>EXTERNE</v>
      </c>
      <c r="H13" s="39" t="str">
        <f aca="false">IF(INDEX(EMPL_KEY,7)="","",IFERROR(INDEX(EMPL_CLASSE,7),""))</f>
        <v>EXTERNE</v>
      </c>
      <c r="I13" s="39" t="str">
        <f aca="false">IF(INDEX(EMPL_KEY,8)="","",IFERROR(INDEX(EMPL_CLASSE,8),""))</f>
        <v>EXTERNE</v>
      </c>
      <c r="J13" s="39" t="str">
        <f aca="false">IF(INDEX(EMPL_KEY,9)="","",IFERROR(INDEX(EMPL_CLASSE,9),""))</f>
        <v>EXTERNE</v>
      </c>
      <c r="K13" s="39" t="str">
        <f aca="false">IF(INDEX(EMPL_KEY,10)="","",IFERROR(INDEX(EMPL_CLASSE,10),""))</f>
        <v>EXTERNE</v>
      </c>
      <c r="L13" s="39" t="str">
        <f aca="false">IF(INDEX(EMPL_KEY,11)="","",IFERROR(INDEX(EMPL_CLASSE,11),""))</f>
        <v/>
      </c>
      <c r="M13" s="39" t="str">
        <f aca="false">IF(INDEX(EMPL_KEY,12)="","",IFERROR(INDEX(EMPL_CLASSE,12),""))</f>
        <v/>
      </c>
    </row>
    <row r="14" customFormat="false" ht="27.75" hidden="false" customHeight="true" outlineLevel="0" collapsed="false">
      <c r="A14" s="40" t="s">
        <v>51</v>
      </c>
      <c r="B14" s="22" t="str">
        <f aca="false">IF(INDEX(EMPL_KEY,1)="","",INDEX(EMPL_KEY,1))</f>
        <v>OCEAMIC 2</v>
      </c>
      <c r="C14" s="22" t="str">
        <f aca="false">IF(INDEX(EMPL_KEY,2)="","",INDEX(EMPL_KEY,2))</f>
        <v>SARMA</v>
      </c>
      <c r="D14" s="22" t="str">
        <f aca="false">IF(INDEX(EMPL_KEY,3)="","",INDEX(EMPL_KEY,3))</f>
        <v>DAMSA</v>
      </c>
      <c r="E14" s="22" t="str">
        <f aca="false">IF(INDEX(EMPL_KEY,4)="","",INDEX(EMPL_KEY,4))</f>
        <v>COFRIGOP</v>
      </c>
      <c r="F14" s="22" t="str">
        <f aca="false">IF(INDEX(EMPL_KEY,5)="","",INDEX(EMPL_KEY,5))</f>
        <v>COFRIGOB</v>
      </c>
      <c r="G14" s="22" t="str">
        <f aca="false">IF(INDEX(EMPL_KEY,6)="","",INDEX(EMPL_KEY,6))</f>
        <v>FOURSEASEN</v>
      </c>
      <c r="H14" s="22" t="str">
        <f aca="false">IF(INDEX(EMPL_KEY,7)="","",INDEX(EMPL_KEY,7))</f>
        <v>ATLANTIC</v>
      </c>
      <c r="I14" s="22" t="str">
        <f aca="false">IF(INDEX(EMPL_KEY,8)="","",INDEX(EMPL_KEY,8))</f>
        <v>WILL FISHING</v>
      </c>
      <c r="J14" s="22" t="str">
        <f aca="false">IF(INDEX(EMPL_KEY,9)="","",INDEX(EMPL_KEY,9))</f>
        <v>KJ FISH</v>
      </c>
      <c r="K14" s="22" t="str">
        <f aca="false">IF(INDEX(EMPL_KEY,10)="","",INDEX(EMPL_KEY,10))</f>
        <v>OCEAMIC 1</v>
      </c>
      <c r="L14" s="22" t="str">
        <f aca="false">IF(INDEX(EMPL_KEY,11)="","",INDEX(EMPL_KEY,11))</f>
        <v/>
      </c>
      <c r="M14" s="22" t="str">
        <f aca="false">IF(INDEX(EMPL_KEY,12)="","",INDEX(EMPL_KEY,12))</f>
        <v/>
      </c>
      <c r="N14" s="23" t="s">
        <v>266</v>
      </c>
      <c r="O14" s="23" t="s">
        <v>267</v>
      </c>
      <c r="P14" s="23" t="s">
        <v>268</v>
      </c>
      <c r="Q14" s="23" t="s">
        <v>269</v>
      </c>
      <c r="R14" s="23" t="s">
        <v>52</v>
      </c>
      <c r="S14" s="23" t="s">
        <v>270</v>
      </c>
      <c r="T14" s="23" t="s">
        <v>271</v>
      </c>
      <c r="U14" s="23" t="s">
        <v>235</v>
      </c>
    </row>
    <row r="15" customFormat="false" ht="15" hidden="false" customHeight="false" outlineLevel="0" collapsed="false">
      <c r="A15" s="41" t="str">
        <f aca="false">IF(LOTS!$A5="","",LOTS!$A5)</f>
        <v>255</v>
      </c>
      <c r="B15" s="42" t="n">
        <f aca="false">IF(OR($A15="",B$14=""),0,SUMIFS(MVT_NET,MVT_LOT,$A15,MVT_EMPL,B$14))</f>
        <v>500</v>
      </c>
      <c r="C15" s="42" t="n">
        <f aca="false">IF(OR($A15="",C$14=""),0,SUMIFS(MVT_NET,MVT_LOT,$A15,MVT_EMPL,C$14))</f>
        <v>0</v>
      </c>
      <c r="D15" s="42" t="n">
        <f aca="false">IF(OR($A15="",D$14=""),0,SUMIFS(MVT_NET,MVT_LOT,$A15,MVT_EMPL,D$14))</f>
        <v>0</v>
      </c>
      <c r="E15" s="42" t="n">
        <f aca="false">IF(OR($A15="",E$14=""),0,SUMIFS(MVT_NET,MVT_LOT,$A15,MVT_EMPL,E$14))</f>
        <v>0</v>
      </c>
      <c r="F15" s="42" t="n">
        <f aca="false">IF(OR($A15="",F$14=""),0,SUMIFS(MVT_NET,MVT_LOT,$A15,MVT_EMPL,F$14))</f>
        <v>0</v>
      </c>
      <c r="G15" s="42" t="n">
        <f aca="false">IF(OR($A15="",G$14=""),0,SUMIFS(MVT_NET,MVT_LOT,$A15,MVT_EMPL,G$14))</f>
        <v>0</v>
      </c>
      <c r="H15" s="42" t="n">
        <f aca="false">IF(OR($A15="",H$14=""),0,SUMIFS(MVT_NET,MVT_LOT,$A15,MVT_EMPL,H$14))</f>
        <v>0</v>
      </c>
      <c r="I15" s="42" t="n">
        <f aca="false">IF(OR($A15="",I$14=""),0,SUMIFS(MVT_NET,MVT_LOT,$A15,MVT_EMPL,I$14))</f>
        <v>0</v>
      </c>
      <c r="J15" s="42" t="n">
        <f aca="false">IF(OR($A15="",J$14=""),0,SUMIFS(MVT_NET,MVT_LOT,$A15,MVT_EMPL,J$14))</f>
        <v>0</v>
      </c>
      <c r="K15" s="42" t="n">
        <f aca="false">IF(OR($A15="",K$14=""),0,SUMIFS(MVT_NET,MVT_LOT,$A15,MVT_EMPL,K$14))</f>
        <v>0</v>
      </c>
      <c r="L15" s="42" t="n">
        <f aca="false">IF(OR($A15="",L$14=""),0,SUMIFS(MVT_NET,MVT_LOT,$A15,MVT_EMPL,L$14))</f>
        <v>0</v>
      </c>
      <c r="M15" s="42" t="n">
        <f aca="false">IF(OR($A15="",M$14=""),0,SUMIFS(MVT_NET,MVT_LOT,$A15,MVT_EMPL,M$14))</f>
        <v>0</v>
      </c>
      <c r="N15" s="43" t="n">
        <f aca="false">SUM($B15:$M15)</f>
        <v>500</v>
      </c>
      <c r="O15" s="44" t="n">
        <f aca="false">SUMPRODUCT(($B$13:$M$13="INTERNE")*$B15:$M15)</f>
        <v>500</v>
      </c>
      <c r="P15" s="44" t="n">
        <f aca="false">SUMPRODUCT(($B$13:$M$13="EXTERNE")*$B15:$M15)</f>
        <v>0</v>
      </c>
      <c r="Q15" s="44" t="n">
        <f aca="false">IF($A15="",0,SUMIFS(ST_ENCOURS,ST_LOT,$A15))</f>
        <v>0</v>
      </c>
      <c r="R15" s="45" t="str">
        <f aca="false">IF($A15="","",IFERROR(INDEX(LOT_EXTE,MATCH($A15,LOT_KEY,0)),""))</f>
        <v>L-EXT-255</v>
      </c>
      <c r="S15" s="45" t="str">
        <f aca="false">IF($A15="","",IFERROR(INDEX(LOT_DECISION,MATCH($A15,LOT_KEY,0)),""))</f>
        <v>ACCEPTER</v>
      </c>
      <c r="T15" s="44" t="n">
        <f aca="false">IF($S15="BLOQUER",MAX(0,$N15),0)</f>
        <v>0</v>
      </c>
      <c r="U15" s="46" t="str">
        <f aca="false">IF($A15="","",IF($N15&lt;-0.001,"STOCK NEGATIF - ANOMALIE",IF($T15&gt;0,"BLOQUE QUALITE","")))</f>
        <v/>
      </c>
    </row>
    <row r="16" customFormat="false" ht="15" hidden="false" customHeight="false" outlineLevel="0" collapsed="false">
      <c r="A16" s="41" t="str">
        <f aca="false">IF(LOTS!$A6="","",LOTS!$A6)</f>
        <v>256</v>
      </c>
      <c r="B16" s="42" t="n">
        <f aca="false">IF(OR($A16="",B$14=""),0,SUMIFS(MVT_NET,MVT_LOT,$A16,MVT_EMPL,B$14))</f>
        <v>800</v>
      </c>
      <c r="C16" s="42" t="n">
        <f aca="false">IF(OR($A16="",C$14=""),0,SUMIFS(MVT_NET,MVT_LOT,$A16,MVT_EMPL,C$14))</f>
        <v>1200</v>
      </c>
      <c r="D16" s="42" t="n">
        <f aca="false">IF(OR($A16="",D$14=""),0,SUMIFS(MVT_NET,MVT_LOT,$A16,MVT_EMPL,D$14))</f>
        <v>0</v>
      </c>
      <c r="E16" s="42" t="n">
        <f aca="false">IF(OR($A16="",E$14=""),0,SUMIFS(MVT_NET,MVT_LOT,$A16,MVT_EMPL,E$14))</f>
        <v>0</v>
      </c>
      <c r="F16" s="42" t="n">
        <f aca="false">IF(OR($A16="",F$14=""),0,SUMIFS(MVT_NET,MVT_LOT,$A16,MVT_EMPL,F$14))</f>
        <v>0</v>
      </c>
      <c r="G16" s="42" t="n">
        <f aca="false">IF(OR($A16="",G$14=""),0,SUMIFS(MVT_NET,MVT_LOT,$A16,MVT_EMPL,G$14))</f>
        <v>0</v>
      </c>
      <c r="H16" s="42" t="n">
        <f aca="false">IF(OR($A16="",H$14=""),0,SUMIFS(MVT_NET,MVT_LOT,$A16,MVT_EMPL,H$14))</f>
        <v>0</v>
      </c>
      <c r="I16" s="42" t="n">
        <f aca="false">IF(OR($A16="",I$14=""),0,SUMIFS(MVT_NET,MVT_LOT,$A16,MVT_EMPL,I$14))</f>
        <v>0</v>
      </c>
      <c r="J16" s="42" t="n">
        <f aca="false">IF(OR($A16="",J$14=""),0,SUMIFS(MVT_NET,MVT_LOT,$A16,MVT_EMPL,J$14))</f>
        <v>0</v>
      </c>
      <c r="K16" s="42" t="n">
        <f aca="false">IF(OR($A16="",K$14=""),0,SUMIFS(MVT_NET,MVT_LOT,$A16,MVT_EMPL,K$14))</f>
        <v>0</v>
      </c>
      <c r="L16" s="42" t="n">
        <f aca="false">IF(OR($A16="",L$14=""),0,SUMIFS(MVT_NET,MVT_LOT,$A16,MVT_EMPL,L$14))</f>
        <v>0</v>
      </c>
      <c r="M16" s="42" t="n">
        <f aca="false">IF(OR($A16="",M$14=""),0,SUMIFS(MVT_NET,MVT_LOT,$A16,MVT_EMPL,M$14))</f>
        <v>0</v>
      </c>
      <c r="N16" s="43" t="n">
        <f aca="false">SUM($B16:$M16)</f>
        <v>2000</v>
      </c>
      <c r="O16" s="44" t="n">
        <f aca="false">SUMPRODUCT(($B$13:$M$13="INTERNE")*$B16:$M16)</f>
        <v>800</v>
      </c>
      <c r="P16" s="44" t="n">
        <f aca="false">SUMPRODUCT(($B$13:$M$13="EXTERNE")*$B16:$M16)</f>
        <v>1200</v>
      </c>
      <c r="Q16" s="44" t="n">
        <f aca="false">IF($A16="",0,SUMIFS(ST_ENCOURS,ST_LOT,$A16))</f>
        <v>0</v>
      </c>
      <c r="R16" s="45" t="str">
        <f aca="false">IF($A16="","",IFERROR(INDEX(LOT_EXTE,MATCH($A16,LOT_KEY,0)),""))</f>
        <v>L-EXT-256</v>
      </c>
      <c r="S16" s="45" t="str">
        <f aca="false">IF($A16="","",IFERROR(INDEX(LOT_DECISION,MATCH($A16,LOT_KEY,0)),""))</f>
        <v>A RECONTROLER</v>
      </c>
      <c r="T16" s="44" t="n">
        <f aca="false">IF($S16="BLOQUER",MAX(0,$N16),0)</f>
        <v>0</v>
      </c>
      <c r="U16" s="46" t="str">
        <f aca="false">IF($A16="","",IF($N16&lt;-0.001,"STOCK NEGATIF - ANOMALIE",IF($T16&gt;0,"BLOQUE QUALITE","")))</f>
        <v/>
      </c>
    </row>
    <row r="17" customFormat="false" ht="15" hidden="false" customHeight="false" outlineLevel="0" collapsed="false">
      <c r="A17" s="41" t="str">
        <f aca="false">IF(LOTS!$A7="","",LOTS!$A7)</f>
        <v>257</v>
      </c>
      <c r="B17" s="42" t="n">
        <f aca="false">IF(OR($A17="",B$14=""),0,SUMIFS(MVT_NET,MVT_LOT,$A17,MVT_EMPL,B$14))</f>
        <v>500</v>
      </c>
      <c r="C17" s="42" t="n">
        <f aca="false">IF(OR($A17="",C$14=""),0,SUMIFS(MVT_NET,MVT_LOT,$A17,MVT_EMPL,C$14))</f>
        <v>0</v>
      </c>
      <c r="D17" s="42" t="n">
        <f aca="false">IF(OR($A17="",D$14=""),0,SUMIFS(MVT_NET,MVT_LOT,$A17,MVT_EMPL,D$14))</f>
        <v>0</v>
      </c>
      <c r="E17" s="42" t="n">
        <f aca="false">IF(OR($A17="",E$14=""),0,SUMIFS(MVT_NET,MVT_LOT,$A17,MVT_EMPL,E$14))</f>
        <v>0</v>
      </c>
      <c r="F17" s="42" t="n">
        <f aca="false">IF(OR($A17="",F$14=""),0,SUMIFS(MVT_NET,MVT_LOT,$A17,MVT_EMPL,F$14))</f>
        <v>0</v>
      </c>
      <c r="G17" s="42" t="n">
        <f aca="false">IF(OR($A17="",G$14=""),0,SUMIFS(MVT_NET,MVT_LOT,$A17,MVT_EMPL,G$14))</f>
        <v>0</v>
      </c>
      <c r="H17" s="42" t="n">
        <f aca="false">IF(OR($A17="",H$14=""),0,SUMIFS(MVT_NET,MVT_LOT,$A17,MVT_EMPL,H$14))</f>
        <v>0</v>
      </c>
      <c r="I17" s="42" t="n">
        <f aca="false">IF(OR($A17="",I$14=""),0,SUMIFS(MVT_NET,MVT_LOT,$A17,MVT_EMPL,I$14))</f>
        <v>0</v>
      </c>
      <c r="J17" s="42" t="n">
        <f aca="false">IF(OR($A17="",J$14=""),0,SUMIFS(MVT_NET,MVT_LOT,$A17,MVT_EMPL,J$14))</f>
        <v>0</v>
      </c>
      <c r="K17" s="42" t="n">
        <f aca="false">IF(OR($A17="",K$14=""),0,SUMIFS(MVT_NET,MVT_LOT,$A17,MVT_EMPL,K$14))</f>
        <v>0</v>
      </c>
      <c r="L17" s="42" t="n">
        <f aca="false">IF(OR($A17="",L$14=""),0,SUMIFS(MVT_NET,MVT_LOT,$A17,MVT_EMPL,L$14))</f>
        <v>0</v>
      </c>
      <c r="M17" s="42" t="n">
        <f aca="false">IF(OR($A17="",M$14=""),0,SUMIFS(MVT_NET,MVT_LOT,$A17,MVT_EMPL,M$14))</f>
        <v>0</v>
      </c>
      <c r="N17" s="43" t="n">
        <f aca="false">SUM($B17:$M17)</f>
        <v>500</v>
      </c>
      <c r="O17" s="44" t="n">
        <f aca="false">SUMPRODUCT(($B$13:$M$13="INTERNE")*$B17:$M17)</f>
        <v>500</v>
      </c>
      <c r="P17" s="44" t="n">
        <f aca="false">SUMPRODUCT(($B$13:$M$13="EXTERNE")*$B17:$M17)</f>
        <v>0</v>
      </c>
      <c r="Q17" s="44" t="n">
        <f aca="false">IF($A17="",0,SUMIFS(ST_ENCOURS,ST_LOT,$A17))</f>
        <v>0</v>
      </c>
      <c r="R17" s="45" t="str">
        <f aca="false">IF($A17="","",IFERROR(INDEX(LOT_EXTE,MATCH($A17,LOT_KEY,0)),""))</f>
        <v>L-EXT-255</v>
      </c>
      <c r="S17" s="45" t="str">
        <f aca="false">IF($A17="","",IFERROR(INDEX(LOT_DECISION,MATCH($A17,LOT_KEY,0)),""))</f>
        <v>ACCEPTER</v>
      </c>
      <c r="T17" s="44" t="n">
        <f aca="false">IF($S17="BLOQUER",MAX(0,$N17),0)</f>
        <v>0</v>
      </c>
      <c r="U17" s="46" t="str">
        <f aca="false">IF($A17="","",IF($N17&lt;-0.001,"STOCK NEGATIF - ANOMALIE",IF($T17&gt;0,"BLOQUE QUALITE","")))</f>
        <v/>
      </c>
    </row>
    <row r="18" customFormat="false" ht="15" hidden="false" customHeight="false" outlineLevel="0" collapsed="false">
      <c r="A18" s="41" t="str">
        <f aca="false">IF(LOTS!$A8="","",LOTS!$A8)</f>
        <v>258</v>
      </c>
      <c r="B18" s="42" t="n">
        <f aca="false">IF(OR($A18="",B$14=""),0,SUMIFS(MVT_NET,MVT_LOT,$A18,MVT_EMPL,B$14))</f>
        <v>200</v>
      </c>
      <c r="C18" s="42" t="n">
        <f aca="false">IF(OR($A18="",C$14=""),0,SUMIFS(MVT_NET,MVT_LOT,$A18,MVT_EMPL,C$14))</f>
        <v>0</v>
      </c>
      <c r="D18" s="42" t="n">
        <f aca="false">IF(OR($A18="",D$14=""),0,SUMIFS(MVT_NET,MVT_LOT,$A18,MVT_EMPL,D$14))</f>
        <v>0</v>
      </c>
      <c r="E18" s="42" t="n">
        <f aca="false">IF(OR($A18="",E$14=""),0,SUMIFS(MVT_NET,MVT_LOT,$A18,MVT_EMPL,E$14))</f>
        <v>0</v>
      </c>
      <c r="F18" s="42" t="n">
        <f aca="false">IF(OR($A18="",F$14=""),0,SUMIFS(MVT_NET,MVT_LOT,$A18,MVT_EMPL,F$14))</f>
        <v>0</v>
      </c>
      <c r="G18" s="42" t="n">
        <f aca="false">IF(OR($A18="",G$14=""),0,SUMIFS(MVT_NET,MVT_LOT,$A18,MVT_EMPL,G$14))</f>
        <v>0</v>
      </c>
      <c r="H18" s="42" t="n">
        <f aca="false">IF(OR($A18="",H$14=""),0,SUMIFS(MVT_NET,MVT_LOT,$A18,MVT_EMPL,H$14))</f>
        <v>0</v>
      </c>
      <c r="I18" s="42" t="n">
        <f aca="false">IF(OR($A18="",I$14=""),0,SUMIFS(MVT_NET,MVT_LOT,$A18,MVT_EMPL,I$14))</f>
        <v>0</v>
      </c>
      <c r="J18" s="42" t="n">
        <f aca="false">IF(OR($A18="",J$14=""),0,SUMIFS(MVT_NET,MVT_LOT,$A18,MVT_EMPL,J$14))</f>
        <v>0</v>
      </c>
      <c r="K18" s="42" t="n">
        <f aca="false">IF(OR($A18="",K$14=""),0,SUMIFS(MVT_NET,MVT_LOT,$A18,MVT_EMPL,K$14))</f>
        <v>0</v>
      </c>
      <c r="L18" s="42" t="n">
        <f aca="false">IF(OR($A18="",L$14=""),0,SUMIFS(MVT_NET,MVT_LOT,$A18,MVT_EMPL,L$14))</f>
        <v>0</v>
      </c>
      <c r="M18" s="42" t="n">
        <f aca="false">IF(OR($A18="",M$14=""),0,SUMIFS(MVT_NET,MVT_LOT,$A18,MVT_EMPL,M$14))</f>
        <v>0</v>
      </c>
      <c r="N18" s="43" t="n">
        <f aca="false">SUM($B18:$M18)</f>
        <v>200</v>
      </c>
      <c r="O18" s="44" t="n">
        <f aca="false">SUMPRODUCT(($B$13:$M$13="INTERNE")*$B18:$M18)</f>
        <v>200</v>
      </c>
      <c r="P18" s="44" t="n">
        <f aca="false">SUMPRODUCT(($B$13:$M$13="EXTERNE")*$B18:$M18)</f>
        <v>0</v>
      </c>
      <c r="Q18" s="44" t="n">
        <f aca="false">IF($A18="",0,SUMIFS(ST_ENCOURS,ST_LOT,$A18))</f>
        <v>0</v>
      </c>
      <c r="R18" s="45" t="str">
        <f aca="false">IF($A18="","",IFERROR(INDEX(LOT_EXTE,MATCH($A18,LOT_KEY,0)),""))</f>
        <v>L-EXT-258</v>
      </c>
      <c r="S18" s="45" t="str">
        <f aca="false">IF($A18="","",IFERROR(INDEX(LOT_DECISION,MATCH($A18,LOT_KEY,0)),""))</f>
        <v/>
      </c>
      <c r="T18" s="44" t="n">
        <f aca="false">IF($S18="BLOQUER",MAX(0,$N18),0)</f>
        <v>0</v>
      </c>
      <c r="U18" s="46" t="str">
        <f aca="false">IF($A18="","",IF($N18&lt;-0.001,"STOCK NEGATIF - ANOMALIE",IF($T18&gt;0,"BLOQUE QUALITE","")))</f>
        <v/>
      </c>
    </row>
    <row r="19" customFormat="false" ht="15" hidden="false" customHeight="false" outlineLevel="0" collapsed="false">
      <c r="A19" s="41" t="str">
        <f aca="false">IF(LOTS!$A9="","",LOTS!$A9)</f>
        <v>300</v>
      </c>
      <c r="B19" s="42" t="n">
        <f aca="false">IF(OR($A19="",B$14=""),0,SUMIFS(MVT_NET,MVT_LOT,$A19,MVT_EMPL,B$14))</f>
        <v>0</v>
      </c>
      <c r="C19" s="42" t="n">
        <f aca="false">IF(OR($A19="",C$14=""),0,SUMIFS(MVT_NET,MVT_LOT,$A19,MVT_EMPL,C$14))</f>
        <v>0</v>
      </c>
      <c r="D19" s="42" t="n">
        <f aca="false">IF(OR($A19="",D$14=""),0,SUMIFS(MVT_NET,MVT_LOT,$A19,MVT_EMPL,D$14))</f>
        <v>0</v>
      </c>
      <c r="E19" s="42" t="n">
        <f aca="false">IF(OR($A19="",E$14=""),0,SUMIFS(MVT_NET,MVT_LOT,$A19,MVT_EMPL,E$14))</f>
        <v>0</v>
      </c>
      <c r="F19" s="42" t="n">
        <f aca="false">IF(OR($A19="",F$14=""),0,SUMIFS(MVT_NET,MVT_LOT,$A19,MVT_EMPL,F$14))</f>
        <v>0</v>
      </c>
      <c r="G19" s="42" t="n">
        <f aca="false">IF(OR($A19="",G$14=""),0,SUMIFS(MVT_NET,MVT_LOT,$A19,MVT_EMPL,G$14))</f>
        <v>0</v>
      </c>
      <c r="H19" s="42" t="n">
        <f aca="false">IF(OR($A19="",H$14=""),0,SUMIFS(MVT_NET,MVT_LOT,$A19,MVT_EMPL,H$14))</f>
        <v>0</v>
      </c>
      <c r="I19" s="42" t="n">
        <f aca="false">IF(OR($A19="",I$14=""),0,SUMIFS(MVT_NET,MVT_LOT,$A19,MVT_EMPL,I$14))</f>
        <v>0</v>
      </c>
      <c r="J19" s="42" t="n">
        <f aca="false">IF(OR($A19="",J$14=""),0,SUMIFS(MVT_NET,MVT_LOT,$A19,MVT_EMPL,J$14))</f>
        <v>0</v>
      </c>
      <c r="K19" s="42" t="n">
        <f aca="false">IF(OR($A19="",K$14=""),0,SUMIFS(MVT_NET,MVT_LOT,$A19,MVT_EMPL,K$14))</f>
        <v>0</v>
      </c>
      <c r="L19" s="42" t="n">
        <f aca="false">IF(OR($A19="",L$14=""),0,SUMIFS(MVT_NET,MVT_LOT,$A19,MVT_EMPL,L$14))</f>
        <v>0</v>
      </c>
      <c r="M19" s="42" t="n">
        <f aca="false">IF(OR($A19="",M$14=""),0,SUMIFS(MVT_NET,MVT_LOT,$A19,MVT_EMPL,M$14))</f>
        <v>0</v>
      </c>
      <c r="N19" s="43" t="n">
        <f aca="false">SUM($B19:$M19)</f>
        <v>0</v>
      </c>
      <c r="O19" s="44" t="n">
        <f aca="false">SUMPRODUCT(($B$13:$M$13="INTERNE")*$B19:$M19)</f>
        <v>0</v>
      </c>
      <c r="P19" s="44" t="n">
        <f aca="false">SUMPRODUCT(($B$13:$M$13="EXTERNE")*$B19:$M19)</f>
        <v>0</v>
      </c>
      <c r="Q19" s="44" t="n">
        <f aca="false">IF($A19="",0,SUMIFS(ST_ENCOURS,ST_LOT,$A19))</f>
        <v>0</v>
      </c>
      <c r="R19" s="45" t="str">
        <f aca="false">IF($A19="","",IFERROR(INDEX(LOT_EXTE,MATCH($A19,LOT_KEY,0)),""))</f>
        <v>L-EXT-300</v>
      </c>
      <c r="S19" s="45" t="str">
        <f aca="false">IF($A19="","",IFERROR(INDEX(LOT_DECISION,MATCH($A19,LOT_KEY,0)),""))</f>
        <v/>
      </c>
      <c r="T19" s="44" t="n">
        <f aca="false">IF($S19="BLOQUER",MAX(0,$N19),0)</f>
        <v>0</v>
      </c>
      <c r="U19" s="46" t="str">
        <f aca="false">IF($A19="","",IF($N19&lt;-0.001,"STOCK NEGATIF - ANOMALIE",IF($T19&gt;0,"BLOQUE QUALITE","")))</f>
        <v/>
      </c>
    </row>
    <row r="20" customFormat="false" ht="15" hidden="false" customHeight="false" outlineLevel="0" collapsed="false">
      <c r="A20" s="41" t="str">
        <f aca="false">IF(LOTS!$A10="","",LOTS!$A10)</f>
        <v>301</v>
      </c>
      <c r="B20" s="42" t="n">
        <f aca="false">IF(OR($A20="",B$14=""),0,SUMIFS(MVT_NET,MVT_LOT,$A20,MVT_EMPL,B$14))</f>
        <v>200</v>
      </c>
      <c r="C20" s="42" t="n">
        <f aca="false">IF(OR($A20="",C$14=""),0,SUMIFS(MVT_NET,MVT_LOT,$A20,MVT_EMPL,C$14))</f>
        <v>0</v>
      </c>
      <c r="D20" s="42" t="n">
        <f aca="false">IF(OR($A20="",D$14=""),0,SUMIFS(MVT_NET,MVT_LOT,$A20,MVT_EMPL,D$14))</f>
        <v>0</v>
      </c>
      <c r="E20" s="42" t="n">
        <f aca="false">IF(OR($A20="",E$14=""),0,SUMIFS(MVT_NET,MVT_LOT,$A20,MVT_EMPL,E$14))</f>
        <v>0</v>
      </c>
      <c r="F20" s="42" t="n">
        <f aca="false">IF(OR($A20="",F$14=""),0,SUMIFS(MVT_NET,MVT_LOT,$A20,MVT_EMPL,F$14))</f>
        <v>0</v>
      </c>
      <c r="G20" s="42" t="n">
        <f aca="false">IF(OR($A20="",G$14=""),0,SUMIFS(MVT_NET,MVT_LOT,$A20,MVT_EMPL,G$14))</f>
        <v>0</v>
      </c>
      <c r="H20" s="42" t="n">
        <f aca="false">IF(OR($A20="",H$14=""),0,SUMIFS(MVT_NET,MVT_LOT,$A20,MVT_EMPL,H$14))</f>
        <v>0</v>
      </c>
      <c r="I20" s="42" t="n">
        <f aca="false">IF(OR($A20="",I$14=""),0,SUMIFS(MVT_NET,MVT_LOT,$A20,MVT_EMPL,I$14))</f>
        <v>0</v>
      </c>
      <c r="J20" s="42" t="n">
        <f aca="false">IF(OR($A20="",J$14=""),0,SUMIFS(MVT_NET,MVT_LOT,$A20,MVT_EMPL,J$14))</f>
        <v>0</v>
      </c>
      <c r="K20" s="42" t="n">
        <f aca="false">IF(OR($A20="",K$14=""),0,SUMIFS(MVT_NET,MVT_LOT,$A20,MVT_EMPL,K$14))</f>
        <v>0</v>
      </c>
      <c r="L20" s="42" t="n">
        <f aca="false">IF(OR($A20="",L$14=""),0,SUMIFS(MVT_NET,MVT_LOT,$A20,MVT_EMPL,L$14))</f>
        <v>0</v>
      </c>
      <c r="M20" s="42" t="n">
        <f aca="false">IF(OR($A20="",M$14=""),0,SUMIFS(MVT_NET,MVT_LOT,$A20,MVT_EMPL,M$14))</f>
        <v>0</v>
      </c>
      <c r="N20" s="43" t="n">
        <f aca="false">SUM($B20:$M20)</f>
        <v>200</v>
      </c>
      <c r="O20" s="44" t="n">
        <f aca="false">SUMPRODUCT(($B$13:$M$13="INTERNE")*$B20:$M20)</f>
        <v>200</v>
      </c>
      <c r="P20" s="44" t="n">
        <f aca="false">SUMPRODUCT(($B$13:$M$13="EXTERNE")*$B20:$M20)</f>
        <v>0</v>
      </c>
      <c r="Q20" s="44" t="n">
        <f aca="false">IF($A20="",0,SUMIFS(ST_ENCOURS,ST_LOT,$A20))</f>
        <v>200</v>
      </c>
      <c r="R20" s="45" t="str">
        <f aca="false">IF($A20="","",IFERROR(INDEX(LOT_EXTE,MATCH($A20,LOT_KEY,0)),""))</f>
        <v>L-EXT-301</v>
      </c>
      <c r="S20" s="45" t="str">
        <f aca="false">IF($A20="","",IFERROR(INDEX(LOT_DECISION,MATCH($A20,LOT_KEY,0)),""))</f>
        <v>BLOQUER</v>
      </c>
      <c r="T20" s="44" t="n">
        <f aca="false">IF($S20="BLOQUER",MAX(0,$N20),0)</f>
        <v>200</v>
      </c>
      <c r="U20" s="46" t="str">
        <f aca="false">IF($A20="","",IF($N20&lt;-0.001,"STOCK NEGATIF - ANOMALIE",IF($T20&gt;0,"BLOQUE QUALITE","")))</f>
        <v>BLOQUE QUALITE</v>
      </c>
    </row>
    <row r="21" customFormat="false" ht="15" hidden="false" customHeight="false" outlineLevel="0" collapsed="false">
      <c r="A21" s="41" t="str">
        <f aca="false">IF(LOTS!$A11="","",LOTS!$A11)</f>
        <v>302</v>
      </c>
      <c r="B21" s="42" t="n">
        <f aca="false">IF(OR($A21="",B$14=""),0,SUMIFS(MVT_NET,MVT_LOT,$A21,MVT_EMPL,B$14))</f>
        <v>975</v>
      </c>
      <c r="C21" s="42" t="n">
        <f aca="false">IF(OR($A21="",C$14=""),0,SUMIFS(MVT_NET,MVT_LOT,$A21,MVT_EMPL,C$14))</f>
        <v>0</v>
      </c>
      <c r="D21" s="42" t="n">
        <f aca="false">IF(OR($A21="",D$14=""),0,SUMIFS(MVT_NET,MVT_LOT,$A21,MVT_EMPL,D$14))</f>
        <v>0</v>
      </c>
      <c r="E21" s="42" t="n">
        <f aca="false">IF(OR($A21="",E$14=""),0,SUMIFS(MVT_NET,MVT_LOT,$A21,MVT_EMPL,E$14))</f>
        <v>0</v>
      </c>
      <c r="F21" s="42" t="n">
        <f aca="false">IF(OR($A21="",F$14=""),0,SUMIFS(MVT_NET,MVT_LOT,$A21,MVT_EMPL,F$14))</f>
        <v>0</v>
      </c>
      <c r="G21" s="42" t="n">
        <f aca="false">IF(OR($A21="",G$14=""),0,SUMIFS(MVT_NET,MVT_LOT,$A21,MVT_EMPL,G$14))</f>
        <v>0</v>
      </c>
      <c r="H21" s="42" t="n">
        <f aca="false">IF(OR($A21="",H$14=""),0,SUMIFS(MVT_NET,MVT_LOT,$A21,MVT_EMPL,H$14))</f>
        <v>0</v>
      </c>
      <c r="I21" s="42" t="n">
        <f aca="false">IF(OR($A21="",I$14=""),0,SUMIFS(MVT_NET,MVT_LOT,$A21,MVT_EMPL,I$14))</f>
        <v>0</v>
      </c>
      <c r="J21" s="42" t="n">
        <f aca="false">IF(OR($A21="",J$14=""),0,SUMIFS(MVT_NET,MVT_LOT,$A21,MVT_EMPL,J$14))</f>
        <v>0</v>
      </c>
      <c r="K21" s="42" t="n">
        <f aca="false">IF(OR($A21="",K$14=""),0,SUMIFS(MVT_NET,MVT_LOT,$A21,MVT_EMPL,K$14))</f>
        <v>0</v>
      </c>
      <c r="L21" s="42" t="n">
        <f aca="false">IF(OR($A21="",L$14=""),0,SUMIFS(MVT_NET,MVT_LOT,$A21,MVT_EMPL,L$14))</f>
        <v>0</v>
      </c>
      <c r="M21" s="42" t="n">
        <f aca="false">IF(OR($A21="",M$14=""),0,SUMIFS(MVT_NET,MVT_LOT,$A21,MVT_EMPL,M$14))</f>
        <v>0</v>
      </c>
      <c r="N21" s="43" t="n">
        <f aca="false">SUM($B21:$M21)</f>
        <v>975</v>
      </c>
      <c r="O21" s="44" t="n">
        <f aca="false">SUMPRODUCT(($B$13:$M$13="INTERNE")*$B21:$M21)</f>
        <v>975</v>
      </c>
      <c r="P21" s="44" t="n">
        <f aca="false">SUMPRODUCT(($B$13:$M$13="EXTERNE")*$B21:$M21)</f>
        <v>0</v>
      </c>
      <c r="Q21" s="44" t="n">
        <f aca="false">IF($A21="",0,SUMIFS(ST_ENCOURS,ST_LOT,$A21))</f>
        <v>0</v>
      </c>
      <c r="R21" s="45" t="str">
        <f aca="false">IF($A21="","",IFERROR(INDEX(LOT_EXTE,MATCH($A21,LOT_KEY,0)),""))</f>
        <v>L-EXT-302</v>
      </c>
      <c r="S21" s="45" t="str">
        <f aca="false">IF($A21="","",IFERROR(INDEX(LOT_DECISION,MATCH($A21,LOT_KEY,0)),""))</f>
        <v/>
      </c>
      <c r="T21" s="44" t="n">
        <f aca="false">IF($S21="BLOQUER",MAX(0,$N21),0)</f>
        <v>0</v>
      </c>
      <c r="U21" s="46" t="str">
        <f aca="false">IF($A21="","",IF($N21&lt;-0.001,"STOCK NEGATIF - ANOMALIE",IF($T21&gt;0,"BLOQUE QUALITE","")))</f>
        <v/>
      </c>
    </row>
    <row r="22" customFormat="false" ht="15" hidden="false" customHeight="false" outlineLevel="0" collapsed="false">
      <c r="A22" s="41" t="str">
        <f aca="false">IF(LOTS!$A12="","",LOTS!$A12)</f>
        <v>255-HG</v>
      </c>
      <c r="B22" s="42" t="n">
        <f aca="false">IF(OR($A22="",B$14=""),0,SUMIFS(MVT_NET,MVT_LOT,$A22,MVT_EMPL,B$14))</f>
        <v>300</v>
      </c>
      <c r="C22" s="42" t="n">
        <f aca="false">IF(OR($A22="",C$14=""),0,SUMIFS(MVT_NET,MVT_LOT,$A22,MVT_EMPL,C$14))</f>
        <v>0</v>
      </c>
      <c r="D22" s="42" t="n">
        <f aca="false">IF(OR($A22="",D$14=""),0,SUMIFS(MVT_NET,MVT_LOT,$A22,MVT_EMPL,D$14))</f>
        <v>0</v>
      </c>
      <c r="E22" s="42" t="n">
        <f aca="false">IF(OR($A22="",E$14=""),0,SUMIFS(MVT_NET,MVT_LOT,$A22,MVT_EMPL,E$14))</f>
        <v>0</v>
      </c>
      <c r="F22" s="42" t="n">
        <f aca="false">IF(OR($A22="",F$14=""),0,SUMIFS(MVT_NET,MVT_LOT,$A22,MVT_EMPL,F$14))</f>
        <v>0</v>
      </c>
      <c r="G22" s="42" t="n">
        <f aca="false">IF(OR($A22="",G$14=""),0,SUMIFS(MVT_NET,MVT_LOT,$A22,MVT_EMPL,G$14))</f>
        <v>0</v>
      </c>
      <c r="H22" s="42" t="n">
        <f aca="false">IF(OR($A22="",H$14=""),0,SUMIFS(MVT_NET,MVT_LOT,$A22,MVT_EMPL,H$14))</f>
        <v>0</v>
      </c>
      <c r="I22" s="42" t="n">
        <f aca="false">IF(OR($A22="",I$14=""),0,SUMIFS(MVT_NET,MVT_LOT,$A22,MVT_EMPL,I$14))</f>
        <v>0</v>
      </c>
      <c r="J22" s="42" t="n">
        <f aca="false">IF(OR($A22="",J$14=""),0,SUMIFS(MVT_NET,MVT_LOT,$A22,MVT_EMPL,J$14))</f>
        <v>0</v>
      </c>
      <c r="K22" s="42" t="n">
        <f aca="false">IF(OR($A22="",K$14=""),0,SUMIFS(MVT_NET,MVT_LOT,$A22,MVT_EMPL,K$14))</f>
        <v>0</v>
      </c>
      <c r="L22" s="42" t="n">
        <f aca="false">IF(OR($A22="",L$14=""),0,SUMIFS(MVT_NET,MVT_LOT,$A22,MVT_EMPL,L$14))</f>
        <v>0</v>
      </c>
      <c r="M22" s="42" t="n">
        <f aca="false">IF(OR($A22="",M$14=""),0,SUMIFS(MVT_NET,MVT_LOT,$A22,MVT_EMPL,M$14))</f>
        <v>0</v>
      </c>
      <c r="N22" s="43" t="n">
        <f aca="false">SUM($B22:$M22)</f>
        <v>300</v>
      </c>
      <c r="O22" s="44" t="n">
        <f aca="false">SUMPRODUCT(($B$13:$M$13="INTERNE")*$B22:$M22)</f>
        <v>300</v>
      </c>
      <c r="P22" s="44" t="n">
        <f aca="false">SUMPRODUCT(($B$13:$M$13="EXTERNE")*$B22:$M22)</f>
        <v>0</v>
      </c>
      <c r="Q22" s="44" t="n">
        <f aca="false">IF($A22="",0,SUMIFS(ST_ENCOURS,ST_LOT,$A22))</f>
        <v>0</v>
      </c>
      <c r="R22" s="45" t="str">
        <f aca="false">IF($A22="","",IFERROR(INDEX(LOT_EXTE,MATCH($A22,LOT_KEY,0)),""))</f>
        <v>L-EXT-255</v>
      </c>
      <c r="S22" s="45" t="str">
        <f aca="false">IF($A22="","",IFERROR(INDEX(LOT_DECISION,MATCH($A22,LOT_KEY,0)),""))</f>
        <v/>
      </c>
      <c r="T22" s="44" t="n">
        <f aca="false">IF($S22="BLOQUER",MAX(0,$N22),0)</f>
        <v>0</v>
      </c>
      <c r="U22" s="46" t="str">
        <f aca="false">IF($A22="","",IF($N22&lt;-0.001,"STOCK NEGATIF - ANOMALIE",IF($T22&gt;0,"BLOQUE QUALITE","")))</f>
        <v/>
      </c>
    </row>
    <row r="23" customFormat="false" ht="15" hidden="false" customHeight="false" outlineLevel="0" collapsed="false">
      <c r="A23" s="41" t="str">
        <f aca="false">IF(LOTS!$A13="","",LOTS!$A13)</f>
        <v>255-HGT</v>
      </c>
      <c r="B23" s="42" t="n">
        <f aca="false">IF(OR($A23="",B$14=""),0,SUMIFS(MVT_NET,MVT_LOT,$A23,MVT_EMPL,B$14))</f>
        <v>0</v>
      </c>
      <c r="C23" s="42" t="n">
        <f aca="false">IF(OR($A23="",C$14=""),0,SUMIFS(MVT_NET,MVT_LOT,$A23,MVT_EMPL,C$14))</f>
        <v>0</v>
      </c>
      <c r="D23" s="42" t="n">
        <f aca="false">IF(OR($A23="",D$14=""),0,SUMIFS(MVT_NET,MVT_LOT,$A23,MVT_EMPL,D$14))</f>
        <v>0</v>
      </c>
      <c r="E23" s="42" t="n">
        <f aca="false">IF(OR($A23="",E$14=""),0,SUMIFS(MVT_NET,MVT_LOT,$A23,MVT_EMPL,E$14))</f>
        <v>150</v>
      </c>
      <c r="F23" s="42" t="n">
        <f aca="false">IF(OR($A23="",F$14=""),0,SUMIFS(MVT_NET,MVT_LOT,$A23,MVT_EMPL,F$14))</f>
        <v>0</v>
      </c>
      <c r="G23" s="42" t="n">
        <f aca="false">IF(OR($A23="",G$14=""),0,SUMIFS(MVT_NET,MVT_LOT,$A23,MVT_EMPL,G$14))</f>
        <v>0</v>
      </c>
      <c r="H23" s="42" t="n">
        <f aca="false">IF(OR($A23="",H$14=""),0,SUMIFS(MVT_NET,MVT_LOT,$A23,MVT_EMPL,H$14))</f>
        <v>0</v>
      </c>
      <c r="I23" s="42" t="n">
        <f aca="false">IF(OR($A23="",I$14=""),0,SUMIFS(MVT_NET,MVT_LOT,$A23,MVT_EMPL,I$14))</f>
        <v>0</v>
      </c>
      <c r="J23" s="42" t="n">
        <f aca="false">IF(OR($A23="",J$14=""),0,SUMIFS(MVT_NET,MVT_LOT,$A23,MVT_EMPL,J$14))</f>
        <v>0</v>
      </c>
      <c r="K23" s="42" t="n">
        <f aca="false">IF(OR($A23="",K$14=""),0,SUMIFS(MVT_NET,MVT_LOT,$A23,MVT_EMPL,K$14))</f>
        <v>0</v>
      </c>
      <c r="L23" s="42" t="n">
        <f aca="false">IF(OR($A23="",L$14=""),0,SUMIFS(MVT_NET,MVT_LOT,$A23,MVT_EMPL,L$14))</f>
        <v>0</v>
      </c>
      <c r="M23" s="42" t="n">
        <f aca="false">IF(OR($A23="",M$14=""),0,SUMIFS(MVT_NET,MVT_LOT,$A23,MVT_EMPL,M$14))</f>
        <v>0</v>
      </c>
      <c r="N23" s="43" t="n">
        <f aca="false">SUM($B23:$M23)</f>
        <v>150</v>
      </c>
      <c r="O23" s="44" t="n">
        <f aca="false">SUMPRODUCT(($B$13:$M$13="INTERNE")*$B23:$M23)</f>
        <v>0</v>
      </c>
      <c r="P23" s="44" t="n">
        <f aca="false">SUMPRODUCT(($B$13:$M$13="EXTERNE")*$B23:$M23)</f>
        <v>150</v>
      </c>
      <c r="Q23" s="44" t="n">
        <f aca="false">IF($A23="",0,SUMIFS(ST_ENCOURS,ST_LOT,$A23))</f>
        <v>0</v>
      </c>
      <c r="R23" s="45" t="str">
        <f aca="false">IF($A23="","",IFERROR(INDEX(LOT_EXTE,MATCH($A23,LOT_KEY,0)),""))</f>
        <v>L-EXT-255</v>
      </c>
      <c r="S23" s="45" t="str">
        <f aca="false">IF($A23="","",IFERROR(INDEX(LOT_DECISION,MATCH($A23,LOT_KEY,0)),""))</f>
        <v/>
      </c>
      <c r="T23" s="44" t="n">
        <f aca="false">IF($S23="BLOQUER",MAX(0,$N23),0)</f>
        <v>0</v>
      </c>
      <c r="U23" s="46" t="str">
        <f aca="false">IF($A23="","",IF($N23&lt;-0.001,"STOCK NEGATIF - ANOMALIE",IF($T23&gt;0,"BLOQUE QUALITE","")))</f>
        <v/>
      </c>
    </row>
    <row r="24" customFormat="false" ht="15" hidden="false" customHeight="false" outlineLevel="0" collapsed="false">
      <c r="A24" s="41" t="str">
        <f aca="false">IF(LOTS!$A14="","",LOTS!$A14)</f>
        <v>300-FIL</v>
      </c>
      <c r="B24" s="42" t="n">
        <f aca="false">IF(OR($A24="",B$14=""),0,SUMIFS(MVT_NET,MVT_LOT,$A24,MVT_EMPL,B$14))</f>
        <v>590</v>
      </c>
      <c r="C24" s="42" t="n">
        <f aca="false">IF(OR($A24="",C$14=""),0,SUMIFS(MVT_NET,MVT_LOT,$A24,MVT_EMPL,C$14))</f>
        <v>0</v>
      </c>
      <c r="D24" s="42" t="n">
        <f aca="false">IF(OR($A24="",D$14=""),0,SUMIFS(MVT_NET,MVT_LOT,$A24,MVT_EMPL,D$14))</f>
        <v>0</v>
      </c>
      <c r="E24" s="42" t="n">
        <f aca="false">IF(OR($A24="",E$14=""),0,SUMIFS(MVT_NET,MVT_LOT,$A24,MVT_EMPL,E$14))</f>
        <v>0</v>
      </c>
      <c r="F24" s="42" t="n">
        <f aca="false">IF(OR($A24="",F$14=""),0,SUMIFS(MVT_NET,MVT_LOT,$A24,MVT_EMPL,F$14))</f>
        <v>0</v>
      </c>
      <c r="G24" s="42" t="n">
        <f aca="false">IF(OR($A24="",G$14=""),0,SUMIFS(MVT_NET,MVT_LOT,$A24,MVT_EMPL,G$14))</f>
        <v>0</v>
      </c>
      <c r="H24" s="42" t="n">
        <f aca="false">IF(OR($A24="",H$14=""),0,SUMIFS(MVT_NET,MVT_LOT,$A24,MVT_EMPL,H$14))</f>
        <v>0</v>
      </c>
      <c r="I24" s="42" t="n">
        <f aca="false">IF(OR($A24="",I$14=""),0,SUMIFS(MVT_NET,MVT_LOT,$A24,MVT_EMPL,I$14))</f>
        <v>0</v>
      </c>
      <c r="J24" s="42" t="n">
        <f aca="false">IF(OR($A24="",J$14=""),0,SUMIFS(MVT_NET,MVT_LOT,$A24,MVT_EMPL,J$14))</f>
        <v>0</v>
      </c>
      <c r="K24" s="42" t="n">
        <f aca="false">IF(OR($A24="",K$14=""),0,SUMIFS(MVT_NET,MVT_LOT,$A24,MVT_EMPL,K$14))</f>
        <v>0</v>
      </c>
      <c r="L24" s="42" t="n">
        <f aca="false">IF(OR($A24="",L$14=""),0,SUMIFS(MVT_NET,MVT_LOT,$A24,MVT_EMPL,L$14))</f>
        <v>0</v>
      </c>
      <c r="M24" s="42" t="n">
        <f aca="false">IF(OR($A24="",M$14=""),0,SUMIFS(MVT_NET,MVT_LOT,$A24,MVT_EMPL,M$14))</f>
        <v>0</v>
      </c>
      <c r="N24" s="43" t="n">
        <f aca="false">SUM($B24:$M24)</f>
        <v>590</v>
      </c>
      <c r="O24" s="44" t="n">
        <f aca="false">SUMPRODUCT(($B$13:$M$13="INTERNE")*$B24:$M24)</f>
        <v>590</v>
      </c>
      <c r="P24" s="44" t="n">
        <f aca="false">SUMPRODUCT(($B$13:$M$13="EXTERNE")*$B24:$M24)</f>
        <v>0</v>
      </c>
      <c r="Q24" s="44" t="n">
        <f aca="false">IF($A24="",0,SUMIFS(ST_ENCOURS,ST_LOT,$A24))</f>
        <v>0</v>
      </c>
      <c r="R24" s="45" t="str">
        <f aca="false">IF($A24="","",IFERROR(INDEX(LOT_EXTE,MATCH($A24,LOT_KEY,0)),""))</f>
        <v>L-EXT-300</v>
      </c>
      <c r="S24" s="45" t="str">
        <f aca="false">IF($A24="","",IFERROR(INDEX(LOT_DECISION,MATCH($A24,LOT_KEY,0)),""))</f>
        <v/>
      </c>
      <c r="T24" s="44" t="n">
        <f aca="false">IF($S24="BLOQUER",MAX(0,$N24),0)</f>
        <v>0</v>
      </c>
      <c r="U24" s="46" t="str">
        <f aca="false">IF($A24="","",IF($N24&lt;-0.001,"STOCK NEGATIF - ANOMALIE",IF($T24&gt;0,"BLOQUE QUALITE","")))</f>
        <v/>
      </c>
    </row>
    <row r="25" customFormat="false" ht="15" hidden="false" customHeight="false" outlineLevel="0" collapsed="false">
      <c r="A25" s="41" t="str">
        <f aca="false">IF(LOTS!$A15="","",LOTS!$A15)</f>
        <v/>
      </c>
      <c r="B25" s="42" t="n">
        <f aca="false">IF(OR($A25="",B$14=""),0,SUMIFS(MVT_NET,MVT_LOT,$A25,MVT_EMPL,B$14))</f>
        <v>0</v>
      </c>
      <c r="C25" s="42" t="n">
        <f aca="false">IF(OR($A25="",C$14=""),0,SUMIFS(MVT_NET,MVT_LOT,$A25,MVT_EMPL,C$14))</f>
        <v>0</v>
      </c>
      <c r="D25" s="42" t="n">
        <f aca="false">IF(OR($A25="",D$14=""),0,SUMIFS(MVT_NET,MVT_LOT,$A25,MVT_EMPL,D$14))</f>
        <v>0</v>
      </c>
      <c r="E25" s="42" t="n">
        <f aca="false">IF(OR($A25="",E$14=""),0,SUMIFS(MVT_NET,MVT_LOT,$A25,MVT_EMPL,E$14))</f>
        <v>0</v>
      </c>
      <c r="F25" s="42" t="n">
        <f aca="false">IF(OR($A25="",F$14=""),0,SUMIFS(MVT_NET,MVT_LOT,$A25,MVT_EMPL,F$14))</f>
        <v>0</v>
      </c>
      <c r="G25" s="42" t="n">
        <f aca="false">IF(OR($A25="",G$14=""),0,SUMIFS(MVT_NET,MVT_LOT,$A25,MVT_EMPL,G$14))</f>
        <v>0</v>
      </c>
      <c r="H25" s="42" t="n">
        <f aca="false">IF(OR($A25="",H$14=""),0,SUMIFS(MVT_NET,MVT_LOT,$A25,MVT_EMPL,H$14))</f>
        <v>0</v>
      </c>
      <c r="I25" s="42" t="n">
        <f aca="false">IF(OR($A25="",I$14=""),0,SUMIFS(MVT_NET,MVT_LOT,$A25,MVT_EMPL,I$14))</f>
        <v>0</v>
      </c>
      <c r="J25" s="42" t="n">
        <f aca="false">IF(OR($A25="",J$14=""),0,SUMIFS(MVT_NET,MVT_LOT,$A25,MVT_EMPL,J$14))</f>
        <v>0</v>
      </c>
      <c r="K25" s="42" t="n">
        <f aca="false">IF(OR($A25="",K$14=""),0,SUMIFS(MVT_NET,MVT_LOT,$A25,MVT_EMPL,K$14))</f>
        <v>0</v>
      </c>
      <c r="L25" s="42" t="n">
        <f aca="false">IF(OR($A25="",L$14=""),0,SUMIFS(MVT_NET,MVT_LOT,$A25,MVT_EMPL,L$14))</f>
        <v>0</v>
      </c>
      <c r="M25" s="42" t="n">
        <f aca="false">IF(OR($A25="",M$14=""),0,SUMIFS(MVT_NET,MVT_LOT,$A25,MVT_EMPL,M$14))</f>
        <v>0</v>
      </c>
      <c r="N25" s="43" t="n">
        <f aca="false">SUM($B25:$M25)</f>
        <v>0</v>
      </c>
      <c r="O25" s="44" t="n">
        <f aca="false">SUMPRODUCT(($B$13:$M$13="INTERNE")*$B25:$M25)</f>
        <v>0</v>
      </c>
      <c r="P25" s="44" t="n">
        <f aca="false">SUMPRODUCT(($B$13:$M$13="EXTERNE")*$B25:$M25)</f>
        <v>0</v>
      </c>
      <c r="Q25" s="44" t="n">
        <f aca="false">IF($A25="",0,SUMIFS(ST_ENCOURS,ST_LOT,$A25))</f>
        <v>0</v>
      </c>
      <c r="R25" s="45" t="str">
        <f aca="false">IF($A25="","",IFERROR(INDEX(LOT_EXTE,MATCH($A25,LOT_KEY,0)),""))</f>
        <v/>
      </c>
      <c r="S25" s="45" t="str">
        <f aca="false">IF($A25="","",IFERROR(INDEX(LOT_DECISION,MATCH($A25,LOT_KEY,0)),""))</f>
        <v/>
      </c>
      <c r="T25" s="44" t="n">
        <f aca="false">IF($S25="BLOQUER",MAX(0,$N25),0)</f>
        <v>0</v>
      </c>
      <c r="U25" s="46" t="str">
        <f aca="false">IF($A25="","",IF($N25&lt;-0.001,"STOCK NEGATIF - ANOMALIE",IF($T25&gt;0,"BLOQUE QUALITE","")))</f>
        <v/>
      </c>
    </row>
    <row r="26" customFormat="false" ht="15" hidden="false" customHeight="false" outlineLevel="0" collapsed="false">
      <c r="A26" s="41" t="str">
        <f aca="false">IF(LOTS!$A16="","",LOTS!$A16)</f>
        <v/>
      </c>
      <c r="B26" s="42" t="n">
        <f aca="false">IF(OR($A26="",B$14=""),0,SUMIFS(MVT_NET,MVT_LOT,$A26,MVT_EMPL,B$14))</f>
        <v>0</v>
      </c>
      <c r="C26" s="42" t="n">
        <f aca="false">IF(OR($A26="",C$14=""),0,SUMIFS(MVT_NET,MVT_LOT,$A26,MVT_EMPL,C$14))</f>
        <v>0</v>
      </c>
      <c r="D26" s="42" t="n">
        <f aca="false">IF(OR($A26="",D$14=""),0,SUMIFS(MVT_NET,MVT_LOT,$A26,MVT_EMPL,D$14))</f>
        <v>0</v>
      </c>
      <c r="E26" s="42" t="n">
        <f aca="false">IF(OR($A26="",E$14=""),0,SUMIFS(MVT_NET,MVT_LOT,$A26,MVT_EMPL,E$14))</f>
        <v>0</v>
      </c>
      <c r="F26" s="42" t="n">
        <f aca="false">IF(OR($A26="",F$14=""),0,SUMIFS(MVT_NET,MVT_LOT,$A26,MVT_EMPL,F$14))</f>
        <v>0</v>
      </c>
      <c r="G26" s="42" t="n">
        <f aca="false">IF(OR($A26="",G$14=""),0,SUMIFS(MVT_NET,MVT_LOT,$A26,MVT_EMPL,G$14))</f>
        <v>0</v>
      </c>
      <c r="H26" s="42" t="n">
        <f aca="false">IF(OR($A26="",H$14=""),0,SUMIFS(MVT_NET,MVT_LOT,$A26,MVT_EMPL,H$14))</f>
        <v>0</v>
      </c>
      <c r="I26" s="42" t="n">
        <f aca="false">IF(OR($A26="",I$14=""),0,SUMIFS(MVT_NET,MVT_LOT,$A26,MVT_EMPL,I$14))</f>
        <v>0</v>
      </c>
      <c r="J26" s="42" t="n">
        <f aca="false">IF(OR($A26="",J$14=""),0,SUMIFS(MVT_NET,MVT_LOT,$A26,MVT_EMPL,J$14))</f>
        <v>0</v>
      </c>
      <c r="K26" s="42" t="n">
        <f aca="false">IF(OR($A26="",K$14=""),0,SUMIFS(MVT_NET,MVT_LOT,$A26,MVT_EMPL,K$14))</f>
        <v>0</v>
      </c>
      <c r="L26" s="42" t="n">
        <f aca="false">IF(OR($A26="",L$14=""),0,SUMIFS(MVT_NET,MVT_LOT,$A26,MVT_EMPL,L$14))</f>
        <v>0</v>
      </c>
      <c r="M26" s="42" t="n">
        <f aca="false">IF(OR($A26="",M$14=""),0,SUMIFS(MVT_NET,MVT_LOT,$A26,MVT_EMPL,M$14))</f>
        <v>0</v>
      </c>
      <c r="N26" s="43" t="n">
        <f aca="false">SUM($B26:$M26)</f>
        <v>0</v>
      </c>
      <c r="O26" s="44" t="n">
        <f aca="false">SUMPRODUCT(($B$13:$M$13="INTERNE")*$B26:$M26)</f>
        <v>0</v>
      </c>
      <c r="P26" s="44" t="n">
        <f aca="false">SUMPRODUCT(($B$13:$M$13="EXTERNE")*$B26:$M26)</f>
        <v>0</v>
      </c>
      <c r="Q26" s="44" t="n">
        <f aca="false">IF($A26="",0,SUMIFS(ST_ENCOURS,ST_LOT,$A26))</f>
        <v>0</v>
      </c>
      <c r="R26" s="45" t="str">
        <f aca="false">IF($A26="","",IFERROR(INDEX(LOT_EXTE,MATCH($A26,LOT_KEY,0)),""))</f>
        <v/>
      </c>
      <c r="S26" s="45" t="str">
        <f aca="false">IF($A26="","",IFERROR(INDEX(LOT_DECISION,MATCH($A26,LOT_KEY,0)),""))</f>
        <v/>
      </c>
      <c r="T26" s="44" t="n">
        <f aca="false">IF($S26="BLOQUER",MAX(0,$N26),0)</f>
        <v>0</v>
      </c>
      <c r="U26" s="46" t="str">
        <f aca="false">IF($A26="","",IF($N26&lt;-0.001,"STOCK NEGATIF - ANOMALIE",IF($T26&gt;0,"BLOQUE QUALITE","")))</f>
        <v/>
      </c>
    </row>
    <row r="27" customFormat="false" ht="15" hidden="false" customHeight="false" outlineLevel="0" collapsed="false">
      <c r="A27" s="41" t="str">
        <f aca="false">IF(LOTS!$A17="","",LOTS!$A17)</f>
        <v/>
      </c>
      <c r="B27" s="42" t="n">
        <f aca="false">IF(OR($A27="",B$14=""),0,SUMIFS(MVT_NET,MVT_LOT,$A27,MVT_EMPL,B$14))</f>
        <v>0</v>
      </c>
      <c r="C27" s="42" t="n">
        <f aca="false">IF(OR($A27="",C$14=""),0,SUMIFS(MVT_NET,MVT_LOT,$A27,MVT_EMPL,C$14))</f>
        <v>0</v>
      </c>
      <c r="D27" s="42" t="n">
        <f aca="false">IF(OR($A27="",D$14=""),0,SUMIFS(MVT_NET,MVT_LOT,$A27,MVT_EMPL,D$14))</f>
        <v>0</v>
      </c>
      <c r="E27" s="42" t="n">
        <f aca="false">IF(OR($A27="",E$14=""),0,SUMIFS(MVT_NET,MVT_LOT,$A27,MVT_EMPL,E$14))</f>
        <v>0</v>
      </c>
      <c r="F27" s="42" t="n">
        <f aca="false">IF(OR($A27="",F$14=""),0,SUMIFS(MVT_NET,MVT_LOT,$A27,MVT_EMPL,F$14))</f>
        <v>0</v>
      </c>
      <c r="G27" s="42" t="n">
        <f aca="false">IF(OR($A27="",G$14=""),0,SUMIFS(MVT_NET,MVT_LOT,$A27,MVT_EMPL,G$14))</f>
        <v>0</v>
      </c>
      <c r="H27" s="42" t="n">
        <f aca="false">IF(OR($A27="",H$14=""),0,SUMIFS(MVT_NET,MVT_LOT,$A27,MVT_EMPL,H$14))</f>
        <v>0</v>
      </c>
      <c r="I27" s="42" t="n">
        <f aca="false">IF(OR($A27="",I$14=""),0,SUMIFS(MVT_NET,MVT_LOT,$A27,MVT_EMPL,I$14))</f>
        <v>0</v>
      </c>
      <c r="J27" s="42" t="n">
        <f aca="false">IF(OR($A27="",J$14=""),0,SUMIFS(MVT_NET,MVT_LOT,$A27,MVT_EMPL,J$14))</f>
        <v>0</v>
      </c>
      <c r="K27" s="42" t="n">
        <f aca="false">IF(OR($A27="",K$14=""),0,SUMIFS(MVT_NET,MVT_LOT,$A27,MVT_EMPL,K$14))</f>
        <v>0</v>
      </c>
      <c r="L27" s="42" t="n">
        <f aca="false">IF(OR($A27="",L$14=""),0,SUMIFS(MVT_NET,MVT_LOT,$A27,MVT_EMPL,L$14))</f>
        <v>0</v>
      </c>
      <c r="M27" s="42" t="n">
        <f aca="false">IF(OR($A27="",M$14=""),0,SUMIFS(MVT_NET,MVT_LOT,$A27,MVT_EMPL,M$14))</f>
        <v>0</v>
      </c>
      <c r="N27" s="43" t="n">
        <f aca="false">SUM($B27:$M27)</f>
        <v>0</v>
      </c>
      <c r="O27" s="44" t="n">
        <f aca="false">SUMPRODUCT(($B$13:$M$13="INTERNE")*$B27:$M27)</f>
        <v>0</v>
      </c>
      <c r="P27" s="44" t="n">
        <f aca="false">SUMPRODUCT(($B$13:$M$13="EXTERNE")*$B27:$M27)</f>
        <v>0</v>
      </c>
      <c r="Q27" s="44" t="n">
        <f aca="false">IF($A27="",0,SUMIFS(ST_ENCOURS,ST_LOT,$A27))</f>
        <v>0</v>
      </c>
      <c r="R27" s="45" t="str">
        <f aca="false">IF($A27="","",IFERROR(INDEX(LOT_EXTE,MATCH($A27,LOT_KEY,0)),""))</f>
        <v/>
      </c>
      <c r="S27" s="45" t="str">
        <f aca="false">IF($A27="","",IFERROR(INDEX(LOT_DECISION,MATCH($A27,LOT_KEY,0)),""))</f>
        <v/>
      </c>
      <c r="T27" s="44" t="n">
        <f aca="false">IF($S27="BLOQUER",MAX(0,$N27),0)</f>
        <v>0</v>
      </c>
      <c r="U27" s="46" t="str">
        <f aca="false">IF($A27="","",IF($N27&lt;-0.001,"STOCK NEGATIF - ANOMALIE",IF($T27&gt;0,"BLOQUE QUALITE","")))</f>
        <v/>
      </c>
    </row>
    <row r="28" customFormat="false" ht="15" hidden="false" customHeight="false" outlineLevel="0" collapsed="false">
      <c r="A28" s="41" t="str">
        <f aca="false">IF(LOTS!$A18="","",LOTS!$A18)</f>
        <v/>
      </c>
      <c r="B28" s="42" t="n">
        <f aca="false">IF(OR($A28="",B$14=""),0,SUMIFS(MVT_NET,MVT_LOT,$A28,MVT_EMPL,B$14))</f>
        <v>0</v>
      </c>
      <c r="C28" s="42" t="n">
        <f aca="false">IF(OR($A28="",C$14=""),0,SUMIFS(MVT_NET,MVT_LOT,$A28,MVT_EMPL,C$14))</f>
        <v>0</v>
      </c>
      <c r="D28" s="42" t="n">
        <f aca="false">IF(OR($A28="",D$14=""),0,SUMIFS(MVT_NET,MVT_LOT,$A28,MVT_EMPL,D$14))</f>
        <v>0</v>
      </c>
      <c r="E28" s="42" t="n">
        <f aca="false">IF(OR($A28="",E$14=""),0,SUMIFS(MVT_NET,MVT_LOT,$A28,MVT_EMPL,E$14))</f>
        <v>0</v>
      </c>
      <c r="F28" s="42" t="n">
        <f aca="false">IF(OR($A28="",F$14=""),0,SUMIFS(MVT_NET,MVT_LOT,$A28,MVT_EMPL,F$14))</f>
        <v>0</v>
      </c>
      <c r="G28" s="42" t="n">
        <f aca="false">IF(OR($A28="",G$14=""),0,SUMIFS(MVT_NET,MVT_LOT,$A28,MVT_EMPL,G$14))</f>
        <v>0</v>
      </c>
      <c r="H28" s="42" t="n">
        <f aca="false">IF(OR($A28="",H$14=""),0,SUMIFS(MVT_NET,MVT_LOT,$A28,MVT_EMPL,H$14))</f>
        <v>0</v>
      </c>
      <c r="I28" s="42" t="n">
        <f aca="false">IF(OR($A28="",I$14=""),0,SUMIFS(MVT_NET,MVT_LOT,$A28,MVT_EMPL,I$14))</f>
        <v>0</v>
      </c>
      <c r="J28" s="42" t="n">
        <f aca="false">IF(OR($A28="",J$14=""),0,SUMIFS(MVT_NET,MVT_LOT,$A28,MVT_EMPL,J$14))</f>
        <v>0</v>
      </c>
      <c r="K28" s="42" t="n">
        <f aca="false">IF(OR($A28="",K$14=""),0,SUMIFS(MVT_NET,MVT_LOT,$A28,MVT_EMPL,K$14))</f>
        <v>0</v>
      </c>
      <c r="L28" s="42" t="n">
        <f aca="false">IF(OR($A28="",L$14=""),0,SUMIFS(MVT_NET,MVT_LOT,$A28,MVT_EMPL,L$14))</f>
        <v>0</v>
      </c>
      <c r="M28" s="42" t="n">
        <f aca="false">IF(OR($A28="",M$14=""),0,SUMIFS(MVT_NET,MVT_LOT,$A28,MVT_EMPL,M$14))</f>
        <v>0</v>
      </c>
      <c r="N28" s="43" t="n">
        <f aca="false">SUM($B28:$M28)</f>
        <v>0</v>
      </c>
      <c r="O28" s="44" t="n">
        <f aca="false">SUMPRODUCT(($B$13:$M$13="INTERNE")*$B28:$M28)</f>
        <v>0</v>
      </c>
      <c r="P28" s="44" t="n">
        <f aca="false">SUMPRODUCT(($B$13:$M$13="EXTERNE")*$B28:$M28)</f>
        <v>0</v>
      </c>
      <c r="Q28" s="44" t="n">
        <f aca="false">IF($A28="",0,SUMIFS(ST_ENCOURS,ST_LOT,$A28))</f>
        <v>0</v>
      </c>
      <c r="R28" s="45" t="str">
        <f aca="false">IF($A28="","",IFERROR(INDEX(LOT_EXTE,MATCH($A28,LOT_KEY,0)),""))</f>
        <v/>
      </c>
      <c r="S28" s="45" t="str">
        <f aca="false">IF($A28="","",IFERROR(INDEX(LOT_DECISION,MATCH($A28,LOT_KEY,0)),""))</f>
        <v/>
      </c>
      <c r="T28" s="44" t="n">
        <f aca="false">IF($S28="BLOQUER",MAX(0,$N28),0)</f>
        <v>0</v>
      </c>
      <c r="U28" s="46" t="str">
        <f aca="false">IF($A28="","",IF($N28&lt;-0.001,"STOCK NEGATIF - ANOMALIE",IF($T28&gt;0,"BLOQUE QUALITE","")))</f>
        <v/>
      </c>
    </row>
    <row r="29" customFormat="false" ht="15" hidden="false" customHeight="false" outlineLevel="0" collapsed="false">
      <c r="A29" s="41" t="str">
        <f aca="false">IF(LOTS!$A19="","",LOTS!$A19)</f>
        <v/>
      </c>
      <c r="B29" s="42" t="n">
        <f aca="false">IF(OR($A29="",B$14=""),0,SUMIFS(MVT_NET,MVT_LOT,$A29,MVT_EMPL,B$14))</f>
        <v>0</v>
      </c>
      <c r="C29" s="42" t="n">
        <f aca="false">IF(OR($A29="",C$14=""),0,SUMIFS(MVT_NET,MVT_LOT,$A29,MVT_EMPL,C$14))</f>
        <v>0</v>
      </c>
      <c r="D29" s="42" t="n">
        <f aca="false">IF(OR($A29="",D$14=""),0,SUMIFS(MVT_NET,MVT_LOT,$A29,MVT_EMPL,D$14))</f>
        <v>0</v>
      </c>
      <c r="E29" s="42" t="n">
        <f aca="false">IF(OR($A29="",E$14=""),0,SUMIFS(MVT_NET,MVT_LOT,$A29,MVT_EMPL,E$14))</f>
        <v>0</v>
      </c>
      <c r="F29" s="42" t="n">
        <f aca="false">IF(OR($A29="",F$14=""),0,SUMIFS(MVT_NET,MVT_LOT,$A29,MVT_EMPL,F$14))</f>
        <v>0</v>
      </c>
      <c r="G29" s="42" t="n">
        <f aca="false">IF(OR($A29="",G$14=""),0,SUMIFS(MVT_NET,MVT_LOT,$A29,MVT_EMPL,G$14))</f>
        <v>0</v>
      </c>
      <c r="H29" s="42" t="n">
        <f aca="false">IF(OR($A29="",H$14=""),0,SUMIFS(MVT_NET,MVT_LOT,$A29,MVT_EMPL,H$14))</f>
        <v>0</v>
      </c>
      <c r="I29" s="42" t="n">
        <f aca="false">IF(OR($A29="",I$14=""),0,SUMIFS(MVT_NET,MVT_LOT,$A29,MVT_EMPL,I$14))</f>
        <v>0</v>
      </c>
      <c r="J29" s="42" t="n">
        <f aca="false">IF(OR($A29="",J$14=""),0,SUMIFS(MVT_NET,MVT_LOT,$A29,MVT_EMPL,J$14))</f>
        <v>0</v>
      </c>
      <c r="K29" s="42" t="n">
        <f aca="false">IF(OR($A29="",K$14=""),0,SUMIFS(MVT_NET,MVT_LOT,$A29,MVT_EMPL,K$14))</f>
        <v>0</v>
      </c>
      <c r="L29" s="42" t="n">
        <f aca="false">IF(OR($A29="",L$14=""),0,SUMIFS(MVT_NET,MVT_LOT,$A29,MVT_EMPL,L$14))</f>
        <v>0</v>
      </c>
      <c r="M29" s="42" t="n">
        <f aca="false">IF(OR($A29="",M$14=""),0,SUMIFS(MVT_NET,MVT_LOT,$A29,MVT_EMPL,M$14))</f>
        <v>0</v>
      </c>
      <c r="N29" s="43" t="n">
        <f aca="false">SUM($B29:$M29)</f>
        <v>0</v>
      </c>
      <c r="O29" s="44" t="n">
        <f aca="false">SUMPRODUCT(($B$13:$M$13="INTERNE")*$B29:$M29)</f>
        <v>0</v>
      </c>
      <c r="P29" s="44" t="n">
        <f aca="false">SUMPRODUCT(($B$13:$M$13="EXTERNE")*$B29:$M29)</f>
        <v>0</v>
      </c>
      <c r="Q29" s="44" t="n">
        <f aca="false">IF($A29="",0,SUMIFS(ST_ENCOURS,ST_LOT,$A29))</f>
        <v>0</v>
      </c>
      <c r="R29" s="45" t="str">
        <f aca="false">IF($A29="","",IFERROR(INDEX(LOT_EXTE,MATCH($A29,LOT_KEY,0)),""))</f>
        <v/>
      </c>
      <c r="S29" s="45" t="str">
        <f aca="false">IF($A29="","",IFERROR(INDEX(LOT_DECISION,MATCH($A29,LOT_KEY,0)),""))</f>
        <v/>
      </c>
      <c r="T29" s="44" t="n">
        <f aca="false">IF($S29="BLOQUER",MAX(0,$N29),0)</f>
        <v>0</v>
      </c>
      <c r="U29" s="46" t="str">
        <f aca="false">IF($A29="","",IF($N29&lt;-0.001,"STOCK NEGATIF - ANOMALIE",IF($T29&gt;0,"BLOQUE QUALITE","")))</f>
        <v/>
      </c>
    </row>
    <row r="30" customFormat="false" ht="15" hidden="false" customHeight="false" outlineLevel="0" collapsed="false">
      <c r="A30" s="41" t="str">
        <f aca="false">IF(LOTS!$A20="","",LOTS!$A20)</f>
        <v/>
      </c>
      <c r="B30" s="42" t="n">
        <f aca="false">IF(OR($A30="",B$14=""),0,SUMIFS(MVT_NET,MVT_LOT,$A30,MVT_EMPL,B$14))</f>
        <v>0</v>
      </c>
      <c r="C30" s="42" t="n">
        <f aca="false">IF(OR($A30="",C$14=""),0,SUMIFS(MVT_NET,MVT_LOT,$A30,MVT_EMPL,C$14))</f>
        <v>0</v>
      </c>
      <c r="D30" s="42" t="n">
        <f aca="false">IF(OR($A30="",D$14=""),0,SUMIFS(MVT_NET,MVT_LOT,$A30,MVT_EMPL,D$14))</f>
        <v>0</v>
      </c>
      <c r="E30" s="42" t="n">
        <f aca="false">IF(OR($A30="",E$14=""),0,SUMIFS(MVT_NET,MVT_LOT,$A30,MVT_EMPL,E$14))</f>
        <v>0</v>
      </c>
      <c r="F30" s="42" t="n">
        <f aca="false">IF(OR($A30="",F$14=""),0,SUMIFS(MVT_NET,MVT_LOT,$A30,MVT_EMPL,F$14))</f>
        <v>0</v>
      </c>
      <c r="G30" s="42" t="n">
        <f aca="false">IF(OR($A30="",G$14=""),0,SUMIFS(MVT_NET,MVT_LOT,$A30,MVT_EMPL,G$14))</f>
        <v>0</v>
      </c>
      <c r="H30" s="42" t="n">
        <f aca="false">IF(OR($A30="",H$14=""),0,SUMIFS(MVT_NET,MVT_LOT,$A30,MVT_EMPL,H$14))</f>
        <v>0</v>
      </c>
      <c r="I30" s="42" t="n">
        <f aca="false">IF(OR($A30="",I$14=""),0,SUMIFS(MVT_NET,MVT_LOT,$A30,MVT_EMPL,I$14))</f>
        <v>0</v>
      </c>
      <c r="J30" s="42" t="n">
        <f aca="false">IF(OR($A30="",J$14=""),0,SUMIFS(MVT_NET,MVT_LOT,$A30,MVT_EMPL,J$14))</f>
        <v>0</v>
      </c>
      <c r="K30" s="42" t="n">
        <f aca="false">IF(OR($A30="",K$14=""),0,SUMIFS(MVT_NET,MVT_LOT,$A30,MVT_EMPL,K$14))</f>
        <v>0</v>
      </c>
      <c r="L30" s="42" t="n">
        <f aca="false">IF(OR($A30="",L$14=""),0,SUMIFS(MVT_NET,MVT_LOT,$A30,MVT_EMPL,L$14))</f>
        <v>0</v>
      </c>
      <c r="M30" s="42" t="n">
        <f aca="false">IF(OR($A30="",M$14=""),0,SUMIFS(MVT_NET,MVT_LOT,$A30,MVT_EMPL,M$14))</f>
        <v>0</v>
      </c>
      <c r="N30" s="43" t="n">
        <f aca="false">SUM($B30:$M30)</f>
        <v>0</v>
      </c>
      <c r="O30" s="44" t="n">
        <f aca="false">SUMPRODUCT(($B$13:$M$13="INTERNE")*$B30:$M30)</f>
        <v>0</v>
      </c>
      <c r="P30" s="44" t="n">
        <f aca="false">SUMPRODUCT(($B$13:$M$13="EXTERNE")*$B30:$M30)</f>
        <v>0</v>
      </c>
      <c r="Q30" s="44" t="n">
        <f aca="false">IF($A30="",0,SUMIFS(ST_ENCOURS,ST_LOT,$A30))</f>
        <v>0</v>
      </c>
      <c r="R30" s="45" t="str">
        <f aca="false">IF($A30="","",IFERROR(INDEX(LOT_EXTE,MATCH($A30,LOT_KEY,0)),""))</f>
        <v/>
      </c>
      <c r="S30" s="45" t="str">
        <f aca="false">IF($A30="","",IFERROR(INDEX(LOT_DECISION,MATCH($A30,LOT_KEY,0)),""))</f>
        <v/>
      </c>
      <c r="T30" s="44" t="n">
        <f aca="false">IF($S30="BLOQUER",MAX(0,$N30),0)</f>
        <v>0</v>
      </c>
      <c r="U30" s="46" t="str">
        <f aca="false">IF($A30="","",IF($N30&lt;-0.001,"STOCK NEGATIF - ANOMALIE",IF($T30&gt;0,"BLOQUE QUALITE","")))</f>
        <v/>
      </c>
    </row>
    <row r="31" customFormat="false" ht="15" hidden="false" customHeight="false" outlineLevel="0" collapsed="false">
      <c r="A31" s="41" t="str">
        <f aca="false">IF(LOTS!$A21="","",LOTS!$A21)</f>
        <v/>
      </c>
      <c r="B31" s="42" t="n">
        <f aca="false">IF(OR($A31="",B$14=""),0,SUMIFS(MVT_NET,MVT_LOT,$A31,MVT_EMPL,B$14))</f>
        <v>0</v>
      </c>
      <c r="C31" s="42" t="n">
        <f aca="false">IF(OR($A31="",C$14=""),0,SUMIFS(MVT_NET,MVT_LOT,$A31,MVT_EMPL,C$14))</f>
        <v>0</v>
      </c>
      <c r="D31" s="42" t="n">
        <f aca="false">IF(OR($A31="",D$14=""),0,SUMIFS(MVT_NET,MVT_LOT,$A31,MVT_EMPL,D$14))</f>
        <v>0</v>
      </c>
      <c r="E31" s="42" t="n">
        <f aca="false">IF(OR($A31="",E$14=""),0,SUMIFS(MVT_NET,MVT_LOT,$A31,MVT_EMPL,E$14))</f>
        <v>0</v>
      </c>
      <c r="F31" s="42" t="n">
        <f aca="false">IF(OR($A31="",F$14=""),0,SUMIFS(MVT_NET,MVT_LOT,$A31,MVT_EMPL,F$14))</f>
        <v>0</v>
      </c>
      <c r="G31" s="42" t="n">
        <f aca="false">IF(OR($A31="",G$14=""),0,SUMIFS(MVT_NET,MVT_LOT,$A31,MVT_EMPL,G$14))</f>
        <v>0</v>
      </c>
      <c r="H31" s="42" t="n">
        <f aca="false">IF(OR($A31="",H$14=""),0,SUMIFS(MVT_NET,MVT_LOT,$A31,MVT_EMPL,H$14))</f>
        <v>0</v>
      </c>
      <c r="I31" s="42" t="n">
        <f aca="false">IF(OR($A31="",I$14=""),0,SUMIFS(MVT_NET,MVT_LOT,$A31,MVT_EMPL,I$14))</f>
        <v>0</v>
      </c>
      <c r="J31" s="42" t="n">
        <f aca="false">IF(OR($A31="",J$14=""),0,SUMIFS(MVT_NET,MVT_LOT,$A31,MVT_EMPL,J$14))</f>
        <v>0</v>
      </c>
      <c r="K31" s="42" t="n">
        <f aca="false">IF(OR($A31="",K$14=""),0,SUMIFS(MVT_NET,MVT_LOT,$A31,MVT_EMPL,K$14))</f>
        <v>0</v>
      </c>
      <c r="L31" s="42" t="n">
        <f aca="false">IF(OR($A31="",L$14=""),0,SUMIFS(MVT_NET,MVT_LOT,$A31,MVT_EMPL,L$14))</f>
        <v>0</v>
      </c>
      <c r="M31" s="42" t="n">
        <f aca="false">IF(OR($A31="",M$14=""),0,SUMIFS(MVT_NET,MVT_LOT,$A31,MVT_EMPL,M$14))</f>
        <v>0</v>
      </c>
      <c r="N31" s="43" t="n">
        <f aca="false">SUM($B31:$M31)</f>
        <v>0</v>
      </c>
      <c r="O31" s="44" t="n">
        <f aca="false">SUMPRODUCT(($B$13:$M$13="INTERNE")*$B31:$M31)</f>
        <v>0</v>
      </c>
      <c r="P31" s="44" t="n">
        <f aca="false">SUMPRODUCT(($B$13:$M$13="EXTERNE")*$B31:$M31)</f>
        <v>0</v>
      </c>
      <c r="Q31" s="44" t="n">
        <f aca="false">IF($A31="",0,SUMIFS(ST_ENCOURS,ST_LOT,$A31))</f>
        <v>0</v>
      </c>
      <c r="R31" s="45" t="str">
        <f aca="false">IF($A31="","",IFERROR(INDEX(LOT_EXTE,MATCH($A31,LOT_KEY,0)),""))</f>
        <v/>
      </c>
      <c r="S31" s="45" t="str">
        <f aca="false">IF($A31="","",IFERROR(INDEX(LOT_DECISION,MATCH($A31,LOT_KEY,0)),""))</f>
        <v/>
      </c>
      <c r="T31" s="44" t="n">
        <f aca="false">IF($S31="BLOQUER",MAX(0,$N31),0)</f>
        <v>0</v>
      </c>
      <c r="U31" s="46" t="str">
        <f aca="false">IF($A31="","",IF($N31&lt;-0.001,"STOCK NEGATIF - ANOMALIE",IF($T31&gt;0,"BLOQUE QUALITE","")))</f>
        <v/>
      </c>
    </row>
    <row r="32" customFormat="false" ht="15" hidden="false" customHeight="false" outlineLevel="0" collapsed="false">
      <c r="A32" s="41" t="str">
        <f aca="false">IF(LOTS!$A22="","",LOTS!$A22)</f>
        <v/>
      </c>
      <c r="B32" s="42" t="n">
        <f aca="false">IF(OR($A32="",B$14=""),0,SUMIFS(MVT_NET,MVT_LOT,$A32,MVT_EMPL,B$14))</f>
        <v>0</v>
      </c>
      <c r="C32" s="42" t="n">
        <f aca="false">IF(OR($A32="",C$14=""),0,SUMIFS(MVT_NET,MVT_LOT,$A32,MVT_EMPL,C$14))</f>
        <v>0</v>
      </c>
      <c r="D32" s="42" t="n">
        <f aca="false">IF(OR($A32="",D$14=""),0,SUMIFS(MVT_NET,MVT_LOT,$A32,MVT_EMPL,D$14))</f>
        <v>0</v>
      </c>
      <c r="E32" s="42" t="n">
        <f aca="false">IF(OR($A32="",E$14=""),0,SUMIFS(MVT_NET,MVT_LOT,$A32,MVT_EMPL,E$14))</f>
        <v>0</v>
      </c>
      <c r="F32" s="42" t="n">
        <f aca="false">IF(OR($A32="",F$14=""),0,SUMIFS(MVT_NET,MVT_LOT,$A32,MVT_EMPL,F$14))</f>
        <v>0</v>
      </c>
      <c r="G32" s="42" t="n">
        <f aca="false">IF(OR($A32="",G$14=""),0,SUMIFS(MVT_NET,MVT_LOT,$A32,MVT_EMPL,G$14))</f>
        <v>0</v>
      </c>
      <c r="H32" s="42" t="n">
        <f aca="false">IF(OR($A32="",H$14=""),0,SUMIFS(MVT_NET,MVT_LOT,$A32,MVT_EMPL,H$14))</f>
        <v>0</v>
      </c>
      <c r="I32" s="42" t="n">
        <f aca="false">IF(OR($A32="",I$14=""),0,SUMIFS(MVT_NET,MVT_LOT,$A32,MVT_EMPL,I$14))</f>
        <v>0</v>
      </c>
      <c r="J32" s="42" t="n">
        <f aca="false">IF(OR($A32="",J$14=""),0,SUMIFS(MVT_NET,MVT_LOT,$A32,MVT_EMPL,J$14))</f>
        <v>0</v>
      </c>
      <c r="K32" s="42" t="n">
        <f aca="false">IF(OR($A32="",K$14=""),0,SUMIFS(MVT_NET,MVT_LOT,$A32,MVT_EMPL,K$14))</f>
        <v>0</v>
      </c>
      <c r="L32" s="42" t="n">
        <f aca="false">IF(OR($A32="",L$14=""),0,SUMIFS(MVT_NET,MVT_LOT,$A32,MVT_EMPL,L$14))</f>
        <v>0</v>
      </c>
      <c r="M32" s="42" t="n">
        <f aca="false">IF(OR($A32="",M$14=""),0,SUMIFS(MVT_NET,MVT_LOT,$A32,MVT_EMPL,M$14))</f>
        <v>0</v>
      </c>
      <c r="N32" s="43" t="n">
        <f aca="false">SUM($B32:$M32)</f>
        <v>0</v>
      </c>
      <c r="O32" s="44" t="n">
        <f aca="false">SUMPRODUCT(($B$13:$M$13="INTERNE")*$B32:$M32)</f>
        <v>0</v>
      </c>
      <c r="P32" s="44" t="n">
        <f aca="false">SUMPRODUCT(($B$13:$M$13="EXTERNE")*$B32:$M32)</f>
        <v>0</v>
      </c>
      <c r="Q32" s="44" t="n">
        <f aca="false">IF($A32="",0,SUMIFS(ST_ENCOURS,ST_LOT,$A32))</f>
        <v>0</v>
      </c>
      <c r="R32" s="45" t="str">
        <f aca="false">IF($A32="","",IFERROR(INDEX(LOT_EXTE,MATCH($A32,LOT_KEY,0)),""))</f>
        <v/>
      </c>
      <c r="S32" s="45" t="str">
        <f aca="false">IF($A32="","",IFERROR(INDEX(LOT_DECISION,MATCH($A32,LOT_KEY,0)),""))</f>
        <v/>
      </c>
      <c r="T32" s="44" t="n">
        <f aca="false">IF($S32="BLOQUER",MAX(0,$N32),0)</f>
        <v>0</v>
      </c>
      <c r="U32" s="46" t="str">
        <f aca="false">IF($A32="","",IF($N32&lt;-0.001,"STOCK NEGATIF - ANOMALIE",IF($T32&gt;0,"BLOQUE QUALITE","")))</f>
        <v/>
      </c>
    </row>
    <row r="33" customFormat="false" ht="15" hidden="false" customHeight="false" outlineLevel="0" collapsed="false">
      <c r="A33" s="41" t="str">
        <f aca="false">IF(LOTS!$A23="","",LOTS!$A23)</f>
        <v/>
      </c>
      <c r="B33" s="42" t="n">
        <f aca="false">IF(OR($A33="",B$14=""),0,SUMIFS(MVT_NET,MVT_LOT,$A33,MVT_EMPL,B$14))</f>
        <v>0</v>
      </c>
      <c r="C33" s="42" t="n">
        <f aca="false">IF(OR($A33="",C$14=""),0,SUMIFS(MVT_NET,MVT_LOT,$A33,MVT_EMPL,C$14))</f>
        <v>0</v>
      </c>
      <c r="D33" s="42" t="n">
        <f aca="false">IF(OR($A33="",D$14=""),0,SUMIFS(MVT_NET,MVT_LOT,$A33,MVT_EMPL,D$14))</f>
        <v>0</v>
      </c>
      <c r="E33" s="42" t="n">
        <f aca="false">IF(OR($A33="",E$14=""),0,SUMIFS(MVT_NET,MVT_LOT,$A33,MVT_EMPL,E$14))</f>
        <v>0</v>
      </c>
      <c r="F33" s="42" t="n">
        <f aca="false">IF(OR($A33="",F$14=""),0,SUMIFS(MVT_NET,MVT_LOT,$A33,MVT_EMPL,F$14))</f>
        <v>0</v>
      </c>
      <c r="G33" s="42" t="n">
        <f aca="false">IF(OR($A33="",G$14=""),0,SUMIFS(MVT_NET,MVT_LOT,$A33,MVT_EMPL,G$14))</f>
        <v>0</v>
      </c>
      <c r="H33" s="42" t="n">
        <f aca="false">IF(OR($A33="",H$14=""),0,SUMIFS(MVT_NET,MVT_LOT,$A33,MVT_EMPL,H$14))</f>
        <v>0</v>
      </c>
      <c r="I33" s="42" t="n">
        <f aca="false">IF(OR($A33="",I$14=""),0,SUMIFS(MVT_NET,MVT_LOT,$A33,MVT_EMPL,I$14))</f>
        <v>0</v>
      </c>
      <c r="J33" s="42" t="n">
        <f aca="false">IF(OR($A33="",J$14=""),0,SUMIFS(MVT_NET,MVT_LOT,$A33,MVT_EMPL,J$14))</f>
        <v>0</v>
      </c>
      <c r="K33" s="42" t="n">
        <f aca="false">IF(OR($A33="",K$14=""),0,SUMIFS(MVT_NET,MVT_LOT,$A33,MVT_EMPL,K$14))</f>
        <v>0</v>
      </c>
      <c r="L33" s="42" t="n">
        <f aca="false">IF(OR($A33="",L$14=""),0,SUMIFS(MVT_NET,MVT_LOT,$A33,MVT_EMPL,L$14))</f>
        <v>0</v>
      </c>
      <c r="M33" s="42" t="n">
        <f aca="false">IF(OR($A33="",M$14=""),0,SUMIFS(MVT_NET,MVT_LOT,$A33,MVT_EMPL,M$14))</f>
        <v>0</v>
      </c>
      <c r="N33" s="43" t="n">
        <f aca="false">SUM($B33:$M33)</f>
        <v>0</v>
      </c>
      <c r="O33" s="44" t="n">
        <f aca="false">SUMPRODUCT(($B$13:$M$13="INTERNE")*$B33:$M33)</f>
        <v>0</v>
      </c>
      <c r="P33" s="44" t="n">
        <f aca="false">SUMPRODUCT(($B$13:$M$13="EXTERNE")*$B33:$M33)</f>
        <v>0</v>
      </c>
      <c r="Q33" s="44" t="n">
        <f aca="false">IF($A33="",0,SUMIFS(ST_ENCOURS,ST_LOT,$A33))</f>
        <v>0</v>
      </c>
      <c r="R33" s="45" t="str">
        <f aca="false">IF($A33="","",IFERROR(INDEX(LOT_EXTE,MATCH($A33,LOT_KEY,0)),""))</f>
        <v/>
      </c>
      <c r="S33" s="45" t="str">
        <f aca="false">IF($A33="","",IFERROR(INDEX(LOT_DECISION,MATCH($A33,LOT_KEY,0)),""))</f>
        <v/>
      </c>
      <c r="T33" s="44" t="n">
        <f aca="false">IF($S33="BLOQUER",MAX(0,$N33),0)</f>
        <v>0</v>
      </c>
      <c r="U33" s="46" t="str">
        <f aca="false">IF($A33="","",IF($N33&lt;-0.001,"STOCK NEGATIF - ANOMALIE",IF($T33&gt;0,"BLOQUE QUALITE","")))</f>
        <v/>
      </c>
    </row>
    <row r="34" customFormat="false" ht="15" hidden="false" customHeight="false" outlineLevel="0" collapsed="false">
      <c r="A34" s="41" t="str">
        <f aca="false">IF(LOTS!$A24="","",LOTS!$A24)</f>
        <v/>
      </c>
      <c r="B34" s="42" t="n">
        <f aca="false">IF(OR($A34="",B$14=""),0,SUMIFS(MVT_NET,MVT_LOT,$A34,MVT_EMPL,B$14))</f>
        <v>0</v>
      </c>
      <c r="C34" s="42" t="n">
        <f aca="false">IF(OR($A34="",C$14=""),0,SUMIFS(MVT_NET,MVT_LOT,$A34,MVT_EMPL,C$14))</f>
        <v>0</v>
      </c>
      <c r="D34" s="42" t="n">
        <f aca="false">IF(OR($A34="",D$14=""),0,SUMIFS(MVT_NET,MVT_LOT,$A34,MVT_EMPL,D$14))</f>
        <v>0</v>
      </c>
      <c r="E34" s="42" t="n">
        <f aca="false">IF(OR($A34="",E$14=""),0,SUMIFS(MVT_NET,MVT_LOT,$A34,MVT_EMPL,E$14))</f>
        <v>0</v>
      </c>
      <c r="F34" s="42" t="n">
        <f aca="false">IF(OR($A34="",F$14=""),0,SUMIFS(MVT_NET,MVT_LOT,$A34,MVT_EMPL,F$14))</f>
        <v>0</v>
      </c>
      <c r="G34" s="42" t="n">
        <f aca="false">IF(OR($A34="",G$14=""),0,SUMIFS(MVT_NET,MVT_LOT,$A34,MVT_EMPL,G$14))</f>
        <v>0</v>
      </c>
      <c r="H34" s="42" t="n">
        <f aca="false">IF(OR($A34="",H$14=""),0,SUMIFS(MVT_NET,MVT_LOT,$A34,MVT_EMPL,H$14))</f>
        <v>0</v>
      </c>
      <c r="I34" s="42" t="n">
        <f aca="false">IF(OR($A34="",I$14=""),0,SUMIFS(MVT_NET,MVT_LOT,$A34,MVT_EMPL,I$14))</f>
        <v>0</v>
      </c>
      <c r="J34" s="42" t="n">
        <f aca="false">IF(OR($A34="",J$14=""),0,SUMIFS(MVT_NET,MVT_LOT,$A34,MVT_EMPL,J$14))</f>
        <v>0</v>
      </c>
      <c r="K34" s="42" t="n">
        <f aca="false">IF(OR($A34="",K$14=""),0,SUMIFS(MVT_NET,MVT_LOT,$A34,MVT_EMPL,K$14))</f>
        <v>0</v>
      </c>
      <c r="L34" s="42" t="n">
        <f aca="false">IF(OR($A34="",L$14=""),0,SUMIFS(MVT_NET,MVT_LOT,$A34,MVT_EMPL,L$14))</f>
        <v>0</v>
      </c>
      <c r="M34" s="42" t="n">
        <f aca="false">IF(OR($A34="",M$14=""),0,SUMIFS(MVT_NET,MVT_LOT,$A34,MVT_EMPL,M$14))</f>
        <v>0</v>
      </c>
      <c r="N34" s="43" t="n">
        <f aca="false">SUM($B34:$M34)</f>
        <v>0</v>
      </c>
      <c r="O34" s="44" t="n">
        <f aca="false">SUMPRODUCT(($B$13:$M$13="INTERNE")*$B34:$M34)</f>
        <v>0</v>
      </c>
      <c r="P34" s="44" t="n">
        <f aca="false">SUMPRODUCT(($B$13:$M$13="EXTERNE")*$B34:$M34)</f>
        <v>0</v>
      </c>
      <c r="Q34" s="44" t="n">
        <f aca="false">IF($A34="",0,SUMIFS(ST_ENCOURS,ST_LOT,$A34))</f>
        <v>0</v>
      </c>
      <c r="R34" s="45" t="str">
        <f aca="false">IF($A34="","",IFERROR(INDEX(LOT_EXTE,MATCH($A34,LOT_KEY,0)),""))</f>
        <v/>
      </c>
      <c r="S34" s="45" t="str">
        <f aca="false">IF($A34="","",IFERROR(INDEX(LOT_DECISION,MATCH($A34,LOT_KEY,0)),""))</f>
        <v/>
      </c>
      <c r="T34" s="44" t="n">
        <f aca="false">IF($S34="BLOQUER",MAX(0,$N34),0)</f>
        <v>0</v>
      </c>
      <c r="U34" s="46" t="str">
        <f aca="false">IF($A34="","",IF($N34&lt;-0.001,"STOCK NEGATIF - ANOMALIE",IF($T34&gt;0,"BLOQUE QUALITE","")))</f>
        <v/>
      </c>
    </row>
    <row r="35" customFormat="false" ht="15" hidden="false" customHeight="false" outlineLevel="0" collapsed="false">
      <c r="A35" s="41" t="str">
        <f aca="false">IF(LOTS!$A25="","",LOTS!$A25)</f>
        <v/>
      </c>
      <c r="B35" s="42" t="n">
        <f aca="false">IF(OR($A35="",B$14=""),0,SUMIFS(MVT_NET,MVT_LOT,$A35,MVT_EMPL,B$14))</f>
        <v>0</v>
      </c>
      <c r="C35" s="42" t="n">
        <f aca="false">IF(OR($A35="",C$14=""),0,SUMIFS(MVT_NET,MVT_LOT,$A35,MVT_EMPL,C$14))</f>
        <v>0</v>
      </c>
      <c r="D35" s="42" t="n">
        <f aca="false">IF(OR($A35="",D$14=""),0,SUMIFS(MVT_NET,MVT_LOT,$A35,MVT_EMPL,D$14))</f>
        <v>0</v>
      </c>
      <c r="E35" s="42" t="n">
        <f aca="false">IF(OR($A35="",E$14=""),0,SUMIFS(MVT_NET,MVT_LOT,$A35,MVT_EMPL,E$14))</f>
        <v>0</v>
      </c>
      <c r="F35" s="42" t="n">
        <f aca="false">IF(OR($A35="",F$14=""),0,SUMIFS(MVT_NET,MVT_LOT,$A35,MVT_EMPL,F$14))</f>
        <v>0</v>
      </c>
      <c r="G35" s="42" t="n">
        <f aca="false">IF(OR($A35="",G$14=""),0,SUMIFS(MVT_NET,MVT_LOT,$A35,MVT_EMPL,G$14))</f>
        <v>0</v>
      </c>
      <c r="H35" s="42" t="n">
        <f aca="false">IF(OR($A35="",H$14=""),0,SUMIFS(MVT_NET,MVT_LOT,$A35,MVT_EMPL,H$14))</f>
        <v>0</v>
      </c>
      <c r="I35" s="42" t="n">
        <f aca="false">IF(OR($A35="",I$14=""),0,SUMIFS(MVT_NET,MVT_LOT,$A35,MVT_EMPL,I$14))</f>
        <v>0</v>
      </c>
      <c r="J35" s="42" t="n">
        <f aca="false">IF(OR($A35="",J$14=""),0,SUMIFS(MVT_NET,MVT_LOT,$A35,MVT_EMPL,J$14))</f>
        <v>0</v>
      </c>
      <c r="K35" s="42" t="n">
        <f aca="false">IF(OR($A35="",K$14=""),0,SUMIFS(MVT_NET,MVT_LOT,$A35,MVT_EMPL,K$14))</f>
        <v>0</v>
      </c>
      <c r="L35" s="42" t="n">
        <f aca="false">IF(OR($A35="",L$14=""),0,SUMIFS(MVT_NET,MVT_LOT,$A35,MVT_EMPL,L$14))</f>
        <v>0</v>
      </c>
      <c r="M35" s="42" t="n">
        <f aca="false">IF(OR($A35="",M$14=""),0,SUMIFS(MVT_NET,MVT_LOT,$A35,MVT_EMPL,M$14))</f>
        <v>0</v>
      </c>
      <c r="N35" s="43" t="n">
        <f aca="false">SUM($B35:$M35)</f>
        <v>0</v>
      </c>
      <c r="O35" s="44" t="n">
        <f aca="false">SUMPRODUCT(($B$13:$M$13="INTERNE")*$B35:$M35)</f>
        <v>0</v>
      </c>
      <c r="P35" s="44" t="n">
        <f aca="false">SUMPRODUCT(($B$13:$M$13="EXTERNE")*$B35:$M35)</f>
        <v>0</v>
      </c>
      <c r="Q35" s="44" t="n">
        <f aca="false">IF($A35="",0,SUMIFS(ST_ENCOURS,ST_LOT,$A35))</f>
        <v>0</v>
      </c>
      <c r="R35" s="45" t="str">
        <f aca="false">IF($A35="","",IFERROR(INDEX(LOT_EXTE,MATCH($A35,LOT_KEY,0)),""))</f>
        <v/>
      </c>
      <c r="S35" s="45" t="str">
        <f aca="false">IF($A35="","",IFERROR(INDEX(LOT_DECISION,MATCH($A35,LOT_KEY,0)),""))</f>
        <v/>
      </c>
      <c r="T35" s="44" t="n">
        <f aca="false">IF($S35="BLOQUER",MAX(0,$N35),0)</f>
        <v>0</v>
      </c>
      <c r="U35" s="46" t="str">
        <f aca="false">IF($A35="","",IF($N35&lt;-0.001,"STOCK NEGATIF - ANOMALIE",IF($T35&gt;0,"BLOQUE QUALITE","")))</f>
        <v/>
      </c>
    </row>
    <row r="36" customFormat="false" ht="15" hidden="false" customHeight="false" outlineLevel="0" collapsed="false">
      <c r="A36" s="41" t="str">
        <f aca="false">IF(LOTS!$A26="","",LOTS!$A26)</f>
        <v/>
      </c>
      <c r="B36" s="42" t="n">
        <f aca="false">IF(OR($A36="",B$14=""),0,SUMIFS(MVT_NET,MVT_LOT,$A36,MVT_EMPL,B$14))</f>
        <v>0</v>
      </c>
      <c r="C36" s="42" t="n">
        <f aca="false">IF(OR($A36="",C$14=""),0,SUMIFS(MVT_NET,MVT_LOT,$A36,MVT_EMPL,C$14))</f>
        <v>0</v>
      </c>
      <c r="D36" s="42" t="n">
        <f aca="false">IF(OR($A36="",D$14=""),0,SUMIFS(MVT_NET,MVT_LOT,$A36,MVT_EMPL,D$14))</f>
        <v>0</v>
      </c>
      <c r="E36" s="42" t="n">
        <f aca="false">IF(OR($A36="",E$14=""),0,SUMIFS(MVT_NET,MVT_LOT,$A36,MVT_EMPL,E$14))</f>
        <v>0</v>
      </c>
      <c r="F36" s="42" t="n">
        <f aca="false">IF(OR($A36="",F$14=""),0,SUMIFS(MVT_NET,MVT_LOT,$A36,MVT_EMPL,F$14))</f>
        <v>0</v>
      </c>
      <c r="G36" s="42" t="n">
        <f aca="false">IF(OR($A36="",G$14=""),0,SUMIFS(MVT_NET,MVT_LOT,$A36,MVT_EMPL,G$14))</f>
        <v>0</v>
      </c>
      <c r="H36" s="42" t="n">
        <f aca="false">IF(OR($A36="",H$14=""),0,SUMIFS(MVT_NET,MVT_LOT,$A36,MVT_EMPL,H$14))</f>
        <v>0</v>
      </c>
      <c r="I36" s="42" t="n">
        <f aca="false">IF(OR($A36="",I$14=""),0,SUMIFS(MVT_NET,MVT_LOT,$A36,MVT_EMPL,I$14))</f>
        <v>0</v>
      </c>
      <c r="J36" s="42" t="n">
        <f aca="false">IF(OR($A36="",J$14=""),0,SUMIFS(MVT_NET,MVT_LOT,$A36,MVT_EMPL,J$14))</f>
        <v>0</v>
      </c>
      <c r="K36" s="42" t="n">
        <f aca="false">IF(OR($A36="",K$14=""),0,SUMIFS(MVT_NET,MVT_LOT,$A36,MVT_EMPL,K$14))</f>
        <v>0</v>
      </c>
      <c r="L36" s="42" t="n">
        <f aca="false">IF(OR($A36="",L$14=""),0,SUMIFS(MVT_NET,MVT_LOT,$A36,MVT_EMPL,L$14))</f>
        <v>0</v>
      </c>
      <c r="M36" s="42" t="n">
        <f aca="false">IF(OR($A36="",M$14=""),0,SUMIFS(MVT_NET,MVT_LOT,$A36,MVT_EMPL,M$14))</f>
        <v>0</v>
      </c>
      <c r="N36" s="43" t="n">
        <f aca="false">SUM($B36:$M36)</f>
        <v>0</v>
      </c>
      <c r="O36" s="44" t="n">
        <f aca="false">SUMPRODUCT(($B$13:$M$13="INTERNE")*$B36:$M36)</f>
        <v>0</v>
      </c>
      <c r="P36" s="44" t="n">
        <f aca="false">SUMPRODUCT(($B$13:$M$13="EXTERNE")*$B36:$M36)</f>
        <v>0</v>
      </c>
      <c r="Q36" s="44" t="n">
        <f aca="false">IF($A36="",0,SUMIFS(ST_ENCOURS,ST_LOT,$A36))</f>
        <v>0</v>
      </c>
      <c r="R36" s="45" t="str">
        <f aca="false">IF($A36="","",IFERROR(INDEX(LOT_EXTE,MATCH($A36,LOT_KEY,0)),""))</f>
        <v/>
      </c>
      <c r="S36" s="45" t="str">
        <f aca="false">IF($A36="","",IFERROR(INDEX(LOT_DECISION,MATCH($A36,LOT_KEY,0)),""))</f>
        <v/>
      </c>
      <c r="T36" s="44" t="n">
        <f aca="false">IF($S36="BLOQUER",MAX(0,$N36),0)</f>
        <v>0</v>
      </c>
      <c r="U36" s="46" t="str">
        <f aca="false">IF($A36="","",IF($N36&lt;-0.001,"STOCK NEGATIF - ANOMALIE",IF($T36&gt;0,"BLOQUE QUALITE","")))</f>
        <v/>
      </c>
    </row>
    <row r="37" customFormat="false" ht="15" hidden="false" customHeight="false" outlineLevel="0" collapsed="false">
      <c r="A37" s="41" t="str">
        <f aca="false">IF(LOTS!$A27="","",LOTS!$A27)</f>
        <v/>
      </c>
      <c r="B37" s="42" t="n">
        <f aca="false">IF(OR($A37="",B$14=""),0,SUMIFS(MVT_NET,MVT_LOT,$A37,MVT_EMPL,B$14))</f>
        <v>0</v>
      </c>
      <c r="C37" s="42" t="n">
        <f aca="false">IF(OR($A37="",C$14=""),0,SUMIFS(MVT_NET,MVT_LOT,$A37,MVT_EMPL,C$14))</f>
        <v>0</v>
      </c>
      <c r="D37" s="42" t="n">
        <f aca="false">IF(OR($A37="",D$14=""),0,SUMIFS(MVT_NET,MVT_LOT,$A37,MVT_EMPL,D$14))</f>
        <v>0</v>
      </c>
      <c r="E37" s="42" t="n">
        <f aca="false">IF(OR($A37="",E$14=""),0,SUMIFS(MVT_NET,MVT_LOT,$A37,MVT_EMPL,E$14))</f>
        <v>0</v>
      </c>
      <c r="F37" s="42" t="n">
        <f aca="false">IF(OR($A37="",F$14=""),0,SUMIFS(MVT_NET,MVT_LOT,$A37,MVT_EMPL,F$14))</f>
        <v>0</v>
      </c>
      <c r="G37" s="42" t="n">
        <f aca="false">IF(OR($A37="",G$14=""),0,SUMIFS(MVT_NET,MVT_LOT,$A37,MVT_EMPL,G$14))</f>
        <v>0</v>
      </c>
      <c r="H37" s="42" t="n">
        <f aca="false">IF(OR($A37="",H$14=""),0,SUMIFS(MVT_NET,MVT_LOT,$A37,MVT_EMPL,H$14))</f>
        <v>0</v>
      </c>
      <c r="I37" s="42" t="n">
        <f aca="false">IF(OR($A37="",I$14=""),0,SUMIFS(MVT_NET,MVT_LOT,$A37,MVT_EMPL,I$14))</f>
        <v>0</v>
      </c>
      <c r="J37" s="42" t="n">
        <f aca="false">IF(OR($A37="",J$14=""),0,SUMIFS(MVT_NET,MVT_LOT,$A37,MVT_EMPL,J$14))</f>
        <v>0</v>
      </c>
      <c r="K37" s="42" t="n">
        <f aca="false">IF(OR($A37="",K$14=""),0,SUMIFS(MVT_NET,MVT_LOT,$A37,MVT_EMPL,K$14))</f>
        <v>0</v>
      </c>
      <c r="L37" s="42" t="n">
        <f aca="false">IF(OR($A37="",L$14=""),0,SUMIFS(MVT_NET,MVT_LOT,$A37,MVT_EMPL,L$14))</f>
        <v>0</v>
      </c>
      <c r="M37" s="42" t="n">
        <f aca="false">IF(OR($A37="",M$14=""),0,SUMIFS(MVT_NET,MVT_LOT,$A37,MVT_EMPL,M$14))</f>
        <v>0</v>
      </c>
      <c r="N37" s="43" t="n">
        <f aca="false">SUM($B37:$M37)</f>
        <v>0</v>
      </c>
      <c r="O37" s="44" t="n">
        <f aca="false">SUMPRODUCT(($B$13:$M$13="INTERNE")*$B37:$M37)</f>
        <v>0</v>
      </c>
      <c r="P37" s="44" t="n">
        <f aca="false">SUMPRODUCT(($B$13:$M$13="EXTERNE")*$B37:$M37)</f>
        <v>0</v>
      </c>
      <c r="Q37" s="44" t="n">
        <f aca="false">IF($A37="",0,SUMIFS(ST_ENCOURS,ST_LOT,$A37))</f>
        <v>0</v>
      </c>
      <c r="R37" s="45" t="str">
        <f aca="false">IF($A37="","",IFERROR(INDEX(LOT_EXTE,MATCH($A37,LOT_KEY,0)),""))</f>
        <v/>
      </c>
      <c r="S37" s="45" t="str">
        <f aca="false">IF($A37="","",IFERROR(INDEX(LOT_DECISION,MATCH($A37,LOT_KEY,0)),""))</f>
        <v/>
      </c>
      <c r="T37" s="44" t="n">
        <f aca="false">IF($S37="BLOQUER",MAX(0,$N37),0)</f>
        <v>0</v>
      </c>
      <c r="U37" s="46" t="str">
        <f aca="false">IF($A37="","",IF($N37&lt;-0.001,"STOCK NEGATIF - ANOMALIE",IF($T37&gt;0,"BLOQUE QUALITE","")))</f>
        <v/>
      </c>
    </row>
    <row r="38" customFormat="false" ht="15" hidden="false" customHeight="false" outlineLevel="0" collapsed="false">
      <c r="A38" s="41" t="str">
        <f aca="false">IF(LOTS!$A28="","",LOTS!$A28)</f>
        <v/>
      </c>
      <c r="B38" s="42" t="n">
        <f aca="false">IF(OR($A38="",B$14=""),0,SUMIFS(MVT_NET,MVT_LOT,$A38,MVT_EMPL,B$14))</f>
        <v>0</v>
      </c>
      <c r="C38" s="42" t="n">
        <f aca="false">IF(OR($A38="",C$14=""),0,SUMIFS(MVT_NET,MVT_LOT,$A38,MVT_EMPL,C$14))</f>
        <v>0</v>
      </c>
      <c r="D38" s="42" t="n">
        <f aca="false">IF(OR($A38="",D$14=""),0,SUMIFS(MVT_NET,MVT_LOT,$A38,MVT_EMPL,D$14))</f>
        <v>0</v>
      </c>
      <c r="E38" s="42" t="n">
        <f aca="false">IF(OR($A38="",E$14=""),0,SUMIFS(MVT_NET,MVT_LOT,$A38,MVT_EMPL,E$14))</f>
        <v>0</v>
      </c>
      <c r="F38" s="42" t="n">
        <f aca="false">IF(OR($A38="",F$14=""),0,SUMIFS(MVT_NET,MVT_LOT,$A38,MVT_EMPL,F$14))</f>
        <v>0</v>
      </c>
      <c r="G38" s="42" t="n">
        <f aca="false">IF(OR($A38="",G$14=""),0,SUMIFS(MVT_NET,MVT_LOT,$A38,MVT_EMPL,G$14))</f>
        <v>0</v>
      </c>
      <c r="H38" s="42" t="n">
        <f aca="false">IF(OR($A38="",H$14=""),0,SUMIFS(MVT_NET,MVT_LOT,$A38,MVT_EMPL,H$14))</f>
        <v>0</v>
      </c>
      <c r="I38" s="42" t="n">
        <f aca="false">IF(OR($A38="",I$14=""),0,SUMIFS(MVT_NET,MVT_LOT,$A38,MVT_EMPL,I$14))</f>
        <v>0</v>
      </c>
      <c r="J38" s="42" t="n">
        <f aca="false">IF(OR($A38="",J$14=""),0,SUMIFS(MVT_NET,MVT_LOT,$A38,MVT_EMPL,J$14))</f>
        <v>0</v>
      </c>
      <c r="K38" s="42" t="n">
        <f aca="false">IF(OR($A38="",K$14=""),0,SUMIFS(MVT_NET,MVT_LOT,$A38,MVT_EMPL,K$14))</f>
        <v>0</v>
      </c>
      <c r="L38" s="42" t="n">
        <f aca="false">IF(OR($A38="",L$14=""),0,SUMIFS(MVT_NET,MVT_LOT,$A38,MVT_EMPL,L$14))</f>
        <v>0</v>
      </c>
      <c r="M38" s="42" t="n">
        <f aca="false">IF(OR($A38="",M$14=""),0,SUMIFS(MVT_NET,MVT_LOT,$A38,MVT_EMPL,M$14))</f>
        <v>0</v>
      </c>
      <c r="N38" s="43" t="n">
        <f aca="false">SUM($B38:$M38)</f>
        <v>0</v>
      </c>
      <c r="O38" s="44" t="n">
        <f aca="false">SUMPRODUCT(($B$13:$M$13="INTERNE")*$B38:$M38)</f>
        <v>0</v>
      </c>
      <c r="P38" s="44" t="n">
        <f aca="false">SUMPRODUCT(($B$13:$M$13="EXTERNE")*$B38:$M38)</f>
        <v>0</v>
      </c>
      <c r="Q38" s="44" t="n">
        <f aca="false">IF($A38="",0,SUMIFS(ST_ENCOURS,ST_LOT,$A38))</f>
        <v>0</v>
      </c>
      <c r="R38" s="45" t="str">
        <f aca="false">IF($A38="","",IFERROR(INDEX(LOT_EXTE,MATCH($A38,LOT_KEY,0)),""))</f>
        <v/>
      </c>
      <c r="S38" s="45" t="str">
        <f aca="false">IF($A38="","",IFERROR(INDEX(LOT_DECISION,MATCH($A38,LOT_KEY,0)),""))</f>
        <v/>
      </c>
      <c r="T38" s="44" t="n">
        <f aca="false">IF($S38="BLOQUER",MAX(0,$N38),0)</f>
        <v>0</v>
      </c>
      <c r="U38" s="46" t="str">
        <f aca="false">IF($A38="","",IF($N38&lt;-0.001,"STOCK NEGATIF - ANOMALIE",IF($T38&gt;0,"BLOQUE QUALITE","")))</f>
        <v/>
      </c>
    </row>
    <row r="39" customFormat="false" ht="15" hidden="false" customHeight="false" outlineLevel="0" collapsed="false">
      <c r="A39" s="41" t="str">
        <f aca="false">IF(LOTS!$A29="","",LOTS!$A29)</f>
        <v/>
      </c>
      <c r="B39" s="42" t="n">
        <f aca="false">IF(OR($A39="",B$14=""),0,SUMIFS(MVT_NET,MVT_LOT,$A39,MVT_EMPL,B$14))</f>
        <v>0</v>
      </c>
      <c r="C39" s="42" t="n">
        <f aca="false">IF(OR($A39="",C$14=""),0,SUMIFS(MVT_NET,MVT_LOT,$A39,MVT_EMPL,C$14))</f>
        <v>0</v>
      </c>
      <c r="D39" s="42" t="n">
        <f aca="false">IF(OR($A39="",D$14=""),0,SUMIFS(MVT_NET,MVT_LOT,$A39,MVT_EMPL,D$14))</f>
        <v>0</v>
      </c>
      <c r="E39" s="42" t="n">
        <f aca="false">IF(OR($A39="",E$14=""),0,SUMIFS(MVT_NET,MVT_LOT,$A39,MVT_EMPL,E$14))</f>
        <v>0</v>
      </c>
      <c r="F39" s="42" t="n">
        <f aca="false">IF(OR($A39="",F$14=""),0,SUMIFS(MVT_NET,MVT_LOT,$A39,MVT_EMPL,F$14))</f>
        <v>0</v>
      </c>
      <c r="G39" s="42" t="n">
        <f aca="false">IF(OR($A39="",G$14=""),0,SUMIFS(MVT_NET,MVT_LOT,$A39,MVT_EMPL,G$14))</f>
        <v>0</v>
      </c>
      <c r="H39" s="42" t="n">
        <f aca="false">IF(OR($A39="",H$14=""),0,SUMIFS(MVT_NET,MVT_LOT,$A39,MVT_EMPL,H$14))</f>
        <v>0</v>
      </c>
      <c r="I39" s="42" t="n">
        <f aca="false">IF(OR($A39="",I$14=""),0,SUMIFS(MVT_NET,MVT_LOT,$A39,MVT_EMPL,I$14))</f>
        <v>0</v>
      </c>
      <c r="J39" s="42" t="n">
        <f aca="false">IF(OR($A39="",J$14=""),0,SUMIFS(MVT_NET,MVT_LOT,$A39,MVT_EMPL,J$14))</f>
        <v>0</v>
      </c>
      <c r="K39" s="42" t="n">
        <f aca="false">IF(OR($A39="",K$14=""),0,SUMIFS(MVT_NET,MVT_LOT,$A39,MVT_EMPL,K$14))</f>
        <v>0</v>
      </c>
      <c r="L39" s="42" t="n">
        <f aca="false">IF(OR($A39="",L$14=""),0,SUMIFS(MVT_NET,MVT_LOT,$A39,MVT_EMPL,L$14))</f>
        <v>0</v>
      </c>
      <c r="M39" s="42" t="n">
        <f aca="false">IF(OR($A39="",M$14=""),0,SUMIFS(MVT_NET,MVT_LOT,$A39,MVT_EMPL,M$14))</f>
        <v>0</v>
      </c>
      <c r="N39" s="43" t="n">
        <f aca="false">SUM($B39:$M39)</f>
        <v>0</v>
      </c>
      <c r="O39" s="44" t="n">
        <f aca="false">SUMPRODUCT(($B$13:$M$13="INTERNE")*$B39:$M39)</f>
        <v>0</v>
      </c>
      <c r="P39" s="44" t="n">
        <f aca="false">SUMPRODUCT(($B$13:$M$13="EXTERNE")*$B39:$M39)</f>
        <v>0</v>
      </c>
      <c r="Q39" s="44" t="n">
        <f aca="false">IF($A39="",0,SUMIFS(ST_ENCOURS,ST_LOT,$A39))</f>
        <v>0</v>
      </c>
      <c r="R39" s="45" t="str">
        <f aca="false">IF($A39="","",IFERROR(INDEX(LOT_EXTE,MATCH($A39,LOT_KEY,0)),""))</f>
        <v/>
      </c>
      <c r="S39" s="45" t="str">
        <f aca="false">IF($A39="","",IFERROR(INDEX(LOT_DECISION,MATCH($A39,LOT_KEY,0)),""))</f>
        <v/>
      </c>
      <c r="T39" s="44" t="n">
        <f aca="false">IF($S39="BLOQUER",MAX(0,$N39),0)</f>
        <v>0</v>
      </c>
      <c r="U39" s="46" t="str">
        <f aca="false">IF($A39="","",IF($N39&lt;-0.001,"STOCK NEGATIF - ANOMALIE",IF($T39&gt;0,"BLOQUE QUALITE","")))</f>
        <v/>
      </c>
    </row>
    <row r="40" customFormat="false" ht="15" hidden="false" customHeight="false" outlineLevel="0" collapsed="false">
      <c r="A40" s="41" t="str">
        <f aca="false">IF(LOTS!$A30="","",LOTS!$A30)</f>
        <v/>
      </c>
      <c r="B40" s="42" t="n">
        <f aca="false">IF(OR($A40="",B$14=""),0,SUMIFS(MVT_NET,MVT_LOT,$A40,MVT_EMPL,B$14))</f>
        <v>0</v>
      </c>
      <c r="C40" s="42" t="n">
        <f aca="false">IF(OR($A40="",C$14=""),0,SUMIFS(MVT_NET,MVT_LOT,$A40,MVT_EMPL,C$14))</f>
        <v>0</v>
      </c>
      <c r="D40" s="42" t="n">
        <f aca="false">IF(OR($A40="",D$14=""),0,SUMIFS(MVT_NET,MVT_LOT,$A40,MVT_EMPL,D$14))</f>
        <v>0</v>
      </c>
      <c r="E40" s="42" t="n">
        <f aca="false">IF(OR($A40="",E$14=""),0,SUMIFS(MVT_NET,MVT_LOT,$A40,MVT_EMPL,E$14))</f>
        <v>0</v>
      </c>
      <c r="F40" s="42" t="n">
        <f aca="false">IF(OR($A40="",F$14=""),0,SUMIFS(MVT_NET,MVT_LOT,$A40,MVT_EMPL,F$14))</f>
        <v>0</v>
      </c>
      <c r="G40" s="42" t="n">
        <f aca="false">IF(OR($A40="",G$14=""),0,SUMIFS(MVT_NET,MVT_LOT,$A40,MVT_EMPL,G$14))</f>
        <v>0</v>
      </c>
      <c r="H40" s="42" t="n">
        <f aca="false">IF(OR($A40="",H$14=""),0,SUMIFS(MVT_NET,MVT_LOT,$A40,MVT_EMPL,H$14))</f>
        <v>0</v>
      </c>
      <c r="I40" s="42" t="n">
        <f aca="false">IF(OR($A40="",I$14=""),0,SUMIFS(MVT_NET,MVT_LOT,$A40,MVT_EMPL,I$14))</f>
        <v>0</v>
      </c>
      <c r="J40" s="42" t="n">
        <f aca="false">IF(OR($A40="",J$14=""),0,SUMIFS(MVT_NET,MVT_LOT,$A40,MVT_EMPL,J$14))</f>
        <v>0</v>
      </c>
      <c r="K40" s="42" t="n">
        <f aca="false">IF(OR($A40="",K$14=""),0,SUMIFS(MVT_NET,MVT_LOT,$A40,MVT_EMPL,K$14))</f>
        <v>0</v>
      </c>
      <c r="L40" s="42" t="n">
        <f aca="false">IF(OR($A40="",L$14=""),0,SUMIFS(MVT_NET,MVT_LOT,$A40,MVT_EMPL,L$14))</f>
        <v>0</v>
      </c>
      <c r="M40" s="42" t="n">
        <f aca="false">IF(OR($A40="",M$14=""),0,SUMIFS(MVT_NET,MVT_LOT,$A40,MVT_EMPL,M$14))</f>
        <v>0</v>
      </c>
      <c r="N40" s="43" t="n">
        <f aca="false">SUM($B40:$M40)</f>
        <v>0</v>
      </c>
      <c r="O40" s="44" t="n">
        <f aca="false">SUMPRODUCT(($B$13:$M$13="INTERNE")*$B40:$M40)</f>
        <v>0</v>
      </c>
      <c r="P40" s="44" t="n">
        <f aca="false">SUMPRODUCT(($B$13:$M$13="EXTERNE")*$B40:$M40)</f>
        <v>0</v>
      </c>
      <c r="Q40" s="44" t="n">
        <f aca="false">IF($A40="",0,SUMIFS(ST_ENCOURS,ST_LOT,$A40))</f>
        <v>0</v>
      </c>
      <c r="R40" s="45" t="str">
        <f aca="false">IF($A40="","",IFERROR(INDEX(LOT_EXTE,MATCH($A40,LOT_KEY,0)),""))</f>
        <v/>
      </c>
      <c r="S40" s="45" t="str">
        <f aca="false">IF($A40="","",IFERROR(INDEX(LOT_DECISION,MATCH($A40,LOT_KEY,0)),""))</f>
        <v/>
      </c>
      <c r="T40" s="44" t="n">
        <f aca="false">IF($S40="BLOQUER",MAX(0,$N40),0)</f>
        <v>0</v>
      </c>
      <c r="U40" s="46" t="str">
        <f aca="false">IF($A40="","",IF($N40&lt;-0.001,"STOCK NEGATIF - ANOMALIE",IF($T40&gt;0,"BLOQUE QUALITE","")))</f>
        <v/>
      </c>
    </row>
    <row r="41" customFormat="false" ht="15" hidden="false" customHeight="false" outlineLevel="0" collapsed="false">
      <c r="A41" s="41" t="str">
        <f aca="false">IF(LOTS!$A31="","",LOTS!$A31)</f>
        <v/>
      </c>
      <c r="B41" s="42" t="n">
        <f aca="false">IF(OR($A41="",B$14=""),0,SUMIFS(MVT_NET,MVT_LOT,$A41,MVT_EMPL,B$14))</f>
        <v>0</v>
      </c>
      <c r="C41" s="42" t="n">
        <f aca="false">IF(OR($A41="",C$14=""),0,SUMIFS(MVT_NET,MVT_LOT,$A41,MVT_EMPL,C$14))</f>
        <v>0</v>
      </c>
      <c r="D41" s="42" t="n">
        <f aca="false">IF(OR($A41="",D$14=""),0,SUMIFS(MVT_NET,MVT_LOT,$A41,MVT_EMPL,D$14))</f>
        <v>0</v>
      </c>
      <c r="E41" s="42" t="n">
        <f aca="false">IF(OR($A41="",E$14=""),0,SUMIFS(MVT_NET,MVT_LOT,$A41,MVT_EMPL,E$14))</f>
        <v>0</v>
      </c>
      <c r="F41" s="42" t="n">
        <f aca="false">IF(OR($A41="",F$14=""),0,SUMIFS(MVT_NET,MVT_LOT,$A41,MVT_EMPL,F$14))</f>
        <v>0</v>
      </c>
      <c r="G41" s="42" t="n">
        <f aca="false">IF(OR($A41="",G$14=""),0,SUMIFS(MVT_NET,MVT_LOT,$A41,MVT_EMPL,G$14))</f>
        <v>0</v>
      </c>
      <c r="H41" s="42" t="n">
        <f aca="false">IF(OR($A41="",H$14=""),0,SUMIFS(MVT_NET,MVT_LOT,$A41,MVT_EMPL,H$14))</f>
        <v>0</v>
      </c>
      <c r="I41" s="42" t="n">
        <f aca="false">IF(OR($A41="",I$14=""),0,SUMIFS(MVT_NET,MVT_LOT,$A41,MVT_EMPL,I$14))</f>
        <v>0</v>
      </c>
      <c r="J41" s="42" t="n">
        <f aca="false">IF(OR($A41="",J$14=""),0,SUMIFS(MVT_NET,MVT_LOT,$A41,MVT_EMPL,J$14))</f>
        <v>0</v>
      </c>
      <c r="K41" s="42" t="n">
        <f aca="false">IF(OR($A41="",K$14=""),0,SUMIFS(MVT_NET,MVT_LOT,$A41,MVT_EMPL,K$14))</f>
        <v>0</v>
      </c>
      <c r="L41" s="42" t="n">
        <f aca="false">IF(OR($A41="",L$14=""),0,SUMIFS(MVT_NET,MVT_LOT,$A41,MVT_EMPL,L$14))</f>
        <v>0</v>
      </c>
      <c r="M41" s="42" t="n">
        <f aca="false">IF(OR($A41="",M$14=""),0,SUMIFS(MVT_NET,MVT_LOT,$A41,MVT_EMPL,M$14))</f>
        <v>0</v>
      </c>
      <c r="N41" s="43" t="n">
        <f aca="false">SUM($B41:$M41)</f>
        <v>0</v>
      </c>
      <c r="O41" s="44" t="n">
        <f aca="false">SUMPRODUCT(($B$13:$M$13="INTERNE")*$B41:$M41)</f>
        <v>0</v>
      </c>
      <c r="P41" s="44" t="n">
        <f aca="false">SUMPRODUCT(($B$13:$M$13="EXTERNE")*$B41:$M41)</f>
        <v>0</v>
      </c>
      <c r="Q41" s="44" t="n">
        <f aca="false">IF($A41="",0,SUMIFS(ST_ENCOURS,ST_LOT,$A41))</f>
        <v>0</v>
      </c>
      <c r="R41" s="45" t="str">
        <f aca="false">IF($A41="","",IFERROR(INDEX(LOT_EXTE,MATCH($A41,LOT_KEY,0)),""))</f>
        <v/>
      </c>
      <c r="S41" s="45" t="str">
        <f aca="false">IF($A41="","",IFERROR(INDEX(LOT_DECISION,MATCH($A41,LOT_KEY,0)),""))</f>
        <v/>
      </c>
      <c r="T41" s="44" t="n">
        <f aca="false">IF($S41="BLOQUER",MAX(0,$N41),0)</f>
        <v>0</v>
      </c>
      <c r="U41" s="46" t="str">
        <f aca="false">IF($A41="","",IF($N41&lt;-0.001,"STOCK NEGATIF - ANOMALIE",IF($T41&gt;0,"BLOQUE QUALITE","")))</f>
        <v/>
      </c>
    </row>
    <row r="42" customFormat="false" ht="15" hidden="false" customHeight="false" outlineLevel="0" collapsed="false">
      <c r="A42" s="41" t="str">
        <f aca="false">IF(LOTS!$A32="","",LOTS!$A32)</f>
        <v/>
      </c>
      <c r="B42" s="42" t="n">
        <f aca="false">IF(OR($A42="",B$14=""),0,SUMIFS(MVT_NET,MVT_LOT,$A42,MVT_EMPL,B$14))</f>
        <v>0</v>
      </c>
      <c r="C42" s="42" t="n">
        <f aca="false">IF(OR($A42="",C$14=""),0,SUMIFS(MVT_NET,MVT_LOT,$A42,MVT_EMPL,C$14))</f>
        <v>0</v>
      </c>
      <c r="D42" s="42" t="n">
        <f aca="false">IF(OR($A42="",D$14=""),0,SUMIFS(MVT_NET,MVT_LOT,$A42,MVT_EMPL,D$14))</f>
        <v>0</v>
      </c>
      <c r="E42" s="42" t="n">
        <f aca="false">IF(OR($A42="",E$14=""),0,SUMIFS(MVT_NET,MVT_LOT,$A42,MVT_EMPL,E$14))</f>
        <v>0</v>
      </c>
      <c r="F42" s="42" t="n">
        <f aca="false">IF(OR($A42="",F$14=""),0,SUMIFS(MVT_NET,MVT_LOT,$A42,MVT_EMPL,F$14))</f>
        <v>0</v>
      </c>
      <c r="G42" s="42" t="n">
        <f aca="false">IF(OR($A42="",G$14=""),0,SUMIFS(MVT_NET,MVT_LOT,$A42,MVT_EMPL,G$14))</f>
        <v>0</v>
      </c>
      <c r="H42" s="42" t="n">
        <f aca="false">IF(OR($A42="",H$14=""),0,SUMIFS(MVT_NET,MVT_LOT,$A42,MVT_EMPL,H$14))</f>
        <v>0</v>
      </c>
      <c r="I42" s="42" t="n">
        <f aca="false">IF(OR($A42="",I$14=""),0,SUMIFS(MVT_NET,MVT_LOT,$A42,MVT_EMPL,I$14))</f>
        <v>0</v>
      </c>
      <c r="J42" s="42" t="n">
        <f aca="false">IF(OR($A42="",J$14=""),0,SUMIFS(MVT_NET,MVT_LOT,$A42,MVT_EMPL,J$14))</f>
        <v>0</v>
      </c>
      <c r="K42" s="42" t="n">
        <f aca="false">IF(OR($A42="",K$14=""),0,SUMIFS(MVT_NET,MVT_LOT,$A42,MVT_EMPL,K$14))</f>
        <v>0</v>
      </c>
      <c r="L42" s="42" t="n">
        <f aca="false">IF(OR($A42="",L$14=""),0,SUMIFS(MVT_NET,MVT_LOT,$A42,MVT_EMPL,L$14))</f>
        <v>0</v>
      </c>
      <c r="M42" s="42" t="n">
        <f aca="false">IF(OR($A42="",M$14=""),0,SUMIFS(MVT_NET,MVT_LOT,$A42,MVT_EMPL,M$14))</f>
        <v>0</v>
      </c>
      <c r="N42" s="43" t="n">
        <f aca="false">SUM($B42:$M42)</f>
        <v>0</v>
      </c>
      <c r="O42" s="44" t="n">
        <f aca="false">SUMPRODUCT(($B$13:$M$13="INTERNE")*$B42:$M42)</f>
        <v>0</v>
      </c>
      <c r="P42" s="44" t="n">
        <f aca="false">SUMPRODUCT(($B$13:$M$13="EXTERNE")*$B42:$M42)</f>
        <v>0</v>
      </c>
      <c r="Q42" s="44" t="n">
        <f aca="false">IF($A42="",0,SUMIFS(ST_ENCOURS,ST_LOT,$A42))</f>
        <v>0</v>
      </c>
      <c r="R42" s="45" t="str">
        <f aca="false">IF($A42="","",IFERROR(INDEX(LOT_EXTE,MATCH($A42,LOT_KEY,0)),""))</f>
        <v/>
      </c>
      <c r="S42" s="45" t="str">
        <f aca="false">IF($A42="","",IFERROR(INDEX(LOT_DECISION,MATCH($A42,LOT_KEY,0)),""))</f>
        <v/>
      </c>
      <c r="T42" s="44" t="n">
        <f aca="false">IF($S42="BLOQUER",MAX(0,$N42),0)</f>
        <v>0</v>
      </c>
      <c r="U42" s="46" t="str">
        <f aca="false">IF($A42="","",IF($N42&lt;-0.001,"STOCK NEGATIF - ANOMALIE",IF($T42&gt;0,"BLOQUE QUALITE","")))</f>
        <v/>
      </c>
    </row>
    <row r="43" customFormat="false" ht="15" hidden="false" customHeight="false" outlineLevel="0" collapsed="false">
      <c r="A43" s="41" t="str">
        <f aca="false">IF(LOTS!$A33="","",LOTS!$A33)</f>
        <v/>
      </c>
      <c r="B43" s="42" t="n">
        <f aca="false">IF(OR($A43="",B$14=""),0,SUMIFS(MVT_NET,MVT_LOT,$A43,MVT_EMPL,B$14))</f>
        <v>0</v>
      </c>
      <c r="C43" s="42" t="n">
        <f aca="false">IF(OR($A43="",C$14=""),0,SUMIFS(MVT_NET,MVT_LOT,$A43,MVT_EMPL,C$14))</f>
        <v>0</v>
      </c>
      <c r="D43" s="42" t="n">
        <f aca="false">IF(OR($A43="",D$14=""),0,SUMIFS(MVT_NET,MVT_LOT,$A43,MVT_EMPL,D$14))</f>
        <v>0</v>
      </c>
      <c r="E43" s="42" t="n">
        <f aca="false">IF(OR($A43="",E$14=""),0,SUMIFS(MVT_NET,MVT_LOT,$A43,MVT_EMPL,E$14))</f>
        <v>0</v>
      </c>
      <c r="F43" s="42" t="n">
        <f aca="false">IF(OR($A43="",F$14=""),0,SUMIFS(MVT_NET,MVT_LOT,$A43,MVT_EMPL,F$14))</f>
        <v>0</v>
      </c>
      <c r="G43" s="42" t="n">
        <f aca="false">IF(OR($A43="",G$14=""),0,SUMIFS(MVT_NET,MVT_LOT,$A43,MVT_EMPL,G$14))</f>
        <v>0</v>
      </c>
      <c r="H43" s="42" t="n">
        <f aca="false">IF(OR($A43="",H$14=""),0,SUMIFS(MVT_NET,MVT_LOT,$A43,MVT_EMPL,H$14))</f>
        <v>0</v>
      </c>
      <c r="I43" s="42" t="n">
        <f aca="false">IF(OR($A43="",I$14=""),0,SUMIFS(MVT_NET,MVT_LOT,$A43,MVT_EMPL,I$14))</f>
        <v>0</v>
      </c>
      <c r="J43" s="42" t="n">
        <f aca="false">IF(OR($A43="",J$14=""),0,SUMIFS(MVT_NET,MVT_LOT,$A43,MVT_EMPL,J$14))</f>
        <v>0</v>
      </c>
      <c r="K43" s="42" t="n">
        <f aca="false">IF(OR($A43="",K$14=""),0,SUMIFS(MVT_NET,MVT_LOT,$A43,MVT_EMPL,K$14))</f>
        <v>0</v>
      </c>
      <c r="L43" s="42" t="n">
        <f aca="false">IF(OR($A43="",L$14=""),0,SUMIFS(MVT_NET,MVT_LOT,$A43,MVT_EMPL,L$14))</f>
        <v>0</v>
      </c>
      <c r="M43" s="42" t="n">
        <f aca="false">IF(OR($A43="",M$14=""),0,SUMIFS(MVT_NET,MVT_LOT,$A43,MVT_EMPL,M$14))</f>
        <v>0</v>
      </c>
      <c r="N43" s="43" t="n">
        <f aca="false">SUM($B43:$M43)</f>
        <v>0</v>
      </c>
      <c r="O43" s="44" t="n">
        <f aca="false">SUMPRODUCT(($B$13:$M$13="INTERNE")*$B43:$M43)</f>
        <v>0</v>
      </c>
      <c r="P43" s="44" t="n">
        <f aca="false">SUMPRODUCT(($B$13:$M$13="EXTERNE")*$B43:$M43)</f>
        <v>0</v>
      </c>
      <c r="Q43" s="44" t="n">
        <f aca="false">IF($A43="",0,SUMIFS(ST_ENCOURS,ST_LOT,$A43))</f>
        <v>0</v>
      </c>
      <c r="R43" s="45" t="str">
        <f aca="false">IF($A43="","",IFERROR(INDEX(LOT_EXTE,MATCH($A43,LOT_KEY,0)),""))</f>
        <v/>
      </c>
      <c r="S43" s="45" t="str">
        <f aca="false">IF($A43="","",IFERROR(INDEX(LOT_DECISION,MATCH($A43,LOT_KEY,0)),""))</f>
        <v/>
      </c>
      <c r="T43" s="44" t="n">
        <f aca="false">IF($S43="BLOQUER",MAX(0,$N43),0)</f>
        <v>0</v>
      </c>
      <c r="U43" s="46" t="str">
        <f aca="false">IF($A43="","",IF($N43&lt;-0.001,"STOCK NEGATIF - ANOMALIE",IF($T43&gt;0,"BLOQUE QUALITE","")))</f>
        <v/>
      </c>
    </row>
    <row r="44" customFormat="false" ht="15" hidden="false" customHeight="false" outlineLevel="0" collapsed="false">
      <c r="A44" s="41" t="str">
        <f aca="false">IF(LOTS!$A34="","",LOTS!$A34)</f>
        <v/>
      </c>
      <c r="B44" s="42" t="n">
        <f aca="false">IF(OR($A44="",B$14=""),0,SUMIFS(MVT_NET,MVT_LOT,$A44,MVT_EMPL,B$14))</f>
        <v>0</v>
      </c>
      <c r="C44" s="42" t="n">
        <f aca="false">IF(OR($A44="",C$14=""),0,SUMIFS(MVT_NET,MVT_LOT,$A44,MVT_EMPL,C$14))</f>
        <v>0</v>
      </c>
      <c r="D44" s="42" t="n">
        <f aca="false">IF(OR($A44="",D$14=""),0,SUMIFS(MVT_NET,MVT_LOT,$A44,MVT_EMPL,D$14))</f>
        <v>0</v>
      </c>
      <c r="E44" s="42" t="n">
        <f aca="false">IF(OR($A44="",E$14=""),0,SUMIFS(MVT_NET,MVT_LOT,$A44,MVT_EMPL,E$14))</f>
        <v>0</v>
      </c>
      <c r="F44" s="42" t="n">
        <f aca="false">IF(OR($A44="",F$14=""),0,SUMIFS(MVT_NET,MVT_LOT,$A44,MVT_EMPL,F$14))</f>
        <v>0</v>
      </c>
      <c r="G44" s="42" t="n">
        <f aca="false">IF(OR($A44="",G$14=""),0,SUMIFS(MVT_NET,MVT_LOT,$A44,MVT_EMPL,G$14))</f>
        <v>0</v>
      </c>
      <c r="H44" s="42" t="n">
        <f aca="false">IF(OR($A44="",H$14=""),0,SUMIFS(MVT_NET,MVT_LOT,$A44,MVT_EMPL,H$14))</f>
        <v>0</v>
      </c>
      <c r="I44" s="42" t="n">
        <f aca="false">IF(OR($A44="",I$14=""),0,SUMIFS(MVT_NET,MVT_LOT,$A44,MVT_EMPL,I$14))</f>
        <v>0</v>
      </c>
      <c r="J44" s="42" t="n">
        <f aca="false">IF(OR($A44="",J$14=""),0,SUMIFS(MVT_NET,MVT_LOT,$A44,MVT_EMPL,J$14))</f>
        <v>0</v>
      </c>
      <c r="K44" s="42" t="n">
        <f aca="false">IF(OR($A44="",K$14=""),0,SUMIFS(MVT_NET,MVT_LOT,$A44,MVT_EMPL,K$14))</f>
        <v>0</v>
      </c>
      <c r="L44" s="42" t="n">
        <f aca="false">IF(OR($A44="",L$14=""),0,SUMIFS(MVT_NET,MVT_LOT,$A44,MVT_EMPL,L$14))</f>
        <v>0</v>
      </c>
      <c r="M44" s="42" t="n">
        <f aca="false">IF(OR($A44="",M$14=""),0,SUMIFS(MVT_NET,MVT_LOT,$A44,MVT_EMPL,M$14))</f>
        <v>0</v>
      </c>
      <c r="N44" s="43" t="n">
        <f aca="false">SUM($B44:$M44)</f>
        <v>0</v>
      </c>
      <c r="O44" s="44" t="n">
        <f aca="false">SUMPRODUCT(($B$13:$M$13="INTERNE")*$B44:$M44)</f>
        <v>0</v>
      </c>
      <c r="P44" s="44" t="n">
        <f aca="false">SUMPRODUCT(($B$13:$M$13="EXTERNE")*$B44:$M44)</f>
        <v>0</v>
      </c>
      <c r="Q44" s="44" t="n">
        <f aca="false">IF($A44="",0,SUMIFS(ST_ENCOURS,ST_LOT,$A44))</f>
        <v>0</v>
      </c>
      <c r="R44" s="45" t="str">
        <f aca="false">IF($A44="","",IFERROR(INDEX(LOT_EXTE,MATCH($A44,LOT_KEY,0)),""))</f>
        <v/>
      </c>
      <c r="S44" s="45" t="str">
        <f aca="false">IF($A44="","",IFERROR(INDEX(LOT_DECISION,MATCH($A44,LOT_KEY,0)),""))</f>
        <v/>
      </c>
      <c r="T44" s="44" t="n">
        <f aca="false">IF($S44="BLOQUER",MAX(0,$N44),0)</f>
        <v>0</v>
      </c>
      <c r="U44" s="46" t="str">
        <f aca="false">IF($A44="","",IF($N44&lt;-0.001,"STOCK NEGATIF - ANOMALIE",IF($T44&gt;0,"BLOQUE QUALITE","")))</f>
        <v/>
      </c>
    </row>
    <row r="45" customFormat="false" ht="15" hidden="false" customHeight="false" outlineLevel="0" collapsed="false">
      <c r="A45" s="41" t="str">
        <f aca="false">IF(LOTS!$A35="","",LOTS!$A35)</f>
        <v/>
      </c>
      <c r="B45" s="42" t="n">
        <f aca="false">IF(OR($A45="",B$14=""),0,SUMIFS(MVT_NET,MVT_LOT,$A45,MVT_EMPL,B$14))</f>
        <v>0</v>
      </c>
      <c r="C45" s="42" t="n">
        <f aca="false">IF(OR($A45="",C$14=""),0,SUMIFS(MVT_NET,MVT_LOT,$A45,MVT_EMPL,C$14))</f>
        <v>0</v>
      </c>
      <c r="D45" s="42" t="n">
        <f aca="false">IF(OR($A45="",D$14=""),0,SUMIFS(MVT_NET,MVT_LOT,$A45,MVT_EMPL,D$14))</f>
        <v>0</v>
      </c>
      <c r="E45" s="42" t="n">
        <f aca="false">IF(OR($A45="",E$14=""),0,SUMIFS(MVT_NET,MVT_LOT,$A45,MVT_EMPL,E$14))</f>
        <v>0</v>
      </c>
      <c r="F45" s="42" t="n">
        <f aca="false">IF(OR($A45="",F$14=""),0,SUMIFS(MVT_NET,MVT_LOT,$A45,MVT_EMPL,F$14))</f>
        <v>0</v>
      </c>
      <c r="G45" s="42" t="n">
        <f aca="false">IF(OR($A45="",G$14=""),0,SUMIFS(MVT_NET,MVT_LOT,$A45,MVT_EMPL,G$14))</f>
        <v>0</v>
      </c>
      <c r="H45" s="42" t="n">
        <f aca="false">IF(OR($A45="",H$14=""),0,SUMIFS(MVT_NET,MVT_LOT,$A45,MVT_EMPL,H$14))</f>
        <v>0</v>
      </c>
      <c r="I45" s="42" t="n">
        <f aca="false">IF(OR($A45="",I$14=""),0,SUMIFS(MVT_NET,MVT_LOT,$A45,MVT_EMPL,I$14))</f>
        <v>0</v>
      </c>
      <c r="J45" s="42" t="n">
        <f aca="false">IF(OR($A45="",J$14=""),0,SUMIFS(MVT_NET,MVT_LOT,$A45,MVT_EMPL,J$14))</f>
        <v>0</v>
      </c>
      <c r="K45" s="42" t="n">
        <f aca="false">IF(OR($A45="",K$14=""),0,SUMIFS(MVT_NET,MVT_LOT,$A45,MVT_EMPL,K$14))</f>
        <v>0</v>
      </c>
      <c r="L45" s="42" t="n">
        <f aca="false">IF(OR($A45="",L$14=""),0,SUMIFS(MVT_NET,MVT_LOT,$A45,MVT_EMPL,L$14))</f>
        <v>0</v>
      </c>
      <c r="M45" s="42" t="n">
        <f aca="false">IF(OR($A45="",M$14=""),0,SUMIFS(MVT_NET,MVT_LOT,$A45,MVT_EMPL,M$14))</f>
        <v>0</v>
      </c>
      <c r="N45" s="43" t="n">
        <f aca="false">SUM($B45:$M45)</f>
        <v>0</v>
      </c>
      <c r="O45" s="44" t="n">
        <f aca="false">SUMPRODUCT(($B$13:$M$13="INTERNE")*$B45:$M45)</f>
        <v>0</v>
      </c>
      <c r="P45" s="44" t="n">
        <f aca="false">SUMPRODUCT(($B$13:$M$13="EXTERNE")*$B45:$M45)</f>
        <v>0</v>
      </c>
      <c r="Q45" s="44" t="n">
        <f aca="false">IF($A45="",0,SUMIFS(ST_ENCOURS,ST_LOT,$A45))</f>
        <v>0</v>
      </c>
      <c r="R45" s="45" t="str">
        <f aca="false">IF($A45="","",IFERROR(INDEX(LOT_EXTE,MATCH($A45,LOT_KEY,0)),""))</f>
        <v/>
      </c>
      <c r="S45" s="45" t="str">
        <f aca="false">IF($A45="","",IFERROR(INDEX(LOT_DECISION,MATCH($A45,LOT_KEY,0)),""))</f>
        <v/>
      </c>
      <c r="T45" s="44" t="n">
        <f aca="false">IF($S45="BLOQUER",MAX(0,$N45),0)</f>
        <v>0</v>
      </c>
      <c r="U45" s="46" t="str">
        <f aca="false">IF($A45="","",IF($N45&lt;-0.001,"STOCK NEGATIF - ANOMALIE",IF($T45&gt;0,"BLOQUE QUALITE","")))</f>
        <v/>
      </c>
    </row>
    <row r="46" customFormat="false" ht="15" hidden="false" customHeight="false" outlineLevel="0" collapsed="false">
      <c r="A46" s="41" t="str">
        <f aca="false">IF(LOTS!$A36="","",LOTS!$A36)</f>
        <v/>
      </c>
      <c r="B46" s="42" t="n">
        <f aca="false">IF(OR($A46="",B$14=""),0,SUMIFS(MVT_NET,MVT_LOT,$A46,MVT_EMPL,B$14))</f>
        <v>0</v>
      </c>
      <c r="C46" s="42" t="n">
        <f aca="false">IF(OR($A46="",C$14=""),0,SUMIFS(MVT_NET,MVT_LOT,$A46,MVT_EMPL,C$14))</f>
        <v>0</v>
      </c>
      <c r="D46" s="42" t="n">
        <f aca="false">IF(OR($A46="",D$14=""),0,SUMIFS(MVT_NET,MVT_LOT,$A46,MVT_EMPL,D$14))</f>
        <v>0</v>
      </c>
      <c r="E46" s="42" t="n">
        <f aca="false">IF(OR($A46="",E$14=""),0,SUMIFS(MVT_NET,MVT_LOT,$A46,MVT_EMPL,E$14))</f>
        <v>0</v>
      </c>
      <c r="F46" s="42" t="n">
        <f aca="false">IF(OR($A46="",F$14=""),0,SUMIFS(MVT_NET,MVT_LOT,$A46,MVT_EMPL,F$14))</f>
        <v>0</v>
      </c>
      <c r="G46" s="42" t="n">
        <f aca="false">IF(OR($A46="",G$14=""),0,SUMIFS(MVT_NET,MVT_LOT,$A46,MVT_EMPL,G$14))</f>
        <v>0</v>
      </c>
      <c r="H46" s="42" t="n">
        <f aca="false">IF(OR($A46="",H$14=""),0,SUMIFS(MVT_NET,MVT_LOT,$A46,MVT_EMPL,H$14))</f>
        <v>0</v>
      </c>
      <c r="I46" s="42" t="n">
        <f aca="false">IF(OR($A46="",I$14=""),0,SUMIFS(MVT_NET,MVT_LOT,$A46,MVT_EMPL,I$14))</f>
        <v>0</v>
      </c>
      <c r="J46" s="42" t="n">
        <f aca="false">IF(OR($A46="",J$14=""),0,SUMIFS(MVT_NET,MVT_LOT,$A46,MVT_EMPL,J$14))</f>
        <v>0</v>
      </c>
      <c r="K46" s="42" t="n">
        <f aca="false">IF(OR($A46="",K$14=""),0,SUMIFS(MVT_NET,MVT_LOT,$A46,MVT_EMPL,K$14))</f>
        <v>0</v>
      </c>
      <c r="L46" s="42" t="n">
        <f aca="false">IF(OR($A46="",L$14=""),0,SUMIFS(MVT_NET,MVT_LOT,$A46,MVT_EMPL,L$14))</f>
        <v>0</v>
      </c>
      <c r="M46" s="42" t="n">
        <f aca="false">IF(OR($A46="",M$14=""),0,SUMIFS(MVT_NET,MVT_LOT,$A46,MVT_EMPL,M$14))</f>
        <v>0</v>
      </c>
      <c r="N46" s="43" t="n">
        <f aca="false">SUM($B46:$M46)</f>
        <v>0</v>
      </c>
      <c r="O46" s="44" t="n">
        <f aca="false">SUMPRODUCT(($B$13:$M$13="INTERNE")*$B46:$M46)</f>
        <v>0</v>
      </c>
      <c r="P46" s="44" t="n">
        <f aca="false">SUMPRODUCT(($B$13:$M$13="EXTERNE")*$B46:$M46)</f>
        <v>0</v>
      </c>
      <c r="Q46" s="44" t="n">
        <f aca="false">IF($A46="",0,SUMIFS(ST_ENCOURS,ST_LOT,$A46))</f>
        <v>0</v>
      </c>
      <c r="R46" s="45" t="str">
        <f aca="false">IF($A46="","",IFERROR(INDEX(LOT_EXTE,MATCH($A46,LOT_KEY,0)),""))</f>
        <v/>
      </c>
      <c r="S46" s="45" t="str">
        <f aca="false">IF($A46="","",IFERROR(INDEX(LOT_DECISION,MATCH($A46,LOT_KEY,0)),""))</f>
        <v/>
      </c>
      <c r="T46" s="44" t="n">
        <f aca="false">IF($S46="BLOQUER",MAX(0,$N46),0)</f>
        <v>0</v>
      </c>
      <c r="U46" s="46" t="str">
        <f aca="false">IF($A46="","",IF($N46&lt;-0.001,"STOCK NEGATIF - ANOMALIE",IF($T46&gt;0,"BLOQUE QUALITE","")))</f>
        <v/>
      </c>
    </row>
    <row r="47" customFormat="false" ht="15" hidden="false" customHeight="false" outlineLevel="0" collapsed="false">
      <c r="A47" s="41" t="str">
        <f aca="false">IF(LOTS!$A37="","",LOTS!$A37)</f>
        <v/>
      </c>
      <c r="B47" s="42" t="n">
        <f aca="false">IF(OR($A47="",B$14=""),0,SUMIFS(MVT_NET,MVT_LOT,$A47,MVT_EMPL,B$14))</f>
        <v>0</v>
      </c>
      <c r="C47" s="42" t="n">
        <f aca="false">IF(OR($A47="",C$14=""),0,SUMIFS(MVT_NET,MVT_LOT,$A47,MVT_EMPL,C$14))</f>
        <v>0</v>
      </c>
      <c r="D47" s="42" t="n">
        <f aca="false">IF(OR($A47="",D$14=""),0,SUMIFS(MVT_NET,MVT_LOT,$A47,MVT_EMPL,D$14))</f>
        <v>0</v>
      </c>
      <c r="E47" s="42" t="n">
        <f aca="false">IF(OR($A47="",E$14=""),0,SUMIFS(MVT_NET,MVT_LOT,$A47,MVT_EMPL,E$14))</f>
        <v>0</v>
      </c>
      <c r="F47" s="42" t="n">
        <f aca="false">IF(OR($A47="",F$14=""),0,SUMIFS(MVT_NET,MVT_LOT,$A47,MVT_EMPL,F$14))</f>
        <v>0</v>
      </c>
      <c r="G47" s="42" t="n">
        <f aca="false">IF(OR($A47="",G$14=""),0,SUMIFS(MVT_NET,MVT_LOT,$A47,MVT_EMPL,G$14))</f>
        <v>0</v>
      </c>
      <c r="H47" s="42" t="n">
        <f aca="false">IF(OR($A47="",H$14=""),0,SUMIFS(MVT_NET,MVT_LOT,$A47,MVT_EMPL,H$14))</f>
        <v>0</v>
      </c>
      <c r="I47" s="42" t="n">
        <f aca="false">IF(OR($A47="",I$14=""),0,SUMIFS(MVT_NET,MVT_LOT,$A47,MVT_EMPL,I$14))</f>
        <v>0</v>
      </c>
      <c r="J47" s="42" t="n">
        <f aca="false">IF(OR($A47="",J$14=""),0,SUMIFS(MVT_NET,MVT_LOT,$A47,MVT_EMPL,J$14))</f>
        <v>0</v>
      </c>
      <c r="K47" s="42" t="n">
        <f aca="false">IF(OR($A47="",K$14=""),0,SUMIFS(MVT_NET,MVT_LOT,$A47,MVT_EMPL,K$14))</f>
        <v>0</v>
      </c>
      <c r="L47" s="42" t="n">
        <f aca="false">IF(OR($A47="",L$14=""),0,SUMIFS(MVT_NET,MVT_LOT,$A47,MVT_EMPL,L$14))</f>
        <v>0</v>
      </c>
      <c r="M47" s="42" t="n">
        <f aca="false">IF(OR($A47="",M$14=""),0,SUMIFS(MVT_NET,MVT_LOT,$A47,MVT_EMPL,M$14))</f>
        <v>0</v>
      </c>
      <c r="N47" s="43" t="n">
        <f aca="false">SUM($B47:$M47)</f>
        <v>0</v>
      </c>
      <c r="O47" s="44" t="n">
        <f aca="false">SUMPRODUCT(($B$13:$M$13="INTERNE")*$B47:$M47)</f>
        <v>0</v>
      </c>
      <c r="P47" s="44" t="n">
        <f aca="false">SUMPRODUCT(($B$13:$M$13="EXTERNE")*$B47:$M47)</f>
        <v>0</v>
      </c>
      <c r="Q47" s="44" t="n">
        <f aca="false">IF($A47="",0,SUMIFS(ST_ENCOURS,ST_LOT,$A47))</f>
        <v>0</v>
      </c>
      <c r="R47" s="45" t="str">
        <f aca="false">IF($A47="","",IFERROR(INDEX(LOT_EXTE,MATCH($A47,LOT_KEY,0)),""))</f>
        <v/>
      </c>
      <c r="S47" s="45" t="str">
        <f aca="false">IF($A47="","",IFERROR(INDEX(LOT_DECISION,MATCH($A47,LOT_KEY,0)),""))</f>
        <v/>
      </c>
      <c r="T47" s="44" t="n">
        <f aca="false">IF($S47="BLOQUER",MAX(0,$N47),0)</f>
        <v>0</v>
      </c>
      <c r="U47" s="46" t="str">
        <f aca="false">IF($A47="","",IF($N47&lt;-0.001,"STOCK NEGATIF - ANOMALIE",IF($T47&gt;0,"BLOQUE QUALITE","")))</f>
        <v/>
      </c>
    </row>
    <row r="48" customFormat="false" ht="15" hidden="false" customHeight="false" outlineLevel="0" collapsed="false">
      <c r="A48" s="41" t="str">
        <f aca="false">IF(LOTS!$A38="","",LOTS!$A38)</f>
        <v/>
      </c>
      <c r="B48" s="42" t="n">
        <f aca="false">IF(OR($A48="",B$14=""),0,SUMIFS(MVT_NET,MVT_LOT,$A48,MVT_EMPL,B$14))</f>
        <v>0</v>
      </c>
      <c r="C48" s="42" t="n">
        <f aca="false">IF(OR($A48="",C$14=""),0,SUMIFS(MVT_NET,MVT_LOT,$A48,MVT_EMPL,C$14))</f>
        <v>0</v>
      </c>
      <c r="D48" s="42" t="n">
        <f aca="false">IF(OR($A48="",D$14=""),0,SUMIFS(MVT_NET,MVT_LOT,$A48,MVT_EMPL,D$14))</f>
        <v>0</v>
      </c>
      <c r="E48" s="42" t="n">
        <f aca="false">IF(OR($A48="",E$14=""),0,SUMIFS(MVT_NET,MVT_LOT,$A48,MVT_EMPL,E$14))</f>
        <v>0</v>
      </c>
      <c r="F48" s="42" t="n">
        <f aca="false">IF(OR($A48="",F$14=""),0,SUMIFS(MVT_NET,MVT_LOT,$A48,MVT_EMPL,F$14))</f>
        <v>0</v>
      </c>
      <c r="G48" s="42" t="n">
        <f aca="false">IF(OR($A48="",G$14=""),0,SUMIFS(MVT_NET,MVT_LOT,$A48,MVT_EMPL,G$14))</f>
        <v>0</v>
      </c>
      <c r="H48" s="42" t="n">
        <f aca="false">IF(OR($A48="",H$14=""),0,SUMIFS(MVT_NET,MVT_LOT,$A48,MVT_EMPL,H$14))</f>
        <v>0</v>
      </c>
      <c r="I48" s="42" t="n">
        <f aca="false">IF(OR($A48="",I$14=""),0,SUMIFS(MVT_NET,MVT_LOT,$A48,MVT_EMPL,I$14))</f>
        <v>0</v>
      </c>
      <c r="J48" s="42" t="n">
        <f aca="false">IF(OR($A48="",J$14=""),0,SUMIFS(MVT_NET,MVT_LOT,$A48,MVT_EMPL,J$14))</f>
        <v>0</v>
      </c>
      <c r="K48" s="42" t="n">
        <f aca="false">IF(OR($A48="",K$14=""),0,SUMIFS(MVT_NET,MVT_LOT,$A48,MVT_EMPL,K$14))</f>
        <v>0</v>
      </c>
      <c r="L48" s="42" t="n">
        <f aca="false">IF(OR($A48="",L$14=""),0,SUMIFS(MVT_NET,MVT_LOT,$A48,MVT_EMPL,L$14))</f>
        <v>0</v>
      </c>
      <c r="M48" s="42" t="n">
        <f aca="false">IF(OR($A48="",M$14=""),0,SUMIFS(MVT_NET,MVT_LOT,$A48,MVT_EMPL,M$14))</f>
        <v>0</v>
      </c>
      <c r="N48" s="43" t="n">
        <f aca="false">SUM($B48:$M48)</f>
        <v>0</v>
      </c>
      <c r="O48" s="44" t="n">
        <f aca="false">SUMPRODUCT(($B$13:$M$13="INTERNE")*$B48:$M48)</f>
        <v>0</v>
      </c>
      <c r="P48" s="44" t="n">
        <f aca="false">SUMPRODUCT(($B$13:$M$13="EXTERNE")*$B48:$M48)</f>
        <v>0</v>
      </c>
      <c r="Q48" s="44" t="n">
        <f aca="false">IF($A48="",0,SUMIFS(ST_ENCOURS,ST_LOT,$A48))</f>
        <v>0</v>
      </c>
      <c r="R48" s="45" t="str">
        <f aca="false">IF($A48="","",IFERROR(INDEX(LOT_EXTE,MATCH($A48,LOT_KEY,0)),""))</f>
        <v/>
      </c>
      <c r="S48" s="45" t="str">
        <f aca="false">IF($A48="","",IFERROR(INDEX(LOT_DECISION,MATCH($A48,LOT_KEY,0)),""))</f>
        <v/>
      </c>
      <c r="T48" s="44" t="n">
        <f aca="false">IF($S48="BLOQUER",MAX(0,$N48),0)</f>
        <v>0</v>
      </c>
      <c r="U48" s="46" t="str">
        <f aca="false">IF($A48="","",IF($N48&lt;-0.001,"STOCK NEGATIF - ANOMALIE",IF($T48&gt;0,"BLOQUE QUALITE","")))</f>
        <v/>
      </c>
    </row>
    <row r="49" customFormat="false" ht="15" hidden="false" customHeight="false" outlineLevel="0" collapsed="false">
      <c r="A49" s="41" t="str">
        <f aca="false">IF(LOTS!$A39="","",LOTS!$A39)</f>
        <v/>
      </c>
      <c r="B49" s="42" t="n">
        <f aca="false">IF(OR($A49="",B$14=""),0,SUMIFS(MVT_NET,MVT_LOT,$A49,MVT_EMPL,B$14))</f>
        <v>0</v>
      </c>
      <c r="C49" s="42" t="n">
        <f aca="false">IF(OR($A49="",C$14=""),0,SUMIFS(MVT_NET,MVT_LOT,$A49,MVT_EMPL,C$14))</f>
        <v>0</v>
      </c>
      <c r="D49" s="42" t="n">
        <f aca="false">IF(OR($A49="",D$14=""),0,SUMIFS(MVT_NET,MVT_LOT,$A49,MVT_EMPL,D$14))</f>
        <v>0</v>
      </c>
      <c r="E49" s="42" t="n">
        <f aca="false">IF(OR($A49="",E$14=""),0,SUMIFS(MVT_NET,MVT_LOT,$A49,MVT_EMPL,E$14))</f>
        <v>0</v>
      </c>
      <c r="F49" s="42" t="n">
        <f aca="false">IF(OR($A49="",F$14=""),0,SUMIFS(MVT_NET,MVT_LOT,$A49,MVT_EMPL,F$14))</f>
        <v>0</v>
      </c>
      <c r="G49" s="42" t="n">
        <f aca="false">IF(OR($A49="",G$14=""),0,SUMIFS(MVT_NET,MVT_LOT,$A49,MVT_EMPL,G$14))</f>
        <v>0</v>
      </c>
      <c r="H49" s="42" t="n">
        <f aca="false">IF(OR($A49="",H$14=""),0,SUMIFS(MVT_NET,MVT_LOT,$A49,MVT_EMPL,H$14))</f>
        <v>0</v>
      </c>
      <c r="I49" s="42" t="n">
        <f aca="false">IF(OR($A49="",I$14=""),0,SUMIFS(MVT_NET,MVT_LOT,$A49,MVT_EMPL,I$14))</f>
        <v>0</v>
      </c>
      <c r="J49" s="42" t="n">
        <f aca="false">IF(OR($A49="",J$14=""),0,SUMIFS(MVT_NET,MVT_LOT,$A49,MVT_EMPL,J$14))</f>
        <v>0</v>
      </c>
      <c r="K49" s="42" t="n">
        <f aca="false">IF(OR($A49="",K$14=""),0,SUMIFS(MVT_NET,MVT_LOT,$A49,MVT_EMPL,K$14))</f>
        <v>0</v>
      </c>
      <c r="L49" s="42" t="n">
        <f aca="false">IF(OR($A49="",L$14=""),0,SUMIFS(MVT_NET,MVT_LOT,$A49,MVT_EMPL,L$14))</f>
        <v>0</v>
      </c>
      <c r="M49" s="42" t="n">
        <f aca="false">IF(OR($A49="",M$14=""),0,SUMIFS(MVT_NET,MVT_LOT,$A49,MVT_EMPL,M$14))</f>
        <v>0</v>
      </c>
      <c r="N49" s="43" t="n">
        <f aca="false">SUM($B49:$M49)</f>
        <v>0</v>
      </c>
      <c r="O49" s="44" t="n">
        <f aca="false">SUMPRODUCT(($B$13:$M$13="INTERNE")*$B49:$M49)</f>
        <v>0</v>
      </c>
      <c r="P49" s="44" t="n">
        <f aca="false">SUMPRODUCT(($B$13:$M$13="EXTERNE")*$B49:$M49)</f>
        <v>0</v>
      </c>
      <c r="Q49" s="44" t="n">
        <f aca="false">IF($A49="",0,SUMIFS(ST_ENCOURS,ST_LOT,$A49))</f>
        <v>0</v>
      </c>
      <c r="R49" s="45" t="str">
        <f aca="false">IF($A49="","",IFERROR(INDEX(LOT_EXTE,MATCH($A49,LOT_KEY,0)),""))</f>
        <v/>
      </c>
      <c r="S49" s="45" t="str">
        <f aca="false">IF($A49="","",IFERROR(INDEX(LOT_DECISION,MATCH($A49,LOT_KEY,0)),""))</f>
        <v/>
      </c>
      <c r="T49" s="44" t="n">
        <f aca="false">IF($S49="BLOQUER",MAX(0,$N49),0)</f>
        <v>0</v>
      </c>
      <c r="U49" s="46" t="str">
        <f aca="false">IF($A49="","",IF($N49&lt;-0.001,"STOCK NEGATIF - ANOMALIE",IF($T49&gt;0,"BLOQUE QUALITE","")))</f>
        <v/>
      </c>
    </row>
    <row r="50" customFormat="false" ht="15" hidden="false" customHeight="false" outlineLevel="0" collapsed="false">
      <c r="A50" s="41" t="str">
        <f aca="false">IF(LOTS!$A40="","",LOTS!$A40)</f>
        <v/>
      </c>
      <c r="B50" s="42" t="n">
        <f aca="false">IF(OR($A50="",B$14=""),0,SUMIFS(MVT_NET,MVT_LOT,$A50,MVT_EMPL,B$14))</f>
        <v>0</v>
      </c>
      <c r="C50" s="42" t="n">
        <f aca="false">IF(OR($A50="",C$14=""),0,SUMIFS(MVT_NET,MVT_LOT,$A50,MVT_EMPL,C$14))</f>
        <v>0</v>
      </c>
      <c r="D50" s="42" t="n">
        <f aca="false">IF(OR($A50="",D$14=""),0,SUMIFS(MVT_NET,MVT_LOT,$A50,MVT_EMPL,D$14))</f>
        <v>0</v>
      </c>
      <c r="E50" s="42" t="n">
        <f aca="false">IF(OR($A50="",E$14=""),0,SUMIFS(MVT_NET,MVT_LOT,$A50,MVT_EMPL,E$14))</f>
        <v>0</v>
      </c>
      <c r="F50" s="42" t="n">
        <f aca="false">IF(OR($A50="",F$14=""),0,SUMIFS(MVT_NET,MVT_LOT,$A50,MVT_EMPL,F$14))</f>
        <v>0</v>
      </c>
      <c r="G50" s="42" t="n">
        <f aca="false">IF(OR($A50="",G$14=""),0,SUMIFS(MVT_NET,MVT_LOT,$A50,MVT_EMPL,G$14))</f>
        <v>0</v>
      </c>
      <c r="H50" s="42" t="n">
        <f aca="false">IF(OR($A50="",H$14=""),0,SUMIFS(MVT_NET,MVT_LOT,$A50,MVT_EMPL,H$14))</f>
        <v>0</v>
      </c>
      <c r="I50" s="42" t="n">
        <f aca="false">IF(OR($A50="",I$14=""),0,SUMIFS(MVT_NET,MVT_LOT,$A50,MVT_EMPL,I$14))</f>
        <v>0</v>
      </c>
      <c r="J50" s="42" t="n">
        <f aca="false">IF(OR($A50="",J$14=""),0,SUMIFS(MVT_NET,MVT_LOT,$A50,MVT_EMPL,J$14))</f>
        <v>0</v>
      </c>
      <c r="K50" s="42" t="n">
        <f aca="false">IF(OR($A50="",K$14=""),0,SUMIFS(MVT_NET,MVT_LOT,$A50,MVT_EMPL,K$14))</f>
        <v>0</v>
      </c>
      <c r="L50" s="42" t="n">
        <f aca="false">IF(OR($A50="",L$14=""),0,SUMIFS(MVT_NET,MVT_LOT,$A50,MVT_EMPL,L$14))</f>
        <v>0</v>
      </c>
      <c r="M50" s="42" t="n">
        <f aca="false">IF(OR($A50="",M$14=""),0,SUMIFS(MVT_NET,MVT_LOT,$A50,MVT_EMPL,M$14))</f>
        <v>0</v>
      </c>
      <c r="N50" s="43" t="n">
        <f aca="false">SUM($B50:$M50)</f>
        <v>0</v>
      </c>
      <c r="O50" s="44" t="n">
        <f aca="false">SUMPRODUCT(($B$13:$M$13="INTERNE")*$B50:$M50)</f>
        <v>0</v>
      </c>
      <c r="P50" s="44" t="n">
        <f aca="false">SUMPRODUCT(($B$13:$M$13="EXTERNE")*$B50:$M50)</f>
        <v>0</v>
      </c>
      <c r="Q50" s="44" t="n">
        <f aca="false">IF($A50="",0,SUMIFS(ST_ENCOURS,ST_LOT,$A50))</f>
        <v>0</v>
      </c>
      <c r="R50" s="45" t="str">
        <f aca="false">IF($A50="","",IFERROR(INDEX(LOT_EXTE,MATCH($A50,LOT_KEY,0)),""))</f>
        <v/>
      </c>
      <c r="S50" s="45" t="str">
        <f aca="false">IF($A50="","",IFERROR(INDEX(LOT_DECISION,MATCH($A50,LOT_KEY,0)),""))</f>
        <v/>
      </c>
      <c r="T50" s="44" t="n">
        <f aca="false">IF($S50="BLOQUER",MAX(0,$N50),0)</f>
        <v>0</v>
      </c>
      <c r="U50" s="46" t="str">
        <f aca="false">IF($A50="","",IF($N50&lt;-0.001,"STOCK NEGATIF - ANOMALIE",IF($T50&gt;0,"BLOQUE QUALITE","")))</f>
        <v/>
      </c>
    </row>
    <row r="51" customFormat="false" ht="15" hidden="false" customHeight="false" outlineLevel="0" collapsed="false">
      <c r="A51" s="41" t="str">
        <f aca="false">IF(LOTS!$A41="","",LOTS!$A41)</f>
        <v/>
      </c>
      <c r="B51" s="42" t="n">
        <f aca="false">IF(OR($A51="",B$14=""),0,SUMIFS(MVT_NET,MVT_LOT,$A51,MVT_EMPL,B$14))</f>
        <v>0</v>
      </c>
      <c r="C51" s="42" t="n">
        <f aca="false">IF(OR($A51="",C$14=""),0,SUMIFS(MVT_NET,MVT_LOT,$A51,MVT_EMPL,C$14))</f>
        <v>0</v>
      </c>
      <c r="D51" s="42" t="n">
        <f aca="false">IF(OR($A51="",D$14=""),0,SUMIFS(MVT_NET,MVT_LOT,$A51,MVT_EMPL,D$14))</f>
        <v>0</v>
      </c>
      <c r="E51" s="42" t="n">
        <f aca="false">IF(OR($A51="",E$14=""),0,SUMIFS(MVT_NET,MVT_LOT,$A51,MVT_EMPL,E$14))</f>
        <v>0</v>
      </c>
      <c r="F51" s="42" t="n">
        <f aca="false">IF(OR($A51="",F$14=""),0,SUMIFS(MVT_NET,MVT_LOT,$A51,MVT_EMPL,F$14))</f>
        <v>0</v>
      </c>
      <c r="G51" s="42" t="n">
        <f aca="false">IF(OR($A51="",G$14=""),0,SUMIFS(MVT_NET,MVT_LOT,$A51,MVT_EMPL,G$14))</f>
        <v>0</v>
      </c>
      <c r="H51" s="42" t="n">
        <f aca="false">IF(OR($A51="",H$14=""),0,SUMIFS(MVT_NET,MVT_LOT,$A51,MVT_EMPL,H$14))</f>
        <v>0</v>
      </c>
      <c r="I51" s="42" t="n">
        <f aca="false">IF(OR($A51="",I$14=""),0,SUMIFS(MVT_NET,MVT_LOT,$A51,MVT_EMPL,I$14))</f>
        <v>0</v>
      </c>
      <c r="J51" s="42" t="n">
        <f aca="false">IF(OR($A51="",J$14=""),0,SUMIFS(MVT_NET,MVT_LOT,$A51,MVT_EMPL,J$14))</f>
        <v>0</v>
      </c>
      <c r="K51" s="42" t="n">
        <f aca="false">IF(OR($A51="",K$14=""),0,SUMIFS(MVT_NET,MVT_LOT,$A51,MVT_EMPL,K$14))</f>
        <v>0</v>
      </c>
      <c r="L51" s="42" t="n">
        <f aca="false">IF(OR($A51="",L$14=""),0,SUMIFS(MVT_NET,MVT_LOT,$A51,MVT_EMPL,L$14))</f>
        <v>0</v>
      </c>
      <c r="M51" s="42" t="n">
        <f aca="false">IF(OR($A51="",M$14=""),0,SUMIFS(MVT_NET,MVT_LOT,$A51,MVT_EMPL,M$14))</f>
        <v>0</v>
      </c>
      <c r="N51" s="43" t="n">
        <f aca="false">SUM($B51:$M51)</f>
        <v>0</v>
      </c>
      <c r="O51" s="44" t="n">
        <f aca="false">SUMPRODUCT(($B$13:$M$13="INTERNE")*$B51:$M51)</f>
        <v>0</v>
      </c>
      <c r="P51" s="44" t="n">
        <f aca="false">SUMPRODUCT(($B$13:$M$13="EXTERNE")*$B51:$M51)</f>
        <v>0</v>
      </c>
      <c r="Q51" s="44" t="n">
        <f aca="false">IF($A51="",0,SUMIFS(ST_ENCOURS,ST_LOT,$A51))</f>
        <v>0</v>
      </c>
      <c r="R51" s="45" t="str">
        <f aca="false">IF($A51="","",IFERROR(INDEX(LOT_EXTE,MATCH($A51,LOT_KEY,0)),""))</f>
        <v/>
      </c>
      <c r="S51" s="45" t="str">
        <f aca="false">IF($A51="","",IFERROR(INDEX(LOT_DECISION,MATCH($A51,LOT_KEY,0)),""))</f>
        <v/>
      </c>
      <c r="T51" s="44" t="n">
        <f aca="false">IF($S51="BLOQUER",MAX(0,$N51),0)</f>
        <v>0</v>
      </c>
      <c r="U51" s="46" t="str">
        <f aca="false">IF($A51="","",IF($N51&lt;-0.001,"STOCK NEGATIF - ANOMALIE",IF($T51&gt;0,"BLOQUE QUALITE","")))</f>
        <v/>
      </c>
    </row>
    <row r="52" customFormat="false" ht="15" hidden="false" customHeight="false" outlineLevel="0" collapsed="false">
      <c r="A52" s="41" t="str">
        <f aca="false">IF(LOTS!$A42="","",LOTS!$A42)</f>
        <v/>
      </c>
      <c r="B52" s="42" t="n">
        <f aca="false">IF(OR($A52="",B$14=""),0,SUMIFS(MVT_NET,MVT_LOT,$A52,MVT_EMPL,B$14))</f>
        <v>0</v>
      </c>
      <c r="C52" s="42" t="n">
        <f aca="false">IF(OR($A52="",C$14=""),0,SUMIFS(MVT_NET,MVT_LOT,$A52,MVT_EMPL,C$14))</f>
        <v>0</v>
      </c>
      <c r="D52" s="42" t="n">
        <f aca="false">IF(OR($A52="",D$14=""),0,SUMIFS(MVT_NET,MVT_LOT,$A52,MVT_EMPL,D$14))</f>
        <v>0</v>
      </c>
      <c r="E52" s="42" t="n">
        <f aca="false">IF(OR($A52="",E$14=""),0,SUMIFS(MVT_NET,MVT_LOT,$A52,MVT_EMPL,E$14))</f>
        <v>0</v>
      </c>
      <c r="F52" s="42" t="n">
        <f aca="false">IF(OR($A52="",F$14=""),0,SUMIFS(MVT_NET,MVT_LOT,$A52,MVT_EMPL,F$14))</f>
        <v>0</v>
      </c>
      <c r="G52" s="42" t="n">
        <f aca="false">IF(OR($A52="",G$14=""),0,SUMIFS(MVT_NET,MVT_LOT,$A52,MVT_EMPL,G$14))</f>
        <v>0</v>
      </c>
      <c r="H52" s="42" t="n">
        <f aca="false">IF(OR($A52="",H$14=""),0,SUMIFS(MVT_NET,MVT_LOT,$A52,MVT_EMPL,H$14))</f>
        <v>0</v>
      </c>
      <c r="I52" s="42" t="n">
        <f aca="false">IF(OR($A52="",I$14=""),0,SUMIFS(MVT_NET,MVT_LOT,$A52,MVT_EMPL,I$14))</f>
        <v>0</v>
      </c>
      <c r="J52" s="42" t="n">
        <f aca="false">IF(OR($A52="",J$14=""),0,SUMIFS(MVT_NET,MVT_LOT,$A52,MVT_EMPL,J$14))</f>
        <v>0</v>
      </c>
      <c r="K52" s="42" t="n">
        <f aca="false">IF(OR($A52="",K$14=""),0,SUMIFS(MVT_NET,MVT_LOT,$A52,MVT_EMPL,K$14))</f>
        <v>0</v>
      </c>
      <c r="L52" s="42" t="n">
        <f aca="false">IF(OR($A52="",L$14=""),0,SUMIFS(MVT_NET,MVT_LOT,$A52,MVT_EMPL,L$14))</f>
        <v>0</v>
      </c>
      <c r="M52" s="42" t="n">
        <f aca="false">IF(OR($A52="",M$14=""),0,SUMIFS(MVT_NET,MVT_LOT,$A52,MVT_EMPL,M$14))</f>
        <v>0</v>
      </c>
      <c r="N52" s="43" t="n">
        <f aca="false">SUM($B52:$M52)</f>
        <v>0</v>
      </c>
      <c r="O52" s="44" t="n">
        <f aca="false">SUMPRODUCT(($B$13:$M$13="INTERNE")*$B52:$M52)</f>
        <v>0</v>
      </c>
      <c r="P52" s="44" t="n">
        <f aca="false">SUMPRODUCT(($B$13:$M$13="EXTERNE")*$B52:$M52)</f>
        <v>0</v>
      </c>
      <c r="Q52" s="44" t="n">
        <f aca="false">IF($A52="",0,SUMIFS(ST_ENCOURS,ST_LOT,$A52))</f>
        <v>0</v>
      </c>
      <c r="R52" s="45" t="str">
        <f aca="false">IF($A52="","",IFERROR(INDEX(LOT_EXTE,MATCH($A52,LOT_KEY,0)),""))</f>
        <v/>
      </c>
      <c r="S52" s="45" t="str">
        <f aca="false">IF($A52="","",IFERROR(INDEX(LOT_DECISION,MATCH($A52,LOT_KEY,0)),""))</f>
        <v/>
      </c>
      <c r="T52" s="44" t="n">
        <f aca="false">IF($S52="BLOQUER",MAX(0,$N52),0)</f>
        <v>0</v>
      </c>
      <c r="U52" s="46" t="str">
        <f aca="false">IF($A52="","",IF($N52&lt;-0.001,"STOCK NEGATIF - ANOMALIE",IF($T52&gt;0,"BLOQUE QUALITE","")))</f>
        <v/>
      </c>
    </row>
    <row r="53" customFormat="false" ht="15" hidden="false" customHeight="false" outlineLevel="0" collapsed="false">
      <c r="A53" s="41" t="str">
        <f aca="false">IF(LOTS!$A43="","",LOTS!$A43)</f>
        <v/>
      </c>
      <c r="B53" s="42" t="n">
        <f aca="false">IF(OR($A53="",B$14=""),0,SUMIFS(MVT_NET,MVT_LOT,$A53,MVT_EMPL,B$14))</f>
        <v>0</v>
      </c>
      <c r="C53" s="42" t="n">
        <f aca="false">IF(OR($A53="",C$14=""),0,SUMIFS(MVT_NET,MVT_LOT,$A53,MVT_EMPL,C$14))</f>
        <v>0</v>
      </c>
      <c r="D53" s="42" t="n">
        <f aca="false">IF(OR($A53="",D$14=""),0,SUMIFS(MVT_NET,MVT_LOT,$A53,MVT_EMPL,D$14))</f>
        <v>0</v>
      </c>
      <c r="E53" s="42" t="n">
        <f aca="false">IF(OR($A53="",E$14=""),0,SUMIFS(MVT_NET,MVT_LOT,$A53,MVT_EMPL,E$14))</f>
        <v>0</v>
      </c>
      <c r="F53" s="42" t="n">
        <f aca="false">IF(OR($A53="",F$14=""),0,SUMIFS(MVT_NET,MVT_LOT,$A53,MVT_EMPL,F$14))</f>
        <v>0</v>
      </c>
      <c r="G53" s="42" t="n">
        <f aca="false">IF(OR($A53="",G$14=""),0,SUMIFS(MVT_NET,MVT_LOT,$A53,MVT_EMPL,G$14))</f>
        <v>0</v>
      </c>
      <c r="H53" s="42" t="n">
        <f aca="false">IF(OR($A53="",H$14=""),0,SUMIFS(MVT_NET,MVT_LOT,$A53,MVT_EMPL,H$14))</f>
        <v>0</v>
      </c>
      <c r="I53" s="42" t="n">
        <f aca="false">IF(OR($A53="",I$14=""),0,SUMIFS(MVT_NET,MVT_LOT,$A53,MVT_EMPL,I$14))</f>
        <v>0</v>
      </c>
      <c r="J53" s="42" t="n">
        <f aca="false">IF(OR($A53="",J$14=""),0,SUMIFS(MVT_NET,MVT_LOT,$A53,MVT_EMPL,J$14))</f>
        <v>0</v>
      </c>
      <c r="K53" s="42" t="n">
        <f aca="false">IF(OR($A53="",K$14=""),0,SUMIFS(MVT_NET,MVT_LOT,$A53,MVT_EMPL,K$14))</f>
        <v>0</v>
      </c>
      <c r="L53" s="42" t="n">
        <f aca="false">IF(OR($A53="",L$14=""),0,SUMIFS(MVT_NET,MVT_LOT,$A53,MVT_EMPL,L$14))</f>
        <v>0</v>
      </c>
      <c r="M53" s="42" t="n">
        <f aca="false">IF(OR($A53="",M$14=""),0,SUMIFS(MVT_NET,MVT_LOT,$A53,MVT_EMPL,M$14))</f>
        <v>0</v>
      </c>
      <c r="N53" s="43" t="n">
        <f aca="false">SUM($B53:$M53)</f>
        <v>0</v>
      </c>
      <c r="O53" s="44" t="n">
        <f aca="false">SUMPRODUCT(($B$13:$M$13="INTERNE")*$B53:$M53)</f>
        <v>0</v>
      </c>
      <c r="P53" s="44" t="n">
        <f aca="false">SUMPRODUCT(($B$13:$M$13="EXTERNE")*$B53:$M53)</f>
        <v>0</v>
      </c>
      <c r="Q53" s="44" t="n">
        <f aca="false">IF($A53="",0,SUMIFS(ST_ENCOURS,ST_LOT,$A53))</f>
        <v>0</v>
      </c>
      <c r="R53" s="45" t="str">
        <f aca="false">IF($A53="","",IFERROR(INDEX(LOT_EXTE,MATCH($A53,LOT_KEY,0)),""))</f>
        <v/>
      </c>
      <c r="S53" s="45" t="str">
        <f aca="false">IF($A53="","",IFERROR(INDEX(LOT_DECISION,MATCH($A53,LOT_KEY,0)),""))</f>
        <v/>
      </c>
      <c r="T53" s="44" t="n">
        <f aca="false">IF($S53="BLOQUER",MAX(0,$N53),0)</f>
        <v>0</v>
      </c>
      <c r="U53" s="46" t="str">
        <f aca="false">IF($A53="","",IF($N53&lt;-0.001,"STOCK NEGATIF - ANOMALIE",IF($T53&gt;0,"BLOQUE QUALITE","")))</f>
        <v/>
      </c>
    </row>
    <row r="54" customFormat="false" ht="15" hidden="false" customHeight="false" outlineLevel="0" collapsed="false">
      <c r="A54" s="41" t="str">
        <f aca="false">IF(LOTS!$A44="","",LOTS!$A44)</f>
        <v/>
      </c>
      <c r="B54" s="42" t="n">
        <f aca="false">IF(OR($A54="",B$14=""),0,SUMIFS(MVT_NET,MVT_LOT,$A54,MVT_EMPL,B$14))</f>
        <v>0</v>
      </c>
      <c r="C54" s="42" t="n">
        <f aca="false">IF(OR($A54="",C$14=""),0,SUMIFS(MVT_NET,MVT_LOT,$A54,MVT_EMPL,C$14))</f>
        <v>0</v>
      </c>
      <c r="D54" s="42" t="n">
        <f aca="false">IF(OR($A54="",D$14=""),0,SUMIFS(MVT_NET,MVT_LOT,$A54,MVT_EMPL,D$14))</f>
        <v>0</v>
      </c>
      <c r="E54" s="42" t="n">
        <f aca="false">IF(OR($A54="",E$14=""),0,SUMIFS(MVT_NET,MVT_LOT,$A54,MVT_EMPL,E$14))</f>
        <v>0</v>
      </c>
      <c r="F54" s="42" t="n">
        <f aca="false">IF(OR($A54="",F$14=""),0,SUMIFS(MVT_NET,MVT_LOT,$A54,MVT_EMPL,F$14))</f>
        <v>0</v>
      </c>
      <c r="G54" s="42" t="n">
        <f aca="false">IF(OR($A54="",G$14=""),0,SUMIFS(MVT_NET,MVT_LOT,$A54,MVT_EMPL,G$14))</f>
        <v>0</v>
      </c>
      <c r="H54" s="42" t="n">
        <f aca="false">IF(OR($A54="",H$14=""),0,SUMIFS(MVT_NET,MVT_LOT,$A54,MVT_EMPL,H$14))</f>
        <v>0</v>
      </c>
      <c r="I54" s="42" t="n">
        <f aca="false">IF(OR($A54="",I$14=""),0,SUMIFS(MVT_NET,MVT_LOT,$A54,MVT_EMPL,I$14))</f>
        <v>0</v>
      </c>
      <c r="J54" s="42" t="n">
        <f aca="false">IF(OR($A54="",J$14=""),0,SUMIFS(MVT_NET,MVT_LOT,$A54,MVT_EMPL,J$14))</f>
        <v>0</v>
      </c>
      <c r="K54" s="42" t="n">
        <f aca="false">IF(OR($A54="",K$14=""),0,SUMIFS(MVT_NET,MVT_LOT,$A54,MVT_EMPL,K$14))</f>
        <v>0</v>
      </c>
      <c r="L54" s="42" t="n">
        <f aca="false">IF(OR($A54="",L$14=""),0,SUMIFS(MVT_NET,MVT_LOT,$A54,MVT_EMPL,L$14))</f>
        <v>0</v>
      </c>
      <c r="M54" s="42" t="n">
        <f aca="false">IF(OR($A54="",M$14=""),0,SUMIFS(MVT_NET,MVT_LOT,$A54,MVT_EMPL,M$14))</f>
        <v>0</v>
      </c>
      <c r="N54" s="43" t="n">
        <f aca="false">SUM($B54:$M54)</f>
        <v>0</v>
      </c>
      <c r="O54" s="44" t="n">
        <f aca="false">SUMPRODUCT(($B$13:$M$13="INTERNE")*$B54:$M54)</f>
        <v>0</v>
      </c>
      <c r="P54" s="44" t="n">
        <f aca="false">SUMPRODUCT(($B$13:$M$13="EXTERNE")*$B54:$M54)</f>
        <v>0</v>
      </c>
      <c r="Q54" s="44" t="n">
        <f aca="false">IF($A54="",0,SUMIFS(ST_ENCOURS,ST_LOT,$A54))</f>
        <v>0</v>
      </c>
      <c r="R54" s="45" t="str">
        <f aca="false">IF($A54="","",IFERROR(INDEX(LOT_EXTE,MATCH($A54,LOT_KEY,0)),""))</f>
        <v/>
      </c>
      <c r="S54" s="45" t="str">
        <f aca="false">IF($A54="","",IFERROR(INDEX(LOT_DECISION,MATCH($A54,LOT_KEY,0)),""))</f>
        <v/>
      </c>
      <c r="T54" s="44" t="n">
        <f aca="false">IF($S54="BLOQUER",MAX(0,$N54),0)</f>
        <v>0</v>
      </c>
      <c r="U54" s="46" t="str">
        <f aca="false">IF($A54="","",IF($N54&lt;-0.001,"STOCK NEGATIF - ANOMALIE",IF($T54&gt;0,"BLOQUE QUALITE","")))</f>
        <v/>
      </c>
    </row>
    <row r="55" customFormat="false" ht="15" hidden="false" customHeight="false" outlineLevel="0" collapsed="false">
      <c r="A55" s="41" t="str">
        <f aca="false">IF(LOTS!$A45="","",LOTS!$A45)</f>
        <v/>
      </c>
      <c r="B55" s="42" t="n">
        <f aca="false">IF(OR($A55="",B$14=""),0,SUMIFS(MVT_NET,MVT_LOT,$A55,MVT_EMPL,B$14))</f>
        <v>0</v>
      </c>
      <c r="C55" s="42" t="n">
        <f aca="false">IF(OR($A55="",C$14=""),0,SUMIFS(MVT_NET,MVT_LOT,$A55,MVT_EMPL,C$14))</f>
        <v>0</v>
      </c>
      <c r="D55" s="42" t="n">
        <f aca="false">IF(OR($A55="",D$14=""),0,SUMIFS(MVT_NET,MVT_LOT,$A55,MVT_EMPL,D$14))</f>
        <v>0</v>
      </c>
      <c r="E55" s="42" t="n">
        <f aca="false">IF(OR($A55="",E$14=""),0,SUMIFS(MVT_NET,MVT_LOT,$A55,MVT_EMPL,E$14))</f>
        <v>0</v>
      </c>
      <c r="F55" s="42" t="n">
        <f aca="false">IF(OR($A55="",F$14=""),0,SUMIFS(MVT_NET,MVT_LOT,$A55,MVT_EMPL,F$14))</f>
        <v>0</v>
      </c>
      <c r="G55" s="42" t="n">
        <f aca="false">IF(OR($A55="",G$14=""),0,SUMIFS(MVT_NET,MVT_LOT,$A55,MVT_EMPL,G$14))</f>
        <v>0</v>
      </c>
      <c r="H55" s="42" t="n">
        <f aca="false">IF(OR($A55="",H$14=""),0,SUMIFS(MVT_NET,MVT_LOT,$A55,MVT_EMPL,H$14))</f>
        <v>0</v>
      </c>
      <c r="I55" s="42" t="n">
        <f aca="false">IF(OR($A55="",I$14=""),0,SUMIFS(MVT_NET,MVT_LOT,$A55,MVT_EMPL,I$14))</f>
        <v>0</v>
      </c>
      <c r="J55" s="42" t="n">
        <f aca="false">IF(OR($A55="",J$14=""),0,SUMIFS(MVT_NET,MVT_LOT,$A55,MVT_EMPL,J$14))</f>
        <v>0</v>
      </c>
      <c r="K55" s="42" t="n">
        <f aca="false">IF(OR($A55="",K$14=""),0,SUMIFS(MVT_NET,MVT_LOT,$A55,MVT_EMPL,K$14))</f>
        <v>0</v>
      </c>
      <c r="L55" s="42" t="n">
        <f aca="false">IF(OR($A55="",L$14=""),0,SUMIFS(MVT_NET,MVT_LOT,$A55,MVT_EMPL,L$14))</f>
        <v>0</v>
      </c>
      <c r="M55" s="42" t="n">
        <f aca="false">IF(OR($A55="",M$14=""),0,SUMIFS(MVT_NET,MVT_LOT,$A55,MVT_EMPL,M$14))</f>
        <v>0</v>
      </c>
      <c r="N55" s="43" t="n">
        <f aca="false">SUM($B55:$M55)</f>
        <v>0</v>
      </c>
      <c r="O55" s="44" t="n">
        <f aca="false">SUMPRODUCT(($B$13:$M$13="INTERNE")*$B55:$M55)</f>
        <v>0</v>
      </c>
      <c r="P55" s="44" t="n">
        <f aca="false">SUMPRODUCT(($B$13:$M$13="EXTERNE")*$B55:$M55)</f>
        <v>0</v>
      </c>
      <c r="Q55" s="44" t="n">
        <f aca="false">IF($A55="",0,SUMIFS(ST_ENCOURS,ST_LOT,$A55))</f>
        <v>0</v>
      </c>
      <c r="R55" s="45" t="str">
        <f aca="false">IF($A55="","",IFERROR(INDEX(LOT_EXTE,MATCH($A55,LOT_KEY,0)),""))</f>
        <v/>
      </c>
      <c r="S55" s="45" t="str">
        <f aca="false">IF($A55="","",IFERROR(INDEX(LOT_DECISION,MATCH($A55,LOT_KEY,0)),""))</f>
        <v/>
      </c>
      <c r="T55" s="44" t="n">
        <f aca="false">IF($S55="BLOQUER",MAX(0,$N55),0)</f>
        <v>0</v>
      </c>
      <c r="U55" s="46" t="str">
        <f aca="false">IF($A55="","",IF($N55&lt;-0.001,"STOCK NEGATIF - ANOMALIE",IF($T55&gt;0,"BLOQUE QUALITE","")))</f>
        <v/>
      </c>
    </row>
    <row r="56" customFormat="false" ht="15" hidden="false" customHeight="false" outlineLevel="0" collapsed="false">
      <c r="A56" s="41" t="str">
        <f aca="false">IF(LOTS!$A46="","",LOTS!$A46)</f>
        <v/>
      </c>
      <c r="B56" s="42" t="n">
        <f aca="false">IF(OR($A56="",B$14=""),0,SUMIFS(MVT_NET,MVT_LOT,$A56,MVT_EMPL,B$14))</f>
        <v>0</v>
      </c>
      <c r="C56" s="42" t="n">
        <f aca="false">IF(OR($A56="",C$14=""),0,SUMIFS(MVT_NET,MVT_LOT,$A56,MVT_EMPL,C$14))</f>
        <v>0</v>
      </c>
      <c r="D56" s="42" t="n">
        <f aca="false">IF(OR($A56="",D$14=""),0,SUMIFS(MVT_NET,MVT_LOT,$A56,MVT_EMPL,D$14))</f>
        <v>0</v>
      </c>
      <c r="E56" s="42" t="n">
        <f aca="false">IF(OR($A56="",E$14=""),0,SUMIFS(MVT_NET,MVT_LOT,$A56,MVT_EMPL,E$14))</f>
        <v>0</v>
      </c>
      <c r="F56" s="42" t="n">
        <f aca="false">IF(OR($A56="",F$14=""),0,SUMIFS(MVT_NET,MVT_LOT,$A56,MVT_EMPL,F$14))</f>
        <v>0</v>
      </c>
      <c r="G56" s="42" t="n">
        <f aca="false">IF(OR($A56="",G$14=""),0,SUMIFS(MVT_NET,MVT_LOT,$A56,MVT_EMPL,G$14))</f>
        <v>0</v>
      </c>
      <c r="H56" s="42" t="n">
        <f aca="false">IF(OR($A56="",H$14=""),0,SUMIFS(MVT_NET,MVT_LOT,$A56,MVT_EMPL,H$14))</f>
        <v>0</v>
      </c>
      <c r="I56" s="42" t="n">
        <f aca="false">IF(OR($A56="",I$14=""),0,SUMIFS(MVT_NET,MVT_LOT,$A56,MVT_EMPL,I$14))</f>
        <v>0</v>
      </c>
      <c r="J56" s="42" t="n">
        <f aca="false">IF(OR($A56="",J$14=""),0,SUMIFS(MVT_NET,MVT_LOT,$A56,MVT_EMPL,J$14))</f>
        <v>0</v>
      </c>
      <c r="K56" s="42" t="n">
        <f aca="false">IF(OR($A56="",K$14=""),0,SUMIFS(MVT_NET,MVT_LOT,$A56,MVT_EMPL,K$14))</f>
        <v>0</v>
      </c>
      <c r="L56" s="42" t="n">
        <f aca="false">IF(OR($A56="",L$14=""),0,SUMIFS(MVT_NET,MVT_LOT,$A56,MVT_EMPL,L$14))</f>
        <v>0</v>
      </c>
      <c r="M56" s="42" t="n">
        <f aca="false">IF(OR($A56="",M$14=""),0,SUMIFS(MVT_NET,MVT_LOT,$A56,MVT_EMPL,M$14))</f>
        <v>0</v>
      </c>
      <c r="N56" s="43" t="n">
        <f aca="false">SUM($B56:$M56)</f>
        <v>0</v>
      </c>
      <c r="O56" s="44" t="n">
        <f aca="false">SUMPRODUCT(($B$13:$M$13="INTERNE")*$B56:$M56)</f>
        <v>0</v>
      </c>
      <c r="P56" s="44" t="n">
        <f aca="false">SUMPRODUCT(($B$13:$M$13="EXTERNE")*$B56:$M56)</f>
        <v>0</v>
      </c>
      <c r="Q56" s="44" t="n">
        <f aca="false">IF($A56="",0,SUMIFS(ST_ENCOURS,ST_LOT,$A56))</f>
        <v>0</v>
      </c>
      <c r="R56" s="45" t="str">
        <f aca="false">IF($A56="","",IFERROR(INDEX(LOT_EXTE,MATCH($A56,LOT_KEY,0)),""))</f>
        <v/>
      </c>
      <c r="S56" s="45" t="str">
        <f aca="false">IF($A56="","",IFERROR(INDEX(LOT_DECISION,MATCH($A56,LOT_KEY,0)),""))</f>
        <v/>
      </c>
      <c r="T56" s="44" t="n">
        <f aca="false">IF($S56="BLOQUER",MAX(0,$N56),0)</f>
        <v>0</v>
      </c>
      <c r="U56" s="46" t="str">
        <f aca="false">IF($A56="","",IF($N56&lt;-0.001,"STOCK NEGATIF - ANOMALIE",IF($T56&gt;0,"BLOQUE QUALITE","")))</f>
        <v/>
      </c>
    </row>
    <row r="57" customFormat="false" ht="15" hidden="false" customHeight="false" outlineLevel="0" collapsed="false">
      <c r="A57" s="41" t="str">
        <f aca="false">IF(LOTS!$A47="","",LOTS!$A47)</f>
        <v/>
      </c>
      <c r="B57" s="42" t="n">
        <f aca="false">IF(OR($A57="",B$14=""),0,SUMIFS(MVT_NET,MVT_LOT,$A57,MVT_EMPL,B$14))</f>
        <v>0</v>
      </c>
      <c r="C57" s="42" t="n">
        <f aca="false">IF(OR($A57="",C$14=""),0,SUMIFS(MVT_NET,MVT_LOT,$A57,MVT_EMPL,C$14))</f>
        <v>0</v>
      </c>
      <c r="D57" s="42" t="n">
        <f aca="false">IF(OR($A57="",D$14=""),0,SUMIFS(MVT_NET,MVT_LOT,$A57,MVT_EMPL,D$14))</f>
        <v>0</v>
      </c>
      <c r="E57" s="42" t="n">
        <f aca="false">IF(OR($A57="",E$14=""),0,SUMIFS(MVT_NET,MVT_LOT,$A57,MVT_EMPL,E$14))</f>
        <v>0</v>
      </c>
      <c r="F57" s="42" t="n">
        <f aca="false">IF(OR($A57="",F$14=""),0,SUMIFS(MVT_NET,MVT_LOT,$A57,MVT_EMPL,F$14))</f>
        <v>0</v>
      </c>
      <c r="G57" s="42" t="n">
        <f aca="false">IF(OR($A57="",G$14=""),0,SUMIFS(MVT_NET,MVT_LOT,$A57,MVT_EMPL,G$14))</f>
        <v>0</v>
      </c>
      <c r="H57" s="42" t="n">
        <f aca="false">IF(OR($A57="",H$14=""),0,SUMIFS(MVT_NET,MVT_LOT,$A57,MVT_EMPL,H$14))</f>
        <v>0</v>
      </c>
      <c r="I57" s="42" t="n">
        <f aca="false">IF(OR($A57="",I$14=""),0,SUMIFS(MVT_NET,MVT_LOT,$A57,MVT_EMPL,I$14))</f>
        <v>0</v>
      </c>
      <c r="J57" s="42" t="n">
        <f aca="false">IF(OR($A57="",J$14=""),0,SUMIFS(MVT_NET,MVT_LOT,$A57,MVT_EMPL,J$14))</f>
        <v>0</v>
      </c>
      <c r="K57" s="42" t="n">
        <f aca="false">IF(OR($A57="",K$14=""),0,SUMIFS(MVT_NET,MVT_LOT,$A57,MVT_EMPL,K$14))</f>
        <v>0</v>
      </c>
      <c r="L57" s="42" t="n">
        <f aca="false">IF(OR($A57="",L$14=""),0,SUMIFS(MVT_NET,MVT_LOT,$A57,MVT_EMPL,L$14))</f>
        <v>0</v>
      </c>
      <c r="M57" s="42" t="n">
        <f aca="false">IF(OR($A57="",M$14=""),0,SUMIFS(MVT_NET,MVT_LOT,$A57,MVT_EMPL,M$14))</f>
        <v>0</v>
      </c>
      <c r="N57" s="43" t="n">
        <f aca="false">SUM($B57:$M57)</f>
        <v>0</v>
      </c>
      <c r="O57" s="44" t="n">
        <f aca="false">SUMPRODUCT(($B$13:$M$13="INTERNE")*$B57:$M57)</f>
        <v>0</v>
      </c>
      <c r="P57" s="44" t="n">
        <f aca="false">SUMPRODUCT(($B$13:$M$13="EXTERNE")*$B57:$M57)</f>
        <v>0</v>
      </c>
      <c r="Q57" s="44" t="n">
        <f aca="false">IF($A57="",0,SUMIFS(ST_ENCOURS,ST_LOT,$A57))</f>
        <v>0</v>
      </c>
      <c r="R57" s="45" t="str">
        <f aca="false">IF($A57="","",IFERROR(INDEX(LOT_EXTE,MATCH($A57,LOT_KEY,0)),""))</f>
        <v/>
      </c>
      <c r="S57" s="45" t="str">
        <f aca="false">IF($A57="","",IFERROR(INDEX(LOT_DECISION,MATCH($A57,LOT_KEY,0)),""))</f>
        <v/>
      </c>
      <c r="T57" s="44" t="n">
        <f aca="false">IF($S57="BLOQUER",MAX(0,$N57),0)</f>
        <v>0</v>
      </c>
      <c r="U57" s="46" t="str">
        <f aca="false">IF($A57="","",IF($N57&lt;-0.001,"STOCK NEGATIF - ANOMALIE",IF($T57&gt;0,"BLOQUE QUALITE","")))</f>
        <v/>
      </c>
    </row>
    <row r="58" customFormat="false" ht="15" hidden="false" customHeight="false" outlineLevel="0" collapsed="false">
      <c r="A58" s="41" t="str">
        <f aca="false">IF(LOTS!$A48="","",LOTS!$A48)</f>
        <v/>
      </c>
      <c r="B58" s="42" t="n">
        <f aca="false">IF(OR($A58="",B$14=""),0,SUMIFS(MVT_NET,MVT_LOT,$A58,MVT_EMPL,B$14))</f>
        <v>0</v>
      </c>
      <c r="C58" s="42" t="n">
        <f aca="false">IF(OR($A58="",C$14=""),0,SUMIFS(MVT_NET,MVT_LOT,$A58,MVT_EMPL,C$14))</f>
        <v>0</v>
      </c>
      <c r="D58" s="42" t="n">
        <f aca="false">IF(OR($A58="",D$14=""),0,SUMIFS(MVT_NET,MVT_LOT,$A58,MVT_EMPL,D$14))</f>
        <v>0</v>
      </c>
      <c r="E58" s="42" t="n">
        <f aca="false">IF(OR($A58="",E$14=""),0,SUMIFS(MVT_NET,MVT_LOT,$A58,MVT_EMPL,E$14))</f>
        <v>0</v>
      </c>
      <c r="F58" s="42" t="n">
        <f aca="false">IF(OR($A58="",F$14=""),0,SUMIFS(MVT_NET,MVT_LOT,$A58,MVT_EMPL,F$14))</f>
        <v>0</v>
      </c>
      <c r="G58" s="42" t="n">
        <f aca="false">IF(OR($A58="",G$14=""),0,SUMIFS(MVT_NET,MVT_LOT,$A58,MVT_EMPL,G$14))</f>
        <v>0</v>
      </c>
      <c r="H58" s="42" t="n">
        <f aca="false">IF(OR($A58="",H$14=""),0,SUMIFS(MVT_NET,MVT_LOT,$A58,MVT_EMPL,H$14))</f>
        <v>0</v>
      </c>
      <c r="I58" s="42" t="n">
        <f aca="false">IF(OR($A58="",I$14=""),0,SUMIFS(MVT_NET,MVT_LOT,$A58,MVT_EMPL,I$14))</f>
        <v>0</v>
      </c>
      <c r="J58" s="42" t="n">
        <f aca="false">IF(OR($A58="",J$14=""),0,SUMIFS(MVT_NET,MVT_LOT,$A58,MVT_EMPL,J$14))</f>
        <v>0</v>
      </c>
      <c r="K58" s="42" t="n">
        <f aca="false">IF(OR($A58="",K$14=""),0,SUMIFS(MVT_NET,MVT_LOT,$A58,MVT_EMPL,K$14))</f>
        <v>0</v>
      </c>
      <c r="L58" s="42" t="n">
        <f aca="false">IF(OR($A58="",L$14=""),0,SUMIFS(MVT_NET,MVT_LOT,$A58,MVT_EMPL,L$14))</f>
        <v>0</v>
      </c>
      <c r="M58" s="42" t="n">
        <f aca="false">IF(OR($A58="",M$14=""),0,SUMIFS(MVT_NET,MVT_LOT,$A58,MVT_EMPL,M$14))</f>
        <v>0</v>
      </c>
      <c r="N58" s="43" t="n">
        <f aca="false">SUM($B58:$M58)</f>
        <v>0</v>
      </c>
      <c r="O58" s="44" t="n">
        <f aca="false">SUMPRODUCT(($B$13:$M$13="INTERNE")*$B58:$M58)</f>
        <v>0</v>
      </c>
      <c r="P58" s="44" t="n">
        <f aca="false">SUMPRODUCT(($B$13:$M$13="EXTERNE")*$B58:$M58)</f>
        <v>0</v>
      </c>
      <c r="Q58" s="44" t="n">
        <f aca="false">IF($A58="",0,SUMIFS(ST_ENCOURS,ST_LOT,$A58))</f>
        <v>0</v>
      </c>
      <c r="R58" s="45" t="str">
        <f aca="false">IF($A58="","",IFERROR(INDEX(LOT_EXTE,MATCH($A58,LOT_KEY,0)),""))</f>
        <v/>
      </c>
      <c r="S58" s="45" t="str">
        <f aca="false">IF($A58="","",IFERROR(INDEX(LOT_DECISION,MATCH($A58,LOT_KEY,0)),""))</f>
        <v/>
      </c>
      <c r="T58" s="44" t="n">
        <f aca="false">IF($S58="BLOQUER",MAX(0,$N58),0)</f>
        <v>0</v>
      </c>
      <c r="U58" s="46" t="str">
        <f aca="false">IF($A58="","",IF($N58&lt;-0.001,"STOCK NEGATIF - ANOMALIE",IF($T58&gt;0,"BLOQUE QUALITE","")))</f>
        <v/>
      </c>
    </row>
    <row r="59" customFormat="false" ht="15" hidden="false" customHeight="false" outlineLevel="0" collapsed="false">
      <c r="A59" s="41" t="str">
        <f aca="false">IF(LOTS!$A49="","",LOTS!$A49)</f>
        <v/>
      </c>
      <c r="B59" s="42" t="n">
        <f aca="false">IF(OR($A59="",B$14=""),0,SUMIFS(MVT_NET,MVT_LOT,$A59,MVT_EMPL,B$14))</f>
        <v>0</v>
      </c>
      <c r="C59" s="42" t="n">
        <f aca="false">IF(OR($A59="",C$14=""),0,SUMIFS(MVT_NET,MVT_LOT,$A59,MVT_EMPL,C$14))</f>
        <v>0</v>
      </c>
      <c r="D59" s="42" t="n">
        <f aca="false">IF(OR($A59="",D$14=""),0,SUMIFS(MVT_NET,MVT_LOT,$A59,MVT_EMPL,D$14))</f>
        <v>0</v>
      </c>
      <c r="E59" s="42" t="n">
        <f aca="false">IF(OR($A59="",E$14=""),0,SUMIFS(MVT_NET,MVT_LOT,$A59,MVT_EMPL,E$14))</f>
        <v>0</v>
      </c>
      <c r="F59" s="42" t="n">
        <f aca="false">IF(OR($A59="",F$14=""),0,SUMIFS(MVT_NET,MVT_LOT,$A59,MVT_EMPL,F$14))</f>
        <v>0</v>
      </c>
      <c r="G59" s="42" t="n">
        <f aca="false">IF(OR($A59="",G$14=""),0,SUMIFS(MVT_NET,MVT_LOT,$A59,MVT_EMPL,G$14))</f>
        <v>0</v>
      </c>
      <c r="H59" s="42" t="n">
        <f aca="false">IF(OR($A59="",H$14=""),0,SUMIFS(MVT_NET,MVT_LOT,$A59,MVT_EMPL,H$14))</f>
        <v>0</v>
      </c>
      <c r="I59" s="42" t="n">
        <f aca="false">IF(OR($A59="",I$14=""),0,SUMIFS(MVT_NET,MVT_LOT,$A59,MVT_EMPL,I$14))</f>
        <v>0</v>
      </c>
      <c r="J59" s="42" t="n">
        <f aca="false">IF(OR($A59="",J$14=""),0,SUMIFS(MVT_NET,MVT_LOT,$A59,MVT_EMPL,J$14))</f>
        <v>0</v>
      </c>
      <c r="K59" s="42" t="n">
        <f aca="false">IF(OR($A59="",K$14=""),0,SUMIFS(MVT_NET,MVT_LOT,$A59,MVT_EMPL,K$14))</f>
        <v>0</v>
      </c>
      <c r="L59" s="42" t="n">
        <f aca="false">IF(OR($A59="",L$14=""),0,SUMIFS(MVT_NET,MVT_LOT,$A59,MVT_EMPL,L$14))</f>
        <v>0</v>
      </c>
      <c r="M59" s="42" t="n">
        <f aca="false">IF(OR($A59="",M$14=""),0,SUMIFS(MVT_NET,MVT_LOT,$A59,MVT_EMPL,M$14))</f>
        <v>0</v>
      </c>
      <c r="N59" s="43" t="n">
        <f aca="false">SUM($B59:$M59)</f>
        <v>0</v>
      </c>
      <c r="O59" s="44" t="n">
        <f aca="false">SUMPRODUCT(($B$13:$M$13="INTERNE")*$B59:$M59)</f>
        <v>0</v>
      </c>
      <c r="P59" s="44" t="n">
        <f aca="false">SUMPRODUCT(($B$13:$M$13="EXTERNE")*$B59:$M59)</f>
        <v>0</v>
      </c>
      <c r="Q59" s="44" t="n">
        <f aca="false">IF($A59="",0,SUMIFS(ST_ENCOURS,ST_LOT,$A59))</f>
        <v>0</v>
      </c>
      <c r="R59" s="45" t="str">
        <f aca="false">IF($A59="","",IFERROR(INDEX(LOT_EXTE,MATCH($A59,LOT_KEY,0)),""))</f>
        <v/>
      </c>
      <c r="S59" s="45" t="str">
        <f aca="false">IF($A59="","",IFERROR(INDEX(LOT_DECISION,MATCH($A59,LOT_KEY,0)),""))</f>
        <v/>
      </c>
      <c r="T59" s="44" t="n">
        <f aca="false">IF($S59="BLOQUER",MAX(0,$N59),0)</f>
        <v>0</v>
      </c>
      <c r="U59" s="46" t="str">
        <f aca="false">IF($A59="","",IF($N59&lt;-0.001,"STOCK NEGATIF - ANOMALIE",IF($T59&gt;0,"BLOQUE QUALITE","")))</f>
        <v/>
      </c>
    </row>
    <row r="60" customFormat="false" ht="15" hidden="false" customHeight="false" outlineLevel="0" collapsed="false">
      <c r="A60" s="41" t="str">
        <f aca="false">IF(LOTS!$A50="","",LOTS!$A50)</f>
        <v/>
      </c>
      <c r="B60" s="42" t="n">
        <f aca="false">IF(OR($A60="",B$14=""),0,SUMIFS(MVT_NET,MVT_LOT,$A60,MVT_EMPL,B$14))</f>
        <v>0</v>
      </c>
      <c r="C60" s="42" t="n">
        <f aca="false">IF(OR($A60="",C$14=""),0,SUMIFS(MVT_NET,MVT_LOT,$A60,MVT_EMPL,C$14))</f>
        <v>0</v>
      </c>
      <c r="D60" s="42" t="n">
        <f aca="false">IF(OR($A60="",D$14=""),0,SUMIFS(MVT_NET,MVT_LOT,$A60,MVT_EMPL,D$14))</f>
        <v>0</v>
      </c>
      <c r="E60" s="42" t="n">
        <f aca="false">IF(OR($A60="",E$14=""),0,SUMIFS(MVT_NET,MVT_LOT,$A60,MVT_EMPL,E$14))</f>
        <v>0</v>
      </c>
      <c r="F60" s="42" t="n">
        <f aca="false">IF(OR($A60="",F$14=""),0,SUMIFS(MVT_NET,MVT_LOT,$A60,MVT_EMPL,F$14))</f>
        <v>0</v>
      </c>
      <c r="G60" s="42" t="n">
        <f aca="false">IF(OR($A60="",G$14=""),0,SUMIFS(MVT_NET,MVT_LOT,$A60,MVT_EMPL,G$14))</f>
        <v>0</v>
      </c>
      <c r="H60" s="42" t="n">
        <f aca="false">IF(OR($A60="",H$14=""),0,SUMIFS(MVT_NET,MVT_LOT,$A60,MVT_EMPL,H$14))</f>
        <v>0</v>
      </c>
      <c r="I60" s="42" t="n">
        <f aca="false">IF(OR($A60="",I$14=""),0,SUMIFS(MVT_NET,MVT_LOT,$A60,MVT_EMPL,I$14))</f>
        <v>0</v>
      </c>
      <c r="J60" s="42" t="n">
        <f aca="false">IF(OR($A60="",J$14=""),0,SUMIFS(MVT_NET,MVT_LOT,$A60,MVT_EMPL,J$14))</f>
        <v>0</v>
      </c>
      <c r="K60" s="42" t="n">
        <f aca="false">IF(OR($A60="",K$14=""),0,SUMIFS(MVT_NET,MVT_LOT,$A60,MVT_EMPL,K$14))</f>
        <v>0</v>
      </c>
      <c r="L60" s="42" t="n">
        <f aca="false">IF(OR($A60="",L$14=""),0,SUMIFS(MVT_NET,MVT_LOT,$A60,MVT_EMPL,L$14))</f>
        <v>0</v>
      </c>
      <c r="M60" s="42" t="n">
        <f aca="false">IF(OR($A60="",M$14=""),0,SUMIFS(MVT_NET,MVT_LOT,$A60,MVT_EMPL,M$14))</f>
        <v>0</v>
      </c>
      <c r="N60" s="43" t="n">
        <f aca="false">SUM($B60:$M60)</f>
        <v>0</v>
      </c>
      <c r="O60" s="44" t="n">
        <f aca="false">SUMPRODUCT(($B$13:$M$13="INTERNE")*$B60:$M60)</f>
        <v>0</v>
      </c>
      <c r="P60" s="44" t="n">
        <f aca="false">SUMPRODUCT(($B$13:$M$13="EXTERNE")*$B60:$M60)</f>
        <v>0</v>
      </c>
      <c r="Q60" s="44" t="n">
        <f aca="false">IF($A60="",0,SUMIFS(ST_ENCOURS,ST_LOT,$A60))</f>
        <v>0</v>
      </c>
      <c r="R60" s="45" t="str">
        <f aca="false">IF($A60="","",IFERROR(INDEX(LOT_EXTE,MATCH($A60,LOT_KEY,0)),""))</f>
        <v/>
      </c>
      <c r="S60" s="45" t="str">
        <f aca="false">IF($A60="","",IFERROR(INDEX(LOT_DECISION,MATCH($A60,LOT_KEY,0)),""))</f>
        <v/>
      </c>
      <c r="T60" s="44" t="n">
        <f aca="false">IF($S60="BLOQUER",MAX(0,$N60),0)</f>
        <v>0</v>
      </c>
      <c r="U60" s="46" t="str">
        <f aca="false">IF($A60="","",IF($N60&lt;-0.001,"STOCK NEGATIF - ANOMALIE",IF($T60&gt;0,"BLOQUE QUALITE","")))</f>
        <v/>
      </c>
    </row>
    <row r="61" customFormat="false" ht="15" hidden="false" customHeight="false" outlineLevel="0" collapsed="false">
      <c r="A61" s="41" t="str">
        <f aca="false">IF(LOTS!$A51="","",LOTS!$A51)</f>
        <v/>
      </c>
      <c r="B61" s="42" t="n">
        <f aca="false">IF(OR($A61="",B$14=""),0,SUMIFS(MVT_NET,MVT_LOT,$A61,MVT_EMPL,B$14))</f>
        <v>0</v>
      </c>
      <c r="C61" s="42" t="n">
        <f aca="false">IF(OR($A61="",C$14=""),0,SUMIFS(MVT_NET,MVT_LOT,$A61,MVT_EMPL,C$14))</f>
        <v>0</v>
      </c>
      <c r="D61" s="42" t="n">
        <f aca="false">IF(OR($A61="",D$14=""),0,SUMIFS(MVT_NET,MVT_LOT,$A61,MVT_EMPL,D$14))</f>
        <v>0</v>
      </c>
      <c r="E61" s="42" t="n">
        <f aca="false">IF(OR($A61="",E$14=""),0,SUMIFS(MVT_NET,MVT_LOT,$A61,MVT_EMPL,E$14))</f>
        <v>0</v>
      </c>
      <c r="F61" s="42" t="n">
        <f aca="false">IF(OR($A61="",F$14=""),0,SUMIFS(MVT_NET,MVT_LOT,$A61,MVT_EMPL,F$14))</f>
        <v>0</v>
      </c>
      <c r="G61" s="42" t="n">
        <f aca="false">IF(OR($A61="",G$14=""),0,SUMIFS(MVT_NET,MVT_LOT,$A61,MVT_EMPL,G$14))</f>
        <v>0</v>
      </c>
      <c r="H61" s="42" t="n">
        <f aca="false">IF(OR($A61="",H$14=""),0,SUMIFS(MVT_NET,MVT_LOT,$A61,MVT_EMPL,H$14))</f>
        <v>0</v>
      </c>
      <c r="I61" s="42" t="n">
        <f aca="false">IF(OR($A61="",I$14=""),0,SUMIFS(MVT_NET,MVT_LOT,$A61,MVT_EMPL,I$14))</f>
        <v>0</v>
      </c>
      <c r="J61" s="42" t="n">
        <f aca="false">IF(OR($A61="",J$14=""),0,SUMIFS(MVT_NET,MVT_LOT,$A61,MVT_EMPL,J$14))</f>
        <v>0</v>
      </c>
      <c r="K61" s="42" t="n">
        <f aca="false">IF(OR($A61="",K$14=""),0,SUMIFS(MVT_NET,MVT_LOT,$A61,MVT_EMPL,K$14))</f>
        <v>0</v>
      </c>
      <c r="L61" s="42" t="n">
        <f aca="false">IF(OR($A61="",L$14=""),0,SUMIFS(MVT_NET,MVT_LOT,$A61,MVT_EMPL,L$14))</f>
        <v>0</v>
      </c>
      <c r="M61" s="42" t="n">
        <f aca="false">IF(OR($A61="",M$14=""),0,SUMIFS(MVT_NET,MVT_LOT,$A61,MVT_EMPL,M$14))</f>
        <v>0</v>
      </c>
      <c r="N61" s="43" t="n">
        <f aca="false">SUM($B61:$M61)</f>
        <v>0</v>
      </c>
      <c r="O61" s="44" t="n">
        <f aca="false">SUMPRODUCT(($B$13:$M$13="INTERNE")*$B61:$M61)</f>
        <v>0</v>
      </c>
      <c r="P61" s="44" t="n">
        <f aca="false">SUMPRODUCT(($B$13:$M$13="EXTERNE")*$B61:$M61)</f>
        <v>0</v>
      </c>
      <c r="Q61" s="44" t="n">
        <f aca="false">IF($A61="",0,SUMIFS(ST_ENCOURS,ST_LOT,$A61))</f>
        <v>0</v>
      </c>
      <c r="R61" s="45" t="str">
        <f aca="false">IF($A61="","",IFERROR(INDEX(LOT_EXTE,MATCH($A61,LOT_KEY,0)),""))</f>
        <v/>
      </c>
      <c r="S61" s="45" t="str">
        <f aca="false">IF($A61="","",IFERROR(INDEX(LOT_DECISION,MATCH($A61,LOT_KEY,0)),""))</f>
        <v/>
      </c>
      <c r="T61" s="44" t="n">
        <f aca="false">IF($S61="BLOQUER",MAX(0,$N61),0)</f>
        <v>0</v>
      </c>
      <c r="U61" s="46" t="str">
        <f aca="false">IF($A61="","",IF($N61&lt;-0.001,"STOCK NEGATIF - ANOMALIE",IF($T61&gt;0,"BLOQUE QUALITE","")))</f>
        <v/>
      </c>
    </row>
    <row r="62" customFormat="false" ht="15" hidden="false" customHeight="false" outlineLevel="0" collapsed="false">
      <c r="A62" s="41" t="str">
        <f aca="false">IF(LOTS!$A52="","",LOTS!$A52)</f>
        <v/>
      </c>
      <c r="B62" s="42" t="n">
        <f aca="false">IF(OR($A62="",B$14=""),0,SUMIFS(MVT_NET,MVT_LOT,$A62,MVT_EMPL,B$14))</f>
        <v>0</v>
      </c>
      <c r="C62" s="42" t="n">
        <f aca="false">IF(OR($A62="",C$14=""),0,SUMIFS(MVT_NET,MVT_LOT,$A62,MVT_EMPL,C$14))</f>
        <v>0</v>
      </c>
      <c r="D62" s="42" t="n">
        <f aca="false">IF(OR($A62="",D$14=""),0,SUMIFS(MVT_NET,MVT_LOT,$A62,MVT_EMPL,D$14))</f>
        <v>0</v>
      </c>
      <c r="E62" s="42" t="n">
        <f aca="false">IF(OR($A62="",E$14=""),0,SUMIFS(MVT_NET,MVT_LOT,$A62,MVT_EMPL,E$14))</f>
        <v>0</v>
      </c>
      <c r="F62" s="42" t="n">
        <f aca="false">IF(OR($A62="",F$14=""),0,SUMIFS(MVT_NET,MVT_LOT,$A62,MVT_EMPL,F$14))</f>
        <v>0</v>
      </c>
      <c r="G62" s="42" t="n">
        <f aca="false">IF(OR($A62="",G$14=""),0,SUMIFS(MVT_NET,MVT_LOT,$A62,MVT_EMPL,G$14))</f>
        <v>0</v>
      </c>
      <c r="H62" s="42" t="n">
        <f aca="false">IF(OR($A62="",H$14=""),0,SUMIFS(MVT_NET,MVT_LOT,$A62,MVT_EMPL,H$14))</f>
        <v>0</v>
      </c>
      <c r="I62" s="42" t="n">
        <f aca="false">IF(OR($A62="",I$14=""),0,SUMIFS(MVT_NET,MVT_LOT,$A62,MVT_EMPL,I$14))</f>
        <v>0</v>
      </c>
      <c r="J62" s="42" t="n">
        <f aca="false">IF(OR($A62="",J$14=""),0,SUMIFS(MVT_NET,MVT_LOT,$A62,MVT_EMPL,J$14))</f>
        <v>0</v>
      </c>
      <c r="K62" s="42" t="n">
        <f aca="false">IF(OR($A62="",K$14=""),0,SUMIFS(MVT_NET,MVT_LOT,$A62,MVT_EMPL,K$14))</f>
        <v>0</v>
      </c>
      <c r="L62" s="42" t="n">
        <f aca="false">IF(OR($A62="",L$14=""),0,SUMIFS(MVT_NET,MVT_LOT,$A62,MVT_EMPL,L$14))</f>
        <v>0</v>
      </c>
      <c r="M62" s="42" t="n">
        <f aca="false">IF(OR($A62="",M$14=""),0,SUMIFS(MVT_NET,MVT_LOT,$A62,MVT_EMPL,M$14))</f>
        <v>0</v>
      </c>
      <c r="N62" s="43" t="n">
        <f aca="false">SUM($B62:$M62)</f>
        <v>0</v>
      </c>
      <c r="O62" s="44" t="n">
        <f aca="false">SUMPRODUCT(($B$13:$M$13="INTERNE")*$B62:$M62)</f>
        <v>0</v>
      </c>
      <c r="P62" s="44" t="n">
        <f aca="false">SUMPRODUCT(($B$13:$M$13="EXTERNE")*$B62:$M62)</f>
        <v>0</v>
      </c>
      <c r="Q62" s="44" t="n">
        <f aca="false">IF($A62="",0,SUMIFS(ST_ENCOURS,ST_LOT,$A62))</f>
        <v>0</v>
      </c>
      <c r="R62" s="45" t="str">
        <f aca="false">IF($A62="","",IFERROR(INDEX(LOT_EXTE,MATCH($A62,LOT_KEY,0)),""))</f>
        <v/>
      </c>
      <c r="S62" s="45" t="str">
        <f aca="false">IF($A62="","",IFERROR(INDEX(LOT_DECISION,MATCH($A62,LOT_KEY,0)),""))</f>
        <v/>
      </c>
      <c r="T62" s="44" t="n">
        <f aca="false">IF($S62="BLOQUER",MAX(0,$N62),0)</f>
        <v>0</v>
      </c>
      <c r="U62" s="46" t="str">
        <f aca="false">IF($A62="","",IF($N62&lt;-0.001,"STOCK NEGATIF - ANOMALIE",IF($T62&gt;0,"BLOQUE QUALITE","")))</f>
        <v/>
      </c>
    </row>
    <row r="63" customFormat="false" ht="15" hidden="false" customHeight="false" outlineLevel="0" collapsed="false">
      <c r="A63" s="41" t="str">
        <f aca="false">IF(LOTS!$A53="","",LOTS!$A53)</f>
        <v/>
      </c>
      <c r="B63" s="42" t="n">
        <f aca="false">IF(OR($A63="",B$14=""),0,SUMIFS(MVT_NET,MVT_LOT,$A63,MVT_EMPL,B$14))</f>
        <v>0</v>
      </c>
      <c r="C63" s="42" t="n">
        <f aca="false">IF(OR($A63="",C$14=""),0,SUMIFS(MVT_NET,MVT_LOT,$A63,MVT_EMPL,C$14))</f>
        <v>0</v>
      </c>
      <c r="D63" s="42" t="n">
        <f aca="false">IF(OR($A63="",D$14=""),0,SUMIFS(MVT_NET,MVT_LOT,$A63,MVT_EMPL,D$14))</f>
        <v>0</v>
      </c>
      <c r="E63" s="42" t="n">
        <f aca="false">IF(OR($A63="",E$14=""),0,SUMIFS(MVT_NET,MVT_LOT,$A63,MVT_EMPL,E$14))</f>
        <v>0</v>
      </c>
      <c r="F63" s="42" t="n">
        <f aca="false">IF(OR($A63="",F$14=""),0,SUMIFS(MVT_NET,MVT_LOT,$A63,MVT_EMPL,F$14))</f>
        <v>0</v>
      </c>
      <c r="G63" s="42" t="n">
        <f aca="false">IF(OR($A63="",G$14=""),0,SUMIFS(MVT_NET,MVT_LOT,$A63,MVT_EMPL,G$14))</f>
        <v>0</v>
      </c>
      <c r="H63" s="42" t="n">
        <f aca="false">IF(OR($A63="",H$14=""),0,SUMIFS(MVT_NET,MVT_LOT,$A63,MVT_EMPL,H$14))</f>
        <v>0</v>
      </c>
      <c r="I63" s="42" t="n">
        <f aca="false">IF(OR($A63="",I$14=""),0,SUMIFS(MVT_NET,MVT_LOT,$A63,MVT_EMPL,I$14))</f>
        <v>0</v>
      </c>
      <c r="J63" s="42" t="n">
        <f aca="false">IF(OR($A63="",J$14=""),0,SUMIFS(MVT_NET,MVT_LOT,$A63,MVT_EMPL,J$14))</f>
        <v>0</v>
      </c>
      <c r="K63" s="42" t="n">
        <f aca="false">IF(OR($A63="",K$14=""),0,SUMIFS(MVT_NET,MVT_LOT,$A63,MVT_EMPL,K$14))</f>
        <v>0</v>
      </c>
      <c r="L63" s="42" t="n">
        <f aca="false">IF(OR($A63="",L$14=""),0,SUMIFS(MVT_NET,MVT_LOT,$A63,MVT_EMPL,L$14))</f>
        <v>0</v>
      </c>
      <c r="M63" s="42" t="n">
        <f aca="false">IF(OR($A63="",M$14=""),0,SUMIFS(MVT_NET,MVT_LOT,$A63,MVT_EMPL,M$14))</f>
        <v>0</v>
      </c>
      <c r="N63" s="43" t="n">
        <f aca="false">SUM($B63:$M63)</f>
        <v>0</v>
      </c>
      <c r="O63" s="44" t="n">
        <f aca="false">SUMPRODUCT(($B$13:$M$13="INTERNE")*$B63:$M63)</f>
        <v>0</v>
      </c>
      <c r="P63" s="44" t="n">
        <f aca="false">SUMPRODUCT(($B$13:$M$13="EXTERNE")*$B63:$M63)</f>
        <v>0</v>
      </c>
      <c r="Q63" s="44" t="n">
        <f aca="false">IF($A63="",0,SUMIFS(ST_ENCOURS,ST_LOT,$A63))</f>
        <v>0</v>
      </c>
      <c r="R63" s="45" t="str">
        <f aca="false">IF($A63="","",IFERROR(INDEX(LOT_EXTE,MATCH($A63,LOT_KEY,0)),""))</f>
        <v/>
      </c>
      <c r="S63" s="45" t="str">
        <f aca="false">IF($A63="","",IFERROR(INDEX(LOT_DECISION,MATCH($A63,LOT_KEY,0)),""))</f>
        <v/>
      </c>
      <c r="T63" s="44" t="n">
        <f aca="false">IF($S63="BLOQUER",MAX(0,$N63),0)</f>
        <v>0</v>
      </c>
      <c r="U63" s="46" t="str">
        <f aca="false">IF($A63="","",IF($N63&lt;-0.001,"STOCK NEGATIF - ANOMALIE",IF($T63&gt;0,"BLOQUE QUALITE","")))</f>
        <v/>
      </c>
    </row>
    <row r="64" customFormat="false" ht="15" hidden="false" customHeight="false" outlineLevel="0" collapsed="false">
      <c r="A64" s="41" t="str">
        <f aca="false">IF(LOTS!$A54="","",LOTS!$A54)</f>
        <v/>
      </c>
      <c r="B64" s="42" t="n">
        <f aca="false">IF(OR($A64="",B$14=""),0,SUMIFS(MVT_NET,MVT_LOT,$A64,MVT_EMPL,B$14))</f>
        <v>0</v>
      </c>
      <c r="C64" s="42" t="n">
        <f aca="false">IF(OR($A64="",C$14=""),0,SUMIFS(MVT_NET,MVT_LOT,$A64,MVT_EMPL,C$14))</f>
        <v>0</v>
      </c>
      <c r="D64" s="42" t="n">
        <f aca="false">IF(OR($A64="",D$14=""),0,SUMIFS(MVT_NET,MVT_LOT,$A64,MVT_EMPL,D$14))</f>
        <v>0</v>
      </c>
      <c r="E64" s="42" t="n">
        <f aca="false">IF(OR($A64="",E$14=""),0,SUMIFS(MVT_NET,MVT_LOT,$A64,MVT_EMPL,E$14))</f>
        <v>0</v>
      </c>
      <c r="F64" s="42" t="n">
        <f aca="false">IF(OR($A64="",F$14=""),0,SUMIFS(MVT_NET,MVT_LOT,$A64,MVT_EMPL,F$14))</f>
        <v>0</v>
      </c>
      <c r="G64" s="42" t="n">
        <f aca="false">IF(OR($A64="",G$14=""),0,SUMIFS(MVT_NET,MVT_LOT,$A64,MVT_EMPL,G$14))</f>
        <v>0</v>
      </c>
      <c r="H64" s="42" t="n">
        <f aca="false">IF(OR($A64="",H$14=""),0,SUMIFS(MVT_NET,MVT_LOT,$A64,MVT_EMPL,H$14))</f>
        <v>0</v>
      </c>
      <c r="I64" s="42" t="n">
        <f aca="false">IF(OR($A64="",I$14=""),0,SUMIFS(MVT_NET,MVT_LOT,$A64,MVT_EMPL,I$14))</f>
        <v>0</v>
      </c>
      <c r="J64" s="42" t="n">
        <f aca="false">IF(OR($A64="",J$14=""),0,SUMIFS(MVT_NET,MVT_LOT,$A64,MVT_EMPL,J$14))</f>
        <v>0</v>
      </c>
      <c r="K64" s="42" t="n">
        <f aca="false">IF(OR($A64="",K$14=""),0,SUMIFS(MVT_NET,MVT_LOT,$A64,MVT_EMPL,K$14))</f>
        <v>0</v>
      </c>
      <c r="L64" s="42" t="n">
        <f aca="false">IF(OR($A64="",L$14=""),0,SUMIFS(MVT_NET,MVT_LOT,$A64,MVT_EMPL,L$14))</f>
        <v>0</v>
      </c>
      <c r="M64" s="42" t="n">
        <f aca="false">IF(OR($A64="",M$14=""),0,SUMIFS(MVT_NET,MVT_LOT,$A64,MVT_EMPL,M$14))</f>
        <v>0</v>
      </c>
      <c r="N64" s="43" t="n">
        <f aca="false">SUM($B64:$M64)</f>
        <v>0</v>
      </c>
      <c r="O64" s="44" t="n">
        <f aca="false">SUMPRODUCT(($B$13:$M$13="INTERNE")*$B64:$M64)</f>
        <v>0</v>
      </c>
      <c r="P64" s="44" t="n">
        <f aca="false">SUMPRODUCT(($B$13:$M$13="EXTERNE")*$B64:$M64)</f>
        <v>0</v>
      </c>
      <c r="Q64" s="44" t="n">
        <f aca="false">IF($A64="",0,SUMIFS(ST_ENCOURS,ST_LOT,$A64))</f>
        <v>0</v>
      </c>
      <c r="R64" s="45" t="str">
        <f aca="false">IF($A64="","",IFERROR(INDEX(LOT_EXTE,MATCH($A64,LOT_KEY,0)),""))</f>
        <v/>
      </c>
      <c r="S64" s="45" t="str">
        <f aca="false">IF($A64="","",IFERROR(INDEX(LOT_DECISION,MATCH($A64,LOT_KEY,0)),""))</f>
        <v/>
      </c>
      <c r="T64" s="44" t="n">
        <f aca="false">IF($S64="BLOQUER",MAX(0,$N64),0)</f>
        <v>0</v>
      </c>
      <c r="U64" s="46" t="str">
        <f aca="false">IF($A64="","",IF($N64&lt;-0.001,"STOCK NEGATIF - ANOMALIE",IF($T64&gt;0,"BLOQUE QUALITE","")))</f>
        <v/>
      </c>
    </row>
    <row r="65" customFormat="false" ht="15" hidden="false" customHeight="false" outlineLevel="0" collapsed="false">
      <c r="A65" s="41" t="str">
        <f aca="false">IF(LOTS!$A55="","",LOTS!$A55)</f>
        <v/>
      </c>
      <c r="B65" s="42" t="n">
        <f aca="false">IF(OR($A65="",B$14=""),0,SUMIFS(MVT_NET,MVT_LOT,$A65,MVT_EMPL,B$14))</f>
        <v>0</v>
      </c>
      <c r="C65" s="42" t="n">
        <f aca="false">IF(OR($A65="",C$14=""),0,SUMIFS(MVT_NET,MVT_LOT,$A65,MVT_EMPL,C$14))</f>
        <v>0</v>
      </c>
      <c r="D65" s="42" t="n">
        <f aca="false">IF(OR($A65="",D$14=""),0,SUMIFS(MVT_NET,MVT_LOT,$A65,MVT_EMPL,D$14))</f>
        <v>0</v>
      </c>
      <c r="E65" s="42" t="n">
        <f aca="false">IF(OR($A65="",E$14=""),0,SUMIFS(MVT_NET,MVT_LOT,$A65,MVT_EMPL,E$14))</f>
        <v>0</v>
      </c>
      <c r="F65" s="42" t="n">
        <f aca="false">IF(OR($A65="",F$14=""),0,SUMIFS(MVT_NET,MVT_LOT,$A65,MVT_EMPL,F$14))</f>
        <v>0</v>
      </c>
      <c r="G65" s="42" t="n">
        <f aca="false">IF(OR($A65="",G$14=""),0,SUMIFS(MVT_NET,MVT_LOT,$A65,MVT_EMPL,G$14))</f>
        <v>0</v>
      </c>
      <c r="H65" s="42" t="n">
        <f aca="false">IF(OR($A65="",H$14=""),0,SUMIFS(MVT_NET,MVT_LOT,$A65,MVT_EMPL,H$14))</f>
        <v>0</v>
      </c>
      <c r="I65" s="42" t="n">
        <f aca="false">IF(OR($A65="",I$14=""),0,SUMIFS(MVT_NET,MVT_LOT,$A65,MVT_EMPL,I$14))</f>
        <v>0</v>
      </c>
      <c r="J65" s="42" t="n">
        <f aca="false">IF(OR($A65="",J$14=""),0,SUMIFS(MVT_NET,MVT_LOT,$A65,MVT_EMPL,J$14))</f>
        <v>0</v>
      </c>
      <c r="K65" s="42" t="n">
        <f aca="false">IF(OR($A65="",K$14=""),0,SUMIFS(MVT_NET,MVT_LOT,$A65,MVT_EMPL,K$14))</f>
        <v>0</v>
      </c>
      <c r="L65" s="42" t="n">
        <f aca="false">IF(OR($A65="",L$14=""),0,SUMIFS(MVT_NET,MVT_LOT,$A65,MVT_EMPL,L$14))</f>
        <v>0</v>
      </c>
      <c r="M65" s="42" t="n">
        <f aca="false">IF(OR($A65="",M$14=""),0,SUMIFS(MVT_NET,MVT_LOT,$A65,MVT_EMPL,M$14))</f>
        <v>0</v>
      </c>
      <c r="N65" s="43" t="n">
        <f aca="false">SUM($B65:$M65)</f>
        <v>0</v>
      </c>
      <c r="O65" s="44" t="n">
        <f aca="false">SUMPRODUCT(($B$13:$M$13="INTERNE")*$B65:$M65)</f>
        <v>0</v>
      </c>
      <c r="P65" s="44" t="n">
        <f aca="false">SUMPRODUCT(($B$13:$M$13="EXTERNE")*$B65:$M65)</f>
        <v>0</v>
      </c>
      <c r="Q65" s="44" t="n">
        <f aca="false">IF($A65="",0,SUMIFS(ST_ENCOURS,ST_LOT,$A65))</f>
        <v>0</v>
      </c>
      <c r="R65" s="45" t="str">
        <f aca="false">IF($A65="","",IFERROR(INDEX(LOT_EXTE,MATCH($A65,LOT_KEY,0)),""))</f>
        <v/>
      </c>
      <c r="S65" s="45" t="str">
        <f aca="false">IF($A65="","",IFERROR(INDEX(LOT_DECISION,MATCH($A65,LOT_KEY,0)),""))</f>
        <v/>
      </c>
      <c r="T65" s="44" t="n">
        <f aca="false">IF($S65="BLOQUER",MAX(0,$N65),0)</f>
        <v>0</v>
      </c>
      <c r="U65" s="46" t="str">
        <f aca="false">IF($A65="","",IF($N65&lt;-0.001,"STOCK NEGATIF - ANOMALIE",IF($T65&gt;0,"BLOQUE QUALITE","")))</f>
        <v/>
      </c>
    </row>
    <row r="66" customFormat="false" ht="15" hidden="false" customHeight="false" outlineLevel="0" collapsed="false">
      <c r="A66" s="41" t="str">
        <f aca="false">IF(LOTS!$A56="","",LOTS!$A56)</f>
        <v/>
      </c>
      <c r="B66" s="42" t="n">
        <f aca="false">IF(OR($A66="",B$14=""),0,SUMIFS(MVT_NET,MVT_LOT,$A66,MVT_EMPL,B$14))</f>
        <v>0</v>
      </c>
      <c r="C66" s="42" t="n">
        <f aca="false">IF(OR($A66="",C$14=""),0,SUMIFS(MVT_NET,MVT_LOT,$A66,MVT_EMPL,C$14))</f>
        <v>0</v>
      </c>
      <c r="D66" s="42" t="n">
        <f aca="false">IF(OR($A66="",D$14=""),0,SUMIFS(MVT_NET,MVT_LOT,$A66,MVT_EMPL,D$14))</f>
        <v>0</v>
      </c>
      <c r="E66" s="42" t="n">
        <f aca="false">IF(OR($A66="",E$14=""),0,SUMIFS(MVT_NET,MVT_LOT,$A66,MVT_EMPL,E$14))</f>
        <v>0</v>
      </c>
      <c r="F66" s="42" t="n">
        <f aca="false">IF(OR($A66="",F$14=""),0,SUMIFS(MVT_NET,MVT_LOT,$A66,MVT_EMPL,F$14))</f>
        <v>0</v>
      </c>
      <c r="G66" s="42" t="n">
        <f aca="false">IF(OR($A66="",G$14=""),0,SUMIFS(MVT_NET,MVT_LOT,$A66,MVT_EMPL,G$14))</f>
        <v>0</v>
      </c>
      <c r="H66" s="42" t="n">
        <f aca="false">IF(OR($A66="",H$14=""),0,SUMIFS(MVT_NET,MVT_LOT,$A66,MVT_EMPL,H$14))</f>
        <v>0</v>
      </c>
      <c r="I66" s="42" t="n">
        <f aca="false">IF(OR($A66="",I$14=""),0,SUMIFS(MVT_NET,MVT_LOT,$A66,MVT_EMPL,I$14))</f>
        <v>0</v>
      </c>
      <c r="J66" s="42" t="n">
        <f aca="false">IF(OR($A66="",J$14=""),0,SUMIFS(MVT_NET,MVT_LOT,$A66,MVT_EMPL,J$14))</f>
        <v>0</v>
      </c>
      <c r="K66" s="42" t="n">
        <f aca="false">IF(OR($A66="",K$14=""),0,SUMIFS(MVT_NET,MVT_LOT,$A66,MVT_EMPL,K$14))</f>
        <v>0</v>
      </c>
      <c r="L66" s="42" t="n">
        <f aca="false">IF(OR($A66="",L$14=""),0,SUMIFS(MVT_NET,MVT_LOT,$A66,MVT_EMPL,L$14))</f>
        <v>0</v>
      </c>
      <c r="M66" s="42" t="n">
        <f aca="false">IF(OR($A66="",M$14=""),0,SUMIFS(MVT_NET,MVT_LOT,$A66,MVT_EMPL,M$14))</f>
        <v>0</v>
      </c>
      <c r="N66" s="43" t="n">
        <f aca="false">SUM($B66:$M66)</f>
        <v>0</v>
      </c>
      <c r="O66" s="44" t="n">
        <f aca="false">SUMPRODUCT(($B$13:$M$13="INTERNE")*$B66:$M66)</f>
        <v>0</v>
      </c>
      <c r="P66" s="44" t="n">
        <f aca="false">SUMPRODUCT(($B$13:$M$13="EXTERNE")*$B66:$M66)</f>
        <v>0</v>
      </c>
      <c r="Q66" s="44" t="n">
        <f aca="false">IF($A66="",0,SUMIFS(ST_ENCOURS,ST_LOT,$A66))</f>
        <v>0</v>
      </c>
      <c r="R66" s="45" t="str">
        <f aca="false">IF($A66="","",IFERROR(INDEX(LOT_EXTE,MATCH($A66,LOT_KEY,0)),""))</f>
        <v/>
      </c>
      <c r="S66" s="45" t="str">
        <f aca="false">IF($A66="","",IFERROR(INDEX(LOT_DECISION,MATCH($A66,LOT_KEY,0)),""))</f>
        <v/>
      </c>
      <c r="T66" s="44" t="n">
        <f aca="false">IF($S66="BLOQUER",MAX(0,$N66),0)</f>
        <v>0</v>
      </c>
      <c r="U66" s="46" t="str">
        <f aca="false">IF($A66="","",IF($N66&lt;-0.001,"STOCK NEGATIF - ANOMALIE",IF($T66&gt;0,"BLOQUE QUALITE","")))</f>
        <v/>
      </c>
    </row>
    <row r="67" customFormat="false" ht="15" hidden="false" customHeight="false" outlineLevel="0" collapsed="false">
      <c r="A67" s="41" t="str">
        <f aca="false">IF(LOTS!$A57="","",LOTS!$A57)</f>
        <v/>
      </c>
      <c r="B67" s="42" t="n">
        <f aca="false">IF(OR($A67="",B$14=""),0,SUMIFS(MVT_NET,MVT_LOT,$A67,MVT_EMPL,B$14))</f>
        <v>0</v>
      </c>
      <c r="C67" s="42" t="n">
        <f aca="false">IF(OR($A67="",C$14=""),0,SUMIFS(MVT_NET,MVT_LOT,$A67,MVT_EMPL,C$14))</f>
        <v>0</v>
      </c>
      <c r="D67" s="42" t="n">
        <f aca="false">IF(OR($A67="",D$14=""),0,SUMIFS(MVT_NET,MVT_LOT,$A67,MVT_EMPL,D$14))</f>
        <v>0</v>
      </c>
      <c r="E67" s="42" t="n">
        <f aca="false">IF(OR($A67="",E$14=""),0,SUMIFS(MVT_NET,MVT_LOT,$A67,MVT_EMPL,E$14))</f>
        <v>0</v>
      </c>
      <c r="F67" s="42" t="n">
        <f aca="false">IF(OR($A67="",F$14=""),0,SUMIFS(MVT_NET,MVT_LOT,$A67,MVT_EMPL,F$14))</f>
        <v>0</v>
      </c>
      <c r="G67" s="42" t="n">
        <f aca="false">IF(OR($A67="",G$14=""),0,SUMIFS(MVT_NET,MVT_LOT,$A67,MVT_EMPL,G$14))</f>
        <v>0</v>
      </c>
      <c r="H67" s="42" t="n">
        <f aca="false">IF(OR($A67="",H$14=""),0,SUMIFS(MVT_NET,MVT_LOT,$A67,MVT_EMPL,H$14))</f>
        <v>0</v>
      </c>
      <c r="I67" s="42" t="n">
        <f aca="false">IF(OR($A67="",I$14=""),0,SUMIFS(MVT_NET,MVT_LOT,$A67,MVT_EMPL,I$14))</f>
        <v>0</v>
      </c>
      <c r="J67" s="42" t="n">
        <f aca="false">IF(OR($A67="",J$14=""),0,SUMIFS(MVT_NET,MVT_LOT,$A67,MVT_EMPL,J$14))</f>
        <v>0</v>
      </c>
      <c r="K67" s="42" t="n">
        <f aca="false">IF(OR($A67="",K$14=""),0,SUMIFS(MVT_NET,MVT_LOT,$A67,MVT_EMPL,K$14))</f>
        <v>0</v>
      </c>
      <c r="L67" s="42" t="n">
        <f aca="false">IF(OR($A67="",L$14=""),0,SUMIFS(MVT_NET,MVT_LOT,$A67,MVT_EMPL,L$14))</f>
        <v>0</v>
      </c>
      <c r="M67" s="42" t="n">
        <f aca="false">IF(OR($A67="",M$14=""),0,SUMIFS(MVT_NET,MVT_LOT,$A67,MVT_EMPL,M$14))</f>
        <v>0</v>
      </c>
      <c r="N67" s="43" t="n">
        <f aca="false">SUM($B67:$M67)</f>
        <v>0</v>
      </c>
      <c r="O67" s="44" t="n">
        <f aca="false">SUMPRODUCT(($B$13:$M$13="INTERNE")*$B67:$M67)</f>
        <v>0</v>
      </c>
      <c r="P67" s="44" t="n">
        <f aca="false">SUMPRODUCT(($B$13:$M$13="EXTERNE")*$B67:$M67)</f>
        <v>0</v>
      </c>
      <c r="Q67" s="44" t="n">
        <f aca="false">IF($A67="",0,SUMIFS(ST_ENCOURS,ST_LOT,$A67))</f>
        <v>0</v>
      </c>
      <c r="R67" s="45" t="str">
        <f aca="false">IF($A67="","",IFERROR(INDEX(LOT_EXTE,MATCH($A67,LOT_KEY,0)),""))</f>
        <v/>
      </c>
      <c r="S67" s="45" t="str">
        <f aca="false">IF($A67="","",IFERROR(INDEX(LOT_DECISION,MATCH($A67,LOT_KEY,0)),""))</f>
        <v/>
      </c>
      <c r="T67" s="44" t="n">
        <f aca="false">IF($S67="BLOQUER",MAX(0,$N67),0)</f>
        <v>0</v>
      </c>
      <c r="U67" s="46" t="str">
        <f aca="false">IF($A67="","",IF($N67&lt;-0.001,"STOCK NEGATIF - ANOMALIE",IF($T67&gt;0,"BLOQUE QUALITE","")))</f>
        <v/>
      </c>
    </row>
    <row r="68" customFormat="false" ht="15" hidden="false" customHeight="false" outlineLevel="0" collapsed="false">
      <c r="A68" s="41" t="str">
        <f aca="false">IF(LOTS!$A58="","",LOTS!$A58)</f>
        <v/>
      </c>
      <c r="B68" s="42" t="n">
        <f aca="false">IF(OR($A68="",B$14=""),0,SUMIFS(MVT_NET,MVT_LOT,$A68,MVT_EMPL,B$14))</f>
        <v>0</v>
      </c>
      <c r="C68" s="42" t="n">
        <f aca="false">IF(OR($A68="",C$14=""),0,SUMIFS(MVT_NET,MVT_LOT,$A68,MVT_EMPL,C$14))</f>
        <v>0</v>
      </c>
      <c r="D68" s="42" t="n">
        <f aca="false">IF(OR($A68="",D$14=""),0,SUMIFS(MVT_NET,MVT_LOT,$A68,MVT_EMPL,D$14))</f>
        <v>0</v>
      </c>
      <c r="E68" s="42" t="n">
        <f aca="false">IF(OR($A68="",E$14=""),0,SUMIFS(MVT_NET,MVT_LOT,$A68,MVT_EMPL,E$14))</f>
        <v>0</v>
      </c>
      <c r="F68" s="42" t="n">
        <f aca="false">IF(OR($A68="",F$14=""),0,SUMIFS(MVT_NET,MVT_LOT,$A68,MVT_EMPL,F$14))</f>
        <v>0</v>
      </c>
      <c r="G68" s="42" t="n">
        <f aca="false">IF(OR($A68="",G$14=""),0,SUMIFS(MVT_NET,MVT_LOT,$A68,MVT_EMPL,G$14))</f>
        <v>0</v>
      </c>
      <c r="H68" s="42" t="n">
        <f aca="false">IF(OR($A68="",H$14=""),0,SUMIFS(MVT_NET,MVT_LOT,$A68,MVT_EMPL,H$14))</f>
        <v>0</v>
      </c>
      <c r="I68" s="42" t="n">
        <f aca="false">IF(OR($A68="",I$14=""),0,SUMIFS(MVT_NET,MVT_LOT,$A68,MVT_EMPL,I$14))</f>
        <v>0</v>
      </c>
      <c r="J68" s="42" t="n">
        <f aca="false">IF(OR($A68="",J$14=""),0,SUMIFS(MVT_NET,MVT_LOT,$A68,MVT_EMPL,J$14))</f>
        <v>0</v>
      </c>
      <c r="K68" s="42" t="n">
        <f aca="false">IF(OR($A68="",K$14=""),0,SUMIFS(MVT_NET,MVT_LOT,$A68,MVT_EMPL,K$14))</f>
        <v>0</v>
      </c>
      <c r="L68" s="42" t="n">
        <f aca="false">IF(OR($A68="",L$14=""),0,SUMIFS(MVT_NET,MVT_LOT,$A68,MVT_EMPL,L$14))</f>
        <v>0</v>
      </c>
      <c r="M68" s="42" t="n">
        <f aca="false">IF(OR($A68="",M$14=""),0,SUMIFS(MVT_NET,MVT_LOT,$A68,MVT_EMPL,M$14))</f>
        <v>0</v>
      </c>
      <c r="N68" s="43" t="n">
        <f aca="false">SUM($B68:$M68)</f>
        <v>0</v>
      </c>
      <c r="O68" s="44" t="n">
        <f aca="false">SUMPRODUCT(($B$13:$M$13="INTERNE")*$B68:$M68)</f>
        <v>0</v>
      </c>
      <c r="P68" s="44" t="n">
        <f aca="false">SUMPRODUCT(($B$13:$M$13="EXTERNE")*$B68:$M68)</f>
        <v>0</v>
      </c>
      <c r="Q68" s="44" t="n">
        <f aca="false">IF($A68="",0,SUMIFS(ST_ENCOURS,ST_LOT,$A68))</f>
        <v>0</v>
      </c>
      <c r="R68" s="45" t="str">
        <f aca="false">IF($A68="","",IFERROR(INDEX(LOT_EXTE,MATCH($A68,LOT_KEY,0)),""))</f>
        <v/>
      </c>
      <c r="S68" s="45" t="str">
        <f aca="false">IF($A68="","",IFERROR(INDEX(LOT_DECISION,MATCH($A68,LOT_KEY,0)),""))</f>
        <v/>
      </c>
      <c r="T68" s="44" t="n">
        <f aca="false">IF($S68="BLOQUER",MAX(0,$N68),0)</f>
        <v>0</v>
      </c>
      <c r="U68" s="46" t="str">
        <f aca="false">IF($A68="","",IF($N68&lt;-0.001,"STOCK NEGATIF - ANOMALIE",IF($T68&gt;0,"BLOQUE QUALITE","")))</f>
        <v/>
      </c>
    </row>
    <row r="69" customFormat="false" ht="15" hidden="false" customHeight="false" outlineLevel="0" collapsed="false">
      <c r="A69" s="41" t="str">
        <f aca="false">IF(LOTS!$A59="","",LOTS!$A59)</f>
        <v/>
      </c>
      <c r="B69" s="42" t="n">
        <f aca="false">IF(OR($A69="",B$14=""),0,SUMIFS(MVT_NET,MVT_LOT,$A69,MVT_EMPL,B$14))</f>
        <v>0</v>
      </c>
      <c r="C69" s="42" t="n">
        <f aca="false">IF(OR($A69="",C$14=""),0,SUMIFS(MVT_NET,MVT_LOT,$A69,MVT_EMPL,C$14))</f>
        <v>0</v>
      </c>
      <c r="D69" s="42" t="n">
        <f aca="false">IF(OR($A69="",D$14=""),0,SUMIFS(MVT_NET,MVT_LOT,$A69,MVT_EMPL,D$14))</f>
        <v>0</v>
      </c>
      <c r="E69" s="42" t="n">
        <f aca="false">IF(OR($A69="",E$14=""),0,SUMIFS(MVT_NET,MVT_LOT,$A69,MVT_EMPL,E$14))</f>
        <v>0</v>
      </c>
      <c r="F69" s="42" t="n">
        <f aca="false">IF(OR($A69="",F$14=""),0,SUMIFS(MVT_NET,MVT_LOT,$A69,MVT_EMPL,F$14))</f>
        <v>0</v>
      </c>
      <c r="G69" s="42" t="n">
        <f aca="false">IF(OR($A69="",G$14=""),0,SUMIFS(MVT_NET,MVT_LOT,$A69,MVT_EMPL,G$14))</f>
        <v>0</v>
      </c>
      <c r="H69" s="42" t="n">
        <f aca="false">IF(OR($A69="",H$14=""),0,SUMIFS(MVT_NET,MVT_LOT,$A69,MVT_EMPL,H$14))</f>
        <v>0</v>
      </c>
      <c r="I69" s="42" t="n">
        <f aca="false">IF(OR($A69="",I$14=""),0,SUMIFS(MVT_NET,MVT_LOT,$A69,MVT_EMPL,I$14))</f>
        <v>0</v>
      </c>
      <c r="J69" s="42" t="n">
        <f aca="false">IF(OR($A69="",J$14=""),0,SUMIFS(MVT_NET,MVT_LOT,$A69,MVT_EMPL,J$14))</f>
        <v>0</v>
      </c>
      <c r="K69" s="42" t="n">
        <f aca="false">IF(OR($A69="",K$14=""),0,SUMIFS(MVT_NET,MVT_LOT,$A69,MVT_EMPL,K$14))</f>
        <v>0</v>
      </c>
      <c r="L69" s="42" t="n">
        <f aca="false">IF(OR($A69="",L$14=""),0,SUMIFS(MVT_NET,MVT_LOT,$A69,MVT_EMPL,L$14))</f>
        <v>0</v>
      </c>
      <c r="M69" s="42" t="n">
        <f aca="false">IF(OR($A69="",M$14=""),0,SUMIFS(MVT_NET,MVT_LOT,$A69,MVT_EMPL,M$14))</f>
        <v>0</v>
      </c>
      <c r="N69" s="43" t="n">
        <f aca="false">SUM($B69:$M69)</f>
        <v>0</v>
      </c>
      <c r="O69" s="44" t="n">
        <f aca="false">SUMPRODUCT(($B$13:$M$13="INTERNE")*$B69:$M69)</f>
        <v>0</v>
      </c>
      <c r="P69" s="44" t="n">
        <f aca="false">SUMPRODUCT(($B$13:$M$13="EXTERNE")*$B69:$M69)</f>
        <v>0</v>
      </c>
      <c r="Q69" s="44" t="n">
        <f aca="false">IF($A69="",0,SUMIFS(ST_ENCOURS,ST_LOT,$A69))</f>
        <v>0</v>
      </c>
      <c r="R69" s="45" t="str">
        <f aca="false">IF($A69="","",IFERROR(INDEX(LOT_EXTE,MATCH($A69,LOT_KEY,0)),""))</f>
        <v/>
      </c>
      <c r="S69" s="45" t="str">
        <f aca="false">IF($A69="","",IFERROR(INDEX(LOT_DECISION,MATCH($A69,LOT_KEY,0)),""))</f>
        <v/>
      </c>
      <c r="T69" s="44" t="n">
        <f aca="false">IF($S69="BLOQUER",MAX(0,$N69),0)</f>
        <v>0</v>
      </c>
      <c r="U69" s="46" t="str">
        <f aca="false">IF($A69="","",IF($N69&lt;-0.001,"STOCK NEGATIF - ANOMALIE",IF($T69&gt;0,"BLOQUE QUALITE","")))</f>
        <v/>
      </c>
    </row>
    <row r="70" customFormat="false" ht="15" hidden="false" customHeight="false" outlineLevel="0" collapsed="false">
      <c r="A70" s="41" t="str">
        <f aca="false">IF(LOTS!$A60="","",LOTS!$A60)</f>
        <v/>
      </c>
      <c r="B70" s="42" t="n">
        <f aca="false">IF(OR($A70="",B$14=""),0,SUMIFS(MVT_NET,MVT_LOT,$A70,MVT_EMPL,B$14))</f>
        <v>0</v>
      </c>
      <c r="C70" s="42" t="n">
        <f aca="false">IF(OR($A70="",C$14=""),0,SUMIFS(MVT_NET,MVT_LOT,$A70,MVT_EMPL,C$14))</f>
        <v>0</v>
      </c>
      <c r="D70" s="42" t="n">
        <f aca="false">IF(OR($A70="",D$14=""),0,SUMIFS(MVT_NET,MVT_LOT,$A70,MVT_EMPL,D$14))</f>
        <v>0</v>
      </c>
      <c r="E70" s="42" t="n">
        <f aca="false">IF(OR($A70="",E$14=""),0,SUMIFS(MVT_NET,MVT_LOT,$A70,MVT_EMPL,E$14))</f>
        <v>0</v>
      </c>
      <c r="F70" s="42" t="n">
        <f aca="false">IF(OR($A70="",F$14=""),0,SUMIFS(MVT_NET,MVT_LOT,$A70,MVT_EMPL,F$14))</f>
        <v>0</v>
      </c>
      <c r="G70" s="42" t="n">
        <f aca="false">IF(OR($A70="",G$14=""),0,SUMIFS(MVT_NET,MVT_LOT,$A70,MVT_EMPL,G$14))</f>
        <v>0</v>
      </c>
      <c r="H70" s="42" t="n">
        <f aca="false">IF(OR($A70="",H$14=""),0,SUMIFS(MVT_NET,MVT_LOT,$A70,MVT_EMPL,H$14))</f>
        <v>0</v>
      </c>
      <c r="I70" s="42" t="n">
        <f aca="false">IF(OR($A70="",I$14=""),0,SUMIFS(MVT_NET,MVT_LOT,$A70,MVT_EMPL,I$14))</f>
        <v>0</v>
      </c>
      <c r="J70" s="42" t="n">
        <f aca="false">IF(OR($A70="",J$14=""),0,SUMIFS(MVT_NET,MVT_LOT,$A70,MVT_EMPL,J$14))</f>
        <v>0</v>
      </c>
      <c r="K70" s="42" t="n">
        <f aca="false">IF(OR($A70="",K$14=""),0,SUMIFS(MVT_NET,MVT_LOT,$A70,MVT_EMPL,K$14))</f>
        <v>0</v>
      </c>
      <c r="L70" s="42" t="n">
        <f aca="false">IF(OR($A70="",L$14=""),0,SUMIFS(MVT_NET,MVT_LOT,$A70,MVT_EMPL,L$14))</f>
        <v>0</v>
      </c>
      <c r="M70" s="42" t="n">
        <f aca="false">IF(OR($A70="",M$14=""),0,SUMIFS(MVT_NET,MVT_LOT,$A70,MVT_EMPL,M$14))</f>
        <v>0</v>
      </c>
      <c r="N70" s="43" t="n">
        <f aca="false">SUM($B70:$M70)</f>
        <v>0</v>
      </c>
      <c r="O70" s="44" t="n">
        <f aca="false">SUMPRODUCT(($B$13:$M$13="INTERNE")*$B70:$M70)</f>
        <v>0</v>
      </c>
      <c r="P70" s="44" t="n">
        <f aca="false">SUMPRODUCT(($B$13:$M$13="EXTERNE")*$B70:$M70)</f>
        <v>0</v>
      </c>
      <c r="Q70" s="44" t="n">
        <f aca="false">IF($A70="",0,SUMIFS(ST_ENCOURS,ST_LOT,$A70))</f>
        <v>0</v>
      </c>
      <c r="R70" s="45" t="str">
        <f aca="false">IF($A70="","",IFERROR(INDEX(LOT_EXTE,MATCH($A70,LOT_KEY,0)),""))</f>
        <v/>
      </c>
      <c r="S70" s="45" t="str">
        <f aca="false">IF($A70="","",IFERROR(INDEX(LOT_DECISION,MATCH($A70,LOT_KEY,0)),""))</f>
        <v/>
      </c>
      <c r="T70" s="44" t="n">
        <f aca="false">IF($S70="BLOQUER",MAX(0,$N70),0)</f>
        <v>0</v>
      </c>
      <c r="U70" s="46" t="str">
        <f aca="false">IF($A70="","",IF($N70&lt;-0.001,"STOCK NEGATIF - ANOMALIE",IF($T70&gt;0,"BLOQUE QUALITE","")))</f>
        <v/>
      </c>
    </row>
    <row r="71" customFormat="false" ht="15" hidden="false" customHeight="false" outlineLevel="0" collapsed="false">
      <c r="A71" s="41" t="str">
        <f aca="false">IF(LOTS!$A61="","",LOTS!$A61)</f>
        <v/>
      </c>
      <c r="B71" s="42" t="n">
        <f aca="false">IF(OR($A71="",B$14=""),0,SUMIFS(MVT_NET,MVT_LOT,$A71,MVT_EMPL,B$14))</f>
        <v>0</v>
      </c>
      <c r="C71" s="42" t="n">
        <f aca="false">IF(OR($A71="",C$14=""),0,SUMIFS(MVT_NET,MVT_LOT,$A71,MVT_EMPL,C$14))</f>
        <v>0</v>
      </c>
      <c r="D71" s="42" t="n">
        <f aca="false">IF(OR($A71="",D$14=""),0,SUMIFS(MVT_NET,MVT_LOT,$A71,MVT_EMPL,D$14))</f>
        <v>0</v>
      </c>
      <c r="E71" s="42" t="n">
        <f aca="false">IF(OR($A71="",E$14=""),0,SUMIFS(MVT_NET,MVT_LOT,$A71,MVT_EMPL,E$14))</f>
        <v>0</v>
      </c>
      <c r="F71" s="42" t="n">
        <f aca="false">IF(OR($A71="",F$14=""),0,SUMIFS(MVT_NET,MVT_LOT,$A71,MVT_EMPL,F$14))</f>
        <v>0</v>
      </c>
      <c r="G71" s="42" t="n">
        <f aca="false">IF(OR($A71="",G$14=""),0,SUMIFS(MVT_NET,MVT_LOT,$A71,MVT_EMPL,G$14))</f>
        <v>0</v>
      </c>
      <c r="H71" s="42" t="n">
        <f aca="false">IF(OR($A71="",H$14=""),0,SUMIFS(MVT_NET,MVT_LOT,$A71,MVT_EMPL,H$14))</f>
        <v>0</v>
      </c>
      <c r="I71" s="42" t="n">
        <f aca="false">IF(OR($A71="",I$14=""),0,SUMIFS(MVT_NET,MVT_LOT,$A71,MVT_EMPL,I$14))</f>
        <v>0</v>
      </c>
      <c r="J71" s="42" t="n">
        <f aca="false">IF(OR($A71="",J$14=""),0,SUMIFS(MVT_NET,MVT_LOT,$A71,MVT_EMPL,J$14))</f>
        <v>0</v>
      </c>
      <c r="K71" s="42" t="n">
        <f aca="false">IF(OR($A71="",K$14=""),0,SUMIFS(MVT_NET,MVT_LOT,$A71,MVT_EMPL,K$14))</f>
        <v>0</v>
      </c>
      <c r="L71" s="42" t="n">
        <f aca="false">IF(OR($A71="",L$14=""),0,SUMIFS(MVT_NET,MVT_LOT,$A71,MVT_EMPL,L$14))</f>
        <v>0</v>
      </c>
      <c r="M71" s="42" t="n">
        <f aca="false">IF(OR($A71="",M$14=""),0,SUMIFS(MVT_NET,MVT_LOT,$A71,MVT_EMPL,M$14))</f>
        <v>0</v>
      </c>
      <c r="N71" s="43" t="n">
        <f aca="false">SUM($B71:$M71)</f>
        <v>0</v>
      </c>
      <c r="O71" s="44" t="n">
        <f aca="false">SUMPRODUCT(($B$13:$M$13="INTERNE")*$B71:$M71)</f>
        <v>0</v>
      </c>
      <c r="P71" s="44" t="n">
        <f aca="false">SUMPRODUCT(($B$13:$M$13="EXTERNE")*$B71:$M71)</f>
        <v>0</v>
      </c>
      <c r="Q71" s="44" t="n">
        <f aca="false">IF($A71="",0,SUMIFS(ST_ENCOURS,ST_LOT,$A71))</f>
        <v>0</v>
      </c>
      <c r="R71" s="45" t="str">
        <f aca="false">IF($A71="","",IFERROR(INDEX(LOT_EXTE,MATCH($A71,LOT_KEY,0)),""))</f>
        <v/>
      </c>
      <c r="S71" s="45" t="str">
        <f aca="false">IF($A71="","",IFERROR(INDEX(LOT_DECISION,MATCH($A71,LOT_KEY,0)),""))</f>
        <v/>
      </c>
      <c r="T71" s="44" t="n">
        <f aca="false">IF($S71="BLOQUER",MAX(0,$N71),0)</f>
        <v>0</v>
      </c>
      <c r="U71" s="46" t="str">
        <f aca="false">IF($A71="","",IF($N71&lt;-0.001,"STOCK NEGATIF - ANOMALIE",IF($T71&gt;0,"BLOQUE QUALITE","")))</f>
        <v/>
      </c>
    </row>
    <row r="72" customFormat="false" ht="15" hidden="false" customHeight="false" outlineLevel="0" collapsed="false">
      <c r="A72" s="41" t="str">
        <f aca="false">IF(LOTS!$A62="","",LOTS!$A62)</f>
        <v/>
      </c>
      <c r="B72" s="42" t="n">
        <f aca="false">IF(OR($A72="",B$14=""),0,SUMIFS(MVT_NET,MVT_LOT,$A72,MVT_EMPL,B$14))</f>
        <v>0</v>
      </c>
      <c r="C72" s="42" t="n">
        <f aca="false">IF(OR($A72="",C$14=""),0,SUMIFS(MVT_NET,MVT_LOT,$A72,MVT_EMPL,C$14))</f>
        <v>0</v>
      </c>
      <c r="D72" s="42" t="n">
        <f aca="false">IF(OR($A72="",D$14=""),0,SUMIFS(MVT_NET,MVT_LOT,$A72,MVT_EMPL,D$14))</f>
        <v>0</v>
      </c>
      <c r="E72" s="42" t="n">
        <f aca="false">IF(OR($A72="",E$14=""),0,SUMIFS(MVT_NET,MVT_LOT,$A72,MVT_EMPL,E$14))</f>
        <v>0</v>
      </c>
      <c r="F72" s="42" t="n">
        <f aca="false">IF(OR($A72="",F$14=""),0,SUMIFS(MVT_NET,MVT_LOT,$A72,MVT_EMPL,F$14))</f>
        <v>0</v>
      </c>
      <c r="G72" s="42" t="n">
        <f aca="false">IF(OR($A72="",G$14=""),0,SUMIFS(MVT_NET,MVT_LOT,$A72,MVT_EMPL,G$14))</f>
        <v>0</v>
      </c>
      <c r="H72" s="42" t="n">
        <f aca="false">IF(OR($A72="",H$14=""),0,SUMIFS(MVT_NET,MVT_LOT,$A72,MVT_EMPL,H$14))</f>
        <v>0</v>
      </c>
      <c r="I72" s="42" t="n">
        <f aca="false">IF(OR($A72="",I$14=""),0,SUMIFS(MVT_NET,MVT_LOT,$A72,MVT_EMPL,I$14))</f>
        <v>0</v>
      </c>
      <c r="J72" s="42" t="n">
        <f aca="false">IF(OR($A72="",J$14=""),0,SUMIFS(MVT_NET,MVT_LOT,$A72,MVT_EMPL,J$14))</f>
        <v>0</v>
      </c>
      <c r="K72" s="42" t="n">
        <f aca="false">IF(OR($A72="",K$14=""),0,SUMIFS(MVT_NET,MVT_LOT,$A72,MVT_EMPL,K$14))</f>
        <v>0</v>
      </c>
      <c r="L72" s="42" t="n">
        <f aca="false">IF(OR($A72="",L$14=""),0,SUMIFS(MVT_NET,MVT_LOT,$A72,MVT_EMPL,L$14))</f>
        <v>0</v>
      </c>
      <c r="M72" s="42" t="n">
        <f aca="false">IF(OR($A72="",M$14=""),0,SUMIFS(MVT_NET,MVT_LOT,$A72,MVT_EMPL,M$14))</f>
        <v>0</v>
      </c>
      <c r="N72" s="43" t="n">
        <f aca="false">SUM($B72:$M72)</f>
        <v>0</v>
      </c>
      <c r="O72" s="44" t="n">
        <f aca="false">SUMPRODUCT(($B$13:$M$13="INTERNE")*$B72:$M72)</f>
        <v>0</v>
      </c>
      <c r="P72" s="44" t="n">
        <f aca="false">SUMPRODUCT(($B$13:$M$13="EXTERNE")*$B72:$M72)</f>
        <v>0</v>
      </c>
      <c r="Q72" s="44" t="n">
        <f aca="false">IF($A72="",0,SUMIFS(ST_ENCOURS,ST_LOT,$A72))</f>
        <v>0</v>
      </c>
      <c r="R72" s="45" t="str">
        <f aca="false">IF($A72="","",IFERROR(INDEX(LOT_EXTE,MATCH($A72,LOT_KEY,0)),""))</f>
        <v/>
      </c>
      <c r="S72" s="45" t="str">
        <f aca="false">IF($A72="","",IFERROR(INDEX(LOT_DECISION,MATCH($A72,LOT_KEY,0)),""))</f>
        <v/>
      </c>
      <c r="T72" s="44" t="n">
        <f aca="false">IF($S72="BLOQUER",MAX(0,$N72),0)</f>
        <v>0</v>
      </c>
      <c r="U72" s="46" t="str">
        <f aca="false">IF($A72="","",IF($N72&lt;-0.001,"STOCK NEGATIF - ANOMALIE",IF($T72&gt;0,"BLOQUE QUALITE","")))</f>
        <v/>
      </c>
    </row>
    <row r="73" customFormat="false" ht="15" hidden="false" customHeight="false" outlineLevel="0" collapsed="false">
      <c r="A73" s="41" t="str">
        <f aca="false">IF(LOTS!$A63="","",LOTS!$A63)</f>
        <v/>
      </c>
      <c r="B73" s="42" t="n">
        <f aca="false">IF(OR($A73="",B$14=""),0,SUMIFS(MVT_NET,MVT_LOT,$A73,MVT_EMPL,B$14))</f>
        <v>0</v>
      </c>
      <c r="C73" s="42" t="n">
        <f aca="false">IF(OR($A73="",C$14=""),0,SUMIFS(MVT_NET,MVT_LOT,$A73,MVT_EMPL,C$14))</f>
        <v>0</v>
      </c>
      <c r="D73" s="42" t="n">
        <f aca="false">IF(OR($A73="",D$14=""),0,SUMIFS(MVT_NET,MVT_LOT,$A73,MVT_EMPL,D$14))</f>
        <v>0</v>
      </c>
      <c r="E73" s="42" t="n">
        <f aca="false">IF(OR($A73="",E$14=""),0,SUMIFS(MVT_NET,MVT_LOT,$A73,MVT_EMPL,E$14))</f>
        <v>0</v>
      </c>
      <c r="F73" s="42" t="n">
        <f aca="false">IF(OR($A73="",F$14=""),0,SUMIFS(MVT_NET,MVT_LOT,$A73,MVT_EMPL,F$14))</f>
        <v>0</v>
      </c>
      <c r="G73" s="42" t="n">
        <f aca="false">IF(OR($A73="",G$14=""),0,SUMIFS(MVT_NET,MVT_LOT,$A73,MVT_EMPL,G$14))</f>
        <v>0</v>
      </c>
      <c r="H73" s="42" t="n">
        <f aca="false">IF(OR($A73="",H$14=""),0,SUMIFS(MVT_NET,MVT_LOT,$A73,MVT_EMPL,H$14))</f>
        <v>0</v>
      </c>
      <c r="I73" s="42" t="n">
        <f aca="false">IF(OR($A73="",I$14=""),0,SUMIFS(MVT_NET,MVT_LOT,$A73,MVT_EMPL,I$14))</f>
        <v>0</v>
      </c>
      <c r="J73" s="42" t="n">
        <f aca="false">IF(OR($A73="",J$14=""),0,SUMIFS(MVT_NET,MVT_LOT,$A73,MVT_EMPL,J$14))</f>
        <v>0</v>
      </c>
      <c r="K73" s="42" t="n">
        <f aca="false">IF(OR($A73="",K$14=""),0,SUMIFS(MVT_NET,MVT_LOT,$A73,MVT_EMPL,K$14))</f>
        <v>0</v>
      </c>
      <c r="L73" s="42" t="n">
        <f aca="false">IF(OR($A73="",L$14=""),0,SUMIFS(MVT_NET,MVT_LOT,$A73,MVT_EMPL,L$14))</f>
        <v>0</v>
      </c>
      <c r="M73" s="42" t="n">
        <f aca="false">IF(OR($A73="",M$14=""),0,SUMIFS(MVT_NET,MVT_LOT,$A73,MVT_EMPL,M$14))</f>
        <v>0</v>
      </c>
      <c r="N73" s="43" t="n">
        <f aca="false">SUM($B73:$M73)</f>
        <v>0</v>
      </c>
      <c r="O73" s="44" t="n">
        <f aca="false">SUMPRODUCT(($B$13:$M$13="INTERNE")*$B73:$M73)</f>
        <v>0</v>
      </c>
      <c r="P73" s="44" t="n">
        <f aca="false">SUMPRODUCT(($B$13:$M$13="EXTERNE")*$B73:$M73)</f>
        <v>0</v>
      </c>
      <c r="Q73" s="44" t="n">
        <f aca="false">IF($A73="",0,SUMIFS(ST_ENCOURS,ST_LOT,$A73))</f>
        <v>0</v>
      </c>
      <c r="R73" s="45" t="str">
        <f aca="false">IF($A73="","",IFERROR(INDEX(LOT_EXTE,MATCH($A73,LOT_KEY,0)),""))</f>
        <v/>
      </c>
      <c r="S73" s="45" t="str">
        <f aca="false">IF($A73="","",IFERROR(INDEX(LOT_DECISION,MATCH($A73,LOT_KEY,0)),""))</f>
        <v/>
      </c>
      <c r="T73" s="44" t="n">
        <f aca="false">IF($S73="BLOQUER",MAX(0,$N73),0)</f>
        <v>0</v>
      </c>
      <c r="U73" s="46" t="str">
        <f aca="false">IF($A73="","",IF($N73&lt;-0.001,"STOCK NEGATIF - ANOMALIE",IF($T73&gt;0,"BLOQUE QUALITE","")))</f>
        <v/>
      </c>
    </row>
    <row r="74" customFormat="false" ht="15" hidden="false" customHeight="false" outlineLevel="0" collapsed="false">
      <c r="A74" s="41" t="str">
        <f aca="false">IF(LOTS!$A64="","",LOTS!$A64)</f>
        <v/>
      </c>
      <c r="B74" s="42" t="n">
        <f aca="false">IF(OR($A74="",B$14=""),0,SUMIFS(MVT_NET,MVT_LOT,$A74,MVT_EMPL,B$14))</f>
        <v>0</v>
      </c>
      <c r="C74" s="42" t="n">
        <f aca="false">IF(OR($A74="",C$14=""),0,SUMIFS(MVT_NET,MVT_LOT,$A74,MVT_EMPL,C$14))</f>
        <v>0</v>
      </c>
      <c r="D74" s="42" t="n">
        <f aca="false">IF(OR($A74="",D$14=""),0,SUMIFS(MVT_NET,MVT_LOT,$A74,MVT_EMPL,D$14))</f>
        <v>0</v>
      </c>
      <c r="E74" s="42" t="n">
        <f aca="false">IF(OR($A74="",E$14=""),0,SUMIFS(MVT_NET,MVT_LOT,$A74,MVT_EMPL,E$14))</f>
        <v>0</v>
      </c>
      <c r="F74" s="42" t="n">
        <f aca="false">IF(OR($A74="",F$14=""),0,SUMIFS(MVT_NET,MVT_LOT,$A74,MVT_EMPL,F$14))</f>
        <v>0</v>
      </c>
      <c r="G74" s="42" t="n">
        <f aca="false">IF(OR($A74="",G$14=""),0,SUMIFS(MVT_NET,MVT_LOT,$A74,MVT_EMPL,G$14))</f>
        <v>0</v>
      </c>
      <c r="H74" s="42" t="n">
        <f aca="false">IF(OR($A74="",H$14=""),0,SUMIFS(MVT_NET,MVT_LOT,$A74,MVT_EMPL,H$14))</f>
        <v>0</v>
      </c>
      <c r="I74" s="42" t="n">
        <f aca="false">IF(OR($A74="",I$14=""),0,SUMIFS(MVT_NET,MVT_LOT,$A74,MVT_EMPL,I$14))</f>
        <v>0</v>
      </c>
      <c r="J74" s="42" t="n">
        <f aca="false">IF(OR($A74="",J$14=""),0,SUMIFS(MVT_NET,MVT_LOT,$A74,MVT_EMPL,J$14))</f>
        <v>0</v>
      </c>
      <c r="K74" s="42" t="n">
        <f aca="false">IF(OR($A74="",K$14=""),0,SUMIFS(MVT_NET,MVT_LOT,$A74,MVT_EMPL,K$14))</f>
        <v>0</v>
      </c>
      <c r="L74" s="42" t="n">
        <f aca="false">IF(OR($A74="",L$14=""),0,SUMIFS(MVT_NET,MVT_LOT,$A74,MVT_EMPL,L$14))</f>
        <v>0</v>
      </c>
      <c r="M74" s="42" t="n">
        <f aca="false">IF(OR($A74="",M$14=""),0,SUMIFS(MVT_NET,MVT_LOT,$A74,MVT_EMPL,M$14))</f>
        <v>0</v>
      </c>
      <c r="N74" s="43" t="n">
        <f aca="false">SUM($B74:$M74)</f>
        <v>0</v>
      </c>
      <c r="O74" s="44" t="n">
        <f aca="false">SUMPRODUCT(($B$13:$M$13="INTERNE")*$B74:$M74)</f>
        <v>0</v>
      </c>
      <c r="P74" s="44" t="n">
        <f aca="false">SUMPRODUCT(($B$13:$M$13="EXTERNE")*$B74:$M74)</f>
        <v>0</v>
      </c>
      <c r="Q74" s="44" t="n">
        <f aca="false">IF($A74="",0,SUMIFS(ST_ENCOURS,ST_LOT,$A74))</f>
        <v>0</v>
      </c>
      <c r="R74" s="45" t="str">
        <f aca="false">IF($A74="","",IFERROR(INDEX(LOT_EXTE,MATCH($A74,LOT_KEY,0)),""))</f>
        <v/>
      </c>
      <c r="S74" s="45" t="str">
        <f aca="false">IF($A74="","",IFERROR(INDEX(LOT_DECISION,MATCH($A74,LOT_KEY,0)),""))</f>
        <v/>
      </c>
      <c r="T74" s="44" t="n">
        <f aca="false">IF($S74="BLOQUER",MAX(0,$N74),0)</f>
        <v>0</v>
      </c>
      <c r="U74" s="46" t="str">
        <f aca="false">IF($A74="","",IF($N74&lt;-0.001,"STOCK NEGATIF - ANOMALIE",IF($T74&gt;0,"BLOQUE QUALITE","")))</f>
        <v/>
      </c>
    </row>
    <row r="75" customFormat="false" ht="15" hidden="false" customHeight="false" outlineLevel="0" collapsed="false">
      <c r="A75" s="41" t="str">
        <f aca="false">IF(LOTS!$A65="","",LOTS!$A65)</f>
        <v/>
      </c>
      <c r="B75" s="42" t="n">
        <f aca="false">IF(OR($A75="",B$14=""),0,SUMIFS(MVT_NET,MVT_LOT,$A75,MVT_EMPL,B$14))</f>
        <v>0</v>
      </c>
      <c r="C75" s="42" t="n">
        <f aca="false">IF(OR($A75="",C$14=""),0,SUMIFS(MVT_NET,MVT_LOT,$A75,MVT_EMPL,C$14))</f>
        <v>0</v>
      </c>
      <c r="D75" s="42" t="n">
        <f aca="false">IF(OR($A75="",D$14=""),0,SUMIFS(MVT_NET,MVT_LOT,$A75,MVT_EMPL,D$14))</f>
        <v>0</v>
      </c>
      <c r="E75" s="42" t="n">
        <f aca="false">IF(OR($A75="",E$14=""),0,SUMIFS(MVT_NET,MVT_LOT,$A75,MVT_EMPL,E$14))</f>
        <v>0</v>
      </c>
      <c r="F75" s="42" t="n">
        <f aca="false">IF(OR($A75="",F$14=""),0,SUMIFS(MVT_NET,MVT_LOT,$A75,MVT_EMPL,F$14))</f>
        <v>0</v>
      </c>
      <c r="G75" s="42" t="n">
        <f aca="false">IF(OR($A75="",G$14=""),0,SUMIFS(MVT_NET,MVT_LOT,$A75,MVT_EMPL,G$14))</f>
        <v>0</v>
      </c>
      <c r="H75" s="42" t="n">
        <f aca="false">IF(OR($A75="",H$14=""),0,SUMIFS(MVT_NET,MVT_LOT,$A75,MVT_EMPL,H$14))</f>
        <v>0</v>
      </c>
      <c r="I75" s="42" t="n">
        <f aca="false">IF(OR($A75="",I$14=""),0,SUMIFS(MVT_NET,MVT_LOT,$A75,MVT_EMPL,I$14))</f>
        <v>0</v>
      </c>
      <c r="J75" s="42" t="n">
        <f aca="false">IF(OR($A75="",J$14=""),0,SUMIFS(MVT_NET,MVT_LOT,$A75,MVT_EMPL,J$14))</f>
        <v>0</v>
      </c>
      <c r="K75" s="42" t="n">
        <f aca="false">IF(OR($A75="",K$14=""),0,SUMIFS(MVT_NET,MVT_LOT,$A75,MVT_EMPL,K$14))</f>
        <v>0</v>
      </c>
      <c r="L75" s="42" t="n">
        <f aca="false">IF(OR($A75="",L$14=""),0,SUMIFS(MVT_NET,MVT_LOT,$A75,MVT_EMPL,L$14))</f>
        <v>0</v>
      </c>
      <c r="M75" s="42" t="n">
        <f aca="false">IF(OR($A75="",M$14=""),0,SUMIFS(MVT_NET,MVT_LOT,$A75,MVT_EMPL,M$14))</f>
        <v>0</v>
      </c>
      <c r="N75" s="43" t="n">
        <f aca="false">SUM($B75:$M75)</f>
        <v>0</v>
      </c>
      <c r="O75" s="44" t="n">
        <f aca="false">SUMPRODUCT(($B$13:$M$13="INTERNE")*$B75:$M75)</f>
        <v>0</v>
      </c>
      <c r="P75" s="44" t="n">
        <f aca="false">SUMPRODUCT(($B$13:$M$13="EXTERNE")*$B75:$M75)</f>
        <v>0</v>
      </c>
      <c r="Q75" s="44" t="n">
        <f aca="false">IF($A75="",0,SUMIFS(ST_ENCOURS,ST_LOT,$A75))</f>
        <v>0</v>
      </c>
      <c r="R75" s="45" t="str">
        <f aca="false">IF($A75="","",IFERROR(INDEX(LOT_EXTE,MATCH($A75,LOT_KEY,0)),""))</f>
        <v/>
      </c>
      <c r="S75" s="45" t="str">
        <f aca="false">IF($A75="","",IFERROR(INDEX(LOT_DECISION,MATCH($A75,LOT_KEY,0)),""))</f>
        <v/>
      </c>
      <c r="T75" s="44" t="n">
        <f aca="false">IF($S75="BLOQUER",MAX(0,$N75),0)</f>
        <v>0</v>
      </c>
      <c r="U75" s="46" t="str">
        <f aca="false">IF($A75="","",IF($N75&lt;-0.001,"STOCK NEGATIF - ANOMALIE",IF($T75&gt;0,"BLOQUE QUALITE","")))</f>
        <v/>
      </c>
    </row>
    <row r="76" customFormat="false" ht="15" hidden="false" customHeight="false" outlineLevel="0" collapsed="false">
      <c r="A76" s="41" t="str">
        <f aca="false">IF(LOTS!$A66="","",LOTS!$A66)</f>
        <v/>
      </c>
      <c r="B76" s="42" t="n">
        <f aca="false">IF(OR($A76="",B$14=""),0,SUMIFS(MVT_NET,MVT_LOT,$A76,MVT_EMPL,B$14))</f>
        <v>0</v>
      </c>
      <c r="C76" s="42" t="n">
        <f aca="false">IF(OR($A76="",C$14=""),0,SUMIFS(MVT_NET,MVT_LOT,$A76,MVT_EMPL,C$14))</f>
        <v>0</v>
      </c>
      <c r="D76" s="42" t="n">
        <f aca="false">IF(OR($A76="",D$14=""),0,SUMIFS(MVT_NET,MVT_LOT,$A76,MVT_EMPL,D$14))</f>
        <v>0</v>
      </c>
      <c r="E76" s="42" t="n">
        <f aca="false">IF(OR($A76="",E$14=""),0,SUMIFS(MVT_NET,MVT_LOT,$A76,MVT_EMPL,E$14))</f>
        <v>0</v>
      </c>
      <c r="F76" s="42" t="n">
        <f aca="false">IF(OR($A76="",F$14=""),0,SUMIFS(MVT_NET,MVT_LOT,$A76,MVT_EMPL,F$14))</f>
        <v>0</v>
      </c>
      <c r="G76" s="42" t="n">
        <f aca="false">IF(OR($A76="",G$14=""),0,SUMIFS(MVT_NET,MVT_LOT,$A76,MVT_EMPL,G$14))</f>
        <v>0</v>
      </c>
      <c r="H76" s="42" t="n">
        <f aca="false">IF(OR($A76="",H$14=""),0,SUMIFS(MVT_NET,MVT_LOT,$A76,MVT_EMPL,H$14))</f>
        <v>0</v>
      </c>
      <c r="I76" s="42" t="n">
        <f aca="false">IF(OR($A76="",I$14=""),0,SUMIFS(MVT_NET,MVT_LOT,$A76,MVT_EMPL,I$14))</f>
        <v>0</v>
      </c>
      <c r="J76" s="42" t="n">
        <f aca="false">IF(OR($A76="",J$14=""),0,SUMIFS(MVT_NET,MVT_LOT,$A76,MVT_EMPL,J$14))</f>
        <v>0</v>
      </c>
      <c r="K76" s="42" t="n">
        <f aca="false">IF(OR($A76="",K$14=""),0,SUMIFS(MVT_NET,MVT_LOT,$A76,MVT_EMPL,K$14))</f>
        <v>0</v>
      </c>
      <c r="L76" s="42" t="n">
        <f aca="false">IF(OR($A76="",L$14=""),0,SUMIFS(MVT_NET,MVT_LOT,$A76,MVT_EMPL,L$14))</f>
        <v>0</v>
      </c>
      <c r="M76" s="42" t="n">
        <f aca="false">IF(OR($A76="",M$14=""),0,SUMIFS(MVT_NET,MVT_LOT,$A76,MVT_EMPL,M$14))</f>
        <v>0</v>
      </c>
      <c r="N76" s="43" t="n">
        <f aca="false">SUM($B76:$M76)</f>
        <v>0</v>
      </c>
      <c r="O76" s="44" t="n">
        <f aca="false">SUMPRODUCT(($B$13:$M$13="INTERNE")*$B76:$M76)</f>
        <v>0</v>
      </c>
      <c r="P76" s="44" t="n">
        <f aca="false">SUMPRODUCT(($B$13:$M$13="EXTERNE")*$B76:$M76)</f>
        <v>0</v>
      </c>
      <c r="Q76" s="44" t="n">
        <f aca="false">IF($A76="",0,SUMIFS(ST_ENCOURS,ST_LOT,$A76))</f>
        <v>0</v>
      </c>
      <c r="R76" s="45" t="str">
        <f aca="false">IF($A76="","",IFERROR(INDEX(LOT_EXTE,MATCH($A76,LOT_KEY,0)),""))</f>
        <v/>
      </c>
      <c r="S76" s="45" t="str">
        <f aca="false">IF($A76="","",IFERROR(INDEX(LOT_DECISION,MATCH($A76,LOT_KEY,0)),""))</f>
        <v/>
      </c>
      <c r="T76" s="44" t="n">
        <f aca="false">IF($S76="BLOQUER",MAX(0,$N76),0)</f>
        <v>0</v>
      </c>
      <c r="U76" s="46" t="str">
        <f aca="false">IF($A76="","",IF($N76&lt;-0.001,"STOCK NEGATIF - ANOMALIE",IF($T76&gt;0,"BLOQUE QUALITE","")))</f>
        <v/>
      </c>
    </row>
    <row r="77" customFormat="false" ht="15" hidden="false" customHeight="false" outlineLevel="0" collapsed="false">
      <c r="A77" s="41" t="str">
        <f aca="false">IF(LOTS!$A67="","",LOTS!$A67)</f>
        <v/>
      </c>
      <c r="B77" s="42" t="n">
        <f aca="false">IF(OR($A77="",B$14=""),0,SUMIFS(MVT_NET,MVT_LOT,$A77,MVT_EMPL,B$14))</f>
        <v>0</v>
      </c>
      <c r="C77" s="42" t="n">
        <f aca="false">IF(OR($A77="",C$14=""),0,SUMIFS(MVT_NET,MVT_LOT,$A77,MVT_EMPL,C$14))</f>
        <v>0</v>
      </c>
      <c r="D77" s="42" t="n">
        <f aca="false">IF(OR($A77="",D$14=""),0,SUMIFS(MVT_NET,MVT_LOT,$A77,MVT_EMPL,D$14))</f>
        <v>0</v>
      </c>
      <c r="E77" s="42" t="n">
        <f aca="false">IF(OR($A77="",E$14=""),0,SUMIFS(MVT_NET,MVT_LOT,$A77,MVT_EMPL,E$14))</f>
        <v>0</v>
      </c>
      <c r="F77" s="42" t="n">
        <f aca="false">IF(OR($A77="",F$14=""),0,SUMIFS(MVT_NET,MVT_LOT,$A77,MVT_EMPL,F$14))</f>
        <v>0</v>
      </c>
      <c r="G77" s="42" t="n">
        <f aca="false">IF(OR($A77="",G$14=""),0,SUMIFS(MVT_NET,MVT_LOT,$A77,MVT_EMPL,G$14))</f>
        <v>0</v>
      </c>
      <c r="H77" s="42" t="n">
        <f aca="false">IF(OR($A77="",H$14=""),0,SUMIFS(MVT_NET,MVT_LOT,$A77,MVT_EMPL,H$14))</f>
        <v>0</v>
      </c>
      <c r="I77" s="42" t="n">
        <f aca="false">IF(OR($A77="",I$14=""),0,SUMIFS(MVT_NET,MVT_LOT,$A77,MVT_EMPL,I$14))</f>
        <v>0</v>
      </c>
      <c r="J77" s="42" t="n">
        <f aca="false">IF(OR($A77="",J$14=""),0,SUMIFS(MVT_NET,MVT_LOT,$A77,MVT_EMPL,J$14))</f>
        <v>0</v>
      </c>
      <c r="K77" s="42" t="n">
        <f aca="false">IF(OR($A77="",K$14=""),0,SUMIFS(MVT_NET,MVT_LOT,$A77,MVT_EMPL,K$14))</f>
        <v>0</v>
      </c>
      <c r="L77" s="42" t="n">
        <f aca="false">IF(OR($A77="",L$14=""),0,SUMIFS(MVT_NET,MVT_LOT,$A77,MVT_EMPL,L$14))</f>
        <v>0</v>
      </c>
      <c r="M77" s="42" t="n">
        <f aca="false">IF(OR($A77="",M$14=""),0,SUMIFS(MVT_NET,MVT_LOT,$A77,MVT_EMPL,M$14))</f>
        <v>0</v>
      </c>
      <c r="N77" s="43" t="n">
        <f aca="false">SUM($B77:$M77)</f>
        <v>0</v>
      </c>
      <c r="O77" s="44" t="n">
        <f aca="false">SUMPRODUCT(($B$13:$M$13="INTERNE")*$B77:$M77)</f>
        <v>0</v>
      </c>
      <c r="P77" s="44" t="n">
        <f aca="false">SUMPRODUCT(($B$13:$M$13="EXTERNE")*$B77:$M77)</f>
        <v>0</v>
      </c>
      <c r="Q77" s="44" t="n">
        <f aca="false">IF($A77="",0,SUMIFS(ST_ENCOURS,ST_LOT,$A77))</f>
        <v>0</v>
      </c>
      <c r="R77" s="45" t="str">
        <f aca="false">IF($A77="","",IFERROR(INDEX(LOT_EXTE,MATCH($A77,LOT_KEY,0)),""))</f>
        <v/>
      </c>
      <c r="S77" s="45" t="str">
        <f aca="false">IF($A77="","",IFERROR(INDEX(LOT_DECISION,MATCH($A77,LOT_KEY,0)),""))</f>
        <v/>
      </c>
      <c r="T77" s="44" t="n">
        <f aca="false">IF($S77="BLOQUER",MAX(0,$N77),0)</f>
        <v>0</v>
      </c>
      <c r="U77" s="46" t="str">
        <f aca="false">IF($A77="","",IF($N77&lt;-0.001,"STOCK NEGATIF - ANOMALIE",IF($T77&gt;0,"BLOQUE QUALITE","")))</f>
        <v/>
      </c>
    </row>
    <row r="78" customFormat="false" ht="15" hidden="false" customHeight="false" outlineLevel="0" collapsed="false">
      <c r="A78" s="41" t="str">
        <f aca="false">IF(LOTS!$A68="","",LOTS!$A68)</f>
        <v/>
      </c>
      <c r="B78" s="42" t="n">
        <f aca="false">IF(OR($A78="",B$14=""),0,SUMIFS(MVT_NET,MVT_LOT,$A78,MVT_EMPL,B$14))</f>
        <v>0</v>
      </c>
      <c r="C78" s="42" t="n">
        <f aca="false">IF(OR($A78="",C$14=""),0,SUMIFS(MVT_NET,MVT_LOT,$A78,MVT_EMPL,C$14))</f>
        <v>0</v>
      </c>
      <c r="D78" s="42" t="n">
        <f aca="false">IF(OR($A78="",D$14=""),0,SUMIFS(MVT_NET,MVT_LOT,$A78,MVT_EMPL,D$14))</f>
        <v>0</v>
      </c>
      <c r="E78" s="42" t="n">
        <f aca="false">IF(OR($A78="",E$14=""),0,SUMIFS(MVT_NET,MVT_LOT,$A78,MVT_EMPL,E$14))</f>
        <v>0</v>
      </c>
      <c r="F78" s="42" t="n">
        <f aca="false">IF(OR($A78="",F$14=""),0,SUMIFS(MVT_NET,MVT_LOT,$A78,MVT_EMPL,F$14))</f>
        <v>0</v>
      </c>
      <c r="G78" s="42" t="n">
        <f aca="false">IF(OR($A78="",G$14=""),0,SUMIFS(MVT_NET,MVT_LOT,$A78,MVT_EMPL,G$14))</f>
        <v>0</v>
      </c>
      <c r="H78" s="42" t="n">
        <f aca="false">IF(OR($A78="",H$14=""),0,SUMIFS(MVT_NET,MVT_LOT,$A78,MVT_EMPL,H$14))</f>
        <v>0</v>
      </c>
      <c r="I78" s="42" t="n">
        <f aca="false">IF(OR($A78="",I$14=""),0,SUMIFS(MVT_NET,MVT_LOT,$A78,MVT_EMPL,I$14))</f>
        <v>0</v>
      </c>
      <c r="J78" s="42" t="n">
        <f aca="false">IF(OR($A78="",J$14=""),0,SUMIFS(MVT_NET,MVT_LOT,$A78,MVT_EMPL,J$14))</f>
        <v>0</v>
      </c>
      <c r="K78" s="42" t="n">
        <f aca="false">IF(OR($A78="",K$14=""),0,SUMIFS(MVT_NET,MVT_LOT,$A78,MVT_EMPL,K$14))</f>
        <v>0</v>
      </c>
      <c r="L78" s="42" t="n">
        <f aca="false">IF(OR($A78="",L$14=""),0,SUMIFS(MVT_NET,MVT_LOT,$A78,MVT_EMPL,L$14))</f>
        <v>0</v>
      </c>
      <c r="M78" s="42" t="n">
        <f aca="false">IF(OR($A78="",M$14=""),0,SUMIFS(MVT_NET,MVT_LOT,$A78,MVT_EMPL,M$14))</f>
        <v>0</v>
      </c>
      <c r="N78" s="43" t="n">
        <f aca="false">SUM($B78:$M78)</f>
        <v>0</v>
      </c>
      <c r="O78" s="44" t="n">
        <f aca="false">SUMPRODUCT(($B$13:$M$13="INTERNE")*$B78:$M78)</f>
        <v>0</v>
      </c>
      <c r="P78" s="44" t="n">
        <f aca="false">SUMPRODUCT(($B$13:$M$13="EXTERNE")*$B78:$M78)</f>
        <v>0</v>
      </c>
      <c r="Q78" s="44" t="n">
        <f aca="false">IF($A78="",0,SUMIFS(ST_ENCOURS,ST_LOT,$A78))</f>
        <v>0</v>
      </c>
      <c r="R78" s="45" t="str">
        <f aca="false">IF($A78="","",IFERROR(INDEX(LOT_EXTE,MATCH($A78,LOT_KEY,0)),""))</f>
        <v/>
      </c>
      <c r="S78" s="45" t="str">
        <f aca="false">IF($A78="","",IFERROR(INDEX(LOT_DECISION,MATCH($A78,LOT_KEY,0)),""))</f>
        <v/>
      </c>
      <c r="T78" s="44" t="n">
        <f aca="false">IF($S78="BLOQUER",MAX(0,$N78),0)</f>
        <v>0</v>
      </c>
      <c r="U78" s="46" t="str">
        <f aca="false">IF($A78="","",IF($N78&lt;-0.001,"STOCK NEGATIF - ANOMALIE",IF($T78&gt;0,"BLOQUE QUALITE","")))</f>
        <v/>
      </c>
    </row>
    <row r="79" customFormat="false" ht="15" hidden="false" customHeight="false" outlineLevel="0" collapsed="false">
      <c r="A79" s="41" t="str">
        <f aca="false">IF(LOTS!$A69="","",LOTS!$A69)</f>
        <v/>
      </c>
      <c r="B79" s="42" t="n">
        <f aca="false">IF(OR($A79="",B$14=""),0,SUMIFS(MVT_NET,MVT_LOT,$A79,MVT_EMPL,B$14))</f>
        <v>0</v>
      </c>
      <c r="C79" s="42" t="n">
        <f aca="false">IF(OR($A79="",C$14=""),0,SUMIFS(MVT_NET,MVT_LOT,$A79,MVT_EMPL,C$14))</f>
        <v>0</v>
      </c>
      <c r="D79" s="42" t="n">
        <f aca="false">IF(OR($A79="",D$14=""),0,SUMIFS(MVT_NET,MVT_LOT,$A79,MVT_EMPL,D$14))</f>
        <v>0</v>
      </c>
      <c r="E79" s="42" t="n">
        <f aca="false">IF(OR($A79="",E$14=""),0,SUMIFS(MVT_NET,MVT_LOT,$A79,MVT_EMPL,E$14))</f>
        <v>0</v>
      </c>
      <c r="F79" s="42" t="n">
        <f aca="false">IF(OR($A79="",F$14=""),0,SUMIFS(MVT_NET,MVT_LOT,$A79,MVT_EMPL,F$14))</f>
        <v>0</v>
      </c>
      <c r="G79" s="42" t="n">
        <f aca="false">IF(OR($A79="",G$14=""),0,SUMIFS(MVT_NET,MVT_LOT,$A79,MVT_EMPL,G$14))</f>
        <v>0</v>
      </c>
      <c r="H79" s="42" t="n">
        <f aca="false">IF(OR($A79="",H$14=""),0,SUMIFS(MVT_NET,MVT_LOT,$A79,MVT_EMPL,H$14))</f>
        <v>0</v>
      </c>
      <c r="I79" s="42" t="n">
        <f aca="false">IF(OR($A79="",I$14=""),0,SUMIFS(MVT_NET,MVT_LOT,$A79,MVT_EMPL,I$14))</f>
        <v>0</v>
      </c>
      <c r="J79" s="42" t="n">
        <f aca="false">IF(OR($A79="",J$14=""),0,SUMIFS(MVT_NET,MVT_LOT,$A79,MVT_EMPL,J$14))</f>
        <v>0</v>
      </c>
      <c r="K79" s="42" t="n">
        <f aca="false">IF(OR($A79="",K$14=""),0,SUMIFS(MVT_NET,MVT_LOT,$A79,MVT_EMPL,K$14))</f>
        <v>0</v>
      </c>
      <c r="L79" s="42" t="n">
        <f aca="false">IF(OR($A79="",L$14=""),0,SUMIFS(MVT_NET,MVT_LOT,$A79,MVT_EMPL,L$14))</f>
        <v>0</v>
      </c>
      <c r="M79" s="42" t="n">
        <f aca="false">IF(OR($A79="",M$14=""),0,SUMIFS(MVT_NET,MVT_LOT,$A79,MVT_EMPL,M$14))</f>
        <v>0</v>
      </c>
      <c r="N79" s="43" t="n">
        <f aca="false">SUM($B79:$M79)</f>
        <v>0</v>
      </c>
      <c r="O79" s="44" t="n">
        <f aca="false">SUMPRODUCT(($B$13:$M$13="INTERNE")*$B79:$M79)</f>
        <v>0</v>
      </c>
      <c r="P79" s="44" t="n">
        <f aca="false">SUMPRODUCT(($B$13:$M$13="EXTERNE")*$B79:$M79)</f>
        <v>0</v>
      </c>
      <c r="Q79" s="44" t="n">
        <f aca="false">IF($A79="",0,SUMIFS(ST_ENCOURS,ST_LOT,$A79))</f>
        <v>0</v>
      </c>
      <c r="R79" s="45" t="str">
        <f aca="false">IF($A79="","",IFERROR(INDEX(LOT_EXTE,MATCH($A79,LOT_KEY,0)),""))</f>
        <v/>
      </c>
      <c r="S79" s="45" t="str">
        <f aca="false">IF($A79="","",IFERROR(INDEX(LOT_DECISION,MATCH($A79,LOT_KEY,0)),""))</f>
        <v/>
      </c>
      <c r="T79" s="44" t="n">
        <f aca="false">IF($S79="BLOQUER",MAX(0,$N79),0)</f>
        <v>0</v>
      </c>
      <c r="U79" s="46" t="str">
        <f aca="false">IF($A79="","",IF($N79&lt;-0.001,"STOCK NEGATIF - ANOMALIE",IF($T79&gt;0,"BLOQUE QUALITE","")))</f>
        <v/>
      </c>
    </row>
    <row r="80" customFormat="false" ht="15" hidden="false" customHeight="false" outlineLevel="0" collapsed="false">
      <c r="A80" s="41" t="str">
        <f aca="false">IF(LOTS!$A70="","",LOTS!$A70)</f>
        <v/>
      </c>
      <c r="B80" s="42" t="n">
        <f aca="false">IF(OR($A80="",B$14=""),0,SUMIFS(MVT_NET,MVT_LOT,$A80,MVT_EMPL,B$14))</f>
        <v>0</v>
      </c>
      <c r="C80" s="42" t="n">
        <f aca="false">IF(OR($A80="",C$14=""),0,SUMIFS(MVT_NET,MVT_LOT,$A80,MVT_EMPL,C$14))</f>
        <v>0</v>
      </c>
      <c r="D80" s="42" t="n">
        <f aca="false">IF(OR($A80="",D$14=""),0,SUMIFS(MVT_NET,MVT_LOT,$A80,MVT_EMPL,D$14))</f>
        <v>0</v>
      </c>
      <c r="E80" s="42" t="n">
        <f aca="false">IF(OR($A80="",E$14=""),0,SUMIFS(MVT_NET,MVT_LOT,$A80,MVT_EMPL,E$14))</f>
        <v>0</v>
      </c>
      <c r="F80" s="42" t="n">
        <f aca="false">IF(OR($A80="",F$14=""),0,SUMIFS(MVT_NET,MVT_LOT,$A80,MVT_EMPL,F$14))</f>
        <v>0</v>
      </c>
      <c r="G80" s="42" t="n">
        <f aca="false">IF(OR($A80="",G$14=""),0,SUMIFS(MVT_NET,MVT_LOT,$A80,MVT_EMPL,G$14))</f>
        <v>0</v>
      </c>
      <c r="H80" s="42" t="n">
        <f aca="false">IF(OR($A80="",H$14=""),0,SUMIFS(MVT_NET,MVT_LOT,$A80,MVT_EMPL,H$14))</f>
        <v>0</v>
      </c>
      <c r="I80" s="42" t="n">
        <f aca="false">IF(OR($A80="",I$14=""),0,SUMIFS(MVT_NET,MVT_LOT,$A80,MVT_EMPL,I$14))</f>
        <v>0</v>
      </c>
      <c r="J80" s="42" t="n">
        <f aca="false">IF(OR($A80="",J$14=""),0,SUMIFS(MVT_NET,MVT_LOT,$A80,MVT_EMPL,J$14))</f>
        <v>0</v>
      </c>
      <c r="K80" s="42" t="n">
        <f aca="false">IF(OR($A80="",K$14=""),0,SUMIFS(MVT_NET,MVT_LOT,$A80,MVT_EMPL,K$14))</f>
        <v>0</v>
      </c>
      <c r="L80" s="42" t="n">
        <f aca="false">IF(OR($A80="",L$14=""),0,SUMIFS(MVT_NET,MVT_LOT,$A80,MVT_EMPL,L$14))</f>
        <v>0</v>
      </c>
      <c r="M80" s="42" t="n">
        <f aca="false">IF(OR($A80="",M$14=""),0,SUMIFS(MVT_NET,MVT_LOT,$A80,MVT_EMPL,M$14))</f>
        <v>0</v>
      </c>
      <c r="N80" s="43" t="n">
        <f aca="false">SUM($B80:$M80)</f>
        <v>0</v>
      </c>
      <c r="O80" s="44" t="n">
        <f aca="false">SUMPRODUCT(($B$13:$M$13="INTERNE")*$B80:$M80)</f>
        <v>0</v>
      </c>
      <c r="P80" s="44" t="n">
        <f aca="false">SUMPRODUCT(($B$13:$M$13="EXTERNE")*$B80:$M80)</f>
        <v>0</v>
      </c>
      <c r="Q80" s="44" t="n">
        <f aca="false">IF($A80="",0,SUMIFS(ST_ENCOURS,ST_LOT,$A80))</f>
        <v>0</v>
      </c>
      <c r="R80" s="45" t="str">
        <f aca="false">IF($A80="","",IFERROR(INDEX(LOT_EXTE,MATCH($A80,LOT_KEY,0)),""))</f>
        <v/>
      </c>
      <c r="S80" s="45" t="str">
        <f aca="false">IF($A80="","",IFERROR(INDEX(LOT_DECISION,MATCH($A80,LOT_KEY,0)),""))</f>
        <v/>
      </c>
      <c r="T80" s="44" t="n">
        <f aca="false">IF($S80="BLOQUER",MAX(0,$N80),0)</f>
        <v>0</v>
      </c>
      <c r="U80" s="46" t="str">
        <f aca="false">IF($A80="","",IF($N80&lt;-0.001,"STOCK NEGATIF - ANOMALIE",IF($T80&gt;0,"BLOQUE QUALITE","")))</f>
        <v/>
      </c>
    </row>
    <row r="81" customFormat="false" ht="15" hidden="false" customHeight="false" outlineLevel="0" collapsed="false">
      <c r="A81" s="41" t="str">
        <f aca="false">IF(LOTS!$A71="","",LOTS!$A71)</f>
        <v/>
      </c>
      <c r="B81" s="42" t="n">
        <f aca="false">IF(OR($A81="",B$14=""),0,SUMIFS(MVT_NET,MVT_LOT,$A81,MVT_EMPL,B$14))</f>
        <v>0</v>
      </c>
      <c r="C81" s="42" t="n">
        <f aca="false">IF(OR($A81="",C$14=""),0,SUMIFS(MVT_NET,MVT_LOT,$A81,MVT_EMPL,C$14))</f>
        <v>0</v>
      </c>
      <c r="D81" s="42" t="n">
        <f aca="false">IF(OR($A81="",D$14=""),0,SUMIFS(MVT_NET,MVT_LOT,$A81,MVT_EMPL,D$14))</f>
        <v>0</v>
      </c>
      <c r="E81" s="42" t="n">
        <f aca="false">IF(OR($A81="",E$14=""),0,SUMIFS(MVT_NET,MVT_LOT,$A81,MVT_EMPL,E$14))</f>
        <v>0</v>
      </c>
      <c r="F81" s="42" t="n">
        <f aca="false">IF(OR($A81="",F$14=""),0,SUMIFS(MVT_NET,MVT_LOT,$A81,MVT_EMPL,F$14))</f>
        <v>0</v>
      </c>
      <c r="G81" s="42" t="n">
        <f aca="false">IF(OR($A81="",G$14=""),0,SUMIFS(MVT_NET,MVT_LOT,$A81,MVT_EMPL,G$14))</f>
        <v>0</v>
      </c>
      <c r="H81" s="42" t="n">
        <f aca="false">IF(OR($A81="",H$14=""),0,SUMIFS(MVT_NET,MVT_LOT,$A81,MVT_EMPL,H$14))</f>
        <v>0</v>
      </c>
      <c r="I81" s="42" t="n">
        <f aca="false">IF(OR($A81="",I$14=""),0,SUMIFS(MVT_NET,MVT_LOT,$A81,MVT_EMPL,I$14))</f>
        <v>0</v>
      </c>
      <c r="J81" s="42" t="n">
        <f aca="false">IF(OR($A81="",J$14=""),0,SUMIFS(MVT_NET,MVT_LOT,$A81,MVT_EMPL,J$14))</f>
        <v>0</v>
      </c>
      <c r="K81" s="42" t="n">
        <f aca="false">IF(OR($A81="",K$14=""),0,SUMIFS(MVT_NET,MVT_LOT,$A81,MVT_EMPL,K$14))</f>
        <v>0</v>
      </c>
      <c r="L81" s="42" t="n">
        <f aca="false">IF(OR($A81="",L$14=""),0,SUMIFS(MVT_NET,MVT_LOT,$A81,MVT_EMPL,L$14))</f>
        <v>0</v>
      </c>
      <c r="M81" s="42" t="n">
        <f aca="false">IF(OR($A81="",M$14=""),0,SUMIFS(MVT_NET,MVT_LOT,$A81,MVT_EMPL,M$14))</f>
        <v>0</v>
      </c>
      <c r="N81" s="43" t="n">
        <f aca="false">SUM($B81:$M81)</f>
        <v>0</v>
      </c>
      <c r="O81" s="44" t="n">
        <f aca="false">SUMPRODUCT(($B$13:$M$13="INTERNE")*$B81:$M81)</f>
        <v>0</v>
      </c>
      <c r="P81" s="44" t="n">
        <f aca="false">SUMPRODUCT(($B$13:$M$13="EXTERNE")*$B81:$M81)</f>
        <v>0</v>
      </c>
      <c r="Q81" s="44" t="n">
        <f aca="false">IF($A81="",0,SUMIFS(ST_ENCOURS,ST_LOT,$A81))</f>
        <v>0</v>
      </c>
      <c r="R81" s="45" t="str">
        <f aca="false">IF($A81="","",IFERROR(INDEX(LOT_EXTE,MATCH($A81,LOT_KEY,0)),""))</f>
        <v/>
      </c>
      <c r="S81" s="45" t="str">
        <f aca="false">IF($A81="","",IFERROR(INDEX(LOT_DECISION,MATCH($A81,LOT_KEY,0)),""))</f>
        <v/>
      </c>
      <c r="T81" s="44" t="n">
        <f aca="false">IF($S81="BLOQUER",MAX(0,$N81),0)</f>
        <v>0</v>
      </c>
      <c r="U81" s="46" t="str">
        <f aca="false">IF($A81="","",IF($N81&lt;-0.001,"STOCK NEGATIF - ANOMALIE",IF($T81&gt;0,"BLOQUE QUALITE","")))</f>
        <v/>
      </c>
    </row>
    <row r="82" customFormat="false" ht="15" hidden="false" customHeight="false" outlineLevel="0" collapsed="false">
      <c r="A82" s="41" t="str">
        <f aca="false">IF(LOTS!$A72="","",LOTS!$A72)</f>
        <v/>
      </c>
      <c r="B82" s="42" t="n">
        <f aca="false">IF(OR($A82="",B$14=""),0,SUMIFS(MVT_NET,MVT_LOT,$A82,MVT_EMPL,B$14))</f>
        <v>0</v>
      </c>
      <c r="C82" s="42" t="n">
        <f aca="false">IF(OR($A82="",C$14=""),0,SUMIFS(MVT_NET,MVT_LOT,$A82,MVT_EMPL,C$14))</f>
        <v>0</v>
      </c>
      <c r="D82" s="42" t="n">
        <f aca="false">IF(OR($A82="",D$14=""),0,SUMIFS(MVT_NET,MVT_LOT,$A82,MVT_EMPL,D$14))</f>
        <v>0</v>
      </c>
      <c r="E82" s="42" t="n">
        <f aca="false">IF(OR($A82="",E$14=""),0,SUMIFS(MVT_NET,MVT_LOT,$A82,MVT_EMPL,E$14))</f>
        <v>0</v>
      </c>
      <c r="F82" s="42" t="n">
        <f aca="false">IF(OR($A82="",F$14=""),0,SUMIFS(MVT_NET,MVT_LOT,$A82,MVT_EMPL,F$14))</f>
        <v>0</v>
      </c>
      <c r="G82" s="42" t="n">
        <f aca="false">IF(OR($A82="",G$14=""),0,SUMIFS(MVT_NET,MVT_LOT,$A82,MVT_EMPL,G$14))</f>
        <v>0</v>
      </c>
      <c r="H82" s="42" t="n">
        <f aca="false">IF(OR($A82="",H$14=""),0,SUMIFS(MVT_NET,MVT_LOT,$A82,MVT_EMPL,H$14))</f>
        <v>0</v>
      </c>
      <c r="I82" s="42" t="n">
        <f aca="false">IF(OR($A82="",I$14=""),0,SUMIFS(MVT_NET,MVT_LOT,$A82,MVT_EMPL,I$14))</f>
        <v>0</v>
      </c>
      <c r="J82" s="42" t="n">
        <f aca="false">IF(OR($A82="",J$14=""),0,SUMIFS(MVT_NET,MVT_LOT,$A82,MVT_EMPL,J$14))</f>
        <v>0</v>
      </c>
      <c r="K82" s="42" t="n">
        <f aca="false">IF(OR($A82="",K$14=""),0,SUMIFS(MVT_NET,MVT_LOT,$A82,MVT_EMPL,K$14))</f>
        <v>0</v>
      </c>
      <c r="L82" s="42" t="n">
        <f aca="false">IF(OR($A82="",L$14=""),0,SUMIFS(MVT_NET,MVT_LOT,$A82,MVT_EMPL,L$14))</f>
        <v>0</v>
      </c>
      <c r="M82" s="42" t="n">
        <f aca="false">IF(OR($A82="",M$14=""),0,SUMIFS(MVT_NET,MVT_LOT,$A82,MVT_EMPL,M$14))</f>
        <v>0</v>
      </c>
      <c r="N82" s="43" t="n">
        <f aca="false">SUM($B82:$M82)</f>
        <v>0</v>
      </c>
      <c r="O82" s="44" t="n">
        <f aca="false">SUMPRODUCT(($B$13:$M$13="INTERNE")*$B82:$M82)</f>
        <v>0</v>
      </c>
      <c r="P82" s="44" t="n">
        <f aca="false">SUMPRODUCT(($B$13:$M$13="EXTERNE")*$B82:$M82)</f>
        <v>0</v>
      </c>
      <c r="Q82" s="44" t="n">
        <f aca="false">IF($A82="",0,SUMIFS(ST_ENCOURS,ST_LOT,$A82))</f>
        <v>0</v>
      </c>
      <c r="R82" s="45" t="str">
        <f aca="false">IF($A82="","",IFERROR(INDEX(LOT_EXTE,MATCH($A82,LOT_KEY,0)),""))</f>
        <v/>
      </c>
      <c r="S82" s="45" t="str">
        <f aca="false">IF($A82="","",IFERROR(INDEX(LOT_DECISION,MATCH($A82,LOT_KEY,0)),""))</f>
        <v/>
      </c>
      <c r="T82" s="44" t="n">
        <f aca="false">IF($S82="BLOQUER",MAX(0,$N82),0)</f>
        <v>0</v>
      </c>
      <c r="U82" s="46" t="str">
        <f aca="false">IF($A82="","",IF($N82&lt;-0.001,"STOCK NEGATIF - ANOMALIE",IF($T82&gt;0,"BLOQUE QUALITE","")))</f>
        <v/>
      </c>
    </row>
    <row r="83" customFormat="false" ht="15" hidden="false" customHeight="false" outlineLevel="0" collapsed="false">
      <c r="A83" s="41" t="str">
        <f aca="false">IF(LOTS!$A73="","",LOTS!$A73)</f>
        <v/>
      </c>
      <c r="B83" s="42" t="n">
        <f aca="false">IF(OR($A83="",B$14=""),0,SUMIFS(MVT_NET,MVT_LOT,$A83,MVT_EMPL,B$14))</f>
        <v>0</v>
      </c>
      <c r="C83" s="42" t="n">
        <f aca="false">IF(OR($A83="",C$14=""),0,SUMIFS(MVT_NET,MVT_LOT,$A83,MVT_EMPL,C$14))</f>
        <v>0</v>
      </c>
      <c r="D83" s="42" t="n">
        <f aca="false">IF(OR($A83="",D$14=""),0,SUMIFS(MVT_NET,MVT_LOT,$A83,MVT_EMPL,D$14))</f>
        <v>0</v>
      </c>
      <c r="E83" s="42" t="n">
        <f aca="false">IF(OR($A83="",E$14=""),0,SUMIFS(MVT_NET,MVT_LOT,$A83,MVT_EMPL,E$14))</f>
        <v>0</v>
      </c>
      <c r="F83" s="42" t="n">
        <f aca="false">IF(OR($A83="",F$14=""),0,SUMIFS(MVT_NET,MVT_LOT,$A83,MVT_EMPL,F$14))</f>
        <v>0</v>
      </c>
      <c r="G83" s="42" t="n">
        <f aca="false">IF(OR($A83="",G$14=""),0,SUMIFS(MVT_NET,MVT_LOT,$A83,MVT_EMPL,G$14))</f>
        <v>0</v>
      </c>
      <c r="H83" s="42" t="n">
        <f aca="false">IF(OR($A83="",H$14=""),0,SUMIFS(MVT_NET,MVT_LOT,$A83,MVT_EMPL,H$14))</f>
        <v>0</v>
      </c>
      <c r="I83" s="42" t="n">
        <f aca="false">IF(OR($A83="",I$14=""),0,SUMIFS(MVT_NET,MVT_LOT,$A83,MVT_EMPL,I$14))</f>
        <v>0</v>
      </c>
      <c r="J83" s="42" t="n">
        <f aca="false">IF(OR($A83="",J$14=""),0,SUMIFS(MVT_NET,MVT_LOT,$A83,MVT_EMPL,J$14))</f>
        <v>0</v>
      </c>
      <c r="K83" s="42" t="n">
        <f aca="false">IF(OR($A83="",K$14=""),0,SUMIFS(MVT_NET,MVT_LOT,$A83,MVT_EMPL,K$14))</f>
        <v>0</v>
      </c>
      <c r="L83" s="42" t="n">
        <f aca="false">IF(OR($A83="",L$14=""),0,SUMIFS(MVT_NET,MVT_LOT,$A83,MVT_EMPL,L$14))</f>
        <v>0</v>
      </c>
      <c r="M83" s="42" t="n">
        <f aca="false">IF(OR($A83="",M$14=""),0,SUMIFS(MVT_NET,MVT_LOT,$A83,MVT_EMPL,M$14))</f>
        <v>0</v>
      </c>
      <c r="N83" s="43" t="n">
        <f aca="false">SUM($B83:$M83)</f>
        <v>0</v>
      </c>
      <c r="O83" s="44" t="n">
        <f aca="false">SUMPRODUCT(($B$13:$M$13="INTERNE")*$B83:$M83)</f>
        <v>0</v>
      </c>
      <c r="P83" s="44" t="n">
        <f aca="false">SUMPRODUCT(($B$13:$M$13="EXTERNE")*$B83:$M83)</f>
        <v>0</v>
      </c>
      <c r="Q83" s="44" t="n">
        <f aca="false">IF($A83="",0,SUMIFS(ST_ENCOURS,ST_LOT,$A83))</f>
        <v>0</v>
      </c>
      <c r="R83" s="45" t="str">
        <f aca="false">IF($A83="","",IFERROR(INDEX(LOT_EXTE,MATCH($A83,LOT_KEY,0)),""))</f>
        <v/>
      </c>
      <c r="S83" s="45" t="str">
        <f aca="false">IF($A83="","",IFERROR(INDEX(LOT_DECISION,MATCH($A83,LOT_KEY,0)),""))</f>
        <v/>
      </c>
      <c r="T83" s="44" t="n">
        <f aca="false">IF($S83="BLOQUER",MAX(0,$N83),0)</f>
        <v>0</v>
      </c>
      <c r="U83" s="46" t="str">
        <f aca="false">IF($A83="","",IF($N83&lt;-0.001,"STOCK NEGATIF - ANOMALIE",IF($T83&gt;0,"BLOQUE QUALITE","")))</f>
        <v/>
      </c>
    </row>
    <row r="84" customFormat="false" ht="15" hidden="false" customHeight="false" outlineLevel="0" collapsed="false">
      <c r="A84" s="41" t="str">
        <f aca="false">IF(LOTS!$A74="","",LOTS!$A74)</f>
        <v/>
      </c>
      <c r="B84" s="42" t="n">
        <f aca="false">IF(OR($A84="",B$14=""),0,SUMIFS(MVT_NET,MVT_LOT,$A84,MVT_EMPL,B$14))</f>
        <v>0</v>
      </c>
      <c r="C84" s="42" t="n">
        <f aca="false">IF(OR($A84="",C$14=""),0,SUMIFS(MVT_NET,MVT_LOT,$A84,MVT_EMPL,C$14))</f>
        <v>0</v>
      </c>
      <c r="D84" s="42" t="n">
        <f aca="false">IF(OR($A84="",D$14=""),0,SUMIFS(MVT_NET,MVT_LOT,$A84,MVT_EMPL,D$14))</f>
        <v>0</v>
      </c>
      <c r="E84" s="42" t="n">
        <f aca="false">IF(OR($A84="",E$14=""),0,SUMIFS(MVT_NET,MVT_LOT,$A84,MVT_EMPL,E$14))</f>
        <v>0</v>
      </c>
      <c r="F84" s="42" t="n">
        <f aca="false">IF(OR($A84="",F$14=""),0,SUMIFS(MVT_NET,MVT_LOT,$A84,MVT_EMPL,F$14))</f>
        <v>0</v>
      </c>
      <c r="G84" s="42" t="n">
        <f aca="false">IF(OR($A84="",G$14=""),0,SUMIFS(MVT_NET,MVT_LOT,$A84,MVT_EMPL,G$14))</f>
        <v>0</v>
      </c>
      <c r="H84" s="42" t="n">
        <f aca="false">IF(OR($A84="",H$14=""),0,SUMIFS(MVT_NET,MVT_LOT,$A84,MVT_EMPL,H$14))</f>
        <v>0</v>
      </c>
      <c r="I84" s="42" t="n">
        <f aca="false">IF(OR($A84="",I$14=""),0,SUMIFS(MVT_NET,MVT_LOT,$A84,MVT_EMPL,I$14))</f>
        <v>0</v>
      </c>
      <c r="J84" s="42" t="n">
        <f aca="false">IF(OR($A84="",J$14=""),0,SUMIFS(MVT_NET,MVT_LOT,$A84,MVT_EMPL,J$14))</f>
        <v>0</v>
      </c>
      <c r="K84" s="42" t="n">
        <f aca="false">IF(OR($A84="",K$14=""),0,SUMIFS(MVT_NET,MVT_LOT,$A84,MVT_EMPL,K$14))</f>
        <v>0</v>
      </c>
      <c r="L84" s="42" t="n">
        <f aca="false">IF(OR($A84="",L$14=""),0,SUMIFS(MVT_NET,MVT_LOT,$A84,MVT_EMPL,L$14))</f>
        <v>0</v>
      </c>
      <c r="M84" s="42" t="n">
        <f aca="false">IF(OR($A84="",M$14=""),0,SUMIFS(MVT_NET,MVT_LOT,$A84,MVT_EMPL,M$14))</f>
        <v>0</v>
      </c>
      <c r="N84" s="43" t="n">
        <f aca="false">SUM($B84:$M84)</f>
        <v>0</v>
      </c>
      <c r="O84" s="44" t="n">
        <f aca="false">SUMPRODUCT(($B$13:$M$13="INTERNE")*$B84:$M84)</f>
        <v>0</v>
      </c>
      <c r="P84" s="44" t="n">
        <f aca="false">SUMPRODUCT(($B$13:$M$13="EXTERNE")*$B84:$M84)</f>
        <v>0</v>
      </c>
      <c r="Q84" s="44" t="n">
        <f aca="false">IF($A84="",0,SUMIFS(ST_ENCOURS,ST_LOT,$A84))</f>
        <v>0</v>
      </c>
      <c r="R84" s="45" t="str">
        <f aca="false">IF($A84="","",IFERROR(INDEX(LOT_EXTE,MATCH($A84,LOT_KEY,0)),""))</f>
        <v/>
      </c>
      <c r="S84" s="45" t="str">
        <f aca="false">IF($A84="","",IFERROR(INDEX(LOT_DECISION,MATCH($A84,LOT_KEY,0)),""))</f>
        <v/>
      </c>
      <c r="T84" s="44" t="n">
        <f aca="false">IF($S84="BLOQUER",MAX(0,$N84),0)</f>
        <v>0</v>
      </c>
      <c r="U84" s="46" t="str">
        <f aca="false">IF($A84="","",IF($N84&lt;-0.001,"STOCK NEGATIF - ANOMALIE",IF($T84&gt;0,"BLOQUE QUALITE","")))</f>
        <v/>
      </c>
    </row>
    <row r="85" customFormat="false" ht="15" hidden="false" customHeight="false" outlineLevel="0" collapsed="false">
      <c r="A85" s="41" t="str">
        <f aca="false">IF(LOTS!$A75="","",LOTS!$A75)</f>
        <v/>
      </c>
      <c r="B85" s="42" t="n">
        <f aca="false">IF(OR($A85="",B$14=""),0,SUMIFS(MVT_NET,MVT_LOT,$A85,MVT_EMPL,B$14))</f>
        <v>0</v>
      </c>
      <c r="C85" s="42" t="n">
        <f aca="false">IF(OR($A85="",C$14=""),0,SUMIFS(MVT_NET,MVT_LOT,$A85,MVT_EMPL,C$14))</f>
        <v>0</v>
      </c>
      <c r="D85" s="42" t="n">
        <f aca="false">IF(OR($A85="",D$14=""),0,SUMIFS(MVT_NET,MVT_LOT,$A85,MVT_EMPL,D$14))</f>
        <v>0</v>
      </c>
      <c r="E85" s="42" t="n">
        <f aca="false">IF(OR($A85="",E$14=""),0,SUMIFS(MVT_NET,MVT_LOT,$A85,MVT_EMPL,E$14))</f>
        <v>0</v>
      </c>
      <c r="F85" s="42" t="n">
        <f aca="false">IF(OR($A85="",F$14=""),0,SUMIFS(MVT_NET,MVT_LOT,$A85,MVT_EMPL,F$14))</f>
        <v>0</v>
      </c>
      <c r="G85" s="42" t="n">
        <f aca="false">IF(OR($A85="",G$14=""),0,SUMIFS(MVT_NET,MVT_LOT,$A85,MVT_EMPL,G$14))</f>
        <v>0</v>
      </c>
      <c r="H85" s="42" t="n">
        <f aca="false">IF(OR($A85="",H$14=""),0,SUMIFS(MVT_NET,MVT_LOT,$A85,MVT_EMPL,H$14))</f>
        <v>0</v>
      </c>
      <c r="I85" s="42" t="n">
        <f aca="false">IF(OR($A85="",I$14=""),0,SUMIFS(MVT_NET,MVT_LOT,$A85,MVT_EMPL,I$14))</f>
        <v>0</v>
      </c>
      <c r="J85" s="42" t="n">
        <f aca="false">IF(OR($A85="",J$14=""),0,SUMIFS(MVT_NET,MVT_LOT,$A85,MVT_EMPL,J$14))</f>
        <v>0</v>
      </c>
      <c r="K85" s="42" t="n">
        <f aca="false">IF(OR($A85="",K$14=""),0,SUMIFS(MVT_NET,MVT_LOT,$A85,MVT_EMPL,K$14))</f>
        <v>0</v>
      </c>
      <c r="L85" s="42" t="n">
        <f aca="false">IF(OR($A85="",L$14=""),0,SUMIFS(MVT_NET,MVT_LOT,$A85,MVT_EMPL,L$14))</f>
        <v>0</v>
      </c>
      <c r="M85" s="42" t="n">
        <f aca="false">IF(OR($A85="",M$14=""),0,SUMIFS(MVT_NET,MVT_LOT,$A85,MVT_EMPL,M$14))</f>
        <v>0</v>
      </c>
      <c r="N85" s="43" t="n">
        <f aca="false">SUM($B85:$M85)</f>
        <v>0</v>
      </c>
      <c r="O85" s="44" t="n">
        <f aca="false">SUMPRODUCT(($B$13:$M$13="INTERNE")*$B85:$M85)</f>
        <v>0</v>
      </c>
      <c r="P85" s="44" t="n">
        <f aca="false">SUMPRODUCT(($B$13:$M$13="EXTERNE")*$B85:$M85)</f>
        <v>0</v>
      </c>
      <c r="Q85" s="44" t="n">
        <f aca="false">IF($A85="",0,SUMIFS(ST_ENCOURS,ST_LOT,$A85))</f>
        <v>0</v>
      </c>
      <c r="R85" s="45" t="str">
        <f aca="false">IF($A85="","",IFERROR(INDEX(LOT_EXTE,MATCH($A85,LOT_KEY,0)),""))</f>
        <v/>
      </c>
      <c r="S85" s="45" t="str">
        <f aca="false">IF($A85="","",IFERROR(INDEX(LOT_DECISION,MATCH($A85,LOT_KEY,0)),""))</f>
        <v/>
      </c>
      <c r="T85" s="44" t="n">
        <f aca="false">IF($S85="BLOQUER",MAX(0,$N85),0)</f>
        <v>0</v>
      </c>
      <c r="U85" s="46" t="str">
        <f aca="false">IF($A85="","",IF($N85&lt;-0.001,"STOCK NEGATIF - ANOMALIE",IF($T85&gt;0,"BLOQUE QUALITE","")))</f>
        <v/>
      </c>
    </row>
    <row r="86" customFormat="false" ht="15" hidden="false" customHeight="false" outlineLevel="0" collapsed="false">
      <c r="A86" s="41" t="str">
        <f aca="false">IF(LOTS!$A76="","",LOTS!$A76)</f>
        <v/>
      </c>
      <c r="B86" s="42" t="n">
        <f aca="false">IF(OR($A86="",B$14=""),0,SUMIFS(MVT_NET,MVT_LOT,$A86,MVT_EMPL,B$14))</f>
        <v>0</v>
      </c>
      <c r="C86" s="42" t="n">
        <f aca="false">IF(OR($A86="",C$14=""),0,SUMIFS(MVT_NET,MVT_LOT,$A86,MVT_EMPL,C$14))</f>
        <v>0</v>
      </c>
      <c r="D86" s="42" t="n">
        <f aca="false">IF(OR($A86="",D$14=""),0,SUMIFS(MVT_NET,MVT_LOT,$A86,MVT_EMPL,D$14))</f>
        <v>0</v>
      </c>
      <c r="E86" s="42" t="n">
        <f aca="false">IF(OR($A86="",E$14=""),0,SUMIFS(MVT_NET,MVT_LOT,$A86,MVT_EMPL,E$14))</f>
        <v>0</v>
      </c>
      <c r="F86" s="42" t="n">
        <f aca="false">IF(OR($A86="",F$14=""),0,SUMIFS(MVT_NET,MVT_LOT,$A86,MVT_EMPL,F$14))</f>
        <v>0</v>
      </c>
      <c r="G86" s="42" t="n">
        <f aca="false">IF(OR($A86="",G$14=""),0,SUMIFS(MVT_NET,MVT_LOT,$A86,MVT_EMPL,G$14))</f>
        <v>0</v>
      </c>
      <c r="H86" s="42" t="n">
        <f aca="false">IF(OR($A86="",H$14=""),0,SUMIFS(MVT_NET,MVT_LOT,$A86,MVT_EMPL,H$14))</f>
        <v>0</v>
      </c>
      <c r="I86" s="42" t="n">
        <f aca="false">IF(OR($A86="",I$14=""),0,SUMIFS(MVT_NET,MVT_LOT,$A86,MVT_EMPL,I$14))</f>
        <v>0</v>
      </c>
      <c r="J86" s="42" t="n">
        <f aca="false">IF(OR($A86="",J$14=""),0,SUMIFS(MVT_NET,MVT_LOT,$A86,MVT_EMPL,J$14))</f>
        <v>0</v>
      </c>
      <c r="K86" s="42" t="n">
        <f aca="false">IF(OR($A86="",K$14=""),0,SUMIFS(MVT_NET,MVT_LOT,$A86,MVT_EMPL,K$14))</f>
        <v>0</v>
      </c>
      <c r="L86" s="42" t="n">
        <f aca="false">IF(OR($A86="",L$14=""),0,SUMIFS(MVT_NET,MVT_LOT,$A86,MVT_EMPL,L$14))</f>
        <v>0</v>
      </c>
      <c r="M86" s="42" t="n">
        <f aca="false">IF(OR($A86="",M$14=""),0,SUMIFS(MVT_NET,MVT_LOT,$A86,MVT_EMPL,M$14))</f>
        <v>0</v>
      </c>
      <c r="N86" s="43" t="n">
        <f aca="false">SUM($B86:$M86)</f>
        <v>0</v>
      </c>
      <c r="O86" s="44" t="n">
        <f aca="false">SUMPRODUCT(($B$13:$M$13="INTERNE")*$B86:$M86)</f>
        <v>0</v>
      </c>
      <c r="P86" s="44" t="n">
        <f aca="false">SUMPRODUCT(($B$13:$M$13="EXTERNE")*$B86:$M86)</f>
        <v>0</v>
      </c>
      <c r="Q86" s="44" t="n">
        <f aca="false">IF($A86="",0,SUMIFS(ST_ENCOURS,ST_LOT,$A86))</f>
        <v>0</v>
      </c>
      <c r="R86" s="45" t="str">
        <f aca="false">IF($A86="","",IFERROR(INDEX(LOT_EXTE,MATCH($A86,LOT_KEY,0)),""))</f>
        <v/>
      </c>
      <c r="S86" s="45" t="str">
        <f aca="false">IF($A86="","",IFERROR(INDEX(LOT_DECISION,MATCH($A86,LOT_KEY,0)),""))</f>
        <v/>
      </c>
      <c r="T86" s="44" t="n">
        <f aca="false">IF($S86="BLOQUER",MAX(0,$N86),0)</f>
        <v>0</v>
      </c>
      <c r="U86" s="46" t="str">
        <f aca="false">IF($A86="","",IF($N86&lt;-0.001,"STOCK NEGATIF - ANOMALIE",IF($T86&gt;0,"BLOQUE QUALITE","")))</f>
        <v/>
      </c>
    </row>
    <row r="87" customFormat="false" ht="15" hidden="false" customHeight="false" outlineLevel="0" collapsed="false">
      <c r="A87" s="41" t="str">
        <f aca="false">IF(LOTS!$A77="","",LOTS!$A77)</f>
        <v/>
      </c>
      <c r="B87" s="42" t="n">
        <f aca="false">IF(OR($A87="",B$14=""),0,SUMIFS(MVT_NET,MVT_LOT,$A87,MVT_EMPL,B$14))</f>
        <v>0</v>
      </c>
      <c r="C87" s="42" t="n">
        <f aca="false">IF(OR($A87="",C$14=""),0,SUMIFS(MVT_NET,MVT_LOT,$A87,MVT_EMPL,C$14))</f>
        <v>0</v>
      </c>
      <c r="D87" s="42" t="n">
        <f aca="false">IF(OR($A87="",D$14=""),0,SUMIFS(MVT_NET,MVT_LOT,$A87,MVT_EMPL,D$14))</f>
        <v>0</v>
      </c>
      <c r="E87" s="42" t="n">
        <f aca="false">IF(OR($A87="",E$14=""),0,SUMIFS(MVT_NET,MVT_LOT,$A87,MVT_EMPL,E$14))</f>
        <v>0</v>
      </c>
      <c r="F87" s="42" t="n">
        <f aca="false">IF(OR($A87="",F$14=""),0,SUMIFS(MVT_NET,MVT_LOT,$A87,MVT_EMPL,F$14))</f>
        <v>0</v>
      </c>
      <c r="G87" s="42" t="n">
        <f aca="false">IF(OR($A87="",G$14=""),0,SUMIFS(MVT_NET,MVT_LOT,$A87,MVT_EMPL,G$14))</f>
        <v>0</v>
      </c>
      <c r="H87" s="42" t="n">
        <f aca="false">IF(OR($A87="",H$14=""),0,SUMIFS(MVT_NET,MVT_LOT,$A87,MVT_EMPL,H$14))</f>
        <v>0</v>
      </c>
      <c r="I87" s="42" t="n">
        <f aca="false">IF(OR($A87="",I$14=""),0,SUMIFS(MVT_NET,MVT_LOT,$A87,MVT_EMPL,I$14))</f>
        <v>0</v>
      </c>
      <c r="J87" s="42" t="n">
        <f aca="false">IF(OR($A87="",J$14=""),0,SUMIFS(MVT_NET,MVT_LOT,$A87,MVT_EMPL,J$14))</f>
        <v>0</v>
      </c>
      <c r="K87" s="42" t="n">
        <f aca="false">IF(OR($A87="",K$14=""),0,SUMIFS(MVT_NET,MVT_LOT,$A87,MVT_EMPL,K$14))</f>
        <v>0</v>
      </c>
      <c r="L87" s="42" t="n">
        <f aca="false">IF(OR($A87="",L$14=""),0,SUMIFS(MVT_NET,MVT_LOT,$A87,MVT_EMPL,L$14))</f>
        <v>0</v>
      </c>
      <c r="M87" s="42" t="n">
        <f aca="false">IF(OR($A87="",M$14=""),0,SUMIFS(MVT_NET,MVT_LOT,$A87,MVT_EMPL,M$14))</f>
        <v>0</v>
      </c>
      <c r="N87" s="43" t="n">
        <f aca="false">SUM($B87:$M87)</f>
        <v>0</v>
      </c>
      <c r="O87" s="44" t="n">
        <f aca="false">SUMPRODUCT(($B$13:$M$13="INTERNE")*$B87:$M87)</f>
        <v>0</v>
      </c>
      <c r="P87" s="44" t="n">
        <f aca="false">SUMPRODUCT(($B$13:$M$13="EXTERNE")*$B87:$M87)</f>
        <v>0</v>
      </c>
      <c r="Q87" s="44" t="n">
        <f aca="false">IF($A87="",0,SUMIFS(ST_ENCOURS,ST_LOT,$A87))</f>
        <v>0</v>
      </c>
      <c r="R87" s="45" t="str">
        <f aca="false">IF($A87="","",IFERROR(INDEX(LOT_EXTE,MATCH($A87,LOT_KEY,0)),""))</f>
        <v/>
      </c>
      <c r="S87" s="45" t="str">
        <f aca="false">IF($A87="","",IFERROR(INDEX(LOT_DECISION,MATCH($A87,LOT_KEY,0)),""))</f>
        <v/>
      </c>
      <c r="T87" s="44" t="n">
        <f aca="false">IF($S87="BLOQUER",MAX(0,$N87),0)</f>
        <v>0</v>
      </c>
      <c r="U87" s="46" t="str">
        <f aca="false">IF($A87="","",IF($N87&lt;-0.001,"STOCK NEGATIF - ANOMALIE",IF($T87&gt;0,"BLOQUE QUALITE","")))</f>
        <v/>
      </c>
    </row>
    <row r="88" customFormat="false" ht="15" hidden="false" customHeight="false" outlineLevel="0" collapsed="false">
      <c r="A88" s="41" t="str">
        <f aca="false">IF(LOTS!$A78="","",LOTS!$A78)</f>
        <v/>
      </c>
      <c r="B88" s="42" t="n">
        <f aca="false">IF(OR($A88="",B$14=""),0,SUMIFS(MVT_NET,MVT_LOT,$A88,MVT_EMPL,B$14))</f>
        <v>0</v>
      </c>
      <c r="C88" s="42" t="n">
        <f aca="false">IF(OR($A88="",C$14=""),0,SUMIFS(MVT_NET,MVT_LOT,$A88,MVT_EMPL,C$14))</f>
        <v>0</v>
      </c>
      <c r="D88" s="42" t="n">
        <f aca="false">IF(OR($A88="",D$14=""),0,SUMIFS(MVT_NET,MVT_LOT,$A88,MVT_EMPL,D$14))</f>
        <v>0</v>
      </c>
      <c r="E88" s="42" t="n">
        <f aca="false">IF(OR($A88="",E$14=""),0,SUMIFS(MVT_NET,MVT_LOT,$A88,MVT_EMPL,E$14))</f>
        <v>0</v>
      </c>
      <c r="F88" s="42" t="n">
        <f aca="false">IF(OR($A88="",F$14=""),0,SUMIFS(MVT_NET,MVT_LOT,$A88,MVT_EMPL,F$14))</f>
        <v>0</v>
      </c>
      <c r="G88" s="42" t="n">
        <f aca="false">IF(OR($A88="",G$14=""),0,SUMIFS(MVT_NET,MVT_LOT,$A88,MVT_EMPL,G$14))</f>
        <v>0</v>
      </c>
      <c r="H88" s="42" t="n">
        <f aca="false">IF(OR($A88="",H$14=""),0,SUMIFS(MVT_NET,MVT_LOT,$A88,MVT_EMPL,H$14))</f>
        <v>0</v>
      </c>
      <c r="I88" s="42" t="n">
        <f aca="false">IF(OR($A88="",I$14=""),0,SUMIFS(MVT_NET,MVT_LOT,$A88,MVT_EMPL,I$14))</f>
        <v>0</v>
      </c>
      <c r="J88" s="42" t="n">
        <f aca="false">IF(OR($A88="",J$14=""),0,SUMIFS(MVT_NET,MVT_LOT,$A88,MVT_EMPL,J$14))</f>
        <v>0</v>
      </c>
      <c r="K88" s="42" t="n">
        <f aca="false">IF(OR($A88="",K$14=""),0,SUMIFS(MVT_NET,MVT_LOT,$A88,MVT_EMPL,K$14))</f>
        <v>0</v>
      </c>
      <c r="L88" s="42" t="n">
        <f aca="false">IF(OR($A88="",L$14=""),0,SUMIFS(MVT_NET,MVT_LOT,$A88,MVT_EMPL,L$14))</f>
        <v>0</v>
      </c>
      <c r="M88" s="42" t="n">
        <f aca="false">IF(OR($A88="",M$14=""),0,SUMIFS(MVT_NET,MVT_LOT,$A88,MVT_EMPL,M$14))</f>
        <v>0</v>
      </c>
      <c r="N88" s="43" t="n">
        <f aca="false">SUM($B88:$M88)</f>
        <v>0</v>
      </c>
      <c r="O88" s="44" t="n">
        <f aca="false">SUMPRODUCT(($B$13:$M$13="INTERNE")*$B88:$M88)</f>
        <v>0</v>
      </c>
      <c r="P88" s="44" t="n">
        <f aca="false">SUMPRODUCT(($B$13:$M$13="EXTERNE")*$B88:$M88)</f>
        <v>0</v>
      </c>
      <c r="Q88" s="44" t="n">
        <f aca="false">IF($A88="",0,SUMIFS(ST_ENCOURS,ST_LOT,$A88))</f>
        <v>0</v>
      </c>
      <c r="R88" s="45" t="str">
        <f aca="false">IF($A88="","",IFERROR(INDEX(LOT_EXTE,MATCH($A88,LOT_KEY,0)),""))</f>
        <v/>
      </c>
      <c r="S88" s="45" t="str">
        <f aca="false">IF($A88="","",IFERROR(INDEX(LOT_DECISION,MATCH($A88,LOT_KEY,0)),""))</f>
        <v/>
      </c>
      <c r="T88" s="44" t="n">
        <f aca="false">IF($S88="BLOQUER",MAX(0,$N88),0)</f>
        <v>0</v>
      </c>
      <c r="U88" s="46" t="str">
        <f aca="false">IF($A88="","",IF($N88&lt;-0.001,"STOCK NEGATIF - ANOMALIE",IF($T88&gt;0,"BLOQUE QUALITE","")))</f>
        <v/>
      </c>
    </row>
    <row r="89" customFormat="false" ht="15" hidden="false" customHeight="false" outlineLevel="0" collapsed="false">
      <c r="A89" s="41" t="str">
        <f aca="false">IF(LOTS!$A79="","",LOTS!$A79)</f>
        <v/>
      </c>
      <c r="B89" s="42" t="n">
        <f aca="false">IF(OR($A89="",B$14=""),0,SUMIFS(MVT_NET,MVT_LOT,$A89,MVT_EMPL,B$14))</f>
        <v>0</v>
      </c>
      <c r="C89" s="42" t="n">
        <f aca="false">IF(OR($A89="",C$14=""),0,SUMIFS(MVT_NET,MVT_LOT,$A89,MVT_EMPL,C$14))</f>
        <v>0</v>
      </c>
      <c r="D89" s="42" t="n">
        <f aca="false">IF(OR($A89="",D$14=""),0,SUMIFS(MVT_NET,MVT_LOT,$A89,MVT_EMPL,D$14))</f>
        <v>0</v>
      </c>
      <c r="E89" s="42" t="n">
        <f aca="false">IF(OR($A89="",E$14=""),0,SUMIFS(MVT_NET,MVT_LOT,$A89,MVT_EMPL,E$14))</f>
        <v>0</v>
      </c>
      <c r="F89" s="42" t="n">
        <f aca="false">IF(OR($A89="",F$14=""),0,SUMIFS(MVT_NET,MVT_LOT,$A89,MVT_EMPL,F$14))</f>
        <v>0</v>
      </c>
      <c r="G89" s="42" t="n">
        <f aca="false">IF(OR($A89="",G$14=""),0,SUMIFS(MVT_NET,MVT_LOT,$A89,MVT_EMPL,G$14))</f>
        <v>0</v>
      </c>
      <c r="H89" s="42" t="n">
        <f aca="false">IF(OR($A89="",H$14=""),0,SUMIFS(MVT_NET,MVT_LOT,$A89,MVT_EMPL,H$14))</f>
        <v>0</v>
      </c>
      <c r="I89" s="42" t="n">
        <f aca="false">IF(OR($A89="",I$14=""),0,SUMIFS(MVT_NET,MVT_LOT,$A89,MVT_EMPL,I$14))</f>
        <v>0</v>
      </c>
      <c r="J89" s="42" t="n">
        <f aca="false">IF(OR($A89="",J$14=""),0,SUMIFS(MVT_NET,MVT_LOT,$A89,MVT_EMPL,J$14))</f>
        <v>0</v>
      </c>
      <c r="K89" s="42" t="n">
        <f aca="false">IF(OR($A89="",K$14=""),0,SUMIFS(MVT_NET,MVT_LOT,$A89,MVT_EMPL,K$14))</f>
        <v>0</v>
      </c>
      <c r="L89" s="42" t="n">
        <f aca="false">IF(OR($A89="",L$14=""),0,SUMIFS(MVT_NET,MVT_LOT,$A89,MVT_EMPL,L$14))</f>
        <v>0</v>
      </c>
      <c r="M89" s="42" t="n">
        <f aca="false">IF(OR($A89="",M$14=""),0,SUMIFS(MVT_NET,MVT_LOT,$A89,MVT_EMPL,M$14))</f>
        <v>0</v>
      </c>
      <c r="N89" s="43" t="n">
        <f aca="false">SUM($B89:$M89)</f>
        <v>0</v>
      </c>
      <c r="O89" s="44" t="n">
        <f aca="false">SUMPRODUCT(($B$13:$M$13="INTERNE")*$B89:$M89)</f>
        <v>0</v>
      </c>
      <c r="P89" s="44" t="n">
        <f aca="false">SUMPRODUCT(($B$13:$M$13="EXTERNE")*$B89:$M89)</f>
        <v>0</v>
      </c>
      <c r="Q89" s="44" t="n">
        <f aca="false">IF($A89="",0,SUMIFS(ST_ENCOURS,ST_LOT,$A89))</f>
        <v>0</v>
      </c>
      <c r="R89" s="45" t="str">
        <f aca="false">IF($A89="","",IFERROR(INDEX(LOT_EXTE,MATCH($A89,LOT_KEY,0)),""))</f>
        <v/>
      </c>
      <c r="S89" s="45" t="str">
        <f aca="false">IF($A89="","",IFERROR(INDEX(LOT_DECISION,MATCH($A89,LOT_KEY,0)),""))</f>
        <v/>
      </c>
      <c r="T89" s="44" t="n">
        <f aca="false">IF($S89="BLOQUER",MAX(0,$N89),0)</f>
        <v>0</v>
      </c>
      <c r="U89" s="46" t="str">
        <f aca="false">IF($A89="","",IF($N89&lt;-0.001,"STOCK NEGATIF - ANOMALIE",IF($T89&gt;0,"BLOQUE QUALITE","")))</f>
        <v/>
      </c>
    </row>
    <row r="90" customFormat="false" ht="15" hidden="false" customHeight="false" outlineLevel="0" collapsed="false">
      <c r="A90" s="41" t="str">
        <f aca="false">IF(LOTS!$A80="","",LOTS!$A80)</f>
        <v/>
      </c>
      <c r="B90" s="42" t="n">
        <f aca="false">IF(OR($A90="",B$14=""),0,SUMIFS(MVT_NET,MVT_LOT,$A90,MVT_EMPL,B$14))</f>
        <v>0</v>
      </c>
      <c r="C90" s="42" t="n">
        <f aca="false">IF(OR($A90="",C$14=""),0,SUMIFS(MVT_NET,MVT_LOT,$A90,MVT_EMPL,C$14))</f>
        <v>0</v>
      </c>
      <c r="D90" s="42" t="n">
        <f aca="false">IF(OR($A90="",D$14=""),0,SUMIFS(MVT_NET,MVT_LOT,$A90,MVT_EMPL,D$14))</f>
        <v>0</v>
      </c>
      <c r="E90" s="42" t="n">
        <f aca="false">IF(OR($A90="",E$14=""),0,SUMIFS(MVT_NET,MVT_LOT,$A90,MVT_EMPL,E$14))</f>
        <v>0</v>
      </c>
      <c r="F90" s="42" t="n">
        <f aca="false">IF(OR($A90="",F$14=""),0,SUMIFS(MVT_NET,MVT_LOT,$A90,MVT_EMPL,F$14))</f>
        <v>0</v>
      </c>
      <c r="G90" s="42" t="n">
        <f aca="false">IF(OR($A90="",G$14=""),0,SUMIFS(MVT_NET,MVT_LOT,$A90,MVT_EMPL,G$14))</f>
        <v>0</v>
      </c>
      <c r="H90" s="42" t="n">
        <f aca="false">IF(OR($A90="",H$14=""),0,SUMIFS(MVT_NET,MVT_LOT,$A90,MVT_EMPL,H$14))</f>
        <v>0</v>
      </c>
      <c r="I90" s="42" t="n">
        <f aca="false">IF(OR($A90="",I$14=""),0,SUMIFS(MVT_NET,MVT_LOT,$A90,MVT_EMPL,I$14))</f>
        <v>0</v>
      </c>
      <c r="J90" s="42" t="n">
        <f aca="false">IF(OR($A90="",J$14=""),0,SUMIFS(MVT_NET,MVT_LOT,$A90,MVT_EMPL,J$14))</f>
        <v>0</v>
      </c>
      <c r="K90" s="42" t="n">
        <f aca="false">IF(OR($A90="",K$14=""),0,SUMIFS(MVT_NET,MVT_LOT,$A90,MVT_EMPL,K$14))</f>
        <v>0</v>
      </c>
      <c r="L90" s="42" t="n">
        <f aca="false">IF(OR($A90="",L$14=""),0,SUMIFS(MVT_NET,MVT_LOT,$A90,MVT_EMPL,L$14))</f>
        <v>0</v>
      </c>
      <c r="M90" s="42" t="n">
        <f aca="false">IF(OR($A90="",M$14=""),0,SUMIFS(MVT_NET,MVT_LOT,$A90,MVT_EMPL,M$14))</f>
        <v>0</v>
      </c>
      <c r="N90" s="43" t="n">
        <f aca="false">SUM($B90:$M90)</f>
        <v>0</v>
      </c>
      <c r="O90" s="44" t="n">
        <f aca="false">SUMPRODUCT(($B$13:$M$13="INTERNE")*$B90:$M90)</f>
        <v>0</v>
      </c>
      <c r="P90" s="44" t="n">
        <f aca="false">SUMPRODUCT(($B$13:$M$13="EXTERNE")*$B90:$M90)</f>
        <v>0</v>
      </c>
      <c r="Q90" s="44" t="n">
        <f aca="false">IF($A90="",0,SUMIFS(ST_ENCOURS,ST_LOT,$A90))</f>
        <v>0</v>
      </c>
      <c r="R90" s="45" t="str">
        <f aca="false">IF($A90="","",IFERROR(INDEX(LOT_EXTE,MATCH($A90,LOT_KEY,0)),""))</f>
        <v/>
      </c>
      <c r="S90" s="45" t="str">
        <f aca="false">IF($A90="","",IFERROR(INDEX(LOT_DECISION,MATCH($A90,LOT_KEY,0)),""))</f>
        <v/>
      </c>
      <c r="T90" s="44" t="n">
        <f aca="false">IF($S90="BLOQUER",MAX(0,$N90),0)</f>
        <v>0</v>
      </c>
      <c r="U90" s="46" t="str">
        <f aca="false">IF($A90="","",IF($N90&lt;-0.001,"STOCK NEGATIF - ANOMALIE",IF($T90&gt;0,"BLOQUE QUALITE","")))</f>
        <v/>
      </c>
    </row>
    <row r="91" customFormat="false" ht="15" hidden="false" customHeight="false" outlineLevel="0" collapsed="false">
      <c r="A91" s="41" t="str">
        <f aca="false">IF(LOTS!$A81="","",LOTS!$A81)</f>
        <v/>
      </c>
      <c r="B91" s="42" t="n">
        <f aca="false">IF(OR($A91="",B$14=""),0,SUMIFS(MVT_NET,MVT_LOT,$A91,MVT_EMPL,B$14))</f>
        <v>0</v>
      </c>
      <c r="C91" s="42" t="n">
        <f aca="false">IF(OR($A91="",C$14=""),0,SUMIFS(MVT_NET,MVT_LOT,$A91,MVT_EMPL,C$14))</f>
        <v>0</v>
      </c>
      <c r="D91" s="42" t="n">
        <f aca="false">IF(OR($A91="",D$14=""),0,SUMIFS(MVT_NET,MVT_LOT,$A91,MVT_EMPL,D$14))</f>
        <v>0</v>
      </c>
      <c r="E91" s="42" t="n">
        <f aca="false">IF(OR($A91="",E$14=""),0,SUMIFS(MVT_NET,MVT_LOT,$A91,MVT_EMPL,E$14))</f>
        <v>0</v>
      </c>
      <c r="F91" s="42" t="n">
        <f aca="false">IF(OR($A91="",F$14=""),0,SUMIFS(MVT_NET,MVT_LOT,$A91,MVT_EMPL,F$14))</f>
        <v>0</v>
      </c>
      <c r="G91" s="42" t="n">
        <f aca="false">IF(OR($A91="",G$14=""),0,SUMIFS(MVT_NET,MVT_LOT,$A91,MVT_EMPL,G$14))</f>
        <v>0</v>
      </c>
      <c r="H91" s="42" t="n">
        <f aca="false">IF(OR($A91="",H$14=""),0,SUMIFS(MVT_NET,MVT_LOT,$A91,MVT_EMPL,H$14))</f>
        <v>0</v>
      </c>
      <c r="I91" s="42" t="n">
        <f aca="false">IF(OR($A91="",I$14=""),0,SUMIFS(MVT_NET,MVT_LOT,$A91,MVT_EMPL,I$14))</f>
        <v>0</v>
      </c>
      <c r="J91" s="42" t="n">
        <f aca="false">IF(OR($A91="",J$14=""),0,SUMIFS(MVT_NET,MVT_LOT,$A91,MVT_EMPL,J$14))</f>
        <v>0</v>
      </c>
      <c r="K91" s="42" t="n">
        <f aca="false">IF(OR($A91="",K$14=""),0,SUMIFS(MVT_NET,MVT_LOT,$A91,MVT_EMPL,K$14))</f>
        <v>0</v>
      </c>
      <c r="L91" s="42" t="n">
        <f aca="false">IF(OR($A91="",L$14=""),0,SUMIFS(MVT_NET,MVT_LOT,$A91,MVT_EMPL,L$14))</f>
        <v>0</v>
      </c>
      <c r="M91" s="42" t="n">
        <f aca="false">IF(OR($A91="",M$14=""),0,SUMIFS(MVT_NET,MVT_LOT,$A91,MVT_EMPL,M$14))</f>
        <v>0</v>
      </c>
      <c r="N91" s="43" t="n">
        <f aca="false">SUM($B91:$M91)</f>
        <v>0</v>
      </c>
      <c r="O91" s="44" t="n">
        <f aca="false">SUMPRODUCT(($B$13:$M$13="INTERNE")*$B91:$M91)</f>
        <v>0</v>
      </c>
      <c r="P91" s="44" t="n">
        <f aca="false">SUMPRODUCT(($B$13:$M$13="EXTERNE")*$B91:$M91)</f>
        <v>0</v>
      </c>
      <c r="Q91" s="44" t="n">
        <f aca="false">IF($A91="",0,SUMIFS(ST_ENCOURS,ST_LOT,$A91))</f>
        <v>0</v>
      </c>
      <c r="R91" s="45" t="str">
        <f aca="false">IF($A91="","",IFERROR(INDEX(LOT_EXTE,MATCH($A91,LOT_KEY,0)),""))</f>
        <v/>
      </c>
      <c r="S91" s="45" t="str">
        <f aca="false">IF($A91="","",IFERROR(INDEX(LOT_DECISION,MATCH($A91,LOT_KEY,0)),""))</f>
        <v/>
      </c>
      <c r="T91" s="44" t="n">
        <f aca="false">IF($S91="BLOQUER",MAX(0,$N91),0)</f>
        <v>0</v>
      </c>
      <c r="U91" s="46" t="str">
        <f aca="false">IF($A91="","",IF($N91&lt;-0.001,"STOCK NEGATIF - ANOMALIE",IF($T91&gt;0,"BLOQUE QUALITE","")))</f>
        <v/>
      </c>
    </row>
    <row r="92" customFormat="false" ht="15" hidden="false" customHeight="false" outlineLevel="0" collapsed="false">
      <c r="A92" s="41" t="str">
        <f aca="false">IF(LOTS!$A82="","",LOTS!$A82)</f>
        <v/>
      </c>
      <c r="B92" s="42" t="n">
        <f aca="false">IF(OR($A92="",B$14=""),0,SUMIFS(MVT_NET,MVT_LOT,$A92,MVT_EMPL,B$14))</f>
        <v>0</v>
      </c>
      <c r="C92" s="42" t="n">
        <f aca="false">IF(OR($A92="",C$14=""),0,SUMIFS(MVT_NET,MVT_LOT,$A92,MVT_EMPL,C$14))</f>
        <v>0</v>
      </c>
      <c r="D92" s="42" t="n">
        <f aca="false">IF(OR($A92="",D$14=""),0,SUMIFS(MVT_NET,MVT_LOT,$A92,MVT_EMPL,D$14))</f>
        <v>0</v>
      </c>
      <c r="E92" s="42" t="n">
        <f aca="false">IF(OR($A92="",E$14=""),0,SUMIFS(MVT_NET,MVT_LOT,$A92,MVT_EMPL,E$14))</f>
        <v>0</v>
      </c>
      <c r="F92" s="42" t="n">
        <f aca="false">IF(OR($A92="",F$14=""),0,SUMIFS(MVT_NET,MVT_LOT,$A92,MVT_EMPL,F$14))</f>
        <v>0</v>
      </c>
      <c r="G92" s="42" t="n">
        <f aca="false">IF(OR($A92="",G$14=""),0,SUMIFS(MVT_NET,MVT_LOT,$A92,MVT_EMPL,G$14))</f>
        <v>0</v>
      </c>
      <c r="H92" s="42" t="n">
        <f aca="false">IF(OR($A92="",H$14=""),0,SUMIFS(MVT_NET,MVT_LOT,$A92,MVT_EMPL,H$14))</f>
        <v>0</v>
      </c>
      <c r="I92" s="42" t="n">
        <f aca="false">IF(OR($A92="",I$14=""),0,SUMIFS(MVT_NET,MVT_LOT,$A92,MVT_EMPL,I$14))</f>
        <v>0</v>
      </c>
      <c r="J92" s="42" t="n">
        <f aca="false">IF(OR($A92="",J$14=""),0,SUMIFS(MVT_NET,MVT_LOT,$A92,MVT_EMPL,J$14))</f>
        <v>0</v>
      </c>
      <c r="K92" s="42" t="n">
        <f aca="false">IF(OR($A92="",K$14=""),0,SUMIFS(MVT_NET,MVT_LOT,$A92,MVT_EMPL,K$14))</f>
        <v>0</v>
      </c>
      <c r="L92" s="42" t="n">
        <f aca="false">IF(OR($A92="",L$14=""),0,SUMIFS(MVT_NET,MVT_LOT,$A92,MVT_EMPL,L$14))</f>
        <v>0</v>
      </c>
      <c r="M92" s="42" t="n">
        <f aca="false">IF(OR($A92="",M$14=""),0,SUMIFS(MVT_NET,MVT_LOT,$A92,MVT_EMPL,M$14))</f>
        <v>0</v>
      </c>
      <c r="N92" s="43" t="n">
        <f aca="false">SUM($B92:$M92)</f>
        <v>0</v>
      </c>
      <c r="O92" s="44" t="n">
        <f aca="false">SUMPRODUCT(($B$13:$M$13="INTERNE")*$B92:$M92)</f>
        <v>0</v>
      </c>
      <c r="P92" s="44" t="n">
        <f aca="false">SUMPRODUCT(($B$13:$M$13="EXTERNE")*$B92:$M92)</f>
        <v>0</v>
      </c>
      <c r="Q92" s="44" t="n">
        <f aca="false">IF($A92="",0,SUMIFS(ST_ENCOURS,ST_LOT,$A92))</f>
        <v>0</v>
      </c>
      <c r="R92" s="45" t="str">
        <f aca="false">IF($A92="","",IFERROR(INDEX(LOT_EXTE,MATCH($A92,LOT_KEY,0)),""))</f>
        <v/>
      </c>
      <c r="S92" s="45" t="str">
        <f aca="false">IF($A92="","",IFERROR(INDEX(LOT_DECISION,MATCH($A92,LOT_KEY,0)),""))</f>
        <v/>
      </c>
      <c r="T92" s="44" t="n">
        <f aca="false">IF($S92="BLOQUER",MAX(0,$N92),0)</f>
        <v>0</v>
      </c>
      <c r="U92" s="46" t="str">
        <f aca="false">IF($A92="","",IF($N92&lt;-0.001,"STOCK NEGATIF - ANOMALIE",IF($T92&gt;0,"BLOQUE QUALITE","")))</f>
        <v/>
      </c>
    </row>
    <row r="93" customFormat="false" ht="15" hidden="false" customHeight="false" outlineLevel="0" collapsed="false">
      <c r="A93" s="41" t="str">
        <f aca="false">IF(LOTS!$A83="","",LOTS!$A83)</f>
        <v/>
      </c>
      <c r="B93" s="42" t="n">
        <f aca="false">IF(OR($A93="",B$14=""),0,SUMIFS(MVT_NET,MVT_LOT,$A93,MVT_EMPL,B$14))</f>
        <v>0</v>
      </c>
      <c r="C93" s="42" t="n">
        <f aca="false">IF(OR($A93="",C$14=""),0,SUMIFS(MVT_NET,MVT_LOT,$A93,MVT_EMPL,C$14))</f>
        <v>0</v>
      </c>
      <c r="D93" s="42" t="n">
        <f aca="false">IF(OR($A93="",D$14=""),0,SUMIFS(MVT_NET,MVT_LOT,$A93,MVT_EMPL,D$14))</f>
        <v>0</v>
      </c>
      <c r="E93" s="42" t="n">
        <f aca="false">IF(OR($A93="",E$14=""),0,SUMIFS(MVT_NET,MVT_LOT,$A93,MVT_EMPL,E$14))</f>
        <v>0</v>
      </c>
      <c r="F93" s="42" t="n">
        <f aca="false">IF(OR($A93="",F$14=""),0,SUMIFS(MVT_NET,MVT_LOT,$A93,MVT_EMPL,F$14))</f>
        <v>0</v>
      </c>
      <c r="G93" s="42" t="n">
        <f aca="false">IF(OR($A93="",G$14=""),0,SUMIFS(MVT_NET,MVT_LOT,$A93,MVT_EMPL,G$14))</f>
        <v>0</v>
      </c>
      <c r="H93" s="42" t="n">
        <f aca="false">IF(OR($A93="",H$14=""),0,SUMIFS(MVT_NET,MVT_LOT,$A93,MVT_EMPL,H$14))</f>
        <v>0</v>
      </c>
      <c r="I93" s="42" t="n">
        <f aca="false">IF(OR($A93="",I$14=""),0,SUMIFS(MVT_NET,MVT_LOT,$A93,MVT_EMPL,I$14))</f>
        <v>0</v>
      </c>
      <c r="J93" s="42" t="n">
        <f aca="false">IF(OR($A93="",J$14=""),0,SUMIFS(MVT_NET,MVT_LOT,$A93,MVT_EMPL,J$14))</f>
        <v>0</v>
      </c>
      <c r="K93" s="42" t="n">
        <f aca="false">IF(OR($A93="",K$14=""),0,SUMIFS(MVT_NET,MVT_LOT,$A93,MVT_EMPL,K$14))</f>
        <v>0</v>
      </c>
      <c r="L93" s="42" t="n">
        <f aca="false">IF(OR($A93="",L$14=""),0,SUMIFS(MVT_NET,MVT_LOT,$A93,MVT_EMPL,L$14))</f>
        <v>0</v>
      </c>
      <c r="M93" s="42" t="n">
        <f aca="false">IF(OR($A93="",M$14=""),0,SUMIFS(MVT_NET,MVT_LOT,$A93,MVT_EMPL,M$14))</f>
        <v>0</v>
      </c>
      <c r="N93" s="43" t="n">
        <f aca="false">SUM($B93:$M93)</f>
        <v>0</v>
      </c>
      <c r="O93" s="44" t="n">
        <f aca="false">SUMPRODUCT(($B$13:$M$13="INTERNE")*$B93:$M93)</f>
        <v>0</v>
      </c>
      <c r="P93" s="44" t="n">
        <f aca="false">SUMPRODUCT(($B$13:$M$13="EXTERNE")*$B93:$M93)</f>
        <v>0</v>
      </c>
      <c r="Q93" s="44" t="n">
        <f aca="false">IF($A93="",0,SUMIFS(ST_ENCOURS,ST_LOT,$A93))</f>
        <v>0</v>
      </c>
      <c r="R93" s="45" t="str">
        <f aca="false">IF($A93="","",IFERROR(INDEX(LOT_EXTE,MATCH($A93,LOT_KEY,0)),""))</f>
        <v/>
      </c>
      <c r="S93" s="45" t="str">
        <f aca="false">IF($A93="","",IFERROR(INDEX(LOT_DECISION,MATCH($A93,LOT_KEY,0)),""))</f>
        <v/>
      </c>
      <c r="T93" s="44" t="n">
        <f aca="false">IF($S93="BLOQUER",MAX(0,$N93),0)</f>
        <v>0</v>
      </c>
      <c r="U93" s="46" t="str">
        <f aca="false">IF($A93="","",IF($N93&lt;-0.001,"STOCK NEGATIF - ANOMALIE",IF($T93&gt;0,"BLOQUE QUALITE","")))</f>
        <v/>
      </c>
    </row>
    <row r="94" customFormat="false" ht="15" hidden="false" customHeight="false" outlineLevel="0" collapsed="false">
      <c r="A94" s="41" t="str">
        <f aca="false">IF(LOTS!$A84="","",LOTS!$A84)</f>
        <v/>
      </c>
      <c r="B94" s="42" t="n">
        <f aca="false">IF(OR($A94="",B$14=""),0,SUMIFS(MVT_NET,MVT_LOT,$A94,MVT_EMPL,B$14))</f>
        <v>0</v>
      </c>
      <c r="C94" s="42" t="n">
        <f aca="false">IF(OR($A94="",C$14=""),0,SUMIFS(MVT_NET,MVT_LOT,$A94,MVT_EMPL,C$14))</f>
        <v>0</v>
      </c>
      <c r="D94" s="42" t="n">
        <f aca="false">IF(OR($A94="",D$14=""),0,SUMIFS(MVT_NET,MVT_LOT,$A94,MVT_EMPL,D$14))</f>
        <v>0</v>
      </c>
      <c r="E94" s="42" t="n">
        <f aca="false">IF(OR($A94="",E$14=""),0,SUMIFS(MVT_NET,MVT_LOT,$A94,MVT_EMPL,E$14))</f>
        <v>0</v>
      </c>
      <c r="F94" s="42" t="n">
        <f aca="false">IF(OR($A94="",F$14=""),0,SUMIFS(MVT_NET,MVT_LOT,$A94,MVT_EMPL,F$14))</f>
        <v>0</v>
      </c>
      <c r="G94" s="42" t="n">
        <f aca="false">IF(OR($A94="",G$14=""),0,SUMIFS(MVT_NET,MVT_LOT,$A94,MVT_EMPL,G$14))</f>
        <v>0</v>
      </c>
      <c r="H94" s="42" t="n">
        <f aca="false">IF(OR($A94="",H$14=""),0,SUMIFS(MVT_NET,MVT_LOT,$A94,MVT_EMPL,H$14))</f>
        <v>0</v>
      </c>
      <c r="I94" s="42" t="n">
        <f aca="false">IF(OR($A94="",I$14=""),0,SUMIFS(MVT_NET,MVT_LOT,$A94,MVT_EMPL,I$14))</f>
        <v>0</v>
      </c>
      <c r="J94" s="42" t="n">
        <f aca="false">IF(OR($A94="",J$14=""),0,SUMIFS(MVT_NET,MVT_LOT,$A94,MVT_EMPL,J$14))</f>
        <v>0</v>
      </c>
      <c r="K94" s="42" t="n">
        <f aca="false">IF(OR($A94="",K$14=""),0,SUMIFS(MVT_NET,MVT_LOT,$A94,MVT_EMPL,K$14))</f>
        <v>0</v>
      </c>
      <c r="L94" s="42" t="n">
        <f aca="false">IF(OR($A94="",L$14=""),0,SUMIFS(MVT_NET,MVT_LOT,$A94,MVT_EMPL,L$14))</f>
        <v>0</v>
      </c>
      <c r="M94" s="42" t="n">
        <f aca="false">IF(OR($A94="",M$14=""),0,SUMIFS(MVT_NET,MVT_LOT,$A94,MVT_EMPL,M$14))</f>
        <v>0</v>
      </c>
      <c r="N94" s="43" t="n">
        <f aca="false">SUM($B94:$M94)</f>
        <v>0</v>
      </c>
      <c r="O94" s="44" t="n">
        <f aca="false">SUMPRODUCT(($B$13:$M$13="INTERNE")*$B94:$M94)</f>
        <v>0</v>
      </c>
      <c r="P94" s="44" t="n">
        <f aca="false">SUMPRODUCT(($B$13:$M$13="EXTERNE")*$B94:$M94)</f>
        <v>0</v>
      </c>
      <c r="Q94" s="44" t="n">
        <f aca="false">IF($A94="",0,SUMIFS(ST_ENCOURS,ST_LOT,$A94))</f>
        <v>0</v>
      </c>
      <c r="R94" s="45" t="str">
        <f aca="false">IF($A94="","",IFERROR(INDEX(LOT_EXTE,MATCH($A94,LOT_KEY,0)),""))</f>
        <v/>
      </c>
      <c r="S94" s="45" t="str">
        <f aca="false">IF($A94="","",IFERROR(INDEX(LOT_DECISION,MATCH($A94,LOT_KEY,0)),""))</f>
        <v/>
      </c>
      <c r="T94" s="44" t="n">
        <f aca="false">IF($S94="BLOQUER",MAX(0,$N94),0)</f>
        <v>0</v>
      </c>
      <c r="U94" s="46" t="str">
        <f aca="false">IF($A94="","",IF($N94&lt;-0.001,"STOCK NEGATIF - ANOMALIE",IF($T94&gt;0,"BLOQUE QUALITE","")))</f>
        <v/>
      </c>
    </row>
    <row r="95" customFormat="false" ht="15" hidden="false" customHeight="false" outlineLevel="0" collapsed="false">
      <c r="A95" s="41" t="str">
        <f aca="false">IF(LOTS!$A85="","",LOTS!$A85)</f>
        <v/>
      </c>
      <c r="B95" s="42" t="n">
        <f aca="false">IF(OR($A95="",B$14=""),0,SUMIFS(MVT_NET,MVT_LOT,$A95,MVT_EMPL,B$14))</f>
        <v>0</v>
      </c>
      <c r="C95" s="42" t="n">
        <f aca="false">IF(OR($A95="",C$14=""),0,SUMIFS(MVT_NET,MVT_LOT,$A95,MVT_EMPL,C$14))</f>
        <v>0</v>
      </c>
      <c r="D95" s="42" t="n">
        <f aca="false">IF(OR($A95="",D$14=""),0,SUMIFS(MVT_NET,MVT_LOT,$A95,MVT_EMPL,D$14))</f>
        <v>0</v>
      </c>
      <c r="E95" s="42" t="n">
        <f aca="false">IF(OR($A95="",E$14=""),0,SUMIFS(MVT_NET,MVT_LOT,$A95,MVT_EMPL,E$14))</f>
        <v>0</v>
      </c>
      <c r="F95" s="42" t="n">
        <f aca="false">IF(OR($A95="",F$14=""),0,SUMIFS(MVT_NET,MVT_LOT,$A95,MVT_EMPL,F$14))</f>
        <v>0</v>
      </c>
      <c r="G95" s="42" t="n">
        <f aca="false">IF(OR($A95="",G$14=""),0,SUMIFS(MVT_NET,MVT_LOT,$A95,MVT_EMPL,G$14))</f>
        <v>0</v>
      </c>
      <c r="H95" s="42" t="n">
        <f aca="false">IF(OR($A95="",H$14=""),0,SUMIFS(MVT_NET,MVT_LOT,$A95,MVT_EMPL,H$14))</f>
        <v>0</v>
      </c>
      <c r="I95" s="42" t="n">
        <f aca="false">IF(OR($A95="",I$14=""),0,SUMIFS(MVT_NET,MVT_LOT,$A95,MVT_EMPL,I$14))</f>
        <v>0</v>
      </c>
      <c r="J95" s="42" t="n">
        <f aca="false">IF(OR($A95="",J$14=""),0,SUMIFS(MVT_NET,MVT_LOT,$A95,MVT_EMPL,J$14))</f>
        <v>0</v>
      </c>
      <c r="K95" s="42" t="n">
        <f aca="false">IF(OR($A95="",K$14=""),0,SUMIFS(MVT_NET,MVT_LOT,$A95,MVT_EMPL,K$14))</f>
        <v>0</v>
      </c>
      <c r="L95" s="42" t="n">
        <f aca="false">IF(OR($A95="",L$14=""),0,SUMIFS(MVT_NET,MVT_LOT,$A95,MVT_EMPL,L$14))</f>
        <v>0</v>
      </c>
      <c r="M95" s="42" t="n">
        <f aca="false">IF(OR($A95="",M$14=""),0,SUMIFS(MVT_NET,MVT_LOT,$A95,MVT_EMPL,M$14))</f>
        <v>0</v>
      </c>
      <c r="N95" s="43" t="n">
        <f aca="false">SUM($B95:$M95)</f>
        <v>0</v>
      </c>
      <c r="O95" s="44" t="n">
        <f aca="false">SUMPRODUCT(($B$13:$M$13="INTERNE")*$B95:$M95)</f>
        <v>0</v>
      </c>
      <c r="P95" s="44" t="n">
        <f aca="false">SUMPRODUCT(($B$13:$M$13="EXTERNE")*$B95:$M95)</f>
        <v>0</v>
      </c>
      <c r="Q95" s="44" t="n">
        <f aca="false">IF($A95="",0,SUMIFS(ST_ENCOURS,ST_LOT,$A95))</f>
        <v>0</v>
      </c>
      <c r="R95" s="45" t="str">
        <f aca="false">IF($A95="","",IFERROR(INDEX(LOT_EXTE,MATCH($A95,LOT_KEY,0)),""))</f>
        <v/>
      </c>
      <c r="S95" s="45" t="str">
        <f aca="false">IF($A95="","",IFERROR(INDEX(LOT_DECISION,MATCH($A95,LOT_KEY,0)),""))</f>
        <v/>
      </c>
      <c r="T95" s="44" t="n">
        <f aca="false">IF($S95="BLOQUER",MAX(0,$N95),0)</f>
        <v>0</v>
      </c>
      <c r="U95" s="46" t="str">
        <f aca="false">IF($A95="","",IF($N95&lt;-0.001,"STOCK NEGATIF - ANOMALIE",IF($T95&gt;0,"BLOQUE QUALITE","")))</f>
        <v/>
      </c>
    </row>
    <row r="96" customFormat="false" ht="15" hidden="false" customHeight="false" outlineLevel="0" collapsed="false">
      <c r="A96" s="41" t="str">
        <f aca="false">IF(LOTS!$A86="","",LOTS!$A86)</f>
        <v/>
      </c>
      <c r="B96" s="42" t="n">
        <f aca="false">IF(OR($A96="",B$14=""),0,SUMIFS(MVT_NET,MVT_LOT,$A96,MVT_EMPL,B$14))</f>
        <v>0</v>
      </c>
      <c r="C96" s="42" t="n">
        <f aca="false">IF(OR($A96="",C$14=""),0,SUMIFS(MVT_NET,MVT_LOT,$A96,MVT_EMPL,C$14))</f>
        <v>0</v>
      </c>
      <c r="D96" s="42" t="n">
        <f aca="false">IF(OR($A96="",D$14=""),0,SUMIFS(MVT_NET,MVT_LOT,$A96,MVT_EMPL,D$14))</f>
        <v>0</v>
      </c>
      <c r="E96" s="42" t="n">
        <f aca="false">IF(OR($A96="",E$14=""),0,SUMIFS(MVT_NET,MVT_LOT,$A96,MVT_EMPL,E$14))</f>
        <v>0</v>
      </c>
      <c r="F96" s="42" t="n">
        <f aca="false">IF(OR($A96="",F$14=""),0,SUMIFS(MVT_NET,MVT_LOT,$A96,MVT_EMPL,F$14))</f>
        <v>0</v>
      </c>
      <c r="G96" s="42" t="n">
        <f aca="false">IF(OR($A96="",G$14=""),0,SUMIFS(MVT_NET,MVT_LOT,$A96,MVT_EMPL,G$14))</f>
        <v>0</v>
      </c>
      <c r="H96" s="42" t="n">
        <f aca="false">IF(OR($A96="",H$14=""),0,SUMIFS(MVT_NET,MVT_LOT,$A96,MVT_EMPL,H$14))</f>
        <v>0</v>
      </c>
      <c r="I96" s="42" t="n">
        <f aca="false">IF(OR($A96="",I$14=""),0,SUMIFS(MVT_NET,MVT_LOT,$A96,MVT_EMPL,I$14))</f>
        <v>0</v>
      </c>
      <c r="J96" s="42" t="n">
        <f aca="false">IF(OR($A96="",J$14=""),0,SUMIFS(MVT_NET,MVT_LOT,$A96,MVT_EMPL,J$14))</f>
        <v>0</v>
      </c>
      <c r="K96" s="42" t="n">
        <f aca="false">IF(OR($A96="",K$14=""),0,SUMIFS(MVT_NET,MVT_LOT,$A96,MVT_EMPL,K$14))</f>
        <v>0</v>
      </c>
      <c r="L96" s="42" t="n">
        <f aca="false">IF(OR($A96="",L$14=""),0,SUMIFS(MVT_NET,MVT_LOT,$A96,MVT_EMPL,L$14))</f>
        <v>0</v>
      </c>
      <c r="M96" s="42" t="n">
        <f aca="false">IF(OR($A96="",M$14=""),0,SUMIFS(MVT_NET,MVT_LOT,$A96,MVT_EMPL,M$14))</f>
        <v>0</v>
      </c>
      <c r="N96" s="43" t="n">
        <f aca="false">SUM($B96:$M96)</f>
        <v>0</v>
      </c>
      <c r="O96" s="44" t="n">
        <f aca="false">SUMPRODUCT(($B$13:$M$13="INTERNE")*$B96:$M96)</f>
        <v>0</v>
      </c>
      <c r="P96" s="44" t="n">
        <f aca="false">SUMPRODUCT(($B$13:$M$13="EXTERNE")*$B96:$M96)</f>
        <v>0</v>
      </c>
      <c r="Q96" s="44" t="n">
        <f aca="false">IF($A96="",0,SUMIFS(ST_ENCOURS,ST_LOT,$A96))</f>
        <v>0</v>
      </c>
      <c r="R96" s="45" t="str">
        <f aca="false">IF($A96="","",IFERROR(INDEX(LOT_EXTE,MATCH($A96,LOT_KEY,0)),""))</f>
        <v/>
      </c>
      <c r="S96" s="45" t="str">
        <f aca="false">IF($A96="","",IFERROR(INDEX(LOT_DECISION,MATCH($A96,LOT_KEY,0)),""))</f>
        <v/>
      </c>
      <c r="T96" s="44" t="n">
        <f aca="false">IF($S96="BLOQUER",MAX(0,$N96),0)</f>
        <v>0</v>
      </c>
      <c r="U96" s="46" t="str">
        <f aca="false">IF($A96="","",IF($N96&lt;-0.001,"STOCK NEGATIF - ANOMALIE",IF($T96&gt;0,"BLOQUE QUALITE","")))</f>
        <v/>
      </c>
    </row>
    <row r="97" customFormat="false" ht="15" hidden="false" customHeight="false" outlineLevel="0" collapsed="false">
      <c r="A97" s="41" t="str">
        <f aca="false">IF(LOTS!$A87="","",LOTS!$A87)</f>
        <v/>
      </c>
      <c r="B97" s="42" t="n">
        <f aca="false">IF(OR($A97="",B$14=""),0,SUMIFS(MVT_NET,MVT_LOT,$A97,MVT_EMPL,B$14))</f>
        <v>0</v>
      </c>
      <c r="C97" s="42" t="n">
        <f aca="false">IF(OR($A97="",C$14=""),0,SUMIFS(MVT_NET,MVT_LOT,$A97,MVT_EMPL,C$14))</f>
        <v>0</v>
      </c>
      <c r="D97" s="42" t="n">
        <f aca="false">IF(OR($A97="",D$14=""),0,SUMIFS(MVT_NET,MVT_LOT,$A97,MVT_EMPL,D$14))</f>
        <v>0</v>
      </c>
      <c r="E97" s="42" t="n">
        <f aca="false">IF(OR($A97="",E$14=""),0,SUMIFS(MVT_NET,MVT_LOT,$A97,MVT_EMPL,E$14))</f>
        <v>0</v>
      </c>
      <c r="F97" s="42" t="n">
        <f aca="false">IF(OR($A97="",F$14=""),0,SUMIFS(MVT_NET,MVT_LOT,$A97,MVT_EMPL,F$14))</f>
        <v>0</v>
      </c>
      <c r="G97" s="42" t="n">
        <f aca="false">IF(OR($A97="",G$14=""),0,SUMIFS(MVT_NET,MVT_LOT,$A97,MVT_EMPL,G$14))</f>
        <v>0</v>
      </c>
      <c r="H97" s="42" t="n">
        <f aca="false">IF(OR($A97="",H$14=""),0,SUMIFS(MVT_NET,MVT_LOT,$A97,MVT_EMPL,H$14))</f>
        <v>0</v>
      </c>
      <c r="I97" s="42" t="n">
        <f aca="false">IF(OR($A97="",I$14=""),0,SUMIFS(MVT_NET,MVT_LOT,$A97,MVT_EMPL,I$14))</f>
        <v>0</v>
      </c>
      <c r="J97" s="42" t="n">
        <f aca="false">IF(OR($A97="",J$14=""),0,SUMIFS(MVT_NET,MVT_LOT,$A97,MVT_EMPL,J$14))</f>
        <v>0</v>
      </c>
      <c r="K97" s="42" t="n">
        <f aca="false">IF(OR($A97="",K$14=""),0,SUMIFS(MVT_NET,MVT_LOT,$A97,MVT_EMPL,K$14))</f>
        <v>0</v>
      </c>
      <c r="L97" s="42" t="n">
        <f aca="false">IF(OR($A97="",L$14=""),0,SUMIFS(MVT_NET,MVT_LOT,$A97,MVT_EMPL,L$14))</f>
        <v>0</v>
      </c>
      <c r="M97" s="42" t="n">
        <f aca="false">IF(OR($A97="",M$14=""),0,SUMIFS(MVT_NET,MVT_LOT,$A97,MVT_EMPL,M$14))</f>
        <v>0</v>
      </c>
      <c r="N97" s="43" t="n">
        <f aca="false">SUM($B97:$M97)</f>
        <v>0</v>
      </c>
      <c r="O97" s="44" t="n">
        <f aca="false">SUMPRODUCT(($B$13:$M$13="INTERNE")*$B97:$M97)</f>
        <v>0</v>
      </c>
      <c r="P97" s="44" t="n">
        <f aca="false">SUMPRODUCT(($B$13:$M$13="EXTERNE")*$B97:$M97)</f>
        <v>0</v>
      </c>
      <c r="Q97" s="44" t="n">
        <f aca="false">IF($A97="",0,SUMIFS(ST_ENCOURS,ST_LOT,$A97))</f>
        <v>0</v>
      </c>
      <c r="R97" s="45" t="str">
        <f aca="false">IF($A97="","",IFERROR(INDEX(LOT_EXTE,MATCH($A97,LOT_KEY,0)),""))</f>
        <v/>
      </c>
      <c r="S97" s="45" t="str">
        <f aca="false">IF($A97="","",IFERROR(INDEX(LOT_DECISION,MATCH($A97,LOT_KEY,0)),""))</f>
        <v/>
      </c>
      <c r="T97" s="44" t="n">
        <f aca="false">IF($S97="BLOQUER",MAX(0,$N97),0)</f>
        <v>0</v>
      </c>
      <c r="U97" s="46" t="str">
        <f aca="false">IF($A97="","",IF($N97&lt;-0.001,"STOCK NEGATIF - ANOMALIE",IF($T97&gt;0,"BLOQUE QUALITE","")))</f>
        <v/>
      </c>
    </row>
    <row r="98" customFormat="false" ht="15" hidden="false" customHeight="false" outlineLevel="0" collapsed="false">
      <c r="A98" s="41" t="str">
        <f aca="false">IF(LOTS!$A88="","",LOTS!$A88)</f>
        <v/>
      </c>
      <c r="B98" s="42" t="n">
        <f aca="false">IF(OR($A98="",B$14=""),0,SUMIFS(MVT_NET,MVT_LOT,$A98,MVT_EMPL,B$14))</f>
        <v>0</v>
      </c>
      <c r="C98" s="42" t="n">
        <f aca="false">IF(OR($A98="",C$14=""),0,SUMIFS(MVT_NET,MVT_LOT,$A98,MVT_EMPL,C$14))</f>
        <v>0</v>
      </c>
      <c r="D98" s="42" t="n">
        <f aca="false">IF(OR($A98="",D$14=""),0,SUMIFS(MVT_NET,MVT_LOT,$A98,MVT_EMPL,D$14))</f>
        <v>0</v>
      </c>
      <c r="E98" s="42" t="n">
        <f aca="false">IF(OR($A98="",E$14=""),0,SUMIFS(MVT_NET,MVT_LOT,$A98,MVT_EMPL,E$14))</f>
        <v>0</v>
      </c>
      <c r="F98" s="42" t="n">
        <f aca="false">IF(OR($A98="",F$14=""),0,SUMIFS(MVT_NET,MVT_LOT,$A98,MVT_EMPL,F$14))</f>
        <v>0</v>
      </c>
      <c r="G98" s="42" t="n">
        <f aca="false">IF(OR($A98="",G$14=""),0,SUMIFS(MVT_NET,MVT_LOT,$A98,MVT_EMPL,G$14))</f>
        <v>0</v>
      </c>
      <c r="H98" s="42" t="n">
        <f aca="false">IF(OR($A98="",H$14=""),0,SUMIFS(MVT_NET,MVT_LOT,$A98,MVT_EMPL,H$14))</f>
        <v>0</v>
      </c>
      <c r="I98" s="42" t="n">
        <f aca="false">IF(OR($A98="",I$14=""),0,SUMIFS(MVT_NET,MVT_LOT,$A98,MVT_EMPL,I$14))</f>
        <v>0</v>
      </c>
      <c r="J98" s="42" t="n">
        <f aca="false">IF(OR($A98="",J$14=""),0,SUMIFS(MVT_NET,MVT_LOT,$A98,MVT_EMPL,J$14))</f>
        <v>0</v>
      </c>
      <c r="K98" s="42" t="n">
        <f aca="false">IF(OR($A98="",K$14=""),0,SUMIFS(MVT_NET,MVT_LOT,$A98,MVT_EMPL,K$14))</f>
        <v>0</v>
      </c>
      <c r="L98" s="42" t="n">
        <f aca="false">IF(OR($A98="",L$14=""),0,SUMIFS(MVT_NET,MVT_LOT,$A98,MVT_EMPL,L$14))</f>
        <v>0</v>
      </c>
      <c r="M98" s="42" t="n">
        <f aca="false">IF(OR($A98="",M$14=""),0,SUMIFS(MVT_NET,MVT_LOT,$A98,MVT_EMPL,M$14))</f>
        <v>0</v>
      </c>
      <c r="N98" s="43" t="n">
        <f aca="false">SUM($B98:$M98)</f>
        <v>0</v>
      </c>
      <c r="O98" s="44" t="n">
        <f aca="false">SUMPRODUCT(($B$13:$M$13="INTERNE")*$B98:$M98)</f>
        <v>0</v>
      </c>
      <c r="P98" s="44" t="n">
        <f aca="false">SUMPRODUCT(($B$13:$M$13="EXTERNE")*$B98:$M98)</f>
        <v>0</v>
      </c>
      <c r="Q98" s="44" t="n">
        <f aca="false">IF($A98="",0,SUMIFS(ST_ENCOURS,ST_LOT,$A98))</f>
        <v>0</v>
      </c>
      <c r="R98" s="45" t="str">
        <f aca="false">IF($A98="","",IFERROR(INDEX(LOT_EXTE,MATCH($A98,LOT_KEY,0)),""))</f>
        <v/>
      </c>
      <c r="S98" s="45" t="str">
        <f aca="false">IF($A98="","",IFERROR(INDEX(LOT_DECISION,MATCH($A98,LOT_KEY,0)),""))</f>
        <v/>
      </c>
      <c r="T98" s="44" t="n">
        <f aca="false">IF($S98="BLOQUER",MAX(0,$N98),0)</f>
        <v>0</v>
      </c>
      <c r="U98" s="46" t="str">
        <f aca="false">IF($A98="","",IF($N98&lt;-0.001,"STOCK NEGATIF - ANOMALIE",IF($T98&gt;0,"BLOQUE QUALITE","")))</f>
        <v/>
      </c>
    </row>
    <row r="99" customFormat="false" ht="15" hidden="false" customHeight="false" outlineLevel="0" collapsed="false">
      <c r="A99" s="41" t="str">
        <f aca="false">IF(LOTS!$A89="","",LOTS!$A89)</f>
        <v/>
      </c>
      <c r="B99" s="42" t="n">
        <f aca="false">IF(OR($A99="",B$14=""),0,SUMIFS(MVT_NET,MVT_LOT,$A99,MVT_EMPL,B$14))</f>
        <v>0</v>
      </c>
      <c r="C99" s="42" t="n">
        <f aca="false">IF(OR($A99="",C$14=""),0,SUMIFS(MVT_NET,MVT_LOT,$A99,MVT_EMPL,C$14))</f>
        <v>0</v>
      </c>
      <c r="D99" s="42" t="n">
        <f aca="false">IF(OR($A99="",D$14=""),0,SUMIFS(MVT_NET,MVT_LOT,$A99,MVT_EMPL,D$14))</f>
        <v>0</v>
      </c>
      <c r="E99" s="42" t="n">
        <f aca="false">IF(OR($A99="",E$14=""),0,SUMIFS(MVT_NET,MVT_LOT,$A99,MVT_EMPL,E$14))</f>
        <v>0</v>
      </c>
      <c r="F99" s="42" t="n">
        <f aca="false">IF(OR($A99="",F$14=""),0,SUMIFS(MVT_NET,MVT_LOT,$A99,MVT_EMPL,F$14))</f>
        <v>0</v>
      </c>
      <c r="G99" s="42" t="n">
        <f aca="false">IF(OR($A99="",G$14=""),0,SUMIFS(MVT_NET,MVT_LOT,$A99,MVT_EMPL,G$14))</f>
        <v>0</v>
      </c>
      <c r="H99" s="42" t="n">
        <f aca="false">IF(OR($A99="",H$14=""),0,SUMIFS(MVT_NET,MVT_LOT,$A99,MVT_EMPL,H$14))</f>
        <v>0</v>
      </c>
      <c r="I99" s="42" t="n">
        <f aca="false">IF(OR($A99="",I$14=""),0,SUMIFS(MVT_NET,MVT_LOT,$A99,MVT_EMPL,I$14))</f>
        <v>0</v>
      </c>
      <c r="J99" s="42" t="n">
        <f aca="false">IF(OR($A99="",J$14=""),0,SUMIFS(MVT_NET,MVT_LOT,$A99,MVT_EMPL,J$14))</f>
        <v>0</v>
      </c>
      <c r="K99" s="42" t="n">
        <f aca="false">IF(OR($A99="",K$14=""),0,SUMIFS(MVT_NET,MVT_LOT,$A99,MVT_EMPL,K$14))</f>
        <v>0</v>
      </c>
      <c r="L99" s="42" t="n">
        <f aca="false">IF(OR($A99="",L$14=""),0,SUMIFS(MVT_NET,MVT_LOT,$A99,MVT_EMPL,L$14))</f>
        <v>0</v>
      </c>
      <c r="M99" s="42" t="n">
        <f aca="false">IF(OR($A99="",M$14=""),0,SUMIFS(MVT_NET,MVT_LOT,$A99,MVT_EMPL,M$14))</f>
        <v>0</v>
      </c>
      <c r="N99" s="43" t="n">
        <f aca="false">SUM($B99:$M99)</f>
        <v>0</v>
      </c>
      <c r="O99" s="44" t="n">
        <f aca="false">SUMPRODUCT(($B$13:$M$13="INTERNE")*$B99:$M99)</f>
        <v>0</v>
      </c>
      <c r="P99" s="44" t="n">
        <f aca="false">SUMPRODUCT(($B$13:$M$13="EXTERNE")*$B99:$M99)</f>
        <v>0</v>
      </c>
      <c r="Q99" s="44" t="n">
        <f aca="false">IF($A99="",0,SUMIFS(ST_ENCOURS,ST_LOT,$A99))</f>
        <v>0</v>
      </c>
      <c r="R99" s="45" t="str">
        <f aca="false">IF($A99="","",IFERROR(INDEX(LOT_EXTE,MATCH($A99,LOT_KEY,0)),""))</f>
        <v/>
      </c>
      <c r="S99" s="45" t="str">
        <f aca="false">IF($A99="","",IFERROR(INDEX(LOT_DECISION,MATCH($A99,LOT_KEY,0)),""))</f>
        <v/>
      </c>
      <c r="T99" s="44" t="n">
        <f aca="false">IF($S99="BLOQUER",MAX(0,$N99),0)</f>
        <v>0</v>
      </c>
      <c r="U99" s="46" t="str">
        <f aca="false">IF($A99="","",IF($N99&lt;-0.001,"STOCK NEGATIF - ANOMALIE",IF($T99&gt;0,"BLOQUE QUALITE","")))</f>
        <v/>
      </c>
    </row>
    <row r="100" customFormat="false" ht="15" hidden="false" customHeight="false" outlineLevel="0" collapsed="false">
      <c r="A100" s="41" t="str">
        <f aca="false">IF(LOTS!$A90="","",LOTS!$A90)</f>
        <v/>
      </c>
      <c r="B100" s="42" t="n">
        <f aca="false">IF(OR($A100="",B$14=""),0,SUMIFS(MVT_NET,MVT_LOT,$A100,MVT_EMPL,B$14))</f>
        <v>0</v>
      </c>
      <c r="C100" s="42" t="n">
        <f aca="false">IF(OR($A100="",C$14=""),0,SUMIFS(MVT_NET,MVT_LOT,$A100,MVT_EMPL,C$14))</f>
        <v>0</v>
      </c>
      <c r="D100" s="42" t="n">
        <f aca="false">IF(OR($A100="",D$14=""),0,SUMIFS(MVT_NET,MVT_LOT,$A100,MVT_EMPL,D$14))</f>
        <v>0</v>
      </c>
      <c r="E100" s="42" t="n">
        <f aca="false">IF(OR($A100="",E$14=""),0,SUMIFS(MVT_NET,MVT_LOT,$A100,MVT_EMPL,E$14))</f>
        <v>0</v>
      </c>
      <c r="F100" s="42" t="n">
        <f aca="false">IF(OR($A100="",F$14=""),0,SUMIFS(MVT_NET,MVT_LOT,$A100,MVT_EMPL,F$14))</f>
        <v>0</v>
      </c>
      <c r="G100" s="42" t="n">
        <f aca="false">IF(OR($A100="",G$14=""),0,SUMIFS(MVT_NET,MVT_LOT,$A100,MVT_EMPL,G$14))</f>
        <v>0</v>
      </c>
      <c r="H100" s="42" t="n">
        <f aca="false">IF(OR($A100="",H$14=""),0,SUMIFS(MVT_NET,MVT_LOT,$A100,MVT_EMPL,H$14))</f>
        <v>0</v>
      </c>
      <c r="I100" s="42" t="n">
        <f aca="false">IF(OR($A100="",I$14=""),0,SUMIFS(MVT_NET,MVT_LOT,$A100,MVT_EMPL,I$14))</f>
        <v>0</v>
      </c>
      <c r="J100" s="42" t="n">
        <f aca="false">IF(OR($A100="",J$14=""),0,SUMIFS(MVT_NET,MVT_LOT,$A100,MVT_EMPL,J$14))</f>
        <v>0</v>
      </c>
      <c r="K100" s="42" t="n">
        <f aca="false">IF(OR($A100="",K$14=""),0,SUMIFS(MVT_NET,MVT_LOT,$A100,MVT_EMPL,K$14))</f>
        <v>0</v>
      </c>
      <c r="L100" s="42" t="n">
        <f aca="false">IF(OR($A100="",L$14=""),0,SUMIFS(MVT_NET,MVT_LOT,$A100,MVT_EMPL,L$14))</f>
        <v>0</v>
      </c>
      <c r="M100" s="42" t="n">
        <f aca="false">IF(OR($A100="",M$14=""),0,SUMIFS(MVT_NET,MVT_LOT,$A100,MVT_EMPL,M$14))</f>
        <v>0</v>
      </c>
      <c r="N100" s="43" t="n">
        <f aca="false">SUM($B100:$M100)</f>
        <v>0</v>
      </c>
      <c r="O100" s="44" t="n">
        <f aca="false">SUMPRODUCT(($B$13:$M$13="INTERNE")*$B100:$M100)</f>
        <v>0</v>
      </c>
      <c r="P100" s="44" t="n">
        <f aca="false">SUMPRODUCT(($B$13:$M$13="EXTERNE")*$B100:$M100)</f>
        <v>0</v>
      </c>
      <c r="Q100" s="44" t="n">
        <f aca="false">IF($A100="",0,SUMIFS(ST_ENCOURS,ST_LOT,$A100))</f>
        <v>0</v>
      </c>
      <c r="R100" s="45" t="str">
        <f aca="false">IF($A100="","",IFERROR(INDEX(LOT_EXTE,MATCH($A100,LOT_KEY,0)),""))</f>
        <v/>
      </c>
      <c r="S100" s="45" t="str">
        <f aca="false">IF($A100="","",IFERROR(INDEX(LOT_DECISION,MATCH($A100,LOT_KEY,0)),""))</f>
        <v/>
      </c>
      <c r="T100" s="44" t="n">
        <f aca="false">IF($S100="BLOQUER",MAX(0,$N100),0)</f>
        <v>0</v>
      </c>
      <c r="U100" s="46" t="str">
        <f aca="false">IF($A100="","",IF($N100&lt;-0.001,"STOCK NEGATIF - ANOMALIE",IF($T100&gt;0,"BLOQUE QUALITE","")))</f>
        <v/>
      </c>
    </row>
    <row r="101" customFormat="false" ht="15" hidden="false" customHeight="false" outlineLevel="0" collapsed="false">
      <c r="A101" s="41" t="str">
        <f aca="false">IF(LOTS!$A91="","",LOTS!$A91)</f>
        <v/>
      </c>
      <c r="B101" s="42" t="n">
        <f aca="false">IF(OR($A101="",B$14=""),0,SUMIFS(MVT_NET,MVT_LOT,$A101,MVT_EMPL,B$14))</f>
        <v>0</v>
      </c>
      <c r="C101" s="42" t="n">
        <f aca="false">IF(OR($A101="",C$14=""),0,SUMIFS(MVT_NET,MVT_LOT,$A101,MVT_EMPL,C$14))</f>
        <v>0</v>
      </c>
      <c r="D101" s="42" t="n">
        <f aca="false">IF(OR($A101="",D$14=""),0,SUMIFS(MVT_NET,MVT_LOT,$A101,MVT_EMPL,D$14))</f>
        <v>0</v>
      </c>
      <c r="E101" s="42" t="n">
        <f aca="false">IF(OR($A101="",E$14=""),0,SUMIFS(MVT_NET,MVT_LOT,$A101,MVT_EMPL,E$14))</f>
        <v>0</v>
      </c>
      <c r="F101" s="42" t="n">
        <f aca="false">IF(OR($A101="",F$14=""),0,SUMIFS(MVT_NET,MVT_LOT,$A101,MVT_EMPL,F$14))</f>
        <v>0</v>
      </c>
      <c r="G101" s="42" t="n">
        <f aca="false">IF(OR($A101="",G$14=""),0,SUMIFS(MVT_NET,MVT_LOT,$A101,MVT_EMPL,G$14))</f>
        <v>0</v>
      </c>
      <c r="H101" s="42" t="n">
        <f aca="false">IF(OR($A101="",H$14=""),0,SUMIFS(MVT_NET,MVT_LOT,$A101,MVT_EMPL,H$14))</f>
        <v>0</v>
      </c>
      <c r="I101" s="42" t="n">
        <f aca="false">IF(OR($A101="",I$14=""),0,SUMIFS(MVT_NET,MVT_LOT,$A101,MVT_EMPL,I$14))</f>
        <v>0</v>
      </c>
      <c r="J101" s="42" t="n">
        <f aca="false">IF(OR($A101="",J$14=""),0,SUMIFS(MVT_NET,MVT_LOT,$A101,MVT_EMPL,J$14))</f>
        <v>0</v>
      </c>
      <c r="K101" s="42" t="n">
        <f aca="false">IF(OR($A101="",K$14=""),0,SUMIFS(MVT_NET,MVT_LOT,$A101,MVT_EMPL,K$14))</f>
        <v>0</v>
      </c>
      <c r="L101" s="42" t="n">
        <f aca="false">IF(OR($A101="",L$14=""),0,SUMIFS(MVT_NET,MVT_LOT,$A101,MVT_EMPL,L$14))</f>
        <v>0</v>
      </c>
      <c r="M101" s="42" t="n">
        <f aca="false">IF(OR($A101="",M$14=""),0,SUMIFS(MVT_NET,MVT_LOT,$A101,MVT_EMPL,M$14))</f>
        <v>0</v>
      </c>
      <c r="N101" s="43" t="n">
        <f aca="false">SUM($B101:$M101)</f>
        <v>0</v>
      </c>
      <c r="O101" s="44" t="n">
        <f aca="false">SUMPRODUCT(($B$13:$M$13="INTERNE")*$B101:$M101)</f>
        <v>0</v>
      </c>
      <c r="P101" s="44" t="n">
        <f aca="false">SUMPRODUCT(($B$13:$M$13="EXTERNE")*$B101:$M101)</f>
        <v>0</v>
      </c>
      <c r="Q101" s="44" t="n">
        <f aca="false">IF($A101="",0,SUMIFS(ST_ENCOURS,ST_LOT,$A101))</f>
        <v>0</v>
      </c>
      <c r="R101" s="45" t="str">
        <f aca="false">IF($A101="","",IFERROR(INDEX(LOT_EXTE,MATCH($A101,LOT_KEY,0)),""))</f>
        <v/>
      </c>
      <c r="S101" s="45" t="str">
        <f aca="false">IF($A101="","",IFERROR(INDEX(LOT_DECISION,MATCH($A101,LOT_KEY,0)),""))</f>
        <v/>
      </c>
      <c r="T101" s="44" t="n">
        <f aca="false">IF($S101="BLOQUER",MAX(0,$N101),0)</f>
        <v>0</v>
      </c>
      <c r="U101" s="46" t="str">
        <f aca="false">IF($A101="","",IF($N101&lt;-0.001,"STOCK NEGATIF - ANOMALIE",IF($T101&gt;0,"BLOQUE QUALITE","")))</f>
        <v/>
      </c>
    </row>
    <row r="102" customFormat="false" ht="15" hidden="false" customHeight="false" outlineLevel="0" collapsed="false">
      <c r="A102" s="41" t="str">
        <f aca="false">IF(LOTS!$A92="","",LOTS!$A92)</f>
        <v/>
      </c>
      <c r="B102" s="42" t="n">
        <f aca="false">IF(OR($A102="",B$14=""),0,SUMIFS(MVT_NET,MVT_LOT,$A102,MVT_EMPL,B$14))</f>
        <v>0</v>
      </c>
      <c r="C102" s="42" t="n">
        <f aca="false">IF(OR($A102="",C$14=""),0,SUMIFS(MVT_NET,MVT_LOT,$A102,MVT_EMPL,C$14))</f>
        <v>0</v>
      </c>
      <c r="D102" s="42" t="n">
        <f aca="false">IF(OR($A102="",D$14=""),0,SUMIFS(MVT_NET,MVT_LOT,$A102,MVT_EMPL,D$14))</f>
        <v>0</v>
      </c>
      <c r="E102" s="42" t="n">
        <f aca="false">IF(OR($A102="",E$14=""),0,SUMIFS(MVT_NET,MVT_LOT,$A102,MVT_EMPL,E$14))</f>
        <v>0</v>
      </c>
      <c r="F102" s="42" t="n">
        <f aca="false">IF(OR($A102="",F$14=""),0,SUMIFS(MVT_NET,MVT_LOT,$A102,MVT_EMPL,F$14))</f>
        <v>0</v>
      </c>
      <c r="G102" s="42" t="n">
        <f aca="false">IF(OR($A102="",G$14=""),0,SUMIFS(MVT_NET,MVT_LOT,$A102,MVT_EMPL,G$14))</f>
        <v>0</v>
      </c>
      <c r="H102" s="42" t="n">
        <f aca="false">IF(OR($A102="",H$14=""),0,SUMIFS(MVT_NET,MVT_LOT,$A102,MVT_EMPL,H$14))</f>
        <v>0</v>
      </c>
      <c r="I102" s="42" t="n">
        <f aca="false">IF(OR($A102="",I$14=""),0,SUMIFS(MVT_NET,MVT_LOT,$A102,MVT_EMPL,I$14))</f>
        <v>0</v>
      </c>
      <c r="J102" s="42" t="n">
        <f aca="false">IF(OR($A102="",J$14=""),0,SUMIFS(MVT_NET,MVT_LOT,$A102,MVT_EMPL,J$14))</f>
        <v>0</v>
      </c>
      <c r="K102" s="42" t="n">
        <f aca="false">IF(OR($A102="",K$14=""),0,SUMIFS(MVT_NET,MVT_LOT,$A102,MVT_EMPL,K$14))</f>
        <v>0</v>
      </c>
      <c r="L102" s="42" t="n">
        <f aca="false">IF(OR($A102="",L$14=""),0,SUMIFS(MVT_NET,MVT_LOT,$A102,MVT_EMPL,L$14))</f>
        <v>0</v>
      </c>
      <c r="M102" s="42" t="n">
        <f aca="false">IF(OR($A102="",M$14=""),0,SUMIFS(MVT_NET,MVT_LOT,$A102,MVT_EMPL,M$14))</f>
        <v>0</v>
      </c>
      <c r="N102" s="43" t="n">
        <f aca="false">SUM($B102:$M102)</f>
        <v>0</v>
      </c>
      <c r="O102" s="44" t="n">
        <f aca="false">SUMPRODUCT(($B$13:$M$13="INTERNE")*$B102:$M102)</f>
        <v>0</v>
      </c>
      <c r="P102" s="44" t="n">
        <f aca="false">SUMPRODUCT(($B$13:$M$13="EXTERNE")*$B102:$M102)</f>
        <v>0</v>
      </c>
      <c r="Q102" s="44" t="n">
        <f aca="false">IF($A102="",0,SUMIFS(ST_ENCOURS,ST_LOT,$A102))</f>
        <v>0</v>
      </c>
      <c r="R102" s="45" t="str">
        <f aca="false">IF($A102="","",IFERROR(INDEX(LOT_EXTE,MATCH($A102,LOT_KEY,0)),""))</f>
        <v/>
      </c>
      <c r="S102" s="45" t="str">
        <f aca="false">IF($A102="","",IFERROR(INDEX(LOT_DECISION,MATCH($A102,LOT_KEY,0)),""))</f>
        <v/>
      </c>
      <c r="T102" s="44" t="n">
        <f aca="false">IF($S102="BLOQUER",MAX(0,$N102),0)</f>
        <v>0</v>
      </c>
      <c r="U102" s="46" t="str">
        <f aca="false">IF($A102="","",IF($N102&lt;-0.001,"STOCK NEGATIF - ANOMALIE",IF($T102&gt;0,"BLOQUE QUALITE","")))</f>
        <v/>
      </c>
    </row>
    <row r="103" customFormat="false" ht="15" hidden="false" customHeight="false" outlineLevel="0" collapsed="false">
      <c r="A103" s="41" t="str">
        <f aca="false">IF(LOTS!$A93="","",LOTS!$A93)</f>
        <v/>
      </c>
      <c r="B103" s="42" t="n">
        <f aca="false">IF(OR($A103="",B$14=""),0,SUMIFS(MVT_NET,MVT_LOT,$A103,MVT_EMPL,B$14))</f>
        <v>0</v>
      </c>
      <c r="C103" s="42" t="n">
        <f aca="false">IF(OR($A103="",C$14=""),0,SUMIFS(MVT_NET,MVT_LOT,$A103,MVT_EMPL,C$14))</f>
        <v>0</v>
      </c>
      <c r="D103" s="42" t="n">
        <f aca="false">IF(OR($A103="",D$14=""),0,SUMIFS(MVT_NET,MVT_LOT,$A103,MVT_EMPL,D$14))</f>
        <v>0</v>
      </c>
      <c r="E103" s="42" t="n">
        <f aca="false">IF(OR($A103="",E$14=""),0,SUMIFS(MVT_NET,MVT_LOT,$A103,MVT_EMPL,E$14))</f>
        <v>0</v>
      </c>
      <c r="F103" s="42" t="n">
        <f aca="false">IF(OR($A103="",F$14=""),0,SUMIFS(MVT_NET,MVT_LOT,$A103,MVT_EMPL,F$14))</f>
        <v>0</v>
      </c>
      <c r="G103" s="42" t="n">
        <f aca="false">IF(OR($A103="",G$14=""),0,SUMIFS(MVT_NET,MVT_LOT,$A103,MVT_EMPL,G$14))</f>
        <v>0</v>
      </c>
      <c r="H103" s="42" t="n">
        <f aca="false">IF(OR($A103="",H$14=""),0,SUMIFS(MVT_NET,MVT_LOT,$A103,MVT_EMPL,H$14))</f>
        <v>0</v>
      </c>
      <c r="I103" s="42" t="n">
        <f aca="false">IF(OR($A103="",I$14=""),0,SUMIFS(MVT_NET,MVT_LOT,$A103,MVT_EMPL,I$14))</f>
        <v>0</v>
      </c>
      <c r="J103" s="42" t="n">
        <f aca="false">IF(OR($A103="",J$14=""),0,SUMIFS(MVT_NET,MVT_LOT,$A103,MVT_EMPL,J$14))</f>
        <v>0</v>
      </c>
      <c r="K103" s="42" t="n">
        <f aca="false">IF(OR($A103="",K$14=""),0,SUMIFS(MVT_NET,MVT_LOT,$A103,MVT_EMPL,K$14))</f>
        <v>0</v>
      </c>
      <c r="L103" s="42" t="n">
        <f aca="false">IF(OR($A103="",L$14=""),0,SUMIFS(MVT_NET,MVT_LOT,$A103,MVT_EMPL,L$14))</f>
        <v>0</v>
      </c>
      <c r="M103" s="42" t="n">
        <f aca="false">IF(OR($A103="",M$14=""),0,SUMIFS(MVT_NET,MVT_LOT,$A103,MVT_EMPL,M$14))</f>
        <v>0</v>
      </c>
      <c r="N103" s="43" t="n">
        <f aca="false">SUM($B103:$M103)</f>
        <v>0</v>
      </c>
      <c r="O103" s="44" t="n">
        <f aca="false">SUMPRODUCT(($B$13:$M$13="INTERNE")*$B103:$M103)</f>
        <v>0</v>
      </c>
      <c r="P103" s="44" t="n">
        <f aca="false">SUMPRODUCT(($B$13:$M$13="EXTERNE")*$B103:$M103)</f>
        <v>0</v>
      </c>
      <c r="Q103" s="44" t="n">
        <f aca="false">IF($A103="",0,SUMIFS(ST_ENCOURS,ST_LOT,$A103))</f>
        <v>0</v>
      </c>
      <c r="R103" s="45" t="str">
        <f aca="false">IF($A103="","",IFERROR(INDEX(LOT_EXTE,MATCH($A103,LOT_KEY,0)),""))</f>
        <v/>
      </c>
      <c r="S103" s="45" t="str">
        <f aca="false">IF($A103="","",IFERROR(INDEX(LOT_DECISION,MATCH($A103,LOT_KEY,0)),""))</f>
        <v/>
      </c>
      <c r="T103" s="44" t="n">
        <f aca="false">IF($S103="BLOQUER",MAX(0,$N103),0)</f>
        <v>0</v>
      </c>
      <c r="U103" s="46" t="str">
        <f aca="false">IF($A103="","",IF($N103&lt;-0.001,"STOCK NEGATIF - ANOMALIE",IF($T103&gt;0,"BLOQUE QUALITE","")))</f>
        <v/>
      </c>
    </row>
    <row r="104" customFormat="false" ht="15" hidden="false" customHeight="false" outlineLevel="0" collapsed="false">
      <c r="A104" s="41" t="str">
        <f aca="false">IF(LOTS!$A94="","",LOTS!$A94)</f>
        <v/>
      </c>
      <c r="B104" s="42" t="n">
        <f aca="false">IF(OR($A104="",B$14=""),0,SUMIFS(MVT_NET,MVT_LOT,$A104,MVT_EMPL,B$14))</f>
        <v>0</v>
      </c>
      <c r="C104" s="42" t="n">
        <f aca="false">IF(OR($A104="",C$14=""),0,SUMIFS(MVT_NET,MVT_LOT,$A104,MVT_EMPL,C$14))</f>
        <v>0</v>
      </c>
      <c r="D104" s="42" t="n">
        <f aca="false">IF(OR($A104="",D$14=""),0,SUMIFS(MVT_NET,MVT_LOT,$A104,MVT_EMPL,D$14))</f>
        <v>0</v>
      </c>
      <c r="E104" s="42" t="n">
        <f aca="false">IF(OR($A104="",E$14=""),0,SUMIFS(MVT_NET,MVT_LOT,$A104,MVT_EMPL,E$14))</f>
        <v>0</v>
      </c>
      <c r="F104" s="42" t="n">
        <f aca="false">IF(OR($A104="",F$14=""),0,SUMIFS(MVT_NET,MVT_LOT,$A104,MVT_EMPL,F$14))</f>
        <v>0</v>
      </c>
      <c r="G104" s="42" t="n">
        <f aca="false">IF(OR($A104="",G$14=""),0,SUMIFS(MVT_NET,MVT_LOT,$A104,MVT_EMPL,G$14))</f>
        <v>0</v>
      </c>
      <c r="H104" s="42" t="n">
        <f aca="false">IF(OR($A104="",H$14=""),0,SUMIFS(MVT_NET,MVT_LOT,$A104,MVT_EMPL,H$14))</f>
        <v>0</v>
      </c>
      <c r="I104" s="42" t="n">
        <f aca="false">IF(OR($A104="",I$14=""),0,SUMIFS(MVT_NET,MVT_LOT,$A104,MVT_EMPL,I$14))</f>
        <v>0</v>
      </c>
      <c r="J104" s="42" t="n">
        <f aca="false">IF(OR($A104="",J$14=""),0,SUMIFS(MVT_NET,MVT_LOT,$A104,MVT_EMPL,J$14))</f>
        <v>0</v>
      </c>
      <c r="K104" s="42" t="n">
        <f aca="false">IF(OR($A104="",K$14=""),0,SUMIFS(MVT_NET,MVT_LOT,$A104,MVT_EMPL,K$14))</f>
        <v>0</v>
      </c>
      <c r="L104" s="42" t="n">
        <f aca="false">IF(OR($A104="",L$14=""),0,SUMIFS(MVT_NET,MVT_LOT,$A104,MVT_EMPL,L$14))</f>
        <v>0</v>
      </c>
      <c r="M104" s="42" t="n">
        <f aca="false">IF(OR($A104="",M$14=""),0,SUMIFS(MVT_NET,MVT_LOT,$A104,MVT_EMPL,M$14))</f>
        <v>0</v>
      </c>
      <c r="N104" s="43" t="n">
        <f aca="false">SUM($B104:$M104)</f>
        <v>0</v>
      </c>
      <c r="O104" s="44" t="n">
        <f aca="false">SUMPRODUCT(($B$13:$M$13="INTERNE")*$B104:$M104)</f>
        <v>0</v>
      </c>
      <c r="P104" s="44" t="n">
        <f aca="false">SUMPRODUCT(($B$13:$M$13="EXTERNE")*$B104:$M104)</f>
        <v>0</v>
      </c>
      <c r="Q104" s="44" t="n">
        <f aca="false">IF($A104="",0,SUMIFS(ST_ENCOURS,ST_LOT,$A104))</f>
        <v>0</v>
      </c>
      <c r="R104" s="45" t="str">
        <f aca="false">IF($A104="","",IFERROR(INDEX(LOT_EXTE,MATCH($A104,LOT_KEY,0)),""))</f>
        <v/>
      </c>
      <c r="S104" s="45" t="str">
        <f aca="false">IF($A104="","",IFERROR(INDEX(LOT_DECISION,MATCH($A104,LOT_KEY,0)),""))</f>
        <v/>
      </c>
      <c r="T104" s="44" t="n">
        <f aca="false">IF($S104="BLOQUER",MAX(0,$N104),0)</f>
        <v>0</v>
      </c>
      <c r="U104" s="46" t="str">
        <f aca="false">IF($A104="","",IF($N104&lt;-0.001,"STOCK NEGATIF - ANOMALIE",IF($T104&gt;0,"BLOQUE QUALITE","")))</f>
        <v/>
      </c>
    </row>
    <row r="105" customFormat="false" ht="15" hidden="false" customHeight="false" outlineLevel="0" collapsed="false">
      <c r="A105" s="41" t="str">
        <f aca="false">IF(LOTS!$A95="","",LOTS!$A95)</f>
        <v/>
      </c>
      <c r="B105" s="42" t="n">
        <f aca="false">IF(OR($A105="",B$14=""),0,SUMIFS(MVT_NET,MVT_LOT,$A105,MVT_EMPL,B$14))</f>
        <v>0</v>
      </c>
      <c r="C105" s="42" t="n">
        <f aca="false">IF(OR($A105="",C$14=""),0,SUMIFS(MVT_NET,MVT_LOT,$A105,MVT_EMPL,C$14))</f>
        <v>0</v>
      </c>
      <c r="D105" s="42" t="n">
        <f aca="false">IF(OR($A105="",D$14=""),0,SUMIFS(MVT_NET,MVT_LOT,$A105,MVT_EMPL,D$14))</f>
        <v>0</v>
      </c>
      <c r="E105" s="42" t="n">
        <f aca="false">IF(OR($A105="",E$14=""),0,SUMIFS(MVT_NET,MVT_LOT,$A105,MVT_EMPL,E$14))</f>
        <v>0</v>
      </c>
      <c r="F105" s="42" t="n">
        <f aca="false">IF(OR($A105="",F$14=""),0,SUMIFS(MVT_NET,MVT_LOT,$A105,MVT_EMPL,F$14))</f>
        <v>0</v>
      </c>
      <c r="G105" s="42" t="n">
        <f aca="false">IF(OR($A105="",G$14=""),0,SUMIFS(MVT_NET,MVT_LOT,$A105,MVT_EMPL,G$14))</f>
        <v>0</v>
      </c>
      <c r="H105" s="42" t="n">
        <f aca="false">IF(OR($A105="",H$14=""),0,SUMIFS(MVT_NET,MVT_LOT,$A105,MVT_EMPL,H$14))</f>
        <v>0</v>
      </c>
      <c r="I105" s="42" t="n">
        <f aca="false">IF(OR($A105="",I$14=""),0,SUMIFS(MVT_NET,MVT_LOT,$A105,MVT_EMPL,I$14))</f>
        <v>0</v>
      </c>
      <c r="J105" s="42" t="n">
        <f aca="false">IF(OR($A105="",J$14=""),0,SUMIFS(MVT_NET,MVT_LOT,$A105,MVT_EMPL,J$14))</f>
        <v>0</v>
      </c>
      <c r="K105" s="42" t="n">
        <f aca="false">IF(OR($A105="",K$14=""),0,SUMIFS(MVT_NET,MVT_LOT,$A105,MVT_EMPL,K$14))</f>
        <v>0</v>
      </c>
      <c r="L105" s="42" t="n">
        <f aca="false">IF(OR($A105="",L$14=""),0,SUMIFS(MVT_NET,MVT_LOT,$A105,MVT_EMPL,L$14))</f>
        <v>0</v>
      </c>
      <c r="M105" s="42" t="n">
        <f aca="false">IF(OR($A105="",M$14=""),0,SUMIFS(MVT_NET,MVT_LOT,$A105,MVT_EMPL,M$14))</f>
        <v>0</v>
      </c>
      <c r="N105" s="43" t="n">
        <f aca="false">SUM($B105:$M105)</f>
        <v>0</v>
      </c>
      <c r="O105" s="44" t="n">
        <f aca="false">SUMPRODUCT(($B$13:$M$13="INTERNE")*$B105:$M105)</f>
        <v>0</v>
      </c>
      <c r="P105" s="44" t="n">
        <f aca="false">SUMPRODUCT(($B$13:$M$13="EXTERNE")*$B105:$M105)</f>
        <v>0</v>
      </c>
      <c r="Q105" s="44" t="n">
        <f aca="false">IF($A105="",0,SUMIFS(ST_ENCOURS,ST_LOT,$A105))</f>
        <v>0</v>
      </c>
      <c r="R105" s="45" t="str">
        <f aca="false">IF($A105="","",IFERROR(INDEX(LOT_EXTE,MATCH($A105,LOT_KEY,0)),""))</f>
        <v/>
      </c>
      <c r="S105" s="45" t="str">
        <f aca="false">IF($A105="","",IFERROR(INDEX(LOT_DECISION,MATCH($A105,LOT_KEY,0)),""))</f>
        <v/>
      </c>
      <c r="T105" s="44" t="n">
        <f aca="false">IF($S105="BLOQUER",MAX(0,$N105),0)</f>
        <v>0</v>
      </c>
      <c r="U105" s="46" t="str">
        <f aca="false">IF($A105="","",IF($N105&lt;-0.001,"STOCK NEGATIF - ANOMALIE",IF($T105&gt;0,"BLOQUE QUALITE","")))</f>
        <v/>
      </c>
    </row>
    <row r="106" customFormat="false" ht="15" hidden="false" customHeight="false" outlineLevel="0" collapsed="false">
      <c r="A106" s="41" t="str">
        <f aca="false">IF(LOTS!$A96="","",LOTS!$A96)</f>
        <v/>
      </c>
      <c r="B106" s="42" t="n">
        <f aca="false">IF(OR($A106="",B$14=""),0,SUMIFS(MVT_NET,MVT_LOT,$A106,MVT_EMPL,B$14))</f>
        <v>0</v>
      </c>
      <c r="C106" s="42" t="n">
        <f aca="false">IF(OR($A106="",C$14=""),0,SUMIFS(MVT_NET,MVT_LOT,$A106,MVT_EMPL,C$14))</f>
        <v>0</v>
      </c>
      <c r="D106" s="42" t="n">
        <f aca="false">IF(OR($A106="",D$14=""),0,SUMIFS(MVT_NET,MVT_LOT,$A106,MVT_EMPL,D$14))</f>
        <v>0</v>
      </c>
      <c r="E106" s="42" t="n">
        <f aca="false">IF(OR($A106="",E$14=""),0,SUMIFS(MVT_NET,MVT_LOT,$A106,MVT_EMPL,E$14))</f>
        <v>0</v>
      </c>
      <c r="F106" s="42" t="n">
        <f aca="false">IF(OR($A106="",F$14=""),0,SUMIFS(MVT_NET,MVT_LOT,$A106,MVT_EMPL,F$14))</f>
        <v>0</v>
      </c>
      <c r="G106" s="42" t="n">
        <f aca="false">IF(OR($A106="",G$14=""),0,SUMIFS(MVT_NET,MVT_LOT,$A106,MVT_EMPL,G$14))</f>
        <v>0</v>
      </c>
      <c r="H106" s="42" t="n">
        <f aca="false">IF(OR($A106="",H$14=""),0,SUMIFS(MVT_NET,MVT_LOT,$A106,MVT_EMPL,H$14))</f>
        <v>0</v>
      </c>
      <c r="I106" s="42" t="n">
        <f aca="false">IF(OR($A106="",I$14=""),0,SUMIFS(MVT_NET,MVT_LOT,$A106,MVT_EMPL,I$14))</f>
        <v>0</v>
      </c>
      <c r="J106" s="42" t="n">
        <f aca="false">IF(OR($A106="",J$14=""),0,SUMIFS(MVT_NET,MVT_LOT,$A106,MVT_EMPL,J$14))</f>
        <v>0</v>
      </c>
      <c r="K106" s="42" t="n">
        <f aca="false">IF(OR($A106="",K$14=""),0,SUMIFS(MVT_NET,MVT_LOT,$A106,MVT_EMPL,K$14))</f>
        <v>0</v>
      </c>
      <c r="L106" s="42" t="n">
        <f aca="false">IF(OR($A106="",L$14=""),0,SUMIFS(MVT_NET,MVT_LOT,$A106,MVT_EMPL,L$14))</f>
        <v>0</v>
      </c>
      <c r="M106" s="42" t="n">
        <f aca="false">IF(OR($A106="",M$14=""),0,SUMIFS(MVT_NET,MVT_LOT,$A106,MVT_EMPL,M$14))</f>
        <v>0</v>
      </c>
      <c r="N106" s="43" t="n">
        <f aca="false">SUM($B106:$M106)</f>
        <v>0</v>
      </c>
      <c r="O106" s="44" t="n">
        <f aca="false">SUMPRODUCT(($B$13:$M$13="INTERNE")*$B106:$M106)</f>
        <v>0</v>
      </c>
      <c r="P106" s="44" t="n">
        <f aca="false">SUMPRODUCT(($B$13:$M$13="EXTERNE")*$B106:$M106)</f>
        <v>0</v>
      </c>
      <c r="Q106" s="44" t="n">
        <f aca="false">IF($A106="",0,SUMIFS(ST_ENCOURS,ST_LOT,$A106))</f>
        <v>0</v>
      </c>
      <c r="R106" s="45" t="str">
        <f aca="false">IF($A106="","",IFERROR(INDEX(LOT_EXTE,MATCH($A106,LOT_KEY,0)),""))</f>
        <v/>
      </c>
      <c r="S106" s="45" t="str">
        <f aca="false">IF($A106="","",IFERROR(INDEX(LOT_DECISION,MATCH($A106,LOT_KEY,0)),""))</f>
        <v/>
      </c>
      <c r="T106" s="44" t="n">
        <f aca="false">IF($S106="BLOQUER",MAX(0,$N106),0)</f>
        <v>0</v>
      </c>
      <c r="U106" s="46" t="str">
        <f aca="false">IF($A106="","",IF($N106&lt;-0.001,"STOCK NEGATIF - ANOMALIE",IF($T106&gt;0,"BLOQUE QUALITE","")))</f>
        <v/>
      </c>
    </row>
    <row r="107" customFormat="false" ht="15" hidden="false" customHeight="false" outlineLevel="0" collapsed="false">
      <c r="A107" s="41" t="str">
        <f aca="false">IF(LOTS!$A97="","",LOTS!$A97)</f>
        <v/>
      </c>
      <c r="B107" s="42" t="n">
        <f aca="false">IF(OR($A107="",B$14=""),0,SUMIFS(MVT_NET,MVT_LOT,$A107,MVT_EMPL,B$14))</f>
        <v>0</v>
      </c>
      <c r="C107" s="42" t="n">
        <f aca="false">IF(OR($A107="",C$14=""),0,SUMIFS(MVT_NET,MVT_LOT,$A107,MVT_EMPL,C$14))</f>
        <v>0</v>
      </c>
      <c r="D107" s="42" t="n">
        <f aca="false">IF(OR($A107="",D$14=""),0,SUMIFS(MVT_NET,MVT_LOT,$A107,MVT_EMPL,D$14))</f>
        <v>0</v>
      </c>
      <c r="E107" s="42" t="n">
        <f aca="false">IF(OR($A107="",E$14=""),0,SUMIFS(MVT_NET,MVT_LOT,$A107,MVT_EMPL,E$14))</f>
        <v>0</v>
      </c>
      <c r="F107" s="42" t="n">
        <f aca="false">IF(OR($A107="",F$14=""),0,SUMIFS(MVT_NET,MVT_LOT,$A107,MVT_EMPL,F$14))</f>
        <v>0</v>
      </c>
      <c r="G107" s="42" t="n">
        <f aca="false">IF(OR($A107="",G$14=""),0,SUMIFS(MVT_NET,MVT_LOT,$A107,MVT_EMPL,G$14))</f>
        <v>0</v>
      </c>
      <c r="H107" s="42" t="n">
        <f aca="false">IF(OR($A107="",H$14=""),0,SUMIFS(MVT_NET,MVT_LOT,$A107,MVT_EMPL,H$14))</f>
        <v>0</v>
      </c>
      <c r="I107" s="42" t="n">
        <f aca="false">IF(OR($A107="",I$14=""),0,SUMIFS(MVT_NET,MVT_LOT,$A107,MVT_EMPL,I$14))</f>
        <v>0</v>
      </c>
      <c r="J107" s="42" t="n">
        <f aca="false">IF(OR($A107="",J$14=""),0,SUMIFS(MVT_NET,MVT_LOT,$A107,MVT_EMPL,J$14))</f>
        <v>0</v>
      </c>
      <c r="K107" s="42" t="n">
        <f aca="false">IF(OR($A107="",K$14=""),0,SUMIFS(MVT_NET,MVT_LOT,$A107,MVT_EMPL,K$14))</f>
        <v>0</v>
      </c>
      <c r="L107" s="42" t="n">
        <f aca="false">IF(OR($A107="",L$14=""),0,SUMIFS(MVT_NET,MVT_LOT,$A107,MVT_EMPL,L$14))</f>
        <v>0</v>
      </c>
      <c r="M107" s="42" t="n">
        <f aca="false">IF(OR($A107="",M$14=""),0,SUMIFS(MVT_NET,MVT_LOT,$A107,MVT_EMPL,M$14))</f>
        <v>0</v>
      </c>
      <c r="N107" s="43" t="n">
        <f aca="false">SUM($B107:$M107)</f>
        <v>0</v>
      </c>
      <c r="O107" s="44" t="n">
        <f aca="false">SUMPRODUCT(($B$13:$M$13="INTERNE")*$B107:$M107)</f>
        <v>0</v>
      </c>
      <c r="P107" s="44" t="n">
        <f aca="false">SUMPRODUCT(($B$13:$M$13="EXTERNE")*$B107:$M107)</f>
        <v>0</v>
      </c>
      <c r="Q107" s="44" t="n">
        <f aca="false">IF($A107="",0,SUMIFS(ST_ENCOURS,ST_LOT,$A107))</f>
        <v>0</v>
      </c>
      <c r="R107" s="45" t="str">
        <f aca="false">IF($A107="","",IFERROR(INDEX(LOT_EXTE,MATCH($A107,LOT_KEY,0)),""))</f>
        <v/>
      </c>
      <c r="S107" s="45" t="str">
        <f aca="false">IF($A107="","",IFERROR(INDEX(LOT_DECISION,MATCH($A107,LOT_KEY,0)),""))</f>
        <v/>
      </c>
      <c r="T107" s="44" t="n">
        <f aca="false">IF($S107="BLOQUER",MAX(0,$N107),0)</f>
        <v>0</v>
      </c>
      <c r="U107" s="46" t="str">
        <f aca="false">IF($A107="","",IF($N107&lt;-0.001,"STOCK NEGATIF - ANOMALIE",IF($T107&gt;0,"BLOQUE QUALITE","")))</f>
        <v/>
      </c>
    </row>
    <row r="108" customFormat="false" ht="15" hidden="false" customHeight="false" outlineLevel="0" collapsed="false">
      <c r="A108" s="41" t="str">
        <f aca="false">IF(LOTS!$A98="","",LOTS!$A98)</f>
        <v/>
      </c>
      <c r="B108" s="42" t="n">
        <f aca="false">IF(OR($A108="",B$14=""),0,SUMIFS(MVT_NET,MVT_LOT,$A108,MVT_EMPL,B$14))</f>
        <v>0</v>
      </c>
      <c r="C108" s="42" t="n">
        <f aca="false">IF(OR($A108="",C$14=""),0,SUMIFS(MVT_NET,MVT_LOT,$A108,MVT_EMPL,C$14))</f>
        <v>0</v>
      </c>
      <c r="D108" s="42" t="n">
        <f aca="false">IF(OR($A108="",D$14=""),0,SUMIFS(MVT_NET,MVT_LOT,$A108,MVT_EMPL,D$14))</f>
        <v>0</v>
      </c>
      <c r="E108" s="42" t="n">
        <f aca="false">IF(OR($A108="",E$14=""),0,SUMIFS(MVT_NET,MVT_LOT,$A108,MVT_EMPL,E$14))</f>
        <v>0</v>
      </c>
      <c r="F108" s="42" t="n">
        <f aca="false">IF(OR($A108="",F$14=""),0,SUMIFS(MVT_NET,MVT_LOT,$A108,MVT_EMPL,F$14))</f>
        <v>0</v>
      </c>
      <c r="G108" s="42" t="n">
        <f aca="false">IF(OR($A108="",G$14=""),0,SUMIFS(MVT_NET,MVT_LOT,$A108,MVT_EMPL,G$14))</f>
        <v>0</v>
      </c>
      <c r="H108" s="42" t="n">
        <f aca="false">IF(OR($A108="",H$14=""),0,SUMIFS(MVT_NET,MVT_LOT,$A108,MVT_EMPL,H$14))</f>
        <v>0</v>
      </c>
      <c r="I108" s="42" t="n">
        <f aca="false">IF(OR($A108="",I$14=""),0,SUMIFS(MVT_NET,MVT_LOT,$A108,MVT_EMPL,I$14))</f>
        <v>0</v>
      </c>
      <c r="J108" s="42" t="n">
        <f aca="false">IF(OR($A108="",J$14=""),0,SUMIFS(MVT_NET,MVT_LOT,$A108,MVT_EMPL,J$14))</f>
        <v>0</v>
      </c>
      <c r="K108" s="42" t="n">
        <f aca="false">IF(OR($A108="",K$14=""),0,SUMIFS(MVT_NET,MVT_LOT,$A108,MVT_EMPL,K$14))</f>
        <v>0</v>
      </c>
      <c r="L108" s="42" t="n">
        <f aca="false">IF(OR($A108="",L$14=""),0,SUMIFS(MVT_NET,MVT_LOT,$A108,MVT_EMPL,L$14))</f>
        <v>0</v>
      </c>
      <c r="M108" s="42" t="n">
        <f aca="false">IF(OR($A108="",M$14=""),0,SUMIFS(MVT_NET,MVT_LOT,$A108,MVT_EMPL,M$14))</f>
        <v>0</v>
      </c>
      <c r="N108" s="43" t="n">
        <f aca="false">SUM($B108:$M108)</f>
        <v>0</v>
      </c>
      <c r="O108" s="44" t="n">
        <f aca="false">SUMPRODUCT(($B$13:$M$13="INTERNE")*$B108:$M108)</f>
        <v>0</v>
      </c>
      <c r="P108" s="44" t="n">
        <f aca="false">SUMPRODUCT(($B$13:$M$13="EXTERNE")*$B108:$M108)</f>
        <v>0</v>
      </c>
      <c r="Q108" s="44" t="n">
        <f aca="false">IF($A108="",0,SUMIFS(ST_ENCOURS,ST_LOT,$A108))</f>
        <v>0</v>
      </c>
      <c r="R108" s="45" t="str">
        <f aca="false">IF($A108="","",IFERROR(INDEX(LOT_EXTE,MATCH($A108,LOT_KEY,0)),""))</f>
        <v/>
      </c>
      <c r="S108" s="45" t="str">
        <f aca="false">IF($A108="","",IFERROR(INDEX(LOT_DECISION,MATCH($A108,LOT_KEY,0)),""))</f>
        <v/>
      </c>
      <c r="T108" s="44" t="n">
        <f aca="false">IF($S108="BLOQUER",MAX(0,$N108),0)</f>
        <v>0</v>
      </c>
      <c r="U108" s="46" t="str">
        <f aca="false">IF($A108="","",IF($N108&lt;-0.001,"STOCK NEGATIF - ANOMALIE",IF($T108&gt;0,"BLOQUE QUALITE","")))</f>
        <v/>
      </c>
    </row>
    <row r="109" customFormat="false" ht="15" hidden="false" customHeight="false" outlineLevel="0" collapsed="false">
      <c r="A109" s="41" t="str">
        <f aca="false">IF(LOTS!$A99="","",LOTS!$A99)</f>
        <v/>
      </c>
      <c r="B109" s="42" t="n">
        <f aca="false">IF(OR($A109="",B$14=""),0,SUMIFS(MVT_NET,MVT_LOT,$A109,MVT_EMPL,B$14))</f>
        <v>0</v>
      </c>
      <c r="C109" s="42" t="n">
        <f aca="false">IF(OR($A109="",C$14=""),0,SUMIFS(MVT_NET,MVT_LOT,$A109,MVT_EMPL,C$14))</f>
        <v>0</v>
      </c>
      <c r="D109" s="42" t="n">
        <f aca="false">IF(OR($A109="",D$14=""),0,SUMIFS(MVT_NET,MVT_LOT,$A109,MVT_EMPL,D$14))</f>
        <v>0</v>
      </c>
      <c r="E109" s="42" t="n">
        <f aca="false">IF(OR($A109="",E$14=""),0,SUMIFS(MVT_NET,MVT_LOT,$A109,MVT_EMPL,E$14))</f>
        <v>0</v>
      </c>
      <c r="F109" s="42" t="n">
        <f aca="false">IF(OR($A109="",F$14=""),0,SUMIFS(MVT_NET,MVT_LOT,$A109,MVT_EMPL,F$14))</f>
        <v>0</v>
      </c>
      <c r="G109" s="42" t="n">
        <f aca="false">IF(OR($A109="",G$14=""),0,SUMIFS(MVT_NET,MVT_LOT,$A109,MVT_EMPL,G$14))</f>
        <v>0</v>
      </c>
      <c r="H109" s="42" t="n">
        <f aca="false">IF(OR($A109="",H$14=""),0,SUMIFS(MVT_NET,MVT_LOT,$A109,MVT_EMPL,H$14))</f>
        <v>0</v>
      </c>
      <c r="I109" s="42" t="n">
        <f aca="false">IF(OR($A109="",I$14=""),0,SUMIFS(MVT_NET,MVT_LOT,$A109,MVT_EMPL,I$14))</f>
        <v>0</v>
      </c>
      <c r="J109" s="42" t="n">
        <f aca="false">IF(OR($A109="",J$14=""),0,SUMIFS(MVT_NET,MVT_LOT,$A109,MVT_EMPL,J$14))</f>
        <v>0</v>
      </c>
      <c r="K109" s="42" t="n">
        <f aca="false">IF(OR($A109="",K$14=""),0,SUMIFS(MVT_NET,MVT_LOT,$A109,MVT_EMPL,K$14))</f>
        <v>0</v>
      </c>
      <c r="L109" s="42" t="n">
        <f aca="false">IF(OR($A109="",L$14=""),0,SUMIFS(MVT_NET,MVT_LOT,$A109,MVT_EMPL,L$14))</f>
        <v>0</v>
      </c>
      <c r="M109" s="42" t="n">
        <f aca="false">IF(OR($A109="",M$14=""),0,SUMIFS(MVT_NET,MVT_LOT,$A109,MVT_EMPL,M$14))</f>
        <v>0</v>
      </c>
      <c r="N109" s="43" t="n">
        <f aca="false">SUM($B109:$M109)</f>
        <v>0</v>
      </c>
      <c r="O109" s="44" t="n">
        <f aca="false">SUMPRODUCT(($B$13:$M$13="INTERNE")*$B109:$M109)</f>
        <v>0</v>
      </c>
      <c r="P109" s="44" t="n">
        <f aca="false">SUMPRODUCT(($B$13:$M$13="EXTERNE")*$B109:$M109)</f>
        <v>0</v>
      </c>
      <c r="Q109" s="44" t="n">
        <f aca="false">IF($A109="",0,SUMIFS(ST_ENCOURS,ST_LOT,$A109))</f>
        <v>0</v>
      </c>
      <c r="R109" s="45" t="str">
        <f aca="false">IF($A109="","",IFERROR(INDEX(LOT_EXTE,MATCH($A109,LOT_KEY,0)),""))</f>
        <v/>
      </c>
      <c r="S109" s="45" t="str">
        <f aca="false">IF($A109="","",IFERROR(INDEX(LOT_DECISION,MATCH($A109,LOT_KEY,0)),""))</f>
        <v/>
      </c>
      <c r="T109" s="44" t="n">
        <f aca="false">IF($S109="BLOQUER",MAX(0,$N109),0)</f>
        <v>0</v>
      </c>
      <c r="U109" s="46" t="str">
        <f aca="false">IF($A109="","",IF($N109&lt;-0.001,"STOCK NEGATIF - ANOMALIE",IF($T109&gt;0,"BLOQUE QUALITE","")))</f>
        <v/>
      </c>
    </row>
    <row r="110" customFormat="false" ht="15" hidden="false" customHeight="false" outlineLevel="0" collapsed="false">
      <c r="A110" s="41" t="str">
        <f aca="false">IF(LOTS!$A100="","",LOTS!$A100)</f>
        <v/>
      </c>
      <c r="B110" s="42" t="n">
        <f aca="false">IF(OR($A110="",B$14=""),0,SUMIFS(MVT_NET,MVT_LOT,$A110,MVT_EMPL,B$14))</f>
        <v>0</v>
      </c>
      <c r="C110" s="42" t="n">
        <f aca="false">IF(OR($A110="",C$14=""),0,SUMIFS(MVT_NET,MVT_LOT,$A110,MVT_EMPL,C$14))</f>
        <v>0</v>
      </c>
      <c r="D110" s="42" t="n">
        <f aca="false">IF(OR($A110="",D$14=""),0,SUMIFS(MVT_NET,MVT_LOT,$A110,MVT_EMPL,D$14))</f>
        <v>0</v>
      </c>
      <c r="E110" s="42" t="n">
        <f aca="false">IF(OR($A110="",E$14=""),0,SUMIFS(MVT_NET,MVT_LOT,$A110,MVT_EMPL,E$14))</f>
        <v>0</v>
      </c>
      <c r="F110" s="42" t="n">
        <f aca="false">IF(OR($A110="",F$14=""),0,SUMIFS(MVT_NET,MVT_LOT,$A110,MVT_EMPL,F$14))</f>
        <v>0</v>
      </c>
      <c r="G110" s="42" t="n">
        <f aca="false">IF(OR($A110="",G$14=""),0,SUMIFS(MVT_NET,MVT_LOT,$A110,MVT_EMPL,G$14))</f>
        <v>0</v>
      </c>
      <c r="H110" s="42" t="n">
        <f aca="false">IF(OR($A110="",H$14=""),0,SUMIFS(MVT_NET,MVT_LOT,$A110,MVT_EMPL,H$14))</f>
        <v>0</v>
      </c>
      <c r="I110" s="42" t="n">
        <f aca="false">IF(OR($A110="",I$14=""),0,SUMIFS(MVT_NET,MVT_LOT,$A110,MVT_EMPL,I$14))</f>
        <v>0</v>
      </c>
      <c r="J110" s="42" t="n">
        <f aca="false">IF(OR($A110="",J$14=""),0,SUMIFS(MVT_NET,MVT_LOT,$A110,MVT_EMPL,J$14))</f>
        <v>0</v>
      </c>
      <c r="K110" s="42" t="n">
        <f aca="false">IF(OR($A110="",K$14=""),0,SUMIFS(MVT_NET,MVT_LOT,$A110,MVT_EMPL,K$14))</f>
        <v>0</v>
      </c>
      <c r="L110" s="42" t="n">
        <f aca="false">IF(OR($A110="",L$14=""),0,SUMIFS(MVT_NET,MVT_LOT,$A110,MVT_EMPL,L$14))</f>
        <v>0</v>
      </c>
      <c r="M110" s="42" t="n">
        <f aca="false">IF(OR($A110="",M$14=""),0,SUMIFS(MVT_NET,MVT_LOT,$A110,MVT_EMPL,M$14))</f>
        <v>0</v>
      </c>
      <c r="N110" s="43" t="n">
        <f aca="false">SUM($B110:$M110)</f>
        <v>0</v>
      </c>
      <c r="O110" s="44" t="n">
        <f aca="false">SUMPRODUCT(($B$13:$M$13="INTERNE")*$B110:$M110)</f>
        <v>0</v>
      </c>
      <c r="P110" s="44" t="n">
        <f aca="false">SUMPRODUCT(($B$13:$M$13="EXTERNE")*$B110:$M110)</f>
        <v>0</v>
      </c>
      <c r="Q110" s="44" t="n">
        <f aca="false">IF($A110="",0,SUMIFS(ST_ENCOURS,ST_LOT,$A110))</f>
        <v>0</v>
      </c>
      <c r="R110" s="45" t="str">
        <f aca="false">IF($A110="","",IFERROR(INDEX(LOT_EXTE,MATCH($A110,LOT_KEY,0)),""))</f>
        <v/>
      </c>
      <c r="S110" s="45" t="str">
        <f aca="false">IF($A110="","",IFERROR(INDEX(LOT_DECISION,MATCH($A110,LOT_KEY,0)),""))</f>
        <v/>
      </c>
      <c r="T110" s="44" t="n">
        <f aca="false">IF($S110="BLOQUER",MAX(0,$N110),0)</f>
        <v>0</v>
      </c>
      <c r="U110" s="46" t="str">
        <f aca="false">IF($A110="","",IF($N110&lt;-0.001,"STOCK NEGATIF - ANOMALIE",IF($T110&gt;0,"BLOQUE QUALITE","")))</f>
        <v/>
      </c>
    </row>
    <row r="111" customFormat="false" ht="15" hidden="false" customHeight="false" outlineLevel="0" collapsed="false">
      <c r="A111" s="41" t="str">
        <f aca="false">IF(LOTS!$A101="","",LOTS!$A101)</f>
        <v/>
      </c>
      <c r="B111" s="42" t="n">
        <f aca="false">IF(OR($A111="",B$14=""),0,SUMIFS(MVT_NET,MVT_LOT,$A111,MVT_EMPL,B$14))</f>
        <v>0</v>
      </c>
      <c r="C111" s="42" t="n">
        <f aca="false">IF(OR($A111="",C$14=""),0,SUMIFS(MVT_NET,MVT_LOT,$A111,MVT_EMPL,C$14))</f>
        <v>0</v>
      </c>
      <c r="D111" s="42" t="n">
        <f aca="false">IF(OR($A111="",D$14=""),0,SUMIFS(MVT_NET,MVT_LOT,$A111,MVT_EMPL,D$14))</f>
        <v>0</v>
      </c>
      <c r="E111" s="42" t="n">
        <f aca="false">IF(OR($A111="",E$14=""),0,SUMIFS(MVT_NET,MVT_LOT,$A111,MVT_EMPL,E$14))</f>
        <v>0</v>
      </c>
      <c r="F111" s="42" t="n">
        <f aca="false">IF(OR($A111="",F$14=""),0,SUMIFS(MVT_NET,MVT_LOT,$A111,MVT_EMPL,F$14))</f>
        <v>0</v>
      </c>
      <c r="G111" s="42" t="n">
        <f aca="false">IF(OR($A111="",G$14=""),0,SUMIFS(MVT_NET,MVT_LOT,$A111,MVT_EMPL,G$14))</f>
        <v>0</v>
      </c>
      <c r="H111" s="42" t="n">
        <f aca="false">IF(OR($A111="",H$14=""),0,SUMIFS(MVT_NET,MVT_LOT,$A111,MVT_EMPL,H$14))</f>
        <v>0</v>
      </c>
      <c r="I111" s="42" t="n">
        <f aca="false">IF(OR($A111="",I$14=""),0,SUMIFS(MVT_NET,MVT_LOT,$A111,MVT_EMPL,I$14))</f>
        <v>0</v>
      </c>
      <c r="J111" s="42" t="n">
        <f aca="false">IF(OR($A111="",J$14=""),0,SUMIFS(MVT_NET,MVT_LOT,$A111,MVT_EMPL,J$14))</f>
        <v>0</v>
      </c>
      <c r="K111" s="42" t="n">
        <f aca="false">IF(OR($A111="",K$14=""),0,SUMIFS(MVT_NET,MVT_LOT,$A111,MVT_EMPL,K$14))</f>
        <v>0</v>
      </c>
      <c r="L111" s="42" t="n">
        <f aca="false">IF(OR($A111="",L$14=""),0,SUMIFS(MVT_NET,MVT_LOT,$A111,MVT_EMPL,L$14))</f>
        <v>0</v>
      </c>
      <c r="M111" s="42" t="n">
        <f aca="false">IF(OR($A111="",M$14=""),0,SUMIFS(MVT_NET,MVT_LOT,$A111,MVT_EMPL,M$14))</f>
        <v>0</v>
      </c>
      <c r="N111" s="43" t="n">
        <f aca="false">SUM($B111:$M111)</f>
        <v>0</v>
      </c>
      <c r="O111" s="44" t="n">
        <f aca="false">SUMPRODUCT(($B$13:$M$13="INTERNE")*$B111:$M111)</f>
        <v>0</v>
      </c>
      <c r="P111" s="44" t="n">
        <f aca="false">SUMPRODUCT(($B$13:$M$13="EXTERNE")*$B111:$M111)</f>
        <v>0</v>
      </c>
      <c r="Q111" s="44" t="n">
        <f aca="false">IF($A111="",0,SUMIFS(ST_ENCOURS,ST_LOT,$A111))</f>
        <v>0</v>
      </c>
      <c r="R111" s="45" t="str">
        <f aca="false">IF($A111="","",IFERROR(INDEX(LOT_EXTE,MATCH($A111,LOT_KEY,0)),""))</f>
        <v/>
      </c>
      <c r="S111" s="45" t="str">
        <f aca="false">IF($A111="","",IFERROR(INDEX(LOT_DECISION,MATCH($A111,LOT_KEY,0)),""))</f>
        <v/>
      </c>
      <c r="T111" s="44" t="n">
        <f aca="false">IF($S111="BLOQUER",MAX(0,$N111),0)</f>
        <v>0</v>
      </c>
      <c r="U111" s="46" t="str">
        <f aca="false">IF($A111="","",IF($N111&lt;-0.001,"STOCK NEGATIF - ANOMALIE",IF($T111&gt;0,"BLOQUE QUALITE","")))</f>
        <v/>
      </c>
    </row>
    <row r="112" customFormat="false" ht="15" hidden="false" customHeight="false" outlineLevel="0" collapsed="false">
      <c r="A112" s="41" t="str">
        <f aca="false">IF(LOTS!$A102="","",LOTS!$A102)</f>
        <v/>
      </c>
      <c r="B112" s="42" t="n">
        <f aca="false">IF(OR($A112="",B$14=""),0,SUMIFS(MVT_NET,MVT_LOT,$A112,MVT_EMPL,B$14))</f>
        <v>0</v>
      </c>
      <c r="C112" s="42" t="n">
        <f aca="false">IF(OR($A112="",C$14=""),0,SUMIFS(MVT_NET,MVT_LOT,$A112,MVT_EMPL,C$14))</f>
        <v>0</v>
      </c>
      <c r="D112" s="42" t="n">
        <f aca="false">IF(OR($A112="",D$14=""),0,SUMIFS(MVT_NET,MVT_LOT,$A112,MVT_EMPL,D$14))</f>
        <v>0</v>
      </c>
      <c r="E112" s="42" t="n">
        <f aca="false">IF(OR($A112="",E$14=""),0,SUMIFS(MVT_NET,MVT_LOT,$A112,MVT_EMPL,E$14))</f>
        <v>0</v>
      </c>
      <c r="F112" s="42" t="n">
        <f aca="false">IF(OR($A112="",F$14=""),0,SUMIFS(MVT_NET,MVT_LOT,$A112,MVT_EMPL,F$14))</f>
        <v>0</v>
      </c>
      <c r="G112" s="42" t="n">
        <f aca="false">IF(OR($A112="",G$14=""),0,SUMIFS(MVT_NET,MVT_LOT,$A112,MVT_EMPL,G$14))</f>
        <v>0</v>
      </c>
      <c r="H112" s="42" t="n">
        <f aca="false">IF(OR($A112="",H$14=""),0,SUMIFS(MVT_NET,MVT_LOT,$A112,MVT_EMPL,H$14))</f>
        <v>0</v>
      </c>
      <c r="I112" s="42" t="n">
        <f aca="false">IF(OR($A112="",I$14=""),0,SUMIFS(MVT_NET,MVT_LOT,$A112,MVT_EMPL,I$14))</f>
        <v>0</v>
      </c>
      <c r="J112" s="42" t="n">
        <f aca="false">IF(OR($A112="",J$14=""),0,SUMIFS(MVT_NET,MVT_LOT,$A112,MVT_EMPL,J$14))</f>
        <v>0</v>
      </c>
      <c r="K112" s="42" t="n">
        <f aca="false">IF(OR($A112="",K$14=""),0,SUMIFS(MVT_NET,MVT_LOT,$A112,MVT_EMPL,K$14))</f>
        <v>0</v>
      </c>
      <c r="L112" s="42" t="n">
        <f aca="false">IF(OR($A112="",L$14=""),0,SUMIFS(MVT_NET,MVT_LOT,$A112,MVT_EMPL,L$14))</f>
        <v>0</v>
      </c>
      <c r="M112" s="42" t="n">
        <f aca="false">IF(OR($A112="",M$14=""),0,SUMIFS(MVT_NET,MVT_LOT,$A112,MVT_EMPL,M$14))</f>
        <v>0</v>
      </c>
      <c r="N112" s="43" t="n">
        <f aca="false">SUM($B112:$M112)</f>
        <v>0</v>
      </c>
      <c r="O112" s="44" t="n">
        <f aca="false">SUMPRODUCT(($B$13:$M$13="INTERNE")*$B112:$M112)</f>
        <v>0</v>
      </c>
      <c r="P112" s="44" t="n">
        <f aca="false">SUMPRODUCT(($B$13:$M$13="EXTERNE")*$B112:$M112)</f>
        <v>0</v>
      </c>
      <c r="Q112" s="44" t="n">
        <f aca="false">IF($A112="",0,SUMIFS(ST_ENCOURS,ST_LOT,$A112))</f>
        <v>0</v>
      </c>
      <c r="R112" s="45" t="str">
        <f aca="false">IF($A112="","",IFERROR(INDEX(LOT_EXTE,MATCH($A112,LOT_KEY,0)),""))</f>
        <v/>
      </c>
      <c r="S112" s="45" t="str">
        <f aca="false">IF($A112="","",IFERROR(INDEX(LOT_DECISION,MATCH($A112,LOT_KEY,0)),""))</f>
        <v/>
      </c>
      <c r="T112" s="44" t="n">
        <f aca="false">IF($S112="BLOQUER",MAX(0,$N112),0)</f>
        <v>0</v>
      </c>
      <c r="U112" s="46" t="str">
        <f aca="false">IF($A112="","",IF($N112&lt;-0.001,"STOCK NEGATIF - ANOMALIE",IF($T112&gt;0,"BLOQUE QUALITE","")))</f>
        <v/>
      </c>
    </row>
    <row r="113" customFormat="false" ht="15" hidden="false" customHeight="false" outlineLevel="0" collapsed="false">
      <c r="A113" s="41" t="str">
        <f aca="false">IF(LOTS!$A103="","",LOTS!$A103)</f>
        <v/>
      </c>
      <c r="B113" s="42" t="n">
        <f aca="false">IF(OR($A113="",B$14=""),0,SUMIFS(MVT_NET,MVT_LOT,$A113,MVT_EMPL,B$14))</f>
        <v>0</v>
      </c>
      <c r="C113" s="42" t="n">
        <f aca="false">IF(OR($A113="",C$14=""),0,SUMIFS(MVT_NET,MVT_LOT,$A113,MVT_EMPL,C$14))</f>
        <v>0</v>
      </c>
      <c r="D113" s="42" t="n">
        <f aca="false">IF(OR($A113="",D$14=""),0,SUMIFS(MVT_NET,MVT_LOT,$A113,MVT_EMPL,D$14))</f>
        <v>0</v>
      </c>
      <c r="E113" s="42" t="n">
        <f aca="false">IF(OR($A113="",E$14=""),0,SUMIFS(MVT_NET,MVT_LOT,$A113,MVT_EMPL,E$14))</f>
        <v>0</v>
      </c>
      <c r="F113" s="42" t="n">
        <f aca="false">IF(OR($A113="",F$14=""),0,SUMIFS(MVT_NET,MVT_LOT,$A113,MVT_EMPL,F$14))</f>
        <v>0</v>
      </c>
      <c r="G113" s="42" t="n">
        <f aca="false">IF(OR($A113="",G$14=""),0,SUMIFS(MVT_NET,MVT_LOT,$A113,MVT_EMPL,G$14))</f>
        <v>0</v>
      </c>
      <c r="H113" s="42" t="n">
        <f aca="false">IF(OR($A113="",H$14=""),0,SUMIFS(MVT_NET,MVT_LOT,$A113,MVT_EMPL,H$14))</f>
        <v>0</v>
      </c>
      <c r="I113" s="42" t="n">
        <f aca="false">IF(OR($A113="",I$14=""),0,SUMIFS(MVT_NET,MVT_LOT,$A113,MVT_EMPL,I$14))</f>
        <v>0</v>
      </c>
      <c r="J113" s="42" t="n">
        <f aca="false">IF(OR($A113="",J$14=""),0,SUMIFS(MVT_NET,MVT_LOT,$A113,MVT_EMPL,J$14))</f>
        <v>0</v>
      </c>
      <c r="K113" s="42" t="n">
        <f aca="false">IF(OR($A113="",K$14=""),0,SUMIFS(MVT_NET,MVT_LOT,$A113,MVT_EMPL,K$14))</f>
        <v>0</v>
      </c>
      <c r="L113" s="42" t="n">
        <f aca="false">IF(OR($A113="",L$14=""),0,SUMIFS(MVT_NET,MVT_LOT,$A113,MVT_EMPL,L$14))</f>
        <v>0</v>
      </c>
      <c r="M113" s="42" t="n">
        <f aca="false">IF(OR($A113="",M$14=""),0,SUMIFS(MVT_NET,MVT_LOT,$A113,MVT_EMPL,M$14))</f>
        <v>0</v>
      </c>
      <c r="N113" s="43" t="n">
        <f aca="false">SUM($B113:$M113)</f>
        <v>0</v>
      </c>
      <c r="O113" s="44" t="n">
        <f aca="false">SUMPRODUCT(($B$13:$M$13="INTERNE")*$B113:$M113)</f>
        <v>0</v>
      </c>
      <c r="P113" s="44" t="n">
        <f aca="false">SUMPRODUCT(($B$13:$M$13="EXTERNE")*$B113:$M113)</f>
        <v>0</v>
      </c>
      <c r="Q113" s="44" t="n">
        <f aca="false">IF($A113="",0,SUMIFS(ST_ENCOURS,ST_LOT,$A113))</f>
        <v>0</v>
      </c>
      <c r="R113" s="45" t="str">
        <f aca="false">IF($A113="","",IFERROR(INDEX(LOT_EXTE,MATCH($A113,LOT_KEY,0)),""))</f>
        <v/>
      </c>
      <c r="S113" s="45" t="str">
        <f aca="false">IF($A113="","",IFERROR(INDEX(LOT_DECISION,MATCH($A113,LOT_KEY,0)),""))</f>
        <v/>
      </c>
      <c r="T113" s="44" t="n">
        <f aca="false">IF($S113="BLOQUER",MAX(0,$N113),0)</f>
        <v>0</v>
      </c>
      <c r="U113" s="46" t="str">
        <f aca="false">IF($A113="","",IF($N113&lt;-0.001,"STOCK NEGATIF - ANOMALIE",IF($T113&gt;0,"BLOQUE QUALITE","")))</f>
        <v/>
      </c>
    </row>
    <row r="114" customFormat="false" ht="15" hidden="false" customHeight="false" outlineLevel="0" collapsed="false">
      <c r="A114" s="41" t="str">
        <f aca="false">IF(LOTS!$A104="","",LOTS!$A104)</f>
        <v/>
      </c>
      <c r="B114" s="42" t="n">
        <f aca="false">IF(OR($A114="",B$14=""),0,SUMIFS(MVT_NET,MVT_LOT,$A114,MVT_EMPL,B$14))</f>
        <v>0</v>
      </c>
      <c r="C114" s="42" t="n">
        <f aca="false">IF(OR($A114="",C$14=""),0,SUMIFS(MVT_NET,MVT_LOT,$A114,MVT_EMPL,C$14))</f>
        <v>0</v>
      </c>
      <c r="D114" s="42" t="n">
        <f aca="false">IF(OR($A114="",D$14=""),0,SUMIFS(MVT_NET,MVT_LOT,$A114,MVT_EMPL,D$14))</f>
        <v>0</v>
      </c>
      <c r="E114" s="42" t="n">
        <f aca="false">IF(OR($A114="",E$14=""),0,SUMIFS(MVT_NET,MVT_LOT,$A114,MVT_EMPL,E$14))</f>
        <v>0</v>
      </c>
      <c r="F114" s="42" t="n">
        <f aca="false">IF(OR($A114="",F$14=""),0,SUMIFS(MVT_NET,MVT_LOT,$A114,MVT_EMPL,F$14))</f>
        <v>0</v>
      </c>
      <c r="G114" s="42" t="n">
        <f aca="false">IF(OR($A114="",G$14=""),0,SUMIFS(MVT_NET,MVT_LOT,$A114,MVT_EMPL,G$14))</f>
        <v>0</v>
      </c>
      <c r="H114" s="42" t="n">
        <f aca="false">IF(OR($A114="",H$14=""),0,SUMIFS(MVT_NET,MVT_LOT,$A114,MVT_EMPL,H$14))</f>
        <v>0</v>
      </c>
      <c r="I114" s="42" t="n">
        <f aca="false">IF(OR($A114="",I$14=""),0,SUMIFS(MVT_NET,MVT_LOT,$A114,MVT_EMPL,I$14))</f>
        <v>0</v>
      </c>
      <c r="J114" s="42" t="n">
        <f aca="false">IF(OR($A114="",J$14=""),0,SUMIFS(MVT_NET,MVT_LOT,$A114,MVT_EMPL,J$14))</f>
        <v>0</v>
      </c>
      <c r="K114" s="42" t="n">
        <f aca="false">IF(OR($A114="",K$14=""),0,SUMIFS(MVT_NET,MVT_LOT,$A114,MVT_EMPL,K$14))</f>
        <v>0</v>
      </c>
      <c r="L114" s="42" t="n">
        <f aca="false">IF(OR($A114="",L$14=""),0,SUMIFS(MVT_NET,MVT_LOT,$A114,MVT_EMPL,L$14))</f>
        <v>0</v>
      </c>
      <c r="M114" s="42" t="n">
        <f aca="false">IF(OR($A114="",M$14=""),0,SUMIFS(MVT_NET,MVT_LOT,$A114,MVT_EMPL,M$14))</f>
        <v>0</v>
      </c>
      <c r="N114" s="43" t="n">
        <f aca="false">SUM($B114:$M114)</f>
        <v>0</v>
      </c>
      <c r="O114" s="44" t="n">
        <f aca="false">SUMPRODUCT(($B$13:$M$13="INTERNE")*$B114:$M114)</f>
        <v>0</v>
      </c>
      <c r="P114" s="44" t="n">
        <f aca="false">SUMPRODUCT(($B$13:$M$13="EXTERNE")*$B114:$M114)</f>
        <v>0</v>
      </c>
      <c r="Q114" s="44" t="n">
        <f aca="false">IF($A114="",0,SUMIFS(ST_ENCOURS,ST_LOT,$A114))</f>
        <v>0</v>
      </c>
      <c r="R114" s="45" t="str">
        <f aca="false">IF($A114="","",IFERROR(INDEX(LOT_EXTE,MATCH($A114,LOT_KEY,0)),""))</f>
        <v/>
      </c>
      <c r="S114" s="45" t="str">
        <f aca="false">IF($A114="","",IFERROR(INDEX(LOT_DECISION,MATCH($A114,LOT_KEY,0)),""))</f>
        <v/>
      </c>
      <c r="T114" s="44" t="n">
        <f aca="false">IF($S114="BLOQUER",MAX(0,$N114),0)</f>
        <v>0</v>
      </c>
      <c r="U114" s="46" t="str">
        <f aca="false">IF($A114="","",IF($N114&lt;-0.001,"STOCK NEGATIF - ANOMALIE",IF($T114&gt;0,"BLOQUE QUALITE","")))</f>
        <v/>
      </c>
    </row>
    <row r="115" customFormat="false" ht="15" hidden="false" customHeight="false" outlineLevel="0" collapsed="false">
      <c r="A115" s="41" t="str">
        <f aca="false">IF(LOTS!$A105="","",LOTS!$A105)</f>
        <v/>
      </c>
      <c r="B115" s="42" t="n">
        <f aca="false">IF(OR($A115="",B$14=""),0,SUMIFS(MVT_NET,MVT_LOT,$A115,MVT_EMPL,B$14))</f>
        <v>0</v>
      </c>
      <c r="C115" s="42" t="n">
        <f aca="false">IF(OR($A115="",C$14=""),0,SUMIFS(MVT_NET,MVT_LOT,$A115,MVT_EMPL,C$14))</f>
        <v>0</v>
      </c>
      <c r="D115" s="42" t="n">
        <f aca="false">IF(OR($A115="",D$14=""),0,SUMIFS(MVT_NET,MVT_LOT,$A115,MVT_EMPL,D$14))</f>
        <v>0</v>
      </c>
      <c r="E115" s="42" t="n">
        <f aca="false">IF(OR($A115="",E$14=""),0,SUMIFS(MVT_NET,MVT_LOT,$A115,MVT_EMPL,E$14))</f>
        <v>0</v>
      </c>
      <c r="F115" s="42" t="n">
        <f aca="false">IF(OR($A115="",F$14=""),0,SUMIFS(MVT_NET,MVT_LOT,$A115,MVT_EMPL,F$14))</f>
        <v>0</v>
      </c>
      <c r="G115" s="42" t="n">
        <f aca="false">IF(OR($A115="",G$14=""),0,SUMIFS(MVT_NET,MVT_LOT,$A115,MVT_EMPL,G$14))</f>
        <v>0</v>
      </c>
      <c r="H115" s="42" t="n">
        <f aca="false">IF(OR($A115="",H$14=""),0,SUMIFS(MVT_NET,MVT_LOT,$A115,MVT_EMPL,H$14))</f>
        <v>0</v>
      </c>
      <c r="I115" s="42" t="n">
        <f aca="false">IF(OR($A115="",I$14=""),0,SUMIFS(MVT_NET,MVT_LOT,$A115,MVT_EMPL,I$14))</f>
        <v>0</v>
      </c>
      <c r="J115" s="42" t="n">
        <f aca="false">IF(OR($A115="",J$14=""),0,SUMIFS(MVT_NET,MVT_LOT,$A115,MVT_EMPL,J$14))</f>
        <v>0</v>
      </c>
      <c r="K115" s="42" t="n">
        <f aca="false">IF(OR($A115="",K$14=""),0,SUMIFS(MVT_NET,MVT_LOT,$A115,MVT_EMPL,K$14))</f>
        <v>0</v>
      </c>
      <c r="L115" s="42" t="n">
        <f aca="false">IF(OR($A115="",L$14=""),0,SUMIFS(MVT_NET,MVT_LOT,$A115,MVT_EMPL,L$14))</f>
        <v>0</v>
      </c>
      <c r="M115" s="42" t="n">
        <f aca="false">IF(OR($A115="",M$14=""),0,SUMIFS(MVT_NET,MVT_LOT,$A115,MVT_EMPL,M$14))</f>
        <v>0</v>
      </c>
      <c r="N115" s="43" t="n">
        <f aca="false">SUM($B115:$M115)</f>
        <v>0</v>
      </c>
      <c r="O115" s="44" t="n">
        <f aca="false">SUMPRODUCT(($B$13:$M$13="INTERNE")*$B115:$M115)</f>
        <v>0</v>
      </c>
      <c r="P115" s="44" t="n">
        <f aca="false">SUMPRODUCT(($B$13:$M$13="EXTERNE")*$B115:$M115)</f>
        <v>0</v>
      </c>
      <c r="Q115" s="44" t="n">
        <f aca="false">IF($A115="",0,SUMIFS(ST_ENCOURS,ST_LOT,$A115))</f>
        <v>0</v>
      </c>
      <c r="R115" s="45" t="str">
        <f aca="false">IF($A115="","",IFERROR(INDEX(LOT_EXTE,MATCH($A115,LOT_KEY,0)),""))</f>
        <v/>
      </c>
      <c r="S115" s="45" t="str">
        <f aca="false">IF($A115="","",IFERROR(INDEX(LOT_DECISION,MATCH($A115,LOT_KEY,0)),""))</f>
        <v/>
      </c>
      <c r="T115" s="44" t="n">
        <f aca="false">IF($S115="BLOQUER",MAX(0,$N115),0)</f>
        <v>0</v>
      </c>
      <c r="U115" s="46" t="str">
        <f aca="false">IF($A115="","",IF($N115&lt;-0.001,"STOCK NEGATIF - ANOMALIE",IF($T115&gt;0,"BLOQUE QUALITE","")))</f>
        <v/>
      </c>
    </row>
    <row r="116" customFormat="false" ht="15" hidden="false" customHeight="false" outlineLevel="0" collapsed="false">
      <c r="A116" s="41" t="str">
        <f aca="false">IF(LOTS!$A106="","",LOTS!$A106)</f>
        <v/>
      </c>
      <c r="B116" s="42" t="n">
        <f aca="false">IF(OR($A116="",B$14=""),0,SUMIFS(MVT_NET,MVT_LOT,$A116,MVT_EMPL,B$14))</f>
        <v>0</v>
      </c>
      <c r="C116" s="42" t="n">
        <f aca="false">IF(OR($A116="",C$14=""),0,SUMIFS(MVT_NET,MVT_LOT,$A116,MVT_EMPL,C$14))</f>
        <v>0</v>
      </c>
      <c r="D116" s="42" t="n">
        <f aca="false">IF(OR($A116="",D$14=""),0,SUMIFS(MVT_NET,MVT_LOT,$A116,MVT_EMPL,D$14))</f>
        <v>0</v>
      </c>
      <c r="E116" s="42" t="n">
        <f aca="false">IF(OR($A116="",E$14=""),0,SUMIFS(MVT_NET,MVT_LOT,$A116,MVT_EMPL,E$14))</f>
        <v>0</v>
      </c>
      <c r="F116" s="42" t="n">
        <f aca="false">IF(OR($A116="",F$14=""),0,SUMIFS(MVT_NET,MVT_LOT,$A116,MVT_EMPL,F$14))</f>
        <v>0</v>
      </c>
      <c r="G116" s="42" t="n">
        <f aca="false">IF(OR($A116="",G$14=""),0,SUMIFS(MVT_NET,MVT_LOT,$A116,MVT_EMPL,G$14))</f>
        <v>0</v>
      </c>
      <c r="H116" s="42" t="n">
        <f aca="false">IF(OR($A116="",H$14=""),0,SUMIFS(MVT_NET,MVT_LOT,$A116,MVT_EMPL,H$14))</f>
        <v>0</v>
      </c>
      <c r="I116" s="42" t="n">
        <f aca="false">IF(OR($A116="",I$14=""),0,SUMIFS(MVT_NET,MVT_LOT,$A116,MVT_EMPL,I$14))</f>
        <v>0</v>
      </c>
      <c r="J116" s="42" t="n">
        <f aca="false">IF(OR($A116="",J$14=""),0,SUMIFS(MVT_NET,MVT_LOT,$A116,MVT_EMPL,J$14))</f>
        <v>0</v>
      </c>
      <c r="K116" s="42" t="n">
        <f aca="false">IF(OR($A116="",K$14=""),0,SUMIFS(MVT_NET,MVT_LOT,$A116,MVT_EMPL,K$14))</f>
        <v>0</v>
      </c>
      <c r="L116" s="42" t="n">
        <f aca="false">IF(OR($A116="",L$14=""),0,SUMIFS(MVT_NET,MVT_LOT,$A116,MVT_EMPL,L$14))</f>
        <v>0</v>
      </c>
      <c r="M116" s="42" t="n">
        <f aca="false">IF(OR($A116="",M$14=""),0,SUMIFS(MVT_NET,MVT_LOT,$A116,MVT_EMPL,M$14))</f>
        <v>0</v>
      </c>
      <c r="N116" s="43" t="n">
        <f aca="false">SUM($B116:$M116)</f>
        <v>0</v>
      </c>
      <c r="O116" s="44" t="n">
        <f aca="false">SUMPRODUCT(($B$13:$M$13="INTERNE")*$B116:$M116)</f>
        <v>0</v>
      </c>
      <c r="P116" s="44" t="n">
        <f aca="false">SUMPRODUCT(($B$13:$M$13="EXTERNE")*$B116:$M116)</f>
        <v>0</v>
      </c>
      <c r="Q116" s="44" t="n">
        <f aca="false">IF($A116="",0,SUMIFS(ST_ENCOURS,ST_LOT,$A116))</f>
        <v>0</v>
      </c>
      <c r="R116" s="45" t="str">
        <f aca="false">IF($A116="","",IFERROR(INDEX(LOT_EXTE,MATCH($A116,LOT_KEY,0)),""))</f>
        <v/>
      </c>
      <c r="S116" s="45" t="str">
        <f aca="false">IF($A116="","",IFERROR(INDEX(LOT_DECISION,MATCH($A116,LOT_KEY,0)),""))</f>
        <v/>
      </c>
      <c r="T116" s="44" t="n">
        <f aca="false">IF($S116="BLOQUER",MAX(0,$N116),0)</f>
        <v>0</v>
      </c>
      <c r="U116" s="46" t="str">
        <f aca="false">IF($A116="","",IF($N116&lt;-0.001,"STOCK NEGATIF - ANOMALIE",IF($T116&gt;0,"BLOQUE QUALITE","")))</f>
        <v/>
      </c>
    </row>
    <row r="117" customFormat="false" ht="15" hidden="false" customHeight="false" outlineLevel="0" collapsed="false">
      <c r="A117" s="41" t="str">
        <f aca="false">IF(LOTS!$A107="","",LOTS!$A107)</f>
        <v/>
      </c>
      <c r="B117" s="42" t="n">
        <f aca="false">IF(OR($A117="",B$14=""),0,SUMIFS(MVT_NET,MVT_LOT,$A117,MVT_EMPL,B$14))</f>
        <v>0</v>
      </c>
      <c r="C117" s="42" t="n">
        <f aca="false">IF(OR($A117="",C$14=""),0,SUMIFS(MVT_NET,MVT_LOT,$A117,MVT_EMPL,C$14))</f>
        <v>0</v>
      </c>
      <c r="D117" s="42" t="n">
        <f aca="false">IF(OR($A117="",D$14=""),0,SUMIFS(MVT_NET,MVT_LOT,$A117,MVT_EMPL,D$14))</f>
        <v>0</v>
      </c>
      <c r="E117" s="42" t="n">
        <f aca="false">IF(OR($A117="",E$14=""),0,SUMIFS(MVT_NET,MVT_LOT,$A117,MVT_EMPL,E$14))</f>
        <v>0</v>
      </c>
      <c r="F117" s="42" t="n">
        <f aca="false">IF(OR($A117="",F$14=""),0,SUMIFS(MVT_NET,MVT_LOT,$A117,MVT_EMPL,F$14))</f>
        <v>0</v>
      </c>
      <c r="G117" s="42" t="n">
        <f aca="false">IF(OR($A117="",G$14=""),0,SUMIFS(MVT_NET,MVT_LOT,$A117,MVT_EMPL,G$14))</f>
        <v>0</v>
      </c>
      <c r="H117" s="42" t="n">
        <f aca="false">IF(OR($A117="",H$14=""),0,SUMIFS(MVT_NET,MVT_LOT,$A117,MVT_EMPL,H$14))</f>
        <v>0</v>
      </c>
      <c r="I117" s="42" t="n">
        <f aca="false">IF(OR($A117="",I$14=""),0,SUMIFS(MVT_NET,MVT_LOT,$A117,MVT_EMPL,I$14))</f>
        <v>0</v>
      </c>
      <c r="J117" s="42" t="n">
        <f aca="false">IF(OR($A117="",J$14=""),0,SUMIFS(MVT_NET,MVT_LOT,$A117,MVT_EMPL,J$14))</f>
        <v>0</v>
      </c>
      <c r="K117" s="42" t="n">
        <f aca="false">IF(OR($A117="",K$14=""),0,SUMIFS(MVT_NET,MVT_LOT,$A117,MVT_EMPL,K$14))</f>
        <v>0</v>
      </c>
      <c r="L117" s="42" t="n">
        <f aca="false">IF(OR($A117="",L$14=""),0,SUMIFS(MVT_NET,MVT_LOT,$A117,MVT_EMPL,L$14))</f>
        <v>0</v>
      </c>
      <c r="M117" s="42" t="n">
        <f aca="false">IF(OR($A117="",M$14=""),0,SUMIFS(MVT_NET,MVT_LOT,$A117,MVT_EMPL,M$14))</f>
        <v>0</v>
      </c>
      <c r="N117" s="43" t="n">
        <f aca="false">SUM($B117:$M117)</f>
        <v>0</v>
      </c>
      <c r="O117" s="44" t="n">
        <f aca="false">SUMPRODUCT(($B$13:$M$13="INTERNE")*$B117:$M117)</f>
        <v>0</v>
      </c>
      <c r="P117" s="44" t="n">
        <f aca="false">SUMPRODUCT(($B$13:$M$13="EXTERNE")*$B117:$M117)</f>
        <v>0</v>
      </c>
      <c r="Q117" s="44" t="n">
        <f aca="false">IF($A117="",0,SUMIFS(ST_ENCOURS,ST_LOT,$A117))</f>
        <v>0</v>
      </c>
      <c r="R117" s="45" t="str">
        <f aca="false">IF($A117="","",IFERROR(INDEX(LOT_EXTE,MATCH($A117,LOT_KEY,0)),""))</f>
        <v/>
      </c>
      <c r="S117" s="45" t="str">
        <f aca="false">IF($A117="","",IFERROR(INDEX(LOT_DECISION,MATCH($A117,LOT_KEY,0)),""))</f>
        <v/>
      </c>
      <c r="T117" s="44" t="n">
        <f aca="false">IF($S117="BLOQUER",MAX(0,$N117),0)</f>
        <v>0</v>
      </c>
      <c r="U117" s="46" t="str">
        <f aca="false">IF($A117="","",IF($N117&lt;-0.001,"STOCK NEGATIF - ANOMALIE",IF($T117&gt;0,"BLOQUE QUALITE","")))</f>
        <v/>
      </c>
    </row>
    <row r="118" customFormat="false" ht="15" hidden="false" customHeight="false" outlineLevel="0" collapsed="false">
      <c r="A118" s="41" t="str">
        <f aca="false">IF(LOTS!$A108="","",LOTS!$A108)</f>
        <v/>
      </c>
      <c r="B118" s="42" t="n">
        <f aca="false">IF(OR($A118="",B$14=""),0,SUMIFS(MVT_NET,MVT_LOT,$A118,MVT_EMPL,B$14))</f>
        <v>0</v>
      </c>
      <c r="C118" s="42" t="n">
        <f aca="false">IF(OR($A118="",C$14=""),0,SUMIFS(MVT_NET,MVT_LOT,$A118,MVT_EMPL,C$14))</f>
        <v>0</v>
      </c>
      <c r="D118" s="42" t="n">
        <f aca="false">IF(OR($A118="",D$14=""),0,SUMIFS(MVT_NET,MVT_LOT,$A118,MVT_EMPL,D$14))</f>
        <v>0</v>
      </c>
      <c r="E118" s="42" t="n">
        <f aca="false">IF(OR($A118="",E$14=""),0,SUMIFS(MVT_NET,MVT_LOT,$A118,MVT_EMPL,E$14))</f>
        <v>0</v>
      </c>
      <c r="F118" s="42" t="n">
        <f aca="false">IF(OR($A118="",F$14=""),0,SUMIFS(MVT_NET,MVT_LOT,$A118,MVT_EMPL,F$14))</f>
        <v>0</v>
      </c>
      <c r="G118" s="42" t="n">
        <f aca="false">IF(OR($A118="",G$14=""),0,SUMIFS(MVT_NET,MVT_LOT,$A118,MVT_EMPL,G$14))</f>
        <v>0</v>
      </c>
      <c r="H118" s="42" t="n">
        <f aca="false">IF(OR($A118="",H$14=""),0,SUMIFS(MVT_NET,MVT_LOT,$A118,MVT_EMPL,H$14))</f>
        <v>0</v>
      </c>
      <c r="I118" s="42" t="n">
        <f aca="false">IF(OR($A118="",I$14=""),0,SUMIFS(MVT_NET,MVT_LOT,$A118,MVT_EMPL,I$14))</f>
        <v>0</v>
      </c>
      <c r="J118" s="42" t="n">
        <f aca="false">IF(OR($A118="",J$14=""),0,SUMIFS(MVT_NET,MVT_LOT,$A118,MVT_EMPL,J$14))</f>
        <v>0</v>
      </c>
      <c r="K118" s="42" t="n">
        <f aca="false">IF(OR($A118="",K$14=""),0,SUMIFS(MVT_NET,MVT_LOT,$A118,MVT_EMPL,K$14))</f>
        <v>0</v>
      </c>
      <c r="L118" s="42" t="n">
        <f aca="false">IF(OR($A118="",L$14=""),0,SUMIFS(MVT_NET,MVT_LOT,$A118,MVT_EMPL,L$14))</f>
        <v>0</v>
      </c>
      <c r="M118" s="42" t="n">
        <f aca="false">IF(OR($A118="",M$14=""),0,SUMIFS(MVT_NET,MVT_LOT,$A118,MVT_EMPL,M$14))</f>
        <v>0</v>
      </c>
      <c r="N118" s="43" t="n">
        <f aca="false">SUM($B118:$M118)</f>
        <v>0</v>
      </c>
      <c r="O118" s="44" t="n">
        <f aca="false">SUMPRODUCT(($B$13:$M$13="INTERNE")*$B118:$M118)</f>
        <v>0</v>
      </c>
      <c r="P118" s="44" t="n">
        <f aca="false">SUMPRODUCT(($B$13:$M$13="EXTERNE")*$B118:$M118)</f>
        <v>0</v>
      </c>
      <c r="Q118" s="44" t="n">
        <f aca="false">IF($A118="",0,SUMIFS(ST_ENCOURS,ST_LOT,$A118))</f>
        <v>0</v>
      </c>
      <c r="R118" s="45" t="str">
        <f aca="false">IF($A118="","",IFERROR(INDEX(LOT_EXTE,MATCH($A118,LOT_KEY,0)),""))</f>
        <v/>
      </c>
      <c r="S118" s="45" t="str">
        <f aca="false">IF($A118="","",IFERROR(INDEX(LOT_DECISION,MATCH($A118,LOT_KEY,0)),""))</f>
        <v/>
      </c>
      <c r="T118" s="44" t="n">
        <f aca="false">IF($S118="BLOQUER",MAX(0,$N118),0)</f>
        <v>0</v>
      </c>
      <c r="U118" s="46" t="str">
        <f aca="false">IF($A118="","",IF($N118&lt;-0.001,"STOCK NEGATIF - ANOMALIE",IF($T118&gt;0,"BLOQUE QUALITE","")))</f>
        <v/>
      </c>
    </row>
    <row r="119" customFormat="false" ht="15" hidden="false" customHeight="false" outlineLevel="0" collapsed="false">
      <c r="A119" s="41" t="str">
        <f aca="false">IF(LOTS!$A109="","",LOTS!$A109)</f>
        <v/>
      </c>
      <c r="B119" s="42" t="n">
        <f aca="false">IF(OR($A119="",B$14=""),0,SUMIFS(MVT_NET,MVT_LOT,$A119,MVT_EMPL,B$14))</f>
        <v>0</v>
      </c>
      <c r="C119" s="42" t="n">
        <f aca="false">IF(OR($A119="",C$14=""),0,SUMIFS(MVT_NET,MVT_LOT,$A119,MVT_EMPL,C$14))</f>
        <v>0</v>
      </c>
      <c r="D119" s="42" t="n">
        <f aca="false">IF(OR($A119="",D$14=""),0,SUMIFS(MVT_NET,MVT_LOT,$A119,MVT_EMPL,D$14))</f>
        <v>0</v>
      </c>
      <c r="E119" s="42" t="n">
        <f aca="false">IF(OR($A119="",E$14=""),0,SUMIFS(MVT_NET,MVT_LOT,$A119,MVT_EMPL,E$14))</f>
        <v>0</v>
      </c>
      <c r="F119" s="42" t="n">
        <f aca="false">IF(OR($A119="",F$14=""),0,SUMIFS(MVT_NET,MVT_LOT,$A119,MVT_EMPL,F$14))</f>
        <v>0</v>
      </c>
      <c r="G119" s="42" t="n">
        <f aca="false">IF(OR($A119="",G$14=""),0,SUMIFS(MVT_NET,MVT_LOT,$A119,MVT_EMPL,G$14))</f>
        <v>0</v>
      </c>
      <c r="H119" s="42" t="n">
        <f aca="false">IF(OR($A119="",H$14=""),0,SUMIFS(MVT_NET,MVT_LOT,$A119,MVT_EMPL,H$14))</f>
        <v>0</v>
      </c>
      <c r="I119" s="42" t="n">
        <f aca="false">IF(OR($A119="",I$14=""),0,SUMIFS(MVT_NET,MVT_LOT,$A119,MVT_EMPL,I$14))</f>
        <v>0</v>
      </c>
      <c r="J119" s="42" t="n">
        <f aca="false">IF(OR($A119="",J$14=""),0,SUMIFS(MVT_NET,MVT_LOT,$A119,MVT_EMPL,J$14))</f>
        <v>0</v>
      </c>
      <c r="K119" s="42" t="n">
        <f aca="false">IF(OR($A119="",K$14=""),0,SUMIFS(MVT_NET,MVT_LOT,$A119,MVT_EMPL,K$14))</f>
        <v>0</v>
      </c>
      <c r="L119" s="42" t="n">
        <f aca="false">IF(OR($A119="",L$14=""),0,SUMIFS(MVT_NET,MVT_LOT,$A119,MVT_EMPL,L$14))</f>
        <v>0</v>
      </c>
      <c r="M119" s="42" t="n">
        <f aca="false">IF(OR($A119="",M$14=""),0,SUMIFS(MVT_NET,MVT_LOT,$A119,MVT_EMPL,M$14))</f>
        <v>0</v>
      </c>
      <c r="N119" s="43" t="n">
        <f aca="false">SUM($B119:$M119)</f>
        <v>0</v>
      </c>
      <c r="O119" s="44" t="n">
        <f aca="false">SUMPRODUCT(($B$13:$M$13="INTERNE")*$B119:$M119)</f>
        <v>0</v>
      </c>
      <c r="P119" s="44" t="n">
        <f aca="false">SUMPRODUCT(($B$13:$M$13="EXTERNE")*$B119:$M119)</f>
        <v>0</v>
      </c>
      <c r="Q119" s="44" t="n">
        <f aca="false">IF($A119="",0,SUMIFS(ST_ENCOURS,ST_LOT,$A119))</f>
        <v>0</v>
      </c>
      <c r="R119" s="45" t="str">
        <f aca="false">IF($A119="","",IFERROR(INDEX(LOT_EXTE,MATCH($A119,LOT_KEY,0)),""))</f>
        <v/>
      </c>
      <c r="S119" s="45" t="str">
        <f aca="false">IF($A119="","",IFERROR(INDEX(LOT_DECISION,MATCH($A119,LOT_KEY,0)),""))</f>
        <v/>
      </c>
      <c r="T119" s="44" t="n">
        <f aca="false">IF($S119="BLOQUER",MAX(0,$N119),0)</f>
        <v>0</v>
      </c>
      <c r="U119" s="46" t="str">
        <f aca="false">IF($A119="","",IF($N119&lt;-0.001,"STOCK NEGATIF - ANOMALIE",IF($T119&gt;0,"BLOQUE QUALITE","")))</f>
        <v/>
      </c>
    </row>
    <row r="120" customFormat="false" ht="15" hidden="false" customHeight="false" outlineLevel="0" collapsed="false">
      <c r="A120" s="41" t="str">
        <f aca="false">IF(LOTS!$A110="","",LOTS!$A110)</f>
        <v/>
      </c>
      <c r="B120" s="42" t="n">
        <f aca="false">IF(OR($A120="",B$14=""),0,SUMIFS(MVT_NET,MVT_LOT,$A120,MVT_EMPL,B$14))</f>
        <v>0</v>
      </c>
      <c r="C120" s="42" t="n">
        <f aca="false">IF(OR($A120="",C$14=""),0,SUMIFS(MVT_NET,MVT_LOT,$A120,MVT_EMPL,C$14))</f>
        <v>0</v>
      </c>
      <c r="D120" s="42" t="n">
        <f aca="false">IF(OR($A120="",D$14=""),0,SUMIFS(MVT_NET,MVT_LOT,$A120,MVT_EMPL,D$14))</f>
        <v>0</v>
      </c>
      <c r="E120" s="42" t="n">
        <f aca="false">IF(OR($A120="",E$14=""),0,SUMIFS(MVT_NET,MVT_LOT,$A120,MVT_EMPL,E$14))</f>
        <v>0</v>
      </c>
      <c r="F120" s="42" t="n">
        <f aca="false">IF(OR($A120="",F$14=""),0,SUMIFS(MVT_NET,MVT_LOT,$A120,MVT_EMPL,F$14))</f>
        <v>0</v>
      </c>
      <c r="G120" s="42" t="n">
        <f aca="false">IF(OR($A120="",G$14=""),0,SUMIFS(MVT_NET,MVT_LOT,$A120,MVT_EMPL,G$14))</f>
        <v>0</v>
      </c>
      <c r="H120" s="42" t="n">
        <f aca="false">IF(OR($A120="",H$14=""),0,SUMIFS(MVT_NET,MVT_LOT,$A120,MVT_EMPL,H$14))</f>
        <v>0</v>
      </c>
      <c r="I120" s="42" t="n">
        <f aca="false">IF(OR($A120="",I$14=""),0,SUMIFS(MVT_NET,MVT_LOT,$A120,MVT_EMPL,I$14))</f>
        <v>0</v>
      </c>
      <c r="J120" s="42" t="n">
        <f aca="false">IF(OR($A120="",J$14=""),0,SUMIFS(MVT_NET,MVT_LOT,$A120,MVT_EMPL,J$14))</f>
        <v>0</v>
      </c>
      <c r="K120" s="42" t="n">
        <f aca="false">IF(OR($A120="",K$14=""),0,SUMIFS(MVT_NET,MVT_LOT,$A120,MVT_EMPL,K$14))</f>
        <v>0</v>
      </c>
      <c r="L120" s="42" t="n">
        <f aca="false">IF(OR($A120="",L$14=""),0,SUMIFS(MVT_NET,MVT_LOT,$A120,MVT_EMPL,L$14))</f>
        <v>0</v>
      </c>
      <c r="M120" s="42" t="n">
        <f aca="false">IF(OR($A120="",M$14=""),0,SUMIFS(MVT_NET,MVT_LOT,$A120,MVT_EMPL,M$14))</f>
        <v>0</v>
      </c>
      <c r="N120" s="43" t="n">
        <f aca="false">SUM($B120:$M120)</f>
        <v>0</v>
      </c>
      <c r="O120" s="44" t="n">
        <f aca="false">SUMPRODUCT(($B$13:$M$13="INTERNE")*$B120:$M120)</f>
        <v>0</v>
      </c>
      <c r="P120" s="44" t="n">
        <f aca="false">SUMPRODUCT(($B$13:$M$13="EXTERNE")*$B120:$M120)</f>
        <v>0</v>
      </c>
      <c r="Q120" s="44" t="n">
        <f aca="false">IF($A120="",0,SUMIFS(ST_ENCOURS,ST_LOT,$A120))</f>
        <v>0</v>
      </c>
      <c r="R120" s="45" t="str">
        <f aca="false">IF($A120="","",IFERROR(INDEX(LOT_EXTE,MATCH($A120,LOT_KEY,0)),""))</f>
        <v/>
      </c>
      <c r="S120" s="45" t="str">
        <f aca="false">IF($A120="","",IFERROR(INDEX(LOT_DECISION,MATCH($A120,LOT_KEY,0)),""))</f>
        <v/>
      </c>
      <c r="T120" s="44" t="n">
        <f aca="false">IF($S120="BLOQUER",MAX(0,$N120),0)</f>
        <v>0</v>
      </c>
      <c r="U120" s="46" t="str">
        <f aca="false">IF($A120="","",IF($N120&lt;-0.001,"STOCK NEGATIF - ANOMALIE",IF($T120&gt;0,"BLOQUE QUALITE","")))</f>
        <v/>
      </c>
    </row>
    <row r="121" customFormat="false" ht="15" hidden="false" customHeight="false" outlineLevel="0" collapsed="false">
      <c r="A121" s="41" t="str">
        <f aca="false">IF(LOTS!$A111="","",LOTS!$A111)</f>
        <v/>
      </c>
      <c r="B121" s="42" t="n">
        <f aca="false">IF(OR($A121="",B$14=""),0,SUMIFS(MVT_NET,MVT_LOT,$A121,MVT_EMPL,B$14))</f>
        <v>0</v>
      </c>
      <c r="C121" s="42" t="n">
        <f aca="false">IF(OR($A121="",C$14=""),0,SUMIFS(MVT_NET,MVT_LOT,$A121,MVT_EMPL,C$14))</f>
        <v>0</v>
      </c>
      <c r="D121" s="42" t="n">
        <f aca="false">IF(OR($A121="",D$14=""),0,SUMIFS(MVT_NET,MVT_LOT,$A121,MVT_EMPL,D$14))</f>
        <v>0</v>
      </c>
      <c r="E121" s="42" t="n">
        <f aca="false">IF(OR($A121="",E$14=""),0,SUMIFS(MVT_NET,MVT_LOT,$A121,MVT_EMPL,E$14))</f>
        <v>0</v>
      </c>
      <c r="F121" s="42" t="n">
        <f aca="false">IF(OR($A121="",F$14=""),0,SUMIFS(MVT_NET,MVT_LOT,$A121,MVT_EMPL,F$14))</f>
        <v>0</v>
      </c>
      <c r="G121" s="42" t="n">
        <f aca="false">IF(OR($A121="",G$14=""),0,SUMIFS(MVT_NET,MVT_LOT,$A121,MVT_EMPL,G$14))</f>
        <v>0</v>
      </c>
      <c r="H121" s="42" t="n">
        <f aca="false">IF(OR($A121="",H$14=""),0,SUMIFS(MVT_NET,MVT_LOT,$A121,MVT_EMPL,H$14))</f>
        <v>0</v>
      </c>
      <c r="I121" s="42" t="n">
        <f aca="false">IF(OR($A121="",I$14=""),0,SUMIFS(MVT_NET,MVT_LOT,$A121,MVT_EMPL,I$14))</f>
        <v>0</v>
      </c>
      <c r="J121" s="42" t="n">
        <f aca="false">IF(OR($A121="",J$14=""),0,SUMIFS(MVT_NET,MVT_LOT,$A121,MVT_EMPL,J$14))</f>
        <v>0</v>
      </c>
      <c r="K121" s="42" t="n">
        <f aca="false">IF(OR($A121="",K$14=""),0,SUMIFS(MVT_NET,MVT_LOT,$A121,MVT_EMPL,K$14))</f>
        <v>0</v>
      </c>
      <c r="L121" s="42" t="n">
        <f aca="false">IF(OR($A121="",L$14=""),0,SUMIFS(MVT_NET,MVT_LOT,$A121,MVT_EMPL,L$14))</f>
        <v>0</v>
      </c>
      <c r="M121" s="42" t="n">
        <f aca="false">IF(OR($A121="",M$14=""),0,SUMIFS(MVT_NET,MVT_LOT,$A121,MVT_EMPL,M$14))</f>
        <v>0</v>
      </c>
      <c r="N121" s="43" t="n">
        <f aca="false">SUM($B121:$M121)</f>
        <v>0</v>
      </c>
      <c r="O121" s="44" t="n">
        <f aca="false">SUMPRODUCT(($B$13:$M$13="INTERNE")*$B121:$M121)</f>
        <v>0</v>
      </c>
      <c r="P121" s="44" t="n">
        <f aca="false">SUMPRODUCT(($B$13:$M$13="EXTERNE")*$B121:$M121)</f>
        <v>0</v>
      </c>
      <c r="Q121" s="44" t="n">
        <f aca="false">IF($A121="",0,SUMIFS(ST_ENCOURS,ST_LOT,$A121))</f>
        <v>0</v>
      </c>
      <c r="R121" s="45" t="str">
        <f aca="false">IF($A121="","",IFERROR(INDEX(LOT_EXTE,MATCH($A121,LOT_KEY,0)),""))</f>
        <v/>
      </c>
      <c r="S121" s="45" t="str">
        <f aca="false">IF($A121="","",IFERROR(INDEX(LOT_DECISION,MATCH($A121,LOT_KEY,0)),""))</f>
        <v/>
      </c>
      <c r="T121" s="44" t="n">
        <f aca="false">IF($S121="BLOQUER",MAX(0,$N121),0)</f>
        <v>0</v>
      </c>
      <c r="U121" s="46" t="str">
        <f aca="false">IF($A121="","",IF($N121&lt;-0.001,"STOCK NEGATIF - ANOMALIE",IF($T121&gt;0,"BLOQUE QUALITE","")))</f>
        <v/>
      </c>
    </row>
    <row r="122" customFormat="false" ht="15" hidden="false" customHeight="false" outlineLevel="0" collapsed="false">
      <c r="A122" s="41" t="str">
        <f aca="false">IF(LOTS!$A112="","",LOTS!$A112)</f>
        <v/>
      </c>
      <c r="B122" s="42" t="n">
        <f aca="false">IF(OR($A122="",B$14=""),0,SUMIFS(MVT_NET,MVT_LOT,$A122,MVT_EMPL,B$14))</f>
        <v>0</v>
      </c>
      <c r="C122" s="42" t="n">
        <f aca="false">IF(OR($A122="",C$14=""),0,SUMIFS(MVT_NET,MVT_LOT,$A122,MVT_EMPL,C$14))</f>
        <v>0</v>
      </c>
      <c r="D122" s="42" t="n">
        <f aca="false">IF(OR($A122="",D$14=""),0,SUMIFS(MVT_NET,MVT_LOT,$A122,MVT_EMPL,D$14))</f>
        <v>0</v>
      </c>
      <c r="E122" s="42" t="n">
        <f aca="false">IF(OR($A122="",E$14=""),0,SUMIFS(MVT_NET,MVT_LOT,$A122,MVT_EMPL,E$14))</f>
        <v>0</v>
      </c>
      <c r="F122" s="42" t="n">
        <f aca="false">IF(OR($A122="",F$14=""),0,SUMIFS(MVT_NET,MVT_LOT,$A122,MVT_EMPL,F$14))</f>
        <v>0</v>
      </c>
      <c r="G122" s="42" t="n">
        <f aca="false">IF(OR($A122="",G$14=""),0,SUMIFS(MVT_NET,MVT_LOT,$A122,MVT_EMPL,G$14))</f>
        <v>0</v>
      </c>
      <c r="H122" s="42" t="n">
        <f aca="false">IF(OR($A122="",H$14=""),0,SUMIFS(MVT_NET,MVT_LOT,$A122,MVT_EMPL,H$14))</f>
        <v>0</v>
      </c>
      <c r="I122" s="42" t="n">
        <f aca="false">IF(OR($A122="",I$14=""),0,SUMIFS(MVT_NET,MVT_LOT,$A122,MVT_EMPL,I$14))</f>
        <v>0</v>
      </c>
      <c r="J122" s="42" t="n">
        <f aca="false">IF(OR($A122="",J$14=""),0,SUMIFS(MVT_NET,MVT_LOT,$A122,MVT_EMPL,J$14))</f>
        <v>0</v>
      </c>
      <c r="K122" s="42" t="n">
        <f aca="false">IF(OR($A122="",K$14=""),0,SUMIFS(MVT_NET,MVT_LOT,$A122,MVT_EMPL,K$14))</f>
        <v>0</v>
      </c>
      <c r="L122" s="42" t="n">
        <f aca="false">IF(OR($A122="",L$14=""),0,SUMIFS(MVT_NET,MVT_LOT,$A122,MVT_EMPL,L$14))</f>
        <v>0</v>
      </c>
      <c r="M122" s="42" t="n">
        <f aca="false">IF(OR($A122="",M$14=""),0,SUMIFS(MVT_NET,MVT_LOT,$A122,MVT_EMPL,M$14))</f>
        <v>0</v>
      </c>
      <c r="N122" s="43" t="n">
        <f aca="false">SUM($B122:$M122)</f>
        <v>0</v>
      </c>
      <c r="O122" s="44" t="n">
        <f aca="false">SUMPRODUCT(($B$13:$M$13="INTERNE")*$B122:$M122)</f>
        <v>0</v>
      </c>
      <c r="P122" s="44" t="n">
        <f aca="false">SUMPRODUCT(($B$13:$M$13="EXTERNE")*$B122:$M122)</f>
        <v>0</v>
      </c>
      <c r="Q122" s="44" t="n">
        <f aca="false">IF($A122="",0,SUMIFS(ST_ENCOURS,ST_LOT,$A122))</f>
        <v>0</v>
      </c>
      <c r="R122" s="45" t="str">
        <f aca="false">IF($A122="","",IFERROR(INDEX(LOT_EXTE,MATCH($A122,LOT_KEY,0)),""))</f>
        <v/>
      </c>
      <c r="S122" s="45" t="str">
        <f aca="false">IF($A122="","",IFERROR(INDEX(LOT_DECISION,MATCH($A122,LOT_KEY,0)),""))</f>
        <v/>
      </c>
      <c r="T122" s="44" t="n">
        <f aca="false">IF($S122="BLOQUER",MAX(0,$N122),0)</f>
        <v>0</v>
      </c>
      <c r="U122" s="46" t="str">
        <f aca="false">IF($A122="","",IF($N122&lt;-0.001,"STOCK NEGATIF - ANOMALIE",IF($T122&gt;0,"BLOQUE QUALITE","")))</f>
        <v/>
      </c>
    </row>
    <row r="123" customFormat="false" ht="15" hidden="false" customHeight="false" outlineLevel="0" collapsed="false">
      <c r="A123" s="41" t="str">
        <f aca="false">IF(LOTS!$A113="","",LOTS!$A113)</f>
        <v/>
      </c>
      <c r="B123" s="42" t="n">
        <f aca="false">IF(OR($A123="",B$14=""),0,SUMIFS(MVT_NET,MVT_LOT,$A123,MVT_EMPL,B$14))</f>
        <v>0</v>
      </c>
      <c r="C123" s="42" t="n">
        <f aca="false">IF(OR($A123="",C$14=""),0,SUMIFS(MVT_NET,MVT_LOT,$A123,MVT_EMPL,C$14))</f>
        <v>0</v>
      </c>
      <c r="D123" s="42" t="n">
        <f aca="false">IF(OR($A123="",D$14=""),0,SUMIFS(MVT_NET,MVT_LOT,$A123,MVT_EMPL,D$14))</f>
        <v>0</v>
      </c>
      <c r="E123" s="42" t="n">
        <f aca="false">IF(OR($A123="",E$14=""),0,SUMIFS(MVT_NET,MVT_LOT,$A123,MVT_EMPL,E$14))</f>
        <v>0</v>
      </c>
      <c r="F123" s="42" t="n">
        <f aca="false">IF(OR($A123="",F$14=""),0,SUMIFS(MVT_NET,MVT_LOT,$A123,MVT_EMPL,F$14))</f>
        <v>0</v>
      </c>
      <c r="G123" s="42" t="n">
        <f aca="false">IF(OR($A123="",G$14=""),0,SUMIFS(MVT_NET,MVT_LOT,$A123,MVT_EMPL,G$14))</f>
        <v>0</v>
      </c>
      <c r="H123" s="42" t="n">
        <f aca="false">IF(OR($A123="",H$14=""),0,SUMIFS(MVT_NET,MVT_LOT,$A123,MVT_EMPL,H$14))</f>
        <v>0</v>
      </c>
      <c r="I123" s="42" t="n">
        <f aca="false">IF(OR($A123="",I$14=""),0,SUMIFS(MVT_NET,MVT_LOT,$A123,MVT_EMPL,I$14))</f>
        <v>0</v>
      </c>
      <c r="J123" s="42" t="n">
        <f aca="false">IF(OR($A123="",J$14=""),0,SUMIFS(MVT_NET,MVT_LOT,$A123,MVT_EMPL,J$14))</f>
        <v>0</v>
      </c>
      <c r="K123" s="42" t="n">
        <f aca="false">IF(OR($A123="",K$14=""),0,SUMIFS(MVT_NET,MVT_LOT,$A123,MVT_EMPL,K$14))</f>
        <v>0</v>
      </c>
      <c r="L123" s="42" t="n">
        <f aca="false">IF(OR($A123="",L$14=""),0,SUMIFS(MVT_NET,MVT_LOT,$A123,MVT_EMPL,L$14))</f>
        <v>0</v>
      </c>
      <c r="M123" s="42" t="n">
        <f aca="false">IF(OR($A123="",M$14=""),0,SUMIFS(MVT_NET,MVT_LOT,$A123,MVT_EMPL,M$14))</f>
        <v>0</v>
      </c>
      <c r="N123" s="43" t="n">
        <f aca="false">SUM($B123:$M123)</f>
        <v>0</v>
      </c>
      <c r="O123" s="44" t="n">
        <f aca="false">SUMPRODUCT(($B$13:$M$13="INTERNE")*$B123:$M123)</f>
        <v>0</v>
      </c>
      <c r="P123" s="44" t="n">
        <f aca="false">SUMPRODUCT(($B$13:$M$13="EXTERNE")*$B123:$M123)</f>
        <v>0</v>
      </c>
      <c r="Q123" s="44" t="n">
        <f aca="false">IF($A123="",0,SUMIFS(ST_ENCOURS,ST_LOT,$A123))</f>
        <v>0</v>
      </c>
      <c r="R123" s="45" t="str">
        <f aca="false">IF($A123="","",IFERROR(INDEX(LOT_EXTE,MATCH($A123,LOT_KEY,0)),""))</f>
        <v/>
      </c>
      <c r="S123" s="45" t="str">
        <f aca="false">IF($A123="","",IFERROR(INDEX(LOT_DECISION,MATCH($A123,LOT_KEY,0)),""))</f>
        <v/>
      </c>
      <c r="T123" s="44" t="n">
        <f aca="false">IF($S123="BLOQUER",MAX(0,$N123),0)</f>
        <v>0</v>
      </c>
      <c r="U123" s="46" t="str">
        <f aca="false">IF($A123="","",IF($N123&lt;-0.001,"STOCK NEGATIF - ANOMALIE",IF($T123&gt;0,"BLOQUE QUALITE","")))</f>
        <v/>
      </c>
    </row>
    <row r="124" customFormat="false" ht="15" hidden="false" customHeight="false" outlineLevel="0" collapsed="false">
      <c r="A124" s="41" t="str">
        <f aca="false">IF(LOTS!$A114="","",LOTS!$A114)</f>
        <v/>
      </c>
      <c r="B124" s="42" t="n">
        <f aca="false">IF(OR($A124="",B$14=""),0,SUMIFS(MVT_NET,MVT_LOT,$A124,MVT_EMPL,B$14))</f>
        <v>0</v>
      </c>
      <c r="C124" s="42" t="n">
        <f aca="false">IF(OR($A124="",C$14=""),0,SUMIFS(MVT_NET,MVT_LOT,$A124,MVT_EMPL,C$14))</f>
        <v>0</v>
      </c>
      <c r="D124" s="42" t="n">
        <f aca="false">IF(OR($A124="",D$14=""),0,SUMIFS(MVT_NET,MVT_LOT,$A124,MVT_EMPL,D$14))</f>
        <v>0</v>
      </c>
      <c r="E124" s="42" t="n">
        <f aca="false">IF(OR($A124="",E$14=""),0,SUMIFS(MVT_NET,MVT_LOT,$A124,MVT_EMPL,E$14))</f>
        <v>0</v>
      </c>
      <c r="F124" s="42" t="n">
        <f aca="false">IF(OR($A124="",F$14=""),0,SUMIFS(MVT_NET,MVT_LOT,$A124,MVT_EMPL,F$14))</f>
        <v>0</v>
      </c>
      <c r="G124" s="42" t="n">
        <f aca="false">IF(OR($A124="",G$14=""),0,SUMIFS(MVT_NET,MVT_LOT,$A124,MVT_EMPL,G$14))</f>
        <v>0</v>
      </c>
      <c r="H124" s="42" t="n">
        <f aca="false">IF(OR($A124="",H$14=""),0,SUMIFS(MVT_NET,MVT_LOT,$A124,MVT_EMPL,H$14))</f>
        <v>0</v>
      </c>
      <c r="I124" s="42" t="n">
        <f aca="false">IF(OR($A124="",I$14=""),0,SUMIFS(MVT_NET,MVT_LOT,$A124,MVT_EMPL,I$14))</f>
        <v>0</v>
      </c>
      <c r="J124" s="42" t="n">
        <f aca="false">IF(OR($A124="",J$14=""),0,SUMIFS(MVT_NET,MVT_LOT,$A124,MVT_EMPL,J$14))</f>
        <v>0</v>
      </c>
      <c r="K124" s="42" t="n">
        <f aca="false">IF(OR($A124="",K$14=""),0,SUMIFS(MVT_NET,MVT_LOT,$A124,MVT_EMPL,K$14))</f>
        <v>0</v>
      </c>
      <c r="L124" s="42" t="n">
        <f aca="false">IF(OR($A124="",L$14=""),0,SUMIFS(MVT_NET,MVT_LOT,$A124,MVT_EMPL,L$14))</f>
        <v>0</v>
      </c>
      <c r="M124" s="42" t="n">
        <f aca="false">IF(OR($A124="",M$14=""),0,SUMIFS(MVT_NET,MVT_LOT,$A124,MVT_EMPL,M$14))</f>
        <v>0</v>
      </c>
      <c r="N124" s="43" t="n">
        <f aca="false">SUM($B124:$M124)</f>
        <v>0</v>
      </c>
      <c r="O124" s="44" t="n">
        <f aca="false">SUMPRODUCT(($B$13:$M$13="INTERNE")*$B124:$M124)</f>
        <v>0</v>
      </c>
      <c r="P124" s="44" t="n">
        <f aca="false">SUMPRODUCT(($B$13:$M$13="EXTERNE")*$B124:$M124)</f>
        <v>0</v>
      </c>
      <c r="Q124" s="44" t="n">
        <f aca="false">IF($A124="",0,SUMIFS(ST_ENCOURS,ST_LOT,$A124))</f>
        <v>0</v>
      </c>
      <c r="R124" s="45" t="str">
        <f aca="false">IF($A124="","",IFERROR(INDEX(LOT_EXTE,MATCH($A124,LOT_KEY,0)),""))</f>
        <v/>
      </c>
      <c r="S124" s="45" t="str">
        <f aca="false">IF($A124="","",IFERROR(INDEX(LOT_DECISION,MATCH($A124,LOT_KEY,0)),""))</f>
        <v/>
      </c>
      <c r="T124" s="44" t="n">
        <f aca="false">IF($S124="BLOQUER",MAX(0,$N124),0)</f>
        <v>0</v>
      </c>
      <c r="U124" s="46" t="str">
        <f aca="false">IF($A124="","",IF($N124&lt;-0.001,"STOCK NEGATIF - ANOMALIE",IF($T124&gt;0,"BLOQUE QUALITE","")))</f>
        <v/>
      </c>
    </row>
    <row r="125" customFormat="false" ht="15" hidden="false" customHeight="false" outlineLevel="0" collapsed="false">
      <c r="A125" s="41" t="str">
        <f aca="false">IF(LOTS!$A115="","",LOTS!$A115)</f>
        <v/>
      </c>
      <c r="B125" s="42" t="n">
        <f aca="false">IF(OR($A125="",B$14=""),0,SUMIFS(MVT_NET,MVT_LOT,$A125,MVT_EMPL,B$14))</f>
        <v>0</v>
      </c>
      <c r="C125" s="42" t="n">
        <f aca="false">IF(OR($A125="",C$14=""),0,SUMIFS(MVT_NET,MVT_LOT,$A125,MVT_EMPL,C$14))</f>
        <v>0</v>
      </c>
      <c r="D125" s="42" t="n">
        <f aca="false">IF(OR($A125="",D$14=""),0,SUMIFS(MVT_NET,MVT_LOT,$A125,MVT_EMPL,D$14))</f>
        <v>0</v>
      </c>
      <c r="E125" s="42" t="n">
        <f aca="false">IF(OR($A125="",E$14=""),0,SUMIFS(MVT_NET,MVT_LOT,$A125,MVT_EMPL,E$14))</f>
        <v>0</v>
      </c>
      <c r="F125" s="42" t="n">
        <f aca="false">IF(OR($A125="",F$14=""),0,SUMIFS(MVT_NET,MVT_LOT,$A125,MVT_EMPL,F$14))</f>
        <v>0</v>
      </c>
      <c r="G125" s="42" t="n">
        <f aca="false">IF(OR($A125="",G$14=""),0,SUMIFS(MVT_NET,MVT_LOT,$A125,MVT_EMPL,G$14))</f>
        <v>0</v>
      </c>
      <c r="H125" s="42" t="n">
        <f aca="false">IF(OR($A125="",H$14=""),0,SUMIFS(MVT_NET,MVT_LOT,$A125,MVT_EMPL,H$14))</f>
        <v>0</v>
      </c>
      <c r="I125" s="42" t="n">
        <f aca="false">IF(OR($A125="",I$14=""),0,SUMIFS(MVT_NET,MVT_LOT,$A125,MVT_EMPL,I$14))</f>
        <v>0</v>
      </c>
      <c r="J125" s="42" t="n">
        <f aca="false">IF(OR($A125="",J$14=""),0,SUMIFS(MVT_NET,MVT_LOT,$A125,MVT_EMPL,J$14))</f>
        <v>0</v>
      </c>
      <c r="K125" s="42" t="n">
        <f aca="false">IF(OR($A125="",K$14=""),0,SUMIFS(MVT_NET,MVT_LOT,$A125,MVT_EMPL,K$14))</f>
        <v>0</v>
      </c>
      <c r="L125" s="42" t="n">
        <f aca="false">IF(OR($A125="",L$14=""),0,SUMIFS(MVT_NET,MVT_LOT,$A125,MVT_EMPL,L$14))</f>
        <v>0</v>
      </c>
      <c r="M125" s="42" t="n">
        <f aca="false">IF(OR($A125="",M$14=""),0,SUMIFS(MVT_NET,MVT_LOT,$A125,MVT_EMPL,M$14))</f>
        <v>0</v>
      </c>
      <c r="N125" s="43" t="n">
        <f aca="false">SUM($B125:$M125)</f>
        <v>0</v>
      </c>
      <c r="O125" s="44" t="n">
        <f aca="false">SUMPRODUCT(($B$13:$M$13="INTERNE")*$B125:$M125)</f>
        <v>0</v>
      </c>
      <c r="P125" s="44" t="n">
        <f aca="false">SUMPRODUCT(($B$13:$M$13="EXTERNE")*$B125:$M125)</f>
        <v>0</v>
      </c>
      <c r="Q125" s="44" t="n">
        <f aca="false">IF($A125="",0,SUMIFS(ST_ENCOURS,ST_LOT,$A125))</f>
        <v>0</v>
      </c>
      <c r="R125" s="45" t="str">
        <f aca="false">IF($A125="","",IFERROR(INDEX(LOT_EXTE,MATCH($A125,LOT_KEY,0)),""))</f>
        <v/>
      </c>
      <c r="S125" s="45" t="str">
        <f aca="false">IF($A125="","",IFERROR(INDEX(LOT_DECISION,MATCH($A125,LOT_KEY,0)),""))</f>
        <v/>
      </c>
      <c r="T125" s="44" t="n">
        <f aca="false">IF($S125="BLOQUER",MAX(0,$N125),0)</f>
        <v>0</v>
      </c>
      <c r="U125" s="46" t="str">
        <f aca="false">IF($A125="","",IF($N125&lt;-0.001,"STOCK NEGATIF - ANOMALIE",IF($T125&gt;0,"BLOQUE QUALITE","")))</f>
        <v/>
      </c>
    </row>
    <row r="126" customFormat="false" ht="15" hidden="false" customHeight="false" outlineLevel="0" collapsed="false">
      <c r="A126" s="41" t="str">
        <f aca="false">IF(LOTS!$A116="","",LOTS!$A116)</f>
        <v/>
      </c>
      <c r="B126" s="42" t="n">
        <f aca="false">IF(OR($A126="",B$14=""),0,SUMIFS(MVT_NET,MVT_LOT,$A126,MVT_EMPL,B$14))</f>
        <v>0</v>
      </c>
      <c r="C126" s="42" t="n">
        <f aca="false">IF(OR($A126="",C$14=""),0,SUMIFS(MVT_NET,MVT_LOT,$A126,MVT_EMPL,C$14))</f>
        <v>0</v>
      </c>
      <c r="D126" s="42" t="n">
        <f aca="false">IF(OR($A126="",D$14=""),0,SUMIFS(MVT_NET,MVT_LOT,$A126,MVT_EMPL,D$14))</f>
        <v>0</v>
      </c>
      <c r="E126" s="42" t="n">
        <f aca="false">IF(OR($A126="",E$14=""),0,SUMIFS(MVT_NET,MVT_LOT,$A126,MVT_EMPL,E$14))</f>
        <v>0</v>
      </c>
      <c r="F126" s="42" t="n">
        <f aca="false">IF(OR($A126="",F$14=""),0,SUMIFS(MVT_NET,MVT_LOT,$A126,MVT_EMPL,F$14))</f>
        <v>0</v>
      </c>
      <c r="G126" s="42" t="n">
        <f aca="false">IF(OR($A126="",G$14=""),0,SUMIFS(MVT_NET,MVT_LOT,$A126,MVT_EMPL,G$14))</f>
        <v>0</v>
      </c>
      <c r="H126" s="42" t="n">
        <f aca="false">IF(OR($A126="",H$14=""),0,SUMIFS(MVT_NET,MVT_LOT,$A126,MVT_EMPL,H$14))</f>
        <v>0</v>
      </c>
      <c r="I126" s="42" t="n">
        <f aca="false">IF(OR($A126="",I$14=""),0,SUMIFS(MVT_NET,MVT_LOT,$A126,MVT_EMPL,I$14))</f>
        <v>0</v>
      </c>
      <c r="J126" s="42" t="n">
        <f aca="false">IF(OR($A126="",J$14=""),0,SUMIFS(MVT_NET,MVT_LOT,$A126,MVT_EMPL,J$14))</f>
        <v>0</v>
      </c>
      <c r="K126" s="42" t="n">
        <f aca="false">IF(OR($A126="",K$14=""),0,SUMIFS(MVT_NET,MVT_LOT,$A126,MVT_EMPL,K$14))</f>
        <v>0</v>
      </c>
      <c r="L126" s="42" t="n">
        <f aca="false">IF(OR($A126="",L$14=""),0,SUMIFS(MVT_NET,MVT_LOT,$A126,MVT_EMPL,L$14))</f>
        <v>0</v>
      </c>
      <c r="M126" s="42" t="n">
        <f aca="false">IF(OR($A126="",M$14=""),0,SUMIFS(MVT_NET,MVT_LOT,$A126,MVT_EMPL,M$14))</f>
        <v>0</v>
      </c>
      <c r="N126" s="43" t="n">
        <f aca="false">SUM($B126:$M126)</f>
        <v>0</v>
      </c>
      <c r="O126" s="44" t="n">
        <f aca="false">SUMPRODUCT(($B$13:$M$13="INTERNE")*$B126:$M126)</f>
        <v>0</v>
      </c>
      <c r="P126" s="44" t="n">
        <f aca="false">SUMPRODUCT(($B$13:$M$13="EXTERNE")*$B126:$M126)</f>
        <v>0</v>
      </c>
      <c r="Q126" s="44" t="n">
        <f aca="false">IF($A126="",0,SUMIFS(ST_ENCOURS,ST_LOT,$A126))</f>
        <v>0</v>
      </c>
      <c r="R126" s="45" t="str">
        <f aca="false">IF($A126="","",IFERROR(INDEX(LOT_EXTE,MATCH($A126,LOT_KEY,0)),""))</f>
        <v/>
      </c>
      <c r="S126" s="45" t="str">
        <f aca="false">IF($A126="","",IFERROR(INDEX(LOT_DECISION,MATCH($A126,LOT_KEY,0)),""))</f>
        <v/>
      </c>
      <c r="T126" s="44" t="n">
        <f aca="false">IF($S126="BLOQUER",MAX(0,$N126),0)</f>
        <v>0</v>
      </c>
      <c r="U126" s="46" t="str">
        <f aca="false">IF($A126="","",IF($N126&lt;-0.001,"STOCK NEGATIF - ANOMALIE",IF($T126&gt;0,"BLOQUE QUALITE","")))</f>
        <v/>
      </c>
    </row>
    <row r="127" customFormat="false" ht="15" hidden="false" customHeight="false" outlineLevel="0" collapsed="false">
      <c r="A127" s="41" t="str">
        <f aca="false">IF(LOTS!$A117="","",LOTS!$A117)</f>
        <v/>
      </c>
      <c r="B127" s="42" t="n">
        <f aca="false">IF(OR($A127="",B$14=""),0,SUMIFS(MVT_NET,MVT_LOT,$A127,MVT_EMPL,B$14))</f>
        <v>0</v>
      </c>
      <c r="C127" s="42" t="n">
        <f aca="false">IF(OR($A127="",C$14=""),0,SUMIFS(MVT_NET,MVT_LOT,$A127,MVT_EMPL,C$14))</f>
        <v>0</v>
      </c>
      <c r="D127" s="42" t="n">
        <f aca="false">IF(OR($A127="",D$14=""),0,SUMIFS(MVT_NET,MVT_LOT,$A127,MVT_EMPL,D$14))</f>
        <v>0</v>
      </c>
      <c r="E127" s="42" t="n">
        <f aca="false">IF(OR($A127="",E$14=""),0,SUMIFS(MVT_NET,MVT_LOT,$A127,MVT_EMPL,E$14))</f>
        <v>0</v>
      </c>
      <c r="F127" s="42" t="n">
        <f aca="false">IF(OR($A127="",F$14=""),0,SUMIFS(MVT_NET,MVT_LOT,$A127,MVT_EMPL,F$14))</f>
        <v>0</v>
      </c>
      <c r="G127" s="42" t="n">
        <f aca="false">IF(OR($A127="",G$14=""),0,SUMIFS(MVT_NET,MVT_LOT,$A127,MVT_EMPL,G$14))</f>
        <v>0</v>
      </c>
      <c r="H127" s="42" t="n">
        <f aca="false">IF(OR($A127="",H$14=""),0,SUMIFS(MVT_NET,MVT_LOT,$A127,MVT_EMPL,H$14))</f>
        <v>0</v>
      </c>
      <c r="I127" s="42" t="n">
        <f aca="false">IF(OR($A127="",I$14=""),0,SUMIFS(MVT_NET,MVT_LOT,$A127,MVT_EMPL,I$14))</f>
        <v>0</v>
      </c>
      <c r="J127" s="42" t="n">
        <f aca="false">IF(OR($A127="",J$14=""),0,SUMIFS(MVT_NET,MVT_LOT,$A127,MVT_EMPL,J$14))</f>
        <v>0</v>
      </c>
      <c r="K127" s="42" t="n">
        <f aca="false">IF(OR($A127="",K$14=""),0,SUMIFS(MVT_NET,MVT_LOT,$A127,MVT_EMPL,K$14))</f>
        <v>0</v>
      </c>
      <c r="L127" s="42" t="n">
        <f aca="false">IF(OR($A127="",L$14=""),0,SUMIFS(MVT_NET,MVT_LOT,$A127,MVT_EMPL,L$14))</f>
        <v>0</v>
      </c>
      <c r="M127" s="42" t="n">
        <f aca="false">IF(OR($A127="",M$14=""),0,SUMIFS(MVT_NET,MVT_LOT,$A127,MVT_EMPL,M$14))</f>
        <v>0</v>
      </c>
      <c r="N127" s="43" t="n">
        <f aca="false">SUM($B127:$M127)</f>
        <v>0</v>
      </c>
      <c r="O127" s="44" t="n">
        <f aca="false">SUMPRODUCT(($B$13:$M$13="INTERNE")*$B127:$M127)</f>
        <v>0</v>
      </c>
      <c r="P127" s="44" t="n">
        <f aca="false">SUMPRODUCT(($B$13:$M$13="EXTERNE")*$B127:$M127)</f>
        <v>0</v>
      </c>
      <c r="Q127" s="44" t="n">
        <f aca="false">IF($A127="",0,SUMIFS(ST_ENCOURS,ST_LOT,$A127))</f>
        <v>0</v>
      </c>
      <c r="R127" s="45" t="str">
        <f aca="false">IF($A127="","",IFERROR(INDEX(LOT_EXTE,MATCH($A127,LOT_KEY,0)),""))</f>
        <v/>
      </c>
      <c r="S127" s="45" t="str">
        <f aca="false">IF($A127="","",IFERROR(INDEX(LOT_DECISION,MATCH($A127,LOT_KEY,0)),""))</f>
        <v/>
      </c>
      <c r="T127" s="44" t="n">
        <f aca="false">IF($S127="BLOQUER",MAX(0,$N127),0)</f>
        <v>0</v>
      </c>
      <c r="U127" s="46" t="str">
        <f aca="false">IF($A127="","",IF($N127&lt;-0.001,"STOCK NEGATIF - ANOMALIE",IF($T127&gt;0,"BLOQUE QUALITE","")))</f>
        <v/>
      </c>
    </row>
    <row r="128" customFormat="false" ht="15" hidden="false" customHeight="false" outlineLevel="0" collapsed="false">
      <c r="A128" s="41" t="str">
        <f aca="false">IF(LOTS!$A118="","",LOTS!$A118)</f>
        <v/>
      </c>
      <c r="B128" s="42" t="n">
        <f aca="false">IF(OR($A128="",B$14=""),0,SUMIFS(MVT_NET,MVT_LOT,$A128,MVT_EMPL,B$14))</f>
        <v>0</v>
      </c>
      <c r="C128" s="42" t="n">
        <f aca="false">IF(OR($A128="",C$14=""),0,SUMIFS(MVT_NET,MVT_LOT,$A128,MVT_EMPL,C$14))</f>
        <v>0</v>
      </c>
      <c r="D128" s="42" t="n">
        <f aca="false">IF(OR($A128="",D$14=""),0,SUMIFS(MVT_NET,MVT_LOT,$A128,MVT_EMPL,D$14))</f>
        <v>0</v>
      </c>
      <c r="E128" s="42" t="n">
        <f aca="false">IF(OR($A128="",E$14=""),0,SUMIFS(MVT_NET,MVT_LOT,$A128,MVT_EMPL,E$14))</f>
        <v>0</v>
      </c>
      <c r="F128" s="42" t="n">
        <f aca="false">IF(OR($A128="",F$14=""),0,SUMIFS(MVT_NET,MVT_LOT,$A128,MVT_EMPL,F$14))</f>
        <v>0</v>
      </c>
      <c r="G128" s="42" t="n">
        <f aca="false">IF(OR($A128="",G$14=""),0,SUMIFS(MVT_NET,MVT_LOT,$A128,MVT_EMPL,G$14))</f>
        <v>0</v>
      </c>
      <c r="H128" s="42" t="n">
        <f aca="false">IF(OR($A128="",H$14=""),0,SUMIFS(MVT_NET,MVT_LOT,$A128,MVT_EMPL,H$14))</f>
        <v>0</v>
      </c>
      <c r="I128" s="42" t="n">
        <f aca="false">IF(OR($A128="",I$14=""),0,SUMIFS(MVT_NET,MVT_LOT,$A128,MVT_EMPL,I$14))</f>
        <v>0</v>
      </c>
      <c r="J128" s="42" t="n">
        <f aca="false">IF(OR($A128="",J$14=""),0,SUMIFS(MVT_NET,MVT_LOT,$A128,MVT_EMPL,J$14))</f>
        <v>0</v>
      </c>
      <c r="K128" s="42" t="n">
        <f aca="false">IF(OR($A128="",K$14=""),0,SUMIFS(MVT_NET,MVT_LOT,$A128,MVT_EMPL,K$14))</f>
        <v>0</v>
      </c>
      <c r="L128" s="42" t="n">
        <f aca="false">IF(OR($A128="",L$14=""),0,SUMIFS(MVT_NET,MVT_LOT,$A128,MVT_EMPL,L$14))</f>
        <v>0</v>
      </c>
      <c r="M128" s="42" t="n">
        <f aca="false">IF(OR($A128="",M$14=""),0,SUMIFS(MVT_NET,MVT_LOT,$A128,MVT_EMPL,M$14))</f>
        <v>0</v>
      </c>
      <c r="N128" s="43" t="n">
        <f aca="false">SUM($B128:$M128)</f>
        <v>0</v>
      </c>
      <c r="O128" s="44" t="n">
        <f aca="false">SUMPRODUCT(($B$13:$M$13="INTERNE")*$B128:$M128)</f>
        <v>0</v>
      </c>
      <c r="P128" s="44" t="n">
        <f aca="false">SUMPRODUCT(($B$13:$M$13="EXTERNE")*$B128:$M128)</f>
        <v>0</v>
      </c>
      <c r="Q128" s="44" t="n">
        <f aca="false">IF($A128="",0,SUMIFS(ST_ENCOURS,ST_LOT,$A128))</f>
        <v>0</v>
      </c>
      <c r="R128" s="45" t="str">
        <f aca="false">IF($A128="","",IFERROR(INDEX(LOT_EXTE,MATCH($A128,LOT_KEY,0)),""))</f>
        <v/>
      </c>
      <c r="S128" s="45" t="str">
        <f aca="false">IF($A128="","",IFERROR(INDEX(LOT_DECISION,MATCH($A128,LOT_KEY,0)),""))</f>
        <v/>
      </c>
      <c r="T128" s="44" t="n">
        <f aca="false">IF($S128="BLOQUER",MAX(0,$N128),0)</f>
        <v>0</v>
      </c>
      <c r="U128" s="46" t="str">
        <f aca="false">IF($A128="","",IF($N128&lt;-0.001,"STOCK NEGATIF - ANOMALIE",IF($T128&gt;0,"BLOQUE QUALITE","")))</f>
        <v/>
      </c>
    </row>
    <row r="129" customFormat="false" ht="15" hidden="false" customHeight="false" outlineLevel="0" collapsed="false">
      <c r="A129" s="41" t="str">
        <f aca="false">IF(LOTS!$A119="","",LOTS!$A119)</f>
        <v/>
      </c>
      <c r="B129" s="42" t="n">
        <f aca="false">IF(OR($A129="",B$14=""),0,SUMIFS(MVT_NET,MVT_LOT,$A129,MVT_EMPL,B$14))</f>
        <v>0</v>
      </c>
      <c r="C129" s="42" t="n">
        <f aca="false">IF(OR($A129="",C$14=""),0,SUMIFS(MVT_NET,MVT_LOT,$A129,MVT_EMPL,C$14))</f>
        <v>0</v>
      </c>
      <c r="D129" s="42" t="n">
        <f aca="false">IF(OR($A129="",D$14=""),0,SUMIFS(MVT_NET,MVT_LOT,$A129,MVT_EMPL,D$14))</f>
        <v>0</v>
      </c>
      <c r="E129" s="42" t="n">
        <f aca="false">IF(OR($A129="",E$14=""),0,SUMIFS(MVT_NET,MVT_LOT,$A129,MVT_EMPL,E$14))</f>
        <v>0</v>
      </c>
      <c r="F129" s="42" t="n">
        <f aca="false">IF(OR($A129="",F$14=""),0,SUMIFS(MVT_NET,MVT_LOT,$A129,MVT_EMPL,F$14))</f>
        <v>0</v>
      </c>
      <c r="G129" s="42" t="n">
        <f aca="false">IF(OR($A129="",G$14=""),0,SUMIFS(MVT_NET,MVT_LOT,$A129,MVT_EMPL,G$14))</f>
        <v>0</v>
      </c>
      <c r="H129" s="42" t="n">
        <f aca="false">IF(OR($A129="",H$14=""),0,SUMIFS(MVT_NET,MVT_LOT,$A129,MVT_EMPL,H$14))</f>
        <v>0</v>
      </c>
      <c r="I129" s="42" t="n">
        <f aca="false">IF(OR($A129="",I$14=""),0,SUMIFS(MVT_NET,MVT_LOT,$A129,MVT_EMPL,I$14))</f>
        <v>0</v>
      </c>
      <c r="J129" s="42" t="n">
        <f aca="false">IF(OR($A129="",J$14=""),0,SUMIFS(MVT_NET,MVT_LOT,$A129,MVT_EMPL,J$14))</f>
        <v>0</v>
      </c>
      <c r="K129" s="42" t="n">
        <f aca="false">IF(OR($A129="",K$14=""),0,SUMIFS(MVT_NET,MVT_LOT,$A129,MVT_EMPL,K$14))</f>
        <v>0</v>
      </c>
      <c r="L129" s="42" t="n">
        <f aca="false">IF(OR($A129="",L$14=""),0,SUMIFS(MVT_NET,MVT_LOT,$A129,MVT_EMPL,L$14))</f>
        <v>0</v>
      </c>
      <c r="M129" s="42" t="n">
        <f aca="false">IF(OR($A129="",M$14=""),0,SUMIFS(MVT_NET,MVT_LOT,$A129,MVT_EMPL,M$14))</f>
        <v>0</v>
      </c>
      <c r="N129" s="43" t="n">
        <f aca="false">SUM($B129:$M129)</f>
        <v>0</v>
      </c>
      <c r="O129" s="44" t="n">
        <f aca="false">SUMPRODUCT(($B$13:$M$13="INTERNE")*$B129:$M129)</f>
        <v>0</v>
      </c>
      <c r="P129" s="44" t="n">
        <f aca="false">SUMPRODUCT(($B$13:$M$13="EXTERNE")*$B129:$M129)</f>
        <v>0</v>
      </c>
      <c r="Q129" s="44" t="n">
        <f aca="false">IF($A129="",0,SUMIFS(ST_ENCOURS,ST_LOT,$A129))</f>
        <v>0</v>
      </c>
      <c r="R129" s="45" t="str">
        <f aca="false">IF($A129="","",IFERROR(INDEX(LOT_EXTE,MATCH($A129,LOT_KEY,0)),""))</f>
        <v/>
      </c>
      <c r="S129" s="45" t="str">
        <f aca="false">IF($A129="","",IFERROR(INDEX(LOT_DECISION,MATCH($A129,LOT_KEY,0)),""))</f>
        <v/>
      </c>
      <c r="T129" s="44" t="n">
        <f aca="false">IF($S129="BLOQUER",MAX(0,$N129),0)</f>
        <v>0</v>
      </c>
      <c r="U129" s="46" t="str">
        <f aca="false">IF($A129="","",IF($N129&lt;-0.001,"STOCK NEGATIF - ANOMALIE",IF($T129&gt;0,"BLOQUE QUALITE","")))</f>
        <v/>
      </c>
    </row>
    <row r="130" customFormat="false" ht="15" hidden="false" customHeight="false" outlineLevel="0" collapsed="false">
      <c r="A130" s="41" t="str">
        <f aca="false">IF(LOTS!$A120="","",LOTS!$A120)</f>
        <v/>
      </c>
      <c r="B130" s="42" t="n">
        <f aca="false">IF(OR($A130="",B$14=""),0,SUMIFS(MVT_NET,MVT_LOT,$A130,MVT_EMPL,B$14))</f>
        <v>0</v>
      </c>
      <c r="C130" s="42" t="n">
        <f aca="false">IF(OR($A130="",C$14=""),0,SUMIFS(MVT_NET,MVT_LOT,$A130,MVT_EMPL,C$14))</f>
        <v>0</v>
      </c>
      <c r="D130" s="42" t="n">
        <f aca="false">IF(OR($A130="",D$14=""),0,SUMIFS(MVT_NET,MVT_LOT,$A130,MVT_EMPL,D$14))</f>
        <v>0</v>
      </c>
      <c r="E130" s="42" t="n">
        <f aca="false">IF(OR($A130="",E$14=""),0,SUMIFS(MVT_NET,MVT_LOT,$A130,MVT_EMPL,E$14))</f>
        <v>0</v>
      </c>
      <c r="F130" s="42" t="n">
        <f aca="false">IF(OR($A130="",F$14=""),0,SUMIFS(MVT_NET,MVT_LOT,$A130,MVT_EMPL,F$14))</f>
        <v>0</v>
      </c>
      <c r="G130" s="42" t="n">
        <f aca="false">IF(OR($A130="",G$14=""),0,SUMIFS(MVT_NET,MVT_LOT,$A130,MVT_EMPL,G$14))</f>
        <v>0</v>
      </c>
      <c r="H130" s="42" t="n">
        <f aca="false">IF(OR($A130="",H$14=""),0,SUMIFS(MVT_NET,MVT_LOT,$A130,MVT_EMPL,H$14))</f>
        <v>0</v>
      </c>
      <c r="I130" s="42" t="n">
        <f aca="false">IF(OR($A130="",I$14=""),0,SUMIFS(MVT_NET,MVT_LOT,$A130,MVT_EMPL,I$14))</f>
        <v>0</v>
      </c>
      <c r="J130" s="42" t="n">
        <f aca="false">IF(OR($A130="",J$14=""),0,SUMIFS(MVT_NET,MVT_LOT,$A130,MVT_EMPL,J$14))</f>
        <v>0</v>
      </c>
      <c r="K130" s="42" t="n">
        <f aca="false">IF(OR($A130="",K$14=""),0,SUMIFS(MVT_NET,MVT_LOT,$A130,MVT_EMPL,K$14))</f>
        <v>0</v>
      </c>
      <c r="L130" s="42" t="n">
        <f aca="false">IF(OR($A130="",L$14=""),0,SUMIFS(MVT_NET,MVT_LOT,$A130,MVT_EMPL,L$14))</f>
        <v>0</v>
      </c>
      <c r="M130" s="42" t="n">
        <f aca="false">IF(OR($A130="",M$14=""),0,SUMIFS(MVT_NET,MVT_LOT,$A130,MVT_EMPL,M$14))</f>
        <v>0</v>
      </c>
      <c r="N130" s="43" t="n">
        <f aca="false">SUM($B130:$M130)</f>
        <v>0</v>
      </c>
      <c r="O130" s="44" t="n">
        <f aca="false">SUMPRODUCT(($B$13:$M$13="INTERNE")*$B130:$M130)</f>
        <v>0</v>
      </c>
      <c r="P130" s="44" t="n">
        <f aca="false">SUMPRODUCT(($B$13:$M$13="EXTERNE")*$B130:$M130)</f>
        <v>0</v>
      </c>
      <c r="Q130" s="44" t="n">
        <f aca="false">IF($A130="",0,SUMIFS(ST_ENCOURS,ST_LOT,$A130))</f>
        <v>0</v>
      </c>
      <c r="R130" s="45" t="str">
        <f aca="false">IF($A130="","",IFERROR(INDEX(LOT_EXTE,MATCH($A130,LOT_KEY,0)),""))</f>
        <v/>
      </c>
      <c r="S130" s="45" t="str">
        <f aca="false">IF($A130="","",IFERROR(INDEX(LOT_DECISION,MATCH($A130,LOT_KEY,0)),""))</f>
        <v/>
      </c>
      <c r="T130" s="44" t="n">
        <f aca="false">IF($S130="BLOQUER",MAX(0,$N130),0)</f>
        <v>0</v>
      </c>
      <c r="U130" s="46" t="str">
        <f aca="false">IF($A130="","",IF($N130&lt;-0.001,"STOCK NEGATIF - ANOMALIE",IF($T130&gt;0,"BLOQUE QUALITE","")))</f>
        <v/>
      </c>
    </row>
    <row r="131" customFormat="false" ht="15" hidden="false" customHeight="false" outlineLevel="0" collapsed="false">
      <c r="A131" s="41" t="str">
        <f aca="false">IF(LOTS!$A121="","",LOTS!$A121)</f>
        <v/>
      </c>
      <c r="B131" s="42" t="n">
        <f aca="false">IF(OR($A131="",B$14=""),0,SUMIFS(MVT_NET,MVT_LOT,$A131,MVT_EMPL,B$14))</f>
        <v>0</v>
      </c>
      <c r="C131" s="42" t="n">
        <f aca="false">IF(OR($A131="",C$14=""),0,SUMIFS(MVT_NET,MVT_LOT,$A131,MVT_EMPL,C$14))</f>
        <v>0</v>
      </c>
      <c r="D131" s="42" t="n">
        <f aca="false">IF(OR($A131="",D$14=""),0,SUMIFS(MVT_NET,MVT_LOT,$A131,MVT_EMPL,D$14))</f>
        <v>0</v>
      </c>
      <c r="E131" s="42" t="n">
        <f aca="false">IF(OR($A131="",E$14=""),0,SUMIFS(MVT_NET,MVT_LOT,$A131,MVT_EMPL,E$14))</f>
        <v>0</v>
      </c>
      <c r="F131" s="42" t="n">
        <f aca="false">IF(OR($A131="",F$14=""),0,SUMIFS(MVT_NET,MVT_LOT,$A131,MVT_EMPL,F$14))</f>
        <v>0</v>
      </c>
      <c r="G131" s="42" t="n">
        <f aca="false">IF(OR($A131="",G$14=""),0,SUMIFS(MVT_NET,MVT_LOT,$A131,MVT_EMPL,G$14))</f>
        <v>0</v>
      </c>
      <c r="H131" s="42" t="n">
        <f aca="false">IF(OR($A131="",H$14=""),0,SUMIFS(MVT_NET,MVT_LOT,$A131,MVT_EMPL,H$14))</f>
        <v>0</v>
      </c>
      <c r="I131" s="42" t="n">
        <f aca="false">IF(OR($A131="",I$14=""),0,SUMIFS(MVT_NET,MVT_LOT,$A131,MVT_EMPL,I$14))</f>
        <v>0</v>
      </c>
      <c r="J131" s="42" t="n">
        <f aca="false">IF(OR($A131="",J$14=""),0,SUMIFS(MVT_NET,MVT_LOT,$A131,MVT_EMPL,J$14))</f>
        <v>0</v>
      </c>
      <c r="K131" s="42" t="n">
        <f aca="false">IF(OR($A131="",K$14=""),0,SUMIFS(MVT_NET,MVT_LOT,$A131,MVT_EMPL,K$14))</f>
        <v>0</v>
      </c>
      <c r="L131" s="42" t="n">
        <f aca="false">IF(OR($A131="",L$14=""),0,SUMIFS(MVT_NET,MVT_LOT,$A131,MVT_EMPL,L$14))</f>
        <v>0</v>
      </c>
      <c r="M131" s="42" t="n">
        <f aca="false">IF(OR($A131="",M$14=""),0,SUMIFS(MVT_NET,MVT_LOT,$A131,MVT_EMPL,M$14))</f>
        <v>0</v>
      </c>
      <c r="N131" s="43" t="n">
        <f aca="false">SUM($B131:$M131)</f>
        <v>0</v>
      </c>
      <c r="O131" s="44" t="n">
        <f aca="false">SUMPRODUCT(($B$13:$M$13="INTERNE")*$B131:$M131)</f>
        <v>0</v>
      </c>
      <c r="P131" s="44" t="n">
        <f aca="false">SUMPRODUCT(($B$13:$M$13="EXTERNE")*$B131:$M131)</f>
        <v>0</v>
      </c>
      <c r="Q131" s="44" t="n">
        <f aca="false">IF($A131="",0,SUMIFS(ST_ENCOURS,ST_LOT,$A131))</f>
        <v>0</v>
      </c>
      <c r="R131" s="45" t="str">
        <f aca="false">IF($A131="","",IFERROR(INDEX(LOT_EXTE,MATCH($A131,LOT_KEY,0)),""))</f>
        <v/>
      </c>
      <c r="S131" s="45" t="str">
        <f aca="false">IF($A131="","",IFERROR(INDEX(LOT_DECISION,MATCH($A131,LOT_KEY,0)),""))</f>
        <v/>
      </c>
      <c r="T131" s="44" t="n">
        <f aca="false">IF($S131="BLOQUER",MAX(0,$N131),0)</f>
        <v>0</v>
      </c>
      <c r="U131" s="46" t="str">
        <f aca="false">IF($A131="","",IF($N131&lt;-0.001,"STOCK NEGATIF - ANOMALIE",IF($T131&gt;0,"BLOQUE QUALITE","")))</f>
        <v/>
      </c>
    </row>
    <row r="132" customFormat="false" ht="15" hidden="false" customHeight="false" outlineLevel="0" collapsed="false">
      <c r="A132" s="41" t="str">
        <f aca="false">IF(LOTS!$A122="","",LOTS!$A122)</f>
        <v/>
      </c>
      <c r="B132" s="42" t="n">
        <f aca="false">IF(OR($A132="",B$14=""),0,SUMIFS(MVT_NET,MVT_LOT,$A132,MVT_EMPL,B$14))</f>
        <v>0</v>
      </c>
      <c r="C132" s="42" t="n">
        <f aca="false">IF(OR($A132="",C$14=""),0,SUMIFS(MVT_NET,MVT_LOT,$A132,MVT_EMPL,C$14))</f>
        <v>0</v>
      </c>
      <c r="D132" s="42" t="n">
        <f aca="false">IF(OR($A132="",D$14=""),0,SUMIFS(MVT_NET,MVT_LOT,$A132,MVT_EMPL,D$14))</f>
        <v>0</v>
      </c>
      <c r="E132" s="42" t="n">
        <f aca="false">IF(OR($A132="",E$14=""),0,SUMIFS(MVT_NET,MVT_LOT,$A132,MVT_EMPL,E$14))</f>
        <v>0</v>
      </c>
      <c r="F132" s="42" t="n">
        <f aca="false">IF(OR($A132="",F$14=""),0,SUMIFS(MVT_NET,MVT_LOT,$A132,MVT_EMPL,F$14))</f>
        <v>0</v>
      </c>
      <c r="G132" s="42" t="n">
        <f aca="false">IF(OR($A132="",G$14=""),0,SUMIFS(MVT_NET,MVT_LOT,$A132,MVT_EMPL,G$14))</f>
        <v>0</v>
      </c>
      <c r="H132" s="42" t="n">
        <f aca="false">IF(OR($A132="",H$14=""),0,SUMIFS(MVT_NET,MVT_LOT,$A132,MVT_EMPL,H$14))</f>
        <v>0</v>
      </c>
      <c r="I132" s="42" t="n">
        <f aca="false">IF(OR($A132="",I$14=""),0,SUMIFS(MVT_NET,MVT_LOT,$A132,MVT_EMPL,I$14))</f>
        <v>0</v>
      </c>
      <c r="J132" s="42" t="n">
        <f aca="false">IF(OR($A132="",J$14=""),0,SUMIFS(MVT_NET,MVT_LOT,$A132,MVT_EMPL,J$14))</f>
        <v>0</v>
      </c>
      <c r="K132" s="42" t="n">
        <f aca="false">IF(OR($A132="",K$14=""),0,SUMIFS(MVT_NET,MVT_LOT,$A132,MVT_EMPL,K$14))</f>
        <v>0</v>
      </c>
      <c r="L132" s="42" t="n">
        <f aca="false">IF(OR($A132="",L$14=""),0,SUMIFS(MVT_NET,MVT_LOT,$A132,MVT_EMPL,L$14))</f>
        <v>0</v>
      </c>
      <c r="M132" s="42" t="n">
        <f aca="false">IF(OR($A132="",M$14=""),0,SUMIFS(MVT_NET,MVT_LOT,$A132,MVT_EMPL,M$14))</f>
        <v>0</v>
      </c>
      <c r="N132" s="43" t="n">
        <f aca="false">SUM($B132:$M132)</f>
        <v>0</v>
      </c>
      <c r="O132" s="44" t="n">
        <f aca="false">SUMPRODUCT(($B$13:$M$13="INTERNE")*$B132:$M132)</f>
        <v>0</v>
      </c>
      <c r="P132" s="44" t="n">
        <f aca="false">SUMPRODUCT(($B$13:$M$13="EXTERNE")*$B132:$M132)</f>
        <v>0</v>
      </c>
      <c r="Q132" s="44" t="n">
        <f aca="false">IF($A132="",0,SUMIFS(ST_ENCOURS,ST_LOT,$A132))</f>
        <v>0</v>
      </c>
      <c r="R132" s="45" t="str">
        <f aca="false">IF($A132="","",IFERROR(INDEX(LOT_EXTE,MATCH($A132,LOT_KEY,0)),""))</f>
        <v/>
      </c>
      <c r="S132" s="45" t="str">
        <f aca="false">IF($A132="","",IFERROR(INDEX(LOT_DECISION,MATCH($A132,LOT_KEY,0)),""))</f>
        <v/>
      </c>
      <c r="T132" s="44" t="n">
        <f aca="false">IF($S132="BLOQUER",MAX(0,$N132),0)</f>
        <v>0</v>
      </c>
      <c r="U132" s="46" t="str">
        <f aca="false">IF($A132="","",IF($N132&lt;-0.001,"STOCK NEGATIF - ANOMALIE",IF($T132&gt;0,"BLOQUE QUALITE","")))</f>
        <v/>
      </c>
    </row>
    <row r="133" customFormat="false" ht="15" hidden="false" customHeight="false" outlineLevel="0" collapsed="false">
      <c r="A133" s="41" t="str">
        <f aca="false">IF(LOTS!$A123="","",LOTS!$A123)</f>
        <v/>
      </c>
      <c r="B133" s="42" t="n">
        <f aca="false">IF(OR($A133="",B$14=""),0,SUMIFS(MVT_NET,MVT_LOT,$A133,MVT_EMPL,B$14))</f>
        <v>0</v>
      </c>
      <c r="C133" s="42" t="n">
        <f aca="false">IF(OR($A133="",C$14=""),0,SUMIFS(MVT_NET,MVT_LOT,$A133,MVT_EMPL,C$14))</f>
        <v>0</v>
      </c>
      <c r="D133" s="42" t="n">
        <f aca="false">IF(OR($A133="",D$14=""),0,SUMIFS(MVT_NET,MVT_LOT,$A133,MVT_EMPL,D$14))</f>
        <v>0</v>
      </c>
      <c r="E133" s="42" t="n">
        <f aca="false">IF(OR($A133="",E$14=""),0,SUMIFS(MVT_NET,MVT_LOT,$A133,MVT_EMPL,E$14))</f>
        <v>0</v>
      </c>
      <c r="F133" s="42" t="n">
        <f aca="false">IF(OR($A133="",F$14=""),0,SUMIFS(MVT_NET,MVT_LOT,$A133,MVT_EMPL,F$14))</f>
        <v>0</v>
      </c>
      <c r="G133" s="42" t="n">
        <f aca="false">IF(OR($A133="",G$14=""),0,SUMIFS(MVT_NET,MVT_LOT,$A133,MVT_EMPL,G$14))</f>
        <v>0</v>
      </c>
      <c r="H133" s="42" t="n">
        <f aca="false">IF(OR($A133="",H$14=""),0,SUMIFS(MVT_NET,MVT_LOT,$A133,MVT_EMPL,H$14))</f>
        <v>0</v>
      </c>
      <c r="I133" s="42" t="n">
        <f aca="false">IF(OR($A133="",I$14=""),0,SUMIFS(MVT_NET,MVT_LOT,$A133,MVT_EMPL,I$14))</f>
        <v>0</v>
      </c>
      <c r="J133" s="42" t="n">
        <f aca="false">IF(OR($A133="",J$14=""),0,SUMIFS(MVT_NET,MVT_LOT,$A133,MVT_EMPL,J$14))</f>
        <v>0</v>
      </c>
      <c r="K133" s="42" t="n">
        <f aca="false">IF(OR($A133="",K$14=""),0,SUMIFS(MVT_NET,MVT_LOT,$A133,MVT_EMPL,K$14))</f>
        <v>0</v>
      </c>
      <c r="L133" s="42" t="n">
        <f aca="false">IF(OR($A133="",L$14=""),0,SUMIFS(MVT_NET,MVT_LOT,$A133,MVT_EMPL,L$14))</f>
        <v>0</v>
      </c>
      <c r="M133" s="42" t="n">
        <f aca="false">IF(OR($A133="",M$14=""),0,SUMIFS(MVT_NET,MVT_LOT,$A133,MVT_EMPL,M$14))</f>
        <v>0</v>
      </c>
      <c r="N133" s="43" t="n">
        <f aca="false">SUM($B133:$M133)</f>
        <v>0</v>
      </c>
      <c r="O133" s="44" t="n">
        <f aca="false">SUMPRODUCT(($B$13:$M$13="INTERNE")*$B133:$M133)</f>
        <v>0</v>
      </c>
      <c r="P133" s="44" t="n">
        <f aca="false">SUMPRODUCT(($B$13:$M$13="EXTERNE")*$B133:$M133)</f>
        <v>0</v>
      </c>
      <c r="Q133" s="44" t="n">
        <f aca="false">IF($A133="",0,SUMIFS(ST_ENCOURS,ST_LOT,$A133))</f>
        <v>0</v>
      </c>
      <c r="R133" s="45" t="str">
        <f aca="false">IF($A133="","",IFERROR(INDEX(LOT_EXTE,MATCH($A133,LOT_KEY,0)),""))</f>
        <v/>
      </c>
      <c r="S133" s="45" t="str">
        <f aca="false">IF($A133="","",IFERROR(INDEX(LOT_DECISION,MATCH($A133,LOT_KEY,0)),""))</f>
        <v/>
      </c>
      <c r="T133" s="44" t="n">
        <f aca="false">IF($S133="BLOQUER",MAX(0,$N133),0)</f>
        <v>0</v>
      </c>
      <c r="U133" s="46" t="str">
        <f aca="false">IF($A133="","",IF($N133&lt;-0.001,"STOCK NEGATIF - ANOMALIE",IF($T133&gt;0,"BLOQUE QUALITE","")))</f>
        <v/>
      </c>
    </row>
    <row r="134" customFormat="false" ht="15" hidden="false" customHeight="false" outlineLevel="0" collapsed="false">
      <c r="A134" s="41" t="str">
        <f aca="false">IF(LOTS!$A124="","",LOTS!$A124)</f>
        <v/>
      </c>
      <c r="B134" s="42" t="n">
        <f aca="false">IF(OR($A134="",B$14=""),0,SUMIFS(MVT_NET,MVT_LOT,$A134,MVT_EMPL,B$14))</f>
        <v>0</v>
      </c>
      <c r="C134" s="42" t="n">
        <f aca="false">IF(OR($A134="",C$14=""),0,SUMIFS(MVT_NET,MVT_LOT,$A134,MVT_EMPL,C$14))</f>
        <v>0</v>
      </c>
      <c r="D134" s="42" t="n">
        <f aca="false">IF(OR($A134="",D$14=""),0,SUMIFS(MVT_NET,MVT_LOT,$A134,MVT_EMPL,D$14))</f>
        <v>0</v>
      </c>
      <c r="E134" s="42" t="n">
        <f aca="false">IF(OR($A134="",E$14=""),0,SUMIFS(MVT_NET,MVT_LOT,$A134,MVT_EMPL,E$14))</f>
        <v>0</v>
      </c>
      <c r="F134" s="42" t="n">
        <f aca="false">IF(OR($A134="",F$14=""),0,SUMIFS(MVT_NET,MVT_LOT,$A134,MVT_EMPL,F$14))</f>
        <v>0</v>
      </c>
      <c r="G134" s="42" t="n">
        <f aca="false">IF(OR($A134="",G$14=""),0,SUMIFS(MVT_NET,MVT_LOT,$A134,MVT_EMPL,G$14))</f>
        <v>0</v>
      </c>
      <c r="H134" s="42" t="n">
        <f aca="false">IF(OR($A134="",H$14=""),0,SUMIFS(MVT_NET,MVT_LOT,$A134,MVT_EMPL,H$14))</f>
        <v>0</v>
      </c>
      <c r="I134" s="42" t="n">
        <f aca="false">IF(OR($A134="",I$14=""),0,SUMIFS(MVT_NET,MVT_LOT,$A134,MVT_EMPL,I$14))</f>
        <v>0</v>
      </c>
      <c r="J134" s="42" t="n">
        <f aca="false">IF(OR($A134="",J$14=""),0,SUMIFS(MVT_NET,MVT_LOT,$A134,MVT_EMPL,J$14))</f>
        <v>0</v>
      </c>
      <c r="K134" s="42" t="n">
        <f aca="false">IF(OR($A134="",K$14=""),0,SUMIFS(MVT_NET,MVT_LOT,$A134,MVT_EMPL,K$14))</f>
        <v>0</v>
      </c>
      <c r="L134" s="42" t="n">
        <f aca="false">IF(OR($A134="",L$14=""),0,SUMIFS(MVT_NET,MVT_LOT,$A134,MVT_EMPL,L$14))</f>
        <v>0</v>
      </c>
      <c r="M134" s="42" t="n">
        <f aca="false">IF(OR($A134="",M$14=""),0,SUMIFS(MVT_NET,MVT_LOT,$A134,MVT_EMPL,M$14))</f>
        <v>0</v>
      </c>
      <c r="N134" s="43" t="n">
        <f aca="false">SUM($B134:$M134)</f>
        <v>0</v>
      </c>
      <c r="O134" s="44" t="n">
        <f aca="false">SUMPRODUCT(($B$13:$M$13="INTERNE")*$B134:$M134)</f>
        <v>0</v>
      </c>
      <c r="P134" s="44" t="n">
        <f aca="false">SUMPRODUCT(($B$13:$M$13="EXTERNE")*$B134:$M134)</f>
        <v>0</v>
      </c>
      <c r="Q134" s="44" t="n">
        <f aca="false">IF($A134="",0,SUMIFS(ST_ENCOURS,ST_LOT,$A134))</f>
        <v>0</v>
      </c>
      <c r="R134" s="45" t="str">
        <f aca="false">IF($A134="","",IFERROR(INDEX(LOT_EXTE,MATCH($A134,LOT_KEY,0)),""))</f>
        <v/>
      </c>
      <c r="S134" s="45" t="str">
        <f aca="false">IF($A134="","",IFERROR(INDEX(LOT_DECISION,MATCH($A134,LOT_KEY,0)),""))</f>
        <v/>
      </c>
      <c r="T134" s="44" t="n">
        <f aca="false">IF($S134="BLOQUER",MAX(0,$N134),0)</f>
        <v>0</v>
      </c>
      <c r="U134" s="46" t="str">
        <f aca="false">IF($A134="","",IF($N134&lt;-0.001,"STOCK NEGATIF - ANOMALIE",IF($T134&gt;0,"BLOQUE QUALITE","")))</f>
        <v/>
      </c>
    </row>
    <row r="135" customFormat="false" ht="15" hidden="false" customHeight="false" outlineLevel="0" collapsed="false">
      <c r="A135" s="41" t="str">
        <f aca="false">IF(LOTS!$A125="","",LOTS!$A125)</f>
        <v/>
      </c>
      <c r="B135" s="42" t="n">
        <f aca="false">IF(OR($A135="",B$14=""),0,SUMIFS(MVT_NET,MVT_LOT,$A135,MVT_EMPL,B$14))</f>
        <v>0</v>
      </c>
      <c r="C135" s="42" t="n">
        <f aca="false">IF(OR($A135="",C$14=""),0,SUMIFS(MVT_NET,MVT_LOT,$A135,MVT_EMPL,C$14))</f>
        <v>0</v>
      </c>
      <c r="D135" s="42" t="n">
        <f aca="false">IF(OR($A135="",D$14=""),0,SUMIFS(MVT_NET,MVT_LOT,$A135,MVT_EMPL,D$14))</f>
        <v>0</v>
      </c>
      <c r="E135" s="42" t="n">
        <f aca="false">IF(OR($A135="",E$14=""),0,SUMIFS(MVT_NET,MVT_LOT,$A135,MVT_EMPL,E$14))</f>
        <v>0</v>
      </c>
      <c r="F135" s="42" t="n">
        <f aca="false">IF(OR($A135="",F$14=""),0,SUMIFS(MVT_NET,MVT_LOT,$A135,MVT_EMPL,F$14))</f>
        <v>0</v>
      </c>
      <c r="G135" s="42" t="n">
        <f aca="false">IF(OR($A135="",G$14=""),0,SUMIFS(MVT_NET,MVT_LOT,$A135,MVT_EMPL,G$14))</f>
        <v>0</v>
      </c>
      <c r="H135" s="42" t="n">
        <f aca="false">IF(OR($A135="",H$14=""),0,SUMIFS(MVT_NET,MVT_LOT,$A135,MVT_EMPL,H$14))</f>
        <v>0</v>
      </c>
      <c r="I135" s="42" t="n">
        <f aca="false">IF(OR($A135="",I$14=""),0,SUMIFS(MVT_NET,MVT_LOT,$A135,MVT_EMPL,I$14))</f>
        <v>0</v>
      </c>
      <c r="J135" s="42" t="n">
        <f aca="false">IF(OR($A135="",J$14=""),0,SUMIFS(MVT_NET,MVT_LOT,$A135,MVT_EMPL,J$14))</f>
        <v>0</v>
      </c>
      <c r="K135" s="42" t="n">
        <f aca="false">IF(OR($A135="",K$14=""),0,SUMIFS(MVT_NET,MVT_LOT,$A135,MVT_EMPL,K$14))</f>
        <v>0</v>
      </c>
      <c r="L135" s="42" t="n">
        <f aca="false">IF(OR($A135="",L$14=""),0,SUMIFS(MVT_NET,MVT_LOT,$A135,MVT_EMPL,L$14))</f>
        <v>0</v>
      </c>
      <c r="M135" s="42" t="n">
        <f aca="false">IF(OR($A135="",M$14=""),0,SUMIFS(MVT_NET,MVT_LOT,$A135,MVT_EMPL,M$14))</f>
        <v>0</v>
      </c>
      <c r="N135" s="43" t="n">
        <f aca="false">SUM($B135:$M135)</f>
        <v>0</v>
      </c>
      <c r="O135" s="44" t="n">
        <f aca="false">SUMPRODUCT(($B$13:$M$13="INTERNE")*$B135:$M135)</f>
        <v>0</v>
      </c>
      <c r="P135" s="44" t="n">
        <f aca="false">SUMPRODUCT(($B$13:$M$13="EXTERNE")*$B135:$M135)</f>
        <v>0</v>
      </c>
      <c r="Q135" s="44" t="n">
        <f aca="false">IF($A135="",0,SUMIFS(ST_ENCOURS,ST_LOT,$A135))</f>
        <v>0</v>
      </c>
      <c r="R135" s="45" t="str">
        <f aca="false">IF($A135="","",IFERROR(INDEX(LOT_EXTE,MATCH($A135,LOT_KEY,0)),""))</f>
        <v/>
      </c>
      <c r="S135" s="45" t="str">
        <f aca="false">IF($A135="","",IFERROR(INDEX(LOT_DECISION,MATCH($A135,LOT_KEY,0)),""))</f>
        <v/>
      </c>
      <c r="T135" s="44" t="n">
        <f aca="false">IF($S135="BLOQUER",MAX(0,$N135),0)</f>
        <v>0</v>
      </c>
      <c r="U135" s="46" t="str">
        <f aca="false">IF($A135="","",IF($N135&lt;-0.001,"STOCK NEGATIF - ANOMALIE",IF($T135&gt;0,"BLOQUE QUALITE","")))</f>
        <v/>
      </c>
    </row>
    <row r="136" customFormat="false" ht="15" hidden="false" customHeight="false" outlineLevel="0" collapsed="false">
      <c r="A136" s="41" t="str">
        <f aca="false">IF(LOTS!$A126="","",LOTS!$A126)</f>
        <v/>
      </c>
      <c r="B136" s="42" t="n">
        <f aca="false">IF(OR($A136="",B$14=""),0,SUMIFS(MVT_NET,MVT_LOT,$A136,MVT_EMPL,B$14))</f>
        <v>0</v>
      </c>
      <c r="C136" s="42" t="n">
        <f aca="false">IF(OR($A136="",C$14=""),0,SUMIFS(MVT_NET,MVT_LOT,$A136,MVT_EMPL,C$14))</f>
        <v>0</v>
      </c>
      <c r="D136" s="42" t="n">
        <f aca="false">IF(OR($A136="",D$14=""),0,SUMIFS(MVT_NET,MVT_LOT,$A136,MVT_EMPL,D$14))</f>
        <v>0</v>
      </c>
      <c r="E136" s="42" t="n">
        <f aca="false">IF(OR($A136="",E$14=""),0,SUMIFS(MVT_NET,MVT_LOT,$A136,MVT_EMPL,E$14))</f>
        <v>0</v>
      </c>
      <c r="F136" s="42" t="n">
        <f aca="false">IF(OR($A136="",F$14=""),0,SUMIFS(MVT_NET,MVT_LOT,$A136,MVT_EMPL,F$14))</f>
        <v>0</v>
      </c>
      <c r="G136" s="42" t="n">
        <f aca="false">IF(OR($A136="",G$14=""),0,SUMIFS(MVT_NET,MVT_LOT,$A136,MVT_EMPL,G$14))</f>
        <v>0</v>
      </c>
      <c r="H136" s="42" t="n">
        <f aca="false">IF(OR($A136="",H$14=""),0,SUMIFS(MVT_NET,MVT_LOT,$A136,MVT_EMPL,H$14))</f>
        <v>0</v>
      </c>
      <c r="I136" s="42" t="n">
        <f aca="false">IF(OR($A136="",I$14=""),0,SUMIFS(MVT_NET,MVT_LOT,$A136,MVT_EMPL,I$14))</f>
        <v>0</v>
      </c>
      <c r="J136" s="42" t="n">
        <f aca="false">IF(OR($A136="",J$14=""),0,SUMIFS(MVT_NET,MVT_LOT,$A136,MVT_EMPL,J$14))</f>
        <v>0</v>
      </c>
      <c r="K136" s="42" t="n">
        <f aca="false">IF(OR($A136="",K$14=""),0,SUMIFS(MVT_NET,MVT_LOT,$A136,MVT_EMPL,K$14))</f>
        <v>0</v>
      </c>
      <c r="L136" s="42" t="n">
        <f aca="false">IF(OR($A136="",L$14=""),0,SUMIFS(MVT_NET,MVT_LOT,$A136,MVT_EMPL,L$14))</f>
        <v>0</v>
      </c>
      <c r="M136" s="42" t="n">
        <f aca="false">IF(OR($A136="",M$14=""),0,SUMIFS(MVT_NET,MVT_LOT,$A136,MVT_EMPL,M$14))</f>
        <v>0</v>
      </c>
      <c r="N136" s="43" t="n">
        <f aca="false">SUM($B136:$M136)</f>
        <v>0</v>
      </c>
      <c r="O136" s="44" t="n">
        <f aca="false">SUMPRODUCT(($B$13:$M$13="INTERNE")*$B136:$M136)</f>
        <v>0</v>
      </c>
      <c r="P136" s="44" t="n">
        <f aca="false">SUMPRODUCT(($B$13:$M$13="EXTERNE")*$B136:$M136)</f>
        <v>0</v>
      </c>
      <c r="Q136" s="44" t="n">
        <f aca="false">IF($A136="",0,SUMIFS(ST_ENCOURS,ST_LOT,$A136))</f>
        <v>0</v>
      </c>
      <c r="R136" s="45" t="str">
        <f aca="false">IF($A136="","",IFERROR(INDEX(LOT_EXTE,MATCH($A136,LOT_KEY,0)),""))</f>
        <v/>
      </c>
      <c r="S136" s="45" t="str">
        <f aca="false">IF($A136="","",IFERROR(INDEX(LOT_DECISION,MATCH($A136,LOT_KEY,0)),""))</f>
        <v/>
      </c>
      <c r="T136" s="44" t="n">
        <f aca="false">IF($S136="BLOQUER",MAX(0,$N136),0)</f>
        <v>0</v>
      </c>
      <c r="U136" s="46" t="str">
        <f aca="false">IF($A136="","",IF($N136&lt;-0.001,"STOCK NEGATIF - ANOMALIE",IF($T136&gt;0,"BLOQUE QUALITE","")))</f>
        <v/>
      </c>
    </row>
    <row r="137" customFormat="false" ht="15" hidden="false" customHeight="false" outlineLevel="0" collapsed="false">
      <c r="A137" s="41" t="str">
        <f aca="false">IF(LOTS!$A127="","",LOTS!$A127)</f>
        <v/>
      </c>
      <c r="B137" s="42" t="n">
        <f aca="false">IF(OR($A137="",B$14=""),0,SUMIFS(MVT_NET,MVT_LOT,$A137,MVT_EMPL,B$14))</f>
        <v>0</v>
      </c>
      <c r="C137" s="42" t="n">
        <f aca="false">IF(OR($A137="",C$14=""),0,SUMIFS(MVT_NET,MVT_LOT,$A137,MVT_EMPL,C$14))</f>
        <v>0</v>
      </c>
      <c r="D137" s="42" t="n">
        <f aca="false">IF(OR($A137="",D$14=""),0,SUMIFS(MVT_NET,MVT_LOT,$A137,MVT_EMPL,D$14))</f>
        <v>0</v>
      </c>
      <c r="E137" s="42" t="n">
        <f aca="false">IF(OR($A137="",E$14=""),0,SUMIFS(MVT_NET,MVT_LOT,$A137,MVT_EMPL,E$14))</f>
        <v>0</v>
      </c>
      <c r="F137" s="42" t="n">
        <f aca="false">IF(OR($A137="",F$14=""),0,SUMIFS(MVT_NET,MVT_LOT,$A137,MVT_EMPL,F$14))</f>
        <v>0</v>
      </c>
      <c r="G137" s="42" t="n">
        <f aca="false">IF(OR($A137="",G$14=""),0,SUMIFS(MVT_NET,MVT_LOT,$A137,MVT_EMPL,G$14))</f>
        <v>0</v>
      </c>
      <c r="H137" s="42" t="n">
        <f aca="false">IF(OR($A137="",H$14=""),0,SUMIFS(MVT_NET,MVT_LOT,$A137,MVT_EMPL,H$14))</f>
        <v>0</v>
      </c>
      <c r="I137" s="42" t="n">
        <f aca="false">IF(OR($A137="",I$14=""),0,SUMIFS(MVT_NET,MVT_LOT,$A137,MVT_EMPL,I$14))</f>
        <v>0</v>
      </c>
      <c r="J137" s="42" t="n">
        <f aca="false">IF(OR($A137="",J$14=""),0,SUMIFS(MVT_NET,MVT_LOT,$A137,MVT_EMPL,J$14))</f>
        <v>0</v>
      </c>
      <c r="K137" s="42" t="n">
        <f aca="false">IF(OR($A137="",K$14=""),0,SUMIFS(MVT_NET,MVT_LOT,$A137,MVT_EMPL,K$14))</f>
        <v>0</v>
      </c>
      <c r="L137" s="42" t="n">
        <f aca="false">IF(OR($A137="",L$14=""),0,SUMIFS(MVT_NET,MVT_LOT,$A137,MVT_EMPL,L$14))</f>
        <v>0</v>
      </c>
      <c r="M137" s="42" t="n">
        <f aca="false">IF(OR($A137="",M$14=""),0,SUMIFS(MVT_NET,MVT_LOT,$A137,MVT_EMPL,M$14))</f>
        <v>0</v>
      </c>
      <c r="N137" s="43" t="n">
        <f aca="false">SUM($B137:$M137)</f>
        <v>0</v>
      </c>
      <c r="O137" s="44" t="n">
        <f aca="false">SUMPRODUCT(($B$13:$M$13="INTERNE")*$B137:$M137)</f>
        <v>0</v>
      </c>
      <c r="P137" s="44" t="n">
        <f aca="false">SUMPRODUCT(($B$13:$M$13="EXTERNE")*$B137:$M137)</f>
        <v>0</v>
      </c>
      <c r="Q137" s="44" t="n">
        <f aca="false">IF($A137="",0,SUMIFS(ST_ENCOURS,ST_LOT,$A137))</f>
        <v>0</v>
      </c>
      <c r="R137" s="45" t="str">
        <f aca="false">IF($A137="","",IFERROR(INDEX(LOT_EXTE,MATCH($A137,LOT_KEY,0)),""))</f>
        <v/>
      </c>
      <c r="S137" s="45" t="str">
        <f aca="false">IF($A137="","",IFERROR(INDEX(LOT_DECISION,MATCH($A137,LOT_KEY,0)),""))</f>
        <v/>
      </c>
      <c r="T137" s="44" t="n">
        <f aca="false">IF($S137="BLOQUER",MAX(0,$N137),0)</f>
        <v>0</v>
      </c>
      <c r="U137" s="46" t="str">
        <f aca="false">IF($A137="","",IF($N137&lt;-0.001,"STOCK NEGATIF - ANOMALIE",IF($T137&gt;0,"BLOQUE QUALITE","")))</f>
        <v/>
      </c>
    </row>
    <row r="138" customFormat="false" ht="15" hidden="false" customHeight="false" outlineLevel="0" collapsed="false">
      <c r="A138" s="41" t="str">
        <f aca="false">IF(LOTS!$A128="","",LOTS!$A128)</f>
        <v/>
      </c>
      <c r="B138" s="42" t="n">
        <f aca="false">IF(OR($A138="",B$14=""),0,SUMIFS(MVT_NET,MVT_LOT,$A138,MVT_EMPL,B$14))</f>
        <v>0</v>
      </c>
      <c r="C138" s="42" t="n">
        <f aca="false">IF(OR($A138="",C$14=""),0,SUMIFS(MVT_NET,MVT_LOT,$A138,MVT_EMPL,C$14))</f>
        <v>0</v>
      </c>
      <c r="D138" s="42" t="n">
        <f aca="false">IF(OR($A138="",D$14=""),0,SUMIFS(MVT_NET,MVT_LOT,$A138,MVT_EMPL,D$14))</f>
        <v>0</v>
      </c>
      <c r="E138" s="42" t="n">
        <f aca="false">IF(OR($A138="",E$14=""),0,SUMIFS(MVT_NET,MVT_LOT,$A138,MVT_EMPL,E$14))</f>
        <v>0</v>
      </c>
      <c r="F138" s="42" t="n">
        <f aca="false">IF(OR($A138="",F$14=""),0,SUMIFS(MVT_NET,MVT_LOT,$A138,MVT_EMPL,F$14))</f>
        <v>0</v>
      </c>
      <c r="G138" s="42" t="n">
        <f aca="false">IF(OR($A138="",G$14=""),0,SUMIFS(MVT_NET,MVT_LOT,$A138,MVT_EMPL,G$14))</f>
        <v>0</v>
      </c>
      <c r="H138" s="42" t="n">
        <f aca="false">IF(OR($A138="",H$14=""),0,SUMIFS(MVT_NET,MVT_LOT,$A138,MVT_EMPL,H$14))</f>
        <v>0</v>
      </c>
      <c r="I138" s="42" t="n">
        <f aca="false">IF(OR($A138="",I$14=""),0,SUMIFS(MVT_NET,MVT_LOT,$A138,MVT_EMPL,I$14))</f>
        <v>0</v>
      </c>
      <c r="J138" s="42" t="n">
        <f aca="false">IF(OR($A138="",J$14=""),0,SUMIFS(MVT_NET,MVT_LOT,$A138,MVT_EMPL,J$14))</f>
        <v>0</v>
      </c>
      <c r="K138" s="42" t="n">
        <f aca="false">IF(OR($A138="",K$14=""),0,SUMIFS(MVT_NET,MVT_LOT,$A138,MVT_EMPL,K$14))</f>
        <v>0</v>
      </c>
      <c r="L138" s="42" t="n">
        <f aca="false">IF(OR($A138="",L$14=""),0,SUMIFS(MVT_NET,MVT_LOT,$A138,MVT_EMPL,L$14))</f>
        <v>0</v>
      </c>
      <c r="M138" s="42" t="n">
        <f aca="false">IF(OR($A138="",M$14=""),0,SUMIFS(MVT_NET,MVT_LOT,$A138,MVT_EMPL,M$14))</f>
        <v>0</v>
      </c>
      <c r="N138" s="43" t="n">
        <f aca="false">SUM($B138:$M138)</f>
        <v>0</v>
      </c>
      <c r="O138" s="44" t="n">
        <f aca="false">SUMPRODUCT(($B$13:$M$13="INTERNE")*$B138:$M138)</f>
        <v>0</v>
      </c>
      <c r="P138" s="44" t="n">
        <f aca="false">SUMPRODUCT(($B$13:$M$13="EXTERNE")*$B138:$M138)</f>
        <v>0</v>
      </c>
      <c r="Q138" s="44" t="n">
        <f aca="false">IF($A138="",0,SUMIFS(ST_ENCOURS,ST_LOT,$A138))</f>
        <v>0</v>
      </c>
      <c r="R138" s="45" t="str">
        <f aca="false">IF($A138="","",IFERROR(INDEX(LOT_EXTE,MATCH($A138,LOT_KEY,0)),""))</f>
        <v/>
      </c>
      <c r="S138" s="45" t="str">
        <f aca="false">IF($A138="","",IFERROR(INDEX(LOT_DECISION,MATCH($A138,LOT_KEY,0)),""))</f>
        <v/>
      </c>
      <c r="T138" s="44" t="n">
        <f aca="false">IF($S138="BLOQUER",MAX(0,$N138),0)</f>
        <v>0</v>
      </c>
      <c r="U138" s="46" t="str">
        <f aca="false">IF($A138="","",IF($N138&lt;-0.001,"STOCK NEGATIF - ANOMALIE",IF($T138&gt;0,"BLOQUE QUALITE","")))</f>
        <v/>
      </c>
    </row>
    <row r="139" customFormat="false" ht="15" hidden="false" customHeight="false" outlineLevel="0" collapsed="false">
      <c r="A139" s="41" t="str">
        <f aca="false">IF(LOTS!$A129="","",LOTS!$A129)</f>
        <v/>
      </c>
      <c r="B139" s="42" t="n">
        <f aca="false">IF(OR($A139="",B$14=""),0,SUMIFS(MVT_NET,MVT_LOT,$A139,MVT_EMPL,B$14))</f>
        <v>0</v>
      </c>
      <c r="C139" s="42" t="n">
        <f aca="false">IF(OR($A139="",C$14=""),0,SUMIFS(MVT_NET,MVT_LOT,$A139,MVT_EMPL,C$14))</f>
        <v>0</v>
      </c>
      <c r="D139" s="42" t="n">
        <f aca="false">IF(OR($A139="",D$14=""),0,SUMIFS(MVT_NET,MVT_LOT,$A139,MVT_EMPL,D$14))</f>
        <v>0</v>
      </c>
      <c r="E139" s="42" t="n">
        <f aca="false">IF(OR($A139="",E$14=""),0,SUMIFS(MVT_NET,MVT_LOT,$A139,MVT_EMPL,E$14))</f>
        <v>0</v>
      </c>
      <c r="F139" s="42" t="n">
        <f aca="false">IF(OR($A139="",F$14=""),0,SUMIFS(MVT_NET,MVT_LOT,$A139,MVT_EMPL,F$14))</f>
        <v>0</v>
      </c>
      <c r="G139" s="42" t="n">
        <f aca="false">IF(OR($A139="",G$14=""),0,SUMIFS(MVT_NET,MVT_LOT,$A139,MVT_EMPL,G$14))</f>
        <v>0</v>
      </c>
      <c r="H139" s="42" t="n">
        <f aca="false">IF(OR($A139="",H$14=""),0,SUMIFS(MVT_NET,MVT_LOT,$A139,MVT_EMPL,H$14))</f>
        <v>0</v>
      </c>
      <c r="I139" s="42" t="n">
        <f aca="false">IF(OR($A139="",I$14=""),0,SUMIFS(MVT_NET,MVT_LOT,$A139,MVT_EMPL,I$14))</f>
        <v>0</v>
      </c>
      <c r="J139" s="42" t="n">
        <f aca="false">IF(OR($A139="",J$14=""),0,SUMIFS(MVT_NET,MVT_LOT,$A139,MVT_EMPL,J$14))</f>
        <v>0</v>
      </c>
      <c r="K139" s="42" t="n">
        <f aca="false">IF(OR($A139="",K$14=""),0,SUMIFS(MVT_NET,MVT_LOT,$A139,MVT_EMPL,K$14))</f>
        <v>0</v>
      </c>
      <c r="L139" s="42" t="n">
        <f aca="false">IF(OR($A139="",L$14=""),0,SUMIFS(MVT_NET,MVT_LOT,$A139,MVT_EMPL,L$14))</f>
        <v>0</v>
      </c>
      <c r="M139" s="42" t="n">
        <f aca="false">IF(OR($A139="",M$14=""),0,SUMIFS(MVT_NET,MVT_LOT,$A139,MVT_EMPL,M$14))</f>
        <v>0</v>
      </c>
      <c r="N139" s="43" t="n">
        <f aca="false">SUM($B139:$M139)</f>
        <v>0</v>
      </c>
      <c r="O139" s="44" t="n">
        <f aca="false">SUMPRODUCT(($B$13:$M$13="INTERNE")*$B139:$M139)</f>
        <v>0</v>
      </c>
      <c r="P139" s="44" t="n">
        <f aca="false">SUMPRODUCT(($B$13:$M$13="EXTERNE")*$B139:$M139)</f>
        <v>0</v>
      </c>
      <c r="Q139" s="44" t="n">
        <f aca="false">IF($A139="",0,SUMIFS(ST_ENCOURS,ST_LOT,$A139))</f>
        <v>0</v>
      </c>
      <c r="R139" s="45" t="str">
        <f aca="false">IF($A139="","",IFERROR(INDEX(LOT_EXTE,MATCH($A139,LOT_KEY,0)),""))</f>
        <v/>
      </c>
      <c r="S139" s="45" t="str">
        <f aca="false">IF($A139="","",IFERROR(INDEX(LOT_DECISION,MATCH($A139,LOT_KEY,0)),""))</f>
        <v/>
      </c>
      <c r="T139" s="44" t="n">
        <f aca="false">IF($S139="BLOQUER",MAX(0,$N139),0)</f>
        <v>0</v>
      </c>
      <c r="U139" s="46" t="str">
        <f aca="false">IF($A139="","",IF($N139&lt;-0.001,"STOCK NEGATIF - ANOMALIE",IF($T139&gt;0,"BLOQUE QUALITE","")))</f>
        <v/>
      </c>
    </row>
    <row r="140" customFormat="false" ht="15" hidden="false" customHeight="false" outlineLevel="0" collapsed="false">
      <c r="A140" s="41" t="str">
        <f aca="false">IF(LOTS!$A130="","",LOTS!$A130)</f>
        <v/>
      </c>
      <c r="B140" s="42" t="n">
        <f aca="false">IF(OR($A140="",B$14=""),0,SUMIFS(MVT_NET,MVT_LOT,$A140,MVT_EMPL,B$14))</f>
        <v>0</v>
      </c>
      <c r="C140" s="42" t="n">
        <f aca="false">IF(OR($A140="",C$14=""),0,SUMIFS(MVT_NET,MVT_LOT,$A140,MVT_EMPL,C$14))</f>
        <v>0</v>
      </c>
      <c r="D140" s="42" t="n">
        <f aca="false">IF(OR($A140="",D$14=""),0,SUMIFS(MVT_NET,MVT_LOT,$A140,MVT_EMPL,D$14))</f>
        <v>0</v>
      </c>
      <c r="E140" s="42" t="n">
        <f aca="false">IF(OR($A140="",E$14=""),0,SUMIFS(MVT_NET,MVT_LOT,$A140,MVT_EMPL,E$14))</f>
        <v>0</v>
      </c>
      <c r="F140" s="42" t="n">
        <f aca="false">IF(OR($A140="",F$14=""),0,SUMIFS(MVT_NET,MVT_LOT,$A140,MVT_EMPL,F$14))</f>
        <v>0</v>
      </c>
      <c r="G140" s="42" t="n">
        <f aca="false">IF(OR($A140="",G$14=""),0,SUMIFS(MVT_NET,MVT_LOT,$A140,MVT_EMPL,G$14))</f>
        <v>0</v>
      </c>
      <c r="H140" s="42" t="n">
        <f aca="false">IF(OR($A140="",H$14=""),0,SUMIFS(MVT_NET,MVT_LOT,$A140,MVT_EMPL,H$14))</f>
        <v>0</v>
      </c>
      <c r="I140" s="42" t="n">
        <f aca="false">IF(OR($A140="",I$14=""),0,SUMIFS(MVT_NET,MVT_LOT,$A140,MVT_EMPL,I$14))</f>
        <v>0</v>
      </c>
      <c r="J140" s="42" t="n">
        <f aca="false">IF(OR($A140="",J$14=""),0,SUMIFS(MVT_NET,MVT_LOT,$A140,MVT_EMPL,J$14))</f>
        <v>0</v>
      </c>
      <c r="K140" s="42" t="n">
        <f aca="false">IF(OR($A140="",K$14=""),0,SUMIFS(MVT_NET,MVT_LOT,$A140,MVT_EMPL,K$14))</f>
        <v>0</v>
      </c>
      <c r="L140" s="42" t="n">
        <f aca="false">IF(OR($A140="",L$14=""),0,SUMIFS(MVT_NET,MVT_LOT,$A140,MVT_EMPL,L$14))</f>
        <v>0</v>
      </c>
      <c r="M140" s="42" t="n">
        <f aca="false">IF(OR($A140="",M$14=""),0,SUMIFS(MVT_NET,MVT_LOT,$A140,MVT_EMPL,M$14))</f>
        <v>0</v>
      </c>
      <c r="N140" s="43" t="n">
        <f aca="false">SUM($B140:$M140)</f>
        <v>0</v>
      </c>
      <c r="O140" s="44" t="n">
        <f aca="false">SUMPRODUCT(($B$13:$M$13="INTERNE")*$B140:$M140)</f>
        <v>0</v>
      </c>
      <c r="P140" s="44" t="n">
        <f aca="false">SUMPRODUCT(($B$13:$M$13="EXTERNE")*$B140:$M140)</f>
        <v>0</v>
      </c>
      <c r="Q140" s="44" t="n">
        <f aca="false">IF($A140="",0,SUMIFS(ST_ENCOURS,ST_LOT,$A140))</f>
        <v>0</v>
      </c>
      <c r="R140" s="45" t="str">
        <f aca="false">IF($A140="","",IFERROR(INDEX(LOT_EXTE,MATCH($A140,LOT_KEY,0)),""))</f>
        <v/>
      </c>
      <c r="S140" s="45" t="str">
        <f aca="false">IF($A140="","",IFERROR(INDEX(LOT_DECISION,MATCH($A140,LOT_KEY,0)),""))</f>
        <v/>
      </c>
      <c r="T140" s="44" t="n">
        <f aca="false">IF($S140="BLOQUER",MAX(0,$N140),0)</f>
        <v>0</v>
      </c>
      <c r="U140" s="46" t="str">
        <f aca="false">IF($A140="","",IF($N140&lt;-0.001,"STOCK NEGATIF - ANOMALIE",IF($T140&gt;0,"BLOQUE QUALITE","")))</f>
        <v/>
      </c>
    </row>
    <row r="141" customFormat="false" ht="15" hidden="false" customHeight="false" outlineLevel="0" collapsed="false">
      <c r="A141" s="41" t="str">
        <f aca="false">IF(LOTS!$A131="","",LOTS!$A131)</f>
        <v/>
      </c>
      <c r="B141" s="42" t="n">
        <f aca="false">IF(OR($A141="",B$14=""),0,SUMIFS(MVT_NET,MVT_LOT,$A141,MVT_EMPL,B$14))</f>
        <v>0</v>
      </c>
      <c r="C141" s="42" t="n">
        <f aca="false">IF(OR($A141="",C$14=""),0,SUMIFS(MVT_NET,MVT_LOT,$A141,MVT_EMPL,C$14))</f>
        <v>0</v>
      </c>
      <c r="D141" s="42" t="n">
        <f aca="false">IF(OR($A141="",D$14=""),0,SUMIFS(MVT_NET,MVT_LOT,$A141,MVT_EMPL,D$14))</f>
        <v>0</v>
      </c>
      <c r="E141" s="42" t="n">
        <f aca="false">IF(OR($A141="",E$14=""),0,SUMIFS(MVT_NET,MVT_LOT,$A141,MVT_EMPL,E$14))</f>
        <v>0</v>
      </c>
      <c r="F141" s="42" t="n">
        <f aca="false">IF(OR($A141="",F$14=""),0,SUMIFS(MVT_NET,MVT_LOT,$A141,MVT_EMPL,F$14))</f>
        <v>0</v>
      </c>
      <c r="G141" s="42" t="n">
        <f aca="false">IF(OR($A141="",G$14=""),0,SUMIFS(MVT_NET,MVT_LOT,$A141,MVT_EMPL,G$14))</f>
        <v>0</v>
      </c>
      <c r="H141" s="42" t="n">
        <f aca="false">IF(OR($A141="",H$14=""),0,SUMIFS(MVT_NET,MVT_LOT,$A141,MVT_EMPL,H$14))</f>
        <v>0</v>
      </c>
      <c r="I141" s="42" t="n">
        <f aca="false">IF(OR($A141="",I$14=""),0,SUMIFS(MVT_NET,MVT_LOT,$A141,MVT_EMPL,I$14))</f>
        <v>0</v>
      </c>
      <c r="J141" s="42" t="n">
        <f aca="false">IF(OR($A141="",J$14=""),0,SUMIFS(MVT_NET,MVT_LOT,$A141,MVT_EMPL,J$14))</f>
        <v>0</v>
      </c>
      <c r="K141" s="42" t="n">
        <f aca="false">IF(OR($A141="",K$14=""),0,SUMIFS(MVT_NET,MVT_LOT,$A141,MVT_EMPL,K$14))</f>
        <v>0</v>
      </c>
      <c r="L141" s="42" t="n">
        <f aca="false">IF(OR($A141="",L$14=""),0,SUMIFS(MVT_NET,MVT_LOT,$A141,MVT_EMPL,L$14))</f>
        <v>0</v>
      </c>
      <c r="M141" s="42" t="n">
        <f aca="false">IF(OR($A141="",M$14=""),0,SUMIFS(MVT_NET,MVT_LOT,$A141,MVT_EMPL,M$14))</f>
        <v>0</v>
      </c>
      <c r="N141" s="43" t="n">
        <f aca="false">SUM($B141:$M141)</f>
        <v>0</v>
      </c>
      <c r="O141" s="44" t="n">
        <f aca="false">SUMPRODUCT(($B$13:$M$13="INTERNE")*$B141:$M141)</f>
        <v>0</v>
      </c>
      <c r="P141" s="44" t="n">
        <f aca="false">SUMPRODUCT(($B$13:$M$13="EXTERNE")*$B141:$M141)</f>
        <v>0</v>
      </c>
      <c r="Q141" s="44" t="n">
        <f aca="false">IF($A141="",0,SUMIFS(ST_ENCOURS,ST_LOT,$A141))</f>
        <v>0</v>
      </c>
      <c r="R141" s="45" t="str">
        <f aca="false">IF($A141="","",IFERROR(INDEX(LOT_EXTE,MATCH($A141,LOT_KEY,0)),""))</f>
        <v/>
      </c>
      <c r="S141" s="45" t="str">
        <f aca="false">IF($A141="","",IFERROR(INDEX(LOT_DECISION,MATCH($A141,LOT_KEY,0)),""))</f>
        <v/>
      </c>
      <c r="T141" s="44" t="n">
        <f aca="false">IF($S141="BLOQUER",MAX(0,$N141),0)</f>
        <v>0</v>
      </c>
      <c r="U141" s="46" t="str">
        <f aca="false">IF($A141="","",IF($N141&lt;-0.001,"STOCK NEGATIF - ANOMALIE",IF($T141&gt;0,"BLOQUE QUALITE","")))</f>
        <v/>
      </c>
    </row>
    <row r="142" customFormat="false" ht="15" hidden="false" customHeight="false" outlineLevel="0" collapsed="false">
      <c r="A142" s="41" t="str">
        <f aca="false">IF(LOTS!$A132="","",LOTS!$A132)</f>
        <v/>
      </c>
      <c r="B142" s="42" t="n">
        <f aca="false">IF(OR($A142="",B$14=""),0,SUMIFS(MVT_NET,MVT_LOT,$A142,MVT_EMPL,B$14))</f>
        <v>0</v>
      </c>
      <c r="C142" s="42" t="n">
        <f aca="false">IF(OR($A142="",C$14=""),0,SUMIFS(MVT_NET,MVT_LOT,$A142,MVT_EMPL,C$14))</f>
        <v>0</v>
      </c>
      <c r="D142" s="42" t="n">
        <f aca="false">IF(OR($A142="",D$14=""),0,SUMIFS(MVT_NET,MVT_LOT,$A142,MVT_EMPL,D$14))</f>
        <v>0</v>
      </c>
      <c r="E142" s="42" t="n">
        <f aca="false">IF(OR($A142="",E$14=""),0,SUMIFS(MVT_NET,MVT_LOT,$A142,MVT_EMPL,E$14))</f>
        <v>0</v>
      </c>
      <c r="F142" s="42" t="n">
        <f aca="false">IF(OR($A142="",F$14=""),0,SUMIFS(MVT_NET,MVT_LOT,$A142,MVT_EMPL,F$14))</f>
        <v>0</v>
      </c>
      <c r="G142" s="42" t="n">
        <f aca="false">IF(OR($A142="",G$14=""),0,SUMIFS(MVT_NET,MVT_LOT,$A142,MVT_EMPL,G$14))</f>
        <v>0</v>
      </c>
      <c r="H142" s="42" t="n">
        <f aca="false">IF(OR($A142="",H$14=""),0,SUMIFS(MVT_NET,MVT_LOT,$A142,MVT_EMPL,H$14))</f>
        <v>0</v>
      </c>
      <c r="I142" s="42" t="n">
        <f aca="false">IF(OR($A142="",I$14=""),0,SUMIFS(MVT_NET,MVT_LOT,$A142,MVT_EMPL,I$14))</f>
        <v>0</v>
      </c>
      <c r="J142" s="42" t="n">
        <f aca="false">IF(OR($A142="",J$14=""),0,SUMIFS(MVT_NET,MVT_LOT,$A142,MVT_EMPL,J$14))</f>
        <v>0</v>
      </c>
      <c r="K142" s="42" t="n">
        <f aca="false">IF(OR($A142="",K$14=""),0,SUMIFS(MVT_NET,MVT_LOT,$A142,MVT_EMPL,K$14))</f>
        <v>0</v>
      </c>
      <c r="L142" s="42" t="n">
        <f aca="false">IF(OR($A142="",L$14=""),0,SUMIFS(MVT_NET,MVT_LOT,$A142,MVT_EMPL,L$14))</f>
        <v>0</v>
      </c>
      <c r="M142" s="42" t="n">
        <f aca="false">IF(OR($A142="",M$14=""),0,SUMIFS(MVT_NET,MVT_LOT,$A142,MVT_EMPL,M$14))</f>
        <v>0</v>
      </c>
      <c r="N142" s="43" t="n">
        <f aca="false">SUM($B142:$M142)</f>
        <v>0</v>
      </c>
      <c r="O142" s="44" t="n">
        <f aca="false">SUMPRODUCT(($B$13:$M$13="INTERNE")*$B142:$M142)</f>
        <v>0</v>
      </c>
      <c r="P142" s="44" t="n">
        <f aca="false">SUMPRODUCT(($B$13:$M$13="EXTERNE")*$B142:$M142)</f>
        <v>0</v>
      </c>
      <c r="Q142" s="44" t="n">
        <f aca="false">IF($A142="",0,SUMIFS(ST_ENCOURS,ST_LOT,$A142))</f>
        <v>0</v>
      </c>
      <c r="R142" s="45" t="str">
        <f aca="false">IF($A142="","",IFERROR(INDEX(LOT_EXTE,MATCH($A142,LOT_KEY,0)),""))</f>
        <v/>
      </c>
      <c r="S142" s="45" t="str">
        <f aca="false">IF($A142="","",IFERROR(INDEX(LOT_DECISION,MATCH($A142,LOT_KEY,0)),""))</f>
        <v/>
      </c>
      <c r="T142" s="44" t="n">
        <f aca="false">IF($S142="BLOQUER",MAX(0,$N142),0)</f>
        <v>0</v>
      </c>
      <c r="U142" s="46" t="str">
        <f aca="false">IF($A142="","",IF($N142&lt;-0.001,"STOCK NEGATIF - ANOMALIE",IF($T142&gt;0,"BLOQUE QUALITE","")))</f>
        <v/>
      </c>
    </row>
    <row r="143" customFormat="false" ht="15" hidden="false" customHeight="false" outlineLevel="0" collapsed="false">
      <c r="A143" s="41" t="str">
        <f aca="false">IF(LOTS!$A133="","",LOTS!$A133)</f>
        <v/>
      </c>
      <c r="B143" s="42" t="n">
        <f aca="false">IF(OR($A143="",B$14=""),0,SUMIFS(MVT_NET,MVT_LOT,$A143,MVT_EMPL,B$14))</f>
        <v>0</v>
      </c>
      <c r="C143" s="42" t="n">
        <f aca="false">IF(OR($A143="",C$14=""),0,SUMIFS(MVT_NET,MVT_LOT,$A143,MVT_EMPL,C$14))</f>
        <v>0</v>
      </c>
      <c r="D143" s="42" t="n">
        <f aca="false">IF(OR($A143="",D$14=""),0,SUMIFS(MVT_NET,MVT_LOT,$A143,MVT_EMPL,D$14))</f>
        <v>0</v>
      </c>
      <c r="E143" s="42" t="n">
        <f aca="false">IF(OR($A143="",E$14=""),0,SUMIFS(MVT_NET,MVT_LOT,$A143,MVT_EMPL,E$14))</f>
        <v>0</v>
      </c>
      <c r="F143" s="42" t="n">
        <f aca="false">IF(OR($A143="",F$14=""),0,SUMIFS(MVT_NET,MVT_LOT,$A143,MVT_EMPL,F$14))</f>
        <v>0</v>
      </c>
      <c r="G143" s="42" t="n">
        <f aca="false">IF(OR($A143="",G$14=""),0,SUMIFS(MVT_NET,MVT_LOT,$A143,MVT_EMPL,G$14))</f>
        <v>0</v>
      </c>
      <c r="H143" s="42" t="n">
        <f aca="false">IF(OR($A143="",H$14=""),0,SUMIFS(MVT_NET,MVT_LOT,$A143,MVT_EMPL,H$14))</f>
        <v>0</v>
      </c>
      <c r="I143" s="42" t="n">
        <f aca="false">IF(OR($A143="",I$14=""),0,SUMIFS(MVT_NET,MVT_LOT,$A143,MVT_EMPL,I$14))</f>
        <v>0</v>
      </c>
      <c r="J143" s="42" t="n">
        <f aca="false">IF(OR($A143="",J$14=""),0,SUMIFS(MVT_NET,MVT_LOT,$A143,MVT_EMPL,J$14))</f>
        <v>0</v>
      </c>
      <c r="K143" s="42" t="n">
        <f aca="false">IF(OR($A143="",K$14=""),0,SUMIFS(MVT_NET,MVT_LOT,$A143,MVT_EMPL,K$14))</f>
        <v>0</v>
      </c>
      <c r="L143" s="42" t="n">
        <f aca="false">IF(OR($A143="",L$14=""),0,SUMIFS(MVT_NET,MVT_LOT,$A143,MVT_EMPL,L$14))</f>
        <v>0</v>
      </c>
      <c r="M143" s="42" t="n">
        <f aca="false">IF(OR($A143="",M$14=""),0,SUMIFS(MVT_NET,MVT_LOT,$A143,MVT_EMPL,M$14))</f>
        <v>0</v>
      </c>
      <c r="N143" s="43" t="n">
        <f aca="false">SUM($B143:$M143)</f>
        <v>0</v>
      </c>
      <c r="O143" s="44" t="n">
        <f aca="false">SUMPRODUCT(($B$13:$M$13="INTERNE")*$B143:$M143)</f>
        <v>0</v>
      </c>
      <c r="P143" s="44" t="n">
        <f aca="false">SUMPRODUCT(($B$13:$M$13="EXTERNE")*$B143:$M143)</f>
        <v>0</v>
      </c>
      <c r="Q143" s="44" t="n">
        <f aca="false">IF($A143="",0,SUMIFS(ST_ENCOURS,ST_LOT,$A143))</f>
        <v>0</v>
      </c>
      <c r="R143" s="45" t="str">
        <f aca="false">IF($A143="","",IFERROR(INDEX(LOT_EXTE,MATCH($A143,LOT_KEY,0)),""))</f>
        <v/>
      </c>
      <c r="S143" s="45" t="str">
        <f aca="false">IF($A143="","",IFERROR(INDEX(LOT_DECISION,MATCH($A143,LOT_KEY,0)),""))</f>
        <v/>
      </c>
      <c r="T143" s="44" t="n">
        <f aca="false">IF($S143="BLOQUER",MAX(0,$N143),0)</f>
        <v>0</v>
      </c>
      <c r="U143" s="46" t="str">
        <f aca="false">IF($A143="","",IF($N143&lt;-0.001,"STOCK NEGATIF - ANOMALIE",IF($T143&gt;0,"BLOQUE QUALITE","")))</f>
        <v/>
      </c>
    </row>
    <row r="144" customFormat="false" ht="15" hidden="false" customHeight="false" outlineLevel="0" collapsed="false">
      <c r="A144" s="41" t="str">
        <f aca="false">IF(LOTS!$A134="","",LOTS!$A134)</f>
        <v/>
      </c>
      <c r="B144" s="42" t="n">
        <f aca="false">IF(OR($A144="",B$14=""),0,SUMIFS(MVT_NET,MVT_LOT,$A144,MVT_EMPL,B$14))</f>
        <v>0</v>
      </c>
      <c r="C144" s="42" t="n">
        <f aca="false">IF(OR($A144="",C$14=""),0,SUMIFS(MVT_NET,MVT_LOT,$A144,MVT_EMPL,C$14))</f>
        <v>0</v>
      </c>
      <c r="D144" s="42" t="n">
        <f aca="false">IF(OR($A144="",D$14=""),0,SUMIFS(MVT_NET,MVT_LOT,$A144,MVT_EMPL,D$14))</f>
        <v>0</v>
      </c>
      <c r="E144" s="42" t="n">
        <f aca="false">IF(OR($A144="",E$14=""),0,SUMIFS(MVT_NET,MVT_LOT,$A144,MVT_EMPL,E$14))</f>
        <v>0</v>
      </c>
      <c r="F144" s="42" t="n">
        <f aca="false">IF(OR($A144="",F$14=""),0,SUMIFS(MVT_NET,MVT_LOT,$A144,MVT_EMPL,F$14))</f>
        <v>0</v>
      </c>
      <c r="G144" s="42" t="n">
        <f aca="false">IF(OR($A144="",G$14=""),0,SUMIFS(MVT_NET,MVT_LOT,$A144,MVT_EMPL,G$14))</f>
        <v>0</v>
      </c>
      <c r="H144" s="42" t="n">
        <f aca="false">IF(OR($A144="",H$14=""),0,SUMIFS(MVT_NET,MVT_LOT,$A144,MVT_EMPL,H$14))</f>
        <v>0</v>
      </c>
      <c r="I144" s="42" t="n">
        <f aca="false">IF(OR($A144="",I$14=""),0,SUMIFS(MVT_NET,MVT_LOT,$A144,MVT_EMPL,I$14))</f>
        <v>0</v>
      </c>
      <c r="J144" s="42" t="n">
        <f aca="false">IF(OR($A144="",J$14=""),0,SUMIFS(MVT_NET,MVT_LOT,$A144,MVT_EMPL,J$14))</f>
        <v>0</v>
      </c>
      <c r="K144" s="42" t="n">
        <f aca="false">IF(OR($A144="",K$14=""),0,SUMIFS(MVT_NET,MVT_LOT,$A144,MVT_EMPL,K$14))</f>
        <v>0</v>
      </c>
      <c r="L144" s="42" t="n">
        <f aca="false">IF(OR($A144="",L$14=""),0,SUMIFS(MVT_NET,MVT_LOT,$A144,MVT_EMPL,L$14))</f>
        <v>0</v>
      </c>
      <c r="M144" s="42" t="n">
        <f aca="false">IF(OR($A144="",M$14=""),0,SUMIFS(MVT_NET,MVT_LOT,$A144,MVT_EMPL,M$14))</f>
        <v>0</v>
      </c>
      <c r="N144" s="43" t="n">
        <f aca="false">SUM($B144:$M144)</f>
        <v>0</v>
      </c>
      <c r="O144" s="44" t="n">
        <f aca="false">SUMPRODUCT(($B$13:$M$13="INTERNE")*$B144:$M144)</f>
        <v>0</v>
      </c>
      <c r="P144" s="44" t="n">
        <f aca="false">SUMPRODUCT(($B$13:$M$13="EXTERNE")*$B144:$M144)</f>
        <v>0</v>
      </c>
      <c r="Q144" s="44" t="n">
        <f aca="false">IF($A144="",0,SUMIFS(ST_ENCOURS,ST_LOT,$A144))</f>
        <v>0</v>
      </c>
      <c r="R144" s="45" t="str">
        <f aca="false">IF($A144="","",IFERROR(INDEX(LOT_EXTE,MATCH($A144,LOT_KEY,0)),""))</f>
        <v/>
      </c>
      <c r="S144" s="45" t="str">
        <f aca="false">IF($A144="","",IFERROR(INDEX(LOT_DECISION,MATCH($A144,LOT_KEY,0)),""))</f>
        <v/>
      </c>
      <c r="T144" s="44" t="n">
        <f aca="false">IF($S144="BLOQUER",MAX(0,$N144),0)</f>
        <v>0</v>
      </c>
      <c r="U144" s="46" t="str">
        <f aca="false">IF($A144="","",IF($N144&lt;-0.001,"STOCK NEGATIF - ANOMALIE",IF($T144&gt;0,"BLOQUE QUALITE","")))</f>
        <v/>
      </c>
    </row>
    <row r="145" customFormat="false" ht="15" hidden="false" customHeight="false" outlineLevel="0" collapsed="false">
      <c r="A145" s="41" t="str">
        <f aca="false">IF(LOTS!$A135="","",LOTS!$A135)</f>
        <v/>
      </c>
      <c r="B145" s="42" t="n">
        <f aca="false">IF(OR($A145="",B$14=""),0,SUMIFS(MVT_NET,MVT_LOT,$A145,MVT_EMPL,B$14))</f>
        <v>0</v>
      </c>
      <c r="C145" s="42" t="n">
        <f aca="false">IF(OR($A145="",C$14=""),0,SUMIFS(MVT_NET,MVT_LOT,$A145,MVT_EMPL,C$14))</f>
        <v>0</v>
      </c>
      <c r="D145" s="42" t="n">
        <f aca="false">IF(OR($A145="",D$14=""),0,SUMIFS(MVT_NET,MVT_LOT,$A145,MVT_EMPL,D$14))</f>
        <v>0</v>
      </c>
      <c r="E145" s="42" t="n">
        <f aca="false">IF(OR($A145="",E$14=""),0,SUMIFS(MVT_NET,MVT_LOT,$A145,MVT_EMPL,E$14))</f>
        <v>0</v>
      </c>
      <c r="F145" s="42" t="n">
        <f aca="false">IF(OR($A145="",F$14=""),0,SUMIFS(MVT_NET,MVT_LOT,$A145,MVT_EMPL,F$14))</f>
        <v>0</v>
      </c>
      <c r="G145" s="42" t="n">
        <f aca="false">IF(OR($A145="",G$14=""),0,SUMIFS(MVT_NET,MVT_LOT,$A145,MVT_EMPL,G$14))</f>
        <v>0</v>
      </c>
      <c r="H145" s="42" t="n">
        <f aca="false">IF(OR($A145="",H$14=""),0,SUMIFS(MVT_NET,MVT_LOT,$A145,MVT_EMPL,H$14))</f>
        <v>0</v>
      </c>
      <c r="I145" s="42" t="n">
        <f aca="false">IF(OR($A145="",I$14=""),0,SUMIFS(MVT_NET,MVT_LOT,$A145,MVT_EMPL,I$14))</f>
        <v>0</v>
      </c>
      <c r="J145" s="42" t="n">
        <f aca="false">IF(OR($A145="",J$14=""),0,SUMIFS(MVT_NET,MVT_LOT,$A145,MVT_EMPL,J$14))</f>
        <v>0</v>
      </c>
      <c r="K145" s="42" t="n">
        <f aca="false">IF(OR($A145="",K$14=""),0,SUMIFS(MVT_NET,MVT_LOT,$A145,MVT_EMPL,K$14))</f>
        <v>0</v>
      </c>
      <c r="L145" s="42" t="n">
        <f aca="false">IF(OR($A145="",L$14=""),0,SUMIFS(MVT_NET,MVT_LOT,$A145,MVT_EMPL,L$14))</f>
        <v>0</v>
      </c>
      <c r="M145" s="42" t="n">
        <f aca="false">IF(OR($A145="",M$14=""),0,SUMIFS(MVT_NET,MVT_LOT,$A145,MVT_EMPL,M$14))</f>
        <v>0</v>
      </c>
      <c r="N145" s="43" t="n">
        <f aca="false">SUM($B145:$M145)</f>
        <v>0</v>
      </c>
      <c r="O145" s="44" t="n">
        <f aca="false">SUMPRODUCT(($B$13:$M$13="INTERNE")*$B145:$M145)</f>
        <v>0</v>
      </c>
      <c r="P145" s="44" t="n">
        <f aca="false">SUMPRODUCT(($B$13:$M$13="EXTERNE")*$B145:$M145)</f>
        <v>0</v>
      </c>
      <c r="Q145" s="44" t="n">
        <f aca="false">IF($A145="",0,SUMIFS(ST_ENCOURS,ST_LOT,$A145))</f>
        <v>0</v>
      </c>
      <c r="R145" s="45" t="str">
        <f aca="false">IF($A145="","",IFERROR(INDEX(LOT_EXTE,MATCH($A145,LOT_KEY,0)),""))</f>
        <v/>
      </c>
      <c r="S145" s="45" t="str">
        <f aca="false">IF($A145="","",IFERROR(INDEX(LOT_DECISION,MATCH($A145,LOT_KEY,0)),""))</f>
        <v/>
      </c>
      <c r="T145" s="44" t="n">
        <f aca="false">IF($S145="BLOQUER",MAX(0,$N145),0)</f>
        <v>0</v>
      </c>
      <c r="U145" s="46" t="str">
        <f aca="false">IF($A145="","",IF($N145&lt;-0.001,"STOCK NEGATIF - ANOMALIE",IF($T145&gt;0,"BLOQUE QUALITE","")))</f>
        <v/>
      </c>
    </row>
    <row r="146" customFormat="false" ht="15" hidden="false" customHeight="false" outlineLevel="0" collapsed="false">
      <c r="A146" s="41" t="str">
        <f aca="false">IF(LOTS!$A136="","",LOTS!$A136)</f>
        <v/>
      </c>
      <c r="B146" s="42" t="n">
        <f aca="false">IF(OR($A146="",B$14=""),0,SUMIFS(MVT_NET,MVT_LOT,$A146,MVT_EMPL,B$14))</f>
        <v>0</v>
      </c>
      <c r="C146" s="42" t="n">
        <f aca="false">IF(OR($A146="",C$14=""),0,SUMIFS(MVT_NET,MVT_LOT,$A146,MVT_EMPL,C$14))</f>
        <v>0</v>
      </c>
      <c r="D146" s="42" t="n">
        <f aca="false">IF(OR($A146="",D$14=""),0,SUMIFS(MVT_NET,MVT_LOT,$A146,MVT_EMPL,D$14))</f>
        <v>0</v>
      </c>
      <c r="E146" s="42" t="n">
        <f aca="false">IF(OR($A146="",E$14=""),0,SUMIFS(MVT_NET,MVT_LOT,$A146,MVT_EMPL,E$14))</f>
        <v>0</v>
      </c>
      <c r="F146" s="42" t="n">
        <f aca="false">IF(OR($A146="",F$14=""),0,SUMIFS(MVT_NET,MVT_LOT,$A146,MVT_EMPL,F$14))</f>
        <v>0</v>
      </c>
      <c r="G146" s="42" t="n">
        <f aca="false">IF(OR($A146="",G$14=""),0,SUMIFS(MVT_NET,MVT_LOT,$A146,MVT_EMPL,G$14))</f>
        <v>0</v>
      </c>
      <c r="H146" s="42" t="n">
        <f aca="false">IF(OR($A146="",H$14=""),0,SUMIFS(MVT_NET,MVT_LOT,$A146,MVT_EMPL,H$14))</f>
        <v>0</v>
      </c>
      <c r="I146" s="42" t="n">
        <f aca="false">IF(OR($A146="",I$14=""),0,SUMIFS(MVT_NET,MVT_LOT,$A146,MVT_EMPL,I$14))</f>
        <v>0</v>
      </c>
      <c r="J146" s="42" t="n">
        <f aca="false">IF(OR($A146="",J$14=""),0,SUMIFS(MVT_NET,MVT_LOT,$A146,MVT_EMPL,J$14))</f>
        <v>0</v>
      </c>
      <c r="K146" s="42" t="n">
        <f aca="false">IF(OR($A146="",K$14=""),0,SUMIFS(MVT_NET,MVT_LOT,$A146,MVT_EMPL,K$14))</f>
        <v>0</v>
      </c>
      <c r="L146" s="42" t="n">
        <f aca="false">IF(OR($A146="",L$14=""),0,SUMIFS(MVT_NET,MVT_LOT,$A146,MVT_EMPL,L$14))</f>
        <v>0</v>
      </c>
      <c r="M146" s="42" t="n">
        <f aca="false">IF(OR($A146="",M$14=""),0,SUMIFS(MVT_NET,MVT_LOT,$A146,MVT_EMPL,M$14))</f>
        <v>0</v>
      </c>
      <c r="N146" s="43" t="n">
        <f aca="false">SUM($B146:$M146)</f>
        <v>0</v>
      </c>
      <c r="O146" s="44" t="n">
        <f aca="false">SUMPRODUCT(($B$13:$M$13="INTERNE")*$B146:$M146)</f>
        <v>0</v>
      </c>
      <c r="P146" s="44" t="n">
        <f aca="false">SUMPRODUCT(($B$13:$M$13="EXTERNE")*$B146:$M146)</f>
        <v>0</v>
      </c>
      <c r="Q146" s="44" t="n">
        <f aca="false">IF($A146="",0,SUMIFS(ST_ENCOURS,ST_LOT,$A146))</f>
        <v>0</v>
      </c>
      <c r="R146" s="45" t="str">
        <f aca="false">IF($A146="","",IFERROR(INDEX(LOT_EXTE,MATCH($A146,LOT_KEY,0)),""))</f>
        <v/>
      </c>
      <c r="S146" s="45" t="str">
        <f aca="false">IF($A146="","",IFERROR(INDEX(LOT_DECISION,MATCH($A146,LOT_KEY,0)),""))</f>
        <v/>
      </c>
      <c r="T146" s="44" t="n">
        <f aca="false">IF($S146="BLOQUER",MAX(0,$N146),0)</f>
        <v>0</v>
      </c>
      <c r="U146" s="46" t="str">
        <f aca="false">IF($A146="","",IF($N146&lt;-0.001,"STOCK NEGATIF - ANOMALIE",IF($T146&gt;0,"BLOQUE QUALITE","")))</f>
        <v/>
      </c>
    </row>
    <row r="147" customFormat="false" ht="15" hidden="false" customHeight="false" outlineLevel="0" collapsed="false">
      <c r="A147" s="41" t="str">
        <f aca="false">IF(LOTS!$A137="","",LOTS!$A137)</f>
        <v/>
      </c>
      <c r="B147" s="42" t="n">
        <f aca="false">IF(OR($A147="",B$14=""),0,SUMIFS(MVT_NET,MVT_LOT,$A147,MVT_EMPL,B$14))</f>
        <v>0</v>
      </c>
      <c r="C147" s="42" t="n">
        <f aca="false">IF(OR($A147="",C$14=""),0,SUMIFS(MVT_NET,MVT_LOT,$A147,MVT_EMPL,C$14))</f>
        <v>0</v>
      </c>
      <c r="D147" s="42" t="n">
        <f aca="false">IF(OR($A147="",D$14=""),0,SUMIFS(MVT_NET,MVT_LOT,$A147,MVT_EMPL,D$14))</f>
        <v>0</v>
      </c>
      <c r="E147" s="42" t="n">
        <f aca="false">IF(OR($A147="",E$14=""),0,SUMIFS(MVT_NET,MVT_LOT,$A147,MVT_EMPL,E$14))</f>
        <v>0</v>
      </c>
      <c r="F147" s="42" t="n">
        <f aca="false">IF(OR($A147="",F$14=""),0,SUMIFS(MVT_NET,MVT_LOT,$A147,MVT_EMPL,F$14))</f>
        <v>0</v>
      </c>
      <c r="G147" s="42" t="n">
        <f aca="false">IF(OR($A147="",G$14=""),0,SUMIFS(MVT_NET,MVT_LOT,$A147,MVT_EMPL,G$14))</f>
        <v>0</v>
      </c>
      <c r="H147" s="42" t="n">
        <f aca="false">IF(OR($A147="",H$14=""),0,SUMIFS(MVT_NET,MVT_LOT,$A147,MVT_EMPL,H$14))</f>
        <v>0</v>
      </c>
      <c r="I147" s="42" t="n">
        <f aca="false">IF(OR($A147="",I$14=""),0,SUMIFS(MVT_NET,MVT_LOT,$A147,MVT_EMPL,I$14))</f>
        <v>0</v>
      </c>
      <c r="J147" s="42" t="n">
        <f aca="false">IF(OR($A147="",J$14=""),0,SUMIFS(MVT_NET,MVT_LOT,$A147,MVT_EMPL,J$14))</f>
        <v>0</v>
      </c>
      <c r="K147" s="42" t="n">
        <f aca="false">IF(OR($A147="",K$14=""),0,SUMIFS(MVT_NET,MVT_LOT,$A147,MVT_EMPL,K$14))</f>
        <v>0</v>
      </c>
      <c r="L147" s="42" t="n">
        <f aca="false">IF(OR($A147="",L$14=""),0,SUMIFS(MVT_NET,MVT_LOT,$A147,MVT_EMPL,L$14))</f>
        <v>0</v>
      </c>
      <c r="M147" s="42" t="n">
        <f aca="false">IF(OR($A147="",M$14=""),0,SUMIFS(MVT_NET,MVT_LOT,$A147,MVT_EMPL,M$14))</f>
        <v>0</v>
      </c>
      <c r="N147" s="43" t="n">
        <f aca="false">SUM($B147:$M147)</f>
        <v>0</v>
      </c>
      <c r="O147" s="44" t="n">
        <f aca="false">SUMPRODUCT(($B$13:$M$13="INTERNE")*$B147:$M147)</f>
        <v>0</v>
      </c>
      <c r="P147" s="44" t="n">
        <f aca="false">SUMPRODUCT(($B$13:$M$13="EXTERNE")*$B147:$M147)</f>
        <v>0</v>
      </c>
      <c r="Q147" s="44" t="n">
        <f aca="false">IF($A147="",0,SUMIFS(ST_ENCOURS,ST_LOT,$A147))</f>
        <v>0</v>
      </c>
      <c r="R147" s="45" t="str">
        <f aca="false">IF($A147="","",IFERROR(INDEX(LOT_EXTE,MATCH($A147,LOT_KEY,0)),""))</f>
        <v/>
      </c>
      <c r="S147" s="45" t="str">
        <f aca="false">IF($A147="","",IFERROR(INDEX(LOT_DECISION,MATCH($A147,LOT_KEY,0)),""))</f>
        <v/>
      </c>
      <c r="T147" s="44" t="n">
        <f aca="false">IF($S147="BLOQUER",MAX(0,$N147),0)</f>
        <v>0</v>
      </c>
      <c r="U147" s="46" t="str">
        <f aca="false">IF($A147="","",IF($N147&lt;-0.001,"STOCK NEGATIF - ANOMALIE",IF($T147&gt;0,"BLOQUE QUALITE","")))</f>
        <v/>
      </c>
    </row>
    <row r="148" customFormat="false" ht="15" hidden="false" customHeight="false" outlineLevel="0" collapsed="false">
      <c r="A148" s="41" t="str">
        <f aca="false">IF(LOTS!$A138="","",LOTS!$A138)</f>
        <v/>
      </c>
      <c r="B148" s="42" t="n">
        <f aca="false">IF(OR($A148="",B$14=""),0,SUMIFS(MVT_NET,MVT_LOT,$A148,MVT_EMPL,B$14))</f>
        <v>0</v>
      </c>
      <c r="C148" s="42" t="n">
        <f aca="false">IF(OR($A148="",C$14=""),0,SUMIFS(MVT_NET,MVT_LOT,$A148,MVT_EMPL,C$14))</f>
        <v>0</v>
      </c>
      <c r="D148" s="42" t="n">
        <f aca="false">IF(OR($A148="",D$14=""),0,SUMIFS(MVT_NET,MVT_LOT,$A148,MVT_EMPL,D$14))</f>
        <v>0</v>
      </c>
      <c r="E148" s="42" t="n">
        <f aca="false">IF(OR($A148="",E$14=""),0,SUMIFS(MVT_NET,MVT_LOT,$A148,MVT_EMPL,E$14))</f>
        <v>0</v>
      </c>
      <c r="F148" s="42" t="n">
        <f aca="false">IF(OR($A148="",F$14=""),0,SUMIFS(MVT_NET,MVT_LOT,$A148,MVT_EMPL,F$14))</f>
        <v>0</v>
      </c>
      <c r="G148" s="42" t="n">
        <f aca="false">IF(OR($A148="",G$14=""),0,SUMIFS(MVT_NET,MVT_LOT,$A148,MVT_EMPL,G$14))</f>
        <v>0</v>
      </c>
      <c r="H148" s="42" t="n">
        <f aca="false">IF(OR($A148="",H$14=""),0,SUMIFS(MVT_NET,MVT_LOT,$A148,MVT_EMPL,H$14))</f>
        <v>0</v>
      </c>
      <c r="I148" s="42" t="n">
        <f aca="false">IF(OR($A148="",I$14=""),0,SUMIFS(MVT_NET,MVT_LOT,$A148,MVT_EMPL,I$14))</f>
        <v>0</v>
      </c>
      <c r="J148" s="42" t="n">
        <f aca="false">IF(OR($A148="",J$14=""),0,SUMIFS(MVT_NET,MVT_LOT,$A148,MVT_EMPL,J$14))</f>
        <v>0</v>
      </c>
      <c r="K148" s="42" t="n">
        <f aca="false">IF(OR($A148="",K$14=""),0,SUMIFS(MVT_NET,MVT_LOT,$A148,MVT_EMPL,K$14))</f>
        <v>0</v>
      </c>
      <c r="L148" s="42" t="n">
        <f aca="false">IF(OR($A148="",L$14=""),0,SUMIFS(MVT_NET,MVT_LOT,$A148,MVT_EMPL,L$14))</f>
        <v>0</v>
      </c>
      <c r="M148" s="42" t="n">
        <f aca="false">IF(OR($A148="",M$14=""),0,SUMIFS(MVT_NET,MVT_LOT,$A148,MVT_EMPL,M$14))</f>
        <v>0</v>
      </c>
      <c r="N148" s="43" t="n">
        <f aca="false">SUM($B148:$M148)</f>
        <v>0</v>
      </c>
      <c r="O148" s="44" t="n">
        <f aca="false">SUMPRODUCT(($B$13:$M$13="INTERNE")*$B148:$M148)</f>
        <v>0</v>
      </c>
      <c r="P148" s="44" t="n">
        <f aca="false">SUMPRODUCT(($B$13:$M$13="EXTERNE")*$B148:$M148)</f>
        <v>0</v>
      </c>
      <c r="Q148" s="44" t="n">
        <f aca="false">IF($A148="",0,SUMIFS(ST_ENCOURS,ST_LOT,$A148))</f>
        <v>0</v>
      </c>
      <c r="R148" s="45" t="str">
        <f aca="false">IF($A148="","",IFERROR(INDEX(LOT_EXTE,MATCH($A148,LOT_KEY,0)),""))</f>
        <v/>
      </c>
      <c r="S148" s="45" t="str">
        <f aca="false">IF($A148="","",IFERROR(INDEX(LOT_DECISION,MATCH($A148,LOT_KEY,0)),""))</f>
        <v/>
      </c>
      <c r="T148" s="44" t="n">
        <f aca="false">IF($S148="BLOQUER",MAX(0,$N148),0)</f>
        <v>0</v>
      </c>
      <c r="U148" s="46" t="str">
        <f aca="false">IF($A148="","",IF($N148&lt;-0.001,"STOCK NEGATIF - ANOMALIE",IF($T148&gt;0,"BLOQUE QUALITE","")))</f>
        <v/>
      </c>
    </row>
    <row r="149" customFormat="false" ht="15" hidden="false" customHeight="false" outlineLevel="0" collapsed="false">
      <c r="A149" s="41" t="str">
        <f aca="false">IF(LOTS!$A139="","",LOTS!$A139)</f>
        <v/>
      </c>
      <c r="B149" s="42" t="n">
        <f aca="false">IF(OR($A149="",B$14=""),0,SUMIFS(MVT_NET,MVT_LOT,$A149,MVT_EMPL,B$14))</f>
        <v>0</v>
      </c>
      <c r="C149" s="42" t="n">
        <f aca="false">IF(OR($A149="",C$14=""),0,SUMIFS(MVT_NET,MVT_LOT,$A149,MVT_EMPL,C$14))</f>
        <v>0</v>
      </c>
      <c r="D149" s="42" t="n">
        <f aca="false">IF(OR($A149="",D$14=""),0,SUMIFS(MVT_NET,MVT_LOT,$A149,MVT_EMPL,D$14))</f>
        <v>0</v>
      </c>
      <c r="E149" s="42" t="n">
        <f aca="false">IF(OR($A149="",E$14=""),0,SUMIFS(MVT_NET,MVT_LOT,$A149,MVT_EMPL,E$14))</f>
        <v>0</v>
      </c>
      <c r="F149" s="42" t="n">
        <f aca="false">IF(OR($A149="",F$14=""),0,SUMIFS(MVT_NET,MVT_LOT,$A149,MVT_EMPL,F$14))</f>
        <v>0</v>
      </c>
      <c r="G149" s="42" t="n">
        <f aca="false">IF(OR($A149="",G$14=""),0,SUMIFS(MVT_NET,MVT_LOT,$A149,MVT_EMPL,G$14))</f>
        <v>0</v>
      </c>
      <c r="H149" s="42" t="n">
        <f aca="false">IF(OR($A149="",H$14=""),0,SUMIFS(MVT_NET,MVT_LOT,$A149,MVT_EMPL,H$14))</f>
        <v>0</v>
      </c>
      <c r="I149" s="42" t="n">
        <f aca="false">IF(OR($A149="",I$14=""),0,SUMIFS(MVT_NET,MVT_LOT,$A149,MVT_EMPL,I$14))</f>
        <v>0</v>
      </c>
      <c r="J149" s="42" t="n">
        <f aca="false">IF(OR($A149="",J$14=""),0,SUMIFS(MVT_NET,MVT_LOT,$A149,MVT_EMPL,J$14))</f>
        <v>0</v>
      </c>
      <c r="K149" s="42" t="n">
        <f aca="false">IF(OR($A149="",K$14=""),0,SUMIFS(MVT_NET,MVT_LOT,$A149,MVT_EMPL,K$14))</f>
        <v>0</v>
      </c>
      <c r="L149" s="42" t="n">
        <f aca="false">IF(OR($A149="",L$14=""),0,SUMIFS(MVT_NET,MVT_LOT,$A149,MVT_EMPL,L$14))</f>
        <v>0</v>
      </c>
      <c r="M149" s="42" t="n">
        <f aca="false">IF(OR($A149="",M$14=""),0,SUMIFS(MVT_NET,MVT_LOT,$A149,MVT_EMPL,M$14))</f>
        <v>0</v>
      </c>
      <c r="N149" s="43" t="n">
        <f aca="false">SUM($B149:$M149)</f>
        <v>0</v>
      </c>
      <c r="O149" s="44" t="n">
        <f aca="false">SUMPRODUCT(($B$13:$M$13="INTERNE")*$B149:$M149)</f>
        <v>0</v>
      </c>
      <c r="P149" s="44" t="n">
        <f aca="false">SUMPRODUCT(($B$13:$M$13="EXTERNE")*$B149:$M149)</f>
        <v>0</v>
      </c>
      <c r="Q149" s="44" t="n">
        <f aca="false">IF($A149="",0,SUMIFS(ST_ENCOURS,ST_LOT,$A149))</f>
        <v>0</v>
      </c>
      <c r="R149" s="45" t="str">
        <f aca="false">IF($A149="","",IFERROR(INDEX(LOT_EXTE,MATCH($A149,LOT_KEY,0)),""))</f>
        <v/>
      </c>
      <c r="S149" s="45" t="str">
        <f aca="false">IF($A149="","",IFERROR(INDEX(LOT_DECISION,MATCH($A149,LOT_KEY,0)),""))</f>
        <v/>
      </c>
      <c r="T149" s="44" t="n">
        <f aca="false">IF($S149="BLOQUER",MAX(0,$N149),0)</f>
        <v>0</v>
      </c>
      <c r="U149" s="46" t="str">
        <f aca="false">IF($A149="","",IF($N149&lt;-0.001,"STOCK NEGATIF - ANOMALIE",IF($T149&gt;0,"BLOQUE QUALITE","")))</f>
        <v/>
      </c>
    </row>
    <row r="150" customFormat="false" ht="15" hidden="false" customHeight="false" outlineLevel="0" collapsed="false">
      <c r="A150" s="41" t="str">
        <f aca="false">IF(LOTS!$A140="","",LOTS!$A140)</f>
        <v/>
      </c>
      <c r="B150" s="42" t="n">
        <f aca="false">IF(OR($A150="",B$14=""),0,SUMIFS(MVT_NET,MVT_LOT,$A150,MVT_EMPL,B$14))</f>
        <v>0</v>
      </c>
      <c r="C150" s="42" t="n">
        <f aca="false">IF(OR($A150="",C$14=""),0,SUMIFS(MVT_NET,MVT_LOT,$A150,MVT_EMPL,C$14))</f>
        <v>0</v>
      </c>
      <c r="D150" s="42" t="n">
        <f aca="false">IF(OR($A150="",D$14=""),0,SUMIFS(MVT_NET,MVT_LOT,$A150,MVT_EMPL,D$14))</f>
        <v>0</v>
      </c>
      <c r="E150" s="42" t="n">
        <f aca="false">IF(OR($A150="",E$14=""),0,SUMIFS(MVT_NET,MVT_LOT,$A150,MVT_EMPL,E$14))</f>
        <v>0</v>
      </c>
      <c r="F150" s="42" t="n">
        <f aca="false">IF(OR($A150="",F$14=""),0,SUMIFS(MVT_NET,MVT_LOT,$A150,MVT_EMPL,F$14))</f>
        <v>0</v>
      </c>
      <c r="G150" s="42" t="n">
        <f aca="false">IF(OR($A150="",G$14=""),0,SUMIFS(MVT_NET,MVT_LOT,$A150,MVT_EMPL,G$14))</f>
        <v>0</v>
      </c>
      <c r="H150" s="42" t="n">
        <f aca="false">IF(OR($A150="",H$14=""),0,SUMIFS(MVT_NET,MVT_LOT,$A150,MVT_EMPL,H$14))</f>
        <v>0</v>
      </c>
      <c r="I150" s="42" t="n">
        <f aca="false">IF(OR($A150="",I$14=""),0,SUMIFS(MVT_NET,MVT_LOT,$A150,MVT_EMPL,I$14))</f>
        <v>0</v>
      </c>
      <c r="J150" s="42" t="n">
        <f aca="false">IF(OR($A150="",J$14=""),0,SUMIFS(MVT_NET,MVT_LOT,$A150,MVT_EMPL,J$14))</f>
        <v>0</v>
      </c>
      <c r="K150" s="42" t="n">
        <f aca="false">IF(OR($A150="",K$14=""),0,SUMIFS(MVT_NET,MVT_LOT,$A150,MVT_EMPL,K$14))</f>
        <v>0</v>
      </c>
      <c r="L150" s="42" t="n">
        <f aca="false">IF(OR($A150="",L$14=""),0,SUMIFS(MVT_NET,MVT_LOT,$A150,MVT_EMPL,L$14))</f>
        <v>0</v>
      </c>
      <c r="M150" s="42" t="n">
        <f aca="false">IF(OR($A150="",M$14=""),0,SUMIFS(MVT_NET,MVT_LOT,$A150,MVT_EMPL,M$14))</f>
        <v>0</v>
      </c>
      <c r="N150" s="43" t="n">
        <f aca="false">SUM($B150:$M150)</f>
        <v>0</v>
      </c>
      <c r="O150" s="44" t="n">
        <f aca="false">SUMPRODUCT(($B$13:$M$13="INTERNE")*$B150:$M150)</f>
        <v>0</v>
      </c>
      <c r="P150" s="44" t="n">
        <f aca="false">SUMPRODUCT(($B$13:$M$13="EXTERNE")*$B150:$M150)</f>
        <v>0</v>
      </c>
      <c r="Q150" s="44" t="n">
        <f aca="false">IF($A150="",0,SUMIFS(ST_ENCOURS,ST_LOT,$A150))</f>
        <v>0</v>
      </c>
      <c r="R150" s="45" t="str">
        <f aca="false">IF($A150="","",IFERROR(INDEX(LOT_EXTE,MATCH($A150,LOT_KEY,0)),""))</f>
        <v/>
      </c>
      <c r="S150" s="45" t="str">
        <f aca="false">IF($A150="","",IFERROR(INDEX(LOT_DECISION,MATCH($A150,LOT_KEY,0)),""))</f>
        <v/>
      </c>
      <c r="T150" s="44" t="n">
        <f aca="false">IF($S150="BLOQUER",MAX(0,$N150),0)</f>
        <v>0</v>
      </c>
      <c r="U150" s="46" t="str">
        <f aca="false">IF($A150="","",IF($N150&lt;-0.001,"STOCK NEGATIF - ANOMALIE",IF($T150&gt;0,"BLOQUE QUALITE","")))</f>
        <v/>
      </c>
    </row>
    <row r="151" customFormat="false" ht="15" hidden="false" customHeight="false" outlineLevel="0" collapsed="false">
      <c r="A151" s="41" t="str">
        <f aca="false">IF(LOTS!$A141="","",LOTS!$A141)</f>
        <v/>
      </c>
      <c r="B151" s="42" t="n">
        <f aca="false">IF(OR($A151="",B$14=""),0,SUMIFS(MVT_NET,MVT_LOT,$A151,MVT_EMPL,B$14))</f>
        <v>0</v>
      </c>
      <c r="C151" s="42" t="n">
        <f aca="false">IF(OR($A151="",C$14=""),0,SUMIFS(MVT_NET,MVT_LOT,$A151,MVT_EMPL,C$14))</f>
        <v>0</v>
      </c>
      <c r="D151" s="42" t="n">
        <f aca="false">IF(OR($A151="",D$14=""),0,SUMIFS(MVT_NET,MVT_LOT,$A151,MVT_EMPL,D$14))</f>
        <v>0</v>
      </c>
      <c r="E151" s="42" t="n">
        <f aca="false">IF(OR($A151="",E$14=""),0,SUMIFS(MVT_NET,MVT_LOT,$A151,MVT_EMPL,E$14))</f>
        <v>0</v>
      </c>
      <c r="F151" s="42" t="n">
        <f aca="false">IF(OR($A151="",F$14=""),0,SUMIFS(MVT_NET,MVT_LOT,$A151,MVT_EMPL,F$14))</f>
        <v>0</v>
      </c>
      <c r="G151" s="42" t="n">
        <f aca="false">IF(OR($A151="",G$14=""),0,SUMIFS(MVT_NET,MVT_LOT,$A151,MVT_EMPL,G$14))</f>
        <v>0</v>
      </c>
      <c r="H151" s="42" t="n">
        <f aca="false">IF(OR($A151="",H$14=""),0,SUMIFS(MVT_NET,MVT_LOT,$A151,MVT_EMPL,H$14))</f>
        <v>0</v>
      </c>
      <c r="I151" s="42" t="n">
        <f aca="false">IF(OR($A151="",I$14=""),0,SUMIFS(MVT_NET,MVT_LOT,$A151,MVT_EMPL,I$14))</f>
        <v>0</v>
      </c>
      <c r="J151" s="42" t="n">
        <f aca="false">IF(OR($A151="",J$14=""),0,SUMIFS(MVT_NET,MVT_LOT,$A151,MVT_EMPL,J$14))</f>
        <v>0</v>
      </c>
      <c r="K151" s="42" t="n">
        <f aca="false">IF(OR($A151="",K$14=""),0,SUMIFS(MVT_NET,MVT_LOT,$A151,MVT_EMPL,K$14))</f>
        <v>0</v>
      </c>
      <c r="L151" s="42" t="n">
        <f aca="false">IF(OR($A151="",L$14=""),0,SUMIFS(MVT_NET,MVT_LOT,$A151,MVT_EMPL,L$14))</f>
        <v>0</v>
      </c>
      <c r="M151" s="42" t="n">
        <f aca="false">IF(OR($A151="",M$14=""),0,SUMIFS(MVT_NET,MVT_LOT,$A151,MVT_EMPL,M$14))</f>
        <v>0</v>
      </c>
      <c r="N151" s="43" t="n">
        <f aca="false">SUM($B151:$M151)</f>
        <v>0</v>
      </c>
      <c r="O151" s="44" t="n">
        <f aca="false">SUMPRODUCT(($B$13:$M$13="INTERNE")*$B151:$M151)</f>
        <v>0</v>
      </c>
      <c r="P151" s="44" t="n">
        <f aca="false">SUMPRODUCT(($B$13:$M$13="EXTERNE")*$B151:$M151)</f>
        <v>0</v>
      </c>
      <c r="Q151" s="44" t="n">
        <f aca="false">IF($A151="",0,SUMIFS(ST_ENCOURS,ST_LOT,$A151))</f>
        <v>0</v>
      </c>
      <c r="R151" s="45" t="str">
        <f aca="false">IF($A151="","",IFERROR(INDEX(LOT_EXTE,MATCH($A151,LOT_KEY,0)),""))</f>
        <v/>
      </c>
      <c r="S151" s="45" t="str">
        <f aca="false">IF($A151="","",IFERROR(INDEX(LOT_DECISION,MATCH($A151,LOT_KEY,0)),""))</f>
        <v/>
      </c>
      <c r="T151" s="44" t="n">
        <f aca="false">IF($S151="BLOQUER",MAX(0,$N151),0)</f>
        <v>0</v>
      </c>
      <c r="U151" s="46" t="str">
        <f aca="false">IF($A151="","",IF($N151&lt;-0.001,"STOCK NEGATIF - ANOMALIE",IF($T151&gt;0,"BLOQUE QUALITE","")))</f>
        <v/>
      </c>
    </row>
    <row r="152" customFormat="false" ht="15" hidden="false" customHeight="false" outlineLevel="0" collapsed="false">
      <c r="A152" s="41" t="str">
        <f aca="false">IF(LOTS!$A142="","",LOTS!$A142)</f>
        <v/>
      </c>
      <c r="B152" s="42" t="n">
        <f aca="false">IF(OR($A152="",B$14=""),0,SUMIFS(MVT_NET,MVT_LOT,$A152,MVT_EMPL,B$14))</f>
        <v>0</v>
      </c>
      <c r="C152" s="42" t="n">
        <f aca="false">IF(OR($A152="",C$14=""),0,SUMIFS(MVT_NET,MVT_LOT,$A152,MVT_EMPL,C$14))</f>
        <v>0</v>
      </c>
      <c r="D152" s="42" t="n">
        <f aca="false">IF(OR($A152="",D$14=""),0,SUMIFS(MVT_NET,MVT_LOT,$A152,MVT_EMPL,D$14))</f>
        <v>0</v>
      </c>
      <c r="E152" s="42" t="n">
        <f aca="false">IF(OR($A152="",E$14=""),0,SUMIFS(MVT_NET,MVT_LOT,$A152,MVT_EMPL,E$14))</f>
        <v>0</v>
      </c>
      <c r="F152" s="42" t="n">
        <f aca="false">IF(OR($A152="",F$14=""),0,SUMIFS(MVT_NET,MVT_LOT,$A152,MVT_EMPL,F$14))</f>
        <v>0</v>
      </c>
      <c r="G152" s="42" t="n">
        <f aca="false">IF(OR($A152="",G$14=""),0,SUMIFS(MVT_NET,MVT_LOT,$A152,MVT_EMPL,G$14))</f>
        <v>0</v>
      </c>
      <c r="H152" s="42" t="n">
        <f aca="false">IF(OR($A152="",H$14=""),0,SUMIFS(MVT_NET,MVT_LOT,$A152,MVT_EMPL,H$14))</f>
        <v>0</v>
      </c>
      <c r="I152" s="42" t="n">
        <f aca="false">IF(OR($A152="",I$14=""),0,SUMIFS(MVT_NET,MVT_LOT,$A152,MVT_EMPL,I$14))</f>
        <v>0</v>
      </c>
      <c r="J152" s="42" t="n">
        <f aca="false">IF(OR($A152="",J$14=""),0,SUMIFS(MVT_NET,MVT_LOT,$A152,MVT_EMPL,J$14))</f>
        <v>0</v>
      </c>
      <c r="K152" s="42" t="n">
        <f aca="false">IF(OR($A152="",K$14=""),0,SUMIFS(MVT_NET,MVT_LOT,$A152,MVT_EMPL,K$14))</f>
        <v>0</v>
      </c>
      <c r="L152" s="42" t="n">
        <f aca="false">IF(OR($A152="",L$14=""),0,SUMIFS(MVT_NET,MVT_LOT,$A152,MVT_EMPL,L$14))</f>
        <v>0</v>
      </c>
      <c r="M152" s="42" t="n">
        <f aca="false">IF(OR($A152="",M$14=""),0,SUMIFS(MVT_NET,MVT_LOT,$A152,MVT_EMPL,M$14))</f>
        <v>0</v>
      </c>
      <c r="N152" s="43" t="n">
        <f aca="false">SUM($B152:$M152)</f>
        <v>0</v>
      </c>
      <c r="O152" s="44" t="n">
        <f aca="false">SUMPRODUCT(($B$13:$M$13="INTERNE")*$B152:$M152)</f>
        <v>0</v>
      </c>
      <c r="P152" s="44" t="n">
        <f aca="false">SUMPRODUCT(($B$13:$M$13="EXTERNE")*$B152:$M152)</f>
        <v>0</v>
      </c>
      <c r="Q152" s="44" t="n">
        <f aca="false">IF($A152="",0,SUMIFS(ST_ENCOURS,ST_LOT,$A152))</f>
        <v>0</v>
      </c>
      <c r="R152" s="45" t="str">
        <f aca="false">IF($A152="","",IFERROR(INDEX(LOT_EXTE,MATCH($A152,LOT_KEY,0)),""))</f>
        <v/>
      </c>
      <c r="S152" s="45" t="str">
        <f aca="false">IF($A152="","",IFERROR(INDEX(LOT_DECISION,MATCH($A152,LOT_KEY,0)),""))</f>
        <v/>
      </c>
      <c r="T152" s="44" t="n">
        <f aca="false">IF($S152="BLOQUER",MAX(0,$N152),0)</f>
        <v>0</v>
      </c>
      <c r="U152" s="46" t="str">
        <f aca="false">IF($A152="","",IF($N152&lt;-0.001,"STOCK NEGATIF - ANOMALIE",IF($T152&gt;0,"BLOQUE QUALITE","")))</f>
        <v/>
      </c>
    </row>
    <row r="153" customFormat="false" ht="15" hidden="false" customHeight="false" outlineLevel="0" collapsed="false">
      <c r="A153" s="41" t="str">
        <f aca="false">IF(LOTS!$A143="","",LOTS!$A143)</f>
        <v/>
      </c>
      <c r="B153" s="42" t="n">
        <f aca="false">IF(OR($A153="",B$14=""),0,SUMIFS(MVT_NET,MVT_LOT,$A153,MVT_EMPL,B$14))</f>
        <v>0</v>
      </c>
      <c r="C153" s="42" t="n">
        <f aca="false">IF(OR($A153="",C$14=""),0,SUMIFS(MVT_NET,MVT_LOT,$A153,MVT_EMPL,C$14))</f>
        <v>0</v>
      </c>
      <c r="D153" s="42" t="n">
        <f aca="false">IF(OR($A153="",D$14=""),0,SUMIFS(MVT_NET,MVT_LOT,$A153,MVT_EMPL,D$14))</f>
        <v>0</v>
      </c>
      <c r="E153" s="42" t="n">
        <f aca="false">IF(OR($A153="",E$14=""),0,SUMIFS(MVT_NET,MVT_LOT,$A153,MVT_EMPL,E$14))</f>
        <v>0</v>
      </c>
      <c r="F153" s="42" t="n">
        <f aca="false">IF(OR($A153="",F$14=""),0,SUMIFS(MVT_NET,MVT_LOT,$A153,MVT_EMPL,F$14))</f>
        <v>0</v>
      </c>
      <c r="G153" s="42" t="n">
        <f aca="false">IF(OR($A153="",G$14=""),0,SUMIFS(MVT_NET,MVT_LOT,$A153,MVT_EMPL,G$14))</f>
        <v>0</v>
      </c>
      <c r="H153" s="42" t="n">
        <f aca="false">IF(OR($A153="",H$14=""),0,SUMIFS(MVT_NET,MVT_LOT,$A153,MVT_EMPL,H$14))</f>
        <v>0</v>
      </c>
      <c r="I153" s="42" t="n">
        <f aca="false">IF(OR($A153="",I$14=""),0,SUMIFS(MVT_NET,MVT_LOT,$A153,MVT_EMPL,I$14))</f>
        <v>0</v>
      </c>
      <c r="J153" s="42" t="n">
        <f aca="false">IF(OR($A153="",J$14=""),0,SUMIFS(MVT_NET,MVT_LOT,$A153,MVT_EMPL,J$14))</f>
        <v>0</v>
      </c>
      <c r="K153" s="42" t="n">
        <f aca="false">IF(OR($A153="",K$14=""),0,SUMIFS(MVT_NET,MVT_LOT,$A153,MVT_EMPL,K$14))</f>
        <v>0</v>
      </c>
      <c r="L153" s="42" t="n">
        <f aca="false">IF(OR($A153="",L$14=""),0,SUMIFS(MVT_NET,MVT_LOT,$A153,MVT_EMPL,L$14))</f>
        <v>0</v>
      </c>
      <c r="M153" s="42" t="n">
        <f aca="false">IF(OR($A153="",M$14=""),0,SUMIFS(MVT_NET,MVT_LOT,$A153,MVT_EMPL,M$14))</f>
        <v>0</v>
      </c>
      <c r="N153" s="43" t="n">
        <f aca="false">SUM($B153:$M153)</f>
        <v>0</v>
      </c>
      <c r="O153" s="44" t="n">
        <f aca="false">SUMPRODUCT(($B$13:$M$13="INTERNE")*$B153:$M153)</f>
        <v>0</v>
      </c>
      <c r="P153" s="44" t="n">
        <f aca="false">SUMPRODUCT(($B$13:$M$13="EXTERNE")*$B153:$M153)</f>
        <v>0</v>
      </c>
      <c r="Q153" s="44" t="n">
        <f aca="false">IF($A153="",0,SUMIFS(ST_ENCOURS,ST_LOT,$A153))</f>
        <v>0</v>
      </c>
      <c r="R153" s="45" t="str">
        <f aca="false">IF($A153="","",IFERROR(INDEX(LOT_EXTE,MATCH($A153,LOT_KEY,0)),""))</f>
        <v/>
      </c>
      <c r="S153" s="45" t="str">
        <f aca="false">IF($A153="","",IFERROR(INDEX(LOT_DECISION,MATCH($A153,LOT_KEY,0)),""))</f>
        <v/>
      </c>
      <c r="T153" s="44" t="n">
        <f aca="false">IF($S153="BLOQUER",MAX(0,$N153),0)</f>
        <v>0</v>
      </c>
      <c r="U153" s="46" t="str">
        <f aca="false">IF($A153="","",IF($N153&lt;-0.001,"STOCK NEGATIF - ANOMALIE",IF($T153&gt;0,"BLOQUE QUALITE","")))</f>
        <v/>
      </c>
    </row>
    <row r="154" customFormat="false" ht="15" hidden="false" customHeight="false" outlineLevel="0" collapsed="false">
      <c r="A154" s="41" t="str">
        <f aca="false">IF(LOTS!$A144="","",LOTS!$A144)</f>
        <v/>
      </c>
      <c r="B154" s="42" t="n">
        <f aca="false">IF(OR($A154="",B$14=""),0,SUMIFS(MVT_NET,MVT_LOT,$A154,MVT_EMPL,B$14))</f>
        <v>0</v>
      </c>
      <c r="C154" s="42" t="n">
        <f aca="false">IF(OR($A154="",C$14=""),0,SUMIFS(MVT_NET,MVT_LOT,$A154,MVT_EMPL,C$14))</f>
        <v>0</v>
      </c>
      <c r="D154" s="42" t="n">
        <f aca="false">IF(OR($A154="",D$14=""),0,SUMIFS(MVT_NET,MVT_LOT,$A154,MVT_EMPL,D$14))</f>
        <v>0</v>
      </c>
      <c r="E154" s="42" t="n">
        <f aca="false">IF(OR($A154="",E$14=""),0,SUMIFS(MVT_NET,MVT_LOT,$A154,MVT_EMPL,E$14))</f>
        <v>0</v>
      </c>
      <c r="F154" s="42" t="n">
        <f aca="false">IF(OR($A154="",F$14=""),0,SUMIFS(MVT_NET,MVT_LOT,$A154,MVT_EMPL,F$14))</f>
        <v>0</v>
      </c>
      <c r="G154" s="42" t="n">
        <f aca="false">IF(OR($A154="",G$14=""),0,SUMIFS(MVT_NET,MVT_LOT,$A154,MVT_EMPL,G$14))</f>
        <v>0</v>
      </c>
      <c r="H154" s="42" t="n">
        <f aca="false">IF(OR($A154="",H$14=""),0,SUMIFS(MVT_NET,MVT_LOT,$A154,MVT_EMPL,H$14))</f>
        <v>0</v>
      </c>
      <c r="I154" s="42" t="n">
        <f aca="false">IF(OR($A154="",I$14=""),0,SUMIFS(MVT_NET,MVT_LOT,$A154,MVT_EMPL,I$14))</f>
        <v>0</v>
      </c>
      <c r="J154" s="42" t="n">
        <f aca="false">IF(OR($A154="",J$14=""),0,SUMIFS(MVT_NET,MVT_LOT,$A154,MVT_EMPL,J$14))</f>
        <v>0</v>
      </c>
      <c r="K154" s="42" t="n">
        <f aca="false">IF(OR($A154="",K$14=""),0,SUMIFS(MVT_NET,MVT_LOT,$A154,MVT_EMPL,K$14))</f>
        <v>0</v>
      </c>
      <c r="L154" s="42" t="n">
        <f aca="false">IF(OR($A154="",L$14=""),0,SUMIFS(MVT_NET,MVT_LOT,$A154,MVT_EMPL,L$14))</f>
        <v>0</v>
      </c>
      <c r="M154" s="42" t="n">
        <f aca="false">IF(OR($A154="",M$14=""),0,SUMIFS(MVT_NET,MVT_LOT,$A154,MVT_EMPL,M$14))</f>
        <v>0</v>
      </c>
      <c r="N154" s="43" t="n">
        <f aca="false">SUM($B154:$M154)</f>
        <v>0</v>
      </c>
      <c r="O154" s="44" t="n">
        <f aca="false">SUMPRODUCT(($B$13:$M$13="INTERNE")*$B154:$M154)</f>
        <v>0</v>
      </c>
      <c r="P154" s="44" t="n">
        <f aca="false">SUMPRODUCT(($B$13:$M$13="EXTERNE")*$B154:$M154)</f>
        <v>0</v>
      </c>
      <c r="Q154" s="44" t="n">
        <f aca="false">IF($A154="",0,SUMIFS(ST_ENCOURS,ST_LOT,$A154))</f>
        <v>0</v>
      </c>
      <c r="R154" s="45" t="str">
        <f aca="false">IF($A154="","",IFERROR(INDEX(LOT_EXTE,MATCH($A154,LOT_KEY,0)),""))</f>
        <v/>
      </c>
      <c r="S154" s="45" t="str">
        <f aca="false">IF($A154="","",IFERROR(INDEX(LOT_DECISION,MATCH($A154,LOT_KEY,0)),""))</f>
        <v/>
      </c>
      <c r="T154" s="44" t="n">
        <f aca="false">IF($S154="BLOQUER",MAX(0,$N154),0)</f>
        <v>0</v>
      </c>
      <c r="U154" s="46" t="str">
        <f aca="false">IF($A154="","",IF($N154&lt;-0.001,"STOCK NEGATIF - ANOMALIE",IF($T154&gt;0,"BLOQUE QUALITE","")))</f>
        <v/>
      </c>
    </row>
    <row r="155" customFormat="false" ht="15" hidden="false" customHeight="false" outlineLevel="0" collapsed="false">
      <c r="A155" s="41" t="str">
        <f aca="false">IF(LOTS!$A145="","",LOTS!$A145)</f>
        <v/>
      </c>
      <c r="B155" s="42" t="n">
        <f aca="false">IF(OR($A155="",B$14=""),0,SUMIFS(MVT_NET,MVT_LOT,$A155,MVT_EMPL,B$14))</f>
        <v>0</v>
      </c>
      <c r="C155" s="42" t="n">
        <f aca="false">IF(OR($A155="",C$14=""),0,SUMIFS(MVT_NET,MVT_LOT,$A155,MVT_EMPL,C$14))</f>
        <v>0</v>
      </c>
      <c r="D155" s="42" t="n">
        <f aca="false">IF(OR($A155="",D$14=""),0,SUMIFS(MVT_NET,MVT_LOT,$A155,MVT_EMPL,D$14))</f>
        <v>0</v>
      </c>
      <c r="E155" s="42" t="n">
        <f aca="false">IF(OR($A155="",E$14=""),0,SUMIFS(MVT_NET,MVT_LOT,$A155,MVT_EMPL,E$14))</f>
        <v>0</v>
      </c>
      <c r="F155" s="42" t="n">
        <f aca="false">IF(OR($A155="",F$14=""),0,SUMIFS(MVT_NET,MVT_LOT,$A155,MVT_EMPL,F$14))</f>
        <v>0</v>
      </c>
      <c r="G155" s="42" t="n">
        <f aca="false">IF(OR($A155="",G$14=""),0,SUMIFS(MVT_NET,MVT_LOT,$A155,MVT_EMPL,G$14))</f>
        <v>0</v>
      </c>
      <c r="H155" s="42" t="n">
        <f aca="false">IF(OR($A155="",H$14=""),0,SUMIFS(MVT_NET,MVT_LOT,$A155,MVT_EMPL,H$14))</f>
        <v>0</v>
      </c>
      <c r="I155" s="42" t="n">
        <f aca="false">IF(OR($A155="",I$14=""),0,SUMIFS(MVT_NET,MVT_LOT,$A155,MVT_EMPL,I$14))</f>
        <v>0</v>
      </c>
      <c r="J155" s="42" t="n">
        <f aca="false">IF(OR($A155="",J$14=""),0,SUMIFS(MVT_NET,MVT_LOT,$A155,MVT_EMPL,J$14))</f>
        <v>0</v>
      </c>
      <c r="K155" s="42" t="n">
        <f aca="false">IF(OR($A155="",K$14=""),0,SUMIFS(MVT_NET,MVT_LOT,$A155,MVT_EMPL,K$14))</f>
        <v>0</v>
      </c>
      <c r="L155" s="42" t="n">
        <f aca="false">IF(OR($A155="",L$14=""),0,SUMIFS(MVT_NET,MVT_LOT,$A155,MVT_EMPL,L$14))</f>
        <v>0</v>
      </c>
      <c r="M155" s="42" t="n">
        <f aca="false">IF(OR($A155="",M$14=""),0,SUMIFS(MVT_NET,MVT_LOT,$A155,MVT_EMPL,M$14))</f>
        <v>0</v>
      </c>
      <c r="N155" s="43" t="n">
        <f aca="false">SUM($B155:$M155)</f>
        <v>0</v>
      </c>
      <c r="O155" s="44" t="n">
        <f aca="false">SUMPRODUCT(($B$13:$M$13="INTERNE")*$B155:$M155)</f>
        <v>0</v>
      </c>
      <c r="P155" s="44" t="n">
        <f aca="false">SUMPRODUCT(($B$13:$M$13="EXTERNE")*$B155:$M155)</f>
        <v>0</v>
      </c>
      <c r="Q155" s="44" t="n">
        <f aca="false">IF($A155="",0,SUMIFS(ST_ENCOURS,ST_LOT,$A155))</f>
        <v>0</v>
      </c>
      <c r="R155" s="45" t="str">
        <f aca="false">IF($A155="","",IFERROR(INDEX(LOT_EXTE,MATCH($A155,LOT_KEY,0)),""))</f>
        <v/>
      </c>
      <c r="S155" s="45" t="str">
        <f aca="false">IF($A155="","",IFERROR(INDEX(LOT_DECISION,MATCH($A155,LOT_KEY,0)),""))</f>
        <v/>
      </c>
      <c r="T155" s="44" t="n">
        <f aca="false">IF($S155="BLOQUER",MAX(0,$N155),0)</f>
        <v>0</v>
      </c>
      <c r="U155" s="46" t="str">
        <f aca="false">IF($A155="","",IF($N155&lt;-0.001,"STOCK NEGATIF - ANOMALIE",IF($T155&gt;0,"BLOQUE QUALITE","")))</f>
        <v/>
      </c>
    </row>
    <row r="156" customFormat="false" ht="15" hidden="false" customHeight="false" outlineLevel="0" collapsed="false">
      <c r="A156" s="41" t="str">
        <f aca="false">IF(LOTS!$A146="","",LOTS!$A146)</f>
        <v/>
      </c>
      <c r="B156" s="42" t="n">
        <f aca="false">IF(OR($A156="",B$14=""),0,SUMIFS(MVT_NET,MVT_LOT,$A156,MVT_EMPL,B$14))</f>
        <v>0</v>
      </c>
      <c r="C156" s="42" t="n">
        <f aca="false">IF(OR($A156="",C$14=""),0,SUMIFS(MVT_NET,MVT_LOT,$A156,MVT_EMPL,C$14))</f>
        <v>0</v>
      </c>
      <c r="D156" s="42" t="n">
        <f aca="false">IF(OR($A156="",D$14=""),0,SUMIFS(MVT_NET,MVT_LOT,$A156,MVT_EMPL,D$14))</f>
        <v>0</v>
      </c>
      <c r="E156" s="42" t="n">
        <f aca="false">IF(OR($A156="",E$14=""),0,SUMIFS(MVT_NET,MVT_LOT,$A156,MVT_EMPL,E$14))</f>
        <v>0</v>
      </c>
      <c r="F156" s="42" t="n">
        <f aca="false">IF(OR($A156="",F$14=""),0,SUMIFS(MVT_NET,MVT_LOT,$A156,MVT_EMPL,F$14))</f>
        <v>0</v>
      </c>
      <c r="G156" s="42" t="n">
        <f aca="false">IF(OR($A156="",G$14=""),0,SUMIFS(MVT_NET,MVT_LOT,$A156,MVT_EMPL,G$14))</f>
        <v>0</v>
      </c>
      <c r="H156" s="42" t="n">
        <f aca="false">IF(OR($A156="",H$14=""),0,SUMIFS(MVT_NET,MVT_LOT,$A156,MVT_EMPL,H$14))</f>
        <v>0</v>
      </c>
      <c r="I156" s="42" t="n">
        <f aca="false">IF(OR($A156="",I$14=""),0,SUMIFS(MVT_NET,MVT_LOT,$A156,MVT_EMPL,I$14))</f>
        <v>0</v>
      </c>
      <c r="J156" s="42" t="n">
        <f aca="false">IF(OR($A156="",J$14=""),0,SUMIFS(MVT_NET,MVT_LOT,$A156,MVT_EMPL,J$14))</f>
        <v>0</v>
      </c>
      <c r="K156" s="42" t="n">
        <f aca="false">IF(OR($A156="",K$14=""),0,SUMIFS(MVT_NET,MVT_LOT,$A156,MVT_EMPL,K$14))</f>
        <v>0</v>
      </c>
      <c r="L156" s="42" t="n">
        <f aca="false">IF(OR($A156="",L$14=""),0,SUMIFS(MVT_NET,MVT_LOT,$A156,MVT_EMPL,L$14))</f>
        <v>0</v>
      </c>
      <c r="M156" s="42" t="n">
        <f aca="false">IF(OR($A156="",M$14=""),0,SUMIFS(MVT_NET,MVT_LOT,$A156,MVT_EMPL,M$14))</f>
        <v>0</v>
      </c>
      <c r="N156" s="43" t="n">
        <f aca="false">SUM($B156:$M156)</f>
        <v>0</v>
      </c>
      <c r="O156" s="44" t="n">
        <f aca="false">SUMPRODUCT(($B$13:$M$13="INTERNE")*$B156:$M156)</f>
        <v>0</v>
      </c>
      <c r="P156" s="44" t="n">
        <f aca="false">SUMPRODUCT(($B$13:$M$13="EXTERNE")*$B156:$M156)</f>
        <v>0</v>
      </c>
      <c r="Q156" s="44" t="n">
        <f aca="false">IF($A156="",0,SUMIFS(ST_ENCOURS,ST_LOT,$A156))</f>
        <v>0</v>
      </c>
      <c r="R156" s="45" t="str">
        <f aca="false">IF($A156="","",IFERROR(INDEX(LOT_EXTE,MATCH($A156,LOT_KEY,0)),""))</f>
        <v/>
      </c>
      <c r="S156" s="45" t="str">
        <f aca="false">IF($A156="","",IFERROR(INDEX(LOT_DECISION,MATCH($A156,LOT_KEY,0)),""))</f>
        <v/>
      </c>
      <c r="T156" s="44" t="n">
        <f aca="false">IF($S156="BLOQUER",MAX(0,$N156),0)</f>
        <v>0</v>
      </c>
      <c r="U156" s="46" t="str">
        <f aca="false">IF($A156="","",IF($N156&lt;-0.001,"STOCK NEGATIF - ANOMALIE",IF($T156&gt;0,"BLOQUE QUALITE","")))</f>
        <v/>
      </c>
    </row>
    <row r="157" customFormat="false" ht="15" hidden="false" customHeight="false" outlineLevel="0" collapsed="false">
      <c r="A157" s="41" t="str">
        <f aca="false">IF(LOTS!$A147="","",LOTS!$A147)</f>
        <v/>
      </c>
      <c r="B157" s="42" t="n">
        <f aca="false">IF(OR($A157="",B$14=""),0,SUMIFS(MVT_NET,MVT_LOT,$A157,MVT_EMPL,B$14))</f>
        <v>0</v>
      </c>
      <c r="C157" s="42" t="n">
        <f aca="false">IF(OR($A157="",C$14=""),0,SUMIFS(MVT_NET,MVT_LOT,$A157,MVT_EMPL,C$14))</f>
        <v>0</v>
      </c>
      <c r="D157" s="42" t="n">
        <f aca="false">IF(OR($A157="",D$14=""),0,SUMIFS(MVT_NET,MVT_LOT,$A157,MVT_EMPL,D$14))</f>
        <v>0</v>
      </c>
      <c r="E157" s="42" t="n">
        <f aca="false">IF(OR($A157="",E$14=""),0,SUMIFS(MVT_NET,MVT_LOT,$A157,MVT_EMPL,E$14))</f>
        <v>0</v>
      </c>
      <c r="F157" s="42" t="n">
        <f aca="false">IF(OR($A157="",F$14=""),0,SUMIFS(MVT_NET,MVT_LOT,$A157,MVT_EMPL,F$14))</f>
        <v>0</v>
      </c>
      <c r="G157" s="42" t="n">
        <f aca="false">IF(OR($A157="",G$14=""),0,SUMIFS(MVT_NET,MVT_LOT,$A157,MVT_EMPL,G$14))</f>
        <v>0</v>
      </c>
      <c r="H157" s="42" t="n">
        <f aca="false">IF(OR($A157="",H$14=""),0,SUMIFS(MVT_NET,MVT_LOT,$A157,MVT_EMPL,H$14))</f>
        <v>0</v>
      </c>
      <c r="I157" s="42" t="n">
        <f aca="false">IF(OR($A157="",I$14=""),0,SUMIFS(MVT_NET,MVT_LOT,$A157,MVT_EMPL,I$14))</f>
        <v>0</v>
      </c>
      <c r="J157" s="42" t="n">
        <f aca="false">IF(OR($A157="",J$14=""),0,SUMIFS(MVT_NET,MVT_LOT,$A157,MVT_EMPL,J$14))</f>
        <v>0</v>
      </c>
      <c r="K157" s="42" t="n">
        <f aca="false">IF(OR($A157="",K$14=""),0,SUMIFS(MVT_NET,MVT_LOT,$A157,MVT_EMPL,K$14))</f>
        <v>0</v>
      </c>
      <c r="L157" s="42" t="n">
        <f aca="false">IF(OR($A157="",L$14=""),0,SUMIFS(MVT_NET,MVT_LOT,$A157,MVT_EMPL,L$14))</f>
        <v>0</v>
      </c>
      <c r="M157" s="42" t="n">
        <f aca="false">IF(OR($A157="",M$14=""),0,SUMIFS(MVT_NET,MVT_LOT,$A157,MVT_EMPL,M$14))</f>
        <v>0</v>
      </c>
      <c r="N157" s="43" t="n">
        <f aca="false">SUM($B157:$M157)</f>
        <v>0</v>
      </c>
      <c r="O157" s="44" t="n">
        <f aca="false">SUMPRODUCT(($B$13:$M$13="INTERNE")*$B157:$M157)</f>
        <v>0</v>
      </c>
      <c r="P157" s="44" t="n">
        <f aca="false">SUMPRODUCT(($B$13:$M$13="EXTERNE")*$B157:$M157)</f>
        <v>0</v>
      </c>
      <c r="Q157" s="44" t="n">
        <f aca="false">IF($A157="",0,SUMIFS(ST_ENCOURS,ST_LOT,$A157))</f>
        <v>0</v>
      </c>
      <c r="R157" s="45" t="str">
        <f aca="false">IF($A157="","",IFERROR(INDEX(LOT_EXTE,MATCH($A157,LOT_KEY,0)),""))</f>
        <v/>
      </c>
      <c r="S157" s="45" t="str">
        <f aca="false">IF($A157="","",IFERROR(INDEX(LOT_DECISION,MATCH($A157,LOT_KEY,0)),""))</f>
        <v/>
      </c>
      <c r="T157" s="44" t="n">
        <f aca="false">IF($S157="BLOQUER",MAX(0,$N157),0)</f>
        <v>0</v>
      </c>
      <c r="U157" s="46" t="str">
        <f aca="false">IF($A157="","",IF($N157&lt;-0.001,"STOCK NEGATIF - ANOMALIE",IF($T157&gt;0,"BLOQUE QUALITE","")))</f>
        <v/>
      </c>
    </row>
    <row r="158" customFormat="false" ht="15" hidden="false" customHeight="false" outlineLevel="0" collapsed="false">
      <c r="A158" s="41" t="str">
        <f aca="false">IF(LOTS!$A148="","",LOTS!$A148)</f>
        <v/>
      </c>
      <c r="B158" s="42" t="n">
        <f aca="false">IF(OR($A158="",B$14=""),0,SUMIFS(MVT_NET,MVT_LOT,$A158,MVT_EMPL,B$14))</f>
        <v>0</v>
      </c>
      <c r="C158" s="42" t="n">
        <f aca="false">IF(OR($A158="",C$14=""),0,SUMIFS(MVT_NET,MVT_LOT,$A158,MVT_EMPL,C$14))</f>
        <v>0</v>
      </c>
      <c r="D158" s="42" t="n">
        <f aca="false">IF(OR($A158="",D$14=""),0,SUMIFS(MVT_NET,MVT_LOT,$A158,MVT_EMPL,D$14))</f>
        <v>0</v>
      </c>
      <c r="E158" s="42" t="n">
        <f aca="false">IF(OR($A158="",E$14=""),0,SUMIFS(MVT_NET,MVT_LOT,$A158,MVT_EMPL,E$14))</f>
        <v>0</v>
      </c>
      <c r="F158" s="42" t="n">
        <f aca="false">IF(OR($A158="",F$14=""),0,SUMIFS(MVT_NET,MVT_LOT,$A158,MVT_EMPL,F$14))</f>
        <v>0</v>
      </c>
      <c r="G158" s="42" t="n">
        <f aca="false">IF(OR($A158="",G$14=""),0,SUMIFS(MVT_NET,MVT_LOT,$A158,MVT_EMPL,G$14))</f>
        <v>0</v>
      </c>
      <c r="H158" s="42" t="n">
        <f aca="false">IF(OR($A158="",H$14=""),0,SUMIFS(MVT_NET,MVT_LOT,$A158,MVT_EMPL,H$14))</f>
        <v>0</v>
      </c>
      <c r="I158" s="42" t="n">
        <f aca="false">IF(OR($A158="",I$14=""),0,SUMIFS(MVT_NET,MVT_LOT,$A158,MVT_EMPL,I$14))</f>
        <v>0</v>
      </c>
      <c r="J158" s="42" t="n">
        <f aca="false">IF(OR($A158="",J$14=""),0,SUMIFS(MVT_NET,MVT_LOT,$A158,MVT_EMPL,J$14))</f>
        <v>0</v>
      </c>
      <c r="K158" s="42" t="n">
        <f aca="false">IF(OR($A158="",K$14=""),0,SUMIFS(MVT_NET,MVT_LOT,$A158,MVT_EMPL,K$14))</f>
        <v>0</v>
      </c>
      <c r="L158" s="42" t="n">
        <f aca="false">IF(OR($A158="",L$14=""),0,SUMIFS(MVT_NET,MVT_LOT,$A158,MVT_EMPL,L$14))</f>
        <v>0</v>
      </c>
      <c r="M158" s="42" t="n">
        <f aca="false">IF(OR($A158="",M$14=""),0,SUMIFS(MVT_NET,MVT_LOT,$A158,MVT_EMPL,M$14))</f>
        <v>0</v>
      </c>
      <c r="N158" s="43" t="n">
        <f aca="false">SUM($B158:$M158)</f>
        <v>0</v>
      </c>
      <c r="O158" s="44" t="n">
        <f aca="false">SUMPRODUCT(($B$13:$M$13="INTERNE")*$B158:$M158)</f>
        <v>0</v>
      </c>
      <c r="P158" s="44" t="n">
        <f aca="false">SUMPRODUCT(($B$13:$M$13="EXTERNE")*$B158:$M158)</f>
        <v>0</v>
      </c>
      <c r="Q158" s="44" t="n">
        <f aca="false">IF($A158="",0,SUMIFS(ST_ENCOURS,ST_LOT,$A158))</f>
        <v>0</v>
      </c>
      <c r="R158" s="45" t="str">
        <f aca="false">IF($A158="","",IFERROR(INDEX(LOT_EXTE,MATCH($A158,LOT_KEY,0)),""))</f>
        <v/>
      </c>
      <c r="S158" s="45" t="str">
        <f aca="false">IF($A158="","",IFERROR(INDEX(LOT_DECISION,MATCH($A158,LOT_KEY,0)),""))</f>
        <v/>
      </c>
      <c r="T158" s="44" t="n">
        <f aca="false">IF($S158="BLOQUER",MAX(0,$N158),0)</f>
        <v>0</v>
      </c>
      <c r="U158" s="46" t="str">
        <f aca="false">IF($A158="","",IF($N158&lt;-0.001,"STOCK NEGATIF - ANOMALIE",IF($T158&gt;0,"BLOQUE QUALITE","")))</f>
        <v/>
      </c>
    </row>
    <row r="159" customFormat="false" ht="15" hidden="false" customHeight="false" outlineLevel="0" collapsed="false">
      <c r="A159" s="41" t="str">
        <f aca="false">IF(LOTS!$A149="","",LOTS!$A149)</f>
        <v/>
      </c>
      <c r="B159" s="42" t="n">
        <f aca="false">IF(OR($A159="",B$14=""),0,SUMIFS(MVT_NET,MVT_LOT,$A159,MVT_EMPL,B$14))</f>
        <v>0</v>
      </c>
      <c r="C159" s="42" t="n">
        <f aca="false">IF(OR($A159="",C$14=""),0,SUMIFS(MVT_NET,MVT_LOT,$A159,MVT_EMPL,C$14))</f>
        <v>0</v>
      </c>
      <c r="D159" s="42" t="n">
        <f aca="false">IF(OR($A159="",D$14=""),0,SUMIFS(MVT_NET,MVT_LOT,$A159,MVT_EMPL,D$14))</f>
        <v>0</v>
      </c>
      <c r="E159" s="42" t="n">
        <f aca="false">IF(OR($A159="",E$14=""),0,SUMIFS(MVT_NET,MVT_LOT,$A159,MVT_EMPL,E$14))</f>
        <v>0</v>
      </c>
      <c r="F159" s="42" t="n">
        <f aca="false">IF(OR($A159="",F$14=""),0,SUMIFS(MVT_NET,MVT_LOT,$A159,MVT_EMPL,F$14))</f>
        <v>0</v>
      </c>
      <c r="G159" s="42" t="n">
        <f aca="false">IF(OR($A159="",G$14=""),0,SUMIFS(MVT_NET,MVT_LOT,$A159,MVT_EMPL,G$14))</f>
        <v>0</v>
      </c>
      <c r="H159" s="42" t="n">
        <f aca="false">IF(OR($A159="",H$14=""),0,SUMIFS(MVT_NET,MVT_LOT,$A159,MVT_EMPL,H$14))</f>
        <v>0</v>
      </c>
      <c r="I159" s="42" t="n">
        <f aca="false">IF(OR($A159="",I$14=""),0,SUMIFS(MVT_NET,MVT_LOT,$A159,MVT_EMPL,I$14))</f>
        <v>0</v>
      </c>
      <c r="J159" s="42" t="n">
        <f aca="false">IF(OR($A159="",J$14=""),0,SUMIFS(MVT_NET,MVT_LOT,$A159,MVT_EMPL,J$14))</f>
        <v>0</v>
      </c>
      <c r="K159" s="42" t="n">
        <f aca="false">IF(OR($A159="",K$14=""),0,SUMIFS(MVT_NET,MVT_LOT,$A159,MVT_EMPL,K$14))</f>
        <v>0</v>
      </c>
      <c r="L159" s="42" t="n">
        <f aca="false">IF(OR($A159="",L$14=""),0,SUMIFS(MVT_NET,MVT_LOT,$A159,MVT_EMPL,L$14))</f>
        <v>0</v>
      </c>
      <c r="M159" s="42" t="n">
        <f aca="false">IF(OR($A159="",M$14=""),0,SUMIFS(MVT_NET,MVT_LOT,$A159,MVT_EMPL,M$14))</f>
        <v>0</v>
      </c>
      <c r="N159" s="43" t="n">
        <f aca="false">SUM($B159:$M159)</f>
        <v>0</v>
      </c>
      <c r="O159" s="44" t="n">
        <f aca="false">SUMPRODUCT(($B$13:$M$13="INTERNE")*$B159:$M159)</f>
        <v>0</v>
      </c>
      <c r="P159" s="44" t="n">
        <f aca="false">SUMPRODUCT(($B$13:$M$13="EXTERNE")*$B159:$M159)</f>
        <v>0</v>
      </c>
      <c r="Q159" s="44" t="n">
        <f aca="false">IF($A159="",0,SUMIFS(ST_ENCOURS,ST_LOT,$A159))</f>
        <v>0</v>
      </c>
      <c r="R159" s="45" t="str">
        <f aca="false">IF($A159="","",IFERROR(INDEX(LOT_EXTE,MATCH($A159,LOT_KEY,0)),""))</f>
        <v/>
      </c>
      <c r="S159" s="45" t="str">
        <f aca="false">IF($A159="","",IFERROR(INDEX(LOT_DECISION,MATCH($A159,LOT_KEY,0)),""))</f>
        <v/>
      </c>
      <c r="T159" s="44" t="n">
        <f aca="false">IF($S159="BLOQUER",MAX(0,$N159),0)</f>
        <v>0</v>
      </c>
      <c r="U159" s="46" t="str">
        <f aca="false">IF($A159="","",IF($N159&lt;-0.001,"STOCK NEGATIF - ANOMALIE",IF($T159&gt;0,"BLOQUE QUALITE","")))</f>
        <v/>
      </c>
    </row>
    <row r="160" customFormat="false" ht="15" hidden="false" customHeight="false" outlineLevel="0" collapsed="false">
      <c r="A160" s="41" t="str">
        <f aca="false">IF(LOTS!$A150="","",LOTS!$A150)</f>
        <v/>
      </c>
      <c r="B160" s="42" t="n">
        <f aca="false">IF(OR($A160="",B$14=""),0,SUMIFS(MVT_NET,MVT_LOT,$A160,MVT_EMPL,B$14))</f>
        <v>0</v>
      </c>
      <c r="C160" s="42" t="n">
        <f aca="false">IF(OR($A160="",C$14=""),0,SUMIFS(MVT_NET,MVT_LOT,$A160,MVT_EMPL,C$14))</f>
        <v>0</v>
      </c>
      <c r="D160" s="42" t="n">
        <f aca="false">IF(OR($A160="",D$14=""),0,SUMIFS(MVT_NET,MVT_LOT,$A160,MVT_EMPL,D$14))</f>
        <v>0</v>
      </c>
      <c r="E160" s="42" t="n">
        <f aca="false">IF(OR($A160="",E$14=""),0,SUMIFS(MVT_NET,MVT_LOT,$A160,MVT_EMPL,E$14))</f>
        <v>0</v>
      </c>
      <c r="F160" s="42" t="n">
        <f aca="false">IF(OR($A160="",F$14=""),0,SUMIFS(MVT_NET,MVT_LOT,$A160,MVT_EMPL,F$14))</f>
        <v>0</v>
      </c>
      <c r="G160" s="42" t="n">
        <f aca="false">IF(OR($A160="",G$14=""),0,SUMIFS(MVT_NET,MVT_LOT,$A160,MVT_EMPL,G$14))</f>
        <v>0</v>
      </c>
      <c r="H160" s="42" t="n">
        <f aca="false">IF(OR($A160="",H$14=""),0,SUMIFS(MVT_NET,MVT_LOT,$A160,MVT_EMPL,H$14))</f>
        <v>0</v>
      </c>
      <c r="I160" s="42" t="n">
        <f aca="false">IF(OR($A160="",I$14=""),0,SUMIFS(MVT_NET,MVT_LOT,$A160,MVT_EMPL,I$14))</f>
        <v>0</v>
      </c>
      <c r="J160" s="42" t="n">
        <f aca="false">IF(OR($A160="",J$14=""),0,SUMIFS(MVT_NET,MVT_LOT,$A160,MVT_EMPL,J$14))</f>
        <v>0</v>
      </c>
      <c r="K160" s="42" t="n">
        <f aca="false">IF(OR($A160="",K$14=""),0,SUMIFS(MVT_NET,MVT_LOT,$A160,MVT_EMPL,K$14))</f>
        <v>0</v>
      </c>
      <c r="L160" s="42" t="n">
        <f aca="false">IF(OR($A160="",L$14=""),0,SUMIFS(MVT_NET,MVT_LOT,$A160,MVT_EMPL,L$14))</f>
        <v>0</v>
      </c>
      <c r="M160" s="42" t="n">
        <f aca="false">IF(OR($A160="",M$14=""),0,SUMIFS(MVT_NET,MVT_LOT,$A160,MVT_EMPL,M$14))</f>
        <v>0</v>
      </c>
      <c r="N160" s="43" t="n">
        <f aca="false">SUM($B160:$M160)</f>
        <v>0</v>
      </c>
      <c r="O160" s="44" t="n">
        <f aca="false">SUMPRODUCT(($B$13:$M$13="INTERNE")*$B160:$M160)</f>
        <v>0</v>
      </c>
      <c r="P160" s="44" t="n">
        <f aca="false">SUMPRODUCT(($B$13:$M$13="EXTERNE")*$B160:$M160)</f>
        <v>0</v>
      </c>
      <c r="Q160" s="44" t="n">
        <f aca="false">IF($A160="",0,SUMIFS(ST_ENCOURS,ST_LOT,$A160))</f>
        <v>0</v>
      </c>
      <c r="R160" s="45" t="str">
        <f aca="false">IF($A160="","",IFERROR(INDEX(LOT_EXTE,MATCH($A160,LOT_KEY,0)),""))</f>
        <v/>
      </c>
      <c r="S160" s="45" t="str">
        <f aca="false">IF($A160="","",IFERROR(INDEX(LOT_DECISION,MATCH($A160,LOT_KEY,0)),""))</f>
        <v/>
      </c>
      <c r="T160" s="44" t="n">
        <f aca="false">IF($S160="BLOQUER",MAX(0,$N160),0)</f>
        <v>0</v>
      </c>
      <c r="U160" s="46" t="str">
        <f aca="false">IF($A160="","",IF($N160&lt;-0.001,"STOCK NEGATIF - ANOMALIE",IF($T160&gt;0,"BLOQUE QUALITE","")))</f>
        <v/>
      </c>
    </row>
    <row r="161" customFormat="false" ht="15" hidden="false" customHeight="false" outlineLevel="0" collapsed="false">
      <c r="A161" s="41" t="str">
        <f aca="false">IF(LOTS!$A151="","",LOTS!$A151)</f>
        <v/>
      </c>
      <c r="B161" s="42" t="n">
        <f aca="false">IF(OR($A161="",B$14=""),0,SUMIFS(MVT_NET,MVT_LOT,$A161,MVT_EMPL,B$14))</f>
        <v>0</v>
      </c>
      <c r="C161" s="42" t="n">
        <f aca="false">IF(OR($A161="",C$14=""),0,SUMIFS(MVT_NET,MVT_LOT,$A161,MVT_EMPL,C$14))</f>
        <v>0</v>
      </c>
      <c r="D161" s="42" t="n">
        <f aca="false">IF(OR($A161="",D$14=""),0,SUMIFS(MVT_NET,MVT_LOT,$A161,MVT_EMPL,D$14))</f>
        <v>0</v>
      </c>
      <c r="E161" s="42" t="n">
        <f aca="false">IF(OR($A161="",E$14=""),0,SUMIFS(MVT_NET,MVT_LOT,$A161,MVT_EMPL,E$14))</f>
        <v>0</v>
      </c>
      <c r="F161" s="42" t="n">
        <f aca="false">IF(OR($A161="",F$14=""),0,SUMIFS(MVT_NET,MVT_LOT,$A161,MVT_EMPL,F$14))</f>
        <v>0</v>
      </c>
      <c r="G161" s="42" t="n">
        <f aca="false">IF(OR($A161="",G$14=""),0,SUMIFS(MVT_NET,MVT_LOT,$A161,MVT_EMPL,G$14))</f>
        <v>0</v>
      </c>
      <c r="H161" s="42" t="n">
        <f aca="false">IF(OR($A161="",H$14=""),0,SUMIFS(MVT_NET,MVT_LOT,$A161,MVT_EMPL,H$14))</f>
        <v>0</v>
      </c>
      <c r="I161" s="42" t="n">
        <f aca="false">IF(OR($A161="",I$14=""),0,SUMIFS(MVT_NET,MVT_LOT,$A161,MVT_EMPL,I$14))</f>
        <v>0</v>
      </c>
      <c r="J161" s="42" t="n">
        <f aca="false">IF(OR($A161="",J$14=""),0,SUMIFS(MVT_NET,MVT_LOT,$A161,MVT_EMPL,J$14))</f>
        <v>0</v>
      </c>
      <c r="K161" s="42" t="n">
        <f aca="false">IF(OR($A161="",K$14=""),0,SUMIFS(MVT_NET,MVT_LOT,$A161,MVT_EMPL,K$14))</f>
        <v>0</v>
      </c>
      <c r="L161" s="42" t="n">
        <f aca="false">IF(OR($A161="",L$14=""),0,SUMIFS(MVT_NET,MVT_LOT,$A161,MVT_EMPL,L$14))</f>
        <v>0</v>
      </c>
      <c r="M161" s="42" t="n">
        <f aca="false">IF(OR($A161="",M$14=""),0,SUMIFS(MVT_NET,MVT_LOT,$A161,MVT_EMPL,M$14))</f>
        <v>0</v>
      </c>
      <c r="N161" s="43" t="n">
        <f aca="false">SUM($B161:$M161)</f>
        <v>0</v>
      </c>
      <c r="O161" s="44" t="n">
        <f aca="false">SUMPRODUCT(($B$13:$M$13="INTERNE")*$B161:$M161)</f>
        <v>0</v>
      </c>
      <c r="P161" s="44" t="n">
        <f aca="false">SUMPRODUCT(($B$13:$M$13="EXTERNE")*$B161:$M161)</f>
        <v>0</v>
      </c>
      <c r="Q161" s="44" t="n">
        <f aca="false">IF($A161="",0,SUMIFS(ST_ENCOURS,ST_LOT,$A161))</f>
        <v>0</v>
      </c>
      <c r="R161" s="45" t="str">
        <f aca="false">IF($A161="","",IFERROR(INDEX(LOT_EXTE,MATCH($A161,LOT_KEY,0)),""))</f>
        <v/>
      </c>
      <c r="S161" s="45" t="str">
        <f aca="false">IF($A161="","",IFERROR(INDEX(LOT_DECISION,MATCH($A161,LOT_KEY,0)),""))</f>
        <v/>
      </c>
      <c r="T161" s="44" t="n">
        <f aca="false">IF($S161="BLOQUER",MAX(0,$N161),0)</f>
        <v>0</v>
      </c>
      <c r="U161" s="46" t="str">
        <f aca="false">IF($A161="","",IF($N161&lt;-0.001,"STOCK NEGATIF - ANOMALIE",IF($T161&gt;0,"BLOQUE QUALITE","")))</f>
        <v/>
      </c>
    </row>
    <row r="162" customFormat="false" ht="15" hidden="false" customHeight="false" outlineLevel="0" collapsed="false">
      <c r="A162" s="41" t="str">
        <f aca="false">IF(LOTS!$A152="","",LOTS!$A152)</f>
        <v/>
      </c>
      <c r="B162" s="42" t="n">
        <f aca="false">IF(OR($A162="",B$14=""),0,SUMIFS(MVT_NET,MVT_LOT,$A162,MVT_EMPL,B$14))</f>
        <v>0</v>
      </c>
      <c r="C162" s="42" t="n">
        <f aca="false">IF(OR($A162="",C$14=""),0,SUMIFS(MVT_NET,MVT_LOT,$A162,MVT_EMPL,C$14))</f>
        <v>0</v>
      </c>
      <c r="D162" s="42" t="n">
        <f aca="false">IF(OR($A162="",D$14=""),0,SUMIFS(MVT_NET,MVT_LOT,$A162,MVT_EMPL,D$14))</f>
        <v>0</v>
      </c>
      <c r="E162" s="42" t="n">
        <f aca="false">IF(OR($A162="",E$14=""),0,SUMIFS(MVT_NET,MVT_LOT,$A162,MVT_EMPL,E$14))</f>
        <v>0</v>
      </c>
      <c r="F162" s="42" t="n">
        <f aca="false">IF(OR($A162="",F$14=""),0,SUMIFS(MVT_NET,MVT_LOT,$A162,MVT_EMPL,F$14))</f>
        <v>0</v>
      </c>
      <c r="G162" s="42" t="n">
        <f aca="false">IF(OR($A162="",G$14=""),0,SUMIFS(MVT_NET,MVT_LOT,$A162,MVT_EMPL,G$14))</f>
        <v>0</v>
      </c>
      <c r="H162" s="42" t="n">
        <f aca="false">IF(OR($A162="",H$14=""),0,SUMIFS(MVT_NET,MVT_LOT,$A162,MVT_EMPL,H$14))</f>
        <v>0</v>
      </c>
      <c r="I162" s="42" t="n">
        <f aca="false">IF(OR($A162="",I$14=""),0,SUMIFS(MVT_NET,MVT_LOT,$A162,MVT_EMPL,I$14))</f>
        <v>0</v>
      </c>
      <c r="J162" s="42" t="n">
        <f aca="false">IF(OR($A162="",J$14=""),0,SUMIFS(MVT_NET,MVT_LOT,$A162,MVT_EMPL,J$14))</f>
        <v>0</v>
      </c>
      <c r="K162" s="42" t="n">
        <f aca="false">IF(OR($A162="",K$14=""),0,SUMIFS(MVT_NET,MVT_LOT,$A162,MVT_EMPL,K$14))</f>
        <v>0</v>
      </c>
      <c r="L162" s="42" t="n">
        <f aca="false">IF(OR($A162="",L$14=""),0,SUMIFS(MVT_NET,MVT_LOT,$A162,MVT_EMPL,L$14))</f>
        <v>0</v>
      </c>
      <c r="M162" s="42" t="n">
        <f aca="false">IF(OR($A162="",M$14=""),0,SUMIFS(MVT_NET,MVT_LOT,$A162,MVT_EMPL,M$14))</f>
        <v>0</v>
      </c>
      <c r="N162" s="43" t="n">
        <f aca="false">SUM($B162:$M162)</f>
        <v>0</v>
      </c>
      <c r="O162" s="44" t="n">
        <f aca="false">SUMPRODUCT(($B$13:$M$13="INTERNE")*$B162:$M162)</f>
        <v>0</v>
      </c>
      <c r="P162" s="44" t="n">
        <f aca="false">SUMPRODUCT(($B$13:$M$13="EXTERNE")*$B162:$M162)</f>
        <v>0</v>
      </c>
      <c r="Q162" s="44" t="n">
        <f aca="false">IF($A162="",0,SUMIFS(ST_ENCOURS,ST_LOT,$A162))</f>
        <v>0</v>
      </c>
      <c r="R162" s="45" t="str">
        <f aca="false">IF($A162="","",IFERROR(INDEX(LOT_EXTE,MATCH($A162,LOT_KEY,0)),""))</f>
        <v/>
      </c>
      <c r="S162" s="45" t="str">
        <f aca="false">IF($A162="","",IFERROR(INDEX(LOT_DECISION,MATCH($A162,LOT_KEY,0)),""))</f>
        <v/>
      </c>
      <c r="T162" s="44" t="n">
        <f aca="false">IF($S162="BLOQUER",MAX(0,$N162),0)</f>
        <v>0</v>
      </c>
      <c r="U162" s="46" t="str">
        <f aca="false">IF($A162="","",IF($N162&lt;-0.001,"STOCK NEGATIF - ANOMALIE",IF($T162&gt;0,"BLOQUE QUALITE","")))</f>
        <v/>
      </c>
    </row>
    <row r="163" customFormat="false" ht="15" hidden="false" customHeight="false" outlineLevel="0" collapsed="false">
      <c r="A163" s="41" t="str">
        <f aca="false">IF(LOTS!$A153="","",LOTS!$A153)</f>
        <v/>
      </c>
      <c r="B163" s="42" t="n">
        <f aca="false">IF(OR($A163="",B$14=""),0,SUMIFS(MVT_NET,MVT_LOT,$A163,MVT_EMPL,B$14))</f>
        <v>0</v>
      </c>
      <c r="C163" s="42" t="n">
        <f aca="false">IF(OR($A163="",C$14=""),0,SUMIFS(MVT_NET,MVT_LOT,$A163,MVT_EMPL,C$14))</f>
        <v>0</v>
      </c>
      <c r="D163" s="42" t="n">
        <f aca="false">IF(OR($A163="",D$14=""),0,SUMIFS(MVT_NET,MVT_LOT,$A163,MVT_EMPL,D$14))</f>
        <v>0</v>
      </c>
      <c r="E163" s="42" t="n">
        <f aca="false">IF(OR($A163="",E$14=""),0,SUMIFS(MVT_NET,MVT_LOT,$A163,MVT_EMPL,E$14))</f>
        <v>0</v>
      </c>
      <c r="F163" s="42" t="n">
        <f aca="false">IF(OR($A163="",F$14=""),0,SUMIFS(MVT_NET,MVT_LOT,$A163,MVT_EMPL,F$14))</f>
        <v>0</v>
      </c>
      <c r="G163" s="42" t="n">
        <f aca="false">IF(OR($A163="",G$14=""),0,SUMIFS(MVT_NET,MVT_LOT,$A163,MVT_EMPL,G$14))</f>
        <v>0</v>
      </c>
      <c r="H163" s="42" t="n">
        <f aca="false">IF(OR($A163="",H$14=""),0,SUMIFS(MVT_NET,MVT_LOT,$A163,MVT_EMPL,H$14))</f>
        <v>0</v>
      </c>
      <c r="I163" s="42" t="n">
        <f aca="false">IF(OR($A163="",I$14=""),0,SUMIFS(MVT_NET,MVT_LOT,$A163,MVT_EMPL,I$14))</f>
        <v>0</v>
      </c>
      <c r="J163" s="42" t="n">
        <f aca="false">IF(OR($A163="",J$14=""),0,SUMIFS(MVT_NET,MVT_LOT,$A163,MVT_EMPL,J$14))</f>
        <v>0</v>
      </c>
      <c r="K163" s="42" t="n">
        <f aca="false">IF(OR($A163="",K$14=""),0,SUMIFS(MVT_NET,MVT_LOT,$A163,MVT_EMPL,K$14))</f>
        <v>0</v>
      </c>
      <c r="L163" s="42" t="n">
        <f aca="false">IF(OR($A163="",L$14=""),0,SUMIFS(MVT_NET,MVT_LOT,$A163,MVT_EMPL,L$14))</f>
        <v>0</v>
      </c>
      <c r="M163" s="42" t="n">
        <f aca="false">IF(OR($A163="",M$14=""),0,SUMIFS(MVT_NET,MVT_LOT,$A163,MVT_EMPL,M$14))</f>
        <v>0</v>
      </c>
      <c r="N163" s="43" t="n">
        <f aca="false">SUM($B163:$M163)</f>
        <v>0</v>
      </c>
      <c r="O163" s="44" t="n">
        <f aca="false">SUMPRODUCT(($B$13:$M$13="INTERNE")*$B163:$M163)</f>
        <v>0</v>
      </c>
      <c r="P163" s="44" t="n">
        <f aca="false">SUMPRODUCT(($B$13:$M$13="EXTERNE")*$B163:$M163)</f>
        <v>0</v>
      </c>
      <c r="Q163" s="44" t="n">
        <f aca="false">IF($A163="",0,SUMIFS(ST_ENCOURS,ST_LOT,$A163))</f>
        <v>0</v>
      </c>
      <c r="R163" s="45" t="str">
        <f aca="false">IF($A163="","",IFERROR(INDEX(LOT_EXTE,MATCH($A163,LOT_KEY,0)),""))</f>
        <v/>
      </c>
      <c r="S163" s="45" t="str">
        <f aca="false">IF($A163="","",IFERROR(INDEX(LOT_DECISION,MATCH($A163,LOT_KEY,0)),""))</f>
        <v/>
      </c>
      <c r="T163" s="44" t="n">
        <f aca="false">IF($S163="BLOQUER",MAX(0,$N163),0)</f>
        <v>0</v>
      </c>
      <c r="U163" s="46" t="str">
        <f aca="false">IF($A163="","",IF($N163&lt;-0.001,"STOCK NEGATIF - ANOMALIE",IF($T163&gt;0,"BLOQUE QUALITE","")))</f>
        <v/>
      </c>
    </row>
    <row r="164" customFormat="false" ht="15" hidden="false" customHeight="false" outlineLevel="0" collapsed="false">
      <c r="A164" s="41" t="str">
        <f aca="false">IF(LOTS!$A154="","",LOTS!$A154)</f>
        <v/>
      </c>
      <c r="B164" s="42" t="n">
        <f aca="false">IF(OR($A164="",B$14=""),0,SUMIFS(MVT_NET,MVT_LOT,$A164,MVT_EMPL,B$14))</f>
        <v>0</v>
      </c>
      <c r="C164" s="42" t="n">
        <f aca="false">IF(OR($A164="",C$14=""),0,SUMIFS(MVT_NET,MVT_LOT,$A164,MVT_EMPL,C$14))</f>
        <v>0</v>
      </c>
      <c r="D164" s="42" t="n">
        <f aca="false">IF(OR($A164="",D$14=""),0,SUMIFS(MVT_NET,MVT_LOT,$A164,MVT_EMPL,D$14))</f>
        <v>0</v>
      </c>
      <c r="E164" s="42" t="n">
        <f aca="false">IF(OR($A164="",E$14=""),0,SUMIFS(MVT_NET,MVT_LOT,$A164,MVT_EMPL,E$14))</f>
        <v>0</v>
      </c>
      <c r="F164" s="42" t="n">
        <f aca="false">IF(OR($A164="",F$14=""),0,SUMIFS(MVT_NET,MVT_LOT,$A164,MVT_EMPL,F$14))</f>
        <v>0</v>
      </c>
      <c r="G164" s="42" t="n">
        <f aca="false">IF(OR($A164="",G$14=""),0,SUMIFS(MVT_NET,MVT_LOT,$A164,MVT_EMPL,G$14))</f>
        <v>0</v>
      </c>
      <c r="H164" s="42" t="n">
        <f aca="false">IF(OR($A164="",H$14=""),0,SUMIFS(MVT_NET,MVT_LOT,$A164,MVT_EMPL,H$14))</f>
        <v>0</v>
      </c>
      <c r="I164" s="42" t="n">
        <f aca="false">IF(OR($A164="",I$14=""),0,SUMIFS(MVT_NET,MVT_LOT,$A164,MVT_EMPL,I$14))</f>
        <v>0</v>
      </c>
      <c r="J164" s="42" t="n">
        <f aca="false">IF(OR($A164="",J$14=""),0,SUMIFS(MVT_NET,MVT_LOT,$A164,MVT_EMPL,J$14))</f>
        <v>0</v>
      </c>
      <c r="K164" s="42" t="n">
        <f aca="false">IF(OR($A164="",K$14=""),0,SUMIFS(MVT_NET,MVT_LOT,$A164,MVT_EMPL,K$14))</f>
        <v>0</v>
      </c>
      <c r="L164" s="42" t="n">
        <f aca="false">IF(OR($A164="",L$14=""),0,SUMIFS(MVT_NET,MVT_LOT,$A164,MVT_EMPL,L$14))</f>
        <v>0</v>
      </c>
      <c r="M164" s="42" t="n">
        <f aca="false">IF(OR($A164="",M$14=""),0,SUMIFS(MVT_NET,MVT_LOT,$A164,MVT_EMPL,M$14))</f>
        <v>0</v>
      </c>
      <c r="N164" s="43" t="n">
        <f aca="false">SUM($B164:$M164)</f>
        <v>0</v>
      </c>
      <c r="O164" s="44" t="n">
        <f aca="false">SUMPRODUCT(($B$13:$M$13="INTERNE")*$B164:$M164)</f>
        <v>0</v>
      </c>
      <c r="P164" s="44" t="n">
        <f aca="false">SUMPRODUCT(($B$13:$M$13="EXTERNE")*$B164:$M164)</f>
        <v>0</v>
      </c>
      <c r="Q164" s="44" t="n">
        <f aca="false">IF($A164="",0,SUMIFS(ST_ENCOURS,ST_LOT,$A164))</f>
        <v>0</v>
      </c>
      <c r="R164" s="45" t="str">
        <f aca="false">IF($A164="","",IFERROR(INDEX(LOT_EXTE,MATCH($A164,LOT_KEY,0)),""))</f>
        <v/>
      </c>
      <c r="S164" s="45" t="str">
        <f aca="false">IF($A164="","",IFERROR(INDEX(LOT_DECISION,MATCH($A164,LOT_KEY,0)),""))</f>
        <v/>
      </c>
      <c r="T164" s="44" t="n">
        <f aca="false">IF($S164="BLOQUER",MAX(0,$N164),0)</f>
        <v>0</v>
      </c>
      <c r="U164" s="46" t="str">
        <f aca="false">IF($A164="","",IF($N164&lt;-0.001,"STOCK NEGATIF - ANOMALIE",IF($T164&gt;0,"BLOQUE QUALITE","")))</f>
        <v/>
      </c>
    </row>
    <row r="165" customFormat="false" ht="15" hidden="false" customHeight="false" outlineLevel="0" collapsed="false">
      <c r="A165" s="41" t="str">
        <f aca="false">IF(LOTS!$A155="","",LOTS!$A155)</f>
        <v/>
      </c>
      <c r="B165" s="42" t="n">
        <f aca="false">IF(OR($A165="",B$14=""),0,SUMIFS(MVT_NET,MVT_LOT,$A165,MVT_EMPL,B$14))</f>
        <v>0</v>
      </c>
      <c r="C165" s="42" t="n">
        <f aca="false">IF(OR($A165="",C$14=""),0,SUMIFS(MVT_NET,MVT_LOT,$A165,MVT_EMPL,C$14))</f>
        <v>0</v>
      </c>
      <c r="D165" s="42" t="n">
        <f aca="false">IF(OR($A165="",D$14=""),0,SUMIFS(MVT_NET,MVT_LOT,$A165,MVT_EMPL,D$14))</f>
        <v>0</v>
      </c>
      <c r="E165" s="42" t="n">
        <f aca="false">IF(OR($A165="",E$14=""),0,SUMIFS(MVT_NET,MVT_LOT,$A165,MVT_EMPL,E$14))</f>
        <v>0</v>
      </c>
      <c r="F165" s="42" t="n">
        <f aca="false">IF(OR($A165="",F$14=""),0,SUMIFS(MVT_NET,MVT_LOT,$A165,MVT_EMPL,F$14))</f>
        <v>0</v>
      </c>
      <c r="G165" s="42" t="n">
        <f aca="false">IF(OR($A165="",G$14=""),0,SUMIFS(MVT_NET,MVT_LOT,$A165,MVT_EMPL,G$14))</f>
        <v>0</v>
      </c>
      <c r="H165" s="42" t="n">
        <f aca="false">IF(OR($A165="",H$14=""),0,SUMIFS(MVT_NET,MVT_LOT,$A165,MVT_EMPL,H$14))</f>
        <v>0</v>
      </c>
      <c r="I165" s="42" t="n">
        <f aca="false">IF(OR($A165="",I$14=""),0,SUMIFS(MVT_NET,MVT_LOT,$A165,MVT_EMPL,I$14))</f>
        <v>0</v>
      </c>
      <c r="J165" s="42" t="n">
        <f aca="false">IF(OR($A165="",J$14=""),0,SUMIFS(MVT_NET,MVT_LOT,$A165,MVT_EMPL,J$14))</f>
        <v>0</v>
      </c>
      <c r="K165" s="42" t="n">
        <f aca="false">IF(OR($A165="",K$14=""),0,SUMIFS(MVT_NET,MVT_LOT,$A165,MVT_EMPL,K$14))</f>
        <v>0</v>
      </c>
      <c r="L165" s="42" t="n">
        <f aca="false">IF(OR($A165="",L$14=""),0,SUMIFS(MVT_NET,MVT_LOT,$A165,MVT_EMPL,L$14))</f>
        <v>0</v>
      </c>
      <c r="M165" s="42" t="n">
        <f aca="false">IF(OR($A165="",M$14=""),0,SUMIFS(MVT_NET,MVT_LOT,$A165,MVT_EMPL,M$14))</f>
        <v>0</v>
      </c>
      <c r="N165" s="43" t="n">
        <f aca="false">SUM($B165:$M165)</f>
        <v>0</v>
      </c>
      <c r="O165" s="44" t="n">
        <f aca="false">SUMPRODUCT(($B$13:$M$13="INTERNE")*$B165:$M165)</f>
        <v>0</v>
      </c>
      <c r="P165" s="44" t="n">
        <f aca="false">SUMPRODUCT(($B$13:$M$13="EXTERNE")*$B165:$M165)</f>
        <v>0</v>
      </c>
      <c r="Q165" s="44" t="n">
        <f aca="false">IF($A165="",0,SUMIFS(ST_ENCOURS,ST_LOT,$A165))</f>
        <v>0</v>
      </c>
      <c r="R165" s="45" t="str">
        <f aca="false">IF($A165="","",IFERROR(INDEX(LOT_EXTE,MATCH($A165,LOT_KEY,0)),""))</f>
        <v/>
      </c>
      <c r="S165" s="45" t="str">
        <f aca="false">IF($A165="","",IFERROR(INDEX(LOT_DECISION,MATCH($A165,LOT_KEY,0)),""))</f>
        <v/>
      </c>
      <c r="T165" s="44" t="n">
        <f aca="false">IF($S165="BLOQUER",MAX(0,$N165),0)</f>
        <v>0</v>
      </c>
      <c r="U165" s="46" t="str">
        <f aca="false">IF($A165="","",IF($N165&lt;-0.001,"STOCK NEGATIF - ANOMALIE",IF($T165&gt;0,"BLOQUE QUALITE","")))</f>
        <v/>
      </c>
    </row>
    <row r="166" customFormat="false" ht="15" hidden="false" customHeight="false" outlineLevel="0" collapsed="false">
      <c r="A166" s="41" t="str">
        <f aca="false">IF(LOTS!$A156="","",LOTS!$A156)</f>
        <v/>
      </c>
      <c r="B166" s="42" t="n">
        <f aca="false">IF(OR($A166="",B$14=""),0,SUMIFS(MVT_NET,MVT_LOT,$A166,MVT_EMPL,B$14))</f>
        <v>0</v>
      </c>
      <c r="C166" s="42" t="n">
        <f aca="false">IF(OR($A166="",C$14=""),0,SUMIFS(MVT_NET,MVT_LOT,$A166,MVT_EMPL,C$14))</f>
        <v>0</v>
      </c>
      <c r="D166" s="42" t="n">
        <f aca="false">IF(OR($A166="",D$14=""),0,SUMIFS(MVT_NET,MVT_LOT,$A166,MVT_EMPL,D$14))</f>
        <v>0</v>
      </c>
      <c r="E166" s="42" t="n">
        <f aca="false">IF(OR($A166="",E$14=""),0,SUMIFS(MVT_NET,MVT_LOT,$A166,MVT_EMPL,E$14))</f>
        <v>0</v>
      </c>
      <c r="F166" s="42" t="n">
        <f aca="false">IF(OR($A166="",F$14=""),0,SUMIFS(MVT_NET,MVT_LOT,$A166,MVT_EMPL,F$14))</f>
        <v>0</v>
      </c>
      <c r="G166" s="42" t="n">
        <f aca="false">IF(OR($A166="",G$14=""),0,SUMIFS(MVT_NET,MVT_LOT,$A166,MVT_EMPL,G$14))</f>
        <v>0</v>
      </c>
      <c r="H166" s="42" t="n">
        <f aca="false">IF(OR($A166="",H$14=""),0,SUMIFS(MVT_NET,MVT_LOT,$A166,MVT_EMPL,H$14))</f>
        <v>0</v>
      </c>
      <c r="I166" s="42" t="n">
        <f aca="false">IF(OR($A166="",I$14=""),0,SUMIFS(MVT_NET,MVT_LOT,$A166,MVT_EMPL,I$14))</f>
        <v>0</v>
      </c>
      <c r="J166" s="42" t="n">
        <f aca="false">IF(OR($A166="",J$14=""),0,SUMIFS(MVT_NET,MVT_LOT,$A166,MVT_EMPL,J$14))</f>
        <v>0</v>
      </c>
      <c r="K166" s="42" t="n">
        <f aca="false">IF(OR($A166="",K$14=""),0,SUMIFS(MVT_NET,MVT_LOT,$A166,MVT_EMPL,K$14))</f>
        <v>0</v>
      </c>
      <c r="L166" s="42" t="n">
        <f aca="false">IF(OR($A166="",L$14=""),0,SUMIFS(MVT_NET,MVT_LOT,$A166,MVT_EMPL,L$14))</f>
        <v>0</v>
      </c>
      <c r="M166" s="42" t="n">
        <f aca="false">IF(OR($A166="",M$14=""),0,SUMIFS(MVT_NET,MVT_LOT,$A166,MVT_EMPL,M$14))</f>
        <v>0</v>
      </c>
      <c r="N166" s="43" t="n">
        <f aca="false">SUM($B166:$M166)</f>
        <v>0</v>
      </c>
      <c r="O166" s="44" t="n">
        <f aca="false">SUMPRODUCT(($B$13:$M$13="INTERNE")*$B166:$M166)</f>
        <v>0</v>
      </c>
      <c r="P166" s="44" t="n">
        <f aca="false">SUMPRODUCT(($B$13:$M$13="EXTERNE")*$B166:$M166)</f>
        <v>0</v>
      </c>
      <c r="Q166" s="44" t="n">
        <f aca="false">IF($A166="",0,SUMIFS(ST_ENCOURS,ST_LOT,$A166))</f>
        <v>0</v>
      </c>
      <c r="R166" s="45" t="str">
        <f aca="false">IF($A166="","",IFERROR(INDEX(LOT_EXTE,MATCH($A166,LOT_KEY,0)),""))</f>
        <v/>
      </c>
      <c r="S166" s="45" t="str">
        <f aca="false">IF($A166="","",IFERROR(INDEX(LOT_DECISION,MATCH($A166,LOT_KEY,0)),""))</f>
        <v/>
      </c>
      <c r="T166" s="44" t="n">
        <f aca="false">IF($S166="BLOQUER",MAX(0,$N166),0)</f>
        <v>0</v>
      </c>
      <c r="U166" s="46" t="str">
        <f aca="false">IF($A166="","",IF($N166&lt;-0.001,"STOCK NEGATIF - ANOMALIE",IF($T166&gt;0,"BLOQUE QUALITE","")))</f>
        <v/>
      </c>
    </row>
    <row r="167" customFormat="false" ht="15" hidden="false" customHeight="false" outlineLevel="0" collapsed="false">
      <c r="A167" s="41" t="str">
        <f aca="false">IF(LOTS!$A157="","",LOTS!$A157)</f>
        <v/>
      </c>
      <c r="B167" s="42" t="n">
        <f aca="false">IF(OR($A167="",B$14=""),0,SUMIFS(MVT_NET,MVT_LOT,$A167,MVT_EMPL,B$14))</f>
        <v>0</v>
      </c>
      <c r="C167" s="42" t="n">
        <f aca="false">IF(OR($A167="",C$14=""),0,SUMIFS(MVT_NET,MVT_LOT,$A167,MVT_EMPL,C$14))</f>
        <v>0</v>
      </c>
      <c r="D167" s="42" t="n">
        <f aca="false">IF(OR($A167="",D$14=""),0,SUMIFS(MVT_NET,MVT_LOT,$A167,MVT_EMPL,D$14))</f>
        <v>0</v>
      </c>
      <c r="E167" s="42" t="n">
        <f aca="false">IF(OR($A167="",E$14=""),0,SUMIFS(MVT_NET,MVT_LOT,$A167,MVT_EMPL,E$14))</f>
        <v>0</v>
      </c>
      <c r="F167" s="42" t="n">
        <f aca="false">IF(OR($A167="",F$14=""),0,SUMIFS(MVT_NET,MVT_LOT,$A167,MVT_EMPL,F$14))</f>
        <v>0</v>
      </c>
      <c r="G167" s="42" t="n">
        <f aca="false">IF(OR($A167="",G$14=""),0,SUMIFS(MVT_NET,MVT_LOT,$A167,MVT_EMPL,G$14))</f>
        <v>0</v>
      </c>
      <c r="H167" s="42" t="n">
        <f aca="false">IF(OR($A167="",H$14=""),0,SUMIFS(MVT_NET,MVT_LOT,$A167,MVT_EMPL,H$14))</f>
        <v>0</v>
      </c>
      <c r="I167" s="42" t="n">
        <f aca="false">IF(OR($A167="",I$14=""),0,SUMIFS(MVT_NET,MVT_LOT,$A167,MVT_EMPL,I$14))</f>
        <v>0</v>
      </c>
      <c r="J167" s="42" t="n">
        <f aca="false">IF(OR($A167="",J$14=""),0,SUMIFS(MVT_NET,MVT_LOT,$A167,MVT_EMPL,J$14))</f>
        <v>0</v>
      </c>
      <c r="K167" s="42" t="n">
        <f aca="false">IF(OR($A167="",K$14=""),0,SUMIFS(MVT_NET,MVT_LOT,$A167,MVT_EMPL,K$14))</f>
        <v>0</v>
      </c>
      <c r="L167" s="42" t="n">
        <f aca="false">IF(OR($A167="",L$14=""),0,SUMIFS(MVT_NET,MVT_LOT,$A167,MVT_EMPL,L$14))</f>
        <v>0</v>
      </c>
      <c r="M167" s="42" t="n">
        <f aca="false">IF(OR($A167="",M$14=""),0,SUMIFS(MVT_NET,MVT_LOT,$A167,MVT_EMPL,M$14))</f>
        <v>0</v>
      </c>
      <c r="N167" s="43" t="n">
        <f aca="false">SUM($B167:$M167)</f>
        <v>0</v>
      </c>
      <c r="O167" s="44" t="n">
        <f aca="false">SUMPRODUCT(($B$13:$M$13="INTERNE")*$B167:$M167)</f>
        <v>0</v>
      </c>
      <c r="P167" s="44" t="n">
        <f aca="false">SUMPRODUCT(($B$13:$M$13="EXTERNE")*$B167:$M167)</f>
        <v>0</v>
      </c>
      <c r="Q167" s="44" t="n">
        <f aca="false">IF($A167="",0,SUMIFS(ST_ENCOURS,ST_LOT,$A167))</f>
        <v>0</v>
      </c>
      <c r="R167" s="45" t="str">
        <f aca="false">IF($A167="","",IFERROR(INDEX(LOT_EXTE,MATCH($A167,LOT_KEY,0)),""))</f>
        <v/>
      </c>
      <c r="S167" s="45" t="str">
        <f aca="false">IF($A167="","",IFERROR(INDEX(LOT_DECISION,MATCH($A167,LOT_KEY,0)),""))</f>
        <v/>
      </c>
      <c r="T167" s="44" t="n">
        <f aca="false">IF($S167="BLOQUER",MAX(0,$N167),0)</f>
        <v>0</v>
      </c>
      <c r="U167" s="46" t="str">
        <f aca="false">IF($A167="","",IF($N167&lt;-0.001,"STOCK NEGATIF - ANOMALIE",IF($T167&gt;0,"BLOQUE QUALITE","")))</f>
        <v/>
      </c>
    </row>
    <row r="168" customFormat="false" ht="15" hidden="false" customHeight="false" outlineLevel="0" collapsed="false">
      <c r="A168" s="41" t="str">
        <f aca="false">IF(LOTS!$A158="","",LOTS!$A158)</f>
        <v/>
      </c>
      <c r="B168" s="42" t="n">
        <f aca="false">IF(OR($A168="",B$14=""),0,SUMIFS(MVT_NET,MVT_LOT,$A168,MVT_EMPL,B$14))</f>
        <v>0</v>
      </c>
      <c r="C168" s="42" t="n">
        <f aca="false">IF(OR($A168="",C$14=""),0,SUMIFS(MVT_NET,MVT_LOT,$A168,MVT_EMPL,C$14))</f>
        <v>0</v>
      </c>
      <c r="D168" s="42" t="n">
        <f aca="false">IF(OR($A168="",D$14=""),0,SUMIFS(MVT_NET,MVT_LOT,$A168,MVT_EMPL,D$14))</f>
        <v>0</v>
      </c>
      <c r="E168" s="42" t="n">
        <f aca="false">IF(OR($A168="",E$14=""),0,SUMIFS(MVT_NET,MVT_LOT,$A168,MVT_EMPL,E$14))</f>
        <v>0</v>
      </c>
      <c r="F168" s="42" t="n">
        <f aca="false">IF(OR($A168="",F$14=""),0,SUMIFS(MVT_NET,MVT_LOT,$A168,MVT_EMPL,F$14))</f>
        <v>0</v>
      </c>
      <c r="G168" s="42" t="n">
        <f aca="false">IF(OR($A168="",G$14=""),0,SUMIFS(MVT_NET,MVT_LOT,$A168,MVT_EMPL,G$14))</f>
        <v>0</v>
      </c>
      <c r="H168" s="42" t="n">
        <f aca="false">IF(OR($A168="",H$14=""),0,SUMIFS(MVT_NET,MVT_LOT,$A168,MVT_EMPL,H$14))</f>
        <v>0</v>
      </c>
      <c r="I168" s="42" t="n">
        <f aca="false">IF(OR($A168="",I$14=""),0,SUMIFS(MVT_NET,MVT_LOT,$A168,MVT_EMPL,I$14))</f>
        <v>0</v>
      </c>
      <c r="J168" s="42" t="n">
        <f aca="false">IF(OR($A168="",J$14=""),0,SUMIFS(MVT_NET,MVT_LOT,$A168,MVT_EMPL,J$14))</f>
        <v>0</v>
      </c>
      <c r="K168" s="42" t="n">
        <f aca="false">IF(OR($A168="",K$14=""),0,SUMIFS(MVT_NET,MVT_LOT,$A168,MVT_EMPL,K$14))</f>
        <v>0</v>
      </c>
      <c r="L168" s="42" t="n">
        <f aca="false">IF(OR($A168="",L$14=""),0,SUMIFS(MVT_NET,MVT_LOT,$A168,MVT_EMPL,L$14))</f>
        <v>0</v>
      </c>
      <c r="M168" s="42" t="n">
        <f aca="false">IF(OR($A168="",M$14=""),0,SUMIFS(MVT_NET,MVT_LOT,$A168,MVT_EMPL,M$14))</f>
        <v>0</v>
      </c>
      <c r="N168" s="43" t="n">
        <f aca="false">SUM($B168:$M168)</f>
        <v>0</v>
      </c>
      <c r="O168" s="44" t="n">
        <f aca="false">SUMPRODUCT(($B$13:$M$13="INTERNE")*$B168:$M168)</f>
        <v>0</v>
      </c>
      <c r="P168" s="44" t="n">
        <f aca="false">SUMPRODUCT(($B$13:$M$13="EXTERNE")*$B168:$M168)</f>
        <v>0</v>
      </c>
      <c r="Q168" s="44" t="n">
        <f aca="false">IF($A168="",0,SUMIFS(ST_ENCOURS,ST_LOT,$A168))</f>
        <v>0</v>
      </c>
      <c r="R168" s="45" t="str">
        <f aca="false">IF($A168="","",IFERROR(INDEX(LOT_EXTE,MATCH($A168,LOT_KEY,0)),""))</f>
        <v/>
      </c>
      <c r="S168" s="45" t="str">
        <f aca="false">IF($A168="","",IFERROR(INDEX(LOT_DECISION,MATCH($A168,LOT_KEY,0)),""))</f>
        <v/>
      </c>
      <c r="T168" s="44" t="n">
        <f aca="false">IF($S168="BLOQUER",MAX(0,$N168),0)</f>
        <v>0</v>
      </c>
      <c r="U168" s="46" t="str">
        <f aca="false">IF($A168="","",IF($N168&lt;-0.001,"STOCK NEGATIF - ANOMALIE",IF($T168&gt;0,"BLOQUE QUALITE","")))</f>
        <v/>
      </c>
    </row>
    <row r="169" customFormat="false" ht="15" hidden="false" customHeight="false" outlineLevel="0" collapsed="false">
      <c r="A169" s="41" t="str">
        <f aca="false">IF(LOTS!$A159="","",LOTS!$A159)</f>
        <v/>
      </c>
      <c r="B169" s="42" t="n">
        <f aca="false">IF(OR($A169="",B$14=""),0,SUMIFS(MVT_NET,MVT_LOT,$A169,MVT_EMPL,B$14))</f>
        <v>0</v>
      </c>
      <c r="C169" s="42" t="n">
        <f aca="false">IF(OR($A169="",C$14=""),0,SUMIFS(MVT_NET,MVT_LOT,$A169,MVT_EMPL,C$14))</f>
        <v>0</v>
      </c>
      <c r="D169" s="42" t="n">
        <f aca="false">IF(OR($A169="",D$14=""),0,SUMIFS(MVT_NET,MVT_LOT,$A169,MVT_EMPL,D$14))</f>
        <v>0</v>
      </c>
      <c r="E169" s="42" t="n">
        <f aca="false">IF(OR($A169="",E$14=""),0,SUMIFS(MVT_NET,MVT_LOT,$A169,MVT_EMPL,E$14))</f>
        <v>0</v>
      </c>
      <c r="F169" s="42" t="n">
        <f aca="false">IF(OR($A169="",F$14=""),0,SUMIFS(MVT_NET,MVT_LOT,$A169,MVT_EMPL,F$14))</f>
        <v>0</v>
      </c>
      <c r="G169" s="42" t="n">
        <f aca="false">IF(OR($A169="",G$14=""),0,SUMIFS(MVT_NET,MVT_LOT,$A169,MVT_EMPL,G$14))</f>
        <v>0</v>
      </c>
      <c r="H169" s="42" t="n">
        <f aca="false">IF(OR($A169="",H$14=""),0,SUMIFS(MVT_NET,MVT_LOT,$A169,MVT_EMPL,H$14))</f>
        <v>0</v>
      </c>
      <c r="I169" s="42" t="n">
        <f aca="false">IF(OR($A169="",I$14=""),0,SUMIFS(MVT_NET,MVT_LOT,$A169,MVT_EMPL,I$14))</f>
        <v>0</v>
      </c>
      <c r="J169" s="42" t="n">
        <f aca="false">IF(OR($A169="",J$14=""),0,SUMIFS(MVT_NET,MVT_LOT,$A169,MVT_EMPL,J$14))</f>
        <v>0</v>
      </c>
      <c r="K169" s="42" t="n">
        <f aca="false">IF(OR($A169="",K$14=""),0,SUMIFS(MVT_NET,MVT_LOT,$A169,MVT_EMPL,K$14))</f>
        <v>0</v>
      </c>
      <c r="L169" s="42" t="n">
        <f aca="false">IF(OR($A169="",L$14=""),0,SUMIFS(MVT_NET,MVT_LOT,$A169,MVT_EMPL,L$14))</f>
        <v>0</v>
      </c>
      <c r="M169" s="42" t="n">
        <f aca="false">IF(OR($A169="",M$14=""),0,SUMIFS(MVT_NET,MVT_LOT,$A169,MVT_EMPL,M$14))</f>
        <v>0</v>
      </c>
      <c r="N169" s="43" t="n">
        <f aca="false">SUM($B169:$M169)</f>
        <v>0</v>
      </c>
      <c r="O169" s="44" t="n">
        <f aca="false">SUMPRODUCT(($B$13:$M$13="INTERNE")*$B169:$M169)</f>
        <v>0</v>
      </c>
      <c r="P169" s="44" t="n">
        <f aca="false">SUMPRODUCT(($B$13:$M$13="EXTERNE")*$B169:$M169)</f>
        <v>0</v>
      </c>
      <c r="Q169" s="44" t="n">
        <f aca="false">IF($A169="",0,SUMIFS(ST_ENCOURS,ST_LOT,$A169))</f>
        <v>0</v>
      </c>
      <c r="R169" s="45" t="str">
        <f aca="false">IF($A169="","",IFERROR(INDEX(LOT_EXTE,MATCH($A169,LOT_KEY,0)),""))</f>
        <v/>
      </c>
      <c r="S169" s="45" t="str">
        <f aca="false">IF($A169="","",IFERROR(INDEX(LOT_DECISION,MATCH($A169,LOT_KEY,0)),""))</f>
        <v/>
      </c>
      <c r="T169" s="44" t="n">
        <f aca="false">IF($S169="BLOQUER",MAX(0,$N169),0)</f>
        <v>0</v>
      </c>
      <c r="U169" s="46" t="str">
        <f aca="false">IF($A169="","",IF($N169&lt;-0.001,"STOCK NEGATIF - ANOMALIE",IF($T169&gt;0,"BLOQUE QUALITE","")))</f>
        <v/>
      </c>
    </row>
    <row r="170" customFormat="false" ht="15" hidden="false" customHeight="false" outlineLevel="0" collapsed="false">
      <c r="A170" s="41" t="str">
        <f aca="false">IF(LOTS!$A160="","",LOTS!$A160)</f>
        <v/>
      </c>
      <c r="B170" s="42" t="n">
        <f aca="false">IF(OR($A170="",B$14=""),0,SUMIFS(MVT_NET,MVT_LOT,$A170,MVT_EMPL,B$14))</f>
        <v>0</v>
      </c>
      <c r="C170" s="42" t="n">
        <f aca="false">IF(OR($A170="",C$14=""),0,SUMIFS(MVT_NET,MVT_LOT,$A170,MVT_EMPL,C$14))</f>
        <v>0</v>
      </c>
      <c r="D170" s="42" t="n">
        <f aca="false">IF(OR($A170="",D$14=""),0,SUMIFS(MVT_NET,MVT_LOT,$A170,MVT_EMPL,D$14))</f>
        <v>0</v>
      </c>
      <c r="E170" s="42" t="n">
        <f aca="false">IF(OR($A170="",E$14=""),0,SUMIFS(MVT_NET,MVT_LOT,$A170,MVT_EMPL,E$14))</f>
        <v>0</v>
      </c>
      <c r="F170" s="42" t="n">
        <f aca="false">IF(OR($A170="",F$14=""),0,SUMIFS(MVT_NET,MVT_LOT,$A170,MVT_EMPL,F$14))</f>
        <v>0</v>
      </c>
      <c r="G170" s="42" t="n">
        <f aca="false">IF(OR($A170="",G$14=""),0,SUMIFS(MVT_NET,MVT_LOT,$A170,MVT_EMPL,G$14))</f>
        <v>0</v>
      </c>
      <c r="H170" s="42" t="n">
        <f aca="false">IF(OR($A170="",H$14=""),0,SUMIFS(MVT_NET,MVT_LOT,$A170,MVT_EMPL,H$14))</f>
        <v>0</v>
      </c>
      <c r="I170" s="42" t="n">
        <f aca="false">IF(OR($A170="",I$14=""),0,SUMIFS(MVT_NET,MVT_LOT,$A170,MVT_EMPL,I$14))</f>
        <v>0</v>
      </c>
      <c r="J170" s="42" t="n">
        <f aca="false">IF(OR($A170="",J$14=""),0,SUMIFS(MVT_NET,MVT_LOT,$A170,MVT_EMPL,J$14))</f>
        <v>0</v>
      </c>
      <c r="K170" s="42" t="n">
        <f aca="false">IF(OR($A170="",K$14=""),0,SUMIFS(MVT_NET,MVT_LOT,$A170,MVT_EMPL,K$14))</f>
        <v>0</v>
      </c>
      <c r="L170" s="42" t="n">
        <f aca="false">IF(OR($A170="",L$14=""),0,SUMIFS(MVT_NET,MVT_LOT,$A170,MVT_EMPL,L$14))</f>
        <v>0</v>
      </c>
      <c r="M170" s="42" t="n">
        <f aca="false">IF(OR($A170="",M$14=""),0,SUMIFS(MVT_NET,MVT_LOT,$A170,MVT_EMPL,M$14))</f>
        <v>0</v>
      </c>
      <c r="N170" s="43" t="n">
        <f aca="false">SUM($B170:$M170)</f>
        <v>0</v>
      </c>
      <c r="O170" s="44" t="n">
        <f aca="false">SUMPRODUCT(($B$13:$M$13="INTERNE")*$B170:$M170)</f>
        <v>0</v>
      </c>
      <c r="P170" s="44" t="n">
        <f aca="false">SUMPRODUCT(($B$13:$M$13="EXTERNE")*$B170:$M170)</f>
        <v>0</v>
      </c>
      <c r="Q170" s="44" t="n">
        <f aca="false">IF($A170="",0,SUMIFS(ST_ENCOURS,ST_LOT,$A170))</f>
        <v>0</v>
      </c>
      <c r="R170" s="45" t="str">
        <f aca="false">IF($A170="","",IFERROR(INDEX(LOT_EXTE,MATCH($A170,LOT_KEY,0)),""))</f>
        <v/>
      </c>
      <c r="S170" s="45" t="str">
        <f aca="false">IF($A170="","",IFERROR(INDEX(LOT_DECISION,MATCH($A170,LOT_KEY,0)),""))</f>
        <v/>
      </c>
      <c r="T170" s="44" t="n">
        <f aca="false">IF($S170="BLOQUER",MAX(0,$N170),0)</f>
        <v>0</v>
      </c>
      <c r="U170" s="46" t="str">
        <f aca="false">IF($A170="","",IF($N170&lt;-0.001,"STOCK NEGATIF - ANOMALIE",IF($T170&gt;0,"BLOQUE QUALITE","")))</f>
        <v/>
      </c>
    </row>
    <row r="171" customFormat="false" ht="15" hidden="false" customHeight="false" outlineLevel="0" collapsed="false">
      <c r="A171" s="41" t="str">
        <f aca="false">IF(LOTS!$A161="","",LOTS!$A161)</f>
        <v/>
      </c>
      <c r="B171" s="42" t="n">
        <f aca="false">IF(OR($A171="",B$14=""),0,SUMIFS(MVT_NET,MVT_LOT,$A171,MVT_EMPL,B$14))</f>
        <v>0</v>
      </c>
      <c r="C171" s="42" t="n">
        <f aca="false">IF(OR($A171="",C$14=""),0,SUMIFS(MVT_NET,MVT_LOT,$A171,MVT_EMPL,C$14))</f>
        <v>0</v>
      </c>
      <c r="D171" s="42" t="n">
        <f aca="false">IF(OR($A171="",D$14=""),0,SUMIFS(MVT_NET,MVT_LOT,$A171,MVT_EMPL,D$14))</f>
        <v>0</v>
      </c>
      <c r="E171" s="42" t="n">
        <f aca="false">IF(OR($A171="",E$14=""),0,SUMIFS(MVT_NET,MVT_LOT,$A171,MVT_EMPL,E$14))</f>
        <v>0</v>
      </c>
      <c r="F171" s="42" t="n">
        <f aca="false">IF(OR($A171="",F$14=""),0,SUMIFS(MVT_NET,MVT_LOT,$A171,MVT_EMPL,F$14))</f>
        <v>0</v>
      </c>
      <c r="G171" s="42" t="n">
        <f aca="false">IF(OR($A171="",G$14=""),0,SUMIFS(MVT_NET,MVT_LOT,$A171,MVT_EMPL,G$14))</f>
        <v>0</v>
      </c>
      <c r="H171" s="42" t="n">
        <f aca="false">IF(OR($A171="",H$14=""),0,SUMIFS(MVT_NET,MVT_LOT,$A171,MVT_EMPL,H$14))</f>
        <v>0</v>
      </c>
      <c r="I171" s="42" t="n">
        <f aca="false">IF(OR($A171="",I$14=""),0,SUMIFS(MVT_NET,MVT_LOT,$A171,MVT_EMPL,I$14))</f>
        <v>0</v>
      </c>
      <c r="J171" s="42" t="n">
        <f aca="false">IF(OR($A171="",J$14=""),0,SUMIFS(MVT_NET,MVT_LOT,$A171,MVT_EMPL,J$14))</f>
        <v>0</v>
      </c>
      <c r="K171" s="42" t="n">
        <f aca="false">IF(OR($A171="",K$14=""),0,SUMIFS(MVT_NET,MVT_LOT,$A171,MVT_EMPL,K$14))</f>
        <v>0</v>
      </c>
      <c r="L171" s="42" t="n">
        <f aca="false">IF(OR($A171="",L$14=""),0,SUMIFS(MVT_NET,MVT_LOT,$A171,MVT_EMPL,L$14))</f>
        <v>0</v>
      </c>
      <c r="M171" s="42" t="n">
        <f aca="false">IF(OR($A171="",M$14=""),0,SUMIFS(MVT_NET,MVT_LOT,$A171,MVT_EMPL,M$14))</f>
        <v>0</v>
      </c>
      <c r="N171" s="43" t="n">
        <f aca="false">SUM($B171:$M171)</f>
        <v>0</v>
      </c>
      <c r="O171" s="44" t="n">
        <f aca="false">SUMPRODUCT(($B$13:$M$13="INTERNE")*$B171:$M171)</f>
        <v>0</v>
      </c>
      <c r="P171" s="44" t="n">
        <f aca="false">SUMPRODUCT(($B$13:$M$13="EXTERNE")*$B171:$M171)</f>
        <v>0</v>
      </c>
      <c r="Q171" s="44" t="n">
        <f aca="false">IF($A171="",0,SUMIFS(ST_ENCOURS,ST_LOT,$A171))</f>
        <v>0</v>
      </c>
      <c r="R171" s="45" t="str">
        <f aca="false">IF($A171="","",IFERROR(INDEX(LOT_EXTE,MATCH($A171,LOT_KEY,0)),""))</f>
        <v/>
      </c>
      <c r="S171" s="45" t="str">
        <f aca="false">IF($A171="","",IFERROR(INDEX(LOT_DECISION,MATCH($A171,LOT_KEY,0)),""))</f>
        <v/>
      </c>
      <c r="T171" s="44" t="n">
        <f aca="false">IF($S171="BLOQUER",MAX(0,$N171),0)</f>
        <v>0</v>
      </c>
      <c r="U171" s="46" t="str">
        <f aca="false">IF($A171="","",IF($N171&lt;-0.001,"STOCK NEGATIF - ANOMALIE",IF($T171&gt;0,"BLOQUE QUALITE","")))</f>
        <v/>
      </c>
    </row>
    <row r="172" customFormat="false" ht="15" hidden="false" customHeight="false" outlineLevel="0" collapsed="false">
      <c r="A172" s="41" t="str">
        <f aca="false">IF(LOTS!$A162="","",LOTS!$A162)</f>
        <v/>
      </c>
      <c r="B172" s="42" t="n">
        <f aca="false">IF(OR($A172="",B$14=""),0,SUMIFS(MVT_NET,MVT_LOT,$A172,MVT_EMPL,B$14))</f>
        <v>0</v>
      </c>
      <c r="C172" s="42" t="n">
        <f aca="false">IF(OR($A172="",C$14=""),0,SUMIFS(MVT_NET,MVT_LOT,$A172,MVT_EMPL,C$14))</f>
        <v>0</v>
      </c>
      <c r="D172" s="42" t="n">
        <f aca="false">IF(OR($A172="",D$14=""),0,SUMIFS(MVT_NET,MVT_LOT,$A172,MVT_EMPL,D$14))</f>
        <v>0</v>
      </c>
      <c r="E172" s="42" t="n">
        <f aca="false">IF(OR($A172="",E$14=""),0,SUMIFS(MVT_NET,MVT_LOT,$A172,MVT_EMPL,E$14))</f>
        <v>0</v>
      </c>
      <c r="F172" s="42" t="n">
        <f aca="false">IF(OR($A172="",F$14=""),0,SUMIFS(MVT_NET,MVT_LOT,$A172,MVT_EMPL,F$14))</f>
        <v>0</v>
      </c>
      <c r="G172" s="42" t="n">
        <f aca="false">IF(OR($A172="",G$14=""),0,SUMIFS(MVT_NET,MVT_LOT,$A172,MVT_EMPL,G$14))</f>
        <v>0</v>
      </c>
      <c r="H172" s="42" t="n">
        <f aca="false">IF(OR($A172="",H$14=""),0,SUMIFS(MVT_NET,MVT_LOT,$A172,MVT_EMPL,H$14))</f>
        <v>0</v>
      </c>
      <c r="I172" s="42" t="n">
        <f aca="false">IF(OR($A172="",I$14=""),0,SUMIFS(MVT_NET,MVT_LOT,$A172,MVT_EMPL,I$14))</f>
        <v>0</v>
      </c>
      <c r="J172" s="42" t="n">
        <f aca="false">IF(OR($A172="",J$14=""),0,SUMIFS(MVT_NET,MVT_LOT,$A172,MVT_EMPL,J$14))</f>
        <v>0</v>
      </c>
      <c r="K172" s="42" t="n">
        <f aca="false">IF(OR($A172="",K$14=""),0,SUMIFS(MVT_NET,MVT_LOT,$A172,MVT_EMPL,K$14))</f>
        <v>0</v>
      </c>
      <c r="L172" s="42" t="n">
        <f aca="false">IF(OR($A172="",L$14=""),0,SUMIFS(MVT_NET,MVT_LOT,$A172,MVT_EMPL,L$14))</f>
        <v>0</v>
      </c>
      <c r="M172" s="42" t="n">
        <f aca="false">IF(OR($A172="",M$14=""),0,SUMIFS(MVT_NET,MVT_LOT,$A172,MVT_EMPL,M$14))</f>
        <v>0</v>
      </c>
      <c r="N172" s="43" t="n">
        <f aca="false">SUM($B172:$M172)</f>
        <v>0</v>
      </c>
      <c r="O172" s="44" t="n">
        <f aca="false">SUMPRODUCT(($B$13:$M$13="INTERNE")*$B172:$M172)</f>
        <v>0</v>
      </c>
      <c r="P172" s="44" t="n">
        <f aca="false">SUMPRODUCT(($B$13:$M$13="EXTERNE")*$B172:$M172)</f>
        <v>0</v>
      </c>
      <c r="Q172" s="44" t="n">
        <f aca="false">IF($A172="",0,SUMIFS(ST_ENCOURS,ST_LOT,$A172))</f>
        <v>0</v>
      </c>
      <c r="R172" s="45" t="str">
        <f aca="false">IF($A172="","",IFERROR(INDEX(LOT_EXTE,MATCH($A172,LOT_KEY,0)),""))</f>
        <v/>
      </c>
      <c r="S172" s="45" t="str">
        <f aca="false">IF($A172="","",IFERROR(INDEX(LOT_DECISION,MATCH($A172,LOT_KEY,0)),""))</f>
        <v/>
      </c>
      <c r="T172" s="44" t="n">
        <f aca="false">IF($S172="BLOQUER",MAX(0,$N172),0)</f>
        <v>0</v>
      </c>
      <c r="U172" s="46" t="str">
        <f aca="false">IF($A172="","",IF($N172&lt;-0.001,"STOCK NEGATIF - ANOMALIE",IF($T172&gt;0,"BLOQUE QUALITE","")))</f>
        <v/>
      </c>
    </row>
    <row r="173" customFormat="false" ht="15" hidden="false" customHeight="false" outlineLevel="0" collapsed="false">
      <c r="A173" s="41" t="str">
        <f aca="false">IF(LOTS!$A163="","",LOTS!$A163)</f>
        <v/>
      </c>
      <c r="B173" s="42" t="n">
        <f aca="false">IF(OR($A173="",B$14=""),0,SUMIFS(MVT_NET,MVT_LOT,$A173,MVT_EMPL,B$14))</f>
        <v>0</v>
      </c>
      <c r="C173" s="42" t="n">
        <f aca="false">IF(OR($A173="",C$14=""),0,SUMIFS(MVT_NET,MVT_LOT,$A173,MVT_EMPL,C$14))</f>
        <v>0</v>
      </c>
      <c r="D173" s="42" t="n">
        <f aca="false">IF(OR($A173="",D$14=""),0,SUMIFS(MVT_NET,MVT_LOT,$A173,MVT_EMPL,D$14))</f>
        <v>0</v>
      </c>
      <c r="E173" s="42" t="n">
        <f aca="false">IF(OR($A173="",E$14=""),0,SUMIFS(MVT_NET,MVT_LOT,$A173,MVT_EMPL,E$14))</f>
        <v>0</v>
      </c>
      <c r="F173" s="42" t="n">
        <f aca="false">IF(OR($A173="",F$14=""),0,SUMIFS(MVT_NET,MVT_LOT,$A173,MVT_EMPL,F$14))</f>
        <v>0</v>
      </c>
      <c r="G173" s="42" t="n">
        <f aca="false">IF(OR($A173="",G$14=""),0,SUMIFS(MVT_NET,MVT_LOT,$A173,MVT_EMPL,G$14))</f>
        <v>0</v>
      </c>
      <c r="H173" s="42" t="n">
        <f aca="false">IF(OR($A173="",H$14=""),0,SUMIFS(MVT_NET,MVT_LOT,$A173,MVT_EMPL,H$14))</f>
        <v>0</v>
      </c>
      <c r="I173" s="42" t="n">
        <f aca="false">IF(OR($A173="",I$14=""),0,SUMIFS(MVT_NET,MVT_LOT,$A173,MVT_EMPL,I$14))</f>
        <v>0</v>
      </c>
      <c r="J173" s="42" t="n">
        <f aca="false">IF(OR($A173="",J$14=""),0,SUMIFS(MVT_NET,MVT_LOT,$A173,MVT_EMPL,J$14))</f>
        <v>0</v>
      </c>
      <c r="K173" s="42" t="n">
        <f aca="false">IF(OR($A173="",K$14=""),0,SUMIFS(MVT_NET,MVT_LOT,$A173,MVT_EMPL,K$14))</f>
        <v>0</v>
      </c>
      <c r="L173" s="42" t="n">
        <f aca="false">IF(OR($A173="",L$14=""),0,SUMIFS(MVT_NET,MVT_LOT,$A173,MVT_EMPL,L$14))</f>
        <v>0</v>
      </c>
      <c r="M173" s="42" t="n">
        <f aca="false">IF(OR($A173="",M$14=""),0,SUMIFS(MVT_NET,MVT_LOT,$A173,MVT_EMPL,M$14))</f>
        <v>0</v>
      </c>
      <c r="N173" s="43" t="n">
        <f aca="false">SUM($B173:$M173)</f>
        <v>0</v>
      </c>
      <c r="O173" s="44" t="n">
        <f aca="false">SUMPRODUCT(($B$13:$M$13="INTERNE")*$B173:$M173)</f>
        <v>0</v>
      </c>
      <c r="P173" s="44" t="n">
        <f aca="false">SUMPRODUCT(($B$13:$M$13="EXTERNE")*$B173:$M173)</f>
        <v>0</v>
      </c>
      <c r="Q173" s="44" t="n">
        <f aca="false">IF($A173="",0,SUMIFS(ST_ENCOURS,ST_LOT,$A173))</f>
        <v>0</v>
      </c>
      <c r="R173" s="45" t="str">
        <f aca="false">IF($A173="","",IFERROR(INDEX(LOT_EXTE,MATCH($A173,LOT_KEY,0)),""))</f>
        <v/>
      </c>
      <c r="S173" s="45" t="str">
        <f aca="false">IF($A173="","",IFERROR(INDEX(LOT_DECISION,MATCH($A173,LOT_KEY,0)),""))</f>
        <v/>
      </c>
      <c r="T173" s="44" t="n">
        <f aca="false">IF($S173="BLOQUER",MAX(0,$N173),0)</f>
        <v>0</v>
      </c>
      <c r="U173" s="46" t="str">
        <f aca="false">IF($A173="","",IF($N173&lt;-0.001,"STOCK NEGATIF - ANOMALIE",IF($T173&gt;0,"BLOQUE QUALITE","")))</f>
        <v/>
      </c>
    </row>
    <row r="174" customFormat="false" ht="15" hidden="false" customHeight="false" outlineLevel="0" collapsed="false">
      <c r="A174" s="41" t="str">
        <f aca="false">IF(LOTS!$A164="","",LOTS!$A164)</f>
        <v/>
      </c>
      <c r="B174" s="42" t="n">
        <f aca="false">IF(OR($A174="",B$14=""),0,SUMIFS(MVT_NET,MVT_LOT,$A174,MVT_EMPL,B$14))</f>
        <v>0</v>
      </c>
      <c r="C174" s="42" t="n">
        <f aca="false">IF(OR($A174="",C$14=""),0,SUMIFS(MVT_NET,MVT_LOT,$A174,MVT_EMPL,C$14))</f>
        <v>0</v>
      </c>
      <c r="D174" s="42" t="n">
        <f aca="false">IF(OR($A174="",D$14=""),0,SUMIFS(MVT_NET,MVT_LOT,$A174,MVT_EMPL,D$14))</f>
        <v>0</v>
      </c>
      <c r="E174" s="42" t="n">
        <f aca="false">IF(OR($A174="",E$14=""),0,SUMIFS(MVT_NET,MVT_LOT,$A174,MVT_EMPL,E$14))</f>
        <v>0</v>
      </c>
      <c r="F174" s="42" t="n">
        <f aca="false">IF(OR($A174="",F$14=""),0,SUMIFS(MVT_NET,MVT_LOT,$A174,MVT_EMPL,F$14))</f>
        <v>0</v>
      </c>
      <c r="G174" s="42" t="n">
        <f aca="false">IF(OR($A174="",G$14=""),0,SUMIFS(MVT_NET,MVT_LOT,$A174,MVT_EMPL,G$14))</f>
        <v>0</v>
      </c>
      <c r="H174" s="42" t="n">
        <f aca="false">IF(OR($A174="",H$14=""),0,SUMIFS(MVT_NET,MVT_LOT,$A174,MVT_EMPL,H$14))</f>
        <v>0</v>
      </c>
      <c r="I174" s="42" t="n">
        <f aca="false">IF(OR($A174="",I$14=""),0,SUMIFS(MVT_NET,MVT_LOT,$A174,MVT_EMPL,I$14))</f>
        <v>0</v>
      </c>
      <c r="J174" s="42" t="n">
        <f aca="false">IF(OR($A174="",J$14=""),0,SUMIFS(MVT_NET,MVT_LOT,$A174,MVT_EMPL,J$14))</f>
        <v>0</v>
      </c>
      <c r="K174" s="42" t="n">
        <f aca="false">IF(OR($A174="",K$14=""),0,SUMIFS(MVT_NET,MVT_LOT,$A174,MVT_EMPL,K$14))</f>
        <v>0</v>
      </c>
      <c r="L174" s="42" t="n">
        <f aca="false">IF(OR($A174="",L$14=""),0,SUMIFS(MVT_NET,MVT_LOT,$A174,MVT_EMPL,L$14))</f>
        <v>0</v>
      </c>
      <c r="M174" s="42" t="n">
        <f aca="false">IF(OR($A174="",M$14=""),0,SUMIFS(MVT_NET,MVT_LOT,$A174,MVT_EMPL,M$14))</f>
        <v>0</v>
      </c>
      <c r="N174" s="43" t="n">
        <f aca="false">SUM($B174:$M174)</f>
        <v>0</v>
      </c>
      <c r="O174" s="44" t="n">
        <f aca="false">SUMPRODUCT(($B$13:$M$13="INTERNE")*$B174:$M174)</f>
        <v>0</v>
      </c>
      <c r="P174" s="44" t="n">
        <f aca="false">SUMPRODUCT(($B$13:$M$13="EXTERNE")*$B174:$M174)</f>
        <v>0</v>
      </c>
      <c r="Q174" s="44" t="n">
        <f aca="false">IF($A174="",0,SUMIFS(ST_ENCOURS,ST_LOT,$A174))</f>
        <v>0</v>
      </c>
      <c r="R174" s="45" t="str">
        <f aca="false">IF($A174="","",IFERROR(INDEX(LOT_EXTE,MATCH($A174,LOT_KEY,0)),""))</f>
        <v/>
      </c>
      <c r="S174" s="45" t="str">
        <f aca="false">IF($A174="","",IFERROR(INDEX(LOT_DECISION,MATCH($A174,LOT_KEY,0)),""))</f>
        <v/>
      </c>
      <c r="T174" s="44" t="n">
        <f aca="false">IF($S174="BLOQUER",MAX(0,$N174),0)</f>
        <v>0</v>
      </c>
      <c r="U174" s="46" t="str">
        <f aca="false">IF($A174="","",IF($N174&lt;-0.001,"STOCK NEGATIF - ANOMALIE",IF($T174&gt;0,"BLOQUE QUALITE","")))</f>
        <v/>
      </c>
    </row>
    <row r="175" customFormat="false" ht="15" hidden="false" customHeight="false" outlineLevel="0" collapsed="false">
      <c r="A175" s="41" t="str">
        <f aca="false">IF(LOTS!$A165="","",LOTS!$A165)</f>
        <v/>
      </c>
      <c r="B175" s="42" t="n">
        <f aca="false">IF(OR($A175="",B$14=""),0,SUMIFS(MVT_NET,MVT_LOT,$A175,MVT_EMPL,B$14))</f>
        <v>0</v>
      </c>
      <c r="C175" s="42" t="n">
        <f aca="false">IF(OR($A175="",C$14=""),0,SUMIFS(MVT_NET,MVT_LOT,$A175,MVT_EMPL,C$14))</f>
        <v>0</v>
      </c>
      <c r="D175" s="42" t="n">
        <f aca="false">IF(OR($A175="",D$14=""),0,SUMIFS(MVT_NET,MVT_LOT,$A175,MVT_EMPL,D$14))</f>
        <v>0</v>
      </c>
      <c r="E175" s="42" t="n">
        <f aca="false">IF(OR($A175="",E$14=""),0,SUMIFS(MVT_NET,MVT_LOT,$A175,MVT_EMPL,E$14))</f>
        <v>0</v>
      </c>
      <c r="F175" s="42" t="n">
        <f aca="false">IF(OR($A175="",F$14=""),0,SUMIFS(MVT_NET,MVT_LOT,$A175,MVT_EMPL,F$14))</f>
        <v>0</v>
      </c>
      <c r="G175" s="42" t="n">
        <f aca="false">IF(OR($A175="",G$14=""),0,SUMIFS(MVT_NET,MVT_LOT,$A175,MVT_EMPL,G$14))</f>
        <v>0</v>
      </c>
      <c r="H175" s="42" t="n">
        <f aca="false">IF(OR($A175="",H$14=""),0,SUMIFS(MVT_NET,MVT_LOT,$A175,MVT_EMPL,H$14))</f>
        <v>0</v>
      </c>
      <c r="I175" s="42" t="n">
        <f aca="false">IF(OR($A175="",I$14=""),0,SUMIFS(MVT_NET,MVT_LOT,$A175,MVT_EMPL,I$14))</f>
        <v>0</v>
      </c>
      <c r="J175" s="42" t="n">
        <f aca="false">IF(OR($A175="",J$14=""),0,SUMIFS(MVT_NET,MVT_LOT,$A175,MVT_EMPL,J$14))</f>
        <v>0</v>
      </c>
      <c r="K175" s="42" t="n">
        <f aca="false">IF(OR($A175="",K$14=""),0,SUMIFS(MVT_NET,MVT_LOT,$A175,MVT_EMPL,K$14))</f>
        <v>0</v>
      </c>
      <c r="L175" s="42" t="n">
        <f aca="false">IF(OR($A175="",L$14=""),0,SUMIFS(MVT_NET,MVT_LOT,$A175,MVT_EMPL,L$14))</f>
        <v>0</v>
      </c>
      <c r="M175" s="42" t="n">
        <f aca="false">IF(OR($A175="",M$14=""),0,SUMIFS(MVT_NET,MVT_LOT,$A175,MVT_EMPL,M$14))</f>
        <v>0</v>
      </c>
      <c r="N175" s="43" t="n">
        <f aca="false">SUM($B175:$M175)</f>
        <v>0</v>
      </c>
      <c r="O175" s="44" t="n">
        <f aca="false">SUMPRODUCT(($B$13:$M$13="INTERNE")*$B175:$M175)</f>
        <v>0</v>
      </c>
      <c r="P175" s="44" t="n">
        <f aca="false">SUMPRODUCT(($B$13:$M$13="EXTERNE")*$B175:$M175)</f>
        <v>0</v>
      </c>
      <c r="Q175" s="44" t="n">
        <f aca="false">IF($A175="",0,SUMIFS(ST_ENCOURS,ST_LOT,$A175))</f>
        <v>0</v>
      </c>
      <c r="R175" s="45" t="str">
        <f aca="false">IF($A175="","",IFERROR(INDEX(LOT_EXTE,MATCH($A175,LOT_KEY,0)),""))</f>
        <v/>
      </c>
      <c r="S175" s="45" t="str">
        <f aca="false">IF($A175="","",IFERROR(INDEX(LOT_DECISION,MATCH($A175,LOT_KEY,0)),""))</f>
        <v/>
      </c>
      <c r="T175" s="44" t="n">
        <f aca="false">IF($S175="BLOQUER",MAX(0,$N175),0)</f>
        <v>0</v>
      </c>
      <c r="U175" s="46" t="str">
        <f aca="false">IF($A175="","",IF($N175&lt;-0.001,"STOCK NEGATIF - ANOMALIE",IF($T175&gt;0,"BLOQUE QUALITE","")))</f>
        <v/>
      </c>
    </row>
    <row r="176" customFormat="false" ht="15" hidden="false" customHeight="false" outlineLevel="0" collapsed="false">
      <c r="A176" s="41" t="str">
        <f aca="false">IF(LOTS!$A166="","",LOTS!$A166)</f>
        <v/>
      </c>
      <c r="B176" s="42" t="n">
        <f aca="false">IF(OR($A176="",B$14=""),0,SUMIFS(MVT_NET,MVT_LOT,$A176,MVT_EMPL,B$14))</f>
        <v>0</v>
      </c>
      <c r="C176" s="42" t="n">
        <f aca="false">IF(OR($A176="",C$14=""),0,SUMIFS(MVT_NET,MVT_LOT,$A176,MVT_EMPL,C$14))</f>
        <v>0</v>
      </c>
      <c r="D176" s="42" t="n">
        <f aca="false">IF(OR($A176="",D$14=""),0,SUMIFS(MVT_NET,MVT_LOT,$A176,MVT_EMPL,D$14))</f>
        <v>0</v>
      </c>
      <c r="E176" s="42" t="n">
        <f aca="false">IF(OR($A176="",E$14=""),0,SUMIFS(MVT_NET,MVT_LOT,$A176,MVT_EMPL,E$14))</f>
        <v>0</v>
      </c>
      <c r="F176" s="42" t="n">
        <f aca="false">IF(OR($A176="",F$14=""),0,SUMIFS(MVT_NET,MVT_LOT,$A176,MVT_EMPL,F$14))</f>
        <v>0</v>
      </c>
      <c r="G176" s="42" t="n">
        <f aca="false">IF(OR($A176="",G$14=""),0,SUMIFS(MVT_NET,MVT_LOT,$A176,MVT_EMPL,G$14))</f>
        <v>0</v>
      </c>
      <c r="H176" s="42" t="n">
        <f aca="false">IF(OR($A176="",H$14=""),0,SUMIFS(MVT_NET,MVT_LOT,$A176,MVT_EMPL,H$14))</f>
        <v>0</v>
      </c>
      <c r="I176" s="42" t="n">
        <f aca="false">IF(OR($A176="",I$14=""),0,SUMIFS(MVT_NET,MVT_LOT,$A176,MVT_EMPL,I$14))</f>
        <v>0</v>
      </c>
      <c r="J176" s="42" t="n">
        <f aca="false">IF(OR($A176="",J$14=""),0,SUMIFS(MVT_NET,MVT_LOT,$A176,MVT_EMPL,J$14))</f>
        <v>0</v>
      </c>
      <c r="K176" s="42" t="n">
        <f aca="false">IF(OR($A176="",K$14=""),0,SUMIFS(MVT_NET,MVT_LOT,$A176,MVT_EMPL,K$14))</f>
        <v>0</v>
      </c>
      <c r="L176" s="42" t="n">
        <f aca="false">IF(OR($A176="",L$14=""),0,SUMIFS(MVT_NET,MVT_LOT,$A176,MVT_EMPL,L$14))</f>
        <v>0</v>
      </c>
      <c r="M176" s="42" t="n">
        <f aca="false">IF(OR($A176="",M$14=""),0,SUMIFS(MVT_NET,MVT_LOT,$A176,MVT_EMPL,M$14))</f>
        <v>0</v>
      </c>
      <c r="N176" s="43" t="n">
        <f aca="false">SUM($B176:$M176)</f>
        <v>0</v>
      </c>
      <c r="O176" s="44" t="n">
        <f aca="false">SUMPRODUCT(($B$13:$M$13="INTERNE")*$B176:$M176)</f>
        <v>0</v>
      </c>
      <c r="P176" s="44" t="n">
        <f aca="false">SUMPRODUCT(($B$13:$M$13="EXTERNE")*$B176:$M176)</f>
        <v>0</v>
      </c>
      <c r="Q176" s="44" t="n">
        <f aca="false">IF($A176="",0,SUMIFS(ST_ENCOURS,ST_LOT,$A176))</f>
        <v>0</v>
      </c>
      <c r="R176" s="45" t="str">
        <f aca="false">IF($A176="","",IFERROR(INDEX(LOT_EXTE,MATCH($A176,LOT_KEY,0)),""))</f>
        <v/>
      </c>
      <c r="S176" s="45" t="str">
        <f aca="false">IF($A176="","",IFERROR(INDEX(LOT_DECISION,MATCH($A176,LOT_KEY,0)),""))</f>
        <v/>
      </c>
      <c r="T176" s="44" t="n">
        <f aca="false">IF($S176="BLOQUER",MAX(0,$N176),0)</f>
        <v>0</v>
      </c>
      <c r="U176" s="46" t="str">
        <f aca="false">IF($A176="","",IF($N176&lt;-0.001,"STOCK NEGATIF - ANOMALIE",IF($T176&gt;0,"BLOQUE QUALITE","")))</f>
        <v/>
      </c>
    </row>
    <row r="177" customFormat="false" ht="15" hidden="false" customHeight="false" outlineLevel="0" collapsed="false">
      <c r="A177" s="41" t="str">
        <f aca="false">IF(LOTS!$A167="","",LOTS!$A167)</f>
        <v/>
      </c>
      <c r="B177" s="42" t="n">
        <f aca="false">IF(OR($A177="",B$14=""),0,SUMIFS(MVT_NET,MVT_LOT,$A177,MVT_EMPL,B$14))</f>
        <v>0</v>
      </c>
      <c r="C177" s="42" t="n">
        <f aca="false">IF(OR($A177="",C$14=""),0,SUMIFS(MVT_NET,MVT_LOT,$A177,MVT_EMPL,C$14))</f>
        <v>0</v>
      </c>
      <c r="D177" s="42" t="n">
        <f aca="false">IF(OR($A177="",D$14=""),0,SUMIFS(MVT_NET,MVT_LOT,$A177,MVT_EMPL,D$14))</f>
        <v>0</v>
      </c>
      <c r="E177" s="42" t="n">
        <f aca="false">IF(OR($A177="",E$14=""),0,SUMIFS(MVT_NET,MVT_LOT,$A177,MVT_EMPL,E$14))</f>
        <v>0</v>
      </c>
      <c r="F177" s="42" t="n">
        <f aca="false">IF(OR($A177="",F$14=""),0,SUMIFS(MVT_NET,MVT_LOT,$A177,MVT_EMPL,F$14))</f>
        <v>0</v>
      </c>
      <c r="G177" s="42" t="n">
        <f aca="false">IF(OR($A177="",G$14=""),0,SUMIFS(MVT_NET,MVT_LOT,$A177,MVT_EMPL,G$14))</f>
        <v>0</v>
      </c>
      <c r="H177" s="42" t="n">
        <f aca="false">IF(OR($A177="",H$14=""),0,SUMIFS(MVT_NET,MVT_LOT,$A177,MVT_EMPL,H$14))</f>
        <v>0</v>
      </c>
      <c r="I177" s="42" t="n">
        <f aca="false">IF(OR($A177="",I$14=""),0,SUMIFS(MVT_NET,MVT_LOT,$A177,MVT_EMPL,I$14))</f>
        <v>0</v>
      </c>
      <c r="J177" s="42" t="n">
        <f aca="false">IF(OR($A177="",J$14=""),0,SUMIFS(MVT_NET,MVT_LOT,$A177,MVT_EMPL,J$14))</f>
        <v>0</v>
      </c>
      <c r="K177" s="42" t="n">
        <f aca="false">IF(OR($A177="",K$14=""),0,SUMIFS(MVT_NET,MVT_LOT,$A177,MVT_EMPL,K$14))</f>
        <v>0</v>
      </c>
      <c r="L177" s="42" t="n">
        <f aca="false">IF(OR($A177="",L$14=""),0,SUMIFS(MVT_NET,MVT_LOT,$A177,MVT_EMPL,L$14))</f>
        <v>0</v>
      </c>
      <c r="M177" s="42" t="n">
        <f aca="false">IF(OR($A177="",M$14=""),0,SUMIFS(MVT_NET,MVT_LOT,$A177,MVT_EMPL,M$14))</f>
        <v>0</v>
      </c>
      <c r="N177" s="43" t="n">
        <f aca="false">SUM($B177:$M177)</f>
        <v>0</v>
      </c>
      <c r="O177" s="44" t="n">
        <f aca="false">SUMPRODUCT(($B$13:$M$13="INTERNE")*$B177:$M177)</f>
        <v>0</v>
      </c>
      <c r="P177" s="44" t="n">
        <f aca="false">SUMPRODUCT(($B$13:$M$13="EXTERNE")*$B177:$M177)</f>
        <v>0</v>
      </c>
      <c r="Q177" s="44" t="n">
        <f aca="false">IF($A177="",0,SUMIFS(ST_ENCOURS,ST_LOT,$A177))</f>
        <v>0</v>
      </c>
      <c r="R177" s="45" t="str">
        <f aca="false">IF($A177="","",IFERROR(INDEX(LOT_EXTE,MATCH($A177,LOT_KEY,0)),""))</f>
        <v/>
      </c>
      <c r="S177" s="45" t="str">
        <f aca="false">IF($A177="","",IFERROR(INDEX(LOT_DECISION,MATCH($A177,LOT_KEY,0)),""))</f>
        <v/>
      </c>
      <c r="T177" s="44" t="n">
        <f aca="false">IF($S177="BLOQUER",MAX(0,$N177),0)</f>
        <v>0</v>
      </c>
      <c r="U177" s="46" t="str">
        <f aca="false">IF($A177="","",IF($N177&lt;-0.001,"STOCK NEGATIF - ANOMALIE",IF($T177&gt;0,"BLOQUE QUALITE","")))</f>
        <v/>
      </c>
    </row>
    <row r="178" customFormat="false" ht="15" hidden="false" customHeight="false" outlineLevel="0" collapsed="false">
      <c r="A178" s="41" t="str">
        <f aca="false">IF(LOTS!$A168="","",LOTS!$A168)</f>
        <v/>
      </c>
      <c r="B178" s="42" t="n">
        <f aca="false">IF(OR($A178="",B$14=""),0,SUMIFS(MVT_NET,MVT_LOT,$A178,MVT_EMPL,B$14))</f>
        <v>0</v>
      </c>
      <c r="C178" s="42" t="n">
        <f aca="false">IF(OR($A178="",C$14=""),0,SUMIFS(MVT_NET,MVT_LOT,$A178,MVT_EMPL,C$14))</f>
        <v>0</v>
      </c>
      <c r="D178" s="42" t="n">
        <f aca="false">IF(OR($A178="",D$14=""),0,SUMIFS(MVT_NET,MVT_LOT,$A178,MVT_EMPL,D$14))</f>
        <v>0</v>
      </c>
      <c r="E178" s="42" t="n">
        <f aca="false">IF(OR($A178="",E$14=""),0,SUMIFS(MVT_NET,MVT_LOT,$A178,MVT_EMPL,E$14))</f>
        <v>0</v>
      </c>
      <c r="F178" s="42" t="n">
        <f aca="false">IF(OR($A178="",F$14=""),0,SUMIFS(MVT_NET,MVT_LOT,$A178,MVT_EMPL,F$14))</f>
        <v>0</v>
      </c>
      <c r="G178" s="42" t="n">
        <f aca="false">IF(OR($A178="",G$14=""),0,SUMIFS(MVT_NET,MVT_LOT,$A178,MVT_EMPL,G$14))</f>
        <v>0</v>
      </c>
      <c r="H178" s="42" t="n">
        <f aca="false">IF(OR($A178="",H$14=""),0,SUMIFS(MVT_NET,MVT_LOT,$A178,MVT_EMPL,H$14))</f>
        <v>0</v>
      </c>
      <c r="I178" s="42" t="n">
        <f aca="false">IF(OR($A178="",I$14=""),0,SUMIFS(MVT_NET,MVT_LOT,$A178,MVT_EMPL,I$14))</f>
        <v>0</v>
      </c>
      <c r="J178" s="42" t="n">
        <f aca="false">IF(OR($A178="",J$14=""),0,SUMIFS(MVT_NET,MVT_LOT,$A178,MVT_EMPL,J$14))</f>
        <v>0</v>
      </c>
      <c r="K178" s="42" t="n">
        <f aca="false">IF(OR($A178="",K$14=""),0,SUMIFS(MVT_NET,MVT_LOT,$A178,MVT_EMPL,K$14))</f>
        <v>0</v>
      </c>
      <c r="L178" s="42" t="n">
        <f aca="false">IF(OR($A178="",L$14=""),0,SUMIFS(MVT_NET,MVT_LOT,$A178,MVT_EMPL,L$14))</f>
        <v>0</v>
      </c>
      <c r="M178" s="42" t="n">
        <f aca="false">IF(OR($A178="",M$14=""),0,SUMIFS(MVT_NET,MVT_LOT,$A178,MVT_EMPL,M$14))</f>
        <v>0</v>
      </c>
      <c r="N178" s="43" t="n">
        <f aca="false">SUM($B178:$M178)</f>
        <v>0</v>
      </c>
      <c r="O178" s="44" t="n">
        <f aca="false">SUMPRODUCT(($B$13:$M$13="INTERNE")*$B178:$M178)</f>
        <v>0</v>
      </c>
      <c r="P178" s="44" t="n">
        <f aca="false">SUMPRODUCT(($B$13:$M$13="EXTERNE")*$B178:$M178)</f>
        <v>0</v>
      </c>
      <c r="Q178" s="44" t="n">
        <f aca="false">IF($A178="",0,SUMIFS(ST_ENCOURS,ST_LOT,$A178))</f>
        <v>0</v>
      </c>
      <c r="R178" s="45" t="str">
        <f aca="false">IF($A178="","",IFERROR(INDEX(LOT_EXTE,MATCH($A178,LOT_KEY,0)),""))</f>
        <v/>
      </c>
      <c r="S178" s="45" t="str">
        <f aca="false">IF($A178="","",IFERROR(INDEX(LOT_DECISION,MATCH($A178,LOT_KEY,0)),""))</f>
        <v/>
      </c>
      <c r="T178" s="44" t="n">
        <f aca="false">IF($S178="BLOQUER",MAX(0,$N178),0)</f>
        <v>0</v>
      </c>
      <c r="U178" s="46" t="str">
        <f aca="false">IF($A178="","",IF($N178&lt;-0.001,"STOCK NEGATIF - ANOMALIE",IF($T178&gt;0,"BLOQUE QUALITE","")))</f>
        <v/>
      </c>
    </row>
    <row r="179" customFormat="false" ht="15" hidden="false" customHeight="false" outlineLevel="0" collapsed="false">
      <c r="A179" s="41" t="str">
        <f aca="false">IF(LOTS!$A169="","",LOTS!$A169)</f>
        <v/>
      </c>
      <c r="B179" s="42" t="n">
        <f aca="false">IF(OR($A179="",B$14=""),0,SUMIFS(MVT_NET,MVT_LOT,$A179,MVT_EMPL,B$14))</f>
        <v>0</v>
      </c>
      <c r="C179" s="42" t="n">
        <f aca="false">IF(OR($A179="",C$14=""),0,SUMIFS(MVT_NET,MVT_LOT,$A179,MVT_EMPL,C$14))</f>
        <v>0</v>
      </c>
      <c r="D179" s="42" t="n">
        <f aca="false">IF(OR($A179="",D$14=""),0,SUMIFS(MVT_NET,MVT_LOT,$A179,MVT_EMPL,D$14))</f>
        <v>0</v>
      </c>
      <c r="E179" s="42" t="n">
        <f aca="false">IF(OR($A179="",E$14=""),0,SUMIFS(MVT_NET,MVT_LOT,$A179,MVT_EMPL,E$14))</f>
        <v>0</v>
      </c>
      <c r="F179" s="42" t="n">
        <f aca="false">IF(OR($A179="",F$14=""),0,SUMIFS(MVT_NET,MVT_LOT,$A179,MVT_EMPL,F$14))</f>
        <v>0</v>
      </c>
      <c r="G179" s="42" t="n">
        <f aca="false">IF(OR($A179="",G$14=""),0,SUMIFS(MVT_NET,MVT_LOT,$A179,MVT_EMPL,G$14))</f>
        <v>0</v>
      </c>
      <c r="H179" s="42" t="n">
        <f aca="false">IF(OR($A179="",H$14=""),0,SUMIFS(MVT_NET,MVT_LOT,$A179,MVT_EMPL,H$14))</f>
        <v>0</v>
      </c>
      <c r="I179" s="42" t="n">
        <f aca="false">IF(OR($A179="",I$14=""),0,SUMIFS(MVT_NET,MVT_LOT,$A179,MVT_EMPL,I$14))</f>
        <v>0</v>
      </c>
      <c r="J179" s="42" t="n">
        <f aca="false">IF(OR($A179="",J$14=""),0,SUMIFS(MVT_NET,MVT_LOT,$A179,MVT_EMPL,J$14))</f>
        <v>0</v>
      </c>
      <c r="K179" s="42" t="n">
        <f aca="false">IF(OR($A179="",K$14=""),0,SUMIFS(MVT_NET,MVT_LOT,$A179,MVT_EMPL,K$14))</f>
        <v>0</v>
      </c>
      <c r="L179" s="42" t="n">
        <f aca="false">IF(OR($A179="",L$14=""),0,SUMIFS(MVT_NET,MVT_LOT,$A179,MVT_EMPL,L$14))</f>
        <v>0</v>
      </c>
      <c r="M179" s="42" t="n">
        <f aca="false">IF(OR($A179="",M$14=""),0,SUMIFS(MVT_NET,MVT_LOT,$A179,MVT_EMPL,M$14))</f>
        <v>0</v>
      </c>
      <c r="N179" s="43" t="n">
        <f aca="false">SUM($B179:$M179)</f>
        <v>0</v>
      </c>
      <c r="O179" s="44" t="n">
        <f aca="false">SUMPRODUCT(($B$13:$M$13="INTERNE")*$B179:$M179)</f>
        <v>0</v>
      </c>
      <c r="P179" s="44" t="n">
        <f aca="false">SUMPRODUCT(($B$13:$M$13="EXTERNE")*$B179:$M179)</f>
        <v>0</v>
      </c>
      <c r="Q179" s="44" t="n">
        <f aca="false">IF($A179="",0,SUMIFS(ST_ENCOURS,ST_LOT,$A179))</f>
        <v>0</v>
      </c>
      <c r="R179" s="45" t="str">
        <f aca="false">IF($A179="","",IFERROR(INDEX(LOT_EXTE,MATCH($A179,LOT_KEY,0)),""))</f>
        <v/>
      </c>
      <c r="S179" s="45" t="str">
        <f aca="false">IF($A179="","",IFERROR(INDEX(LOT_DECISION,MATCH($A179,LOT_KEY,0)),""))</f>
        <v/>
      </c>
      <c r="T179" s="44" t="n">
        <f aca="false">IF($S179="BLOQUER",MAX(0,$N179),0)</f>
        <v>0</v>
      </c>
      <c r="U179" s="46" t="str">
        <f aca="false">IF($A179="","",IF($N179&lt;-0.001,"STOCK NEGATIF - ANOMALIE",IF($T179&gt;0,"BLOQUE QUALITE","")))</f>
        <v/>
      </c>
    </row>
    <row r="180" customFormat="false" ht="15" hidden="false" customHeight="false" outlineLevel="0" collapsed="false">
      <c r="A180" s="41" t="str">
        <f aca="false">IF(LOTS!$A170="","",LOTS!$A170)</f>
        <v/>
      </c>
      <c r="B180" s="42" t="n">
        <f aca="false">IF(OR($A180="",B$14=""),0,SUMIFS(MVT_NET,MVT_LOT,$A180,MVT_EMPL,B$14))</f>
        <v>0</v>
      </c>
      <c r="C180" s="42" t="n">
        <f aca="false">IF(OR($A180="",C$14=""),0,SUMIFS(MVT_NET,MVT_LOT,$A180,MVT_EMPL,C$14))</f>
        <v>0</v>
      </c>
      <c r="D180" s="42" t="n">
        <f aca="false">IF(OR($A180="",D$14=""),0,SUMIFS(MVT_NET,MVT_LOT,$A180,MVT_EMPL,D$14))</f>
        <v>0</v>
      </c>
      <c r="E180" s="42" t="n">
        <f aca="false">IF(OR($A180="",E$14=""),0,SUMIFS(MVT_NET,MVT_LOT,$A180,MVT_EMPL,E$14))</f>
        <v>0</v>
      </c>
      <c r="F180" s="42" t="n">
        <f aca="false">IF(OR($A180="",F$14=""),0,SUMIFS(MVT_NET,MVT_LOT,$A180,MVT_EMPL,F$14))</f>
        <v>0</v>
      </c>
      <c r="G180" s="42" t="n">
        <f aca="false">IF(OR($A180="",G$14=""),0,SUMIFS(MVT_NET,MVT_LOT,$A180,MVT_EMPL,G$14))</f>
        <v>0</v>
      </c>
      <c r="H180" s="42" t="n">
        <f aca="false">IF(OR($A180="",H$14=""),0,SUMIFS(MVT_NET,MVT_LOT,$A180,MVT_EMPL,H$14))</f>
        <v>0</v>
      </c>
      <c r="I180" s="42" t="n">
        <f aca="false">IF(OR($A180="",I$14=""),0,SUMIFS(MVT_NET,MVT_LOT,$A180,MVT_EMPL,I$14))</f>
        <v>0</v>
      </c>
      <c r="J180" s="42" t="n">
        <f aca="false">IF(OR($A180="",J$14=""),0,SUMIFS(MVT_NET,MVT_LOT,$A180,MVT_EMPL,J$14))</f>
        <v>0</v>
      </c>
      <c r="K180" s="42" t="n">
        <f aca="false">IF(OR($A180="",K$14=""),0,SUMIFS(MVT_NET,MVT_LOT,$A180,MVT_EMPL,K$14))</f>
        <v>0</v>
      </c>
      <c r="L180" s="42" t="n">
        <f aca="false">IF(OR($A180="",L$14=""),0,SUMIFS(MVT_NET,MVT_LOT,$A180,MVT_EMPL,L$14))</f>
        <v>0</v>
      </c>
      <c r="M180" s="42" t="n">
        <f aca="false">IF(OR($A180="",M$14=""),0,SUMIFS(MVT_NET,MVT_LOT,$A180,MVT_EMPL,M$14))</f>
        <v>0</v>
      </c>
      <c r="N180" s="43" t="n">
        <f aca="false">SUM($B180:$M180)</f>
        <v>0</v>
      </c>
      <c r="O180" s="44" t="n">
        <f aca="false">SUMPRODUCT(($B$13:$M$13="INTERNE")*$B180:$M180)</f>
        <v>0</v>
      </c>
      <c r="P180" s="44" t="n">
        <f aca="false">SUMPRODUCT(($B$13:$M$13="EXTERNE")*$B180:$M180)</f>
        <v>0</v>
      </c>
      <c r="Q180" s="44" t="n">
        <f aca="false">IF($A180="",0,SUMIFS(ST_ENCOURS,ST_LOT,$A180))</f>
        <v>0</v>
      </c>
      <c r="R180" s="45" t="str">
        <f aca="false">IF($A180="","",IFERROR(INDEX(LOT_EXTE,MATCH($A180,LOT_KEY,0)),""))</f>
        <v/>
      </c>
      <c r="S180" s="45" t="str">
        <f aca="false">IF($A180="","",IFERROR(INDEX(LOT_DECISION,MATCH($A180,LOT_KEY,0)),""))</f>
        <v/>
      </c>
      <c r="T180" s="44" t="n">
        <f aca="false">IF($S180="BLOQUER",MAX(0,$N180),0)</f>
        <v>0</v>
      </c>
      <c r="U180" s="46" t="str">
        <f aca="false">IF($A180="","",IF($N180&lt;-0.001,"STOCK NEGATIF - ANOMALIE",IF($T180&gt;0,"BLOQUE QUALITE","")))</f>
        <v/>
      </c>
    </row>
    <row r="181" customFormat="false" ht="15" hidden="false" customHeight="false" outlineLevel="0" collapsed="false">
      <c r="A181" s="41" t="str">
        <f aca="false">IF(LOTS!$A171="","",LOTS!$A171)</f>
        <v/>
      </c>
      <c r="B181" s="42" t="n">
        <f aca="false">IF(OR($A181="",B$14=""),0,SUMIFS(MVT_NET,MVT_LOT,$A181,MVT_EMPL,B$14))</f>
        <v>0</v>
      </c>
      <c r="C181" s="42" t="n">
        <f aca="false">IF(OR($A181="",C$14=""),0,SUMIFS(MVT_NET,MVT_LOT,$A181,MVT_EMPL,C$14))</f>
        <v>0</v>
      </c>
      <c r="D181" s="42" t="n">
        <f aca="false">IF(OR($A181="",D$14=""),0,SUMIFS(MVT_NET,MVT_LOT,$A181,MVT_EMPL,D$14))</f>
        <v>0</v>
      </c>
      <c r="E181" s="42" t="n">
        <f aca="false">IF(OR($A181="",E$14=""),0,SUMIFS(MVT_NET,MVT_LOT,$A181,MVT_EMPL,E$14))</f>
        <v>0</v>
      </c>
      <c r="F181" s="42" t="n">
        <f aca="false">IF(OR($A181="",F$14=""),0,SUMIFS(MVT_NET,MVT_LOT,$A181,MVT_EMPL,F$14))</f>
        <v>0</v>
      </c>
      <c r="G181" s="42" t="n">
        <f aca="false">IF(OR($A181="",G$14=""),0,SUMIFS(MVT_NET,MVT_LOT,$A181,MVT_EMPL,G$14))</f>
        <v>0</v>
      </c>
      <c r="H181" s="42" t="n">
        <f aca="false">IF(OR($A181="",H$14=""),0,SUMIFS(MVT_NET,MVT_LOT,$A181,MVT_EMPL,H$14))</f>
        <v>0</v>
      </c>
      <c r="I181" s="42" t="n">
        <f aca="false">IF(OR($A181="",I$14=""),0,SUMIFS(MVT_NET,MVT_LOT,$A181,MVT_EMPL,I$14))</f>
        <v>0</v>
      </c>
      <c r="J181" s="42" t="n">
        <f aca="false">IF(OR($A181="",J$14=""),0,SUMIFS(MVT_NET,MVT_LOT,$A181,MVT_EMPL,J$14))</f>
        <v>0</v>
      </c>
      <c r="K181" s="42" t="n">
        <f aca="false">IF(OR($A181="",K$14=""),0,SUMIFS(MVT_NET,MVT_LOT,$A181,MVT_EMPL,K$14))</f>
        <v>0</v>
      </c>
      <c r="L181" s="42" t="n">
        <f aca="false">IF(OR($A181="",L$14=""),0,SUMIFS(MVT_NET,MVT_LOT,$A181,MVT_EMPL,L$14))</f>
        <v>0</v>
      </c>
      <c r="M181" s="42" t="n">
        <f aca="false">IF(OR($A181="",M$14=""),0,SUMIFS(MVT_NET,MVT_LOT,$A181,MVT_EMPL,M$14))</f>
        <v>0</v>
      </c>
      <c r="N181" s="43" t="n">
        <f aca="false">SUM($B181:$M181)</f>
        <v>0</v>
      </c>
      <c r="O181" s="44" t="n">
        <f aca="false">SUMPRODUCT(($B$13:$M$13="INTERNE")*$B181:$M181)</f>
        <v>0</v>
      </c>
      <c r="P181" s="44" t="n">
        <f aca="false">SUMPRODUCT(($B$13:$M$13="EXTERNE")*$B181:$M181)</f>
        <v>0</v>
      </c>
      <c r="Q181" s="44" t="n">
        <f aca="false">IF($A181="",0,SUMIFS(ST_ENCOURS,ST_LOT,$A181))</f>
        <v>0</v>
      </c>
      <c r="R181" s="45" t="str">
        <f aca="false">IF($A181="","",IFERROR(INDEX(LOT_EXTE,MATCH($A181,LOT_KEY,0)),""))</f>
        <v/>
      </c>
      <c r="S181" s="45" t="str">
        <f aca="false">IF($A181="","",IFERROR(INDEX(LOT_DECISION,MATCH($A181,LOT_KEY,0)),""))</f>
        <v/>
      </c>
      <c r="T181" s="44" t="n">
        <f aca="false">IF($S181="BLOQUER",MAX(0,$N181),0)</f>
        <v>0</v>
      </c>
      <c r="U181" s="46" t="str">
        <f aca="false">IF($A181="","",IF($N181&lt;-0.001,"STOCK NEGATIF - ANOMALIE",IF($T181&gt;0,"BLOQUE QUALITE","")))</f>
        <v/>
      </c>
    </row>
    <row r="182" customFormat="false" ht="15" hidden="false" customHeight="false" outlineLevel="0" collapsed="false">
      <c r="A182" s="41" t="str">
        <f aca="false">IF(LOTS!$A172="","",LOTS!$A172)</f>
        <v/>
      </c>
      <c r="B182" s="42" t="n">
        <f aca="false">IF(OR($A182="",B$14=""),0,SUMIFS(MVT_NET,MVT_LOT,$A182,MVT_EMPL,B$14))</f>
        <v>0</v>
      </c>
      <c r="C182" s="42" t="n">
        <f aca="false">IF(OR($A182="",C$14=""),0,SUMIFS(MVT_NET,MVT_LOT,$A182,MVT_EMPL,C$14))</f>
        <v>0</v>
      </c>
      <c r="D182" s="42" t="n">
        <f aca="false">IF(OR($A182="",D$14=""),0,SUMIFS(MVT_NET,MVT_LOT,$A182,MVT_EMPL,D$14))</f>
        <v>0</v>
      </c>
      <c r="E182" s="42" t="n">
        <f aca="false">IF(OR($A182="",E$14=""),0,SUMIFS(MVT_NET,MVT_LOT,$A182,MVT_EMPL,E$14))</f>
        <v>0</v>
      </c>
      <c r="F182" s="42" t="n">
        <f aca="false">IF(OR($A182="",F$14=""),0,SUMIFS(MVT_NET,MVT_LOT,$A182,MVT_EMPL,F$14))</f>
        <v>0</v>
      </c>
      <c r="G182" s="42" t="n">
        <f aca="false">IF(OR($A182="",G$14=""),0,SUMIFS(MVT_NET,MVT_LOT,$A182,MVT_EMPL,G$14))</f>
        <v>0</v>
      </c>
      <c r="H182" s="42" t="n">
        <f aca="false">IF(OR($A182="",H$14=""),0,SUMIFS(MVT_NET,MVT_LOT,$A182,MVT_EMPL,H$14))</f>
        <v>0</v>
      </c>
      <c r="I182" s="42" t="n">
        <f aca="false">IF(OR($A182="",I$14=""),0,SUMIFS(MVT_NET,MVT_LOT,$A182,MVT_EMPL,I$14))</f>
        <v>0</v>
      </c>
      <c r="J182" s="42" t="n">
        <f aca="false">IF(OR($A182="",J$14=""),0,SUMIFS(MVT_NET,MVT_LOT,$A182,MVT_EMPL,J$14))</f>
        <v>0</v>
      </c>
      <c r="K182" s="42" t="n">
        <f aca="false">IF(OR($A182="",K$14=""),0,SUMIFS(MVT_NET,MVT_LOT,$A182,MVT_EMPL,K$14))</f>
        <v>0</v>
      </c>
      <c r="L182" s="42" t="n">
        <f aca="false">IF(OR($A182="",L$14=""),0,SUMIFS(MVT_NET,MVT_LOT,$A182,MVT_EMPL,L$14))</f>
        <v>0</v>
      </c>
      <c r="M182" s="42" t="n">
        <f aca="false">IF(OR($A182="",M$14=""),0,SUMIFS(MVT_NET,MVT_LOT,$A182,MVT_EMPL,M$14))</f>
        <v>0</v>
      </c>
      <c r="N182" s="43" t="n">
        <f aca="false">SUM($B182:$M182)</f>
        <v>0</v>
      </c>
      <c r="O182" s="44" t="n">
        <f aca="false">SUMPRODUCT(($B$13:$M$13="INTERNE")*$B182:$M182)</f>
        <v>0</v>
      </c>
      <c r="P182" s="44" t="n">
        <f aca="false">SUMPRODUCT(($B$13:$M$13="EXTERNE")*$B182:$M182)</f>
        <v>0</v>
      </c>
      <c r="Q182" s="44" t="n">
        <f aca="false">IF($A182="",0,SUMIFS(ST_ENCOURS,ST_LOT,$A182))</f>
        <v>0</v>
      </c>
      <c r="R182" s="45" t="str">
        <f aca="false">IF($A182="","",IFERROR(INDEX(LOT_EXTE,MATCH($A182,LOT_KEY,0)),""))</f>
        <v/>
      </c>
      <c r="S182" s="45" t="str">
        <f aca="false">IF($A182="","",IFERROR(INDEX(LOT_DECISION,MATCH($A182,LOT_KEY,0)),""))</f>
        <v/>
      </c>
      <c r="T182" s="44" t="n">
        <f aca="false">IF($S182="BLOQUER",MAX(0,$N182),0)</f>
        <v>0</v>
      </c>
      <c r="U182" s="46" t="str">
        <f aca="false">IF($A182="","",IF($N182&lt;-0.001,"STOCK NEGATIF - ANOMALIE",IF($T182&gt;0,"BLOQUE QUALITE","")))</f>
        <v/>
      </c>
    </row>
    <row r="183" customFormat="false" ht="15" hidden="false" customHeight="false" outlineLevel="0" collapsed="false">
      <c r="A183" s="41" t="str">
        <f aca="false">IF(LOTS!$A173="","",LOTS!$A173)</f>
        <v/>
      </c>
      <c r="B183" s="42" t="n">
        <f aca="false">IF(OR($A183="",B$14=""),0,SUMIFS(MVT_NET,MVT_LOT,$A183,MVT_EMPL,B$14))</f>
        <v>0</v>
      </c>
      <c r="C183" s="42" t="n">
        <f aca="false">IF(OR($A183="",C$14=""),0,SUMIFS(MVT_NET,MVT_LOT,$A183,MVT_EMPL,C$14))</f>
        <v>0</v>
      </c>
      <c r="D183" s="42" t="n">
        <f aca="false">IF(OR($A183="",D$14=""),0,SUMIFS(MVT_NET,MVT_LOT,$A183,MVT_EMPL,D$14))</f>
        <v>0</v>
      </c>
      <c r="E183" s="42" t="n">
        <f aca="false">IF(OR($A183="",E$14=""),0,SUMIFS(MVT_NET,MVT_LOT,$A183,MVT_EMPL,E$14))</f>
        <v>0</v>
      </c>
      <c r="F183" s="42" t="n">
        <f aca="false">IF(OR($A183="",F$14=""),0,SUMIFS(MVT_NET,MVT_LOT,$A183,MVT_EMPL,F$14))</f>
        <v>0</v>
      </c>
      <c r="G183" s="42" t="n">
        <f aca="false">IF(OR($A183="",G$14=""),0,SUMIFS(MVT_NET,MVT_LOT,$A183,MVT_EMPL,G$14))</f>
        <v>0</v>
      </c>
      <c r="H183" s="42" t="n">
        <f aca="false">IF(OR($A183="",H$14=""),0,SUMIFS(MVT_NET,MVT_LOT,$A183,MVT_EMPL,H$14))</f>
        <v>0</v>
      </c>
      <c r="I183" s="42" t="n">
        <f aca="false">IF(OR($A183="",I$14=""),0,SUMIFS(MVT_NET,MVT_LOT,$A183,MVT_EMPL,I$14))</f>
        <v>0</v>
      </c>
      <c r="J183" s="42" t="n">
        <f aca="false">IF(OR($A183="",J$14=""),0,SUMIFS(MVT_NET,MVT_LOT,$A183,MVT_EMPL,J$14))</f>
        <v>0</v>
      </c>
      <c r="K183" s="42" t="n">
        <f aca="false">IF(OR($A183="",K$14=""),0,SUMIFS(MVT_NET,MVT_LOT,$A183,MVT_EMPL,K$14))</f>
        <v>0</v>
      </c>
      <c r="L183" s="42" t="n">
        <f aca="false">IF(OR($A183="",L$14=""),0,SUMIFS(MVT_NET,MVT_LOT,$A183,MVT_EMPL,L$14))</f>
        <v>0</v>
      </c>
      <c r="M183" s="42" t="n">
        <f aca="false">IF(OR($A183="",M$14=""),0,SUMIFS(MVT_NET,MVT_LOT,$A183,MVT_EMPL,M$14))</f>
        <v>0</v>
      </c>
      <c r="N183" s="43" t="n">
        <f aca="false">SUM($B183:$M183)</f>
        <v>0</v>
      </c>
      <c r="O183" s="44" t="n">
        <f aca="false">SUMPRODUCT(($B$13:$M$13="INTERNE")*$B183:$M183)</f>
        <v>0</v>
      </c>
      <c r="P183" s="44" t="n">
        <f aca="false">SUMPRODUCT(($B$13:$M$13="EXTERNE")*$B183:$M183)</f>
        <v>0</v>
      </c>
      <c r="Q183" s="44" t="n">
        <f aca="false">IF($A183="",0,SUMIFS(ST_ENCOURS,ST_LOT,$A183))</f>
        <v>0</v>
      </c>
      <c r="R183" s="45" t="str">
        <f aca="false">IF($A183="","",IFERROR(INDEX(LOT_EXTE,MATCH($A183,LOT_KEY,0)),""))</f>
        <v/>
      </c>
      <c r="S183" s="45" t="str">
        <f aca="false">IF($A183="","",IFERROR(INDEX(LOT_DECISION,MATCH($A183,LOT_KEY,0)),""))</f>
        <v/>
      </c>
      <c r="T183" s="44" t="n">
        <f aca="false">IF($S183="BLOQUER",MAX(0,$N183),0)</f>
        <v>0</v>
      </c>
      <c r="U183" s="46" t="str">
        <f aca="false">IF($A183="","",IF($N183&lt;-0.001,"STOCK NEGATIF - ANOMALIE",IF($T183&gt;0,"BLOQUE QUALITE","")))</f>
        <v/>
      </c>
    </row>
    <row r="184" customFormat="false" ht="15" hidden="false" customHeight="false" outlineLevel="0" collapsed="false">
      <c r="A184" s="41" t="str">
        <f aca="false">IF(LOTS!$A174="","",LOTS!$A174)</f>
        <v/>
      </c>
      <c r="B184" s="42" t="n">
        <f aca="false">IF(OR($A184="",B$14=""),0,SUMIFS(MVT_NET,MVT_LOT,$A184,MVT_EMPL,B$14))</f>
        <v>0</v>
      </c>
      <c r="C184" s="42" t="n">
        <f aca="false">IF(OR($A184="",C$14=""),0,SUMIFS(MVT_NET,MVT_LOT,$A184,MVT_EMPL,C$14))</f>
        <v>0</v>
      </c>
      <c r="D184" s="42" t="n">
        <f aca="false">IF(OR($A184="",D$14=""),0,SUMIFS(MVT_NET,MVT_LOT,$A184,MVT_EMPL,D$14))</f>
        <v>0</v>
      </c>
      <c r="E184" s="42" t="n">
        <f aca="false">IF(OR($A184="",E$14=""),0,SUMIFS(MVT_NET,MVT_LOT,$A184,MVT_EMPL,E$14))</f>
        <v>0</v>
      </c>
      <c r="F184" s="42" t="n">
        <f aca="false">IF(OR($A184="",F$14=""),0,SUMIFS(MVT_NET,MVT_LOT,$A184,MVT_EMPL,F$14))</f>
        <v>0</v>
      </c>
      <c r="G184" s="42" t="n">
        <f aca="false">IF(OR($A184="",G$14=""),0,SUMIFS(MVT_NET,MVT_LOT,$A184,MVT_EMPL,G$14))</f>
        <v>0</v>
      </c>
      <c r="H184" s="42" t="n">
        <f aca="false">IF(OR($A184="",H$14=""),0,SUMIFS(MVT_NET,MVT_LOT,$A184,MVT_EMPL,H$14))</f>
        <v>0</v>
      </c>
      <c r="I184" s="42" t="n">
        <f aca="false">IF(OR($A184="",I$14=""),0,SUMIFS(MVT_NET,MVT_LOT,$A184,MVT_EMPL,I$14))</f>
        <v>0</v>
      </c>
      <c r="J184" s="42" t="n">
        <f aca="false">IF(OR($A184="",J$14=""),0,SUMIFS(MVT_NET,MVT_LOT,$A184,MVT_EMPL,J$14))</f>
        <v>0</v>
      </c>
      <c r="K184" s="42" t="n">
        <f aca="false">IF(OR($A184="",K$14=""),0,SUMIFS(MVT_NET,MVT_LOT,$A184,MVT_EMPL,K$14))</f>
        <v>0</v>
      </c>
      <c r="L184" s="42" t="n">
        <f aca="false">IF(OR($A184="",L$14=""),0,SUMIFS(MVT_NET,MVT_LOT,$A184,MVT_EMPL,L$14))</f>
        <v>0</v>
      </c>
      <c r="M184" s="42" t="n">
        <f aca="false">IF(OR($A184="",M$14=""),0,SUMIFS(MVT_NET,MVT_LOT,$A184,MVT_EMPL,M$14))</f>
        <v>0</v>
      </c>
      <c r="N184" s="43" t="n">
        <f aca="false">SUM($B184:$M184)</f>
        <v>0</v>
      </c>
      <c r="O184" s="44" t="n">
        <f aca="false">SUMPRODUCT(($B$13:$M$13="INTERNE")*$B184:$M184)</f>
        <v>0</v>
      </c>
      <c r="P184" s="44" t="n">
        <f aca="false">SUMPRODUCT(($B$13:$M$13="EXTERNE")*$B184:$M184)</f>
        <v>0</v>
      </c>
      <c r="Q184" s="44" t="n">
        <f aca="false">IF($A184="",0,SUMIFS(ST_ENCOURS,ST_LOT,$A184))</f>
        <v>0</v>
      </c>
      <c r="R184" s="45" t="str">
        <f aca="false">IF($A184="","",IFERROR(INDEX(LOT_EXTE,MATCH($A184,LOT_KEY,0)),""))</f>
        <v/>
      </c>
      <c r="S184" s="45" t="str">
        <f aca="false">IF($A184="","",IFERROR(INDEX(LOT_DECISION,MATCH($A184,LOT_KEY,0)),""))</f>
        <v/>
      </c>
      <c r="T184" s="44" t="n">
        <f aca="false">IF($S184="BLOQUER",MAX(0,$N184),0)</f>
        <v>0</v>
      </c>
      <c r="U184" s="46" t="str">
        <f aca="false">IF($A184="","",IF($N184&lt;-0.001,"STOCK NEGATIF - ANOMALIE",IF($T184&gt;0,"BLOQUE QUALITE","")))</f>
        <v/>
      </c>
    </row>
    <row r="185" customFormat="false" ht="15" hidden="false" customHeight="false" outlineLevel="0" collapsed="false">
      <c r="A185" s="41" t="str">
        <f aca="false">IF(LOTS!$A175="","",LOTS!$A175)</f>
        <v/>
      </c>
      <c r="B185" s="42" t="n">
        <f aca="false">IF(OR($A185="",B$14=""),0,SUMIFS(MVT_NET,MVT_LOT,$A185,MVT_EMPL,B$14))</f>
        <v>0</v>
      </c>
      <c r="C185" s="42" t="n">
        <f aca="false">IF(OR($A185="",C$14=""),0,SUMIFS(MVT_NET,MVT_LOT,$A185,MVT_EMPL,C$14))</f>
        <v>0</v>
      </c>
      <c r="D185" s="42" t="n">
        <f aca="false">IF(OR($A185="",D$14=""),0,SUMIFS(MVT_NET,MVT_LOT,$A185,MVT_EMPL,D$14))</f>
        <v>0</v>
      </c>
      <c r="E185" s="42" t="n">
        <f aca="false">IF(OR($A185="",E$14=""),0,SUMIFS(MVT_NET,MVT_LOT,$A185,MVT_EMPL,E$14))</f>
        <v>0</v>
      </c>
      <c r="F185" s="42" t="n">
        <f aca="false">IF(OR($A185="",F$14=""),0,SUMIFS(MVT_NET,MVT_LOT,$A185,MVT_EMPL,F$14))</f>
        <v>0</v>
      </c>
      <c r="G185" s="42" t="n">
        <f aca="false">IF(OR($A185="",G$14=""),0,SUMIFS(MVT_NET,MVT_LOT,$A185,MVT_EMPL,G$14))</f>
        <v>0</v>
      </c>
      <c r="H185" s="42" t="n">
        <f aca="false">IF(OR($A185="",H$14=""),0,SUMIFS(MVT_NET,MVT_LOT,$A185,MVT_EMPL,H$14))</f>
        <v>0</v>
      </c>
      <c r="I185" s="42" t="n">
        <f aca="false">IF(OR($A185="",I$14=""),0,SUMIFS(MVT_NET,MVT_LOT,$A185,MVT_EMPL,I$14))</f>
        <v>0</v>
      </c>
      <c r="J185" s="42" t="n">
        <f aca="false">IF(OR($A185="",J$14=""),0,SUMIFS(MVT_NET,MVT_LOT,$A185,MVT_EMPL,J$14))</f>
        <v>0</v>
      </c>
      <c r="K185" s="42" t="n">
        <f aca="false">IF(OR($A185="",K$14=""),0,SUMIFS(MVT_NET,MVT_LOT,$A185,MVT_EMPL,K$14))</f>
        <v>0</v>
      </c>
      <c r="L185" s="42" t="n">
        <f aca="false">IF(OR($A185="",L$14=""),0,SUMIFS(MVT_NET,MVT_LOT,$A185,MVT_EMPL,L$14))</f>
        <v>0</v>
      </c>
      <c r="M185" s="42" t="n">
        <f aca="false">IF(OR($A185="",M$14=""),0,SUMIFS(MVT_NET,MVT_LOT,$A185,MVT_EMPL,M$14))</f>
        <v>0</v>
      </c>
      <c r="N185" s="43" t="n">
        <f aca="false">SUM($B185:$M185)</f>
        <v>0</v>
      </c>
      <c r="O185" s="44" t="n">
        <f aca="false">SUMPRODUCT(($B$13:$M$13="INTERNE")*$B185:$M185)</f>
        <v>0</v>
      </c>
      <c r="P185" s="44" t="n">
        <f aca="false">SUMPRODUCT(($B$13:$M$13="EXTERNE")*$B185:$M185)</f>
        <v>0</v>
      </c>
      <c r="Q185" s="44" t="n">
        <f aca="false">IF($A185="",0,SUMIFS(ST_ENCOURS,ST_LOT,$A185))</f>
        <v>0</v>
      </c>
      <c r="R185" s="45" t="str">
        <f aca="false">IF($A185="","",IFERROR(INDEX(LOT_EXTE,MATCH($A185,LOT_KEY,0)),""))</f>
        <v/>
      </c>
      <c r="S185" s="45" t="str">
        <f aca="false">IF($A185="","",IFERROR(INDEX(LOT_DECISION,MATCH($A185,LOT_KEY,0)),""))</f>
        <v/>
      </c>
      <c r="T185" s="44" t="n">
        <f aca="false">IF($S185="BLOQUER",MAX(0,$N185),0)</f>
        <v>0</v>
      </c>
      <c r="U185" s="46" t="str">
        <f aca="false">IF($A185="","",IF($N185&lt;-0.001,"STOCK NEGATIF - ANOMALIE",IF($T185&gt;0,"BLOQUE QUALITE","")))</f>
        <v/>
      </c>
    </row>
    <row r="186" customFormat="false" ht="15" hidden="false" customHeight="false" outlineLevel="0" collapsed="false">
      <c r="A186" s="41" t="str">
        <f aca="false">IF(LOTS!$A176="","",LOTS!$A176)</f>
        <v/>
      </c>
      <c r="B186" s="42" t="n">
        <f aca="false">IF(OR($A186="",B$14=""),0,SUMIFS(MVT_NET,MVT_LOT,$A186,MVT_EMPL,B$14))</f>
        <v>0</v>
      </c>
      <c r="C186" s="42" t="n">
        <f aca="false">IF(OR($A186="",C$14=""),0,SUMIFS(MVT_NET,MVT_LOT,$A186,MVT_EMPL,C$14))</f>
        <v>0</v>
      </c>
      <c r="D186" s="42" t="n">
        <f aca="false">IF(OR($A186="",D$14=""),0,SUMIFS(MVT_NET,MVT_LOT,$A186,MVT_EMPL,D$14))</f>
        <v>0</v>
      </c>
      <c r="E186" s="42" t="n">
        <f aca="false">IF(OR($A186="",E$14=""),0,SUMIFS(MVT_NET,MVT_LOT,$A186,MVT_EMPL,E$14))</f>
        <v>0</v>
      </c>
      <c r="F186" s="42" t="n">
        <f aca="false">IF(OR($A186="",F$14=""),0,SUMIFS(MVT_NET,MVT_LOT,$A186,MVT_EMPL,F$14))</f>
        <v>0</v>
      </c>
      <c r="G186" s="42" t="n">
        <f aca="false">IF(OR($A186="",G$14=""),0,SUMIFS(MVT_NET,MVT_LOT,$A186,MVT_EMPL,G$14))</f>
        <v>0</v>
      </c>
      <c r="H186" s="42" t="n">
        <f aca="false">IF(OR($A186="",H$14=""),0,SUMIFS(MVT_NET,MVT_LOT,$A186,MVT_EMPL,H$14))</f>
        <v>0</v>
      </c>
      <c r="I186" s="42" t="n">
        <f aca="false">IF(OR($A186="",I$14=""),0,SUMIFS(MVT_NET,MVT_LOT,$A186,MVT_EMPL,I$14))</f>
        <v>0</v>
      </c>
      <c r="J186" s="42" t="n">
        <f aca="false">IF(OR($A186="",J$14=""),0,SUMIFS(MVT_NET,MVT_LOT,$A186,MVT_EMPL,J$14))</f>
        <v>0</v>
      </c>
      <c r="K186" s="42" t="n">
        <f aca="false">IF(OR($A186="",K$14=""),0,SUMIFS(MVT_NET,MVT_LOT,$A186,MVT_EMPL,K$14))</f>
        <v>0</v>
      </c>
      <c r="L186" s="42" t="n">
        <f aca="false">IF(OR($A186="",L$14=""),0,SUMIFS(MVT_NET,MVT_LOT,$A186,MVT_EMPL,L$14))</f>
        <v>0</v>
      </c>
      <c r="M186" s="42" t="n">
        <f aca="false">IF(OR($A186="",M$14=""),0,SUMIFS(MVT_NET,MVT_LOT,$A186,MVT_EMPL,M$14))</f>
        <v>0</v>
      </c>
      <c r="N186" s="43" t="n">
        <f aca="false">SUM($B186:$M186)</f>
        <v>0</v>
      </c>
      <c r="O186" s="44" t="n">
        <f aca="false">SUMPRODUCT(($B$13:$M$13="INTERNE")*$B186:$M186)</f>
        <v>0</v>
      </c>
      <c r="P186" s="44" t="n">
        <f aca="false">SUMPRODUCT(($B$13:$M$13="EXTERNE")*$B186:$M186)</f>
        <v>0</v>
      </c>
      <c r="Q186" s="44" t="n">
        <f aca="false">IF($A186="",0,SUMIFS(ST_ENCOURS,ST_LOT,$A186))</f>
        <v>0</v>
      </c>
      <c r="R186" s="45" t="str">
        <f aca="false">IF($A186="","",IFERROR(INDEX(LOT_EXTE,MATCH($A186,LOT_KEY,0)),""))</f>
        <v/>
      </c>
      <c r="S186" s="45" t="str">
        <f aca="false">IF($A186="","",IFERROR(INDEX(LOT_DECISION,MATCH($A186,LOT_KEY,0)),""))</f>
        <v/>
      </c>
      <c r="T186" s="44" t="n">
        <f aca="false">IF($S186="BLOQUER",MAX(0,$N186),0)</f>
        <v>0</v>
      </c>
      <c r="U186" s="46" t="str">
        <f aca="false">IF($A186="","",IF($N186&lt;-0.001,"STOCK NEGATIF - ANOMALIE",IF($T186&gt;0,"BLOQUE QUALITE","")))</f>
        <v/>
      </c>
    </row>
    <row r="187" customFormat="false" ht="15" hidden="false" customHeight="false" outlineLevel="0" collapsed="false">
      <c r="A187" s="41" t="str">
        <f aca="false">IF(LOTS!$A177="","",LOTS!$A177)</f>
        <v/>
      </c>
      <c r="B187" s="42" t="n">
        <f aca="false">IF(OR($A187="",B$14=""),0,SUMIFS(MVT_NET,MVT_LOT,$A187,MVT_EMPL,B$14))</f>
        <v>0</v>
      </c>
      <c r="C187" s="42" t="n">
        <f aca="false">IF(OR($A187="",C$14=""),0,SUMIFS(MVT_NET,MVT_LOT,$A187,MVT_EMPL,C$14))</f>
        <v>0</v>
      </c>
      <c r="D187" s="42" t="n">
        <f aca="false">IF(OR($A187="",D$14=""),0,SUMIFS(MVT_NET,MVT_LOT,$A187,MVT_EMPL,D$14))</f>
        <v>0</v>
      </c>
      <c r="E187" s="42" t="n">
        <f aca="false">IF(OR($A187="",E$14=""),0,SUMIFS(MVT_NET,MVT_LOT,$A187,MVT_EMPL,E$14))</f>
        <v>0</v>
      </c>
      <c r="F187" s="42" t="n">
        <f aca="false">IF(OR($A187="",F$14=""),0,SUMIFS(MVT_NET,MVT_LOT,$A187,MVT_EMPL,F$14))</f>
        <v>0</v>
      </c>
      <c r="G187" s="42" t="n">
        <f aca="false">IF(OR($A187="",G$14=""),0,SUMIFS(MVT_NET,MVT_LOT,$A187,MVT_EMPL,G$14))</f>
        <v>0</v>
      </c>
      <c r="H187" s="42" t="n">
        <f aca="false">IF(OR($A187="",H$14=""),0,SUMIFS(MVT_NET,MVT_LOT,$A187,MVT_EMPL,H$14))</f>
        <v>0</v>
      </c>
      <c r="I187" s="42" t="n">
        <f aca="false">IF(OR($A187="",I$14=""),0,SUMIFS(MVT_NET,MVT_LOT,$A187,MVT_EMPL,I$14))</f>
        <v>0</v>
      </c>
      <c r="J187" s="42" t="n">
        <f aca="false">IF(OR($A187="",J$14=""),0,SUMIFS(MVT_NET,MVT_LOT,$A187,MVT_EMPL,J$14))</f>
        <v>0</v>
      </c>
      <c r="K187" s="42" t="n">
        <f aca="false">IF(OR($A187="",K$14=""),0,SUMIFS(MVT_NET,MVT_LOT,$A187,MVT_EMPL,K$14))</f>
        <v>0</v>
      </c>
      <c r="L187" s="42" t="n">
        <f aca="false">IF(OR($A187="",L$14=""),0,SUMIFS(MVT_NET,MVT_LOT,$A187,MVT_EMPL,L$14))</f>
        <v>0</v>
      </c>
      <c r="M187" s="42" t="n">
        <f aca="false">IF(OR($A187="",M$14=""),0,SUMIFS(MVT_NET,MVT_LOT,$A187,MVT_EMPL,M$14))</f>
        <v>0</v>
      </c>
      <c r="N187" s="43" t="n">
        <f aca="false">SUM($B187:$M187)</f>
        <v>0</v>
      </c>
      <c r="O187" s="44" t="n">
        <f aca="false">SUMPRODUCT(($B$13:$M$13="INTERNE")*$B187:$M187)</f>
        <v>0</v>
      </c>
      <c r="P187" s="44" t="n">
        <f aca="false">SUMPRODUCT(($B$13:$M$13="EXTERNE")*$B187:$M187)</f>
        <v>0</v>
      </c>
      <c r="Q187" s="44" t="n">
        <f aca="false">IF($A187="",0,SUMIFS(ST_ENCOURS,ST_LOT,$A187))</f>
        <v>0</v>
      </c>
      <c r="R187" s="45" t="str">
        <f aca="false">IF($A187="","",IFERROR(INDEX(LOT_EXTE,MATCH($A187,LOT_KEY,0)),""))</f>
        <v/>
      </c>
      <c r="S187" s="45" t="str">
        <f aca="false">IF($A187="","",IFERROR(INDEX(LOT_DECISION,MATCH($A187,LOT_KEY,0)),""))</f>
        <v/>
      </c>
      <c r="T187" s="44" t="n">
        <f aca="false">IF($S187="BLOQUER",MAX(0,$N187),0)</f>
        <v>0</v>
      </c>
      <c r="U187" s="46" t="str">
        <f aca="false">IF($A187="","",IF($N187&lt;-0.001,"STOCK NEGATIF - ANOMALIE",IF($T187&gt;0,"BLOQUE QUALITE","")))</f>
        <v/>
      </c>
    </row>
    <row r="188" customFormat="false" ht="15" hidden="false" customHeight="false" outlineLevel="0" collapsed="false">
      <c r="A188" s="41" t="str">
        <f aca="false">IF(LOTS!$A178="","",LOTS!$A178)</f>
        <v/>
      </c>
      <c r="B188" s="42" t="n">
        <f aca="false">IF(OR($A188="",B$14=""),0,SUMIFS(MVT_NET,MVT_LOT,$A188,MVT_EMPL,B$14))</f>
        <v>0</v>
      </c>
      <c r="C188" s="42" t="n">
        <f aca="false">IF(OR($A188="",C$14=""),0,SUMIFS(MVT_NET,MVT_LOT,$A188,MVT_EMPL,C$14))</f>
        <v>0</v>
      </c>
      <c r="D188" s="42" t="n">
        <f aca="false">IF(OR($A188="",D$14=""),0,SUMIFS(MVT_NET,MVT_LOT,$A188,MVT_EMPL,D$14))</f>
        <v>0</v>
      </c>
      <c r="E188" s="42" t="n">
        <f aca="false">IF(OR($A188="",E$14=""),0,SUMIFS(MVT_NET,MVT_LOT,$A188,MVT_EMPL,E$14))</f>
        <v>0</v>
      </c>
      <c r="F188" s="42" t="n">
        <f aca="false">IF(OR($A188="",F$14=""),0,SUMIFS(MVT_NET,MVT_LOT,$A188,MVT_EMPL,F$14))</f>
        <v>0</v>
      </c>
      <c r="G188" s="42" t="n">
        <f aca="false">IF(OR($A188="",G$14=""),0,SUMIFS(MVT_NET,MVT_LOT,$A188,MVT_EMPL,G$14))</f>
        <v>0</v>
      </c>
      <c r="H188" s="42" t="n">
        <f aca="false">IF(OR($A188="",H$14=""),0,SUMIFS(MVT_NET,MVT_LOT,$A188,MVT_EMPL,H$14))</f>
        <v>0</v>
      </c>
      <c r="I188" s="42" t="n">
        <f aca="false">IF(OR($A188="",I$14=""),0,SUMIFS(MVT_NET,MVT_LOT,$A188,MVT_EMPL,I$14))</f>
        <v>0</v>
      </c>
      <c r="J188" s="42" t="n">
        <f aca="false">IF(OR($A188="",J$14=""),0,SUMIFS(MVT_NET,MVT_LOT,$A188,MVT_EMPL,J$14))</f>
        <v>0</v>
      </c>
      <c r="K188" s="42" t="n">
        <f aca="false">IF(OR($A188="",K$14=""),0,SUMIFS(MVT_NET,MVT_LOT,$A188,MVT_EMPL,K$14))</f>
        <v>0</v>
      </c>
      <c r="L188" s="42" t="n">
        <f aca="false">IF(OR($A188="",L$14=""),0,SUMIFS(MVT_NET,MVT_LOT,$A188,MVT_EMPL,L$14))</f>
        <v>0</v>
      </c>
      <c r="M188" s="42" t="n">
        <f aca="false">IF(OR($A188="",M$14=""),0,SUMIFS(MVT_NET,MVT_LOT,$A188,MVT_EMPL,M$14))</f>
        <v>0</v>
      </c>
      <c r="N188" s="43" t="n">
        <f aca="false">SUM($B188:$M188)</f>
        <v>0</v>
      </c>
      <c r="O188" s="44" t="n">
        <f aca="false">SUMPRODUCT(($B$13:$M$13="INTERNE")*$B188:$M188)</f>
        <v>0</v>
      </c>
      <c r="P188" s="44" t="n">
        <f aca="false">SUMPRODUCT(($B$13:$M$13="EXTERNE")*$B188:$M188)</f>
        <v>0</v>
      </c>
      <c r="Q188" s="44" t="n">
        <f aca="false">IF($A188="",0,SUMIFS(ST_ENCOURS,ST_LOT,$A188))</f>
        <v>0</v>
      </c>
      <c r="R188" s="45" t="str">
        <f aca="false">IF($A188="","",IFERROR(INDEX(LOT_EXTE,MATCH($A188,LOT_KEY,0)),""))</f>
        <v/>
      </c>
      <c r="S188" s="45" t="str">
        <f aca="false">IF($A188="","",IFERROR(INDEX(LOT_DECISION,MATCH($A188,LOT_KEY,0)),""))</f>
        <v/>
      </c>
      <c r="T188" s="44" t="n">
        <f aca="false">IF($S188="BLOQUER",MAX(0,$N188),0)</f>
        <v>0</v>
      </c>
      <c r="U188" s="46" t="str">
        <f aca="false">IF($A188="","",IF($N188&lt;-0.001,"STOCK NEGATIF - ANOMALIE",IF($T188&gt;0,"BLOQUE QUALITE","")))</f>
        <v/>
      </c>
    </row>
    <row r="189" customFormat="false" ht="15" hidden="false" customHeight="false" outlineLevel="0" collapsed="false">
      <c r="A189" s="41" t="str">
        <f aca="false">IF(LOTS!$A179="","",LOTS!$A179)</f>
        <v/>
      </c>
      <c r="B189" s="42" t="n">
        <f aca="false">IF(OR($A189="",B$14=""),0,SUMIFS(MVT_NET,MVT_LOT,$A189,MVT_EMPL,B$14))</f>
        <v>0</v>
      </c>
      <c r="C189" s="42" t="n">
        <f aca="false">IF(OR($A189="",C$14=""),0,SUMIFS(MVT_NET,MVT_LOT,$A189,MVT_EMPL,C$14))</f>
        <v>0</v>
      </c>
      <c r="D189" s="42" t="n">
        <f aca="false">IF(OR($A189="",D$14=""),0,SUMIFS(MVT_NET,MVT_LOT,$A189,MVT_EMPL,D$14))</f>
        <v>0</v>
      </c>
      <c r="E189" s="42" t="n">
        <f aca="false">IF(OR($A189="",E$14=""),0,SUMIFS(MVT_NET,MVT_LOT,$A189,MVT_EMPL,E$14))</f>
        <v>0</v>
      </c>
      <c r="F189" s="42" t="n">
        <f aca="false">IF(OR($A189="",F$14=""),0,SUMIFS(MVT_NET,MVT_LOT,$A189,MVT_EMPL,F$14))</f>
        <v>0</v>
      </c>
      <c r="G189" s="42" t="n">
        <f aca="false">IF(OR($A189="",G$14=""),0,SUMIFS(MVT_NET,MVT_LOT,$A189,MVT_EMPL,G$14))</f>
        <v>0</v>
      </c>
      <c r="H189" s="42" t="n">
        <f aca="false">IF(OR($A189="",H$14=""),0,SUMIFS(MVT_NET,MVT_LOT,$A189,MVT_EMPL,H$14))</f>
        <v>0</v>
      </c>
      <c r="I189" s="42" t="n">
        <f aca="false">IF(OR($A189="",I$14=""),0,SUMIFS(MVT_NET,MVT_LOT,$A189,MVT_EMPL,I$14))</f>
        <v>0</v>
      </c>
      <c r="J189" s="42" t="n">
        <f aca="false">IF(OR($A189="",J$14=""),0,SUMIFS(MVT_NET,MVT_LOT,$A189,MVT_EMPL,J$14))</f>
        <v>0</v>
      </c>
      <c r="K189" s="42" t="n">
        <f aca="false">IF(OR($A189="",K$14=""),0,SUMIFS(MVT_NET,MVT_LOT,$A189,MVT_EMPL,K$14))</f>
        <v>0</v>
      </c>
      <c r="L189" s="42" t="n">
        <f aca="false">IF(OR($A189="",L$14=""),0,SUMIFS(MVT_NET,MVT_LOT,$A189,MVT_EMPL,L$14))</f>
        <v>0</v>
      </c>
      <c r="M189" s="42" t="n">
        <f aca="false">IF(OR($A189="",M$14=""),0,SUMIFS(MVT_NET,MVT_LOT,$A189,MVT_EMPL,M$14))</f>
        <v>0</v>
      </c>
      <c r="N189" s="43" t="n">
        <f aca="false">SUM($B189:$M189)</f>
        <v>0</v>
      </c>
      <c r="O189" s="44" t="n">
        <f aca="false">SUMPRODUCT(($B$13:$M$13="INTERNE")*$B189:$M189)</f>
        <v>0</v>
      </c>
      <c r="P189" s="44" t="n">
        <f aca="false">SUMPRODUCT(($B$13:$M$13="EXTERNE")*$B189:$M189)</f>
        <v>0</v>
      </c>
      <c r="Q189" s="44" t="n">
        <f aca="false">IF($A189="",0,SUMIFS(ST_ENCOURS,ST_LOT,$A189))</f>
        <v>0</v>
      </c>
      <c r="R189" s="45" t="str">
        <f aca="false">IF($A189="","",IFERROR(INDEX(LOT_EXTE,MATCH($A189,LOT_KEY,0)),""))</f>
        <v/>
      </c>
      <c r="S189" s="45" t="str">
        <f aca="false">IF($A189="","",IFERROR(INDEX(LOT_DECISION,MATCH($A189,LOT_KEY,0)),""))</f>
        <v/>
      </c>
      <c r="T189" s="44" t="n">
        <f aca="false">IF($S189="BLOQUER",MAX(0,$N189),0)</f>
        <v>0</v>
      </c>
      <c r="U189" s="46" t="str">
        <f aca="false">IF($A189="","",IF($N189&lt;-0.001,"STOCK NEGATIF - ANOMALIE",IF($T189&gt;0,"BLOQUE QUALITE","")))</f>
        <v/>
      </c>
    </row>
    <row r="190" customFormat="false" ht="15" hidden="false" customHeight="false" outlineLevel="0" collapsed="false">
      <c r="A190" s="41" t="str">
        <f aca="false">IF(LOTS!$A180="","",LOTS!$A180)</f>
        <v/>
      </c>
      <c r="B190" s="42" t="n">
        <f aca="false">IF(OR($A190="",B$14=""),0,SUMIFS(MVT_NET,MVT_LOT,$A190,MVT_EMPL,B$14))</f>
        <v>0</v>
      </c>
      <c r="C190" s="42" t="n">
        <f aca="false">IF(OR($A190="",C$14=""),0,SUMIFS(MVT_NET,MVT_LOT,$A190,MVT_EMPL,C$14))</f>
        <v>0</v>
      </c>
      <c r="D190" s="42" t="n">
        <f aca="false">IF(OR($A190="",D$14=""),0,SUMIFS(MVT_NET,MVT_LOT,$A190,MVT_EMPL,D$14))</f>
        <v>0</v>
      </c>
      <c r="E190" s="42" t="n">
        <f aca="false">IF(OR($A190="",E$14=""),0,SUMIFS(MVT_NET,MVT_LOT,$A190,MVT_EMPL,E$14))</f>
        <v>0</v>
      </c>
      <c r="F190" s="42" t="n">
        <f aca="false">IF(OR($A190="",F$14=""),0,SUMIFS(MVT_NET,MVT_LOT,$A190,MVT_EMPL,F$14))</f>
        <v>0</v>
      </c>
      <c r="G190" s="42" t="n">
        <f aca="false">IF(OR($A190="",G$14=""),0,SUMIFS(MVT_NET,MVT_LOT,$A190,MVT_EMPL,G$14))</f>
        <v>0</v>
      </c>
      <c r="H190" s="42" t="n">
        <f aca="false">IF(OR($A190="",H$14=""),0,SUMIFS(MVT_NET,MVT_LOT,$A190,MVT_EMPL,H$14))</f>
        <v>0</v>
      </c>
      <c r="I190" s="42" t="n">
        <f aca="false">IF(OR($A190="",I$14=""),0,SUMIFS(MVT_NET,MVT_LOT,$A190,MVT_EMPL,I$14))</f>
        <v>0</v>
      </c>
      <c r="J190" s="42" t="n">
        <f aca="false">IF(OR($A190="",J$14=""),0,SUMIFS(MVT_NET,MVT_LOT,$A190,MVT_EMPL,J$14))</f>
        <v>0</v>
      </c>
      <c r="K190" s="42" t="n">
        <f aca="false">IF(OR($A190="",K$14=""),0,SUMIFS(MVT_NET,MVT_LOT,$A190,MVT_EMPL,K$14))</f>
        <v>0</v>
      </c>
      <c r="L190" s="42" t="n">
        <f aca="false">IF(OR($A190="",L$14=""),0,SUMIFS(MVT_NET,MVT_LOT,$A190,MVT_EMPL,L$14))</f>
        <v>0</v>
      </c>
      <c r="M190" s="42" t="n">
        <f aca="false">IF(OR($A190="",M$14=""),0,SUMIFS(MVT_NET,MVT_LOT,$A190,MVT_EMPL,M$14))</f>
        <v>0</v>
      </c>
      <c r="N190" s="43" t="n">
        <f aca="false">SUM($B190:$M190)</f>
        <v>0</v>
      </c>
      <c r="O190" s="44" t="n">
        <f aca="false">SUMPRODUCT(($B$13:$M$13="INTERNE")*$B190:$M190)</f>
        <v>0</v>
      </c>
      <c r="P190" s="44" t="n">
        <f aca="false">SUMPRODUCT(($B$13:$M$13="EXTERNE")*$B190:$M190)</f>
        <v>0</v>
      </c>
      <c r="Q190" s="44" t="n">
        <f aca="false">IF($A190="",0,SUMIFS(ST_ENCOURS,ST_LOT,$A190))</f>
        <v>0</v>
      </c>
      <c r="R190" s="45" t="str">
        <f aca="false">IF($A190="","",IFERROR(INDEX(LOT_EXTE,MATCH($A190,LOT_KEY,0)),""))</f>
        <v/>
      </c>
      <c r="S190" s="45" t="str">
        <f aca="false">IF($A190="","",IFERROR(INDEX(LOT_DECISION,MATCH($A190,LOT_KEY,0)),""))</f>
        <v/>
      </c>
      <c r="T190" s="44" t="n">
        <f aca="false">IF($S190="BLOQUER",MAX(0,$N190),0)</f>
        <v>0</v>
      </c>
      <c r="U190" s="46" t="str">
        <f aca="false">IF($A190="","",IF($N190&lt;-0.001,"STOCK NEGATIF - ANOMALIE",IF($T190&gt;0,"BLOQUE QUALITE","")))</f>
        <v/>
      </c>
    </row>
    <row r="191" customFormat="false" ht="15" hidden="false" customHeight="false" outlineLevel="0" collapsed="false">
      <c r="A191" s="41" t="str">
        <f aca="false">IF(LOTS!$A181="","",LOTS!$A181)</f>
        <v/>
      </c>
      <c r="B191" s="42" t="n">
        <f aca="false">IF(OR($A191="",B$14=""),0,SUMIFS(MVT_NET,MVT_LOT,$A191,MVT_EMPL,B$14))</f>
        <v>0</v>
      </c>
      <c r="C191" s="42" t="n">
        <f aca="false">IF(OR($A191="",C$14=""),0,SUMIFS(MVT_NET,MVT_LOT,$A191,MVT_EMPL,C$14))</f>
        <v>0</v>
      </c>
      <c r="D191" s="42" t="n">
        <f aca="false">IF(OR($A191="",D$14=""),0,SUMIFS(MVT_NET,MVT_LOT,$A191,MVT_EMPL,D$14))</f>
        <v>0</v>
      </c>
      <c r="E191" s="42" t="n">
        <f aca="false">IF(OR($A191="",E$14=""),0,SUMIFS(MVT_NET,MVT_LOT,$A191,MVT_EMPL,E$14))</f>
        <v>0</v>
      </c>
      <c r="F191" s="42" t="n">
        <f aca="false">IF(OR($A191="",F$14=""),0,SUMIFS(MVT_NET,MVT_LOT,$A191,MVT_EMPL,F$14))</f>
        <v>0</v>
      </c>
      <c r="G191" s="42" t="n">
        <f aca="false">IF(OR($A191="",G$14=""),0,SUMIFS(MVT_NET,MVT_LOT,$A191,MVT_EMPL,G$14))</f>
        <v>0</v>
      </c>
      <c r="H191" s="42" t="n">
        <f aca="false">IF(OR($A191="",H$14=""),0,SUMIFS(MVT_NET,MVT_LOT,$A191,MVT_EMPL,H$14))</f>
        <v>0</v>
      </c>
      <c r="I191" s="42" t="n">
        <f aca="false">IF(OR($A191="",I$14=""),0,SUMIFS(MVT_NET,MVT_LOT,$A191,MVT_EMPL,I$14))</f>
        <v>0</v>
      </c>
      <c r="J191" s="42" t="n">
        <f aca="false">IF(OR($A191="",J$14=""),0,SUMIFS(MVT_NET,MVT_LOT,$A191,MVT_EMPL,J$14))</f>
        <v>0</v>
      </c>
      <c r="K191" s="42" t="n">
        <f aca="false">IF(OR($A191="",K$14=""),0,SUMIFS(MVT_NET,MVT_LOT,$A191,MVT_EMPL,K$14))</f>
        <v>0</v>
      </c>
      <c r="L191" s="42" t="n">
        <f aca="false">IF(OR($A191="",L$14=""),0,SUMIFS(MVT_NET,MVT_LOT,$A191,MVT_EMPL,L$14))</f>
        <v>0</v>
      </c>
      <c r="M191" s="42" t="n">
        <f aca="false">IF(OR($A191="",M$14=""),0,SUMIFS(MVT_NET,MVT_LOT,$A191,MVT_EMPL,M$14))</f>
        <v>0</v>
      </c>
      <c r="N191" s="43" t="n">
        <f aca="false">SUM($B191:$M191)</f>
        <v>0</v>
      </c>
      <c r="O191" s="44" t="n">
        <f aca="false">SUMPRODUCT(($B$13:$M$13="INTERNE")*$B191:$M191)</f>
        <v>0</v>
      </c>
      <c r="P191" s="44" t="n">
        <f aca="false">SUMPRODUCT(($B$13:$M$13="EXTERNE")*$B191:$M191)</f>
        <v>0</v>
      </c>
      <c r="Q191" s="44" t="n">
        <f aca="false">IF($A191="",0,SUMIFS(ST_ENCOURS,ST_LOT,$A191))</f>
        <v>0</v>
      </c>
      <c r="R191" s="45" t="str">
        <f aca="false">IF($A191="","",IFERROR(INDEX(LOT_EXTE,MATCH($A191,LOT_KEY,0)),""))</f>
        <v/>
      </c>
      <c r="S191" s="45" t="str">
        <f aca="false">IF($A191="","",IFERROR(INDEX(LOT_DECISION,MATCH($A191,LOT_KEY,0)),""))</f>
        <v/>
      </c>
      <c r="T191" s="44" t="n">
        <f aca="false">IF($S191="BLOQUER",MAX(0,$N191),0)</f>
        <v>0</v>
      </c>
      <c r="U191" s="46" t="str">
        <f aca="false">IF($A191="","",IF($N191&lt;-0.001,"STOCK NEGATIF - ANOMALIE",IF($T191&gt;0,"BLOQUE QUALITE","")))</f>
        <v/>
      </c>
    </row>
    <row r="192" customFormat="false" ht="15" hidden="false" customHeight="false" outlineLevel="0" collapsed="false">
      <c r="A192" s="41" t="str">
        <f aca="false">IF(LOTS!$A182="","",LOTS!$A182)</f>
        <v/>
      </c>
      <c r="B192" s="42" t="n">
        <f aca="false">IF(OR($A192="",B$14=""),0,SUMIFS(MVT_NET,MVT_LOT,$A192,MVT_EMPL,B$14))</f>
        <v>0</v>
      </c>
      <c r="C192" s="42" t="n">
        <f aca="false">IF(OR($A192="",C$14=""),0,SUMIFS(MVT_NET,MVT_LOT,$A192,MVT_EMPL,C$14))</f>
        <v>0</v>
      </c>
      <c r="D192" s="42" t="n">
        <f aca="false">IF(OR($A192="",D$14=""),0,SUMIFS(MVT_NET,MVT_LOT,$A192,MVT_EMPL,D$14))</f>
        <v>0</v>
      </c>
      <c r="E192" s="42" t="n">
        <f aca="false">IF(OR($A192="",E$14=""),0,SUMIFS(MVT_NET,MVT_LOT,$A192,MVT_EMPL,E$14))</f>
        <v>0</v>
      </c>
      <c r="F192" s="42" t="n">
        <f aca="false">IF(OR($A192="",F$14=""),0,SUMIFS(MVT_NET,MVT_LOT,$A192,MVT_EMPL,F$14))</f>
        <v>0</v>
      </c>
      <c r="G192" s="42" t="n">
        <f aca="false">IF(OR($A192="",G$14=""),0,SUMIFS(MVT_NET,MVT_LOT,$A192,MVT_EMPL,G$14))</f>
        <v>0</v>
      </c>
      <c r="H192" s="42" t="n">
        <f aca="false">IF(OR($A192="",H$14=""),0,SUMIFS(MVT_NET,MVT_LOT,$A192,MVT_EMPL,H$14))</f>
        <v>0</v>
      </c>
      <c r="I192" s="42" t="n">
        <f aca="false">IF(OR($A192="",I$14=""),0,SUMIFS(MVT_NET,MVT_LOT,$A192,MVT_EMPL,I$14))</f>
        <v>0</v>
      </c>
      <c r="J192" s="42" t="n">
        <f aca="false">IF(OR($A192="",J$14=""),0,SUMIFS(MVT_NET,MVT_LOT,$A192,MVT_EMPL,J$14))</f>
        <v>0</v>
      </c>
      <c r="K192" s="42" t="n">
        <f aca="false">IF(OR($A192="",K$14=""),0,SUMIFS(MVT_NET,MVT_LOT,$A192,MVT_EMPL,K$14))</f>
        <v>0</v>
      </c>
      <c r="L192" s="42" t="n">
        <f aca="false">IF(OR($A192="",L$14=""),0,SUMIFS(MVT_NET,MVT_LOT,$A192,MVT_EMPL,L$14))</f>
        <v>0</v>
      </c>
      <c r="M192" s="42" t="n">
        <f aca="false">IF(OR($A192="",M$14=""),0,SUMIFS(MVT_NET,MVT_LOT,$A192,MVT_EMPL,M$14))</f>
        <v>0</v>
      </c>
      <c r="N192" s="43" t="n">
        <f aca="false">SUM($B192:$M192)</f>
        <v>0</v>
      </c>
      <c r="O192" s="44" t="n">
        <f aca="false">SUMPRODUCT(($B$13:$M$13="INTERNE")*$B192:$M192)</f>
        <v>0</v>
      </c>
      <c r="P192" s="44" t="n">
        <f aca="false">SUMPRODUCT(($B$13:$M$13="EXTERNE")*$B192:$M192)</f>
        <v>0</v>
      </c>
      <c r="Q192" s="44" t="n">
        <f aca="false">IF($A192="",0,SUMIFS(ST_ENCOURS,ST_LOT,$A192))</f>
        <v>0</v>
      </c>
      <c r="R192" s="45" t="str">
        <f aca="false">IF($A192="","",IFERROR(INDEX(LOT_EXTE,MATCH($A192,LOT_KEY,0)),""))</f>
        <v/>
      </c>
      <c r="S192" s="45" t="str">
        <f aca="false">IF($A192="","",IFERROR(INDEX(LOT_DECISION,MATCH($A192,LOT_KEY,0)),""))</f>
        <v/>
      </c>
      <c r="T192" s="44" t="n">
        <f aca="false">IF($S192="BLOQUER",MAX(0,$N192),0)</f>
        <v>0</v>
      </c>
      <c r="U192" s="46" t="str">
        <f aca="false">IF($A192="","",IF($N192&lt;-0.001,"STOCK NEGATIF - ANOMALIE",IF($T192&gt;0,"BLOQUE QUALITE","")))</f>
        <v/>
      </c>
    </row>
    <row r="193" customFormat="false" ht="15" hidden="false" customHeight="false" outlineLevel="0" collapsed="false">
      <c r="A193" s="41" t="str">
        <f aca="false">IF(LOTS!$A183="","",LOTS!$A183)</f>
        <v/>
      </c>
      <c r="B193" s="42" t="n">
        <f aca="false">IF(OR($A193="",B$14=""),0,SUMIFS(MVT_NET,MVT_LOT,$A193,MVT_EMPL,B$14))</f>
        <v>0</v>
      </c>
      <c r="C193" s="42" t="n">
        <f aca="false">IF(OR($A193="",C$14=""),0,SUMIFS(MVT_NET,MVT_LOT,$A193,MVT_EMPL,C$14))</f>
        <v>0</v>
      </c>
      <c r="D193" s="42" t="n">
        <f aca="false">IF(OR($A193="",D$14=""),0,SUMIFS(MVT_NET,MVT_LOT,$A193,MVT_EMPL,D$14))</f>
        <v>0</v>
      </c>
      <c r="E193" s="42" t="n">
        <f aca="false">IF(OR($A193="",E$14=""),0,SUMIFS(MVT_NET,MVT_LOT,$A193,MVT_EMPL,E$14))</f>
        <v>0</v>
      </c>
      <c r="F193" s="42" t="n">
        <f aca="false">IF(OR($A193="",F$14=""),0,SUMIFS(MVT_NET,MVT_LOT,$A193,MVT_EMPL,F$14))</f>
        <v>0</v>
      </c>
      <c r="G193" s="42" t="n">
        <f aca="false">IF(OR($A193="",G$14=""),0,SUMIFS(MVT_NET,MVT_LOT,$A193,MVT_EMPL,G$14))</f>
        <v>0</v>
      </c>
      <c r="H193" s="42" t="n">
        <f aca="false">IF(OR($A193="",H$14=""),0,SUMIFS(MVT_NET,MVT_LOT,$A193,MVT_EMPL,H$14))</f>
        <v>0</v>
      </c>
      <c r="I193" s="42" t="n">
        <f aca="false">IF(OR($A193="",I$14=""),0,SUMIFS(MVT_NET,MVT_LOT,$A193,MVT_EMPL,I$14))</f>
        <v>0</v>
      </c>
      <c r="J193" s="42" t="n">
        <f aca="false">IF(OR($A193="",J$14=""),0,SUMIFS(MVT_NET,MVT_LOT,$A193,MVT_EMPL,J$14))</f>
        <v>0</v>
      </c>
      <c r="K193" s="42" t="n">
        <f aca="false">IF(OR($A193="",K$14=""),0,SUMIFS(MVT_NET,MVT_LOT,$A193,MVT_EMPL,K$14))</f>
        <v>0</v>
      </c>
      <c r="L193" s="42" t="n">
        <f aca="false">IF(OR($A193="",L$14=""),0,SUMIFS(MVT_NET,MVT_LOT,$A193,MVT_EMPL,L$14))</f>
        <v>0</v>
      </c>
      <c r="M193" s="42" t="n">
        <f aca="false">IF(OR($A193="",M$14=""),0,SUMIFS(MVT_NET,MVT_LOT,$A193,MVT_EMPL,M$14))</f>
        <v>0</v>
      </c>
      <c r="N193" s="43" t="n">
        <f aca="false">SUM($B193:$M193)</f>
        <v>0</v>
      </c>
      <c r="O193" s="44" t="n">
        <f aca="false">SUMPRODUCT(($B$13:$M$13="INTERNE")*$B193:$M193)</f>
        <v>0</v>
      </c>
      <c r="P193" s="44" t="n">
        <f aca="false">SUMPRODUCT(($B$13:$M$13="EXTERNE")*$B193:$M193)</f>
        <v>0</v>
      </c>
      <c r="Q193" s="44" t="n">
        <f aca="false">IF($A193="",0,SUMIFS(ST_ENCOURS,ST_LOT,$A193))</f>
        <v>0</v>
      </c>
      <c r="R193" s="45" t="str">
        <f aca="false">IF($A193="","",IFERROR(INDEX(LOT_EXTE,MATCH($A193,LOT_KEY,0)),""))</f>
        <v/>
      </c>
      <c r="S193" s="45" t="str">
        <f aca="false">IF($A193="","",IFERROR(INDEX(LOT_DECISION,MATCH($A193,LOT_KEY,0)),""))</f>
        <v/>
      </c>
      <c r="T193" s="44" t="n">
        <f aca="false">IF($S193="BLOQUER",MAX(0,$N193),0)</f>
        <v>0</v>
      </c>
      <c r="U193" s="46" t="str">
        <f aca="false">IF($A193="","",IF($N193&lt;-0.001,"STOCK NEGATIF - ANOMALIE",IF($T193&gt;0,"BLOQUE QUALITE","")))</f>
        <v/>
      </c>
    </row>
    <row r="194" customFormat="false" ht="15" hidden="false" customHeight="false" outlineLevel="0" collapsed="false">
      <c r="A194" s="41" t="str">
        <f aca="false">IF(LOTS!$A184="","",LOTS!$A184)</f>
        <v/>
      </c>
      <c r="B194" s="42" t="n">
        <f aca="false">IF(OR($A194="",B$14=""),0,SUMIFS(MVT_NET,MVT_LOT,$A194,MVT_EMPL,B$14))</f>
        <v>0</v>
      </c>
      <c r="C194" s="42" t="n">
        <f aca="false">IF(OR($A194="",C$14=""),0,SUMIFS(MVT_NET,MVT_LOT,$A194,MVT_EMPL,C$14))</f>
        <v>0</v>
      </c>
      <c r="D194" s="42" t="n">
        <f aca="false">IF(OR($A194="",D$14=""),0,SUMIFS(MVT_NET,MVT_LOT,$A194,MVT_EMPL,D$14))</f>
        <v>0</v>
      </c>
      <c r="E194" s="42" t="n">
        <f aca="false">IF(OR($A194="",E$14=""),0,SUMIFS(MVT_NET,MVT_LOT,$A194,MVT_EMPL,E$14))</f>
        <v>0</v>
      </c>
      <c r="F194" s="42" t="n">
        <f aca="false">IF(OR($A194="",F$14=""),0,SUMIFS(MVT_NET,MVT_LOT,$A194,MVT_EMPL,F$14))</f>
        <v>0</v>
      </c>
      <c r="G194" s="42" t="n">
        <f aca="false">IF(OR($A194="",G$14=""),0,SUMIFS(MVT_NET,MVT_LOT,$A194,MVT_EMPL,G$14))</f>
        <v>0</v>
      </c>
      <c r="H194" s="42" t="n">
        <f aca="false">IF(OR($A194="",H$14=""),0,SUMIFS(MVT_NET,MVT_LOT,$A194,MVT_EMPL,H$14))</f>
        <v>0</v>
      </c>
      <c r="I194" s="42" t="n">
        <f aca="false">IF(OR($A194="",I$14=""),0,SUMIFS(MVT_NET,MVT_LOT,$A194,MVT_EMPL,I$14))</f>
        <v>0</v>
      </c>
      <c r="J194" s="42" t="n">
        <f aca="false">IF(OR($A194="",J$14=""),0,SUMIFS(MVT_NET,MVT_LOT,$A194,MVT_EMPL,J$14))</f>
        <v>0</v>
      </c>
      <c r="K194" s="42" t="n">
        <f aca="false">IF(OR($A194="",K$14=""),0,SUMIFS(MVT_NET,MVT_LOT,$A194,MVT_EMPL,K$14))</f>
        <v>0</v>
      </c>
      <c r="L194" s="42" t="n">
        <f aca="false">IF(OR($A194="",L$14=""),0,SUMIFS(MVT_NET,MVT_LOT,$A194,MVT_EMPL,L$14))</f>
        <v>0</v>
      </c>
      <c r="M194" s="42" t="n">
        <f aca="false">IF(OR($A194="",M$14=""),0,SUMIFS(MVT_NET,MVT_LOT,$A194,MVT_EMPL,M$14))</f>
        <v>0</v>
      </c>
      <c r="N194" s="43" t="n">
        <f aca="false">SUM($B194:$M194)</f>
        <v>0</v>
      </c>
      <c r="O194" s="44" t="n">
        <f aca="false">SUMPRODUCT(($B$13:$M$13="INTERNE")*$B194:$M194)</f>
        <v>0</v>
      </c>
      <c r="P194" s="44" t="n">
        <f aca="false">SUMPRODUCT(($B$13:$M$13="EXTERNE")*$B194:$M194)</f>
        <v>0</v>
      </c>
      <c r="Q194" s="44" t="n">
        <f aca="false">IF($A194="",0,SUMIFS(ST_ENCOURS,ST_LOT,$A194))</f>
        <v>0</v>
      </c>
      <c r="R194" s="45" t="str">
        <f aca="false">IF($A194="","",IFERROR(INDEX(LOT_EXTE,MATCH($A194,LOT_KEY,0)),""))</f>
        <v/>
      </c>
      <c r="S194" s="45" t="str">
        <f aca="false">IF($A194="","",IFERROR(INDEX(LOT_DECISION,MATCH($A194,LOT_KEY,0)),""))</f>
        <v/>
      </c>
      <c r="T194" s="44" t="n">
        <f aca="false">IF($S194="BLOQUER",MAX(0,$N194),0)</f>
        <v>0</v>
      </c>
      <c r="U194" s="46" t="str">
        <f aca="false">IF($A194="","",IF($N194&lt;-0.001,"STOCK NEGATIF - ANOMALIE",IF($T194&gt;0,"BLOQUE QUALITE","")))</f>
        <v/>
      </c>
    </row>
    <row r="195" customFormat="false" ht="15" hidden="false" customHeight="false" outlineLevel="0" collapsed="false">
      <c r="A195" s="41" t="str">
        <f aca="false">IF(LOTS!$A185="","",LOTS!$A185)</f>
        <v/>
      </c>
      <c r="B195" s="42" t="n">
        <f aca="false">IF(OR($A195="",B$14=""),0,SUMIFS(MVT_NET,MVT_LOT,$A195,MVT_EMPL,B$14))</f>
        <v>0</v>
      </c>
      <c r="C195" s="42" t="n">
        <f aca="false">IF(OR($A195="",C$14=""),0,SUMIFS(MVT_NET,MVT_LOT,$A195,MVT_EMPL,C$14))</f>
        <v>0</v>
      </c>
      <c r="D195" s="42" t="n">
        <f aca="false">IF(OR($A195="",D$14=""),0,SUMIFS(MVT_NET,MVT_LOT,$A195,MVT_EMPL,D$14))</f>
        <v>0</v>
      </c>
      <c r="E195" s="42" t="n">
        <f aca="false">IF(OR($A195="",E$14=""),0,SUMIFS(MVT_NET,MVT_LOT,$A195,MVT_EMPL,E$14))</f>
        <v>0</v>
      </c>
      <c r="F195" s="42" t="n">
        <f aca="false">IF(OR($A195="",F$14=""),0,SUMIFS(MVT_NET,MVT_LOT,$A195,MVT_EMPL,F$14))</f>
        <v>0</v>
      </c>
      <c r="G195" s="42" t="n">
        <f aca="false">IF(OR($A195="",G$14=""),0,SUMIFS(MVT_NET,MVT_LOT,$A195,MVT_EMPL,G$14))</f>
        <v>0</v>
      </c>
      <c r="H195" s="42" t="n">
        <f aca="false">IF(OR($A195="",H$14=""),0,SUMIFS(MVT_NET,MVT_LOT,$A195,MVT_EMPL,H$14))</f>
        <v>0</v>
      </c>
      <c r="I195" s="42" t="n">
        <f aca="false">IF(OR($A195="",I$14=""),0,SUMIFS(MVT_NET,MVT_LOT,$A195,MVT_EMPL,I$14))</f>
        <v>0</v>
      </c>
      <c r="J195" s="42" t="n">
        <f aca="false">IF(OR($A195="",J$14=""),0,SUMIFS(MVT_NET,MVT_LOT,$A195,MVT_EMPL,J$14))</f>
        <v>0</v>
      </c>
      <c r="K195" s="42" t="n">
        <f aca="false">IF(OR($A195="",K$14=""),0,SUMIFS(MVT_NET,MVT_LOT,$A195,MVT_EMPL,K$14))</f>
        <v>0</v>
      </c>
      <c r="L195" s="42" t="n">
        <f aca="false">IF(OR($A195="",L$14=""),0,SUMIFS(MVT_NET,MVT_LOT,$A195,MVT_EMPL,L$14))</f>
        <v>0</v>
      </c>
      <c r="M195" s="42" t="n">
        <f aca="false">IF(OR($A195="",M$14=""),0,SUMIFS(MVT_NET,MVT_LOT,$A195,MVT_EMPL,M$14))</f>
        <v>0</v>
      </c>
      <c r="N195" s="43" t="n">
        <f aca="false">SUM($B195:$M195)</f>
        <v>0</v>
      </c>
      <c r="O195" s="44" t="n">
        <f aca="false">SUMPRODUCT(($B$13:$M$13="INTERNE")*$B195:$M195)</f>
        <v>0</v>
      </c>
      <c r="P195" s="44" t="n">
        <f aca="false">SUMPRODUCT(($B$13:$M$13="EXTERNE")*$B195:$M195)</f>
        <v>0</v>
      </c>
      <c r="Q195" s="44" t="n">
        <f aca="false">IF($A195="",0,SUMIFS(ST_ENCOURS,ST_LOT,$A195))</f>
        <v>0</v>
      </c>
      <c r="R195" s="45" t="str">
        <f aca="false">IF($A195="","",IFERROR(INDEX(LOT_EXTE,MATCH($A195,LOT_KEY,0)),""))</f>
        <v/>
      </c>
      <c r="S195" s="45" t="str">
        <f aca="false">IF($A195="","",IFERROR(INDEX(LOT_DECISION,MATCH($A195,LOT_KEY,0)),""))</f>
        <v/>
      </c>
      <c r="T195" s="44" t="n">
        <f aca="false">IF($S195="BLOQUER",MAX(0,$N195),0)</f>
        <v>0</v>
      </c>
      <c r="U195" s="46" t="str">
        <f aca="false">IF($A195="","",IF($N195&lt;-0.001,"STOCK NEGATIF - ANOMALIE",IF($T195&gt;0,"BLOQUE QUALITE","")))</f>
        <v/>
      </c>
    </row>
    <row r="196" customFormat="false" ht="15" hidden="false" customHeight="false" outlineLevel="0" collapsed="false">
      <c r="A196" s="41" t="str">
        <f aca="false">IF(LOTS!$A186="","",LOTS!$A186)</f>
        <v/>
      </c>
      <c r="B196" s="42" t="n">
        <f aca="false">IF(OR($A196="",B$14=""),0,SUMIFS(MVT_NET,MVT_LOT,$A196,MVT_EMPL,B$14))</f>
        <v>0</v>
      </c>
      <c r="C196" s="42" t="n">
        <f aca="false">IF(OR($A196="",C$14=""),0,SUMIFS(MVT_NET,MVT_LOT,$A196,MVT_EMPL,C$14))</f>
        <v>0</v>
      </c>
      <c r="D196" s="42" t="n">
        <f aca="false">IF(OR($A196="",D$14=""),0,SUMIFS(MVT_NET,MVT_LOT,$A196,MVT_EMPL,D$14))</f>
        <v>0</v>
      </c>
      <c r="E196" s="42" t="n">
        <f aca="false">IF(OR($A196="",E$14=""),0,SUMIFS(MVT_NET,MVT_LOT,$A196,MVT_EMPL,E$14))</f>
        <v>0</v>
      </c>
      <c r="F196" s="42" t="n">
        <f aca="false">IF(OR($A196="",F$14=""),0,SUMIFS(MVT_NET,MVT_LOT,$A196,MVT_EMPL,F$14))</f>
        <v>0</v>
      </c>
      <c r="G196" s="42" t="n">
        <f aca="false">IF(OR($A196="",G$14=""),0,SUMIFS(MVT_NET,MVT_LOT,$A196,MVT_EMPL,G$14))</f>
        <v>0</v>
      </c>
      <c r="H196" s="42" t="n">
        <f aca="false">IF(OR($A196="",H$14=""),0,SUMIFS(MVT_NET,MVT_LOT,$A196,MVT_EMPL,H$14))</f>
        <v>0</v>
      </c>
      <c r="I196" s="42" t="n">
        <f aca="false">IF(OR($A196="",I$14=""),0,SUMIFS(MVT_NET,MVT_LOT,$A196,MVT_EMPL,I$14))</f>
        <v>0</v>
      </c>
      <c r="J196" s="42" t="n">
        <f aca="false">IF(OR($A196="",J$14=""),0,SUMIFS(MVT_NET,MVT_LOT,$A196,MVT_EMPL,J$14))</f>
        <v>0</v>
      </c>
      <c r="K196" s="42" t="n">
        <f aca="false">IF(OR($A196="",K$14=""),0,SUMIFS(MVT_NET,MVT_LOT,$A196,MVT_EMPL,K$14))</f>
        <v>0</v>
      </c>
      <c r="L196" s="42" t="n">
        <f aca="false">IF(OR($A196="",L$14=""),0,SUMIFS(MVT_NET,MVT_LOT,$A196,MVT_EMPL,L$14))</f>
        <v>0</v>
      </c>
      <c r="M196" s="42" t="n">
        <f aca="false">IF(OR($A196="",M$14=""),0,SUMIFS(MVT_NET,MVT_LOT,$A196,MVT_EMPL,M$14))</f>
        <v>0</v>
      </c>
      <c r="N196" s="43" t="n">
        <f aca="false">SUM($B196:$M196)</f>
        <v>0</v>
      </c>
      <c r="O196" s="44" t="n">
        <f aca="false">SUMPRODUCT(($B$13:$M$13="INTERNE")*$B196:$M196)</f>
        <v>0</v>
      </c>
      <c r="P196" s="44" t="n">
        <f aca="false">SUMPRODUCT(($B$13:$M$13="EXTERNE")*$B196:$M196)</f>
        <v>0</v>
      </c>
      <c r="Q196" s="44" t="n">
        <f aca="false">IF($A196="",0,SUMIFS(ST_ENCOURS,ST_LOT,$A196))</f>
        <v>0</v>
      </c>
      <c r="R196" s="45" t="str">
        <f aca="false">IF($A196="","",IFERROR(INDEX(LOT_EXTE,MATCH($A196,LOT_KEY,0)),""))</f>
        <v/>
      </c>
      <c r="S196" s="45" t="str">
        <f aca="false">IF($A196="","",IFERROR(INDEX(LOT_DECISION,MATCH($A196,LOT_KEY,0)),""))</f>
        <v/>
      </c>
      <c r="T196" s="44" t="n">
        <f aca="false">IF($S196="BLOQUER",MAX(0,$N196),0)</f>
        <v>0</v>
      </c>
      <c r="U196" s="46" t="str">
        <f aca="false">IF($A196="","",IF($N196&lt;-0.001,"STOCK NEGATIF - ANOMALIE",IF($T196&gt;0,"BLOQUE QUALITE","")))</f>
        <v/>
      </c>
    </row>
    <row r="197" customFormat="false" ht="15" hidden="false" customHeight="false" outlineLevel="0" collapsed="false">
      <c r="A197" s="41" t="str">
        <f aca="false">IF(LOTS!$A187="","",LOTS!$A187)</f>
        <v/>
      </c>
      <c r="B197" s="42" t="n">
        <f aca="false">IF(OR($A197="",B$14=""),0,SUMIFS(MVT_NET,MVT_LOT,$A197,MVT_EMPL,B$14))</f>
        <v>0</v>
      </c>
      <c r="C197" s="42" t="n">
        <f aca="false">IF(OR($A197="",C$14=""),0,SUMIFS(MVT_NET,MVT_LOT,$A197,MVT_EMPL,C$14))</f>
        <v>0</v>
      </c>
      <c r="D197" s="42" t="n">
        <f aca="false">IF(OR($A197="",D$14=""),0,SUMIFS(MVT_NET,MVT_LOT,$A197,MVT_EMPL,D$14))</f>
        <v>0</v>
      </c>
      <c r="E197" s="42" t="n">
        <f aca="false">IF(OR($A197="",E$14=""),0,SUMIFS(MVT_NET,MVT_LOT,$A197,MVT_EMPL,E$14))</f>
        <v>0</v>
      </c>
      <c r="F197" s="42" t="n">
        <f aca="false">IF(OR($A197="",F$14=""),0,SUMIFS(MVT_NET,MVT_LOT,$A197,MVT_EMPL,F$14))</f>
        <v>0</v>
      </c>
      <c r="G197" s="42" t="n">
        <f aca="false">IF(OR($A197="",G$14=""),0,SUMIFS(MVT_NET,MVT_LOT,$A197,MVT_EMPL,G$14))</f>
        <v>0</v>
      </c>
      <c r="H197" s="42" t="n">
        <f aca="false">IF(OR($A197="",H$14=""),0,SUMIFS(MVT_NET,MVT_LOT,$A197,MVT_EMPL,H$14))</f>
        <v>0</v>
      </c>
      <c r="I197" s="42" t="n">
        <f aca="false">IF(OR($A197="",I$14=""),0,SUMIFS(MVT_NET,MVT_LOT,$A197,MVT_EMPL,I$14))</f>
        <v>0</v>
      </c>
      <c r="J197" s="42" t="n">
        <f aca="false">IF(OR($A197="",J$14=""),0,SUMIFS(MVT_NET,MVT_LOT,$A197,MVT_EMPL,J$14))</f>
        <v>0</v>
      </c>
      <c r="K197" s="42" t="n">
        <f aca="false">IF(OR($A197="",K$14=""),0,SUMIFS(MVT_NET,MVT_LOT,$A197,MVT_EMPL,K$14))</f>
        <v>0</v>
      </c>
      <c r="L197" s="42" t="n">
        <f aca="false">IF(OR($A197="",L$14=""),0,SUMIFS(MVT_NET,MVT_LOT,$A197,MVT_EMPL,L$14))</f>
        <v>0</v>
      </c>
      <c r="M197" s="42" t="n">
        <f aca="false">IF(OR($A197="",M$14=""),0,SUMIFS(MVT_NET,MVT_LOT,$A197,MVT_EMPL,M$14))</f>
        <v>0</v>
      </c>
      <c r="N197" s="43" t="n">
        <f aca="false">SUM($B197:$M197)</f>
        <v>0</v>
      </c>
      <c r="O197" s="44" t="n">
        <f aca="false">SUMPRODUCT(($B$13:$M$13="INTERNE")*$B197:$M197)</f>
        <v>0</v>
      </c>
      <c r="P197" s="44" t="n">
        <f aca="false">SUMPRODUCT(($B$13:$M$13="EXTERNE")*$B197:$M197)</f>
        <v>0</v>
      </c>
      <c r="Q197" s="44" t="n">
        <f aca="false">IF($A197="",0,SUMIFS(ST_ENCOURS,ST_LOT,$A197))</f>
        <v>0</v>
      </c>
      <c r="R197" s="45" t="str">
        <f aca="false">IF($A197="","",IFERROR(INDEX(LOT_EXTE,MATCH($A197,LOT_KEY,0)),""))</f>
        <v/>
      </c>
      <c r="S197" s="45" t="str">
        <f aca="false">IF($A197="","",IFERROR(INDEX(LOT_DECISION,MATCH($A197,LOT_KEY,0)),""))</f>
        <v/>
      </c>
      <c r="T197" s="44" t="n">
        <f aca="false">IF($S197="BLOQUER",MAX(0,$N197),0)</f>
        <v>0</v>
      </c>
      <c r="U197" s="46" t="str">
        <f aca="false">IF($A197="","",IF($N197&lt;-0.001,"STOCK NEGATIF - ANOMALIE",IF($T197&gt;0,"BLOQUE QUALITE","")))</f>
        <v/>
      </c>
    </row>
    <row r="198" customFormat="false" ht="15" hidden="false" customHeight="false" outlineLevel="0" collapsed="false">
      <c r="A198" s="41" t="str">
        <f aca="false">IF(LOTS!$A188="","",LOTS!$A188)</f>
        <v/>
      </c>
      <c r="B198" s="42" t="n">
        <f aca="false">IF(OR($A198="",B$14=""),0,SUMIFS(MVT_NET,MVT_LOT,$A198,MVT_EMPL,B$14))</f>
        <v>0</v>
      </c>
      <c r="C198" s="42" t="n">
        <f aca="false">IF(OR($A198="",C$14=""),0,SUMIFS(MVT_NET,MVT_LOT,$A198,MVT_EMPL,C$14))</f>
        <v>0</v>
      </c>
      <c r="D198" s="42" t="n">
        <f aca="false">IF(OR($A198="",D$14=""),0,SUMIFS(MVT_NET,MVT_LOT,$A198,MVT_EMPL,D$14))</f>
        <v>0</v>
      </c>
      <c r="E198" s="42" t="n">
        <f aca="false">IF(OR($A198="",E$14=""),0,SUMIFS(MVT_NET,MVT_LOT,$A198,MVT_EMPL,E$14))</f>
        <v>0</v>
      </c>
      <c r="F198" s="42" t="n">
        <f aca="false">IF(OR($A198="",F$14=""),0,SUMIFS(MVT_NET,MVT_LOT,$A198,MVT_EMPL,F$14))</f>
        <v>0</v>
      </c>
      <c r="G198" s="42" t="n">
        <f aca="false">IF(OR($A198="",G$14=""),0,SUMIFS(MVT_NET,MVT_LOT,$A198,MVT_EMPL,G$14))</f>
        <v>0</v>
      </c>
      <c r="H198" s="42" t="n">
        <f aca="false">IF(OR($A198="",H$14=""),0,SUMIFS(MVT_NET,MVT_LOT,$A198,MVT_EMPL,H$14))</f>
        <v>0</v>
      </c>
      <c r="I198" s="42" t="n">
        <f aca="false">IF(OR($A198="",I$14=""),0,SUMIFS(MVT_NET,MVT_LOT,$A198,MVT_EMPL,I$14))</f>
        <v>0</v>
      </c>
      <c r="J198" s="42" t="n">
        <f aca="false">IF(OR($A198="",J$14=""),0,SUMIFS(MVT_NET,MVT_LOT,$A198,MVT_EMPL,J$14))</f>
        <v>0</v>
      </c>
      <c r="K198" s="42" t="n">
        <f aca="false">IF(OR($A198="",K$14=""),0,SUMIFS(MVT_NET,MVT_LOT,$A198,MVT_EMPL,K$14))</f>
        <v>0</v>
      </c>
      <c r="L198" s="42" t="n">
        <f aca="false">IF(OR($A198="",L$14=""),0,SUMIFS(MVT_NET,MVT_LOT,$A198,MVT_EMPL,L$14))</f>
        <v>0</v>
      </c>
      <c r="M198" s="42" t="n">
        <f aca="false">IF(OR($A198="",M$14=""),0,SUMIFS(MVT_NET,MVT_LOT,$A198,MVT_EMPL,M$14))</f>
        <v>0</v>
      </c>
      <c r="N198" s="43" t="n">
        <f aca="false">SUM($B198:$M198)</f>
        <v>0</v>
      </c>
      <c r="O198" s="44" t="n">
        <f aca="false">SUMPRODUCT(($B$13:$M$13="INTERNE")*$B198:$M198)</f>
        <v>0</v>
      </c>
      <c r="P198" s="44" t="n">
        <f aca="false">SUMPRODUCT(($B$13:$M$13="EXTERNE")*$B198:$M198)</f>
        <v>0</v>
      </c>
      <c r="Q198" s="44" t="n">
        <f aca="false">IF($A198="",0,SUMIFS(ST_ENCOURS,ST_LOT,$A198))</f>
        <v>0</v>
      </c>
      <c r="R198" s="45" t="str">
        <f aca="false">IF($A198="","",IFERROR(INDEX(LOT_EXTE,MATCH($A198,LOT_KEY,0)),""))</f>
        <v/>
      </c>
      <c r="S198" s="45" t="str">
        <f aca="false">IF($A198="","",IFERROR(INDEX(LOT_DECISION,MATCH($A198,LOT_KEY,0)),""))</f>
        <v/>
      </c>
      <c r="T198" s="44" t="n">
        <f aca="false">IF($S198="BLOQUER",MAX(0,$N198),0)</f>
        <v>0</v>
      </c>
      <c r="U198" s="46" t="str">
        <f aca="false">IF($A198="","",IF($N198&lt;-0.001,"STOCK NEGATIF - ANOMALIE",IF($T198&gt;0,"BLOQUE QUALITE","")))</f>
        <v/>
      </c>
    </row>
    <row r="199" customFormat="false" ht="15" hidden="false" customHeight="false" outlineLevel="0" collapsed="false">
      <c r="A199" s="41" t="str">
        <f aca="false">IF(LOTS!$A189="","",LOTS!$A189)</f>
        <v/>
      </c>
      <c r="B199" s="42" t="n">
        <f aca="false">IF(OR($A199="",B$14=""),0,SUMIFS(MVT_NET,MVT_LOT,$A199,MVT_EMPL,B$14))</f>
        <v>0</v>
      </c>
      <c r="C199" s="42" t="n">
        <f aca="false">IF(OR($A199="",C$14=""),0,SUMIFS(MVT_NET,MVT_LOT,$A199,MVT_EMPL,C$14))</f>
        <v>0</v>
      </c>
      <c r="D199" s="42" t="n">
        <f aca="false">IF(OR($A199="",D$14=""),0,SUMIFS(MVT_NET,MVT_LOT,$A199,MVT_EMPL,D$14))</f>
        <v>0</v>
      </c>
      <c r="E199" s="42" t="n">
        <f aca="false">IF(OR($A199="",E$14=""),0,SUMIFS(MVT_NET,MVT_LOT,$A199,MVT_EMPL,E$14))</f>
        <v>0</v>
      </c>
      <c r="F199" s="42" t="n">
        <f aca="false">IF(OR($A199="",F$14=""),0,SUMIFS(MVT_NET,MVT_LOT,$A199,MVT_EMPL,F$14))</f>
        <v>0</v>
      </c>
      <c r="G199" s="42" t="n">
        <f aca="false">IF(OR($A199="",G$14=""),0,SUMIFS(MVT_NET,MVT_LOT,$A199,MVT_EMPL,G$14))</f>
        <v>0</v>
      </c>
      <c r="H199" s="42" t="n">
        <f aca="false">IF(OR($A199="",H$14=""),0,SUMIFS(MVT_NET,MVT_LOT,$A199,MVT_EMPL,H$14))</f>
        <v>0</v>
      </c>
      <c r="I199" s="42" t="n">
        <f aca="false">IF(OR($A199="",I$14=""),0,SUMIFS(MVT_NET,MVT_LOT,$A199,MVT_EMPL,I$14))</f>
        <v>0</v>
      </c>
      <c r="J199" s="42" t="n">
        <f aca="false">IF(OR($A199="",J$14=""),0,SUMIFS(MVT_NET,MVT_LOT,$A199,MVT_EMPL,J$14))</f>
        <v>0</v>
      </c>
      <c r="K199" s="42" t="n">
        <f aca="false">IF(OR($A199="",K$14=""),0,SUMIFS(MVT_NET,MVT_LOT,$A199,MVT_EMPL,K$14))</f>
        <v>0</v>
      </c>
      <c r="L199" s="42" t="n">
        <f aca="false">IF(OR($A199="",L$14=""),0,SUMIFS(MVT_NET,MVT_LOT,$A199,MVT_EMPL,L$14))</f>
        <v>0</v>
      </c>
      <c r="M199" s="42" t="n">
        <f aca="false">IF(OR($A199="",M$14=""),0,SUMIFS(MVT_NET,MVT_LOT,$A199,MVT_EMPL,M$14))</f>
        <v>0</v>
      </c>
      <c r="N199" s="43" t="n">
        <f aca="false">SUM($B199:$M199)</f>
        <v>0</v>
      </c>
      <c r="O199" s="44" t="n">
        <f aca="false">SUMPRODUCT(($B$13:$M$13="INTERNE")*$B199:$M199)</f>
        <v>0</v>
      </c>
      <c r="P199" s="44" t="n">
        <f aca="false">SUMPRODUCT(($B$13:$M$13="EXTERNE")*$B199:$M199)</f>
        <v>0</v>
      </c>
      <c r="Q199" s="44" t="n">
        <f aca="false">IF($A199="",0,SUMIFS(ST_ENCOURS,ST_LOT,$A199))</f>
        <v>0</v>
      </c>
      <c r="R199" s="45" t="str">
        <f aca="false">IF($A199="","",IFERROR(INDEX(LOT_EXTE,MATCH($A199,LOT_KEY,0)),""))</f>
        <v/>
      </c>
      <c r="S199" s="45" t="str">
        <f aca="false">IF($A199="","",IFERROR(INDEX(LOT_DECISION,MATCH($A199,LOT_KEY,0)),""))</f>
        <v/>
      </c>
      <c r="T199" s="44" t="n">
        <f aca="false">IF($S199="BLOQUER",MAX(0,$N199),0)</f>
        <v>0</v>
      </c>
      <c r="U199" s="46" t="str">
        <f aca="false">IF($A199="","",IF($N199&lt;-0.001,"STOCK NEGATIF - ANOMALIE",IF($T199&gt;0,"BLOQUE QUALITE","")))</f>
        <v/>
      </c>
    </row>
    <row r="200" customFormat="false" ht="15" hidden="false" customHeight="false" outlineLevel="0" collapsed="false">
      <c r="A200" s="41" t="str">
        <f aca="false">IF(LOTS!$A190="","",LOTS!$A190)</f>
        <v/>
      </c>
      <c r="B200" s="42" t="n">
        <f aca="false">IF(OR($A200="",B$14=""),0,SUMIFS(MVT_NET,MVT_LOT,$A200,MVT_EMPL,B$14))</f>
        <v>0</v>
      </c>
      <c r="C200" s="42" t="n">
        <f aca="false">IF(OR($A200="",C$14=""),0,SUMIFS(MVT_NET,MVT_LOT,$A200,MVT_EMPL,C$14))</f>
        <v>0</v>
      </c>
      <c r="D200" s="42" t="n">
        <f aca="false">IF(OR($A200="",D$14=""),0,SUMIFS(MVT_NET,MVT_LOT,$A200,MVT_EMPL,D$14))</f>
        <v>0</v>
      </c>
      <c r="E200" s="42" t="n">
        <f aca="false">IF(OR($A200="",E$14=""),0,SUMIFS(MVT_NET,MVT_LOT,$A200,MVT_EMPL,E$14))</f>
        <v>0</v>
      </c>
      <c r="F200" s="42" t="n">
        <f aca="false">IF(OR($A200="",F$14=""),0,SUMIFS(MVT_NET,MVT_LOT,$A200,MVT_EMPL,F$14))</f>
        <v>0</v>
      </c>
      <c r="G200" s="42" t="n">
        <f aca="false">IF(OR($A200="",G$14=""),0,SUMIFS(MVT_NET,MVT_LOT,$A200,MVT_EMPL,G$14))</f>
        <v>0</v>
      </c>
      <c r="H200" s="42" t="n">
        <f aca="false">IF(OR($A200="",H$14=""),0,SUMIFS(MVT_NET,MVT_LOT,$A200,MVT_EMPL,H$14))</f>
        <v>0</v>
      </c>
      <c r="I200" s="42" t="n">
        <f aca="false">IF(OR($A200="",I$14=""),0,SUMIFS(MVT_NET,MVT_LOT,$A200,MVT_EMPL,I$14))</f>
        <v>0</v>
      </c>
      <c r="J200" s="42" t="n">
        <f aca="false">IF(OR($A200="",J$14=""),0,SUMIFS(MVT_NET,MVT_LOT,$A200,MVT_EMPL,J$14))</f>
        <v>0</v>
      </c>
      <c r="K200" s="42" t="n">
        <f aca="false">IF(OR($A200="",K$14=""),0,SUMIFS(MVT_NET,MVT_LOT,$A200,MVT_EMPL,K$14))</f>
        <v>0</v>
      </c>
      <c r="L200" s="42" t="n">
        <f aca="false">IF(OR($A200="",L$14=""),0,SUMIFS(MVT_NET,MVT_LOT,$A200,MVT_EMPL,L$14))</f>
        <v>0</v>
      </c>
      <c r="M200" s="42" t="n">
        <f aca="false">IF(OR($A200="",M$14=""),0,SUMIFS(MVT_NET,MVT_LOT,$A200,MVT_EMPL,M$14))</f>
        <v>0</v>
      </c>
      <c r="N200" s="43" t="n">
        <f aca="false">SUM($B200:$M200)</f>
        <v>0</v>
      </c>
      <c r="O200" s="44" t="n">
        <f aca="false">SUMPRODUCT(($B$13:$M$13="INTERNE")*$B200:$M200)</f>
        <v>0</v>
      </c>
      <c r="P200" s="44" t="n">
        <f aca="false">SUMPRODUCT(($B$13:$M$13="EXTERNE")*$B200:$M200)</f>
        <v>0</v>
      </c>
      <c r="Q200" s="44" t="n">
        <f aca="false">IF($A200="",0,SUMIFS(ST_ENCOURS,ST_LOT,$A200))</f>
        <v>0</v>
      </c>
      <c r="R200" s="45" t="str">
        <f aca="false">IF($A200="","",IFERROR(INDEX(LOT_EXTE,MATCH($A200,LOT_KEY,0)),""))</f>
        <v/>
      </c>
      <c r="S200" s="45" t="str">
        <f aca="false">IF($A200="","",IFERROR(INDEX(LOT_DECISION,MATCH($A200,LOT_KEY,0)),""))</f>
        <v/>
      </c>
      <c r="T200" s="44" t="n">
        <f aca="false">IF($S200="BLOQUER",MAX(0,$N200),0)</f>
        <v>0</v>
      </c>
      <c r="U200" s="46" t="str">
        <f aca="false">IF($A200="","",IF($N200&lt;-0.001,"STOCK NEGATIF - ANOMALIE",IF($T200&gt;0,"BLOQUE QUALITE","")))</f>
        <v/>
      </c>
    </row>
    <row r="201" customFormat="false" ht="15" hidden="false" customHeight="false" outlineLevel="0" collapsed="false">
      <c r="A201" s="41" t="str">
        <f aca="false">IF(LOTS!$A191="","",LOTS!$A191)</f>
        <v/>
      </c>
      <c r="B201" s="42" t="n">
        <f aca="false">IF(OR($A201="",B$14=""),0,SUMIFS(MVT_NET,MVT_LOT,$A201,MVT_EMPL,B$14))</f>
        <v>0</v>
      </c>
      <c r="C201" s="42" t="n">
        <f aca="false">IF(OR($A201="",C$14=""),0,SUMIFS(MVT_NET,MVT_LOT,$A201,MVT_EMPL,C$14))</f>
        <v>0</v>
      </c>
      <c r="D201" s="42" t="n">
        <f aca="false">IF(OR($A201="",D$14=""),0,SUMIFS(MVT_NET,MVT_LOT,$A201,MVT_EMPL,D$14))</f>
        <v>0</v>
      </c>
      <c r="E201" s="42" t="n">
        <f aca="false">IF(OR($A201="",E$14=""),0,SUMIFS(MVT_NET,MVT_LOT,$A201,MVT_EMPL,E$14))</f>
        <v>0</v>
      </c>
      <c r="F201" s="42" t="n">
        <f aca="false">IF(OR($A201="",F$14=""),0,SUMIFS(MVT_NET,MVT_LOT,$A201,MVT_EMPL,F$14))</f>
        <v>0</v>
      </c>
      <c r="G201" s="42" t="n">
        <f aca="false">IF(OR($A201="",G$14=""),0,SUMIFS(MVT_NET,MVT_LOT,$A201,MVT_EMPL,G$14))</f>
        <v>0</v>
      </c>
      <c r="H201" s="42" t="n">
        <f aca="false">IF(OR($A201="",H$14=""),0,SUMIFS(MVT_NET,MVT_LOT,$A201,MVT_EMPL,H$14))</f>
        <v>0</v>
      </c>
      <c r="I201" s="42" t="n">
        <f aca="false">IF(OR($A201="",I$14=""),0,SUMIFS(MVT_NET,MVT_LOT,$A201,MVT_EMPL,I$14))</f>
        <v>0</v>
      </c>
      <c r="J201" s="42" t="n">
        <f aca="false">IF(OR($A201="",J$14=""),0,SUMIFS(MVT_NET,MVT_LOT,$A201,MVT_EMPL,J$14))</f>
        <v>0</v>
      </c>
      <c r="K201" s="42" t="n">
        <f aca="false">IF(OR($A201="",K$14=""),0,SUMIFS(MVT_NET,MVT_LOT,$A201,MVT_EMPL,K$14))</f>
        <v>0</v>
      </c>
      <c r="L201" s="42" t="n">
        <f aca="false">IF(OR($A201="",L$14=""),0,SUMIFS(MVT_NET,MVT_LOT,$A201,MVT_EMPL,L$14))</f>
        <v>0</v>
      </c>
      <c r="M201" s="42" t="n">
        <f aca="false">IF(OR($A201="",M$14=""),0,SUMIFS(MVT_NET,MVT_LOT,$A201,MVT_EMPL,M$14))</f>
        <v>0</v>
      </c>
      <c r="N201" s="43" t="n">
        <f aca="false">SUM($B201:$M201)</f>
        <v>0</v>
      </c>
      <c r="O201" s="44" t="n">
        <f aca="false">SUMPRODUCT(($B$13:$M$13="INTERNE")*$B201:$M201)</f>
        <v>0</v>
      </c>
      <c r="P201" s="44" t="n">
        <f aca="false">SUMPRODUCT(($B$13:$M$13="EXTERNE")*$B201:$M201)</f>
        <v>0</v>
      </c>
      <c r="Q201" s="44" t="n">
        <f aca="false">IF($A201="",0,SUMIFS(ST_ENCOURS,ST_LOT,$A201))</f>
        <v>0</v>
      </c>
      <c r="R201" s="45" t="str">
        <f aca="false">IF($A201="","",IFERROR(INDEX(LOT_EXTE,MATCH($A201,LOT_KEY,0)),""))</f>
        <v/>
      </c>
      <c r="S201" s="45" t="str">
        <f aca="false">IF($A201="","",IFERROR(INDEX(LOT_DECISION,MATCH($A201,LOT_KEY,0)),""))</f>
        <v/>
      </c>
      <c r="T201" s="44" t="n">
        <f aca="false">IF($S201="BLOQUER",MAX(0,$N201),0)</f>
        <v>0</v>
      </c>
      <c r="U201" s="46" t="str">
        <f aca="false">IF($A201="","",IF($N201&lt;-0.001,"STOCK NEGATIF - ANOMALIE",IF($T201&gt;0,"BLOQUE QUALITE","")))</f>
        <v/>
      </c>
    </row>
    <row r="202" customFormat="false" ht="15" hidden="false" customHeight="false" outlineLevel="0" collapsed="false">
      <c r="A202" s="41" t="str">
        <f aca="false">IF(LOTS!$A192="","",LOTS!$A192)</f>
        <v/>
      </c>
      <c r="B202" s="42" t="n">
        <f aca="false">IF(OR($A202="",B$14=""),0,SUMIFS(MVT_NET,MVT_LOT,$A202,MVT_EMPL,B$14))</f>
        <v>0</v>
      </c>
      <c r="C202" s="42" t="n">
        <f aca="false">IF(OR($A202="",C$14=""),0,SUMIFS(MVT_NET,MVT_LOT,$A202,MVT_EMPL,C$14))</f>
        <v>0</v>
      </c>
      <c r="D202" s="42" t="n">
        <f aca="false">IF(OR($A202="",D$14=""),0,SUMIFS(MVT_NET,MVT_LOT,$A202,MVT_EMPL,D$14))</f>
        <v>0</v>
      </c>
      <c r="E202" s="42" t="n">
        <f aca="false">IF(OR($A202="",E$14=""),0,SUMIFS(MVT_NET,MVT_LOT,$A202,MVT_EMPL,E$14))</f>
        <v>0</v>
      </c>
      <c r="F202" s="42" t="n">
        <f aca="false">IF(OR($A202="",F$14=""),0,SUMIFS(MVT_NET,MVT_LOT,$A202,MVT_EMPL,F$14))</f>
        <v>0</v>
      </c>
      <c r="G202" s="42" t="n">
        <f aca="false">IF(OR($A202="",G$14=""),0,SUMIFS(MVT_NET,MVT_LOT,$A202,MVT_EMPL,G$14))</f>
        <v>0</v>
      </c>
      <c r="H202" s="42" t="n">
        <f aca="false">IF(OR($A202="",H$14=""),0,SUMIFS(MVT_NET,MVT_LOT,$A202,MVT_EMPL,H$14))</f>
        <v>0</v>
      </c>
      <c r="I202" s="42" t="n">
        <f aca="false">IF(OR($A202="",I$14=""),0,SUMIFS(MVT_NET,MVT_LOT,$A202,MVT_EMPL,I$14))</f>
        <v>0</v>
      </c>
      <c r="J202" s="42" t="n">
        <f aca="false">IF(OR($A202="",J$14=""),0,SUMIFS(MVT_NET,MVT_LOT,$A202,MVT_EMPL,J$14))</f>
        <v>0</v>
      </c>
      <c r="K202" s="42" t="n">
        <f aca="false">IF(OR($A202="",K$14=""),0,SUMIFS(MVT_NET,MVT_LOT,$A202,MVT_EMPL,K$14))</f>
        <v>0</v>
      </c>
      <c r="L202" s="42" t="n">
        <f aca="false">IF(OR($A202="",L$14=""),0,SUMIFS(MVT_NET,MVT_LOT,$A202,MVT_EMPL,L$14))</f>
        <v>0</v>
      </c>
      <c r="M202" s="42" t="n">
        <f aca="false">IF(OR($A202="",M$14=""),0,SUMIFS(MVT_NET,MVT_LOT,$A202,MVT_EMPL,M$14))</f>
        <v>0</v>
      </c>
      <c r="N202" s="43" t="n">
        <f aca="false">SUM($B202:$M202)</f>
        <v>0</v>
      </c>
      <c r="O202" s="44" t="n">
        <f aca="false">SUMPRODUCT(($B$13:$M$13="INTERNE")*$B202:$M202)</f>
        <v>0</v>
      </c>
      <c r="P202" s="44" t="n">
        <f aca="false">SUMPRODUCT(($B$13:$M$13="EXTERNE")*$B202:$M202)</f>
        <v>0</v>
      </c>
      <c r="Q202" s="44" t="n">
        <f aca="false">IF($A202="",0,SUMIFS(ST_ENCOURS,ST_LOT,$A202))</f>
        <v>0</v>
      </c>
      <c r="R202" s="45" t="str">
        <f aca="false">IF($A202="","",IFERROR(INDEX(LOT_EXTE,MATCH($A202,LOT_KEY,0)),""))</f>
        <v/>
      </c>
      <c r="S202" s="45" t="str">
        <f aca="false">IF($A202="","",IFERROR(INDEX(LOT_DECISION,MATCH($A202,LOT_KEY,0)),""))</f>
        <v/>
      </c>
      <c r="T202" s="44" t="n">
        <f aca="false">IF($S202="BLOQUER",MAX(0,$N202),0)</f>
        <v>0</v>
      </c>
      <c r="U202" s="46" t="str">
        <f aca="false">IF($A202="","",IF($N202&lt;-0.001,"STOCK NEGATIF - ANOMALIE",IF($T202&gt;0,"BLOQUE QUALITE","")))</f>
        <v/>
      </c>
    </row>
    <row r="203" customFormat="false" ht="15" hidden="false" customHeight="false" outlineLevel="0" collapsed="false">
      <c r="A203" s="41" t="str">
        <f aca="false">IF(LOTS!$A193="","",LOTS!$A193)</f>
        <v/>
      </c>
      <c r="B203" s="42" t="n">
        <f aca="false">IF(OR($A203="",B$14=""),0,SUMIFS(MVT_NET,MVT_LOT,$A203,MVT_EMPL,B$14))</f>
        <v>0</v>
      </c>
      <c r="C203" s="42" t="n">
        <f aca="false">IF(OR($A203="",C$14=""),0,SUMIFS(MVT_NET,MVT_LOT,$A203,MVT_EMPL,C$14))</f>
        <v>0</v>
      </c>
      <c r="D203" s="42" t="n">
        <f aca="false">IF(OR($A203="",D$14=""),0,SUMIFS(MVT_NET,MVT_LOT,$A203,MVT_EMPL,D$14))</f>
        <v>0</v>
      </c>
      <c r="E203" s="42" t="n">
        <f aca="false">IF(OR($A203="",E$14=""),0,SUMIFS(MVT_NET,MVT_LOT,$A203,MVT_EMPL,E$14))</f>
        <v>0</v>
      </c>
      <c r="F203" s="42" t="n">
        <f aca="false">IF(OR($A203="",F$14=""),0,SUMIFS(MVT_NET,MVT_LOT,$A203,MVT_EMPL,F$14))</f>
        <v>0</v>
      </c>
      <c r="G203" s="42" t="n">
        <f aca="false">IF(OR($A203="",G$14=""),0,SUMIFS(MVT_NET,MVT_LOT,$A203,MVT_EMPL,G$14))</f>
        <v>0</v>
      </c>
      <c r="H203" s="42" t="n">
        <f aca="false">IF(OR($A203="",H$14=""),0,SUMIFS(MVT_NET,MVT_LOT,$A203,MVT_EMPL,H$14))</f>
        <v>0</v>
      </c>
      <c r="I203" s="42" t="n">
        <f aca="false">IF(OR($A203="",I$14=""),0,SUMIFS(MVT_NET,MVT_LOT,$A203,MVT_EMPL,I$14))</f>
        <v>0</v>
      </c>
      <c r="J203" s="42" t="n">
        <f aca="false">IF(OR($A203="",J$14=""),0,SUMIFS(MVT_NET,MVT_LOT,$A203,MVT_EMPL,J$14))</f>
        <v>0</v>
      </c>
      <c r="K203" s="42" t="n">
        <f aca="false">IF(OR($A203="",K$14=""),0,SUMIFS(MVT_NET,MVT_LOT,$A203,MVT_EMPL,K$14))</f>
        <v>0</v>
      </c>
      <c r="L203" s="42" t="n">
        <f aca="false">IF(OR($A203="",L$14=""),0,SUMIFS(MVT_NET,MVT_LOT,$A203,MVT_EMPL,L$14))</f>
        <v>0</v>
      </c>
      <c r="M203" s="42" t="n">
        <f aca="false">IF(OR($A203="",M$14=""),0,SUMIFS(MVT_NET,MVT_LOT,$A203,MVT_EMPL,M$14))</f>
        <v>0</v>
      </c>
      <c r="N203" s="43" t="n">
        <f aca="false">SUM($B203:$M203)</f>
        <v>0</v>
      </c>
      <c r="O203" s="44" t="n">
        <f aca="false">SUMPRODUCT(($B$13:$M$13="INTERNE")*$B203:$M203)</f>
        <v>0</v>
      </c>
      <c r="P203" s="44" t="n">
        <f aca="false">SUMPRODUCT(($B$13:$M$13="EXTERNE")*$B203:$M203)</f>
        <v>0</v>
      </c>
      <c r="Q203" s="44" t="n">
        <f aca="false">IF($A203="",0,SUMIFS(ST_ENCOURS,ST_LOT,$A203))</f>
        <v>0</v>
      </c>
      <c r="R203" s="45" t="str">
        <f aca="false">IF($A203="","",IFERROR(INDEX(LOT_EXTE,MATCH($A203,LOT_KEY,0)),""))</f>
        <v/>
      </c>
      <c r="S203" s="45" t="str">
        <f aca="false">IF($A203="","",IFERROR(INDEX(LOT_DECISION,MATCH($A203,LOT_KEY,0)),""))</f>
        <v/>
      </c>
      <c r="T203" s="44" t="n">
        <f aca="false">IF($S203="BLOQUER",MAX(0,$N203),0)</f>
        <v>0</v>
      </c>
      <c r="U203" s="46" t="str">
        <f aca="false">IF($A203="","",IF($N203&lt;-0.001,"STOCK NEGATIF - ANOMALIE",IF($T203&gt;0,"BLOQUE QUALITE","")))</f>
        <v/>
      </c>
    </row>
    <row r="204" customFormat="false" ht="15" hidden="false" customHeight="false" outlineLevel="0" collapsed="false">
      <c r="A204" s="41" t="str">
        <f aca="false">IF(LOTS!$A194="","",LOTS!$A194)</f>
        <v/>
      </c>
      <c r="B204" s="42" t="n">
        <f aca="false">IF(OR($A204="",B$14=""),0,SUMIFS(MVT_NET,MVT_LOT,$A204,MVT_EMPL,B$14))</f>
        <v>0</v>
      </c>
      <c r="C204" s="42" t="n">
        <f aca="false">IF(OR($A204="",C$14=""),0,SUMIFS(MVT_NET,MVT_LOT,$A204,MVT_EMPL,C$14))</f>
        <v>0</v>
      </c>
      <c r="D204" s="42" t="n">
        <f aca="false">IF(OR($A204="",D$14=""),0,SUMIFS(MVT_NET,MVT_LOT,$A204,MVT_EMPL,D$14))</f>
        <v>0</v>
      </c>
      <c r="E204" s="42" t="n">
        <f aca="false">IF(OR($A204="",E$14=""),0,SUMIFS(MVT_NET,MVT_LOT,$A204,MVT_EMPL,E$14))</f>
        <v>0</v>
      </c>
      <c r="F204" s="42" t="n">
        <f aca="false">IF(OR($A204="",F$14=""),0,SUMIFS(MVT_NET,MVT_LOT,$A204,MVT_EMPL,F$14))</f>
        <v>0</v>
      </c>
      <c r="G204" s="42" t="n">
        <f aca="false">IF(OR($A204="",G$14=""),0,SUMIFS(MVT_NET,MVT_LOT,$A204,MVT_EMPL,G$14))</f>
        <v>0</v>
      </c>
      <c r="H204" s="42" t="n">
        <f aca="false">IF(OR($A204="",H$14=""),0,SUMIFS(MVT_NET,MVT_LOT,$A204,MVT_EMPL,H$14))</f>
        <v>0</v>
      </c>
      <c r="I204" s="42" t="n">
        <f aca="false">IF(OR($A204="",I$14=""),0,SUMIFS(MVT_NET,MVT_LOT,$A204,MVT_EMPL,I$14))</f>
        <v>0</v>
      </c>
      <c r="J204" s="42" t="n">
        <f aca="false">IF(OR($A204="",J$14=""),0,SUMIFS(MVT_NET,MVT_LOT,$A204,MVT_EMPL,J$14))</f>
        <v>0</v>
      </c>
      <c r="K204" s="42" t="n">
        <f aca="false">IF(OR($A204="",K$14=""),0,SUMIFS(MVT_NET,MVT_LOT,$A204,MVT_EMPL,K$14))</f>
        <v>0</v>
      </c>
      <c r="L204" s="42" t="n">
        <f aca="false">IF(OR($A204="",L$14=""),0,SUMIFS(MVT_NET,MVT_LOT,$A204,MVT_EMPL,L$14))</f>
        <v>0</v>
      </c>
      <c r="M204" s="42" t="n">
        <f aca="false">IF(OR($A204="",M$14=""),0,SUMIFS(MVT_NET,MVT_LOT,$A204,MVT_EMPL,M$14))</f>
        <v>0</v>
      </c>
      <c r="N204" s="43" t="n">
        <f aca="false">SUM($B204:$M204)</f>
        <v>0</v>
      </c>
      <c r="O204" s="44" t="n">
        <f aca="false">SUMPRODUCT(($B$13:$M$13="INTERNE")*$B204:$M204)</f>
        <v>0</v>
      </c>
      <c r="P204" s="44" t="n">
        <f aca="false">SUMPRODUCT(($B$13:$M$13="EXTERNE")*$B204:$M204)</f>
        <v>0</v>
      </c>
      <c r="Q204" s="44" t="n">
        <f aca="false">IF($A204="",0,SUMIFS(ST_ENCOURS,ST_LOT,$A204))</f>
        <v>0</v>
      </c>
      <c r="R204" s="45" t="str">
        <f aca="false">IF($A204="","",IFERROR(INDEX(LOT_EXTE,MATCH($A204,LOT_KEY,0)),""))</f>
        <v/>
      </c>
      <c r="S204" s="45" t="str">
        <f aca="false">IF($A204="","",IFERROR(INDEX(LOT_DECISION,MATCH($A204,LOT_KEY,0)),""))</f>
        <v/>
      </c>
      <c r="T204" s="44" t="n">
        <f aca="false">IF($S204="BLOQUER",MAX(0,$N204),0)</f>
        <v>0</v>
      </c>
      <c r="U204" s="46" t="str">
        <f aca="false">IF($A204="","",IF($N204&lt;-0.001,"STOCK NEGATIF - ANOMALIE",IF($T204&gt;0,"BLOQUE QUALITE","")))</f>
        <v/>
      </c>
    </row>
    <row r="205" customFormat="false" ht="15" hidden="false" customHeight="false" outlineLevel="0" collapsed="false">
      <c r="A205" s="41" t="str">
        <f aca="false">IF(LOTS!$A195="","",LOTS!$A195)</f>
        <v/>
      </c>
      <c r="B205" s="42" t="n">
        <f aca="false">IF(OR($A205="",B$14=""),0,SUMIFS(MVT_NET,MVT_LOT,$A205,MVT_EMPL,B$14))</f>
        <v>0</v>
      </c>
      <c r="C205" s="42" t="n">
        <f aca="false">IF(OR($A205="",C$14=""),0,SUMIFS(MVT_NET,MVT_LOT,$A205,MVT_EMPL,C$14))</f>
        <v>0</v>
      </c>
      <c r="D205" s="42" t="n">
        <f aca="false">IF(OR($A205="",D$14=""),0,SUMIFS(MVT_NET,MVT_LOT,$A205,MVT_EMPL,D$14))</f>
        <v>0</v>
      </c>
      <c r="E205" s="42" t="n">
        <f aca="false">IF(OR($A205="",E$14=""),0,SUMIFS(MVT_NET,MVT_LOT,$A205,MVT_EMPL,E$14))</f>
        <v>0</v>
      </c>
      <c r="F205" s="42" t="n">
        <f aca="false">IF(OR($A205="",F$14=""),0,SUMIFS(MVT_NET,MVT_LOT,$A205,MVT_EMPL,F$14))</f>
        <v>0</v>
      </c>
      <c r="G205" s="42" t="n">
        <f aca="false">IF(OR($A205="",G$14=""),0,SUMIFS(MVT_NET,MVT_LOT,$A205,MVT_EMPL,G$14))</f>
        <v>0</v>
      </c>
      <c r="H205" s="42" t="n">
        <f aca="false">IF(OR($A205="",H$14=""),0,SUMIFS(MVT_NET,MVT_LOT,$A205,MVT_EMPL,H$14))</f>
        <v>0</v>
      </c>
      <c r="I205" s="42" t="n">
        <f aca="false">IF(OR($A205="",I$14=""),0,SUMIFS(MVT_NET,MVT_LOT,$A205,MVT_EMPL,I$14))</f>
        <v>0</v>
      </c>
      <c r="J205" s="42" t="n">
        <f aca="false">IF(OR($A205="",J$14=""),0,SUMIFS(MVT_NET,MVT_LOT,$A205,MVT_EMPL,J$14))</f>
        <v>0</v>
      </c>
      <c r="K205" s="42" t="n">
        <f aca="false">IF(OR($A205="",K$14=""),0,SUMIFS(MVT_NET,MVT_LOT,$A205,MVT_EMPL,K$14))</f>
        <v>0</v>
      </c>
      <c r="L205" s="42" t="n">
        <f aca="false">IF(OR($A205="",L$14=""),0,SUMIFS(MVT_NET,MVT_LOT,$A205,MVT_EMPL,L$14))</f>
        <v>0</v>
      </c>
      <c r="M205" s="42" t="n">
        <f aca="false">IF(OR($A205="",M$14=""),0,SUMIFS(MVT_NET,MVT_LOT,$A205,MVT_EMPL,M$14))</f>
        <v>0</v>
      </c>
      <c r="N205" s="43" t="n">
        <f aca="false">SUM($B205:$M205)</f>
        <v>0</v>
      </c>
      <c r="O205" s="44" t="n">
        <f aca="false">SUMPRODUCT(($B$13:$M$13="INTERNE")*$B205:$M205)</f>
        <v>0</v>
      </c>
      <c r="P205" s="44" t="n">
        <f aca="false">SUMPRODUCT(($B$13:$M$13="EXTERNE")*$B205:$M205)</f>
        <v>0</v>
      </c>
      <c r="Q205" s="44" t="n">
        <f aca="false">IF($A205="",0,SUMIFS(ST_ENCOURS,ST_LOT,$A205))</f>
        <v>0</v>
      </c>
      <c r="R205" s="45" t="str">
        <f aca="false">IF($A205="","",IFERROR(INDEX(LOT_EXTE,MATCH($A205,LOT_KEY,0)),""))</f>
        <v/>
      </c>
      <c r="S205" s="45" t="str">
        <f aca="false">IF($A205="","",IFERROR(INDEX(LOT_DECISION,MATCH($A205,LOT_KEY,0)),""))</f>
        <v/>
      </c>
      <c r="T205" s="44" t="n">
        <f aca="false">IF($S205="BLOQUER",MAX(0,$N205),0)</f>
        <v>0</v>
      </c>
      <c r="U205" s="46" t="str">
        <f aca="false">IF($A205="","",IF($N205&lt;-0.001,"STOCK NEGATIF - ANOMALIE",IF($T205&gt;0,"BLOQUE QUALITE","")))</f>
        <v/>
      </c>
    </row>
    <row r="206" customFormat="false" ht="15" hidden="false" customHeight="false" outlineLevel="0" collapsed="false">
      <c r="A206" s="41" t="str">
        <f aca="false">IF(LOTS!$A196="","",LOTS!$A196)</f>
        <v/>
      </c>
      <c r="B206" s="42" t="n">
        <f aca="false">IF(OR($A206="",B$14=""),0,SUMIFS(MVT_NET,MVT_LOT,$A206,MVT_EMPL,B$14))</f>
        <v>0</v>
      </c>
      <c r="C206" s="42" t="n">
        <f aca="false">IF(OR($A206="",C$14=""),0,SUMIFS(MVT_NET,MVT_LOT,$A206,MVT_EMPL,C$14))</f>
        <v>0</v>
      </c>
      <c r="D206" s="42" t="n">
        <f aca="false">IF(OR($A206="",D$14=""),0,SUMIFS(MVT_NET,MVT_LOT,$A206,MVT_EMPL,D$14))</f>
        <v>0</v>
      </c>
      <c r="E206" s="42" t="n">
        <f aca="false">IF(OR($A206="",E$14=""),0,SUMIFS(MVT_NET,MVT_LOT,$A206,MVT_EMPL,E$14))</f>
        <v>0</v>
      </c>
      <c r="F206" s="42" t="n">
        <f aca="false">IF(OR($A206="",F$14=""),0,SUMIFS(MVT_NET,MVT_LOT,$A206,MVT_EMPL,F$14))</f>
        <v>0</v>
      </c>
      <c r="G206" s="42" t="n">
        <f aca="false">IF(OR($A206="",G$14=""),0,SUMIFS(MVT_NET,MVT_LOT,$A206,MVT_EMPL,G$14))</f>
        <v>0</v>
      </c>
      <c r="H206" s="42" t="n">
        <f aca="false">IF(OR($A206="",H$14=""),0,SUMIFS(MVT_NET,MVT_LOT,$A206,MVT_EMPL,H$14))</f>
        <v>0</v>
      </c>
      <c r="I206" s="42" t="n">
        <f aca="false">IF(OR($A206="",I$14=""),0,SUMIFS(MVT_NET,MVT_LOT,$A206,MVT_EMPL,I$14))</f>
        <v>0</v>
      </c>
      <c r="J206" s="42" t="n">
        <f aca="false">IF(OR($A206="",J$14=""),0,SUMIFS(MVT_NET,MVT_LOT,$A206,MVT_EMPL,J$14))</f>
        <v>0</v>
      </c>
      <c r="K206" s="42" t="n">
        <f aca="false">IF(OR($A206="",K$14=""),0,SUMIFS(MVT_NET,MVT_LOT,$A206,MVT_EMPL,K$14))</f>
        <v>0</v>
      </c>
      <c r="L206" s="42" t="n">
        <f aca="false">IF(OR($A206="",L$14=""),0,SUMIFS(MVT_NET,MVT_LOT,$A206,MVT_EMPL,L$14))</f>
        <v>0</v>
      </c>
      <c r="M206" s="42" t="n">
        <f aca="false">IF(OR($A206="",M$14=""),0,SUMIFS(MVT_NET,MVT_LOT,$A206,MVT_EMPL,M$14))</f>
        <v>0</v>
      </c>
      <c r="N206" s="43" t="n">
        <f aca="false">SUM($B206:$M206)</f>
        <v>0</v>
      </c>
      <c r="O206" s="44" t="n">
        <f aca="false">SUMPRODUCT(($B$13:$M$13="INTERNE")*$B206:$M206)</f>
        <v>0</v>
      </c>
      <c r="P206" s="44" t="n">
        <f aca="false">SUMPRODUCT(($B$13:$M$13="EXTERNE")*$B206:$M206)</f>
        <v>0</v>
      </c>
      <c r="Q206" s="44" t="n">
        <f aca="false">IF($A206="",0,SUMIFS(ST_ENCOURS,ST_LOT,$A206))</f>
        <v>0</v>
      </c>
      <c r="R206" s="45" t="str">
        <f aca="false">IF($A206="","",IFERROR(INDEX(LOT_EXTE,MATCH($A206,LOT_KEY,0)),""))</f>
        <v/>
      </c>
      <c r="S206" s="45" t="str">
        <f aca="false">IF($A206="","",IFERROR(INDEX(LOT_DECISION,MATCH($A206,LOT_KEY,0)),""))</f>
        <v/>
      </c>
      <c r="T206" s="44" t="n">
        <f aca="false">IF($S206="BLOQUER",MAX(0,$N206),0)</f>
        <v>0</v>
      </c>
      <c r="U206" s="46" t="str">
        <f aca="false">IF($A206="","",IF($N206&lt;-0.001,"STOCK NEGATIF - ANOMALIE",IF($T206&gt;0,"BLOQUE QUALITE","")))</f>
        <v/>
      </c>
    </row>
    <row r="207" customFormat="false" ht="15" hidden="false" customHeight="false" outlineLevel="0" collapsed="false">
      <c r="A207" s="41" t="str">
        <f aca="false">IF(LOTS!$A197="","",LOTS!$A197)</f>
        <v/>
      </c>
      <c r="B207" s="42" t="n">
        <f aca="false">IF(OR($A207="",B$14=""),0,SUMIFS(MVT_NET,MVT_LOT,$A207,MVT_EMPL,B$14))</f>
        <v>0</v>
      </c>
      <c r="C207" s="42" t="n">
        <f aca="false">IF(OR($A207="",C$14=""),0,SUMIFS(MVT_NET,MVT_LOT,$A207,MVT_EMPL,C$14))</f>
        <v>0</v>
      </c>
      <c r="D207" s="42" t="n">
        <f aca="false">IF(OR($A207="",D$14=""),0,SUMIFS(MVT_NET,MVT_LOT,$A207,MVT_EMPL,D$14))</f>
        <v>0</v>
      </c>
      <c r="E207" s="42" t="n">
        <f aca="false">IF(OR($A207="",E$14=""),0,SUMIFS(MVT_NET,MVT_LOT,$A207,MVT_EMPL,E$14))</f>
        <v>0</v>
      </c>
      <c r="F207" s="42" t="n">
        <f aca="false">IF(OR($A207="",F$14=""),0,SUMIFS(MVT_NET,MVT_LOT,$A207,MVT_EMPL,F$14))</f>
        <v>0</v>
      </c>
      <c r="G207" s="42" t="n">
        <f aca="false">IF(OR($A207="",G$14=""),0,SUMIFS(MVT_NET,MVT_LOT,$A207,MVT_EMPL,G$14))</f>
        <v>0</v>
      </c>
      <c r="H207" s="42" t="n">
        <f aca="false">IF(OR($A207="",H$14=""),0,SUMIFS(MVT_NET,MVT_LOT,$A207,MVT_EMPL,H$14))</f>
        <v>0</v>
      </c>
      <c r="I207" s="42" t="n">
        <f aca="false">IF(OR($A207="",I$14=""),0,SUMIFS(MVT_NET,MVT_LOT,$A207,MVT_EMPL,I$14))</f>
        <v>0</v>
      </c>
      <c r="J207" s="42" t="n">
        <f aca="false">IF(OR($A207="",J$14=""),0,SUMIFS(MVT_NET,MVT_LOT,$A207,MVT_EMPL,J$14))</f>
        <v>0</v>
      </c>
      <c r="K207" s="42" t="n">
        <f aca="false">IF(OR($A207="",K$14=""),0,SUMIFS(MVT_NET,MVT_LOT,$A207,MVT_EMPL,K$14))</f>
        <v>0</v>
      </c>
      <c r="L207" s="42" t="n">
        <f aca="false">IF(OR($A207="",L$14=""),0,SUMIFS(MVT_NET,MVT_LOT,$A207,MVT_EMPL,L$14))</f>
        <v>0</v>
      </c>
      <c r="M207" s="42" t="n">
        <f aca="false">IF(OR($A207="",M$14=""),0,SUMIFS(MVT_NET,MVT_LOT,$A207,MVT_EMPL,M$14))</f>
        <v>0</v>
      </c>
      <c r="N207" s="43" t="n">
        <f aca="false">SUM($B207:$M207)</f>
        <v>0</v>
      </c>
      <c r="O207" s="44" t="n">
        <f aca="false">SUMPRODUCT(($B$13:$M$13="INTERNE")*$B207:$M207)</f>
        <v>0</v>
      </c>
      <c r="P207" s="44" t="n">
        <f aca="false">SUMPRODUCT(($B$13:$M$13="EXTERNE")*$B207:$M207)</f>
        <v>0</v>
      </c>
      <c r="Q207" s="44" t="n">
        <f aca="false">IF($A207="",0,SUMIFS(ST_ENCOURS,ST_LOT,$A207))</f>
        <v>0</v>
      </c>
      <c r="R207" s="45" t="str">
        <f aca="false">IF($A207="","",IFERROR(INDEX(LOT_EXTE,MATCH($A207,LOT_KEY,0)),""))</f>
        <v/>
      </c>
      <c r="S207" s="45" t="str">
        <f aca="false">IF($A207="","",IFERROR(INDEX(LOT_DECISION,MATCH($A207,LOT_KEY,0)),""))</f>
        <v/>
      </c>
      <c r="T207" s="44" t="n">
        <f aca="false">IF($S207="BLOQUER",MAX(0,$N207),0)</f>
        <v>0</v>
      </c>
      <c r="U207" s="46" t="str">
        <f aca="false">IF($A207="","",IF($N207&lt;-0.001,"STOCK NEGATIF - ANOMALIE",IF($T207&gt;0,"BLOQUE QUALITE","")))</f>
        <v/>
      </c>
    </row>
    <row r="208" customFormat="false" ht="15" hidden="false" customHeight="false" outlineLevel="0" collapsed="false">
      <c r="A208" s="41" t="str">
        <f aca="false">IF(LOTS!$A198="","",LOTS!$A198)</f>
        <v/>
      </c>
      <c r="B208" s="42" t="n">
        <f aca="false">IF(OR($A208="",B$14=""),0,SUMIFS(MVT_NET,MVT_LOT,$A208,MVT_EMPL,B$14))</f>
        <v>0</v>
      </c>
      <c r="C208" s="42" t="n">
        <f aca="false">IF(OR($A208="",C$14=""),0,SUMIFS(MVT_NET,MVT_LOT,$A208,MVT_EMPL,C$14))</f>
        <v>0</v>
      </c>
      <c r="D208" s="42" t="n">
        <f aca="false">IF(OR($A208="",D$14=""),0,SUMIFS(MVT_NET,MVT_LOT,$A208,MVT_EMPL,D$14))</f>
        <v>0</v>
      </c>
      <c r="E208" s="42" t="n">
        <f aca="false">IF(OR($A208="",E$14=""),0,SUMIFS(MVT_NET,MVT_LOT,$A208,MVT_EMPL,E$14))</f>
        <v>0</v>
      </c>
      <c r="F208" s="42" t="n">
        <f aca="false">IF(OR($A208="",F$14=""),0,SUMIFS(MVT_NET,MVT_LOT,$A208,MVT_EMPL,F$14))</f>
        <v>0</v>
      </c>
      <c r="G208" s="42" t="n">
        <f aca="false">IF(OR($A208="",G$14=""),0,SUMIFS(MVT_NET,MVT_LOT,$A208,MVT_EMPL,G$14))</f>
        <v>0</v>
      </c>
      <c r="H208" s="42" t="n">
        <f aca="false">IF(OR($A208="",H$14=""),0,SUMIFS(MVT_NET,MVT_LOT,$A208,MVT_EMPL,H$14))</f>
        <v>0</v>
      </c>
      <c r="I208" s="42" t="n">
        <f aca="false">IF(OR($A208="",I$14=""),0,SUMIFS(MVT_NET,MVT_LOT,$A208,MVT_EMPL,I$14))</f>
        <v>0</v>
      </c>
      <c r="J208" s="42" t="n">
        <f aca="false">IF(OR($A208="",J$14=""),0,SUMIFS(MVT_NET,MVT_LOT,$A208,MVT_EMPL,J$14))</f>
        <v>0</v>
      </c>
      <c r="K208" s="42" t="n">
        <f aca="false">IF(OR($A208="",K$14=""),0,SUMIFS(MVT_NET,MVT_LOT,$A208,MVT_EMPL,K$14))</f>
        <v>0</v>
      </c>
      <c r="L208" s="42" t="n">
        <f aca="false">IF(OR($A208="",L$14=""),0,SUMIFS(MVT_NET,MVT_LOT,$A208,MVT_EMPL,L$14))</f>
        <v>0</v>
      </c>
      <c r="M208" s="42" t="n">
        <f aca="false">IF(OR($A208="",M$14=""),0,SUMIFS(MVT_NET,MVT_LOT,$A208,MVT_EMPL,M$14))</f>
        <v>0</v>
      </c>
      <c r="N208" s="43" t="n">
        <f aca="false">SUM($B208:$M208)</f>
        <v>0</v>
      </c>
      <c r="O208" s="44" t="n">
        <f aca="false">SUMPRODUCT(($B$13:$M$13="INTERNE")*$B208:$M208)</f>
        <v>0</v>
      </c>
      <c r="P208" s="44" t="n">
        <f aca="false">SUMPRODUCT(($B$13:$M$13="EXTERNE")*$B208:$M208)</f>
        <v>0</v>
      </c>
      <c r="Q208" s="44" t="n">
        <f aca="false">IF($A208="",0,SUMIFS(ST_ENCOURS,ST_LOT,$A208))</f>
        <v>0</v>
      </c>
      <c r="R208" s="45" t="str">
        <f aca="false">IF($A208="","",IFERROR(INDEX(LOT_EXTE,MATCH($A208,LOT_KEY,0)),""))</f>
        <v/>
      </c>
      <c r="S208" s="45" t="str">
        <f aca="false">IF($A208="","",IFERROR(INDEX(LOT_DECISION,MATCH($A208,LOT_KEY,0)),""))</f>
        <v/>
      </c>
      <c r="T208" s="44" t="n">
        <f aca="false">IF($S208="BLOQUER",MAX(0,$N208),0)</f>
        <v>0</v>
      </c>
      <c r="U208" s="46" t="str">
        <f aca="false">IF($A208="","",IF($N208&lt;-0.001,"STOCK NEGATIF - ANOMALIE",IF($T208&gt;0,"BLOQUE QUALITE","")))</f>
        <v/>
      </c>
    </row>
    <row r="209" customFormat="false" ht="15" hidden="false" customHeight="false" outlineLevel="0" collapsed="false">
      <c r="A209" s="41" t="str">
        <f aca="false">IF(LOTS!$A199="","",LOTS!$A199)</f>
        <v/>
      </c>
      <c r="B209" s="42" t="n">
        <f aca="false">IF(OR($A209="",B$14=""),0,SUMIFS(MVT_NET,MVT_LOT,$A209,MVT_EMPL,B$14))</f>
        <v>0</v>
      </c>
      <c r="C209" s="42" t="n">
        <f aca="false">IF(OR($A209="",C$14=""),0,SUMIFS(MVT_NET,MVT_LOT,$A209,MVT_EMPL,C$14))</f>
        <v>0</v>
      </c>
      <c r="D209" s="42" t="n">
        <f aca="false">IF(OR($A209="",D$14=""),0,SUMIFS(MVT_NET,MVT_LOT,$A209,MVT_EMPL,D$14))</f>
        <v>0</v>
      </c>
      <c r="E209" s="42" t="n">
        <f aca="false">IF(OR($A209="",E$14=""),0,SUMIFS(MVT_NET,MVT_LOT,$A209,MVT_EMPL,E$14))</f>
        <v>0</v>
      </c>
      <c r="F209" s="42" t="n">
        <f aca="false">IF(OR($A209="",F$14=""),0,SUMIFS(MVT_NET,MVT_LOT,$A209,MVT_EMPL,F$14))</f>
        <v>0</v>
      </c>
      <c r="G209" s="42" t="n">
        <f aca="false">IF(OR($A209="",G$14=""),0,SUMIFS(MVT_NET,MVT_LOT,$A209,MVT_EMPL,G$14))</f>
        <v>0</v>
      </c>
      <c r="H209" s="42" t="n">
        <f aca="false">IF(OR($A209="",H$14=""),0,SUMIFS(MVT_NET,MVT_LOT,$A209,MVT_EMPL,H$14))</f>
        <v>0</v>
      </c>
      <c r="I209" s="42" t="n">
        <f aca="false">IF(OR($A209="",I$14=""),0,SUMIFS(MVT_NET,MVT_LOT,$A209,MVT_EMPL,I$14))</f>
        <v>0</v>
      </c>
      <c r="J209" s="42" t="n">
        <f aca="false">IF(OR($A209="",J$14=""),0,SUMIFS(MVT_NET,MVT_LOT,$A209,MVT_EMPL,J$14))</f>
        <v>0</v>
      </c>
      <c r="K209" s="42" t="n">
        <f aca="false">IF(OR($A209="",K$14=""),0,SUMIFS(MVT_NET,MVT_LOT,$A209,MVT_EMPL,K$14))</f>
        <v>0</v>
      </c>
      <c r="L209" s="42" t="n">
        <f aca="false">IF(OR($A209="",L$14=""),0,SUMIFS(MVT_NET,MVT_LOT,$A209,MVT_EMPL,L$14))</f>
        <v>0</v>
      </c>
      <c r="M209" s="42" t="n">
        <f aca="false">IF(OR($A209="",M$14=""),0,SUMIFS(MVT_NET,MVT_LOT,$A209,MVT_EMPL,M$14))</f>
        <v>0</v>
      </c>
      <c r="N209" s="43" t="n">
        <f aca="false">SUM($B209:$M209)</f>
        <v>0</v>
      </c>
      <c r="O209" s="44" t="n">
        <f aca="false">SUMPRODUCT(($B$13:$M$13="INTERNE")*$B209:$M209)</f>
        <v>0</v>
      </c>
      <c r="P209" s="44" t="n">
        <f aca="false">SUMPRODUCT(($B$13:$M$13="EXTERNE")*$B209:$M209)</f>
        <v>0</v>
      </c>
      <c r="Q209" s="44" t="n">
        <f aca="false">IF($A209="",0,SUMIFS(ST_ENCOURS,ST_LOT,$A209))</f>
        <v>0</v>
      </c>
      <c r="R209" s="45" t="str">
        <f aca="false">IF($A209="","",IFERROR(INDEX(LOT_EXTE,MATCH($A209,LOT_KEY,0)),""))</f>
        <v/>
      </c>
      <c r="S209" s="45" t="str">
        <f aca="false">IF($A209="","",IFERROR(INDEX(LOT_DECISION,MATCH($A209,LOT_KEY,0)),""))</f>
        <v/>
      </c>
      <c r="T209" s="44" t="n">
        <f aca="false">IF($S209="BLOQUER",MAX(0,$N209),0)</f>
        <v>0</v>
      </c>
      <c r="U209" s="46" t="str">
        <f aca="false">IF($A209="","",IF($N209&lt;-0.001,"STOCK NEGATIF - ANOMALIE",IF($T209&gt;0,"BLOQUE QUALITE","")))</f>
        <v/>
      </c>
    </row>
    <row r="210" customFormat="false" ht="15" hidden="false" customHeight="false" outlineLevel="0" collapsed="false">
      <c r="A210" s="41" t="str">
        <f aca="false">IF(LOTS!$A200="","",LOTS!$A200)</f>
        <v/>
      </c>
      <c r="B210" s="42" t="n">
        <f aca="false">IF(OR($A210="",B$14=""),0,SUMIFS(MVT_NET,MVT_LOT,$A210,MVT_EMPL,B$14))</f>
        <v>0</v>
      </c>
      <c r="C210" s="42" t="n">
        <f aca="false">IF(OR($A210="",C$14=""),0,SUMIFS(MVT_NET,MVT_LOT,$A210,MVT_EMPL,C$14))</f>
        <v>0</v>
      </c>
      <c r="D210" s="42" t="n">
        <f aca="false">IF(OR($A210="",D$14=""),0,SUMIFS(MVT_NET,MVT_LOT,$A210,MVT_EMPL,D$14))</f>
        <v>0</v>
      </c>
      <c r="E210" s="42" t="n">
        <f aca="false">IF(OR($A210="",E$14=""),0,SUMIFS(MVT_NET,MVT_LOT,$A210,MVT_EMPL,E$14))</f>
        <v>0</v>
      </c>
      <c r="F210" s="42" t="n">
        <f aca="false">IF(OR($A210="",F$14=""),0,SUMIFS(MVT_NET,MVT_LOT,$A210,MVT_EMPL,F$14))</f>
        <v>0</v>
      </c>
      <c r="G210" s="42" t="n">
        <f aca="false">IF(OR($A210="",G$14=""),0,SUMIFS(MVT_NET,MVT_LOT,$A210,MVT_EMPL,G$14))</f>
        <v>0</v>
      </c>
      <c r="H210" s="42" t="n">
        <f aca="false">IF(OR($A210="",H$14=""),0,SUMIFS(MVT_NET,MVT_LOT,$A210,MVT_EMPL,H$14))</f>
        <v>0</v>
      </c>
      <c r="I210" s="42" t="n">
        <f aca="false">IF(OR($A210="",I$14=""),0,SUMIFS(MVT_NET,MVT_LOT,$A210,MVT_EMPL,I$14))</f>
        <v>0</v>
      </c>
      <c r="J210" s="42" t="n">
        <f aca="false">IF(OR($A210="",J$14=""),0,SUMIFS(MVT_NET,MVT_LOT,$A210,MVT_EMPL,J$14))</f>
        <v>0</v>
      </c>
      <c r="K210" s="42" t="n">
        <f aca="false">IF(OR($A210="",K$14=""),0,SUMIFS(MVT_NET,MVT_LOT,$A210,MVT_EMPL,K$14))</f>
        <v>0</v>
      </c>
      <c r="L210" s="42" t="n">
        <f aca="false">IF(OR($A210="",L$14=""),0,SUMIFS(MVT_NET,MVT_LOT,$A210,MVT_EMPL,L$14))</f>
        <v>0</v>
      </c>
      <c r="M210" s="42" t="n">
        <f aca="false">IF(OR($A210="",M$14=""),0,SUMIFS(MVT_NET,MVT_LOT,$A210,MVT_EMPL,M$14))</f>
        <v>0</v>
      </c>
      <c r="N210" s="43" t="n">
        <f aca="false">SUM($B210:$M210)</f>
        <v>0</v>
      </c>
      <c r="O210" s="44" t="n">
        <f aca="false">SUMPRODUCT(($B$13:$M$13="INTERNE")*$B210:$M210)</f>
        <v>0</v>
      </c>
      <c r="P210" s="44" t="n">
        <f aca="false">SUMPRODUCT(($B$13:$M$13="EXTERNE")*$B210:$M210)</f>
        <v>0</v>
      </c>
      <c r="Q210" s="44" t="n">
        <f aca="false">IF($A210="",0,SUMIFS(ST_ENCOURS,ST_LOT,$A210))</f>
        <v>0</v>
      </c>
      <c r="R210" s="45" t="str">
        <f aca="false">IF($A210="","",IFERROR(INDEX(LOT_EXTE,MATCH($A210,LOT_KEY,0)),""))</f>
        <v/>
      </c>
      <c r="S210" s="45" t="str">
        <f aca="false">IF($A210="","",IFERROR(INDEX(LOT_DECISION,MATCH($A210,LOT_KEY,0)),""))</f>
        <v/>
      </c>
      <c r="T210" s="44" t="n">
        <f aca="false">IF($S210="BLOQUER",MAX(0,$N210),0)</f>
        <v>0</v>
      </c>
      <c r="U210" s="46" t="str">
        <f aca="false">IF($A210="","",IF($N210&lt;-0.001,"STOCK NEGATIF - ANOMALIE",IF($T210&gt;0,"BLOQUE QUALITE","")))</f>
        <v/>
      </c>
    </row>
    <row r="211" customFormat="false" ht="15" hidden="false" customHeight="false" outlineLevel="0" collapsed="false">
      <c r="A211" s="41" t="str">
        <f aca="false">IF(LOTS!$A201="","",LOTS!$A201)</f>
        <v/>
      </c>
      <c r="B211" s="42" t="n">
        <f aca="false">IF(OR($A211="",B$14=""),0,SUMIFS(MVT_NET,MVT_LOT,$A211,MVT_EMPL,B$14))</f>
        <v>0</v>
      </c>
      <c r="C211" s="42" t="n">
        <f aca="false">IF(OR($A211="",C$14=""),0,SUMIFS(MVT_NET,MVT_LOT,$A211,MVT_EMPL,C$14))</f>
        <v>0</v>
      </c>
      <c r="D211" s="42" t="n">
        <f aca="false">IF(OR($A211="",D$14=""),0,SUMIFS(MVT_NET,MVT_LOT,$A211,MVT_EMPL,D$14))</f>
        <v>0</v>
      </c>
      <c r="E211" s="42" t="n">
        <f aca="false">IF(OR($A211="",E$14=""),0,SUMIFS(MVT_NET,MVT_LOT,$A211,MVT_EMPL,E$14))</f>
        <v>0</v>
      </c>
      <c r="F211" s="42" t="n">
        <f aca="false">IF(OR($A211="",F$14=""),0,SUMIFS(MVT_NET,MVT_LOT,$A211,MVT_EMPL,F$14))</f>
        <v>0</v>
      </c>
      <c r="G211" s="42" t="n">
        <f aca="false">IF(OR($A211="",G$14=""),0,SUMIFS(MVT_NET,MVT_LOT,$A211,MVT_EMPL,G$14))</f>
        <v>0</v>
      </c>
      <c r="H211" s="42" t="n">
        <f aca="false">IF(OR($A211="",H$14=""),0,SUMIFS(MVT_NET,MVT_LOT,$A211,MVT_EMPL,H$14))</f>
        <v>0</v>
      </c>
      <c r="I211" s="42" t="n">
        <f aca="false">IF(OR($A211="",I$14=""),0,SUMIFS(MVT_NET,MVT_LOT,$A211,MVT_EMPL,I$14))</f>
        <v>0</v>
      </c>
      <c r="J211" s="42" t="n">
        <f aca="false">IF(OR($A211="",J$14=""),0,SUMIFS(MVT_NET,MVT_LOT,$A211,MVT_EMPL,J$14))</f>
        <v>0</v>
      </c>
      <c r="K211" s="42" t="n">
        <f aca="false">IF(OR($A211="",K$14=""),0,SUMIFS(MVT_NET,MVT_LOT,$A211,MVT_EMPL,K$14))</f>
        <v>0</v>
      </c>
      <c r="L211" s="42" t="n">
        <f aca="false">IF(OR($A211="",L$14=""),0,SUMIFS(MVT_NET,MVT_LOT,$A211,MVT_EMPL,L$14))</f>
        <v>0</v>
      </c>
      <c r="M211" s="42" t="n">
        <f aca="false">IF(OR($A211="",M$14=""),0,SUMIFS(MVT_NET,MVT_LOT,$A211,MVT_EMPL,M$14))</f>
        <v>0</v>
      </c>
      <c r="N211" s="43" t="n">
        <f aca="false">SUM($B211:$M211)</f>
        <v>0</v>
      </c>
      <c r="O211" s="44" t="n">
        <f aca="false">SUMPRODUCT(($B$13:$M$13="INTERNE")*$B211:$M211)</f>
        <v>0</v>
      </c>
      <c r="P211" s="44" t="n">
        <f aca="false">SUMPRODUCT(($B$13:$M$13="EXTERNE")*$B211:$M211)</f>
        <v>0</v>
      </c>
      <c r="Q211" s="44" t="n">
        <f aca="false">IF($A211="",0,SUMIFS(ST_ENCOURS,ST_LOT,$A211))</f>
        <v>0</v>
      </c>
      <c r="R211" s="45" t="str">
        <f aca="false">IF($A211="","",IFERROR(INDEX(LOT_EXTE,MATCH($A211,LOT_KEY,0)),""))</f>
        <v/>
      </c>
      <c r="S211" s="45" t="str">
        <f aca="false">IF($A211="","",IFERROR(INDEX(LOT_DECISION,MATCH($A211,LOT_KEY,0)),""))</f>
        <v/>
      </c>
      <c r="T211" s="44" t="n">
        <f aca="false">IF($S211="BLOQUER",MAX(0,$N211),0)</f>
        <v>0</v>
      </c>
      <c r="U211" s="46" t="str">
        <f aca="false">IF($A211="","",IF($N211&lt;-0.001,"STOCK NEGATIF - ANOMALIE",IF($T211&gt;0,"BLOQUE QUALITE","")))</f>
        <v/>
      </c>
    </row>
    <row r="212" customFormat="false" ht="15" hidden="false" customHeight="false" outlineLevel="0" collapsed="false">
      <c r="A212" s="41" t="str">
        <f aca="false">IF(LOTS!$A202="","",LOTS!$A202)</f>
        <v/>
      </c>
      <c r="B212" s="42" t="n">
        <f aca="false">IF(OR($A212="",B$14=""),0,SUMIFS(MVT_NET,MVT_LOT,$A212,MVT_EMPL,B$14))</f>
        <v>0</v>
      </c>
      <c r="C212" s="42" t="n">
        <f aca="false">IF(OR($A212="",C$14=""),0,SUMIFS(MVT_NET,MVT_LOT,$A212,MVT_EMPL,C$14))</f>
        <v>0</v>
      </c>
      <c r="D212" s="42" t="n">
        <f aca="false">IF(OR($A212="",D$14=""),0,SUMIFS(MVT_NET,MVT_LOT,$A212,MVT_EMPL,D$14))</f>
        <v>0</v>
      </c>
      <c r="E212" s="42" t="n">
        <f aca="false">IF(OR($A212="",E$14=""),0,SUMIFS(MVT_NET,MVT_LOT,$A212,MVT_EMPL,E$14))</f>
        <v>0</v>
      </c>
      <c r="F212" s="42" t="n">
        <f aca="false">IF(OR($A212="",F$14=""),0,SUMIFS(MVT_NET,MVT_LOT,$A212,MVT_EMPL,F$14))</f>
        <v>0</v>
      </c>
      <c r="G212" s="42" t="n">
        <f aca="false">IF(OR($A212="",G$14=""),0,SUMIFS(MVT_NET,MVT_LOT,$A212,MVT_EMPL,G$14))</f>
        <v>0</v>
      </c>
      <c r="H212" s="42" t="n">
        <f aca="false">IF(OR($A212="",H$14=""),0,SUMIFS(MVT_NET,MVT_LOT,$A212,MVT_EMPL,H$14))</f>
        <v>0</v>
      </c>
      <c r="I212" s="42" t="n">
        <f aca="false">IF(OR($A212="",I$14=""),0,SUMIFS(MVT_NET,MVT_LOT,$A212,MVT_EMPL,I$14))</f>
        <v>0</v>
      </c>
      <c r="J212" s="42" t="n">
        <f aca="false">IF(OR($A212="",J$14=""),0,SUMIFS(MVT_NET,MVT_LOT,$A212,MVT_EMPL,J$14))</f>
        <v>0</v>
      </c>
      <c r="K212" s="42" t="n">
        <f aca="false">IF(OR($A212="",K$14=""),0,SUMIFS(MVT_NET,MVT_LOT,$A212,MVT_EMPL,K$14))</f>
        <v>0</v>
      </c>
      <c r="L212" s="42" t="n">
        <f aca="false">IF(OR($A212="",L$14=""),0,SUMIFS(MVT_NET,MVT_LOT,$A212,MVT_EMPL,L$14))</f>
        <v>0</v>
      </c>
      <c r="M212" s="42" t="n">
        <f aca="false">IF(OR($A212="",M$14=""),0,SUMIFS(MVT_NET,MVT_LOT,$A212,MVT_EMPL,M$14))</f>
        <v>0</v>
      </c>
      <c r="N212" s="43" t="n">
        <f aca="false">SUM($B212:$M212)</f>
        <v>0</v>
      </c>
      <c r="O212" s="44" t="n">
        <f aca="false">SUMPRODUCT(($B$13:$M$13="INTERNE")*$B212:$M212)</f>
        <v>0</v>
      </c>
      <c r="P212" s="44" t="n">
        <f aca="false">SUMPRODUCT(($B$13:$M$13="EXTERNE")*$B212:$M212)</f>
        <v>0</v>
      </c>
      <c r="Q212" s="44" t="n">
        <f aca="false">IF($A212="",0,SUMIFS(ST_ENCOURS,ST_LOT,$A212))</f>
        <v>0</v>
      </c>
      <c r="R212" s="45" t="str">
        <f aca="false">IF($A212="","",IFERROR(INDEX(LOT_EXTE,MATCH($A212,LOT_KEY,0)),""))</f>
        <v/>
      </c>
      <c r="S212" s="45" t="str">
        <f aca="false">IF($A212="","",IFERROR(INDEX(LOT_DECISION,MATCH($A212,LOT_KEY,0)),""))</f>
        <v/>
      </c>
      <c r="T212" s="44" t="n">
        <f aca="false">IF($S212="BLOQUER",MAX(0,$N212),0)</f>
        <v>0</v>
      </c>
      <c r="U212" s="46" t="str">
        <f aca="false">IF($A212="","",IF($N212&lt;-0.001,"STOCK NEGATIF - ANOMALIE",IF($T212&gt;0,"BLOQUE QUALITE","")))</f>
        <v/>
      </c>
    </row>
    <row r="213" customFormat="false" ht="15" hidden="false" customHeight="false" outlineLevel="0" collapsed="false">
      <c r="A213" s="41" t="str">
        <f aca="false">IF(LOTS!$A203="","",LOTS!$A203)</f>
        <v/>
      </c>
      <c r="B213" s="42" t="n">
        <f aca="false">IF(OR($A213="",B$14=""),0,SUMIFS(MVT_NET,MVT_LOT,$A213,MVT_EMPL,B$14))</f>
        <v>0</v>
      </c>
      <c r="C213" s="42" t="n">
        <f aca="false">IF(OR($A213="",C$14=""),0,SUMIFS(MVT_NET,MVT_LOT,$A213,MVT_EMPL,C$14))</f>
        <v>0</v>
      </c>
      <c r="D213" s="42" t="n">
        <f aca="false">IF(OR($A213="",D$14=""),0,SUMIFS(MVT_NET,MVT_LOT,$A213,MVT_EMPL,D$14))</f>
        <v>0</v>
      </c>
      <c r="E213" s="42" t="n">
        <f aca="false">IF(OR($A213="",E$14=""),0,SUMIFS(MVT_NET,MVT_LOT,$A213,MVT_EMPL,E$14))</f>
        <v>0</v>
      </c>
      <c r="F213" s="42" t="n">
        <f aca="false">IF(OR($A213="",F$14=""),0,SUMIFS(MVT_NET,MVT_LOT,$A213,MVT_EMPL,F$14))</f>
        <v>0</v>
      </c>
      <c r="G213" s="42" t="n">
        <f aca="false">IF(OR($A213="",G$14=""),0,SUMIFS(MVT_NET,MVT_LOT,$A213,MVT_EMPL,G$14))</f>
        <v>0</v>
      </c>
      <c r="H213" s="42" t="n">
        <f aca="false">IF(OR($A213="",H$14=""),0,SUMIFS(MVT_NET,MVT_LOT,$A213,MVT_EMPL,H$14))</f>
        <v>0</v>
      </c>
      <c r="I213" s="42" t="n">
        <f aca="false">IF(OR($A213="",I$14=""),0,SUMIFS(MVT_NET,MVT_LOT,$A213,MVT_EMPL,I$14))</f>
        <v>0</v>
      </c>
      <c r="J213" s="42" t="n">
        <f aca="false">IF(OR($A213="",J$14=""),0,SUMIFS(MVT_NET,MVT_LOT,$A213,MVT_EMPL,J$14))</f>
        <v>0</v>
      </c>
      <c r="K213" s="42" t="n">
        <f aca="false">IF(OR($A213="",K$14=""),0,SUMIFS(MVT_NET,MVT_LOT,$A213,MVT_EMPL,K$14))</f>
        <v>0</v>
      </c>
      <c r="L213" s="42" t="n">
        <f aca="false">IF(OR($A213="",L$14=""),0,SUMIFS(MVT_NET,MVT_LOT,$A213,MVT_EMPL,L$14))</f>
        <v>0</v>
      </c>
      <c r="M213" s="42" t="n">
        <f aca="false">IF(OR($A213="",M$14=""),0,SUMIFS(MVT_NET,MVT_LOT,$A213,MVT_EMPL,M$14))</f>
        <v>0</v>
      </c>
      <c r="N213" s="43" t="n">
        <f aca="false">SUM($B213:$M213)</f>
        <v>0</v>
      </c>
      <c r="O213" s="44" t="n">
        <f aca="false">SUMPRODUCT(($B$13:$M$13="INTERNE")*$B213:$M213)</f>
        <v>0</v>
      </c>
      <c r="P213" s="44" t="n">
        <f aca="false">SUMPRODUCT(($B$13:$M$13="EXTERNE")*$B213:$M213)</f>
        <v>0</v>
      </c>
      <c r="Q213" s="44" t="n">
        <f aca="false">IF($A213="",0,SUMIFS(ST_ENCOURS,ST_LOT,$A213))</f>
        <v>0</v>
      </c>
      <c r="R213" s="45" t="str">
        <f aca="false">IF($A213="","",IFERROR(INDEX(LOT_EXTE,MATCH($A213,LOT_KEY,0)),""))</f>
        <v/>
      </c>
      <c r="S213" s="45" t="str">
        <f aca="false">IF($A213="","",IFERROR(INDEX(LOT_DECISION,MATCH($A213,LOT_KEY,0)),""))</f>
        <v/>
      </c>
      <c r="T213" s="44" t="n">
        <f aca="false">IF($S213="BLOQUER",MAX(0,$N213),0)</f>
        <v>0</v>
      </c>
      <c r="U213" s="46" t="str">
        <f aca="false">IF($A213="","",IF($N213&lt;-0.001,"STOCK NEGATIF - ANOMALIE",IF($T213&gt;0,"BLOQUE QUALITE","")))</f>
        <v/>
      </c>
    </row>
    <row r="214" customFormat="false" ht="15" hidden="false" customHeight="false" outlineLevel="0" collapsed="false">
      <c r="A214" s="41" t="str">
        <f aca="false">IF(LOTS!$A204="","",LOTS!$A204)</f>
        <v/>
      </c>
      <c r="B214" s="42" t="n">
        <f aca="false">IF(OR($A214="",B$14=""),0,SUMIFS(MVT_NET,MVT_LOT,$A214,MVT_EMPL,B$14))</f>
        <v>0</v>
      </c>
      <c r="C214" s="42" t="n">
        <f aca="false">IF(OR($A214="",C$14=""),0,SUMIFS(MVT_NET,MVT_LOT,$A214,MVT_EMPL,C$14))</f>
        <v>0</v>
      </c>
      <c r="D214" s="42" t="n">
        <f aca="false">IF(OR($A214="",D$14=""),0,SUMIFS(MVT_NET,MVT_LOT,$A214,MVT_EMPL,D$14))</f>
        <v>0</v>
      </c>
      <c r="E214" s="42" t="n">
        <f aca="false">IF(OR($A214="",E$14=""),0,SUMIFS(MVT_NET,MVT_LOT,$A214,MVT_EMPL,E$14))</f>
        <v>0</v>
      </c>
      <c r="F214" s="42" t="n">
        <f aca="false">IF(OR($A214="",F$14=""),0,SUMIFS(MVT_NET,MVT_LOT,$A214,MVT_EMPL,F$14))</f>
        <v>0</v>
      </c>
      <c r="G214" s="42" t="n">
        <f aca="false">IF(OR($A214="",G$14=""),0,SUMIFS(MVT_NET,MVT_LOT,$A214,MVT_EMPL,G$14))</f>
        <v>0</v>
      </c>
      <c r="H214" s="42" t="n">
        <f aca="false">IF(OR($A214="",H$14=""),0,SUMIFS(MVT_NET,MVT_LOT,$A214,MVT_EMPL,H$14))</f>
        <v>0</v>
      </c>
      <c r="I214" s="42" t="n">
        <f aca="false">IF(OR($A214="",I$14=""),0,SUMIFS(MVT_NET,MVT_LOT,$A214,MVT_EMPL,I$14))</f>
        <v>0</v>
      </c>
      <c r="J214" s="42" t="n">
        <f aca="false">IF(OR($A214="",J$14=""),0,SUMIFS(MVT_NET,MVT_LOT,$A214,MVT_EMPL,J$14))</f>
        <v>0</v>
      </c>
      <c r="K214" s="42" t="n">
        <f aca="false">IF(OR($A214="",K$14=""),0,SUMIFS(MVT_NET,MVT_LOT,$A214,MVT_EMPL,K$14))</f>
        <v>0</v>
      </c>
      <c r="L214" s="42" t="n">
        <f aca="false">IF(OR($A214="",L$14=""),0,SUMIFS(MVT_NET,MVT_LOT,$A214,MVT_EMPL,L$14))</f>
        <v>0</v>
      </c>
      <c r="M214" s="42" t="n">
        <f aca="false">IF(OR($A214="",M$14=""),0,SUMIFS(MVT_NET,MVT_LOT,$A214,MVT_EMPL,M$14))</f>
        <v>0</v>
      </c>
      <c r="N214" s="43" t="n">
        <f aca="false">SUM($B214:$M214)</f>
        <v>0</v>
      </c>
      <c r="O214" s="44" t="n">
        <f aca="false">SUMPRODUCT(($B$13:$M$13="INTERNE")*$B214:$M214)</f>
        <v>0</v>
      </c>
      <c r="P214" s="44" t="n">
        <f aca="false">SUMPRODUCT(($B$13:$M$13="EXTERNE")*$B214:$M214)</f>
        <v>0</v>
      </c>
      <c r="Q214" s="44" t="n">
        <f aca="false">IF($A214="",0,SUMIFS(ST_ENCOURS,ST_LOT,$A214))</f>
        <v>0</v>
      </c>
      <c r="R214" s="45" t="str">
        <f aca="false">IF($A214="","",IFERROR(INDEX(LOT_EXTE,MATCH($A214,LOT_KEY,0)),""))</f>
        <v/>
      </c>
      <c r="S214" s="45" t="str">
        <f aca="false">IF($A214="","",IFERROR(INDEX(LOT_DECISION,MATCH($A214,LOT_KEY,0)),""))</f>
        <v/>
      </c>
      <c r="T214" s="44" t="n">
        <f aca="false">IF($S214="BLOQUER",MAX(0,$N214),0)</f>
        <v>0</v>
      </c>
      <c r="U214" s="46" t="str">
        <f aca="false">IF($A214="","",IF($N214&lt;-0.001,"STOCK NEGATIF - ANOMALIE",IF($T214&gt;0,"BLOQUE QUALITE","")))</f>
        <v/>
      </c>
    </row>
    <row r="215" customFormat="false" ht="15" hidden="false" customHeight="false" outlineLevel="0" collapsed="false">
      <c r="A215" s="47" t="s">
        <v>272</v>
      </c>
      <c r="B215" s="48" t="n">
        <f aca="false">SUM(B15:B214)</f>
        <v>4065</v>
      </c>
      <c r="C215" s="48" t="n">
        <f aca="false">SUM(C15:C214)</f>
        <v>1200</v>
      </c>
      <c r="D215" s="48" t="n">
        <f aca="false">SUM(D15:D214)</f>
        <v>0</v>
      </c>
      <c r="E215" s="48" t="n">
        <f aca="false">SUM(E15:E214)</f>
        <v>150</v>
      </c>
      <c r="F215" s="48" t="n">
        <f aca="false">SUM(F15:F214)</f>
        <v>0</v>
      </c>
      <c r="G215" s="48" t="n">
        <f aca="false">SUM(G15:G214)</f>
        <v>0</v>
      </c>
      <c r="H215" s="48" t="n">
        <f aca="false">SUM(H15:H214)</f>
        <v>0</v>
      </c>
      <c r="I215" s="48" t="n">
        <f aca="false">SUM(I15:I214)</f>
        <v>0</v>
      </c>
      <c r="J215" s="48" t="n">
        <f aca="false">SUM(J15:J214)</f>
        <v>0</v>
      </c>
      <c r="K215" s="48" t="n">
        <f aca="false">SUM(K15:K214)</f>
        <v>0</v>
      </c>
      <c r="L215" s="48" t="n">
        <f aca="false">SUM(L15:L214)</f>
        <v>0</v>
      </c>
      <c r="M215" s="48" t="n">
        <f aca="false">SUM(M15:M214)</f>
        <v>0</v>
      </c>
      <c r="N215" s="48" t="n">
        <f aca="false">SUM(N15:N214)</f>
        <v>5415</v>
      </c>
      <c r="O215" s="48" t="n">
        <f aca="false">SUM(O15:O214)</f>
        <v>4065</v>
      </c>
      <c r="P215" s="48" t="n">
        <f aca="false">SUM(P15:P214)</f>
        <v>1350</v>
      </c>
      <c r="Q215" s="48" t="n">
        <f aca="false">SUM(Q15:Q214)</f>
        <v>200</v>
      </c>
      <c r="R215" s="49"/>
      <c r="S215" s="49"/>
      <c r="T215" s="48" t="n">
        <f aca="false">SUM(T15:T214)</f>
        <v>200</v>
      </c>
      <c r="U215" s="49"/>
    </row>
    <row r="217" customFormat="false" ht="19.5" hidden="false" customHeight="true" outlineLevel="0" collapsed="false">
      <c r="A217" s="3" t="s">
        <v>273</v>
      </c>
      <c r="B217" s="3"/>
      <c r="C217" s="3"/>
      <c r="D217" s="3"/>
      <c r="E217" s="3"/>
      <c r="F217" s="3"/>
      <c r="G217" s="3"/>
      <c r="H217" s="3"/>
      <c r="I217" s="3"/>
      <c r="J217" s="3"/>
      <c r="K217" s="3"/>
      <c r="L217" s="3"/>
      <c r="M217" s="3"/>
      <c r="N217" s="3"/>
      <c r="O217" s="3"/>
      <c r="P217" s="3"/>
      <c r="Q217" s="3"/>
      <c r="R217" s="3"/>
      <c r="S217" s="3"/>
      <c r="T217" s="3"/>
      <c r="U217" s="3"/>
    </row>
    <row r="218" customFormat="false" ht="15" hidden="false" customHeight="false" outlineLevel="0" collapsed="false">
      <c r="A218" s="40" t="s">
        <v>53</v>
      </c>
      <c r="B218" s="40" t="s">
        <v>274</v>
      </c>
      <c r="D218" s="40" t="s">
        <v>57</v>
      </c>
      <c r="E218" s="40" t="s">
        <v>274</v>
      </c>
      <c r="G218" s="40" t="s">
        <v>275</v>
      </c>
      <c r="H218" s="40" t="s">
        <v>276</v>
      </c>
    </row>
    <row r="219" customFormat="false" ht="15" hidden="false" customHeight="false" outlineLevel="0" collapsed="false">
      <c r="A219" s="50" t="str">
        <f aca="false">IF(INDEX(L_PRODUIT_R,1)="","",INDEX(L_PRODUIT_R,1))</f>
        <v>Sardine</v>
      </c>
      <c r="B219" s="51" t="n">
        <f aca="false">IF(A219="","",SUMIFS(MVT_NET,MVT_PROD,A219))</f>
        <v>1650</v>
      </c>
      <c r="D219" s="50" t="str">
        <f aca="false">IF(INDEX(L_ETAT_R,1)="","",INDEX(L_ETAT_R,1))</f>
        <v>ENTIER</v>
      </c>
      <c r="E219" s="51" t="n">
        <f aca="false">IF(D219="","",SUMIFS(MVT_NET,MVT_ETAT,D219))</f>
        <v>4375</v>
      </c>
      <c r="G219" s="19" t="s">
        <v>277</v>
      </c>
      <c r="H219" s="51" t="n">
        <f aca="false">SUMIFS(MVT_NET,MVT_NET,"&gt;0",MVT_OP,"&lt;&gt;AJUSTEMENT")</f>
        <v>7240</v>
      </c>
    </row>
    <row r="220" customFormat="false" ht="15" hidden="false" customHeight="false" outlineLevel="0" collapsed="false">
      <c r="A220" s="50" t="str">
        <f aca="false">IF(INDEX(L_PRODUIT_R,2)="","",INDEX(L_PRODUIT_R,2))</f>
        <v>Maquereau</v>
      </c>
      <c r="B220" s="51" t="n">
        <f aca="false">IF(A220="","",SUMIFS(MVT_NET,MVT_PROD,A220))</f>
        <v>2200</v>
      </c>
      <c r="D220" s="50" t="str">
        <f aca="false">IF(INDEX(L_ETAT_R,2)="","",INDEX(L_ETAT_R,2))</f>
        <v>HG</v>
      </c>
      <c r="E220" s="51" t="n">
        <f aca="false">IF(D220="","",SUMIFS(MVT_NET,MVT_ETAT,D220))</f>
        <v>300</v>
      </c>
      <c r="G220" s="19" t="s">
        <v>278</v>
      </c>
      <c r="H220" s="51" t="n">
        <f aca="false">-SUMIFS(MVT_NET,MVT_NET,"&lt;0",MVT_OP,"&lt;&gt;AJUSTEMENT")</f>
        <v>1800</v>
      </c>
    </row>
    <row r="221" customFormat="false" ht="15" hidden="false" customHeight="false" outlineLevel="0" collapsed="false">
      <c r="A221" s="50" t="str">
        <f aca="false">IF(INDEX(L_PRODUIT_R,3)="","",INDEX(L_PRODUIT_R,3))</f>
        <v>Bonite</v>
      </c>
      <c r="B221" s="51" t="n">
        <f aca="false">IF(A221="","",SUMIFS(MVT_NET,MVT_PROD,A221))</f>
        <v>0</v>
      </c>
      <c r="D221" s="50" t="str">
        <f aca="false">IF(INDEX(L_ETAT_R,3)="","",INDEX(L_ETAT_R,3))</f>
        <v>HGT</v>
      </c>
      <c r="E221" s="51" t="n">
        <f aca="false">IF(D221="","",SUMIFS(MVT_NET,MVT_ETAT,D221))</f>
        <v>150</v>
      </c>
      <c r="G221" s="19" t="s">
        <v>279</v>
      </c>
      <c r="H221" s="51" t="n">
        <f aca="false">SUMIFS(MVT_NET,MVT_OP,"AJUSTEMENT")</f>
        <v>-25</v>
      </c>
    </row>
    <row r="222" customFormat="false" ht="15" hidden="false" customHeight="false" outlineLevel="0" collapsed="false">
      <c r="A222" s="50" t="str">
        <f aca="false">IF(INDEX(L_PRODUIT_R,4)="","",INDEX(L_PRODUIT_R,4))</f>
        <v>Anchois</v>
      </c>
      <c r="B222" s="51" t="n">
        <f aca="false">IF(A222="","",SUMIFS(MVT_NET,MVT_PROD,A222))</f>
        <v>590</v>
      </c>
      <c r="D222" s="50" t="str">
        <f aca="false">IF(INDEX(L_ETAT_R,4)="","",INDEX(L_ETAT_R,4))</f>
        <v>FILET</v>
      </c>
      <c r="E222" s="51" t="n">
        <f aca="false">IF(D222="","",SUMIFS(MVT_NET,MVT_ETAT,D222))</f>
        <v>590</v>
      </c>
      <c r="G222" s="10" t="s">
        <v>280</v>
      </c>
      <c r="H222" s="52" t="n">
        <f aca="false">$H219-$H220+$H221</f>
        <v>5415</v>
      </c>
    </row>
    <row r="223" customFormat="false" ht="15" hidden="false" customHeight="false" outlineLevel="0" collapsed="false">
      <c r="A223" s="50" t="str">
        <f aca="false">IF(INDEX(L_PRODUIT_R,5)="","",INDEX(L_PRODUIT_R,5))</f>
        <v>Chinchard</v>
      </c>
      <c r="B223" s="51" t="n">
        <f aca="false">IF(A223="","",SUMIFS(MVT_NET,MVT_PROD,A223))</f>
        <v>975</v>
      </c>
      <c r="D223" s="50" t="str">
        <f aca="false">IF(INDEX(L_ETAT_R,5)="","",INDEX(L_ETAT_R,5))</f>
        <v>IQF</v>
      </c>
      <c r="E223" s="51" t="n">
        <f aca="false">IF(D223="","",SUMIFS(MVT_NET,MVT_ETAT,D223))</f>
        <v>0</v>
      </c>
      <c r="G223" s="10" t="s">
        <v>281</v>
      </c>
      <c r="H223" s="52" t="n">
        <f aca="false">SUM(MVT_NET)</f>
        <v>5415</v>
      </c>
    </row>
    <row r="224" customFormat="false" ht="15" hidden="false" customHeight="false" outlineLevel="0" collapsed="false">
      <c r="A224" s="50" t="str">
        <f aca="false">IF(INDEX(L_PRODUIT_R,6)="","",INDEX(L_PRODUIT_R,6))</f>
        <v/>
      </c>
      <c r="B224" s="51" t="str">
        <f aca="false">IF(A224="","",SUMIFS(MVT_NET,MVT_PROD,A224))</f>
        <v/>
      </c>
      <c r="D224" s="50" t="str">
        <f aca="false">IF(INDEX(L_ETAT_R,6)="","",INDEX(L_ETAT_R,6))</f>
        <v>AUTRE</v>
      </c>
      <c r="E224" s="51" t="n">
        <f aca="false">IF(D224="","",SUMIFS(MVT_NET,MVT_ETAT,D224))</f>
        <v>0</v>
      </c>
      <c r="G224" s="19" t="s">
        <v>282</v>
      </c>
      <c r="H224" s="51" t="n">
        <f aca="false">ROUND($H223-$H222,3)</f>
        <v>0</v>
      </c>
    </row>
    <row r="225" customFormat="false" ht="15" hidden="false" customHeight="false" outlineLevel="0" collapsed="false">
      <c r="A225" s="50" t="str">
        <f aca="false">IF(INDEX(L_PRODUIT_R,7)="","",INDEX(L_PRODUIT_R,7))</f>
        <v/>
      </c>
      <c r="B225" s="51" t="str">
        <f aca="false">IF(A225="","",SUMIFS(MVT_NET,MVT_PROD,A225))</f>
        <v/>
      </c>
      <c r="D225" s="50" t="str">
        <f aca="false">IF(INDEX(L_ETAT_R,7)="","",INDEX(L_ETAT_R,7))</f>
        <v/>
      </c>
      <c r="E225" s="51" t="str">
        <f aca="false">IF(D225="","",SUMIFS(MVT_NET,MVT_ETAT,D225))</f>
        <v/>
      </c>
      <c r="G225" s="10" t="s">
        <v>283</v>
      </c>
      <c r="H225" s="53" t="str">
        <f aca="false">IF(ROUND($H224,3)=0,"BILAN OK","BILAN A CORRIGER")</f>
        <v>BILAN OK</v>
      </c>
    </row>
    <row r="226" customFormat="false" ht="15" hidden="false" customHeight="false" outlineLevel="0" collapsed="false">
      <c r="A226" s="50" t="str">
        <f aca="false">IF(INDEX(L_PRODUIT_R,8)="","",INDEX(L_PRODUIT_R,8))</f>
        <v/>
      </c>
      <c r="B226" s="51" t="str">
        <f aca="false">IF(A226="","",SUMIFS(MVT_NET,MVT_PROD,A226))</f>
        <v/>
      </c>
      <c r="D226" s="50" t="str">
        <f aca="false">IF(INDEX(L_ETAT_R,8)="","",INDEX(L_ETAT_R,8))</f>
        <v/>
      </c>
      <c r="E226" s="51" t="str">
        <f aca="false">IF(D226="","",SUMIFS(MVT_NET,MVT_ETAT,D226))</f>
        <v/>
      </c>
      <c r="G226" s="19" t="s">
        <v>284</v>
      </c>
      <c r="H226" s="51" t="n">
        <f aca="false">SUMIFS(ST_ECART,ST_STATUT,"A JUSTIFIER")</f>
        <v>50</v>
      </c>
    </row>
    <row r="227" customFormat="false" ht="15" hidden="false" customHeight="false" outlineLevel="0" collapsed="false">
      <c r="A227" s="50" t="str">
        <f aca="false">IF(INDEX(L_PRODUIT_R,9)="","",INDEX(L_PRODUIT_R,9))</f>
        <v/>
      </c>
      <c r="B227" s="51" t="str">
        <f aca="false">IF(A227="","",SUMIFS(MVT_NET,MVT_PROD,A227))</f>
        <v/>
      </c>
      <c r="D227" s="50" t="str">
        <f aca="false">IF(INDEX(L_ETAT_R,9)="","",INDEX(L_ETAT_R,9))</f>
        <v/>
      </c>
      <c r="E227" s="51" t="str">
        <f aca="false">IF(D227="","",SUMIFS(MVT_NET,MVT_ETAT,D227))</f>
        <v/>
      </c>
    </row>
    <row r="228" customFormat="false" ht="15" hidden="false" customHeight="false" outlineLevel="0" collapsed="false">
      <c r="A228" s="50" t="str">
        <f aca="false">IF(INDEX(L_PRODUIT_R,10)="","",INDEX(L_PRODUIT_R,10))</f>
        <v/>
      </c>
      <c r="B228" s="51" t="str">
        <f aca="false">IF(A228="","",SUMIFS(MVT_NET,MVT_PROD,A228))</f>
        <v/>
      </c>
      <c r="D228" s="50" t="str">
        <f aca="false">IF(INDEX(L_ETAT_R,10)="","",INDEX(L_ETAT_R,10))</f>
        <v/>
      </c>
      <c r="E228" s="51" t="str">
        <f aca="false">IF(D228="","",SUMIFS(MVT_NET,MVT_ETAT,D228))</f>
        <v/>
      </c>
    </row>
    <row r="229" customFormat="false" ht="15" hidden="false" customHeight="false" outlineLevel="0" collapsed="false">
      <c r="A229" s="50" t="str">
        <f aca="false">IF(INDEX(L_PRODUIT_R,11)="","",INDEX(L_PRODUIT_R,11))</f>
        <v/>
      </c>
      <c r="B229" s="51" t="str">
        <f aca="false">IF(A229="","",SUMIFS(MVT_NET,MVT_PROD,A229))</f>
        <v/>
      </c>
      <c r="D229" s="47" t="s">
        <v>272</v>
      </c>
      <c r="E229" s="54" t="n">
        <f aca="false">SUM(E219:E228)</f>
        <v>5415</v>
      </c>
    </row>
    <row r="230" customFormat="false" ht="15" hidden="false" customHeight="false" outlineLevel="0" collapsed="false">
      <c r="A230" s="50" t="str">
        <f aca="false">IF(INDEX(L_PRODUIT_R,12)="","",INDEX(L_PRODUIT_R,12))</f>
        <v/>
      </c>
      <c r="B230" s="51" t="str">
        <f aca="false">IF(A230="","",SUMIFS(MVT_NET,MVT_PROD,A230))</f>
        <v/>
      </c>
    </row>
    <row r="231" customFormat="false" ht="15" hidden="false" customHeight="false" outlineLevel="0" collapsed="false">
      <c r="A231" s="47" t="s">
        <v>272</v>
      </c>
      <c r="B231" s="54" t="n">
        <f aca="false">SUM(B219:B230)</f>
        <v>5415</v>
      </c>
    </row>
  </sheetData>
  <mergeCells count="12">
    <mergeCell ref="A1:U1"/>
    <mergeCell ref="A2:U2"/>
    <mergeCell ref="A4:C4"/>
    <mergeCell ref="A5:C5"/>
    <mergeCell ref="A6:C6"/>
    <mergeCell ref="A7:C7"/>
    <mergeCell ref="A8:C8"/>
    <mergeCell ref="A9:C9"/>
    <mergeCell ref="A10:C10"/>
    <mergeCell ref="E10:K10"/>
    <mergeCell ref="A12:U12"/>
    <mergeCell ref="A217:U217"/>
  </mergeCells>
  <conditionalFormatting sqref="D9">
    <cfRule type="cellIs" priority="2" operator="greaterThan" aboveAverage="0" equalAverage="0" bottom="0" percent="0" rank="0" text="" dxfId="1">
      <formula>0</formula>
    </cfRule>
  </conditionalFormatting>
  <conditionalFormatting sqref="D10">
    <cfRule type="cellIs" priority="3" operator="notEqual" aboveAverage="0" equalAverage="0" bottom="0" percent="0" rank="0" text="" dxfId="1">
      <formula>0</formula>
    </cfRule>
  </conditionalFormatting>
  <conditionalFormatting sqref="B15:N214">
    <cfRule type="cellIs" priority="4" operator="lessThan" aboveAverage="0" equalAverage="0" bottom="0" percent="0" rank="0" text="" dxfId="13">
      <formula>0</formula>
    </cfRule>
  </conditionalFormatting>
  <conditionalFormatting sqref="S15:S214">
    <cfRule type="cellIs" priority="5" operator="equal" aboveAverage="0" equalAverage="0" bottom="0" percent="0" rank="0" text="" dxfId="13">
      <formula>"BLOQUER"</formula>
    </cfRule>
    <cfRule type="cellIs" priority="6" operator="equal" aboveAverage="0" equalAverage="0" bottom="0" percent="0" rank="0" text="" dxfId="13">
      <formula>"REFUSER"</formula>
    </cfRule>
    <cfRule type="cellIs" priority="7" operator="equal" aboveAverage="0" equalAverage="0" bottom="0" percent="0" rank="0" text="" dxfId="11">
      <formula>"A RECONTROLER"</formula>
    </cfRule>
    <cfRule type="cellIs" priority="8" operator="equal" aboveAverage="0" equalAverage="0" bottom="0" percent="0" rank="0" text="" dxfId="9">
      <formula>"ACCEPTER"</formula>
    </cfRule>
  </conditionalFormatting>
  <conditionalFormatting sqref="H225">
    <cfRule type="cellIs" priority="9" operator="equal" aboveAverage="0" equalAverage="0" bottom="0" percent="0" rank="0" text="" dxfId="9">
      <formula>"BILAN OK"</formula>
    </cfRule>
    <cfRule type="cellIs" priority="10" operator="equal" aboveAverage="0" equalAverage="0" bottom="0" percent="0" rank="0" text="" dxfId="13">
      <formula>"BILAN A CORRIGER"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D5C"/>
    <pageSetUpPr fitToPage="false"/>
  </sheetPr>
  <dimension ref="A1:K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7"/>
    <col collapsed="false" customWidth="true" hidden="false" outlineLevel="0" max="3" min="3" style="0" width="17"/>
    <col collapsed="false" customWidth="true" hidden="false" outlineLevel="0" max="5" min="4" style="0" width="18"/>
    <col collapsed="false" customWidth="true" hidden="false" outlineLevel="0" max="6" min="6" style="0" width="15"/>
    <col collapsed="false" customWidth="true" hidden="false" outlineLevel="0" max="9" min="7" style="0" width="16"/>
    <col collapsed="false" customWidth="true" hidden="false" outlineLevel="0" max="10" min="10" style="0" width="21"/>
    <col collapsed="false" customWidth="true" hidden="false" outlineLevel="0" max="11" min="11" style="0" width="30"/>
  </cols>
  <sheetData>
    <row r="1" customFormat="false" ht="30" hidden="false" customHeight="true" outlineLevel="0" collapsed="false">
      <c r="A1" s="1" t="s">
        <v>285</v>
      </c>
      <c r="B1" s="1"/>
      <c r="C1" s="1"/>
      <c r="D1" s="1"/>
      <c r="E1" s="1"/>
      <c r="F1" s="1"/>
      <c r="G1" s="1"/>
      <c r="H1" s="1"/>
      <c r="I1" s="1"/>
      <c r="J1" s="1"/>
      <c r="K1" s="1"/>
    </row>
    <row r="2" customFormat="false" ht="18" hidden="false" customHeight="true" outlineLevel="0" collapsed="false">
      <c r="A2" s="2" t="s">
        <v>286</v>
      </c>
      <c r="B2" s="2"/>
      <c r="C2" s="2"/>
      <c r="D2" s="2"/>
      <c r="E2" s="2"/>
      <c r="F2" s="2"/>
      <c r="G2" s="2"/>
      <c r="H2" s="2"/>
      <c r="I2" s="2"/>
      <c r="J2" s="2"/>
      <c r="K2" s="2"/>
    </row>
    <row r="4" customFormat="false" ht="24" hidden="false" customHeight="true" outlineLevel="0" collapsed="false">
      <c r="B4" s="55" t="s">
        <v>287</v>
      </c>
      <c r="C4" s="56" t="s">
        <v>78</v>
      </c>
      <c r="D4" s="56"/>
      <c r="E4" s="56"/>
      <c r="G4" s="9" t="s">
        <v>288</v>
      </c>
      <c r="H4" s="9"/>
      <c r="I4" s="9"/>
      <c r="J4" s="9"/>
      <c r="K4" s="9"/>
    </row>
    <row r="5" customFormat="false" ht="15" hidden="false" customHeight="false" outlineLevel="0" collapsed="false">
      <c r="B5" s="57" t="s">
        <v>289</v>
      </c>
      <c r="C5" s="58" t="str">
        <f aca="false">IF($C$4="","",IF(ISNUMBER(MATCH($C$4,LOT_KEY,0)),$C$4,IFERROR(INDEX(LOT_KEY,MATCH($C$4,LOT_EXTE,0)),"")))</f>
        <v>255</v>
      </c>
      <c r="D5" s="58"/>
      <c r="E5" s="58"/>
      <c r="G5" s="9"/>
      <c r="H5" s="9"/>
      <c r="I5" s="9"/>
      <c r="J5" s="9"/>
      <c r="K5" s="9"/>
    </row>
    <row r="7" customFormat="false" ht="15" hidden="false" customHeight="false" outlineLevel="0" collapsed="false">
      <c r="A7" s="3" t="s">
        <v>290</v>
      </c>
      <c r="B7" s="3"/>
      <c r="C7" s="3"/>
      <c r="D7" s="3"/>
      <c r="E7" s="3"/>
      <c r="G7" s="3" t="s">
        <v>281</v>
      </c>
      <c r="H7" s="3"/>
      <c r="I7" s="3"/>
    </row>
    <row r="8" customFormat="false" ht="15" hidden="false" customHeight="false" outlineLevel="0" collapsed="false">
      <c r="B8" s="59" t="s">
        <v>52</v>
      </c>
      <c r="C8" s="60" t="str">
        <f aca="false">IF($C$5="","",IF(IFERROR(INDEX(LOT_EXT,MATCH($C$5,LOT_KEY,0)),"")&lt;&gt;"",INDEX(LOT_EXT,MATCH($C$5,LOT_KEY,0)),IF(IFERROR(INDEX(LOT_EXTE,MATCH($C$5,LOT_KEY,0)),"")="","",INDEX(LOT_EXTE,MATCH($C$5,LOT_KEY,0))&amp;"   (herite du lot "&amp;$C$18&amp;")")))</f>
        <v>L-EXT-255</v>
      </c>
      <c r="D8" s="60"/>
      <c r="E8" s="60"/>
      <c r="G8" s="40" t="s">
        <v>226</v>
      </c>
      <c r="H8" s="40" t="s">
        <v>265</v>
      </c>
      <c r="I8" s="40" t="s">
        <v>274</v>
      </c>
    </row>
    <row r="9" customFormat="false" ht="15" hidden="false" customHeight="false" outlineLevel="0" collapsed="false">
      <c r="B9" s="59" t="s">
        <v>53</v>
      </c>
      <c r="C9" s="60" t="str">
        <f aca="false">IF($C$5="","",IF(IFERROR(INDEX(LOT_PROD,MATCH($C$5,LOT_KEY,0)),"")&lt;&gt;"",INDEX(LOT_PROD,MATCH($C$5,LOT_KEY,0)),IF(IFERROR(INDEX(LOT_PRODE,MATCH($C$5,LOT_KEY,0)),"")="","",INDEX(LOT_PRODE,MATCH($C$5,LOT_KEY,0))&amp;"   (herite du lot "&amp;$C$18&amp;")")))</f>
        <v>Sardine</v>
      </c>
      <c r="D9" s="60"/>
      <c r="E9" s="60"/>
      <c r="G9" s="50" t="str">
        <f aca="false">IF(INDEX(EMPL_KEY,1)="","",INDEX(EMPL_KEY,1))</f>
        <v>OCEAMIC 2</v>
      </c>
      <c r="H9" s="61" t="str">
        <f aca="false">IF($G9="","",IFERROR(INDEX(EMPL_CLASSE,MATCH($G9,EMPL_KEY,0)),""))</f>
        <v>INTERNE</v>
      </c>
      <c r="I9" s="42" t="n">
        <f aca="false">IF(OR($G9="",$C$5=""),"",SUMIFS(MVT_NET,MVT_LOT,$C$5,MVT_EMPL,$G9))</f>
        <v>500</v>
      </c>
    </row>
    <row r="10" customFormat="false" ht="15" hidden="false" customHeight="false" outlineLevel="0" collapsed="false">
      <c r="B10" s="59" t="s">
        <v>54</v>
      </c>
      <c r="C10" s="60" t="str">
        <f aca="false">IF($C$5="","",IF(IFERROR(INDEX(LOT_FOURN,MATCH($C$5,LOT_KEY,0)),"")&lt;&gt;"",INDEX(LOT_FOURN,MATCH($C$5,LOT_KEY,0)),IF(IFERROR(INDEX(LOT_FOURNE,MATCH($C$5,LOT_KEY,0)),"")="","",INDEX(LOT_FOURNE,MATCH($C$5,LOT_KEY,0))&amp;"   (herite du lot "&amp;$C$18&amp;")")))</f>
        <v>Fournisseur local</v>
      </c>
      <c r="D10" s="60"/>
      <c r="E10" s="60"/>
      <c r="G10" s="50" t="str">
        <f aca="false">IF(INDEX(EMPL_KEY,2)="","",INDEX(EMPL_KEY,2))</f>
        <v>SARMA</v>
      </c>
      <c r="H10" s="61" t="str">
        <f aca="false">IF($G10="","",IFERROR(INDEX(EMPL_CLASSE,MATCH($G10,EMPL_KEY,0)),""))</f>
        <v>EXTERNE</v>
      </c>
      <c r="I10" s="42" t="n">
        <f aca="false">IF(OR($G10="",$C$5=""),"",SUMIFS(MVT_NET,MVT_LOT,$C$5,MVT_EMPL,$G10))</f>
        <v>0</v>
      </c>
    </row>
    <row r="11" customFormat="false" ht="15" hidden="false" customHeight="false" outlineLevel="0" collapsed="false">
      <c r="B11" s="59" t="s">
        <v>55</v>
      </c>
      <c r="C11" s="60" t="str">
        <f aca="false">IF($C$5="","",IF(IFERROR(INDEX(LOT_ORIG,MATCH($C$5,LOT_KEY,0)),"")&lt;&gt;"",INDEX(LOT_ORIG,MATCH($C$5,LOT_KEY,0)),IF(IFERROR(INDEX(LOT_ORIGE,MATCH($C$5,LOT_KEY,0)),"")="","",INDEX(LOT_ORIGE,MATCH($C$5,LOT_KEY,0))&amp;"   (herite du lot "&amp;$C$18&amp;")")))</f>
        <v>Laayoune</v>
      </c>
      <c r="D11" s="60"/>
      <c r="E11" s="60"/>
      <c r="G11" s="50" t="str">
        <f aca="false">IF(INDEX(EMPL_KEY,3)="","",INDEX(EMPL_KEY,3))</f>
        <v>DAMSA</v>
      </c>
      <c r="H11" s="61" t="str">
        <f aca="false">IF($G11="","",IFERROR(INDEX(EMPL_CLASSE,MATCH($G11,EMPL_KEY,0)),""))</f>
        <v>EXTERNE</v>
      </c>
      <c r="I11" s="42" t="n">
        <f aca="false">IF(OR($G11="",$C$5=""),"",SUMIFS(MVT_NET,MVT_LOT,$C$5,MVT_EMPL,$G11))</f>
        <v>0</v>
      </c>
    </row>
    <row r="12" customFormat="false" ht="15" hidden="false" customHeight="false" outlineLevel="0" collapsed="false">
      <c r="B12" s="59" t="s">
        <v>56</v>
      </c>
      <c r="C12" s="60" t="str">
        <f aca="false">IF($C$5="","",IF(IFERROR(INDEX(LOT_IMMAT,MATCH($C$5,LOT_KEY,0)),"")&lt;&gt;"",INDEX(LOT_IMMAT,MATCH($C$5,LOT_KEY,0)),IF(IFERROR(INDEX(LOT_IMMATE,MATCH($C$5,LOT_KEY,0)),"")="","",INDEX(LOT_IMMATE,MATCH($C$5,LOT_KEY,0))&amp;"   (herite du lot "&amp;$C$18&amp;")")))</f>
        <v>12345-A-6</v>
      </c>
      <c r="D12" s="60"/>
      <c r="E12" s="60"/>
      <c r="G12" s="50" t="str">
        <f aca="false">IF(INDEX(EMPL_KEY,4)="","",INDEX(EMPL_KEY,4))</f>
        <v>COFRIGOP</v>
      </c>
      <c r="H12" s="61" t="str">
        <f aca="false">IF($G12="","",IFERROR(INDEX(EMPL_CLASSE,MATCH($G12,EMPL_KEY,0)),""))</f>
        <v>EXTERNE</v>
      </c>
      <c r="I12" s="42" t="n">
        <f aca="false">IF(OR($G12="",$C$5=""),"",SUMIFS(MVT_NET,MVT_LOT,$C$5,MVT_EMPL,$G12))</f>
        <v>0</v>
      </c>
    </row>
    <row r="13" customFormat="false" ht="15" hidden="false" customHeight="false" outlineLevel="0" collapsed="false">
      <c r="B13" s="59" t="s">
        <v>57</v>
      </c>
      <c r="C13" s="60" t="str">
        <f aca="false">IF($C$5="","",IF(IFERROR(INDEX(LOT_ETAT,MATCH($C$5,LOT_KEY,0)),"")="","",INDEX(LOT_ETAT,MATCH($C$5,LOT_KEY,0))))</f>
        <v>ENTIER</v>
      </c>
      <c r="D13" s="60"/>
      <c r="E13" s="60"/>
      <c r="G13" s="50" t="str">
        <f aca="false">IF(INDEX(EMPL_KEY,5)="","",INDEX(EMPL_KEY,5))</f>
        <v>COFRIGOB</v>
      </c>
      <c r="H13" s="61" t="str">
        <f aca="false">IF($G13="","",IFERROR(INDEX(EMPL_CLASSE,MATCH($G13,EMPL_KEY,0)),""))</f>
        <v>EXTERNE</v>
      </c>
      <c r="I13" s="42" t="n">
        <f aca="false">IF(OR($G13="",$C$5=""),"",SUMIFS(MVT_NET,MVT_LOT,$C$5,MVT_EMPL,$G13))</f>
        <v>0</v>
      </c>
    </row>
    <row r="14" customFormat="false" ht="15" hidden="false" customHeight="false" outlineLevel="0" collapsed="false">
      <c r="B14" s="59" t="s">
        <v>58</v>
      </c>
      <c r="C14" s="60" t="str">
        <f aca="false">IF($C$5="","",IF(IFERROR(INDEX(LOT_CONSERV,MATCH($C$5,LOT_KEY,0)),"")&lt;&gt;"",INDEX(LOT_CONSERV,MATCH($C$5,LOT_KEY,0)),IF(IFERROR(INDEX(LOT_CONSERVE,MATCH($C$5,LOT_KEY,0)),"")="","",INDEX(LOT_CONSERVE,MATCH($C$5,LOT_KEY,0))&amp;"   (herite du lot "&amp;$C$18&amp;")")))</f>
        <v>CONGELE</v>
      </c>
      <c r="D14" s="60"/>
      <c r="E14" s="60"/>
      <c r="G14" s="50" t="str">
        <f aca="false">IF(INDEX(EMPL_KEY,6)="","",INDEX(EMPL_KEY,6))</f>
        <v>FOURSEASEN</v>
      </c>
      <c r="H14" s="61" t="str">
        <f aca="false">IF($G14="","",IFERROR(INDEX(EMPL_CLASSE,MATCH($G14,EMPL_KEY,0)),""))</f>
        <v>EXTERNE</v>
      </c>
      <c r="I14" s="42" t="n">
        <f aca="false">IF(OR($G14="",$C$5=""),"",SUMIFS(MVT_NET,MVT_LOT,$C$5,MVT_EMPL,$G14))</f>
        <v>0</v>
      </c>
    </row>
    <row r="15" customFormat="false" ht="15" hidden="false" customHeight="false" outlineLevel="0" collapsed="false">
      <c r="B15" s="59" t="s">
        <v>59</v>
      </c>
      <c r="C15" s="60" t="str">
        <f aca="false">IF($C$5="","",IF(IFERROR(INDEX(LOT_QUAL,MATCH($C$5,LOT_KEY,0)),"")="","",INDEX(LOT_QUAL,MATCH($C$5,LOT_KEY,0))))</f>
        <v>A</v>
      </c>
      <c r="D15" s="60"/>
      <c r="E15" s="60"/>
      <c r="G15" s="50" t="str">
        <f aca="false">IF(INDEX(EMPL_KEY,7)="","",INDEX(EMPL_KEY,7))</f>
        <v>ATLANTIC</v>
      </c>
      <c r="H15" s="61" t="str">
        <f aca="false">IF($G15="","",IFERROR(INDEX(EMPL_CLASSE,MATCH($G15,EMPL_KEY,0)),""))</f>
        <v>EXTERNE</v>
      </c>
      <c r="I15" s="42" t="n">
        <f aca="false">IF(OR($G15="",$C$5=""),"",SUMIFS(MVT_NET,MVT_LOT,$C$5,MVT_EMPL,$G15))</f>
        <v>0</v>
      </c>
    </row>
    <row r="16" customFormat="false" ht="15" hidden="false" customHeight="false" outlineLevel="0" collapsed="false">
      <c r="B16" s="59" t="s">
        <v>60</v>
      </c>
      <c r="C16" s="60" t="str">
        <f aca="false">IF($C$5="","",IF(IFERROR(INDEX(LOT_MOULE,MATCH($C$5,LOT_KEY,0)),"")="","",INDEX(LOT_MOULE,MATCH($C$5,LOT_KEY,0))))</f>
        <v>20/24</v>
      </c>
      <c r="D16" s="60"/>
      <c r="E16" s="60"/>
      <c r="G16" s="50" t="str">
        <f aca="false">IF(INDEX(EMPL_KEY,8)="","",INDEX(EMPL_KEY,8))</f>
        <v>WILL FISHING</v>
      </c>
      <c r="H16" s="61" t="str">
        <f aca="false">IF($G16="","",IFERROR(INDEX(EMPL_CLASSE,MATCH($G16,EMPL_KEY,0)),""))</f>
        <v>EXTERNE</v>
      </c>
      <c r="I16" s="42" t="n">
        <f aca="false">IF(OR($G16="",$C$5=""),"",SUMIFS(MVT_NET,MVT_LOT,$C$5,MVT_EMPL,$G16))</f>
        <v>0</v>
      </c>
    </row>
    <row r="17" customFormat="false" ht="15" hidden="false" customHeight="false" outlineLevel="0" collapsed="false">
      <c r="B17" s="59" t="s">
        <v>61</v>
      </c>
      <c r="C17" s="62" t="n">
        <f aca="false">IF($C$5="","",IF(IFERROR(INDEX(LOT_DATE,MATCH($C$5,LOT_KEY,0)),"")="","",INDEX(LOT_DATE,MATCH($C$5,LOT_KEY,0))))</f>
        <v>46237</v>
      </c>
      <c r="D17" s="62"/>
      <c r="E17" s="62"/>
      <c r="G17" s="50" t="str">
        <f aca="false">IF(INDEX(EMPL_KEY,9)="","",INDEX(EMPL_KEY,9))</f>
        <v>KJ FISH</v>
      </c>
      <c r="H17" s="61" t="str">
        <f aca="false">IF($G17="","",IFERROR(INDEX(EMPL_CLASSE,MATCH($G17,EMPL_KEY,0)),""))</f>
        <v>EXTERNE</v>
      </c>
      <c r="I17" s="42" t="n">
        <f aca="false">IF(OR($G17="",$C$5=""),"",SUMIFS(MVT_NET,MVT_LOT,$C$5,MVT_EMPL,$G17))</f>
        <v>0</v>
      </c>
    </row>
    <row r="18" customFormat="false" ht="15" hidden="false" customHeight="false" outlineLevel="0" collapsed="false">
      <c r="B18" s="59" t="s">
        <v>291</v>
      </c>
      <c r="C18" s="60" t="str">
        <f aca="false">IF($C$5="","",IF(IFERROR(INDEX(LOT_PARENTE,MATCH($C$5,LOT_KEY,0)),"")="","",INDEX(LOT_PARENTE,MATCH($C$5,LOT_KEY,0))))</f>
        <v/>
      </c>
      <c r="D18" s="60"/>
      <c r="E18" s="60"/>
      <c r="G18" s="50" t="str">
        <f aca="false">IF(INDEX(EMPL_KEY,10)="","",INDEX(EMPL_KEY,10))</f>
        <v>OCEAMIC 1</v>
      </c>
      <c r="H18" s="61" t="str">
        <f aca="false">IF($G18="","",IFERROR(INDEX(EMPL_CLASSE,MATCH($G18,EMPL_KEY,0)),""))</f>
        <v>EXTERNE</v>
      </c>
      <c r="I18" s="42" t="n">
        <f aca="false">IF(OR($G18="",$C$5=""),"",SUMIFS(MVT_NET,MVT_LOT,$C$5,MVT_EMPL,$G18))</f>
        <v>0</v>
      </c>
    </row>
    <row r="19" customFormat="false" ht="15" hidden="false" customHeight="false" outlineLevel="0" collapsed="false">
      <c r="B19" s="59" t="s">
        <v>74</v>
      </c>
      <c r="C19" s="60" t="str">
        <f aca="false">IF($C$5="","",IF(IFERROR(INDEX(LOT_DECISION,MATCH($C$5,LOT_KEY,0)),"")="","",INDEX(LOT_DECISION,MATCH($C$5,LOT_KEY,0))))</f>
        <v>ACCEPTER</v>
      </c>
      <c r="D19" s="60"/>
      <c r="E19" s="60"/>
      <c r="G19" s="50" t="str">
        <f aca="false">IF(INDEX(EMPL_KEY,11)="","",INDEX(EMPL_KEY,11))</f>
        <v/>
      </c>
      <c r="H19" s="61" t="str">
        <f aca="false">IF($G19="","",IFERROR(INDEX(EMPL_CLASSE,MATCH($G19,EMPL_KEY,0)),""))</f>
        <v/>
      </c>
      <c r="I19" s="42" t="str">
        <f aca="false">IF(OR($G19="",$C$5=""),"",SUMIFS(MVT_NET,MVT_LOT,$C$5,MVT_EMPL,$G19))</f>
        <v/>
      </c>
    </row>
    <row r="20" customFormat="false" ht="15" hidden="false" customHeight="false" outlineLevel="0" collapsed="false">
      <c r="B20" s="59" t="s">
        <v>63</v>
      </c>
      <c r="C20" s="60" t="str">
        <f aca="false">IF($C$5="","",IF(IFERROR(INDEX(LOT_OBS,MATCH($C$5,LOT_KEY,0)),"")="","",INDEX(LOT_OBS,MATCH($C$5,LOT_KEY,0))))</f>
        <v>Lot de reference - scenarios 1, 5, 8, 11, 12, 14, 15</v>
      </c>
      <c r="D20" s="60"/>
      <c r="E20" s="60"/>
      <c r="G20" s="50" t="str">
        <f aca="false">IF(INDEX(EMPL_KEY,12)="","",INDEX(EMPL_KEY,12))</f>
        <v/>
      </c>
      <c r="H20" s="61" t="str">
        <f aca="false">IF($G20="","",IFERROR(INDEX(EMPL_CLASSE,MATCH($G20,EMPL_KEY,0)),""))</f>
        <v/>
      </c>
      <c r="I20" s="42" t="str">
        <f aca="false">IF(OR($G20="",$C$5=""),"",SUMIFS(MVT_NET,MVT_LOT,$C$5,MVT_EMPL,$G20))</f>
        <v/>
      </c>
    </row>
    <row r="21" customFormat="false" ht="15" hidden="false" customHeight="false" outlineLevel="0" collapsed="false">
      <c r="B21" s="59" t="s">
        <v>292</v>
      </c>
      <c r="C21" s="60" t="str">
        <f aca="false">IF($C$5="","",IF(IFERROR(INDEX(LOT_STATUT,MATCH($C$5,LOT_KEY,0)),"")="","",INDEX(LOT_STATUT,MATCH($C$5,LOT_KEY,0))))</f>
        <v>OK</v>
      </c>
      <c r="D21" s="60"/>
      <c r="E21" s="60"/>
      <c r="G21" s="63" t="s">
        <v>293</v>
      </c>
      <c r="H21" s="63"/>
      <c r="I21" s="64" t="n">
        <f aca="false">IF($C$5="","",SUM($I$9:$I$20))</f>
        <v>500</v>
      </c>
    </row>
    <row r="22" customFormat="false" ht="15" hidden="false" customHeight="false" outlineLevel="0" collapsed="false">
      <c r="G22" s="65" t="s">
        <v>294</v>
      </c>
      <c r="H22" s="65"/>
      <c r="I22" s="66" t="n">
        <f aca="false">IF($C$5="","",SUMIFS(ST_ENCOURS,ST_LOT,$C$5))</f>
        <v>0</v>
      </c>
    </row>
    <row r="24" customFormat="false" ht="19.5" hidden="false" customHeight="true" outlineLevel="0" collapsed="false">
      <c r="A24" s="3" t="s">
        <v>295</v>
      </c>
      <c r="B24" s="3"/>
      <c r="C24" s="3"/>
      <c r="D24" s="3"/>
      <c r="E24" s="3"/>
      <c r="F24" s="3"/>
      <c r="G24" s="3"/>
      <c r="H24" s="3"/>
      <c r="I24" s="3"/>
      <c r="J24" s="3"/>
      <c r="K24" s="3"/>
    </row>
    <row r="25" customFormat="false" ht="25.5" hidden="false" customHeight="true" outlineLevel="0" collapsed="false">
      <c r="B25" s="67" t="s">
        <v>296</v>
      </c>
      <c r="C25" s="67" t="s">
        <v>136</v>
      </c>
      <c r="D25" s="67" t="s">
        <v>297</v>
      </c>
      <c r="E25" s="67" t="s">
        <v>298</v>
      </c>
      <c r="F25" s="67" t="s">
        <v>226</v>
      </c>
      <c r="G25" s="67" t="s">
        <v>265</v>
      </c>
      <c r="H25" s="67" t="s">
        <v>299</v>
      </c>
      <c r="I25" s="67" t="s">
        <v>300</v>
      </c>
      <c r="J25" s="67" t="s">
        <v>147</v>
      </c>
      <c r="K25" s="67" t="s">
        <v>301</v>
      </c>
    </row>
    <row r="26" customFormat="false" ht="15" hidden="false" customHeight="false" outlineLevel="0" collapsed="false">
      <c r="B26" s="68" t="n">
        <f aca="false">IFERROR(INDEX(MVT_NO,MATCH(ROW()-25,MVT_RANG,0)),"")</f>
        <v>301</v>
      </c>
      <c r="C26" s="69" t="n">
        <f aca="false">IFERROR(INDEX(MVT_DATE,MATCH(ROW()-25,MVT_RANG,0)),"")</f>
        <v>46237</v>
      </c>
      <c r="D26" s="50" t="str">
        <f aca="false">IFERROR(INDEX(MVT_OP,MATCH(ROW()-25,MVT_RANG,0)),"")</f>
        <v>RECEPTION</v>
      </c>
      <c r="E26" s="50" t="str">
        <f aca="false">IFERROR(INDEX(MVT_SENS,MATCH(ROW()-25,MVT_RANG,0)),"")</f>
        <v>ENTREE</v>
      </c>
      <c r="F26" s="50" t="str">
        <f aca="false">IFERROR(INDEX(MVT_EMPL,MATCH(ROW()-25,MVT_RANG,0)),"")</f>
        <v>OCEAMIC 2</v>
      </c>
      <c r="G26" s="50" t="str">
        <f aca="false">IFERROR(INDEX(MVT_CLASSE,MATCH(ROW()-25,MVT_RANG,0)),"")</f>
        <v>INTERNE</v>
      </c>
      <c r="H26" s="70" t="n">
        <f aca="false">IFERROR(INDEX(MVT_BRUT,MATCH(ROW()-25,MVT_RANG,0)),"")</f>
        <v>1000</v>
      </c>
      <c r="I26" s="70" t="n">
        <f aca="false">IFERROR(INDEX(MVT_NET,MATCH(ROW()-25,MVT_RANG,0)),"")</f>
        <v>1000</v>
      </c>
      <c r="J26" s="50" t="str">
        <f aca="false">IFERROR(INDEX(MVT_STATUT,MATCH(ROW()-25,MVT_RANG,0)),"")</f>
        <v>OK</v>
      </c>
      <c r="K26" s="50" t="str">
        <f aca="false">IFERROR(INDEX(MVT_REF,MATCH(ROW()-25,MVT_RANG,0)),"")</f>
        <v>OP-001</v>
      </c>
    </row>
    <row r="27" customFormat="false" ht="15" hidden="false" customHeight="false" outlineLevel="0" collapsed="false">
      <c r="B27" s="68" t="n">
        <f aca="false">IFERROR(INDEX(MVT_NO,MATCH(ROW()-25,MVT_RANG,0)),"")</f>
        <v>601</v>
      </c>
      <c r="C27" s="69" t="n">
        <f aca="false">IFERROR(INDEX(MVT_DATE,MATCH(ROW()-25,MVT_RANG,0)),"")</f>
        <v>46246</v>
      </c>
      <c r="D27" s="50" t="str">
        <f aca="false">IFERROR(INDEX(MVT_OP,MATCH(ROW()-25,MVT_RANG,0)),"")</f>
        <v>ENVOI SOUS-TRAITANCE</v>
      </c>
      <c r="E27" s="50" t="str">
        <f aca="false">IFERROR(INDEX(MVT_SENS,MATCH(ROW()-25,MVT_RANG,0)),"")</f>
        <v>SORTIE</v>
      </c>
      <c r="F27" s="50" t="str">
        <f aca="false">IFERROR(INDEX(MVT_EMPL,MATCH(ROW()-25,MVT_RANG,0)),"")</f>
        <v>OCEAMIC 2</v>
      </c>
      <c r="G27" s="50" t="str">
        <f aca="false">IFERROR(INDEX(MVT_CLASSE,MATCH(ROW()-25,MVT_RANG,0)),"")</f>
        <v>INTERNE</v>
      </c>
      <c r="H27" s="70" t="n">
        <f aca="false">IFERROR(INDEX(MVT_BRUT,MATCH(ROW()-25,MVT_RANG,0)),"")</f>
        <v>-500</v>
      </c>
      <c r="I27" s="70" t="n">
        <f aca="false">IFERROR(INDEX(MVT_NET,MATCH(ROW()-25,MVT_RANG,0)),"")</f>
        <v>-500</v>
      </c>
      <c r="J27" s="50" t="str">
        <f aca="false">IFERROR(INDEX(MVT_STATUT,MATCH(ROW()-25,MVT_RANG,0)),"")</f>
        <v>A JUSTIFIER</v>
      </c>
      <c r="K27" s="50" t="str">
        <f aca="false">IFERROR(INDEX(MVT_REF,MATCH(ROW()-25,MVT_RANG,0)),"")</f>
        <v>ST-001</v>
      </c>
    </row>
    <row r="28" customFormat="false" ht="15" hidden="false" customHeight="false" outlineLevel="0" collapsed="false">
      <c r="B28" s="50" t="str">
        <f aca="false">IFERROR(INDEX(MVT_NO,MATCH(ROW()-25,MVT_RANG,0)),"")</f>
        <v/>
      </c>
      <c r="C28" s="69" t="str">
        <f aca="false">IFERROR(INDEX(MVT_DATE,MATCH(ROW()-25,MVT_RANG,0)),"")</f>
        <v/>
      </c>
      <c r="D28" s="50" t="str">
        <f aca="false">IFERROR(INDEX(MVT_OP,MATCH(ROW()-25,MVT_RANG,0)),"")</f>
        <v/>
      </c>
      <c r="E28" s="50" t="str">
        <f aca="false">IFERROR(INDEX(MVT_SENS,MATCH(ROW()-25,MVT_RANG,0)),"")</f>
        <v/>
      </c>
      <c r="F28" s="50" t="str">
        <f aca="false">IFERROR(INDEX(MVT_EMPL,MATCH(ROW()-25,MVT_RANG,0)),"")</f>
        <v/>
      </c>
      <c r="G28" s="50" t="str">
        <f aca="false">IFERROR(INDEX(MVT_CLASSE,MATCH(ROW()-25,MVT_RANG,0)),"")</f>
        <v/>
      </c>
      <c r="H28" s="70" t="str">
        <f aca="false">IFERROR(INDEX(MVT_BRUT,MATCH(ROW()-25,MVT_RANG,0)),"")</f>
        <v/>
      </c>
      <c r="I28" s="70" t="str">
        <f aca="false">IFERROR(INDEX(MVT_NET,MATCH(ROW()-25,MVT_RANG,0)),"")</f>
        <v/>
      </c>
      <c r="J28" s="50" t="str">
        <f aca="false">IFERROR(INDEX(MVT_STATUT,MATCH(ROW()-25,MVT_RANG,0)),"")</f>
        <v/>
      </c>
      <c r="K28" s="50" t="str">
        <f aca="false">IFERROR(INDEX(MVT_REF,MATCH(ROW()-25,MVT_RANG,0)),"")</f>
        <v/>
      </c>
    </row>
    <row r="29" customFormat="false" ht="15" hidden="false" customHeight="false" outlineLevel="0" collapsed="false">
      <c r="B29" s="50" t="str">
        <f aca="false">IFERROR(INDEX(MVT_NO,MATCH(ROW()-25,MVT_RANG,0)),"")</f>
        <v/>
      </c>
      <c r="C29" s="69" t="str">
        <f aca="false">IFERROR(INDEX(MVT_DATE,MATCH(ROW()-25,MVT_RANG,0)),"")</f>
        <v/>
      </c>
      <c r="D29" s="50" t="str">
        <f aca="false">IFERROR(INDEX(MVT_OP,MATCH(ROW()-25,MVT_RANG,0)),"")</f>
        <v/>
      </c>
      <c r="E29" s="50" t="str">
        <f aca="false">IFERROR(INDEX(MVT_SENS,MATCH(ROW()-25,MVT_RANG,0)),"")</f>
        <v/>
      </c>
      <c r="F29" s="50" t="str">
        <f aca="false">IFERROR(INDEX(MVT_EMPL,MATCH(ROW()-25,MVT_RANG,0)),"")</f>
        <v/>
      </c>
      <c r="G29" s="50" t="str">
        <f aca="false">IFERROR(INDEX(MVT_CLASSE,MATCH(ROW()-25,MVT_RANG,0)),"")</f>
        <v/>
      </c>
      <c r="H29" s="70" t="str">
        <f aca="false">IFERROR(INDEX(MVT_BRUT,MATCH(ROW()-25,MVT_RANG,0)),"")</f>
        <v/>
      </c>
      <c r="I29" s="70" t="str">
        <f aca="false">IFERROR(INDEX(MVT_NET,MATCH(ROW()-25,MVT_RANG,0)),"")</f>
        <v/>
      </c>
      <c r="J29" s="50" t="str">
        <f aca="false">IFERROR(INDEX(MVT_STATUT,MATCH(ROW()-25,MVT_RANG,0)),"")</f>
        <v/>
      </c>
      <c r="K29" s="50" t="str">
        <f aca="false">IFERROR(INDEX(MVT_REF,MATCH(ROW()-25,MVT_RANG,0)),"")</f>
        <v/>
      </c>
    </row>
    <row r="30" customFormat="false" ht="15" hidden="false" customHeight="false" outlineLevel="0" collapsed="false">
      <c r="B30" s="50" t="str">
        <f aca="false">IFERROR(INDEX(MVT_NO,MATCH(ROW()-25,MVT_RANG,0)),"")</f>
        <v/>
      </c>
      <c r="C30" s="69" t="str">
        <f aca="false">IFERROR(INDEX(MVT_DATE,MATCH(ROW()-25,MVT_RANG,0)),"")</f>
        <v/>
      </c>
      <c r="D30" s="50" t="str">
        <f aca="false">IFERROR(INDEX(MVT_OP,MATCH(ROW()-25,MVT_RANG,0)),"")</f>
        <v/>
      </c>
      <c r="E30" s="50" t="str">
        <f aca="false">IFERROR(INDEX(MVT_SENS,MATCH(ROW()-25,MVT_RANG,0)),"")</f>
        <v/>
      </c>
      <c r="F30" s="50" t="str">
        <f aca="false">IFERROR(INDEX(MVT_EMPL,MATCH(ROW()-25,MVT_RANG,0)),"")</f>
        <v/>
      </c>
      <c r="G30" s="50" t="str">
        <f aca="false">IFERROR(INDEX(MVT_CLASSE,MATCH(ROW()-25,MVT_RANG,0)),"")</f>
        <v/>
      </c>
      <c r="H30" s="70" t="str">
        <f aca="false">IFERROR(INDEX(MVT_BRUT,MATCH(ROW()-25,MVT_RANG,0)),"")</f>
        <v/>
      </c>
      <c r="I30" s="70" t="str">
        <f aca="false">IFERROR(INDEX(MVT_NET,MATCH(ROW()-25,MVT_RANG,0)),"")</f>
        <v/>
      </c>
      <c r="J30" s="50" t="str">
        <f aca="false">IFERROR(INDEX(MVT_STATUT,MATCH(ROW()-25,MVT_RANG,0)),"")</f>
        <v/>
      </c>
      <c r="K30" s="50" t="str">
        <f aca="false">IFERROR(INDEX(MVT_REF,MATCH(ROW()-25,MVT_RANG,0)),"")</f>
        <v/>
      </c>
    </row>
    <row r="31" customFormat="false" ht="15" hidden="false" customHeight="false" outlineLevel="0" collapsed="false">
      <c r="B31" s="50" t="str">
        <f aca="false">IFERROR(INDEX(MVT_NO,MATCH(ROW()-25,MVT_RANG,0)),"")</f>
        <v/>
      </c>
      <c r="C31" s="69" t="str">
        <f aca="false">IFERROR(INDEX(MVT_DATE,MATCH(ROW()-25,MVT_RANG,0)),"")</f>
        <v/>
      </c>
      <c r="D31" s="50" t="str">
        <f aca="false">IFERROR(INDEX(MVT_OP,MATCH(ROW()-25,MVT_RANG,0)),"")</f>
        <v/>
      </c>
      <c r="E31" s="50" t="str">
        <f aca="false">IFERROR(INDEX(MVT_SENS,MATCH(ROW()-25,MVT_RANG,0)),"")</f>
        <v/>
      </c>
      <c r="F31" s="50" t="str">
        <f aca="false">IFERROR(INDEX(MVT_EMPL,MATCH(ROW()-25,MVT_RANG,0)),"")</f>
        <v/>
      </c>
      <c r="G31" s="50" t="str">
        <f aca="false">IFERROR(INDEX(MVT_CLASSE,MATCH(ROW()-25,MVT_RANG,0)),"")</f>
        <v/>
      </c>
      <c r="H31" s="70" t="str">
        <f aca="false">IFERROR(INDEX(MVT_BRUT,MATCH(ROW()-25,MVT_RANG,0)),"")</f>
        <v/>
      </c>
      <c r="I31" s="70" t="str">
        <f aca="false">IFERROR(INDEX(MVT_NET,MATCH(ROW()-25,MVT_RANG,0)),"")</f>
        <v/>
      </c>
      <c r="J31" s="50" t="str">
        <f aca="false">IFERROR(INDEX(MVT_STATUT,MATCH(ROW()-25,MVT_RANG,0)),"")</f>
        <v/>
      </c>
      <c r="K31" s="50" t="str">
        <f aca="false">IFERROR(INDEX(MVT_REF,MATCH(ROW()-25,MVT_RANG,0)),"")</f>
        <v/>
      </c>
    </row>
    <row r="32" customFormat="false" ht="15" hidden="false" customHeight="false" outlineLevel="0" collapsed="false">
      <c r="B32" s="50" t="str">
        <f aca="false">IFERROR(INDEX(MVT_NO,MATCH(ROW()-25,MVT_RANG,0)),"")</f>
        <v/>
      </c>
      <c r="C32" s="69" t="str">
        <f aca="false">IFERROR(INDEX(MVT_DATE,MATCH(ROW()-25,MVT_RANG,0)),"")</f>
        <v/>
      </c>
      <c r="D32" s="50" t="str">
        <f aca="false">IFERROR(INDEX(MVT_OP,MATCH(ROW()-25,MVT_RANG,0)),"")</f>
        <v/>
      </c>
      <c r="E32" s="50" t="str">
        <f aca="false">IFERROR(INDEX(MVT_SENS,MATCH(ROW()-25,MVT_RANG,0)),"")</f>
        <v/>
      </c>
      <c r="F32" s="50" t="str">
        <f aca="false">IFERROR(INDEX(MVT_EMPL,MATCH(ROW()-25,MVT_RANG,0)),"")</f>
        <v/>
      </c>
      <c r="G32" s="50" t="str">
        <f aca="false">IFERROR(INDEX(MVT_CLASSE,MATCH(ROW()-25,MVT_RANG,0)),"")</f>
        <v/>
      </c>
      <c r="H32" s="70" t="str">
        <f aca="false">IFERROR(INDEX(MVT_BRUT,MATCH(ROW()-25,MVT_RANG,0)),"")</f>
        <v/>
      </c>
      <c r="I32" s="70" t="str">
        <f aca="false">IFERROR(INDEX(MVT_NET,MATCH(ROW()-25,MVT_RANG,0)),"")</f>
        <v/>
      </c>
      <c r="J32" s="50" t="str">
        <f aca="false">IFERROR(INDEX(MVT_STATUT,MATCH(ROW()-25,MVT_RANG,0)),"")</f>
        <v/>
      </c>
      <c r="K32" s="50" t="str">
        <f aca="false">IFERROR(INDEX(MVT_REF,MATCH(ROW()-25,MVT_RANG,0)),"")</f>
        <v/>
      </c>
    </row>
    <row r="33" customFormat="false" ht="15" hidden="false" customHeight="false" outlineLevel="0" collapsed="false">
      <c r="B33" s="50" t="str">
        <f aca="false">IFERROR(INDEX(MVT_NO,MATCH(ROW()-25,MVT_RANG,0)),"")</f>
        <v/>
      </c>
      <c r="C33" s="69" t="str">
        <f aca="false">IFERROR(INDEX(MVT_DATE,MATCH(ROW()-25,MVT_RANG,0)),"")</f>
        <v/>
      </c>
      <c r="D33" s="50" t="str">
        <f aca="false">IFERROR(INDEX(MVT_OP,MATCH(ROW()-25,MVT_RANG,0)),"")</f>
        <v/>
      </c>
      <c r="E33" s="50" t="str">
        <f aca="false">IFERROR(INDEX(MVT_SENS,MATCH(ROW()-25,MVT_RANG,0)),"")</f>
        <v/>
      </c>
      <c r="F33" s="50" t="str">
        <f aca="false">IFERROR(INDEX(MVT_EMPL,MATCH(ROW()-25,MVT_RANG,0)),"")</f>
        <v/>
      </c>
      <c r="G33" s="50" t="str">
        <f aca="false">IFERROR(INDEX(MVT_CLASSE,MATCH(ROW()-25,MVT_RANG,0)),"")</f>
        <v/>
      </c>
      <c r="H33" s="70" t="str">
        <f aca="false">IFERROR(INDEX(MVT_BRUT,MATCH(ROW()-25,MVT_RANG,0)),"")</f>
        <v/>
      </c>
      <c r="I33" s="70" t="str">
        <f aca="false">IFERROR(INDEX(MVT_NET,MATCH(ROW()-25,MVT_RANG,0)),"")</f>
        <v/>
      </c>
      <c r="J33" s="50" t="str">
        <f aca="false">IFERROR(INDEX(MVT_STATUT,MATCH(ROW()-25,MVT_RANG,0)),"")</f>
        <v/>
      </c>
      <c r="K33" s="50" t="str">
        <f aca="false">IFERROR(INDEX(MVT_REF,MATCH(ROW()-25,MVT_RANG,0)),"")</f>
        <v/>
      </c>
    </row>
    <row r="34" customFormat="false" ht="15" hidden="false" customHeight="false" outlineLevel="0" collapsed="false">
      <c r="B34" s="50" t="str">
        <f aca="false">IFERROR(INDEX(MVT_NO,MATCH(ROW()-25,MVT_RANG,0)),"")</f>
        <v/>
      </c>
      <c r="C34" s="69" t="str">
        <f aca="false">IFERROR(INDEX(MVT_DATE,MATCH(ROW()-25,MVT_RANG,0)),"")</f>
        <v/>
      </c>
      <c r="D34" s="50" t="str">
        <f aca="false">IFERROR(INDEX(MVT_OP,MATCH(ROW()-25,MVT_RANG,0)),"")</f>
        <v/>
      </c>
      <c r="E34" s="50" t="str">
        <f aca="false">IFERROR(INDEX(MVT_SENS,MATCH(ROW()-25,MVT_RANG,0)),"")</f>
        <v/>
      </c>
      <c r="F34" s="50" t="str">
        <f aca="false">IFERROR(INDEX(MVT_EMPL,MATCH(ROW()-25,MVT_RANG,0)),"")</f>
        <v/>
      </c>
      <c r="G34" s="50" t="str">
        <f aca="false">IFERROR(INDEX(MVT_CLASSE,MATCH(ROW()-25,MVT_RANG,0)),"")</f>
        <v/>
      </c>
      <c r="H34" s="70" t="str">
        <f aca="false">IFERROR(INDEX(MVT_BRUT,MATCH(ROW()-25,MVT_RANG,0)),"")</f>
        <v/>
      </c>
      <c r="I34" s="70" t="str">
        <f aca="false">IFERROR(INDEX(MVT_NET,MATCH(ROW()-25,MVT_RANG,0)),"")</f>
        <v/>
      </c>
      <c r="J34" s="50" t="str">
        <f aca="false">IFERROR(INDEX(MVT_STATUT,MATCH(ROW()-25,MVT_RANG,0)),"")</f>
        <v/>
      </c>
      <c r="K34" s="50" t="str">
        <f aca="false">IFERROR(INDEX(MVT_REF,MATCH(ROW()-25,MVT_RANG,0)),"")</f>
        <v/>
      </c>
    </row>
    <row r="35" customFormat="false" ht="15" hidden="false" customHeight="false" outlineLevel="0" collapsed="false">
      <c r="B35" s="50" t="str">
        <f aca="false">IFERROR(INDEX(MVT_NO,MATCH(ROW()-25,MVT_RANG,0)),"")</f>
        <v/>
      </c>
      <c r="C35" s="69" t="str">
        <f aca="false">IFERROR(INDEX(MVT_DATE,MATCH(ROW()-25,MVT_RANG,0)),"")</f>
        <v/>
      </c>
      <c r="D35" s="50" t="str">
        <f aca="false">IFERROR(INDEX(MVT_OP,MATCH(ROW()-25,MVT_RANG,0)),"")</f>
        <v/>
      </c>
      <c r="E35" s="50" t="str">
        <f aca="false">IFERROR(INDEX(MVT_SENS,MATCH(ROW()-25,MVT_RANG,0)),"")</f>
        <v/>
      </c>
      <c r="F35" s="50" t="str">
        <f aca="false">IFERROR(INDEX(MVT_EMPL,MATCH(ROW()-25,MVT_RANG,0)),"")</f>
        <v/>
      </c>
      <c r="G35" s="50" t="str">
        <f aca="false">IFERROR(INDEX(MVT_CLASSE,MATCH(ROW()-25,MVT_RANG,0)),"")</f>
        <v/>
      </c>
      <c r="H35" s="70" t="str">
        <f aca="false">IFERROR(INDEX(MVT_BRUT,MATCH(ROW()-25,MVT_RANG,0)),"")</f>
        <v/>
      </c>
      <c r="I35" s="70" t="str">
        <f aca="false">IFERROR(INDEX(MVT_NET,MATCH(ROW()-25,MVT_RANG,0)),"")</f>
        <v/>
      </c>
      <c r="J35" s="50" t="str">
        <f aca="false">IFERROR(INDEX(MVT_STATUT,MATCH(ROW()-25,MVT_RANG,0)),"")</f>
        <v/>
      </c>
      <c r="K35" s="50" t="str">
        <f aca="false">IFERROR(INDEX(MVT_REF,MATCH(ROW()-25,MVT_RANG,0)),"")</f>
        <v/>
      </c>
    </row>
    <row r="36" customFormat="false" ht="15" hidden="false" customHeight="false" outlineLevel="0" collapsed="false">
      <c r="B36" s="50" t="str">
        <f aca="false">IFERROR(INDEX(MVT_NO,MATCH(ROW()-25,MVT_RANG,0)),"")</f>
        <v/>
      </c>
      <c r="C36" s="69" t="str">
        <f aca="false">IFERROR(INDEX(MVT_DATE,MATCH(ROW()-25,MVT_RANG,0)),"")</f>
        <v/>
      </c>
      <c r="D36" s="50" t="str">
        <f aca="false">IFERROR(INDEX(MVT_OP,MATCH(ROW()-25,MVT_RANG,0)),"")</f>
        <v/>
      </c>
      <c r="E36" s="50" t="str">
        <f aca="false">IFERROR(INDEX(MVT_SENS,MATCH(ROW()-25,MVT_RANG,0)),"")</f>
        <v/>
      </c>
      <c r="F36" s="50" t="str">
        <f aca="false">IFERROR(INDEX(MVT_EMPL,MATCH(ROW()-25,MVT_RANG,0)),"")</f>
        <v/>
      </c>
      <c r="G36" s="50" t="str">
        <f aca="false">IFERROR(INDEX(MVT_CLASSE,MATCH(ROW()-25,MVT_RANG,0)),"")</f>
        <v/>
      </c>
      <c r="H36" s="70" t="str">
        <f aca="false">IFERROR(INDEX(MVT_BRUT,MATCH(ROW()-25,MVT_RANG,0)),"")</f>
        <v/>
      </c>
      <c r="I36" s="70" t="str">
        <f aca="false">IFERROR(INDEX(MVT_NET,MATCH(ROW()-25,MVT_RANG,0)),"")</f>
        <v/>
      </c>
      <c r="J36" s="50" t="str">
        <f aca="false">IFERROR(INDEX(MVT_STATUT,MATCH(ROW()-25,MVT_RANG,0)),"")</f>
        <v/>
      </c>
      <c r="K36" s="50" t="str">
        <f aca="false">IFERROR(INDEX(MVT_REF,MATCH(ROW()-25,MVT_RANG,0)),"")</f>
        <v/>
      </c>
    </row>
    <row r="37" customFormat="false" ht="15" hidden="false" customHeight="false" outlineLevel="0" collapsed="false">
      <c r="B37" s="50" t="str">
        <f aca="false">IFERROR(INDEX(MVT_NO,MATCH(ROW()-25,MVT_RANG,0)),"")</f>
        <v/>
      </c>
      <c r="C37" s="69" t="str">
        <f aca="false">IFERROR(INDEX(MVT_DATE,MATCH(ROW()-25,MVT_RANG,0)),"")</f>
        <v/>
      </c>
      <c r="D37" s="50" t="str">
        <f aca="false">IFERROR(INDEX(MVT_OP,MATCH(ROW()-25,MVT_RANG,0)),"")</f>
        <v/>
      </c>
      <c r="E37" s="50" t="str">
        <f aca="false">IFERROR(INDEX(MVT_SENS,MATCH(ROW()-25,MVT_RANG,0)),"")</f>
        <v/>
      </c>
      <c r="F37" s="50" t="str">
        <f aca="false">IFERROR(INDEX(MVT_EMPL,MATCH(ROW()-25,MVT_RANG,0)),"")</f>
        <v/>
      </c>
      <c r="G37" s="50" t="str">
        <f aca="false">IFERROR(INDEX(MVT_CLASSE,MATCH(ROW()-25,MVT_RANG,0)),"")</f>
        <v/>
      </c>
      <c r="H37" s="70" t="str">
        <f aca="false">IFERROR(INDEX(MVT_BRUT,MATCH(ROW()-25,MVT_RANG,0)),"")</f>
        <v/>
      </c>
      <c r="I37" s="70" t="str">
        <f aca="false">IFERROR(INDEX(MVT_NET,MATCH(ROW()-25,MVT_RANG,0)),"")</f>
        <v/>
      </c>
      <c r="J37" s="50" t="str">
        <f aca="false">IFERROR(INDEX(MVT_STATUT,MATCH(ROW()-25,MVT_RANG,0)),"")</f>
        <v/>
      </c>
      <c r="K37" s="50" t="str">
        <f aca="false">IFERROR(INDEX(MVT_REF,MATCH(ROW()-25,MVT_RANG,0)),"")</f>
        <v/>
      </c>
    </row>
    <row r="38" customFormat="false" ht="15" hidden="false" customHeight="false" outlineLevel="0" collapsed="false">
      <c r="B38" s="50" t="str">
        <f aca="false">IFERROR(INDEX(MVT_NO,MATCH(ROW()-25,MVT_RANG,0)),"")</f>
        <v/>
      </c>
      <c r="C38" s="69" t="str">
        <f aca="false">IFERROR(INDEX(MVT_DATE,MATCH(ROW()-25,MVT_RANG,0)),"")</f>
        <v/>
      </c>
      <c r="D38" s="50" t="str">
        <f aca="false">IFERROR(INDEX(MVT_OP,MATCH(ROW()-25,MVT_RANG,0)),"")</f>
        <v/>
      </c>
      <c r="E38" s="50" t="str">
        <f aca="false">IFERROR(INDEX(MVT_SENS,MATCH(ROW()-25,MVT_RANG,0)),"")</f>
        <v/>
      </c>
      <c r="F38" s="50" t="str">
        <f aca="false">IFERROR(INDEX(MVT_EMPL,MATCH(ROW()-25,MVT_RANG,0)),"")</f>
        <v/>
      </c>
      <c r="G38" s="50" t="str">
        <f aca="false">IFERROR(INDEX(MVT_CLASSE,MATCH(ROW()-25,MVT_RANG,0)),"")</f>
        <v/>
      </c>
      <c r="H38" s="70" t="str">
        <f aca="false">IFERROR(INDEX(MVT_BRUT,MATCH(ROW()-25,MVT_RANG,0)),"")</f>
        <v/>
      </c>
      <c r="I38" s="70" t="str">
        <f aca="false">IFERROR(INDEX(MVT_NET,MATCH(ROW()-25,MVT_RANG,0)),"")</f>
        <v/>
      </c>
      <c r="J38" s="50" t="str">
        <f aca="false">IFERROR(INDEX(MVT_STATUT,MATCH(ROW()-25,MVT_RANG,0)),"")</f>
        <v/>
      </c>
      <c r="K38" s="50" t="str">
        <f aca="false">IFERROR(INDEX(MVT_REF,MATCH(ROW()-25,MVT_RANG,0)),"")</f>
        <v/>
      </c>
    </row>
    <row r="39" customFormat="false" ht="15" hidden="false" customHeight="false" outlineLevel="0" collapsed="false">
      <c r="B39" s="50" t="str">
        <f aca="false">IFERROR(INDEX(MVT_NO,MATCH(ROW()-25,MVT_RANG,0)),"")</f>
        <v/>
      </c>
      <c r="C39" s="69" t="str">
        <f aca="false">IFERROR(INDEX(MVT_DATE,MATCH(ROW()-25,MVT_RANG,0)),"")</f>
        <v/>
      </c>
      <c r="D39" s="50" t="str">
        <f aca="false">IFERROR(INDEX(MVT_OP,MATCH(ROW()-25,MVT_RANG,0)),"")</f>
        <v/>
      </c>
      <c r="E39" s="50" t="str">
        <f aca="false">IFERROR(INDEX(MVT_SENS,MATCH(ROW()-25,MVT_RANG,0)),"")</f>
        <v/>
      </c>
      <c r="F39" s="50" t="str">
        <f aca="false">IFERROR(INDEX(MVT_EMPL,MATCH(ROW()-25,MVT_RANG,0)),"")</f>
        <v/>
      </c>
      <c r="G39" s="50" t="str">
        <f aca="false">IFERROR(INDEX(MVT_CLASSE,MATCH(ROW()-25,MVT_RANG,0)),"")</f>
        <v/>
      </c>
      <c r="H39" s="70" t="str">
        <f aca="false">IFERROR(INDEX(MVT_BRUT,MATCH(ROW()-25,MVT_RANG,0)),"")</f>
        <v/>
      </c>
      <c r="I39" s="70" t="str">
        <f aca="false">IFERROR(INDEX(MVT_NET,MATCH(ROW()-25,MVT_RANG,0)),"")</f>
        <v/>
      </c>
      <c r="J39" s="50" t="str">
        <f aca="false">IFERROR(INDEX(MVT_STATUT,MATCH(ROW()-25,MVT_RANG,0)),"")</f>
        <v/>
      </c>
      <c r="K39" s="50" t="str">
        <f aca="false">IFERROR(INDEX(MVT_REF,MATCH(ROW()-25,MVT_RANG,0)),"")</f>
        <v/>
      </c>
    </row>
    <row r="40" customFormat="false" ht="15" hidden="false" customHeight="false" outlineLevel="0" collapsed="false">
      <c r="B40" s="50" t="str">
        <f aca="false">IFERROR(INDEX(MVT_NO,MATCH(ROW()-25,MVT_RANG,0)),"")</f>
        <v/>
      </c>
      <c r="C40" s="69" t="str">
        <f aca="false">IFERROR(INDEX(MVT_DATE,MATCH(ROW()-25,MVT_RANG,0)),"")</f>
        <v/>
      </c>
      <c r="D40" s="50" t="str">
        <f aca="false">IFERROR(INDEX(MVT_OP,MATCH(ROW()-25,MVT_RANG,0)),"")</f>
        <v/>
      </c>
      <c r="E40" s="50" t="str">
        <f aca="false">IFERROR(INDEX(MVT_SENS,MATCH(ROW()-25,MVT_RANG,0)),"")</f>
        <v/>
      </c>
      <c r="F40" s="50" t="str">
        <f aca="false">IFERROR(INDEX(MVT_EMPL,MATCH(ROW()-25,MVT_RANG,0)),"")</f>
        <v/>
      </c>
      <c r="G40" s="50" t="str">
        <f aca="false">IFERROR(INDEX(MVT_CLASSE,MATCH(ROW()-25,MVT_RANG,0)),"")</f>
        <v/>
      </c>
      <c r="H40" s="70" t="str">
        <f aca="false">IFERROR(INDEX(MVT_BRUT,MATCH(ROW()-25,MVT_RANG,0)),"")</f>
        <v/>
      </c>
      <c r="I40" s="70" t="str">
        <f aca="false">IFERROR(INDEX(MVT_NET,MATCH(ROW()-25,MVT_RANG,0)),"")</f>
        <v/>
      </c>
      <c r="J40" s="50" t="str">
        <f aca="false">IFERROR(INDEX(MVT_STATUT,MATCH(ROW()-25,MVT_RANG,0)),"")</f>
        <v/>
      </c>
      <c r="K40" s="50" t="str">
        <f aca="false">IFERROR(INDEX(MVT_REF,MATCH(ROW()-25,MVT_RANG,0)),"")</f>
        <v/>
      </c>
    </row>
    <row r="41" customFormat="false" ht="15" hidden="false" customHeight="false" outlineLevel="0" collapsed="false">
      <c r="B41" s="50" t="str">
        <f aca="false">IFERROR(INDEX(MVT_NO,MATCH(ROW()-25,MVT_RANG,0)),"")</f>
        <v/>
      </c>
      <c r="C41" s="69" t="str">
        <f aca="false">IFERROR(INDEX(MVT_DATE,MATCH(ROW()-25,MVT_RANG,0)),"")</f>
        <v/>
      </c>
      <c r="D41" s="50" t="str">
        <f aca="false">IFERROR(INDEX(MVT_OP,MATCH(ROW()-25,MVT_RANG,0)),"")</f>
        <v/>
      </c>
      <c r="E41" s="50" t="str">
        <f aca="false">IFERROR(INDEX(MVT_SENS,MATCH(ROW()-25,MVT_RANG,0)),"")</f>
        <v/>
      </c>
      <c r="F41" s="50" t="str">
        <f aca="false">IFERROR(INDEX(MVT_EMPL,MATCH(ROW()-25,MVT_RANG,0)),"")</f>
        <v/>
      </c>
      <c r="G41" s="50" t="str">
        <f aca="false">IFERROR(INDEX(MVT_CLASSE,MATCH(ROW()-25,MVT_RANG,0)),"")</f>
        <v/>
      </c>
      <c r="H41" s="70" t="str">
        <f aca="false">IFERROR(INDEX(MVT_BRUT,MATCH(ROW()-25,MVT_RANG,0)),"")</f>
        <v/>
      </c>
      <c r="I41" s="70" t="str">
        <f aca="false">IFERROR(INDEX(MVT_NET,MATCH(ROW()-25,MVT_RANG,0)),"")</f>
        <v/>
      </c>
      <c r="J41" s="50" t="str">
        <f aca="false">IFERROR(INDEX(MVT_STATUT,MATCH(ROW()-25,MVT_RANG,0)),"")</f>
        <v/>
      </c>
      <c r="K41" s="50" t="str">
        <f aca="false">IFERROR(INDEX(MVT_REF,MATCH(ROW()-25,MVT_RANG,0)),"")</f>
        <v/>
      </c>
    </row>
    <row r="42" customFormat="false" ht="15" hidden="false" customHeight="false" outlineLevel="0" collapsed="false">
      <c r="B42" s="50" t="str">
        <f aca="false">IFERROR(INDEX(MVT_NO,MATCH(ROW()-25,MVT_RANG,0)),"")</f>
        <v/>
      </c>
      <c r="C42" s="69" t="str">
        <f aca="false">IFERROR(INDEX(MVT_DATE,MATCH(ROW()-25,MVT_RANG,0)),"")</f>
        <v/>
      </c>
      <c r="D42" s="50" t="str">
        <f aca="false">IFERROR(INDEX(MVT_OP,MATCH(ROW()-25,MVT_RANG,0)),"")</f>
        <v/>
      </c>
      <c r="E42" s="50" t="str">
        <f aca="false">IFERROR(INDEX(MVT_SENS,MATCH(ROW()-25,MVT_RANG,0)),"")</f>
        <v/>
      </c>
      <c r="F42" s="50" t="str">
        <f aca="false">IFERROR(INDEX(MVT_EMPL,MATCH(ROW()-25,MVT_RANG,0)),"")</f>
        <v/>
      </c>
      <c r="G42" s="50" t="str">
        <f aca="false">IFERROR(INDEX(MVT_CLASSE,MATCH(ROW()-25,MVT_RANG,0)),"")</f>
        <v/>
      </c>
      <c r="H42" s="70" t="str">
        <f aca="false">IFERROR(INDEX(MVT_BRUT,MATCH(ROW()-25,MVT_RANG,0)),"")</f>
        <v/>
      </c>
      <c r="I42" s="70" t="str">
        <f aca="false">IFERROR(INDEX(MVT_NET,MATCH(ROW()-25,MVT_RANG,0)),"")</f>
        <v/>
      </c>
      <c r="J42" s="50" t="str">
        <f aca="false">IFERROR(INDEX(MVT_STATUT,MATCH(ROW()-25,MVT_RANG,0)),"")</f>
        <v/>
      </c>
      <c r="K42" s="50" t="str">
        <f aca="false">IFERROR(INDEX(MVT_REF,MATCH(ROW()-25,MVT_RANG,0)),"")</f>
        <v/>
      </c>
    </row>
    <row r="43" customFormat="false" ht="15" hidden="false" customHeight="false" outlineLevel="0" collapsed="false">
      <c r="B43" s="50" t="str">
        <f aca="false">IFERROR(INDEX(MVT_NO,MATCH(ROW()-25,MVT_RANG,0)),"")</f>
        <v/>
      </c>
      <c r="C43" s="69" t="str">
        <f aca="false">IFERROR(INDEX(MVT_DATE,MATCH(ROW()-25,MVT_RANG,0)),"")</f>
        <v/>
      </c>
      <c r="D43" s="50" t="str">
        <f aca="false">IFERROR(INDEX(MVT_OP,MATCH(ROW()-25,MVT_RANG,0)),"")</f>
        <v/>
      </c>
      <c r="E43" s="50" t="str">
        <f aca="false">IFERROR(INDEX(MVT_SENS,MATCH(ROW()-25,MVT_RANG,0)),"")</f>
        <v/>
      </c>
      <c r="F43" s="50" t="str">
        <f aca="false">IFERROR(INDEX(MVT_EMPL,MATCH(ROW()-25,MVT_RANG,0)),"")</f>
        <v/>
      </c>
      <c r="G43" s="50" t="str">
        <f aca="false">IFERROR(INDEX(MVT_CLASSE,MATCH(ROW()-25,MVT_RANG,0)),"")</f>
        <v/>
      </c>
      <c r="H43" s="70" t="str">
        <f aca="false">IFERROR(INDEX(MVT_BRUT,MATCH(ROW()-25,MVT_RANG,0)),"")</f>
        <v/>
      </c>
      <c r="I43" s="70" t="str">
        <f aca="false">IFERROR(INDEX(MVT_NET,MATCH(ROW()-25,MVT_RANG,0)),"")</f>
        <v/>
      </c>
      <c r="J43" s="50" t="str">
        <f aca="false">IFERROR(INDEX(MVT_STATUT,MATCH(ROW()-25,MVT_RANG,0)),"")</f>
        <v/>
      </c>
      <c r="K43" s="50" t="str">
        <f aca="false">IFERROR(INDEX(MVT_REF,MATCH(ROW()-25,MVT_RANG,0)),"")</f>
        <v/>
      </c>
    </row>
    <row r="44" customFormat="false" ht="15" hidden="false" customHeight="false" outlineLevel="0" collapsed="false">
      <c r="B44" s="50" t="str">
        <f aca="false">IFERROR(INDEX(MVT_NO,MATCH(ROW()-25,MVT_RANG,0)),"")</f>
        <v/>
      </c>
      <c r="C44" s="69" t="str">
        <f aca="false">IFERROR(INDEX(MVT_DATE,MATCH(ROW()-25,MVT_RANG,0)),"")</f>
        <v/>
      </c>
      <c r="D44" s="50" t="str">
        <f aca="false">IFERROR(INDEX(MVT_OP,MATCH(ROW()-25,MVT_RANG,0)),"")</f>
        <v/>
      </c>
      <c r="E44" s="50" t="str">
        <f aca="false">IFERROR(INDEX(MVT_SENS,MATCH(ROW()-25,MVT_RANG,0)),"")</f>
        <v/>
      </c>
      <c r="F44" s="50" t="str">
        <f aca="false">IFERROR(INDEX(MVT_EMPL,MATCH(ROW()-25,MVT_RANG,0)),"")</f>
        <v/>
      </c>
      <c r="G44" s="50" t="str">
        <f aca="false">IFERROR(INDEX(MVT_CLASSE,MATCH(ROW()-25,MVT_RANG,0)),"")</f>
        <v/>
      </c>
      <c r="H44" s="70" t="str">
        <f aca="false">IFERROR(INDEX(MVT_BRUT,MATCH(ROW()-25,MVT_RANG,0)),"")</f>
        <v/>
      </c>
      <c r="I44" s="70" t="str">
        <f aca="false">IFERROR(INDEX(MVT_NET,MATCH(ROW()-25,MVT_RANG,0)),"")</f>
        <v/>
      </c>
      <c r="J44" s="50" t="str">
        <f aca="false">IFERROR(INDEX(MVT_STATUT,MATCH(ROW()-25,MVT_RANG,0)),"")</f>
        <v/>
      </c>
      <c r="K44" s="50" t="str">
        <f aca="false">IFERROR(INDEX(MVT_REF,MATCH(ROW()-25,MVT_RANG,0)),"")</f>
        <v/>
      </c>
    </row>
    <row r="45" customFormat="false" ht="15" hidden="false" customHeight="false" outlineLevel="0" collapsed="false">
      <c r="B45" s="50" t="str">
        <f aca="false">IFERROR(INDEX(MVT_NO,MATCH(ROW()-25,MVT_RANG,0)),"")</f>
        <v/>
      </c>
      <c r="C45" s="69" t="str">
        <f aca="false">IFERROR(INDEX(MVT_DATE,MATCH(ROW()-25,MVT_RANG,0)),"")</f>
        <v/>
      </c>
      <c r="D45" s="50" t="str">
        <f aca="false">IFERROR(INDEX(MVT_OP,MATCH(ROW()-25,MVT_RANG,0)),"")</f>
        <v/>
      </c>
      <c r="E45" s="50" t="str">
        <f aca="false">IFERROR(INDEX(MVT_SENS,MATCH(ROW()-25,MVT_RANG,0)),"")</f>
        <v/>
      </c>
      <c r="F45" s="50" t="str">
        <f aca="false">IFERROR(INDEX(MVT_EMPL,MATCH(ROW()-25,MVT_RANG,0)),"")</f>
        <v/>
      </c>
      <c r="G45" s="50" t="str">
        <f aca="false">IFERROR(INDEX(MVT_CLASSE,MATCH(ROW()-25,MVT_RANG,0)),"")</f>
        <v/>
      </c>
      <c r="H45" s="70" t="str">
        <f aca="false">IFERROR(INDEX(MVT_BRUT,MATCH(ROW()-25,MVT_RANG,0)),"")</f>
        <v/>
      </c>
      <c r="I45" s="70" t="str">
        <f aca="false">IFERROR(INDEX(MVT_NET,MATCH(ROW()-25,MVT_RANG,0)),"")</f>
        <v/>
      </c>
      <c r="J45" s="50" t="str">
        <f aca="false">IFERROR(INDEX(MVT_STATUT,MATCH(ROW()-25,MVT_RANG,0)),"")</f>
        <v/>
      </c>
      <c r="K45" s="50" t="str">
        <f aca="false">IFERROR(INDEX(MVT_REF,MATCH(ROW()-25,MVT_RANG,0)),"")</f>
        <v/>
      </c>
    </row>
    <row r="46" customFormat="false" ht="15" hidden="false" customHeight="false" outlineLevel="0" collapsed="false">
      <c r="B46" s="50" t="str">
        <f aca="false">IFERROR(INDEX(MVT_NO,MATCH(ROW()-25,MVT_RANG,0)),"")</f>
        <v/>
      </c>
      <c r="C46" s="69" t="str">
        <f aca="false">IFERROR(INDEX(MVT_DATE,MATCH(ROW()-25,MVT_RANG,0)),"")</f>
        <v/>
      </c>
      <c r="D46" s="50" t="str">
        <f aca="false">IFERROR(INDEX(MVT_OP,MATCH(ROW()-25,MVT_RANG,0)),"")</f>
        <v/>
      </c>
      <c r="E46" s="50" t="str">
        <f aca="false">IFERROR(INDEX(MVT_SENS,MATCH(ROW()-25,MVT_RANG,0)),"")</f>
        <v/>
      </c>
      <c r="F46" s="50" t="str">
        <f aca="false">IFERROR(INDEX(MVT_EMPL,MATCH(ROW()-25,MVT_RANG,0)),"")</f>
        <v/>
      </c>
      <c r="G46" s="50" t="str">
        <f aca="false">IFERROR(INDEX(MVT_CLASSE,MATCH(ROW()-25,MVT_RANG,0)),"")</f>
        <v/>
      </c>
      <c r="H46" s="70" t="str">
        <f aca="false">IFERROR(INDEX(MVT_BRUT,MATCH(ROW()-25,MVT_RANG,0)),"")</f>
        <v/>
      </c>
      <c r="I46" s="70" t="str">
        <f aca="false">IFERROR(INDEX(MVT_NET,MATCH(ROW()-25,MVT_RANG,0)),"")</f>
        <v/>
      </c>
      <c r="J46" s="50" t="str">
        <f aca="false">IFERROR(INDEX(MVT_STATUT,MATCH(ROW()-25,MVT_RANG,0)),"")</f>
        <v/>
      </c>
      <c r="K46" s="50" t="str">
        <f aca="false">IFERROR(INDEX(MVT_REF,MATCH(ROW()-25,MVT_RANG,0)),"")</f>
        <v/>
      </c>
    </row>
    <row r="47" customFormat="false" ht="15" hidden="false" customHeight="false" outlineLevel="0" collapsed="false">
      <c r="B47" s="50" t="str">
        <f aca="false">IFERROR(INDEX(MVT_NO,MATCH(ROW()-25,MVT_RANG,0)),"")</f>
        <v/>
      </c>
      <c r="C47" s="69" t="str">
        <f aca="false">IFERROR(INDEX(MVT_DATE,MATCH(ROW()-25,MVT_RANG,0)),"")</f>
        <v/>
      </c>
      <c r="D47" s="50" t="str">
        <f aca="false">IFERROR(INDEX(MVT_OP,MATCH(ROW()-25,MVT_RANG,0)),"")</f>
        <v/>
      </c>
      <c r="E47" s="50" t="str">
        <f aca="false">IFERROR(INDEX(MVT_SENS,MATCH(ROW()-25,MVT_RANG,0)),"")</f>
        <v/>
      </c>
      <c r="F47" s="50" t="str">
        <f aca="false">IFERROR(INDEX(MVT_EMPL,MATCH(ROW()-25,MVT_RANG,0)),"")</f>
        <v/>
      </c>
      <c r="G47" s="50" t="str">
        <f aca="false">IFERROR(INDEX(MVT_CLASSE,MATCH(ROW()-25,MVT_RANG,0)),"")</f>
        <v/>
      </c>
      <c r="H47" s="70" t="str">
        <f aca="false">IFERROR(INDEX(MVT_BRUT,MATCH(ROW()-25,MVT_RANG,0)),"")</f>
        <v/>
      </c>
      <c r="I47" s="70" t="str">
        <f aca="false">IFERROR(INDEX(MVT_NET,MATCH(ROW()-25,MVT_RANG,0)),"")</f>
        <v/>
      </c>
      <c r="J47" s="50" t="str">
        <f aca="false">IFERROR(INDEX(MVT_STATUT,MATCH(ROW()-25,MVT_RANG,0)),"")</f>
        <v/>
      </c>
      <c r="K47" s="50" t="str">
        <f aca="false">IFERROR(INDEX(MVT_REF,MATCH(ROW()-25,MVT_RANG,0)),"")</f>
        <v/>
      </c>
    </row>
    <row r="48" customFormat="false" ht="15" hidden="false" customHeight="false" outlineLevel="0" collapsed="false">
      <c r="B48" s="50" t="str">
        <f aca="false">IFERROR(INDEX(MVT_NO,MATCH(ROW()-25,MVT_RANG,0)),"")</f>
        <v/>
      </c>
      <c r="C48" s="69" t="str">
        <f aca="false">IFERROR(INDEX(MVT_DATE,MATCH(ROW()-25,MVT_RANG,0)),"")</f>
        <v/>
      </c>
      <c r="D48" s="50" t="str">
        <f aca="false">IFERROR(INDEX(MVT_OP,MATCH(ROW()-25,MVT_RANG,0)),"")</f>
        <v/>
      </c>
      <c r="E48" s="50" t="str">
        <f aca="false">IFERROR(INDEX(MVT_SENS,MATCH(ROW()-25,MVT_RANG,0)),"")</f>
        <v/>
      </c>
      <c r="F48" s="50" t="str">
        <f aca="false">IFERROR(INDEX(MVT_EMPL,MATCH(ROW()-25,MVT_RANG,0)),"")</f>
        <v/>
      </c>
      <c r="G48" s="50" t="str">
        <f aca="false">IFERROR(INDEX(MVT_CLASSE,MATCH(ROW()-25,MVT_RANG,0)),"")</f>
        <v/>
      </c>
      <c r="H48" s="70" t="str">
        <f aca="false">IFERROR(INDEX(MVT_BRUT,MATCH(ROW()-25,MVT_RANG,0)),"")</f>
        <v/>
      </c>
      <c r="I48" s="70" t="str">
        <f aca="false">IFERROR(INDEX(MVT_NET,MATCH(ROW()-25,MVT_RANG,0)),"")</f>
        <v/>
      </c>
      <c r="J48" s="50" t="str">
        <f aca="false">IFERROR(INDEX(MVT_STATUT,MATCH(ROW()-25,MVT_RANG,0)),"")</f>
        <v/>
      </c>
      <c r="K48" s="50" t="str">
        <f aca="false">IFERROR(INDEX(MVT_REF,MATCH(ROW()-25,MVT_RANG,0)),"")</f>
        <v/>
      </c>
    </row>
    <row r="49" customFormat="false" ht="15" hidden="false" customHeight="false" outlineLevel="0" collapsed="false">
      <c r="B49" s="50" t="str">
        <f aca="false">IFERROR(INDEX(MVT_NO,MATCH(ROW()-25,MVT_RANG,0)),"")</f>
        <v/>
      </c>
      <c r="C49" s="69" t="str">
        <f aca="false">IFERROR(INDEX(MVT_DATE,MATCH(ROW()-25,MVT_RANG,0)),"")</f>
        <v/>
      </c>
      <c r="D49" s="50" t="str">
        <f aca="false">IFERROR(INDEX(MVT_OP,MATCH(ROW()-25,MVT_RANG,0)),"")</f>
        <v/>
      </c>
      <c r="E49" s="50" t="str">
        <f aca="false">IFERROR(INDEX(MVT_SENS,MATCH(ROW()-25,MVT_RANG,0)),"")</f>
        <v/>
      </c>
      <c r="F49" s="50" t="str">
        <f aca="false">IFERROR(INDEX(MVT_EMPL,MATCH(ROW()-25,MVT_RANG,0)),"")</f>
        <v/>
      </c>
      <c r="G49" s="50" t="str">
        <f aca="false">IFERROR(INDEX(MVT_CLASSE,MATCH(ROW()-25,MVT_RANG,0)),"")</f>
        <v/>
      </c>
      <c r="H49" s="70" t="str">
        <f aca="false">IFERROR(INDEX(MVT_BRUT,MATCH(ROW()-25,MVT_RANG,0)),"")</f>
        <v/>
      </c>
      <c r="I49" s="70" t="str">
        <f aca="false">IFERROR(INDEX(MVT_NET,MATCH(ROW()-25,MVT_RANG,0)),"")</f>
        <v/>
      </c>
      <c r="J49" s="50" t="str">
        <f aca="false">IFERROR(INDEX(MVT_STATUT,MATCH(ROW()-25,MVT_RANG,0)),"")</f>
        <v/>
      </c>
      <c r="K49" s="50" t="str">
        <f aca="false">IFERROR(INDEX(MVT_REF,MATCH(ROW()-25,MVT_RANG,0)),"")</f>
        <v/>
      </c>
    </row>
    <row r="50" customFormat="false" ht="15" hidden="false" customHeight="false" outlineLevel="0" collapsed="false">
      <c r="B50" s="50" t="str">
        <f aca="false">IFERROR(INDEX(MVT_NO,MATCH(ROW()-25,MVT_RANG,0)),"")</f>
        <v/>
      </c>
      <c r="C50" s="69" t="str">
        <f aca="false">IFERROR(INDEX(MVT_DATE,MATCH(ROW()-25,MVT_RANG,0)),"")</f>
        <v/>
      </c>
      <c r="D50" s="50" t="str">
        <f aca="false">IFERROR(INDEX(MVT_OP,MATCH(ROW()-25,MVT_RANG,0)),"")</f>
        <v/>
      </c>
      <c r="E50" s="50" t="str">
        <f aca="false">IFERROR(INDEX(MVT_SENS,MATCH(ROW()-25,MVT_RANG,0)),"")</f>
        <v/>
      </c>
      <c r="F50" s="50" t="str">
        <f aca="false">IFERROR(INDEX(MVT_EMPL,MATCH(ROW()-25,MVT_RANG,0)),"")</f>
        <v/>
      </c>
      <c r="G50" s="50" t="str">
        <f aca="false">IFERROR(INDEX(MVT_CLASSE,MATCH(ROW()-25,MVT_RANG,0)),"")</f>
        <v/>
      </c>
      <c r="H50" s="70" t="str">
        <f aca="false">IFERROR(INDEX(MVT_BRUT,MATCH(ROW()-25,MVT_RANG,0)),"")</f>
        <v/>
      </c>
      <c r="I50" s="70" t="str">
        <f aca="false">IFERROR(INDEX(MVT_NET,MATCH(ROW()-25,MVT_RANG,0)),"")</f>
        <v/>
      </c>
      <c r="J50" s="50" t="str">
        <f aca="false">IFERROR(INDEX(MVT_STATUT,MATCH(ROW()-25,MVT_RANG,0)),"")</f>
        <v/>
      </c>
      <c r="K50" s="50" t="str">
        <f aca="false">IFERROR(INDEX(MVT_REF,MATCH(ROW()-25,MVT_RANG,0)),"")</f>
        <v/>
      </c>
    </row>
    <row r="52" customFormat="false" ht="19.5" hidden="false" customHeight="true" outlineLevel="0" collapsed="false">
      <c r="A52" s="3" t="s">
        <v>302</v>
      </c>
      <c r="B52" s="3"/>
      <c r="C52" s="3"/>
      <c r="D52" s="3"/>
      <c r="E52" s="3"/>
      <c r="F52" s="3"/>
      <c r="G52" s="3"/>
      <c r="H52" s="3"/>
      <c r="I52" s="3"/>
      <c r="J52" s="3"/>
      <c r="K52" s="3"/>
    </row>
    <row r="53" customFormat="false" ht="25.5" hidden="false" customHeight="true" outlineLevel="0" collapsed="false">
      <c r="B53" s="67" t="s">
        <v>170</v>
      </c>
      <c r="C53" s="67" t="s">
        <v>171</v>
      </c>
      <c r="D53" s="67" t="s">
        <v>172</v>
      </c>
      <c r="E53" s="67" t="s">
        <v>173</v>
      </c>
      <c r="F53" s="67" t="s">
        <v>138</v>
      </c>
      <c r="G53" s="67" t="s">
        <v>303</v>
      </c>
      <c r="H53" s="67" t="s">
        <v>304</v>
      </c>
      <c r="I53" s="67" t="s">
        <v>282</v>
      </c>
      <c r="J53" s="67" t="s">
        <v>183</v>
      </c>
      <c r="K53" s="67" t="s">
        <v>147</v>
      </c>
    </row>
    <row r="54" customFormat="false" ht="15" hidden="false" customHeight="false" outlineLevel="0" collapsed="false">
      <c r="B54" s="50" t="str">
        <f aca="false">IFERROR(INDEX(ST_ID,MATCH(ROW()-53,ST_RANG,0)),"")</f>
        <v>ST-001</v>
      </c>
      <c r="C54" s="69" t="n">
        <f aca="false">IFERROR(INDEX(ST_DATE,MATCH(ROW()-53,ST_RANG,0)),"")</f>
        <v>46246</v>
      </c>
      <c r="D54" s="50" t="str">
        <f aca="false">IFERROR(INDEX(ST_STRAIT,MATCH(ROW()-53,ST_RANG,0)),"")</f>
        <v>USINE SOUS-TRAITANTE</v>
      </c>
      <c r="E54" s="50" t="str">
        <f aca="false">IFERROR(INDEX(ST_SOURCE,MATCH(ROW()-53,ST_RANG,0)),"")</f>
        <v>STOCK EXISTANT</v>
      </c>
      <c r="F54" s="50" t="str">
        <f aca="false">IFERROR(INDEX(ST_EMPL,MATCH(ROW()-53,ST_RANG,0)),"")</f>
        <v>OCEAMIC 2</v>
      </c>
      <c r="G54" s="70" t="n">
        <f aca="false">IFERROR(INDEX(ST_QTE,MATCH(ROW()-53,ST_RANG,0)),"")</f>
        <v>500</v>
      </c>
      <c r="H54" s="70" t="n">
        <f aca="false">IFERROR(INDEX(ST_TOTSORTIE,MATCH(ROW()-53,ST_RANG,0)),"")</f>
        <v>450</v>
      </c>
      <c r="I54" s="70" t="n">
        <f aca="false">IFERROR(INDEX(ST_ECART,MATCH(ROW()-53,ST_RANG,0)),"")</f>
        <v>50</v>
      </c>
      <c r="J54" s="68" t="n">
        <f aca="false">IFERROR(INDEX(ST_NBRES,MATCH(ROW()-53,ST_RANG,0)),"")</f>
        <v>2</v>
      </c>
      <c r="K54" s="50" t="str">
        <f aca="false">IFERROR(INDEX(ST_STATUT,MATCH(ROW()-53,ST_RANG,0)),"")</f>
        <v>A JUSTIFIER</v>
      </c>
    </row>
    <row r="55" customFormat="false" ht="15" hidden="false" customHeight="false" outlineLevel="0" collapsed="false">
      <c r="B55" s="50" t="str">
        <f aca="false">IFERROR(INDEX(ST_ID,MATCH(ROW()-53,ST_RANG,0)),"")</f>
        <v/>
      </c>
      <c r="C55" s="69" t="str">
        <f aca="false">IFERROR(INDEX(ST_DATE,MATCH(ROW()-53,ST_RANG,0)),"")</f>
        <v/>
      </c>
      <c r="D55" s="50" t="str">
        <f aca="false">IFERROR(INDEX(ST_STRAIT,MATCH(ROW()-53,ST_RANG,0)),"")</f>
        <v/>
      </c>
      <c r="E55" s="50" t="str">
        <f aca="false">IFERROR(INDEX(ST_SOURCE,MATCH(ROW()-53,ST_RANG,0)),"")</f>
        <v/>
      </c>
      <c r="F55" s="50" t="str">
        <f aca="false">IFERROR(INDEX(ST_EMPL,MATCH(ROW()-53,ST_RANG,0)),"")</f>
        <v/>
      </c>
      <c r="G55" s="70" t="str">
        <f aca="false">IFERROR(INDEX(ST_QTE,MATCH(ROW()-53,ST_RANG,0)),"")</f>
        <v/>
      </c>
      <c r="H55" s="70" t="str">
        <f aca="false">IFERROR(INDEX(ST_TOTSORTIE,MATCH(ROW()-53,ST_RANG,0)),"")</f>
        <v/>
      </c>
      <c r="I55" s="70" t="str">
        <f aca="false">IFERROR(INDEX(ST_ECART,MATCH(ROW()-53,ST_RANG,0)),"")</f>
        <v/>
      </c>
      <c r="J55" s="50" t="str">
        <f aca="false">IFERROR(INDEX(ST_NBRES,MATCH(ROW()-53,ST_RANG,0)),"")</f>
        <v/>
      </c>
      <c r="K55" s="50" t="str">
        <f aca="false">IFERROR(INDEX(ST_STATUT,MATCH(ROW()-53,ST_RANG,0)),"")</f>
        <v/>
      </c>
    </row>
    <row r="56" customFormat="false" ht="15" hidden="false" customHeight="false" outlineLevel="0" collapsed="false">
      <c r="B56" s="50" t="str">
        <f aca="false">IFERROR(INDEX(ST_ID,MATCH(ROW()-53,ST_RANG,0)),"")</f>
        <v/>
      </c>
      <c r="C56" s="69" t="str">
        <f aca="false">IFERROR(INDEX(ST_DATE,MATCH(ROW()-53,ST_RANG,0)),"")</f>
        <v/>
      </c>
      <c r="D56" s="50" t="str">
        <f aca="false">IFERROR(INDEX(ST_STRAIT,MATCH(ROW()-53,ST_RANG,0)),"")</f>
        <v/>
      </c>
      <c r="E56" s="50" t="str">
        <f aca="false">IFERROR(INDEX(ST_SOURCE,MATCH(ROW()-53,ST_RANG,0)),"")</f>
        <v/>
      </c>
      <c r="F56" s="50" t="str">
        <f aca="false">IFERROR(INDEX(ST_EMPL,MATCH(ROW()-53,ST_RANG,0)),"")</f>
        <v/>
      </c>
      <c r="G56" s="70" t="str">
        <f aca="false">IFERROR(INDEX(ST_QTE,MATCH(ROW()-53,ST_RANG,0)),"")</f>
        <v/>
      </c>
      <c r="H56" s="70" t="str">
        <f aca="false">IFERROR(INDEX(ST_TOTSORTIE,MATCH(ROW()-53,ST_RANG,0)),"")</f>
        <v/>
      </c>
      <c r="I56" s="70" t="str">
        <f aca="false">IFERROR(INDEX(ST_ECART,MATCH(ROW()-53,ST_RANG,0)),"")</f>
        <v/>
      </c>
      <c r="J56" s="50" t="str">
        <f aca="false">IFERROR(INDEX(ST_NBRES,MATCH(ROW()-53,ST_RANG,0)),"")</f>
        <v/>
      </c>
      <c r="K56" s="50" t="str">
        <f aca="false">IFERROR(INDEX(ST_STATUT,MATCH(ROW()-53,ST_RANG,0)),"")</f>
        <v/>
      </c>
    </row>
    <row r="57" customFormat="false" ht="15" hidden="false" customHeight="false" outlineLevel="0" collapsed="false">
      <c r="B57" s="50" t="str">
        <f aca="false">IFERROR(INDEX(ST_ID,MATCH(ROW()-53,ST_RANG,0)),"")</f>
        <v/>
      </c>
      <c r="C57" s="69" t="str">
        <f aca="false">IFERROR(INDEX(ST_DATE,MATCH(ROW()-53,ST_RANG,0)),"")</f>
        <v/>
      </c>
      <c r="D57" s="50" t="str">
        <f aca="false">IFERROR(INDEX(ST_STRAIT,MATCH(ROW()-53,ST_RANG,0)),"")</f>
        <v/>
      </c>
      <c r="E57" s="50" t="str">
        <f aca="false">IFERROR(INDEX(ST_SOURCE,MATCH(ROW()-53,ST_RANG,0)),"")</f>
        <v/>
      </c>
      <c r="F57" s="50" t="str">
        <f aca="false">IFERROR(INDEX(ST_EMPL,MATCH(ROW()-53,ST_RANG,0)),"")</f>
        <v/>
      </c>
      <c r="G57" s="70" t="str">
        <f aca="false">IFERROR(INDEX(ST_QTE,MATCH(ROW()-53,ST_RANG,0)),"")</f>
        <v/>
      </c>
      <c r="H57" s="70" t="str">
        <f aca="false">IFERROR(INDEX(ST_TOTSORTIE,MATCH(ROW()-53,ST_RANG,0)),"")</f>
        <v/>
      </c>
      <c r="I57" s="70" t="str">
        <f aca="false">IFERROR(INDEX(ST_ECART,MATCH(ROW()-53,ST_RANG,0)),"")</f>
        <v/>
      </c>
      <c r="J57" s="50" t="str">
        <f aca="false">IFERROR(INDEX(ST_NBRES,MATCH(ROW()-53,ST_RANG,0)),"")</f>
        <v/>
      </c>
      <c r="K57" s="50" t="str">
        <f aca="false">IFERROR(INDEX(ST_STATUT,MATCH(ROW()-53,ST_RANG,0)),"")</f>
        <v/>
      </c>
    </row>
    <row r="58" customFormat="false" ht="15" hidden="false" customHeight="false" outlineLevel="0" collapsed="false">
      <c r="B58" s="50" t="str">
        <f aca="false">IFERROR(INDEX(ST_ID,MATCH(ROW()-53,ST_RANG,0)),"")</f>
        <v/>
      </c>
      <c r="C58" s="69" t="str">
        <f aca="false">IFERROR(INDEX(ST_DATE,MATCH(ROW()-53,ST_RANG,0)),"")</f>
        <v/>
      </c>
      <c r="D58" s="50" t="str">
        <f aca="false">IFERROR(INDEX(ST_STRAIT,MATCH(ROW()-53,ST_RANG,0)),"")</f>
        <v/>
      </c>
      <c r="E58" s="50" t="str">
        <f aca="false">IFERROR(INDEX(ST_SOURCE,MATCH(ROW()-53,ST_RANG,0)),"")</f>
        <v/>
      </c>
      <c r="F58" s="50" t="str">
        <f aca="false">IFERROR(INDEX(ST_EMPL,MATCH(ROW()-53,ST_RANG,0)),"")</f>
        <v/>
      </c>
      <c r="G58" s="70" t="str">
        <f aca="false">IFERROR(INDEX(ST_QTE,MATCH(ROW()-53,ST_RANG,0)),"")</f>
        <v/>
      </c>
      <c r="H58" s="70" t="str">
        <f aca="false">IFERROR(INDEX(ST_TOTSORTIE,MATCH(ROW()-53,ST_RANG,0)),"")</f>
        <v/>
      </c>
      <c r="I58" s="70" t="str">
        <f aca="false">IFERROR(INDEX(ST_ECART,MATCH(ROW()-53,ST_RANG,0)),"")</f>
        <v/>
      </c>
      <c r="J58" s="50" t="str">
        <f aca="false">IFERROR(INDEX(ST_NBRES,MATCH(ROW()-53,ST_RANG,0)),"")</f>
        <v/>
      </c>
      <c r="K58" s="50" t="str">
        <f aca="false">IFERROR(INDEX(ST_STATUT,MATCH(ROW()-53,ST_RANG,0)),"")</f>
        <v/>
      </c>
    </row>
    <row r="59" customFormat="false" ht="15" hidden="false" customHeight="false" outlineLevel="0" collapsed="false">
      <c r="B59" s="50" t="str">
        <f aca="false">IFERROR(INDEX(ST_ID,MATCH(ROW()-53,ST_RANG,0)),"")</f>
        <v/>
      </c>
      <c r="C59" s="69" t="str">
        <f aca="false">IFERROR(INDEX(ST_DATE,MATCH(ROW()-53,ST_RANG,0)),"")</f>
        <v/>
      </c>
      <c r="D59" s="50" t="str">
        <f aca="false">IFERROR(INDEX(ST_STRAIT,MATCH(ROW()-53,ST_RANG,0)),"")</f>
        <v/>
      </c>
      <c r="E59" s="50" t="str">
        <f aca="false">IFERROR(INDEX(ST_SOURCE,MATCH(ROW()-53,ST_RANG,0)),"")</f>
        <v/>
      </c>
      <c r="F59" s="50" t="str">
        <f aca="false">IFERROR(INDEX(ST_EMPL,MATCH(ROW()-53,ST_RANG,0)),"")</f>
        <v/>
      </c>
      <c r="G59" s="70" t="str">
        <f aca="false">IFERROR(INDEX(ST_QTE,MATCH(ROW()-53,ST_RANG,0)),"")</f>
        <v/>
      </c>
      <c r="H59" s="70" t="str">
        <f aca="false">IFERROR(INDEX(ST_TOTSORTIE,MATCH(ROW()-53,ST_RANG,0)),"")</f>
        <v/>
      </c>
      <c r="I59" s="70" t="str">
        <f aca="false">IFERROR(INDEX(ST_ECART,MATCH(ROW()-53,ST_RANG,0)),"")</f>
        <v/>
      </c>
      <c r="J59" s="50" t="str">
        <f aca="false">IFERROR(INDEX(ST_NBRES,MATCH(ROW()-53,ST_RANG,0)),"")</f>
        <v/>
      </c>
      <c r="K59" s="50" t="str">
        <f aca="false">IFERROR(INDEX(ST_STATUT,MATCH(ROW()-53,ST_RANG,0)),"")</f>
        <v/>
      </c>
    </row>
    <row r="60" customFormat="false" ht="15" hidden="false" customHeight="false" outlineLevel="0" collapsed="false">
      <c r="B60" s="50" t="str">
        <f aca="false">IFERROR(INDEX(ST_ID,MATCH(ROW()-53,ST_RANG,0)),"")</f>
        <v/>
      </c>
      <c r="C60" s="69" t="str">
        <f aca="false">IFERROR(INDEX(ST_DATE,MATCH(ROW()-53,ST_RANG,0)),"")</f>
        <v/>
      </c>
      <c r="D60" s="50" t="str">
        <f aca="false">IFERROR(INDEX(ST_STRAIT,MATCH(ROW()-53,ST_RANG,0)),"")</f>
        <v/>
      </c>
      <c r="E60" s="50" t="str">
        <f aca="false">IFERROR(INDEX(ST_SOURCE,MATCH(ROW()-53,ST_RANG,0)),"")</f>
        <v/>
      </c>
      <c r="F60" s="50" t="str">
        <f aca="false">IFERROR(INDEX(ST_EMPL,MATCH(ROW()-53,ST_RANG,0)),"")</f>
        <v/>
      </c>
      <c r="G60" s="70" t="str">
        <f aca="false">IFERROR(INDEX(ST_QTE,MATCH(ROW()-53,ST_RANG,0)),"")</f>
        <v/>
      </c>
      <c r="H60" s="70" t="str">
        <f aca="false">IFERROR(INDEX(ST_TOTSORTIE,MATCH(ROW()-53,ST_RANG,0)),"")</f>
        <v/>
      </c>
      <c r="I60" s="70" t="str">
        <f aca="false">IFERROR(INDEX(ST_ECART,MATCH(ROW()-53,ST_RANG,0)),"")</f>
        <v/>
      </c>
      <c r="J60" s="50" t="str">
        <f aca="false">IFERROR(INDEX(ST_NBRES,MATCH(ROW()-53,ST_RANG,0)),"")</f>
        <v/>
      </c>
      <c r="K60" s="50" t="str">
        <f aca="false">IFERROR(INDEX(ST_STATUT,MATCH(ROW()-53,ST_RANG,0)),"")</f>
        <v/>
      </c>
    </row>
    <row r="61" customFormat="false" ht="15" hidden="false" customHeight="false" outlineLevel="0" collapsed="false">
      <c r="B61" s="50" t="str">
        <f aca="false">IFERROR(INDEX(ST_ID,MATCH(ROW()-53,ST_RANG,0)),"")</f>
        <v/>
      </c>
      <c r="C61" s="69" t="str">
        <f aca="false">IFERROR(INDEX(ST_DATE,MATCH(ROW()-53,ST_RANG,0)),"")</f>
        <v/>
      </c>
      <c r="D61" s="50" t="str">
        <f aca="false">IFERROR(INDEX(ST_STRAIT,MATCH(ROW()-53,ST_RANG,0)),"")</f>
        <v/>
      </c>
      <c r="E61" s="50" t="str">
        <f aca="false">IFERROR(INDEX(ST_SOURCE,MATCH(ROW()-53,ST_RANG,0)),"")</f>
        <v/>
      </c>
      <c r="F61" s="50" t="str">
        <f aca="false">IFERROR(INDEX(ST_EMPL,MATCH(ROW()-53,ST_RANG,0)),"")</f>
        <v/>
      </c>
      <c r="G61" s="70" t="str">
        <f aca="false">IFERROR(INDEX(ST_QTE,MATCH(ROW()-53,ST_RANG,0)),"")</f>
        <v/>
      </c>
      <c r="H61" s="70" t="str">
        <f aca="false">IFERROR(INDEX(ST_TOTSORTIE,MATCH(ROW()-53,ST_RANG,0)),"")</f>
        <v/>
      </c>
      <c r="I61" s="70" t="str">
        <f aca="false">IFERROR(INDEX(ST_ECART,MATCH(ROW()-53,ST_RANG,0)),"")</f>
        <v/>
      </c>
      <c r="J61" s="50" t="str">
        <f aca="false">IFERROR(INDEX(ST_NBRES,MATCH(ROW()-53,ST_RANG,0)),"")</f>
        <v/>
      </c>
      <c r="K61" s="50" t="str">
        <f aca="false">IFERROR(INDEX(ST_STATUT,MATCH(ROW()-53,ST_RANG,0)),"")</f>
        <v/>
      </c>
    </row>
    <row r="62" customFormat="false" ht="15" hidden="false" customHeight="false" outlineLevel="0" collapsed="false">
      <c r="B62" s="50" t="str">
        <f aca="false">IFERROR(INDEX(ST_ID,MATCH(ROW()-53,ST_RANG,0)),"")</f>
        <v/>
      </c>
      <c r="C62" s="69" t="str">
        <f aca="false">IFERROR(INDEX(ST_DATE,MATCH(ROW()-53,ST_RANG,0)),"")</f>
        <v/>
      </c>
      <c r="D62" s="50" t="str">
        <f aca="false">IFERROR(INDEX(ST_STRAIT,MATCH(ROW()-53,ST_RANG,0)),"")</f>
        <v/>
      </c>
      <c r="E62" s="50" t="str">
        <f aca="false">IFERROR(INDEX(ST_SOURCE,MATCH(ROW()-53,ST_RANG,0)),"")</f>
        <v/>
      </c>
      <c r="F62" s="50" t="str">
        <f aca="false">IFERROR(INDEX(ST_EMPL,MATCH(ROW()-53,ST_RANG,0)),"")</f>
        <v/>
      </c>
      <c r="G62" s="70" t="str">
        <f aca="false">IFERROR(INDEX(ST_QTE,MATCH(ROW()-53,ST_RANG,0)),"")</f>
        <v/>
      </c>
      <c r="H62" s="70" t="str">
        <f aca="false">IFERROR(INDEX(ST_TOTSORTIE,MATCH(ROW()-53,ST_RANG,0)),"")</f>
        <v/>
      </c>
      <c r="I62" s="70" t="str">
        <f aca="false">IFERROR(INDEX(ST_ECART,MATCH(ROW()-53,ST_RANG,0)),"")</f>
        <v/>
      </c>
      <c r="J62" s="50" t="str">
        <f aca="false">IFERROR(INDEX(ST_NBRES,MATCH(ROW()-53,ST_RANG,0)),"")</f>
        <v/>
      </c>
      <c r="K62" s="50" t="str">
        <f aca="false">IFERROR(INDEX(ST_STATUT,MATCH(ROW()-53,ST_RANG,0)),"")</f>
        <v/>
      </c>
    </row>
    <row r="63" customFormat="false" ht="15" hidden="false" customHeight="false" outlineLevel="0" collapsed="false">
      <c r="B63" s="50" t="str">
        <f aca="false">IFERROR(INDEX(ST_ID,MATCH(ROW()-53,ST_RANG,0)),"")</f>
        <v/>
      </c>
      <c r="C63" s="69" t="str">
        <f aca="false">IFERROR(INDEX(ST_DATE,MATCH(ROW()-53,ST_RANG,0)),"")</f>
        <v/>
      </c>
      <c r="D63" s="50" t="str">
        <f aca="false">IFERROR(INDEX(ST_STRAIT,MATCH(ROW()-53,ST_RANG,0)),"")</f>
        <v/>
      </c>
      <c r="E63" s="50" t="str">
        <f aca="false">IFERROR(INDEX(ST_SOURCE,MATCH(ROW()-53,ST_RANG,0)),"")</f>
        <v/>
      </c>
      <c r="F63" s="50" t="str">
        <f aca="false">IFERROR(INDEX(ST_EMPL,MATCH(ROW()-53,ST_RANG,0)),"")</f>
        <v/>
      </c>
      <c r="G63" s="70" t="str">
        <f aca="false">IFERROR(INDEX(ST_QTE,MATCH(ROW()-53,ST_RANG,0)),"")</f>
        <v/>
      </c>
      <c r="H63" s="70" t="str">
        <f aca="false">IFERROR(INDEX(ST_TOTSORTIE,MATCH(ROW()-53,ST_RANG,0)),"")</f>
        <v/>
      </c>
      <c r="I63" s="70" t="str">
        <f aca="false">IFERROR(INDEX(ST_ECART,MATCH(ROW()-53,ST_RANG,0)),"")</f>
        <v/>
      </c>
      <c r="J63" s="50" t="str">
        <f aca="false">IFERROR(INDEX(ST_NBRES,MATCH(ROW()-53,ST_RANG,0)),"")</f>
        <v/>
      </c>
      <c r="K63" s="50" t="str">
        <f aca="false">IFERROR(INDEX(ST_STATUT,MATCH(ROW()-53,ST_RANG,0)),"")</f>
        <v/>
      </c>
    </row>
    <row r="64" customFormat="false" ht="15" hidden="false" customHeight="false" outlineLevel="0" collapsed="false">
      <c r="B64" s="50" t="str">
        <f aca="false">IFERROR(INDEX(ST_ID,MATCH(ROW()-53,ST_RANG,0)),"")</f>
        <v/>
      </c>
      <c r="C64" s="69" t="str">
        <f aca="false">IFERROR(INDEX(ST_DATE,MATCH(ROW()-53,ST_RANG,0)),"")</f>
        <v/>
      </c>
      <c r="D64" s="50" t="str">
        <f aca="false">IFERROR(INDEX(ST_STRAIT,MATCH(ROW()-53,ST_RANG,0)),"")</f>
        <v/>
      </c>
      <c r="E64" s="50" t="str">
        <f aca="false">IFERROR(INDEX(ST_SOURCE,MATCH(ROW()-53,ST_RANG,0)),"")</f>
        <v/>
      </c>
      <c r="F64" s="50" t="str">
        <f aca="false">IFERROR(INDEX(ST_EMPL,MATCH(ROW()-53,ST_RANG,0)),"")</f>
        <v/>
      </c>
      <c r="G64" s="70" t="str">
        <f aca="false">IFERROR(INDEX(ST_QTE,MATCH(ROW()-53,ST_RANG,0)),"")</f>
        <v/>
      </c>
      <c r="H64" s="70" t="str">
        <f aca="false">IFERROR(INDEX(ST_TOTSORTIE,MATCH(ROW()-53,ST_RANG,0)),"")</f>
        <v/>
      </c>
      <c r="I64" s="70" t="str">
        <f aca="false">IFERROR(INDEX(ST_ECART,MATCH(ROW()-53,ST_RANG,0)),"")</f>
        <v/>
      </c>
      <c r="J64" s="50" t="str">
        <f aca="false">IFERROR(INDEX(ST_NBRES,MATCH(ROW()-53,ST_RANG,0)),"")</f>
        <v/>
      </c>
      <c r="K64" s="50" t="str">
        <f aca="false">IFERROR(INDEX(ST_STATUT,MATCH(ROW()-53,ST_RANG,0)),"")</f>
        <v/>
      </c>
    </row>
    <row r="65" customFormat="false" ht="15" hidden="false" customHeight="false" outlineLevel="0" collapsed="false">
      <c r="B65" s="50" t="str">
        <f aca="false">IFERROR(INDEX(ST_ID,MATCH(ROW()-53,ST_RANG,0)),"")</f>
        <v/>
      </c>
      <c r="C65" s="69" t="str">
        <f aca="false">IFERROR(INDEX(ST_DATE,MATCH(ROW()-53,ST_RANG,0)),"")</f>
        <v/>
      </c>
      <c r="D65" s="50" t="str">
        <f aca="false">IFERROR(INDEX(ST_STRAIT,MATCH(ROW()-53,ST_RANG,0)),"")</f>
        <v/>
      </c>
      <c r="E65" s="50" t="str">
        <f aca="false">IFERROR(INDEX(ST_SOURCE,MATCH(ROW()-53,ST_RANG,0)),"")</f>
        <v/>
      </c>
      <c r="F65" s="50" t="str">
        <f aca="false">IFERROR(INDEX(ST_EMPL,MATCH(ROW()-53,ST_RANG,0)),"")</f>
        <v/>
      </c>
      <c r="G65" s="70" t="str">
        <f aca="false">IFERROR(INDEX(ST_QTE,MATCH(ROW()-53,ST_RANG,0)),"")</f>
        <v/>
      </c>
      <c r="H65" s="70" t="str">
        <f aca="false">IFERROR(INDEX(ST_TOTSORTIE,MATCH(ROW()-53,ST_RANG,0)),"")</f>
        <v/>
      </c>
      <c r="I65" s="70" t="str">
        <f aca="false">IFERROR(INDEX(ST_ECART,MATCH(ROW()-53,ST_RANG,0)),"")</f>
        <v/>
      </c>
      <c r="J65" s="50" t="str">
        <f aca="false">IFERROR(INDEX(ST_NBRES,MATCH(ROW()-53,ST_RANG,0)),"")</f>
        <v/>
      </c>
      <c r="K65" s="50" t="str">
        <f aca="false">IFERROR(INDEX(ST_STATUT,MATCH(ROW()-53,ST_RANG,0)),"")</f>
        <v/>
      </c>
    </row>
    <row r="67" customFormat="false" ht="19.5" hidden="false" customHeight="true" outlineLevel="0" collapsed="false">
      <c r="A67" s="3" t="s">
        <v>305</v>
      </c>
      <c r="B67" s="3"/>
      <c r="C67" s="3"/>
      <c r="D67" s="3"/>
      <c r="E67" s="3"/>
      <c r="F67" s="3"/>
      <c r="G67" s="3"/>
      <c r="H67" s="3"/>
      <c r="I67" s="3"/>
      <c r="J67" s="3"/>
      <c r="K67" s="3"/>
    </row>
    <row r="68" customFormat="false" ht="25.5" hidden="false" customHeight="true" outlineLevel="0" collapsed="false">
      <c r="B68" s="67" t="s">
        <v>170</v>
      </c>
      <c r="C68" s="67" t="s">
        <v>136</v>
      </c>
      <c r="D68" s="67" t="s">
        <v>204</v>
      </c>
      <c r="E68" s="67" t="s">
        <v>306</v>
      </c>
      <c r="F68" s="67" t="s">
        <v>307</v>
      </c>
      <c r="G68" s="67" t="s">
        <v>229</v>
      </c>
      <c r="H68" s="67" t="s">
        <v>230</v>
      </c>
      <c r="I68" s="67" t="s">
        <v>308</v>
      </c>
      <c r="J68" s="67" t="s">
        <v>265</v>
      </c>
      <c r="K68" s="67" t="s">
        <v>147</v>
      </c>
    </row>
    <row r="69" customFormat="false" ht="15" hidden="false" customHeight="false" outlineLevel="0" collapsed="false">
      <c r="B69" s="50" t="str">
        <f aca="false">IFERROR(INDEX(RES_IDST,MATCH(ROW()-68,RES_RANG,0)),"")</f>
        <v>ST-001</v>
      </c>
      <c r="C69" s="69" t="n">
        <f aca="false">IFERROR(INDEX(RES_DATE,MATCH(ROW()-68,RES_RANG,0)),"")</f>
        <v>46248</v>
      </c>
      <c r="D69" s="50" t="str">
        <f aca="false">IFERROR(INDEX(RES_ETAT,MATCH(ROW()-68,RES_RANG,0)),"")</f>
        <v>HG</v>
      </c>
      <c r="E69" s="50" t="str">
        <f aca="false">IFERROR(INDEX(RES_LOTEFF,MATCH(ROW()-68,RES_RANG,0)),"")</f>
        <v>255-HG</v>
      </c>
      <c r="F69" s="70" t="n">
        <f aca="false">IFERROR(INDEX(RES_QTE,MATCH(ROW()-68,RES_RANG,0)),"")</f>
        <v>300</v>
      </c>
      <c r="G69" s="50" t="str">
        <f aca="false">IFERROR(INDEX(RES_QUAL,MATCH(ROW()-68,RES_RANG,0)),"")</f>
        <v>A</v>
      </c>
      <c r="H69" s="50" t="str">
        <f aca="false">IFERROR(INDEX(RES_MOULE,MATCH(ROW()-68,RES_RANG,0)),"")</f>
        <v>20/24</v>
      </c>
      <c r="I69" s="50" t="str">
        <f aca="false">IFERROR(INDEX(RES_DEST,MATCH(ROW()-68,RES_RANG,0)),"")</f>
        <v>OCEAMIC 2</v>
      </c>
      <c r="J69" s="50" t="str">
        <f aca="false">IF($I69="","",IFERROR(INDEX(EMPL_CLASSE,MATCH($I69,EMPL_KEY,0)),""))</f>
        <v>INTERNE</v>
      </c>
      <c r="K69" s="50" t="str">
        <f aca="false">IFERROR(INDEX(RES_STATUT,MATCH(ROW()-68,RES_RANG,0)),"")</f>
        <v>OK</v>
      </c>
    </row>
    <row r="70" customFormat="false" ht="15" hidden="false" customHeight="false" outlineLevel="0" collapsed="false">
      <c r="B70" s="50" t="str">
        <f aca="false">IFERROR(INDEX(RES_IDST,MATCH(ROW()-68,RES_RANG,0)),"")</f>
        <v>ST-001</v>
      </c>
      <c r="C70" s="69" t="n">
        <f aca="false">IFERROR(INDEX(RES_DATE,MATCH(ROW()-68,RES_RANG,0)),"")</f>
        <v>46248</v>
      </c>
      <c r="D70" s="50" t="str">
        <f aca="false">IFERROR(INDEX(RES_ETAT,MATCH(ROW()-68,RES_RANG,0)),"")</f>
        <v>HGT</v>
      </c>
      <c r="E70" s="50" t="str">
        <f aca="false">IFERROR(INDEX(RES_LOTEFF,MATCH(ROW()-68,RES_RANG,0)),"")</f>
        <v>255-HGT</v>
      </c>
      <c r="F70" s="70" t="n">
        <f aca="false">IFERROR(INDEX(RES_QTE,MATCH(ROW()-68,RES_RANG,0)),"")</f>
        <v>150</v>
      </c>
      <c r="G70" s="50" t="str">
        <f aca="false">IFERROR(INDEX(RES_QUAL,MATCH(ROW()-68,RES_RANG,0)),"")</f>
        <v>B</v>
      </c>
      <c r="H70" s="50" t="str">
        <f aca="false">IFERROR(INDEX(RES_MOULE,MATCH(ROW()-68,RES_RANG,0)),"")</f>
        <v>26/30</v>
      </c>
      <c r="I70" s="50" t="str">
        <f aca="false">IFERROR(INDEX(RES_DEST,MATCH(ROW()-68,RES_RANG,0)),"")</f>
        <v>COFRIGOP</v>
      </c>
      <c r="J70" s="50" t="str">
        <f aca="false">IF($I70="","",IFERROR(INDEX(EMPL_CLASSE,MATCH($I70,EMPL_KEY,0)),""))</f>
        <v>EXTERNE</v>
      </c>
      <c r="K70" s="50" t="str">
        <f aca="false">IFERROR(INDEX(RES_STATUT,MATCH(ROW()-68,RES_RANG,0)),"")</f>
        <v>OK</v>
      </c>
    </row>
    <row r="71" customFormat="false" ht="15" hidden="false" customHeight="false" outlineLevel="0" collapsed="false">
      <c r="B71" s="50" t="str">
        <f aca="false">IFERROR(INDEX(RES_IDST,MATCH(ROW()-68,RES_RANG,0)),"")</f>
        <v/>
      </c>
      <c r="C71" s="69" t="str">
        <f aca="false">IFERROR(INDEX(RES_DATE,MATCH(ROW()-68,RES_RANG,0)),"")</f>
        <v/>
      </c>
      <c r="D71" s="50" t="str">
        <f aca="false">IFERROR(INDEX(RES_ETAT,MATCH(ROW()-68,RES_RANG,0)),"")</f>
        <v/>
      </c>
      <c r="E71" s="50" t="str">
        <f aca="false">IFERROR(INDEX(RES_LOTEFF,MATCH(ROW()-68,RES_RANG,0)),"")</f>
        <v/>
      </c>
      <c r="F71" s="70" t="str">
        <f aca="false">IFERROR(INDEX(RES_QTE,MATCH(ROW()-68,RES_RANG,0)),"")</f>
        <v/>
      </c>
      <c r="G71" s="50" t="str">
        <f aca="false">IFERROR(INDEX(RES_QUAL,MATCH(ROW()-68,RES_RANG,0)),"")</f>
        <v/>
      </c>
      <c r="H71" s="50" t="str">
        <f aca="false">IFERROR(INDEX(RES_MOULE,MATCH(ROW()-68,RES_RANG,0)),"")</f>
        <v/>
      </c>
      <c r="I71" s="50" t="str">
        <f aca="false">IFERROR(INDEX(RES_DEST,MATCH(ROW()-68,RES_RANG,0)),"")</f>
        <v/>
      </c>
      <c r="J71" s="50" t="str">
        <f aca="false">IF($I71="","",IFERROR(INDEX(EMPL_CLASSE,MATCH($I71,EMPL_KEY,0)),""))</f>
        <v/>
      </c>
      <c r="K71" s="50" t="str">
        <f aca="false">IFERROR(INDEX(RES_STATUT,MATCH(ROW()-68,RES_RANG,0)),"")</f>
        <v/>
      </c>
    </row>
    <row r="72" customFormat="false" ht="15" hidden="false" customHeight="false" outlineLevel="0" collapsed="false">
      <c r="B72" s="50" t="str">
        <f aca="false">IFERROR(INDEX(RES_IDST,MATCH(ROW()-68,RES_RANG,0)),"")</f>
        <v/>
      </c>
      <c r="C72" s="69" t="str">
        <f aca="false">IFERROR(INDEX(RES_DATE,MATCH(ROW()-68,RES_RANG,0)),"")</f>
        <v/>
      </c>
      <c r="D72" s="50" t="str">
        <f aca="false">IFERROR(INDEX(RES_ETAT,MATCH(ROW()-68,RES_RANG,0)),"")</f>
        <v/>
      </c>
      <c r="E72" s="50" t="str">
        <f aca="false">IFERROR(INDEX(RES_LOTEFF,MATCH(ROW()-68,RES_RANG,0)),"")</f>
        <v/>
      </c>
      <c r="F72" s="70" t="str">
        <f aca="false">IFERROR(INDEX(RES_QTE,MATCH(ROW()-68,RES_RANG,0)),"")</f>
        <v/>
      </c>
      <c r="G72" s="50" t="str">
        <f aca="false">IFERROR(INDEX(RES_QUAL,MATCH(ROW()-68,RES_RANG,0)),"")</f>
        <v/>
      </c>
      <c r="H72" s="50" t="str">
        <f aca="false">IFERROR(INDEX(RES_MOULE,MATCH(ROW()-68,RES_RANG,0)),"")</f>
        <v/>
      </c>
      <c r="I72" s="50" t="str">
        <f aca="false">IFERROR(INDEX(RES_DEST,MATCH(ROW()-68,RES_RANG,0)),"")</f>
        <v/>
      </c>
      <c r="J72" s="50" t="str">
        <f aca="false">IF($I72="","",IFERROR(INDEX(EMPL_CLASSE,MATCH($I72,EMPL_KEY,0)),""))</f>
        <v/>
      </c>
      <c r="K72" s="50" t="str">
        <f aca="false">IFERROR(INDEX(RES_STATUT,MATCH(ROW()-68,RES_RANG,0)),"")</f>
        <v/>
      </c>
    </row>
    <row r="73" customFormat="false" ht="15" hidden="false" customHeight="false" outlineLevel="0" collapsed="false">
      <c r="B73" s="50" t="str">
        <f aca="false">IFERROR(INDEX(RES_IDST,MATCH(ROW()-68,RES_RANG,0)),"")</f>
        <v/>
      </c>
      <c r="C73" s="69" t="str">
        <f aca="false">IFERROR(INDEX(RES_DATE,MATCH(ROW()-68,RES_RANG,0)),"")</f>
        <v/>
      </c>
      <c r="D73" s="50" t="str">
        <f aca="false">IFERROR(INDEX(RES_ETAT,MATCH(ROW()-68,RES_RANG,0)),"")</f>
        <v/>
      </c>
      <c r="E73" s="50" t="str">
        <f aca="false">IFERROR(INDEX(RES_LOTEFF,MATCH(ROW()-68,RES_RANG,0)),"")</f>
        <v/>
      </c>
      <c r="F73" s="70" t="str">
        <f aca="false">IFERROR(INDEX(RES_QTE,MATCH(ROW()-68,RES_RANG,0)),"")</f>
        <v/>
      </c>
      <c r="G73" s="50" t="str">
        <f aca="false">IFERROR(INDEX(RES_QUAL,MATCH(ROW()-68,RES_RANG,0)),"")</f>
        <v/>
      </c>
      <c r="H73" s="50" t="str">
        <f aca="false">IFERROR(INDEX(RES_MOULE,MATCH(ROW()-68,RES_RANG,0)),"")</f>
        <v/>
      </c>
      <c r="I73" s="50" t="str">
        <f aca="false">IFERROR(INDEX(RES_DEST,MATCH(ROW()-68,RES_RANG,0)),"")</f>
        <v/>
      </c>
      <c r="J73" s="50" t="str">
        <f aca="false">IF($I73="","",IFERROR(INDEX(EMPL_CLASSE,MATCH($I73,EMPL_KEY,0)),""))</f>
        <v/>
      </c>
      <c r="K73" s="50" t="str">
        <f aca="false">IFERROR(INDEX(RES_STATUT,MATCH(ROW()-68,RES_RANG,0)),"")</f>
        <v/>
      </c>
    </row>
    <row r="74" customFormat="false" ht="15" hidden="false" customHeight="false" outlineLevel="0" collapsed="false">
      <c r="B74" s="50" t="str">
        <f aca="false">IFERROR(INDEX(RES_IDST,MATCH(ROW()-68,RES_RANG,0)),"")</f>
        <v/>
      </c>
      <c r="C74" s="69" t="str">
        <f aca="false">IFERROR(INDEX(RES_DATE,MATCH(ROW()-68,RES_RANG,0)),"")</f>
        <v/>
      </c>
      <c r="D74" s="50" t="str">
        <f aca="false">IFERROR(INDEX(RES_ETAT,MATCH(ROW()-68,RES_RANG,0)),"")</f>
        <v/>
      </c>
      <c r="E74" s="50" t="str">
        <f aca="false">IFERROR(INDEX(RES_LOTEFF,MATCH(ROW()-68,RES_RANG,0)),"")</f>
        <v/>
      </c>
      <c r="F74" s="70" t="str">
        <f aca="false">IFERROR(INDEX(RES_QTE,MATCH(ROW()-68,RES_RANG,0)),"")</f>
        <v/>
      </c>
      <c r="G74" s="50" t="str">
        <f aca="false">IFERROR(INDEX(RES_QUAL,MATCH(ROW()-68,RES_RANG,0)),"")</f>
        <v/>
      </c>
      <c r="H74" s="50" t="str">
        <f aca="false">IFERROR(INDEX(RES_MOULE,MATCH(ROW()-68,RES_RANG,0)),"")</f>
        <v/>
      </c>
      <c r="I74" s="50" t="str">
        <f aca="false">IFERROR(INDEX(RES_DEST,MATCH(ROW()-68,RES_RANG,0)),"")</f>
        <v/>
      </c>
      <c r="J74" s="50" t="str">
        <f aca="false">IF($I74="","",IFERROR(INDEX(EMPL_CLASSE,MATCH($I74,EMPL_KEY,0)),""))</f>
        <v/>
      </c>
      <c r="K74" s="50" t="str">
        <f aca="false">IFERROR(INDEX(RES_STATUT,MATCH(ROW()-68,RES_RANG,0)),"")</f>
        <v/>
      </c>
    </row>
    <row r="75" customFormat="false" ht="15" hidden="false" customHeight="false" outlineLevel="0" collapsed="false">
      <c r="B75" s="50" t="str">
        <f aca="false">IFERROR(INDEX(RES_IDST,MATCH(ROW()-68,RES_RANG,0)),"")</f>
        <v/>
      </c>
      <c r="C75" s="69" t="str">
        <f aca="false">IFERROR(INDEX(RES_DATE,MATCH(ROW()-68,RES_RANG,0)),"")</f>
        <v/>
      </c>
      <c r="D75" s="50" t="str">
        <f aca="false">IFERROR(INDEX(RES_ETAT,MATCH(ROW()-68,RES_RANG,0)),"")</f>
        <v/>
      </c>
      <c r="E75" s="50" t="str">
        <f aca="false">IFERROR(INDEX(RES_LOTEFF,MATCH(ROW()-68,RES_RANG,0)),"")</f>
        <v/>
      </c>
      <c r="F75" s="70" t="str">
        <f aca="false">IFERROR(INDEX(RES_QTE,MATCH(ROW()-68,RES_RANG,0)),"")</f>
        <v/>
      </c>
      <c r="G75" s="50" t="str">
        <f aca="false">IFERROR(INDEX(RES_QUAL,MATCH(ROW()-68,RES_RANG,0)),"")</f>
        <v/>
      </c>
      <c r="H75" s="50" t="str">
        <f aca="false">IFERROR(INDEX(RES_MOULE,MATCH(ROW()-68,RES_RANG,0)),"")</f>
        <v/>
      </c>
      <c r="I75" s="50" t="str">
        <f aca="false">IFERROR(INDEX(RES_DEST,MATCH(ROW()-68,RES_RANG,0)),"")</f>
        <v/>
      </c>
      <c r="J75" s="50" t="str">
        <f aca="false">IF($I75="","",IFERROR(INDEX(EMPL_CLASSE,MATCH($I75,EMPL_KEY,0)),""))</f>
        <v/>
      </c>
      <c r="K75" s="50" t="str">
        <f aca="false">IFERROR(INDEX(RES_STATUT,MATCH(ROW()-68,RES_RANG,0)),"")</f>
        <v/>
      </c>
    </row>
    <row r="76" customFormat="false" ht="15" hidden="false" customHeight="false" outlineLevel="0" collapsed="false">
      <c r="B76" s="50" t="str">
        <f aca="false">IFERROR(INDEX(RES_IDST,MATCH(ROW()-68,RES_RANG,0)),"")</f>
        <v/>
      </c>
      <c r="C76" s="69" t="str">
        <f aca="false">IFERROR(INDEX(RES_DATE,MATCH(ROW()-68,RES_RANG,0)),"")</f>
        <v/>
      </c>
      <c r="D76" s="50" t="str">
        <f aca="false">IFERROR(INDEX(RES_ETAT,MATCH(ROW()-68,RES_RANG,0)),"")</f>
        <v/>
      </c>
      <c r="E76" s="50" t="str">
        <f aca="false">IFERROR(INDEX(RES_LOTEFF,MATCH(ROW()-68,RES_RANG,0)),"")</f>
        <v/>
      </c>
      <c r="F76" s="70" t="str">
        <f aca="false">IFERROR(INDEX(RES_QTE,MATCH(ROW()-68,RES_RANG,0)),"")</f>
        <v/>
      </c>
      <c r="G76" s="50" t="str">
        <f aca="false">IFERROR(INDEX(RES_QUAL,MATCH(ROW()-68,RES_RANG,0)),"")</f>
        <v/>
      </c>
      <c r="H76" s="50" t="str">
        <f aca="false">IFERROR(INDEX(RES_MOULE,MATCH(ROW()-68,RES_RANG,0)),"")</f>
        <v/>
      </c>
      <c r="I76" s="50" t="str">
        <f aca="false">IFERROR(INDEX(RES_DEST,MATCH(ROW()-68,RES_RANG,0)),"")</f>
        <v/>
      </c>
      <c r="J76" s="50" t="str">
        <f aca="false">IF($I76="","",IFERROR(INDEX(EMPL_CLASSE,MATCH($I76,EMPL_KEY,0)),""))</f>
        <v/>
      </c>
      <c r="K76" s="50" t="str">
        <f aca="false">IFERROR(INDEX(RES_STATUT,MATCH(ROW()-68,RES_RANG,0)),"")</f>
        <v/>
      </c>
    </row>
    <row r="77" customFormat="false" ht="15" hidden="false" customHeight="false" outlineLevel="0" collapsed="false">
      <c r="B77" s="50" t="str">
        <f aca="false">IFERROR(INDEX(RES_IDST,MATCH(ROW()-68,RES_RANG,0)),"")</f>
        <v/>
      </c>
      <c r="C77" s="69" t="str">
        <f aca="false">IFERROR(INDEX(RES_DATE,MATCH(ROW()-68,RES_RANG,0)),"")</f>
        <v/>
      </c>
      <c r="D77" s="50" t="str">
        <f aca="false">IFERROR(INDEX(RES_ETAT,MATCH(ROW()-68,RES_RANG,0)),"")</f>
        <v/>
      </c>
      <c r="E77" s="50" t="str">
        <f aca="false">IFERROR(INDEX(RES_LOTEFF,MATCH(ROW()-68,RES_RANG,0)),"")</f>
        <v/>
      </c>
      <c r="F77" s="70" t="str">
        <f aca="false">IFERROR(INDEX(RES_QTE,MATCH(ROW()-68,RES_RANG,0)),"")</f>
        <v/>
      </c>
      <c r="G77" s="50" t="str">
        <f aca="false">IFERROR(INDEX(RES_QUAL,MATCH(ROW()-68,RES_RANG,0)),"")</f>
        <v/>
      </c>
      <c r="H77" s="50" t="str">
        <f aca="false">IFERROR(INDEX(RES_MOULE,MATCH(ROW()-68,RES_RANG,0)),"")</f>
        <v/>
      </c>
      <c r="I77" s="50" t="str">
        <f aca="false">IFERROR(INDEX(RES_DEST,MATCH(ROW()-68,RES_RANG,0)),"")</f>
        <v/>
      </c>
      <c r="J77" s="50" t="str">
        <f aca="false">IF($I77="","",IFERROR(INDEX(EMPL_CLASSE,MATCH($I77,EMPL_KEY,0)),""))</f>
        <v/>
      </c>
      <c r="K77" s="50" t="str">
        <f aca="false">IFERROR(INDEX(RES_STATUT,MATCH(ROW()-68,RES_RANG,0)),"")</f>
        <v/>
      </c>
    </row>
    <row r="78" customFormat="false" ht="15" hidden="false" customHeight="false" outlineLevel="0" collapsed="false">
      <c r="B78" s="50" t="str">
        <f aca="false">IFERROR(INDEX(RES_IDST,MATCH(ROW()-68,RES_RANG,0)),"")</f>
        <v/>
      </c>
      <c r="C78" s="69" t="str">
        <f aca="false">IFERROR(INDEX(RES_DATE,MATCH(ROW()-68,RES_RANG,0)),"")</f>
        <v/>
      </c>
      <c r="D78" s="50" t="str">
        <f aca="false">IFERROR(INDEX(RES_ETAT,MATCH(ROW()-68,RES_RANG,0)),"")</f>
        <v/>
      </c>
      <c r="E78" s="50" t="str">
        <f aca="false">IFERROR(INDEX(RES_LOTEFF,MATCH(ROW()-68,RES_RANG,0)),"")</f>
        <v/>
      </c>
      <c r="F78" s="70" t="str">
        <f aca="false">IFERROR(INDEX(RES_QTE,MATCH(ROW()-68,RES_RANG,0)),"")</f>
        <v/>
      </c>
      <c r="G78" s="50" t="str">
        <f aca="false">IFERROR(INDEX(RES_QUAL,MATCH(ROW()-68,RES_RANG,0)),"")</f>
        <v/>
      </c>
      <c r="H78" s="50" t="str">
        <f aca="false">IFERROR(INDEX(RES_MOULE,MATCH(ROW()-68,RES_RANG,0)),"")</f>
        <v/>
      </c>
      <c r="I78" s="50" t="str">
        <f aca="false">IFERROR(INDEX(RES_DEST,MATCH(ROW()-68,RES_RANG,0)),"")</f>
        <v/>
      </c>
      <c r="J78" s="50" t="str">
        <f aca="false">IF($I78="","",IFERROR(INDEX(EMPL_CLASSE,MATCH($I78,EMPL_KEY,0)),""))</f>
        <v/>
      </c>
      <c r="K78" s="50" t="str">
        <f aca="false">IFERROR(INDEX(RES_STATUT,MATCH(ROW()-68,RES_RANG,0)),"")</f>
        <v/>
      </c>
    </row>
    <row r="79" customFormat="false" ht="15" hidden="false" customHeight="false" outlineLevel="0" collapsed="false">
      <c r="B79" s="50" t="str">
        <f aca="false">IFERROR(INDEX(RES_IDST,MATCH(ROW()-68,RES_RANG,0)),"")</f>
        <v/>
      </c>
      <c r="C79" s="69" t="str">
        <f aca="false">IFERROR(INDEX(RES_DATE,MATCH(ROW()-68,RES_RANG,0)),"")</f>
        <v/>
      </c>
      <c r="D79" s="50" t="str">
        <f aca="false">IFERROR(INDEX(RES_ETAT,MATCH(ROW()-68,RES_RANG,0)),"")</f>
        <v/>
      </c>
      <c r="E79" s="50" t="str">
        <f aca="false">IFERROR(INDEX(RES_LOTEFF,MATCH(ROW()-68,RES_RANG,0)),"")</f>
        <v/>
      </c>
      <c r="F79" s="70" t="str">
        <f aca="false">IFERROR(INDEX(RES_QTE,MATCH(ROW()-68,RES_RANG,0)),"")</f>
        <v/>
      </c>
      <c r="G79" s="50" t="str">
        <f aca="false">IFERROR(INDEX(RES_QUAL,MATCH(ROW()-68,RES_RANG,0)),"")</f>
        <v/>
      </c>
      <c r="H79" s="50" t="str">
        <f aca="false">IFERROR(INDEX(RES_MOULE,MATCH(ROW()-68,RES_RANG,0)),"")</f>
        <v/>
      </c>
      <c r="I79" s="50" t="str">
        <f aca="false">IFERROR(INDEX(RES_DEST,MATCH(ROW()-68,RES_RANG,0)),"")</f>
        <v/>
      </c>
      <c r="J79" s="50" t="str">
        <f aca="false">IF($I79="","",IFERROR(INDEX(EMPL_CLASSE,MATCH($I79,EMPL_KEY,0)),""))</f>
        <v/>
      </c>
      <c r="K79" s="50" t="str">
        <f aca="false">IFERROR(INDEX(RES_STATUT,MATCH(ROW()-68,RES_RANG,0)),"")</f>
        <v/>
      </c>
    </row>
    <row r="80" customFormat="false" ht="15" hidden="false" customHeight="false" outlineLevel="0" collapsed="false">
      <c r="B80" s="50" t="str">
        <f aca="false">IFERROR(INDEX(RES_IDST,MATCH(ROW()-68,RES_RANG,0)),"")</f>
        <v/>
      </c>
      <c r="C80" s="69" t="str">
        <f aca="false">IFERROR(INDEX(RES_DATE,MATCH(ROW()-68,RES_RANG,0)),"")</f>
        <v/>
      </c>
      <c r="D80" s="50" t="str">
        <f aca="false">IFERROR(INDEX(RES_ETAT,MATCH(ROW()-68,RES_RANG,0)),"")</f>
        <v/>
      </c>
      <c r="E80" s="50" t="str">
        <f aca="false">IFERROR(INDEX(RES_LOTEFF,MATCH(ROW()-68,RES_RANG,0)),"")</f>
        <v/>
      </c>
      <c r="F80" s="70" t="str">
        <f aca="false">IFERROR(INDEX(RES_QTE,MATCH(ROW()-68,RES_RANG,0)),"")</f>
        <v/>
      </c>
      <c r="G80" s="50" t="str">
        <f aca="false">IFERROR(INDEX(RES_QUAL,MATCH(ROW()-68,RES_RANG,0)),"")</f>
        <v/>
      </c>
      <c r="H80" s="50" t="str">
        <f aca="false">IFERROR(INDEX(RES_MOULE,MATCH(ROW()-68,RES_RANG,0)),"")</f>
        <v/>
      </c>
      <c r="I80" s="50" t="str">
        <f aca="false">IFERROR(INDEX(RES_DEST,MATCH(ROW()-68,RES_RANG,0)),"")</f>
        <v/>
      </c>
      <c r="J80" s="50" t="str">
        <f aca="false">IF($I80="","",IFERROR(INDEX(EMPL_CLASSE,MATCH($I80,EMPL_KEY,0)),""))</f>
        <v/>
      </c>
      <c r="K80" s="50" t="str">
        <f aca="false">IFERROR(INDEX(RES_STATUT,MATCH(ROW()-68,RES_RANG,0)),"")</f>
        <v/>
      </c>
    </row>
    <row r="82" customFormat="false" ht="19.5" hidden="false" customHeight="true" outlineLevel="0" collapsed="false">
      <c r="A82" s="3" t="s">
        <v>309</v>
      </c>
      <c r="B82" s="3"/>
      <c r="C82" s="3"/>
      <c r="D82" s="3"/>
      <c r="E82" s="3"/>
      <c r="F82" s="3"/>
      <c r="G82" s="3"/>
      <c r="H82" s="3"/>
      <c r="I82" s="3"/>
      <c r="J82" s="3"/>
      <c r="K82" s="3"/>
    </row>
    <row r="83" customFormat="false" ht="25.5" hidden="false" customHeight="true" outlineLevel="0" collapsed="false">
      <c r="B83" s="67" t="s">
        <v>136</v>
      </c>
      <c r="C83" s="67" t="s">
        <v>226</v>
      </c>
      <c r="D83" s="67" t="s">
        <v>310</v>
      </c>
      <c r="E83" s="67" t="s">
        <v>208</v>
      </c>
      <c r="F83" s="67" t="s">
        <v>229</v>
      </c>
      <c r="G83" s="67" t="s">
        <v>230</v>
      </c>
      <c r="H83" s="67" t="s">
        <v>231</v>
      </c>
      <c r="I83" s="67" t="s">
        <v>232</v>
      </c>
      <c r="J83" s="67" t="s">
        <v>147</v>
      </c>
      <c r="K83" s="67" t="s">
        <v>235</v>
      </c>
    </row>
    <row r="84" customFormat="false" ht="15" hidden="false" customHeight="false" outlineLevel="0" collapsed="false">
      <c r="B84" s="69" t="n">
        <f aca="false">IFERROR(INDEX(QC_DATE,MATCH(ROW()-83,QC_RANG,0)),"")</f>
        <v>46247</v>
      </c>
      <c r="C84" s="50" t="str">
        <f aca="false">IFERROR(INDEX(QC_EMPL,MATCH(ROW()-83,QC_RANG,0)),"")</f>
        <v>OCEAMIC 2</v>
      </c>
      <c r="D84" s="71" t="n">
        <f aca="false">IFERROR(INDEX(QC_TEMP,MATCH(ROW()-83,QC_RANG,0)),"")</f>
        <v>-19</v>
      </c>
      <c r="E84" s="72" t="n">
        <f aca="false">IFERROR(INDEX(QC_HIST,MATCH(ROW()-83,QC_RANG,0)),"")</f>
        <v>45</v>
      </c>
      <c r="F84" s="50" t="str">
        <f aca="false">IFERROR(INDEX(QC_QUAL,MATCH(ROW()-83,QC_RANG,0)),"")</f>
        <v>A=20 B=40 C=40</v>
      </c>
      <c r="G84" s="50" t="str">
        <f aca="false">IFERROR(INDEX(QC_MOULE,MATCH(ROW()-83,QC_RANG,0)),"")</f>
        <v>20/24=14 26/30=55 38/50=31</v>
      </c>
      <c r="H84" s="50" t="str">
        <f aca="false">IFERROR(INDEX(QC_DEF,MATCH(ROW()-83,QC_RANG,0)),"")</f>
        <v>Aucun defaut</v>
      </c>
      <c r="I84" s="50" t="str">
        <f aca="false">IFERROR(INDEX(QC_DEC,MATCH(ROW()-83,QC_RANG,0)),"")</f>
        <v>ACCEPTER</v>
      </c>
      <c r="J84" s="50" t="str">
        <f aca="false">IFERROR(INDEX(QC_STATUT,MATCH(ROW()-83,QC_RANG,0)),"")</f>
        <v>OK</v>
      </c>
      <c r="K84" s="50" t="str">
        <f aca="false">IFERROR(INDEX(QC_ALERTE,MATCH(ROW()-83,QC_RANG,0)),"")</f>
        <v/>
      </c>
    </row>
    <row r="85" customFormat="false" ht="15" hidden="false" customHeight="false" outlineLevel="0" collapsed="false">
      <c r="B85" s="69" t="str">
        <f aca="false">IFERROR(INDEX(QC_DATE,MATCH(ROW()-83,QC_RANG,0)),"")</f>
        <v/>
      </c>
      <c r="C85" s="50" t="str">
        <f aca="false">IFERROR(INDEX(QC_EMPL,MATCH(ROW()-83,QC_RANG,0)),"")</f>
        <v/>
      </c>
      <c r="D85" s="50" t="str">
        <f aca="false">IFERROR(INDEX(QC_TEMP,MATCH(ROW()-83,QC_RANG,0)),"")</f>
        <v/>
      </c>
      <c r="E85" s="50" t="str">
        <f aca="false">IFERROR(INDEX(QC_HIST,MATCH(ROW()-83,QC_RANG,0)),"")</f>
        <v/>
      </c>
      <c r="F85" s="50" t="str">
        <f aca="false">IFERROR(INDEX(QC_QUAL,MATCH(ROW()-83,QC_RANG,0)),"")</f>
        <v/>
      </c>
      <c r="G85" s="50" t="str">
        <f aca="false">IFERROR(INDEX(QC_MOULE,MATCH(ROW()-83,QC_RANG,0)),"")</f>
        <v/>
      </c>
      <c r="H85" s="50" t="str">
        <f aca="false">IFERROR(INDEX(QC_DEF,MATCH(ROW()-83,QC_RANG,0)),"")</f>
        <v/>
      </c>
      <c r="I85" s="50" t="str">
        <f aca="false">IFERROR(INDEX(QC_DEC,MATCH(ROW()-83,QC_RANG,0)),"")</f>
        <v/>
      </c>
      <c r="J85" s="50" t="str">
        <f aca="false">IFERROR(INDEX(QC_STATUT,MATCH(ROW()-83,QC_RANG,0)),"")</f>
        <v/>
      </c>
      <c r="K85" s="50" t="str">
        <f aca="false">IFERROR(INDEX(QC_ALERTE,MATCH(ROW()-83,QC_RANG,0)),"")</f>
        <v/>
      </c>
    </row>
    <row r="86" customFormat="false" ht="15" hidden="false" customHeight="false" outlineLevel="0" collapsed="false">
      <c r="B86" s="69" t="str">
        <f aca="false">IFERROR(INDEX(QC_DATE,MATCH(ROW()-83,QC_RANG,0)),"")</f>
        <v/>
      </c>
      <c r="C86" s="50" t="str">
        <f aca="false">IFERROR(INDEX(QC_EMPL,MATCH(ROW()-83,QC_RANG,0)),"")</f>
        <v/>
      </c>
      <c r="D86" s="50" t="str">
        <f aca="false">IFERROR(INDEX(QC_TEMP,MATCH(ROW()-83,QC_RANG,0)),"")</f>
        <v/>
      </c>
      <c r="E86" s="50" t="str">
        <f aca="false">IFERROR(INDEX(QC_HIST,MATCH(ROW()-83,QC_RANG,0)),"")</f>
        <v/>
      </c>
      <c r="F86" s="50" t="str">
        <f aca="false">IFERROR(INDEX(QC_QUAL,MATCH(ROW()-83,QC_RANG,0)),"")</f>
        <v/>
      </c>
      <c r="G86" s="50" t="str">
        <f aca="false">IFERROR(INDEX(QC_MOULE,MATCH(ROW()-83,QC_RANG,0)),"")</f>
        <v/>
      </c>
      <c r="H86" s="50" t="str">
        <f aca="false">IFERROR(INDEX(QC_DEF,MATCH(ROW()-83,QC_RANG,0)),"")</f>
        <v/>
      </c>
      <c r="I86" s="50" t="str">
        <f aca="false">IFERROR(INDEX(QC_DEC,MATCH(ROW()-83,QC_RANG,0)),"")</f>
        <v/>
      </c>
      <c r="J86" s="50" t="str">
        <f aca="false">IFERROR(INDEX(QC_STATUT,MATCH(ROW()-83,QC_RANG,0)),"")</f>
        <v/>
      </c>
      <c r="K86" s="50" t="str">
        <f aca="false">IFERROR(INDEX(QC_ALERTE,MATCH(ROW()-83,QC_RANG,0)),"")</f>
        <v/>
      </c>
    </row>
    <row r="87" customFormat="false" ht="15" hidden="false" customHeight="false" outlineLevel="0" collapsed="false">
      <c r="B87" s="69" t="str">
        <f aca="false">IFERROR(INDEX(QC_DATE,MATCH(ROW()-83,QC_RANG,0)),"")</f>
        <v/>
      </c>
      <c r="C87" s="50" t="str">
        <f aca="false">IFERROR(INDEX(QC_EMPL,MATCH(ROW()-83,QC_RANG,0)),"")</f>
        <v/>
      </c>
      <c r="D87" s="50" t="str">
        <f aca="false">IFERROR(INDEX(QC_TEMP,MATCH(ROW()-83,QC_RANG,0)),"")</f>
        <v/>
      </c>
      <c r="E87" s="50" t="str">
        <f aca="false">IFERROR(INDEX(QC_HIST,MATCH(ROW()-83,QC_RANG,0)),"")</f>
        <v/>
      </c>
      <c r="F87" s="50" t="str">
        <f aca="false">IFERROR(INDEX(QC_QUAL,MATCH(ROW()-83,QC_RANG,0)),"")</f>
        <v/>
      </c>
      <c r="G87" s="50" t="str">
        <f aca="false">IFERROR(INDEX(QC_MOULE,MATCH(ROW()-83,QC_RANG,0)),"")</f>
        <v/>
      </c>
      <c r="H87" s="50" t="str">
        <f aca="false">IFERROR(INDEX(QC_DEF,MATCH(ROW()-83,QC_RANG,0)),"")</f>
        <v/>
      </c>
      <c r="I87" s="50" t="str">
        <f aca="false">IFERROR(INDEX(QC_DEC,MATCH(ROW()-83,QC_RANG,0)),"")</f>
        <v/>
      </c>
      <c r="J87" s="50" t="str">
        <f aca="false">IFERROR(INDEX(QC_STATUT,MATCH(ROW()-83,QC_RANG,0)),"")</f>
        <v/>
      </c>
      <c r="K87" s="50" t="str">
        <f aca="false">IFERROR(INDEX(QC_ALERTE,MATCH(ROW()-83,QC_RANG,0)),"")</f>
        <v/>
      </c>
    </row>
    <row r="88" customFormat="false" ht="15" hidden="false" customHeight="false" outlineLevel="0" collapsed="false">
      <c r="B88" s="69" t="str">
        <f aca="false">IFERROR(INDEX(QC_DATE,MATCH(ROW()-83,QC_RANG,0)),"")</f>
        <v/>
      </c>
      <c r="C88" s="50" t="str">
        <f aca="false">IFERROR(INDEX(QC_EMPL,MATCH(ROW()-83,QC_RANG,0)),"")</f>
        <v/>
      </c>
      <c r="D88" s="50" t="str">
        <f aca="false">IFERROR(INDEX(QC_TEMP,MATCH(ROW()-83,QC_RANG,0)),"")</f>
        <v/>
      </c>
      <c r="E88" s="50" t="str">
        <f aca="false">IFERROR(INDEX(QC_HIST,MATCH(ROW()-83,QC_RANG,0)),"")</f>
        <v/>
      </c>
      <c r="F88" s="50" t="str">
        <f aca="false">IFERROR(INDEX(QC_QUAL,MATCH(ROW()-83,QC_RANG,0)),"")</f>
        <v/>
      </c>
      <c r="G88" s="50" t="str">
        <f aca="false">IFERROR(INDEX(QC_MOULE,MATCH(ROW()-83,QC_RANG,0)),"")</f>
        <v/>
      </c>
      <c r="H88" s="50" t="str">
        <f aca="false">IFERROR(INDEX(QC_DEF,MATCH(ROW()-83,QC_RANG,0)),"")</f>
        <v/>
      </c>
      <c r="I88" s="50" t="str">
        <f aca="false">IFERROR(INDEX(QC_DEC,MATCH(ROW()-83,QC_RANG,0)),"")</f>
        <v/>
      </c>
      <c r="J88" s="50" t="str">
        <f aca="false">IFERROR(INDEX(QC_STATUT,MATCH(ROW()-83,QC_RANG,0)),"")</f>
        <v/>
      </c>
      <c r="K88" s="50" t="str">
        <f aca="false">IFERROR(INDEX(QC_ALERTE,MATCH(ROW()-83,QC_RANG,0)),"")</f>
        <v/>
      </c>
    </row>
    <row r="89" customFormat="false" ht="15" hidden="false" customHeight="false" outlineLevel="0" collapsed="false">
      <c r="B89" s="69" t="str">
        <f aca="false">IFERROR(INDEX(QC_DATE,MATCH(ROW()-83,QC_RANG,0)),"")</f>
        <v/>
      </c>
      <c r="C89" s="50" t="str">
        <f aca="false">IFERROR(INDEX(QC_EMPL,MATCH(ROW()-83,QC_RANG,0)),"")</f>
        <v/>
      </c>
      <c r="D89" s="50" t="str">
        <f aca="false">IFERROR(INDEX(QC_TEMP,MATCH(ROW()-83,QC_RANG,0)),"")</f>
        <v/>
      </c>
      <c r="E89" s="50" t="str">
        <f aca="false">IFERROR(INDEX(QC_HIST,MATCH(ROW()-83,QC_RANG,0)),"")</f>
        <v/>
      </c>
      <c r="F89" s="50" t="str">
        <f aca="false">IFERROR(INDEX(QC_QUAL,MATCH(ROW()-83,QC_RANG,0)),"")</f>
        <v/>
      </c>
      <c r="G89" s="50" t="str">
        <f aca="false">IFERROR(INDEX(QC_MOULE,MATCH(ROW()-83,QC_RANG,0)),"")</f>
        <v/>
      </c>
      <c r="H89" s="50" t="str">
        <f aca="false">IFERROR(INDEX(QC_DEF,MATCH(ROW()-83,QC_RANG,0)),"")</f>
        <v/>
      </c>
      <c r="I89" s="50" t="str">
        <f aca="false">IFERROR(INDEX(QC_DEC,MATCH(ROW()-83,QC_RANG,0)),"")</f>
        <v/>
      </c>
      <c r="J89" s="50" t="str">
        <f aca="false">IFERROR(INDEX(QC_STATUT,MATCH(ROW()-83,QC_RANG,0)),"")</f>
        <v/>
      </c>
      <c r="K89" s="50" t="str">
        <f aca="false">IFERROR(INDEX(QC_ALERTE,MATCH(ROW()-83,QC_RANG,0)),"")</f>
        <v/>
      </c>
    </row>
    <row r="90" customFormat="false" ht="15" hidden="false" customHeight="false" outlineLevel="0" collapsed="false">
      <c r="B90" s="69" t="str">
        <f aca="false">IFERROR(INDEX(QC_DATE,MATCH(ROW()-83,QC_RANG,0)),"")</f>
        <v/>
      </c>
      <c r="C90" s="50" t="str">
        <f aca="false">IFERROR(INDEX(QC_EMPL,MATCH(ROW()-83,QC_RANG,0)),"")</f>
        <v/>
      </c>
      <c r="D90" s="50" t="str">
        <f aca="false">IFERROR(INDEX(QC_TEMP,MATCH(ROW()-83,QC_RANG,0)),"")</f>
        <v/>
      </c>
      <c r="E90" s="50" t="str">
        <f aca="false">IFERROR(INDEX(QC_HIST,MATCH(ROW()-83,QC_RANG,0)),"")</f>
        <v/>
      </c>
      <c r="F90" s="50" t="str">
        <f aca="false">IFERROR(INDEX(QC_QUAL,MATCH(ROW()-83,QC_RANG,0)),"")</f>
        <v/>
      </c>
      <c r="G90" s="50" t="str">
        <f aca="false">IFERROR(INDEX(QC_MOULE,MATCH(ROW()-83,QC_RANG,0)),"")</f>
        <v/>
      </c>
      <c r="H90" s="50" t="str">
        <f aca="false">IFERROR(INDEX(QC_DEF,MATCH(ROW()-83,QC_RANG,0)),"")</f>
        <v/>
      </c>
      <c r="I90" s="50" t="str">
        <f aca="false">IFERROR(INDEX(QC_DEC,MATCH(ROW()-83,QC_RANG,0)),"")</f>
        <v/>
      </c>
      <c r="J90" s="50" t="str">
        <f aca="false">IFERROR(INDEX(QC_STATUT,MATCH(ROW()-83,QC_RANG,0)),"")</f>
        <v/>
      </c>
      <c r="K90" s="50" t="str">
        <f aca="false">IFERROR(INDEX(QC_ALERTE,MATCH(ROW()-83,QC_RANG,0)),"")</f>
        <v/>
      </c>
    </row>
    <row r="91" customFormat="false" ht="15" hidden="false" customHeight="false" outlineLevel="0" collapsed="false">
      <c r="B91" s="69" t="str">
        <f aca="false">IFERROR(INDEX(QC_DATE,MATCH(ROW()-83,QC_RANG,0)),"")</f>
        <v/>
      </c>
      <c r="C91" s="50" t="str">
        <f aca="false">IFERROR(INDEX(QC_EMPL,MATCH(ROW()-83,QC_RANG,0)),"")</f>
        <v/>
      </c>
      <c r="D91" s="50" t="str">
        <f aca="false">IFERROR(INDEX(QC_TEMP,MATCH(ROW()-83,QC_RANG,0)),"")</f>
        <v/>
      </c>
      <c r="E91" s="50" t="str">
        <f aca="false">IFERROR(INDEX(QC_HIST,MATCH(ROW()-83,QC_RANG,0)),"")</f>
        <v/>
      </c>
      <c r="F91" s="50" t="str">
        <f aca="false">IFERROR(INDEX(QC_QUAL,MATCH(ROW()-83,QC_RANG,0)),"")</f>
        <v/>
      </c>
      <c r="G91" s="50" t="str">
        <f aca="false">IFERROR(INDEX(QC_MOULE,MATCH(ROW()-83,QC_RANG,0)),"")</f>
        <v/>
      </c>
      <c r="H91" s="50" t="str">
        <f aca="false">IFERROR(INDEX(QC_DEF,MATCH(ROW()-83,QC_RANG,0)),"")</f>
        <v/>
      </c>
      <c r="I91" s="50" t="str">
        <f aca="false">IFERROR(INDEX(QC_DEC,MATCH(ROW()-83,QC_RANG,0)),"")</f>
        <v/>
      </c>
      <c r="J91" s="50" t="str">
        <f aca="false">IFERROR(INDEX(QC_STATUT,MATCH(ROW()-83,QC_RANG,0)),"")</f>
        <v/>
      </c>
      <c r="K91" s="50" t="str">
        <f aca="false">IFERROR(INDEX(QC_ALERTE,MATCH(ROW()-83,QC_RANG,0)),"")</f>
        <v/>
      </c>
    </row>
    <row r="92" customFormat="false" ht="15" hidden="false" customHeight="false" outlineLevel="0" collapsed="false">
      <c r="B92" s="69" t="str">
        <f aca="false">IFERROR(INDEX(QC_DATE,MATCH(ROW()-83,QC_RANG,0)),"")</f>
        <v/>
      </c>
      <c r="C92" s="50" t="str">
        <f aca="false">IFERROR(INDEX(QC_EMPL,MATCH(ROW()-83,QC_RANG,0)),"")</f>
        <v/>
      </c>
      <c r="D92" s="50" t="str">
        <f aca="false">IFERROR(INDEX(QC_TEMP,MATCH(ROW()-83,QC_RANG,0)),"")</f>
        <v/>
      </c>
      <c r="E92" s="50" t="str">
        <f aca="false">IFERROR(INDEX(QC_HIST,MATCH(ROW()-83,QC_RANG,0)),"")</f>
        <v/>
      </c>
      <c r="F92" s="50" t="str">
        <f aca="false">IFERROR(INDEX(QC_QUAL,MATCH(ROW()-83,QC_RANG,0)),"")</f>
        <v/>
      </c>
      <c r="G92" s="50" t="str">
        <f aca="false">IFERROR(INDEX(QC_MOULE,MATCH(ROW()-83,QC_RANG,0)),"")</f>
        <v/>
      </c>
      <c r="H92" s="50" t="str">
        <f aca="false">IFERROR(INDEX(QC_DEF,MATCH(ROW()-83,QC_RANG,0)),"")</f>
        <v/>
      </c>
      <c r="I92" s="50" t="str">
        <f aca="false">IFERROR(INDEX(QC_DEC,MATCH(ROW()-83,QC_RANG,0)),"")</f>
        <v/>
      </c>
      <c r="J92" s="50" t="str">
        <f aca="false">IFERROR(INDEX(QC_STATUT,MATCH(ROW()-83,QC_RANG,0)),"")</f>
        <v/>
      </c>
      <c r="K92" s="50" t="str">
        <f aca="false">IFERROR(INDEX(QC_ALERTE,MATCH(ROW()-83,QC_RANG,0)),"")</f>
        <v/>
      </c>
    </row>
    <row r="93" customFormat="false" ht="15" hidden="false" customHeight="false" outlineLevel="0" collapsed="false">
      <c r="B93" s="69" t="str">
        <f aca="false">IFERROR(INDEX(QC_DATE,MATCH(ROW()-83,QC_RANG,0)),"")</f>
        <v/>
      </c>
      <c r="C93" s="50" t="str">
        <f aca="false">IFERROR(INDEX(QC_EMPL,MATCH(ROW()-83,QC_RANG,0)),"")</f>
        <v/>
      </c>
      <c r="D93" s="50" t="str">
        <f aca="false">IFERROR(INDEX(QC_TEMP,MATCH(ROW()-83,QC_RANG,0)),"")</f>
        <v/>
      </c>
      <c r="E93" s="50" t="str">
        <f aca="false">IFERROR(INDEX(QC_HIST,MATCH(ROW()-83,QC_RANG,0)),"")</f>
        <v/>
      </c>
      <c r="F93" s="50" t="str">
        <f aca="false">IFERROR(INDEX(QC_QUAL,MATCH(ROW()-83,QC_RANG,0)),"")</f>
        <v/>
      </c>
      <c r="G93" s="50" t="str">
        <f aca="false">IFERROR(INDEX(QC_MOULE,MATCH(ROW()-83,QC_RANG,0)),"")</f>
        <v/>
      </c>
      <c r="H93" s="50" t="str">
        <f aca="false">IFERROR(INDEX(QC_DEF,MATCH(ROW()-83,QC_RANG,0)),"")</f>
        <v/>
      </c>
      <c r="I93" s="50" t="str">
        <f aca="false">IFERROR(INDEX(QC_DEC,MATCH(ROW()-83,QC_RANG,0)),"")</f>
        <v/>
      </c>
      <c r="J93" s="50" t="str">
        <f aca="false">IFERROR(INDEX(QC_STATUT,MATCH(ROW()-83,QC_RANG,0)),"")</f>
        <v/>
      </c>
      <c r="K93" s="50" t="str">
        <f aca="false">IFERROR(INDEX(QC_ALERTE,MATCH(ROW()-83,QC_RANG,0)),"")</f>
        <v/>
      </c>
    </row>
    <row r="94" customFormat="false" ht="15" hidden="false" customHeight="false" outlineLevel="0" collapsed="false">
      <c r="B94" s="69" t="str">
        <f aca="false">IFERROR(INDEX(QC_DATE,MATCH(ROW()-83,QC_RANG,0)),"")</f>
        <v/>
      </c>
      <c r="C94" s="50" t="str">
        <f aca="false">IFERROR(INDEX(QC_EMPL,MATCH(ROW()-83,QC_RANG,0)),"")</f>
        <v/>
      </c>
      <c r="D94" s="50" t="str">
        <f aca="false">IFERROR(INDEX(QC_TEMP,MATCH(ROW()-83,QC_RANG,0)),"")</f>
        <v/>
      </c>
      <c r="E94" s="50" t="str">
        <f aca="false">IFERROR(INDEX(QC_HIST,MATCH(ROW()-83,QC_RANG,0)),"")</f>
        <v/>
      </c>
      <c r="F94" s="50" t="str">
        <f aca="false">IFERROR(INDEX(QC_QUAL,MATCH(ROW()-83,QC_RANG,0)),"")</f>
        <v/>
      </c>
      <c r="G94" s="50" t="str">
        <f aca="false">IFERROR(INDEX(QC_MOULE,MATCH(ROW()-83,QC_RANG,0)),"")</f>
        <v/>
      </c>
      <c r="H94" s="50" t="str">
        <f aca="false">IFERROR(INDEX(QC_DEF,MATCH(ROW()-83,QC_RANG,0)),"")</f>
        <v/>
      </c>
      <c r="I94" s="50" t="str">
        <f aca="false">IFERROR(INDEX(QC_DEC,MATCH(ROW()-83,QC_RANG,0)),"")</f>
        <v/>
      </c>
      <c r="J94" s="50" t="str">
        <f aca="false">IFERROR(INDEX(QC_STATUT,MATCH(ROW()-83,QC_RANG,0)),"")</f>
        <v/>
      </c>
      <c r="K94" s="50" t="str">
        <f aca="false">IFERROR(INDEX(QC_ALERTE,MATCH(ROW()-83,QC_RANG,0)),"")</f>
        <v/>
      </c>
    </row>
    <row r="95" customFormat="false" ht="15" hidden="false" customHeight="false" outlineLevel="0" collapsed="false">
      <c r="B95" s="69" t="str">
        <f aca="false">IFERROR(INDEX(QC_DATE,MATCH(ROW()-83,QC_RANG,0)),"")</f>
        <v/>
      </c>
      <c r="C95" s="50" t="str">
        <f aca="false">IFERROR(INDEX(QC_EMPL,MATCH(ROW()-83,QC_RANG,0)),"")</f>
        <v/>
      </c>
      <c r="D95" s="50" t="str">
        <f aca="false">IFERROR(INDEX(QC_TEMP,MATCH(ROW()-83,QC_RANG,0)),"")</f>
        <v/>
      </c>
      <c r="E95" s="50" t="str">
        <f aca="false">IFERROR(INDEX(QC_HIST,MATCH(ROW()-83,QC_RANG,0)),"")</f>
        <v/>
      </c>
      <c r="F95" s="50" t="str">
        <f aca="false">IFERROR(INDEX(QC_QUAL,MATCH(ROW()-83,QC_RANG,0)),"")</f>
        <v/>
      </c>
      <c r="G95" s="50" t="str">
        <f aca="false">IFERROR(INDEX(QC_MOULE,MATCH(ROW()-83,QC_RANG,0)),"")</f>
        <v/>
      </c>
      <c r="H95" s="50" t="str">
        <f aca="false">IFERROR(INDEX(QC_DEF,MATCH(ROW()-83,QC_RANG,0)),"")</f>
        <v/>
      </c>
      <c r="I95" s="50" t="str">
        <f aca="false">IFERROR(INDEX(QC_DEC,MATCH(ROW()-83,QC_RANG,0)),"")</f>
        <v/>
      </c>
      <c r="J95" s="50" t="str">
        <f aca="false">IFERROR(INDEX(QC_STATUT,MATCH(ROW()-83,QC_RANG,0)),"")</f>
        <v/>
      </c>
      <c r="K95" s="50" t="str">
        <f aca="false">IFERROR(INDEX(QC_ALERTE,MATCH(ROW()-83,QC_RANG,0)),"")</f>
        <v/>
      </c>
    </row>
    <row r="97" customFormat="false" ht="19.5" hidden="false" customHeight="true" outlineLevel="0" collapsed="false">
      <c r="A97" s="3" t="s">
        <v>311</v>
      </c>
      <c r="B97" s="3"/>
      <c r="C97" s="3"/>
      <c r="D97" s="3"/>
      <c r="E97" s="3"/>
      <c r="F97" s="3"/>
      <c r="G97" s="3"/>
      <c r="H97" s="3"/>
      <c r="I97" s="3"/>
      <c r="J97" s="3"/>
      <c r="K97" s="3"/>
    </row>
    <row r="98" customFormat="false" ht="25.5" hidden="false" customHeight="true" outlineLevel="0" collapsed="false">
      <c r="B98" s="67" t="s">
        <v>214</v>
      </c>
      <c r="C98" s="67" t="s">
        <v>53</v>
      </c>
      <c r="D98" s="67" t="s">
        <v>57</v>
      </c>
      <c r="E98" s="67" t="s">
        <v>71</v>
      </c>
      <c r="F98" s="67" t="s">
        <v>312</v>
      </c>
    </row>
    <row r="99" customFormat="false" ht="15" hidden="false" customHeight="false" outlineLevel="0" collapsed="false">
      <c r="B99" s="50" t="str">
        <f aca="false">IFERROR(INDEX(RES_LOTLIE,MATCH(ROW()-98,RES_RANGLIEN,0)),"")</f>
        <v>255-HG</v>
      </c>
      <c r="C99" s="50" t="str">
        <f aca="false">IF($B99="","",IFERROR(INDEX(LOT_PRODE,MATCH($B99,LOT_KEY,0)),""))</f>
        <v>Sardine</v>
      </c>
      <c r="D99" s="50" t="str">
        <f aca="false">IF($B99="","",IF(IFERROR(INDEX(LOT_ETAT,MATCH($B99,LOT_KEY,0)),"")="","",INDEX(LOT_ETAT,MATCH($B99,LOT_KEY,0))))</f>
        <v>HG</v>
      </c>
      <c r="E99" s="51" t="n">
        <f aca="false">IF($B99="","",SUMIFS(MVT_NET,MVT_LOT,$B99))</f>
        <v>300</v>
      </c>
      <c r="F99" s="50" t="str">
        <f aca="false">IF($B99="","",IF($B99=$C$18,"LOT SOURCE / PARENT","ISSU DE SOUS-TRAITANCE"))</f>
        <v>ISSU DE SOUS-TRAITANCE</v>
      </c>
    </row>
    <row r="100" customFormat="false" ht="15" hidden="false" customHeight="false" outlineLevel="0" collapsed="false">
      <c r="B100" s="50" t="str">
        <f aca="false">IFERROR(INDEX(RES_LOTLIE,MATCH(ROW()-98,RES_RANGLIEN,0)),"")</f>
        <v>255-HGT</v>
      </c>
      <c r="C100" s="50" t="str">
        <f aca="false">IF($B100="","",IFERROR(INDEX(LOT_PRODE,MATCH($B100,LOT_KEY,0)),""))</f>
        <v>Sardine</v>
      </c>
      <c r="D100" s="50" t="str">
        <f aca="false">IF($B100="","",IF(IFERROR(INDEX(LOT_ETAT,MATCH($B100,LOT_KEY,0)),"")="","",INDEX(LOT_ETAT,MATCH($B100,LOT_KEY,0))))</f>
        <v>HGT</v>
      </c>
      <c r="E100" s="51" t="n">
        <f aca="false">IF($B100="","",SUMIFS(MVT_NET,MVT_LOT,$B100))</f>
        <v>150</v>
      </c>
      <c r="F100" s="50" t="str">
        <f aca="false">IF($B100="","",IF($B100=$C$18,"LOT SOURCE / PARENT","ISSU DE SOUS-TRAITANCE"))</f>
        <v>ISSU DE SOUS-TRAITANCE</v>
      </c>
    </row>
    <row r="101" customFormat="false" ht="15" hidden="false" customHeight="false" outlineLevel="0" collapsed="false">
      <c r="B101" s="50" t="str">
        <f aca="false">IFERROR(INDEX(RES_LOTLIE,MATCH(ROW()-98,RES_RANGLIEN,0)),"")</f>
        <v/>
      </c>
      <c r="C101" s="50" t="str">
        <f aca="false">IF($B101="","",IFERROR(INDEX(LOT_PRODE,MATCH($B101,LOT_KEY,0)),""))</f>
        <v/>
      </c>
      <c r="D101" s="50" t="str">
        <f aca="false">IF($B101="","",IF(IFERROR(INDEX(LOT_ETAT,MATCH($B101,LOT_KEY,0)),"")="","",INDEX(LOT_ETAT,MATCH($B101,LOT_KEY,0))))</f>
        <v/>
      </c>
      <c r="E101" s="51" t="str">
        <f aca="false">IF($B101="","",SUMIFS(MVT_NET,MVT_LOT,$B101))</f>
        <v/>
      </c>
      <c r="F101" s="50" t="str">
        <f aca="false">IF($B101="","",IF($B101=$C$18,"LOT SOURCE / PARENT","ISSU DE SOUS-TRAITANCE"))</f>
        <v/>
      </c>
    </row>
    <row r="102" customFormat="false" ht="15" hidden="false" customHeight="false" outlineLevel="0" collapsed="false">
      <c r="B102" s="50" t="str">
        <f aca="false">IFERROR(INDEX(RES_LOTLIE,MATCH(ROW()-98,RES_RANGLIEN,0)),"")</f>
        <v/>
      </c>
      <c r="C102" s="50" t="str">
        <f aca="false">IF($B102="","",IFERROR(INDEX(LOT_PRODE,MATCH($B102,LOT_KEY,0)),""))</f>
        <v/>
      </c>
      <c r="D102" s="50" t="str">
        <f aca="false">IF($B102="","",IF(IFERROR(INDEX(LOT_ETAT,MATCH($B102,LOT_KEY,0)),"")="","",INDEX(LOT_ETAT,MATCH($B102,LOT_KEY,0))))</f>
        <v/>
      </c>
      <c r="E102" s="51" t="str">
        <f aca="false">IF($B102="","",SUMIFS(MVT_NET,MVT_LOT,$B102))</f>
        <v/>
      </c>
      <c r="F102" s="50" t="str">
        <f aca="false">IF($B102="","",IF($B102=$C$18,"LOT SOURCE / PARENT","ISSU DE SOUS-TRAITANCE"))</f>
        <v/>
      </c>
    </row>
    <row r="103" customFormat="false" ht="15" hidden="false" customHeight="false" outlineLevel="0" collapsed="false">
      <c r="B103" s="50" t="str">
        <f aca="false">IFERROR(INDEX(RES_LOTLIE,MATCH(ROW()-98,RES_RANGLIEN,0)),"")</f>
        <v/>
      </c>
      <c r="C103" s="50" t="str">
        <f aca="false">IF($B103="","",IFERROR(INDEX(LOT_PRODE,MATCH($B103,LOT_KEY,0)),""))</f>
        <v/>
      </c>
      <c r="D103" s="50" t="str">
        <f aca="false">IF($B103="","",IF(IFERROR(INDEX(LOT_ETAT,MATCH($B103,LOT_KEY,0)),"")="","",INDEX(LOT_ETAT,MATCH($B103,LOT_KEY,0))))</f>
        <v/>
      </c>
      <c r="E103" s="51" t="str">
        <f aca="false">IF($B103="","",SUMIFS(MVT_NET,MVT_LOT,$B103))</f>
        <v/>
      </c>
      <c r="F103" s="50" t="str">
        <f aca="false">IF($B103="","",IF($B103=$C$18,"LOT SOURCE / PARENT","ISSU DE SOUS-TRAITANCE"))</f>
        <v/>
      </c>
    </row>
    <row r="104" customFormat="false" ht="15" hidden="false" customHeight="false" outlineLevel="0" collapsed="false">
      <c r="B104" s="50" t="str">
        <f aca="false">IFERROR(INDEX(RES_LOTLIE,MATCH(ROW()-98,RES_RANGLIEN,0)),"")</f>
        <v/>
      </c>
      <c r="C104" s="50" t="str">
        <f aca="false">IF($B104="","",IFERROR(INDEX(LOT_PRODE,MATCH($B104,LOT_KEY,0)),""))</f>
        <v/>
      </c>
      <c r="D104" s="50" t="str">
        <f aca="false">IF($B104="","",IF(IFERROR(INDEX(LOT_ETAT,MATCH($B104,LOT_KEY,0)),"")="","",INDEX(LOT_ETAT,MATCH($B104,LOT_KEY,0))))</f>
        <v/>
      </c>
      <c r="E104" s="51" t="str">
        <f aca="false">IF($B104="","",SUMIFS(MVT_NET,MVT_LOT,$B104))</f>
        <v/>
      </c>
      <c r="F104" s="50" t="str">
        <f aca="false">IF($B104="","",IF($B104=$C$18,"LOT SOURCE / PARENT","ISSU DE SOUS-TRAITANCE"))</f>
        <v/>
      </c>
    </row>
    <row r="105" customFormat="false" ht="15" hidden="false" customHeight="false" outlineLevel="0" collapsed="false">
      <c r="B105" s="50" t="str">
        <f aca="false">IFERROR(INDEX(RES_LOTLIE,MATCH(ROW()-98,RES_RANGLIEN,0)),"")</f>
        <v/>
      </c>
      <c r="C105" s="50" t="str">
        <f aca="false">IF($B105="","",IFERROR(INDEX(LOT_PRODE,MATCH($B105,LOT_KEY,0)),""))</f>
        <v/>
      </c>
      <c r="D105" s="50" t="str">
        <f aca="false">IF($B105="","",IF(IFERROR(INDEX(LOT_ETAT,MATCH($B105,LOT_KEY,0)),"")="","",INDEX(LOT_ETAT,MATCH($B105,LOT_KEY,0))))</f>
        <v/>
      </c>
      <c r="E105" s="51" t="str">
        <f aca="false">IF($B105="","",SUMIFS(MVT_NET,MVT_LOT,$B105))</f>
        <v/>
      </c>
      <c r="F105" s="50" t="str">
        <f aca="false">IF($B105="","",IF($B105=$C$18,"LOT SOURCE / PARENT","ISSU DE SOUS-TRAITANCE"))</f>
        <v/>
      </c>
    </row>
    <row r="106" customFormat="false" ht="15" hidden="false" customHeight="false" outlineLevel="0" collapsed="false">
      <c r="B106" s="50" t="str">
        <f aca="false">IFERROR(INDEX(RES_LOTLIE,MATCH(ROW()-98,RES_RANGLIEN,0)),"")</f>
        <v/>
      </c>
      <c r="C106" s="50" t="str">
        <f aca="false">IF($B106="","",IFERROR(INDEX(LOT_PRODE,MATCH($B106,LOT_KEY,0)),""))</f>
        <v/>
      </c>
      <c r="D106" s="50" t="str">
        <f aca="false">IF($B106="","",IF(IFERROR(INDEX(LOT_ETAT,MATCH($B106,LOT_KEY,0)),"")="","",INDEX(LOT_ETAT,MATCH($B106,LOT_KEY,0))))</f>
        <v/>
      </c>
      <c r="E106" s="51" t="str">
        <f aca="false">IF($B106="","",SUMIFS(MVT_NET,MVT_LOT,$B106))</f>
        <v/>
      </c>
      <c r="F106" s="50" t="str">
        <f aca="false">IF($B106="","",IF($B106=$C$18,"LOT SOURCE / PARENT","ISSU DE SOUS-TRAITANCE"))</f>
        <v/>
      </c>
    </row>
    <row r="108" customFormat="false" ht="19.5" hidden="false" customHeight="true" outlineLevel="0" collapsed="false">
      <c r="A108" s="3" t="s">
        <v>313</v>
      </c>
      <c r="B108" s="3"/>
      <c r="C108" s="3"/>
      <c r="D108" s="3"/>
      <c r="E108" s="3"/>
      <c r="F108" s="3"/>
      <c r="G108" s="3"/>
      <c r="H108" s="3"/>
      <c r="I108" s="3"/>
      <c r="J108" s="3"/>
      <c r="K108" s="3"/>
    </row>
    <row r="109" customFormat="false" ht="25.5" hidden="false" customHeight="true" outlineLevel="0" collapsed="false">
      <c r="B109" s="67" t="s">
        <v>51</v>
      </c>
      <c r="C109" s="67" t="s">
        <v>52</v>
      </c>
      <c r="D109" s="67" t="s">
        <v>53</v>
      </c>
      <c r="E109" s="67" t="s">
        <v>57</v>
      </c>
      <c r="F109" s="67" t="s">
        <v>71</v>
      </c>
    </row>
    <row r="110" customFormat="false" ht="15" hidden="false" customHeight="false" outlineLevel="0" collapsed="false">
      <c r="B110" s="50" t="str">
        <f aca="false">IFERROR(INDEX(LOT_KEY,MATCH(ROW()-109,LOT_RANGEXT,0)),"")</f>
        <v>257</v>
      </c>
      <c r="C110" s="50" t="str">
        <f aca="false">IFERROR(INDEX(LOT_EXTE,MATCH(ROW()-109,LOT_RANGEXT,0)),"")</f>
        <v>L-EXT-255</v>
      </c>
      <c r="D110" s="50" t="str">
        <f aca="false">IFERROR(INDEX(LOT_PRODE,MATCH(ROW()-109,LOT_RANGEXT,0)),"")</f>
        <v>Sardine</v>
      </c>
      <c r="E110" s="50" t="str">
        <f aca="false">IFERROR(INDEX(LOT_ETAT,MATCH(ROW()-109,LOT_RANGEXT,0)),"")</f>
        <v>ENTIER</v>
      </c>
      <c r="F110" s="70" t="n">
        <f aca="false">IFERROR(INDEX(LOT_STOCK,MATCH(ROW()-109,LOT_RANGEXT,0)),"")</f>
        <v>500</v>
      </c>
    </row>
    <row r="111" customFormat="false" ht="15" hidden="false" customHeight="false" outlineLevel="0" collapsed="false">
      <c r="B111" s="50" t="str">
        <f aca="false">IFERROR(INDEX(LOT_KEY,MATCH(ROW()-109,LOT_RANGEXT,0)),"")</f>
        <v>255-HG</v>
      </c>
      <c r="C111" s="50" t="str">
        <f aca="false">IFERROR(INDEX(LOT_EXTE,MATCH(ROW()-109,LOT_RANGEXT,0)),"")</f>
        <v>L-EXT-255</v>
      </c>
      <c r="D111" s="50" t="str">
        <f aca="false">IFERROR(INDEX(LOT_PRODE,MATCH(ROW()-109,LOT_RANGEXT,0)),"")</f>
        <v>Sardine</v>
      </c>
      <c r="E111" s="50" t="str">
        <f aca="false">IFERROR(INDEX(LOT_ETAT,MATCH(ROW()-109,LOT_RANGEXT,0)),"")</f>
        <v>HG</v>
      </c>
      <c r="F111" s="70" t="n">
        <f aca="false">IFERROR(INDEX(LOT_STOCK,MATCH(ROW()-109,LOT_RANGEXT,0)),"")</f>
        <v>300</v>
      </c>
    </row>
    <row r="112" customFormat="false" ht="15" hidden="false" customHeight="false" outlineLevel="0" collapsed="false">
      <c r="B112" s="50" t="str">
        <f aca="false">IFERROR(INDEX(LOT_KEY,MATCH(ROW()-109,LOT_RANGEXT,0)),"")</f>
        <v>255-HGT</v>
      </c>
      <c r="C112" s="50" t="str">
        <f aca="false">IFERROR(INDEX(LOT_EXTE,MATCH(ROW()-109,LOT_RANGEXT,0)),"")</f>
        <v>L-EXT-255</v>
      </c>
      <c r="D112" s="50" t="str">
        <f aca="false">IFERROR(INDEX(LOT_PRODE,MATCH(ROW()-109,LOT_RANGEXT,0)),"")</f>
        <v>Sardine</v>
      </c>
      <c r="E112" s="50" t="str">
        <f aca="false">IFERROR(INDEX(LOT_ETAT,MATCH(ROW()-109,LOT_RANGEXT,0)),"")</f>
        <v>HGT</v>
      </c>
      <c r="F112" s="70" t="n">
        <f aca="false">IFERROR(INDEX(LOT_STOCK,MATCH(ROW()-109,LOT_RANGEXT,0)),"")</f>
        <v>150</v>
      </c>
    </row>
    <row r="113" customFormat="false" ht="15" hidden="false" customHeight="false" outlineLevel="0" collapsed="false">
      <c r="B113" s="50" t="str">
        <f aca="false">IFERROR(INDEX(LOT_KEY,MATCH(ROW()-109,LOT_RANGEXT,0)),"")</f>
        <v/>
      </c>
      <c r="C113" s="50" t="str">
        <f aca="false">IFERROR(INDEX(LOT_EXTE,MATCH(ROW()-109,LOT_RANGEXT,0)),"")</f>
        <v/>
      </c>
      <c r="D113" s="50" t="str">
        <f aca="false">IFERROR(INDEX(LOT_PRODE,MATCH(ROW()-109,LOT_RANGEXT,0)),"")</f>
        <v/>
      </c>
      <c r="E113" s="50" t="str">
        <f aca="false">IFERROR(INDEX(LOT_ETAT,MATCH(ROW()-109,LOT_RANGEXT,0)),"")</f>
        <v/>
      </c>
      <c r="F113" s="70" t="str">
        <f aca="false">IFERROR(INDEX(LOT_STOCK,MATCH(ROW()-109,LOT_RANGEXT,0)),"")</f>
        <v/>
      </c>
    </row>
    <row r="114" customFormat="false" ht="15" hidden="false" customHeight="false" outlineLevel="0" collapsed="false">
      <c r="B114" s="50" t="str">
        <f aca="false">IFERROR(INDEX(LOT_KEY,MATCH(ROW()-109,LOT_RANGEXT,0)),"")</f>
        <v/>
      </c>
      <c r="C114" s="50" t="str">
        <f aca="false">IFERROR(INDEX(LOT_EXTE,MATCH(ROW()-109,LOT_RANGEXT,0)),"")</f>
        <v/>
      </c>
      <c r="D114" s="50" t="str">
        <f aca="false">IFERROR(INDEX(LOT_PRODE,MATCH(ROW()-109,LOT_RANGEXT,0)),"")</f>
        <v/>
      </c>
      <c r="E114" s="50" t="str">
        <f aca="false">IFERROR(INDEX(LOT_ETAT,MATCH(ROW()-109,LOT_RANGEXT,0)),"")</f>
        <v/>
      </c>
      <c r="F114" s="70" t="str">
        <f aca="false">IFERROR(INDEX(LOT_STOCK,MATCH(ROW()-109,LOT_RANGEXT,0)),"")</f>
        <v/>
      </c>
    </row>
    <row r="115" customFormat="false" ht="15" hidden="false" customHeight="false" outlineLevel="0" collapsed="false">
      <c r="B115" s="50" t="str">
        <f aca="false">IFERROR(INDEX(LOT_KEY,MATCH(ROW()-109,LOT_RANGEXT,0)),"")</f>
        <v/>
      </c>
      <c r="C115" s="50" t="str">
        <f aca="false">IFERROR(INDEX(LOT_EXTE,MATCH(ROW()-109,LOT_RANGEXT,0)),"")</f>
        <v/>
      </c>
      <c r="D115" s="50" t="str">
        <f aca="false">IFERROR(INDEX(LOT_PRODE,MATCH(ROW()-109,LOT_RANGEXT,0)),"")</f>
        <v/>
      </c>
      <c r="E115" s="50" t="str">
        <f aca="false">IFERROR(INDEX(LOT_ETAT,MATCH(ROW()-109,LOT_RANGEXT,0)),"")</f>
        <v/>
      </c>
      <c r="F115" s="70" t="str">
        <f aca="false">IFERROR(INDEX(LOT_STOCK,MATCH(ROW()-109,LOT_RANGEXT,0)),"")</f>
        <v/>
      </c>
    </row>
    <row r="116" customFormat="false" ht="15" hidden="false" customHeight="false" outlineLevel="0" collapsed="false">
      <c r="B116" s="50" t="str">
        <f aca="false">IFERROR(INDEX(LOT_KEY,MATCH(ROW()-109,LOT_RANGEXT,0)),"")</f>
        <v/>
      </c>
      <c r="C116" s="50" t="str">
        <f aca="false">IFERROR(INDEX(LOT_EXTE,MATCH(ROW()-109,LOT_RANGEXT,0)),"")</f>
        <v/>
      </c>
      <c r="D116" s="50" t="str">
        <f aca="false">IFERROR(INDEX(LOT_PRODE,MATCH(ROW()-109,LOT_RANGEXT,0)),"")</f>
        <v/>
      </c>
      <c r="E116" s="50" t="str">
        <f aca="false">IFERROR(INDEX(LOT_ETAT,MATCH(ROW()-109,LOT_RANGEXT,0)),"")</f>
        <v/>
      </c>
      <c r="F116" s="70" t="str">
        <f aca="false">IFERROR(INDEX(LOT_STOCK,MATCH(ROW()-109,LOT_RANGEXT,0)),"")</f>
        <v/>
      </c>
    </row>
    <row r="117" customFormat="false" ht="15" hidden="false" customHeight="false" outlineLevel="0" collapsed="false">
      <c r="B117" s="50" t="str">
        <f aca="false">IFERROR(INDEX(LOT_KEY,MATCH(ROW()-109,LOT_RANGEXT,0)),"")</f>
        <v/>
      </c>
      <c r="C117" s="50" t="str">
        <f aca="false">IFERROR(INDEX(LOT_EXTE,MATCH(ROW()-109,LOT_RANGEXT,0)),"")</f>
        <v/>
      </c>
      <c r="D117" s="50" t="str">
        <f aca="false">IFERROR(INDEX(LOT_PRODE,MATCH(ROW()-109,LOT_RANGEXT,0)),"")</f>
        <v/>
      </c>
      <c r="E117" s="50" t="str">
        <f aca="false">IFERROR(INDEX(LOT_ETAT,MATCH(ROW()-109,LOT_RANGEXT,0)),"")</f>
        <v/>
      </c>
      <c r="F117" s="70" t="str">
        <f aca="false">IFERROR(INDEX(LOT_STOCK,MATCH(ROW()-109,LOT_RANGEXT,0)),"")</f>
        <v/>
      </c>
    </row>
  </sheetData>
  <mergeCells count="29">
    <mergeCell ref="A1:K1"/>
    <mergeCell ref="A2:K2"/>
    <mergeCell ref="C4:E4"/>
    <mergeCell ref="G4:K5"/>
    <mergeCell ref="C5:E5"/>
    <mergeCell ref="A7:E7"/>
    <mergeCell ref="G7:I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G21:H21"/>
    <mergeCell ref="G22:H22"/>
    <mergeCell ref="A24:K24"/>
    <mergeCell ref="A52:K52"/>
    <mergeCell ref="A67:K67"/>
    <mergeCell ref="A82:K82"/>
    <mergeCell ref="A97:K97"/>
    <mergeCell ref="A108:K108"/>
  </mergeCells>
  <conditionalFormatting sqref="C21">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conditionalFormatting sqref="C19">
    <cfRule type="cellIs" priority="11" operator="equal" aboveAverage="0" equalAverage="0" bottom="0" percent="0" rank="0" text="" dxfId="1">
      <formula>"BLOQUER"</formula>
    </cfRule>
    <cfRule type="cellIs" priority="12" operator="equal" aboveAverage="0" equalAverage="0" bottom="0" percent="0" rank="0" text="" dxfId="1">
      <formula>"REFUSER"</formula>
    </cfRule>
    <cfRule type="cellIs" priority="13" operator="equal" aboveAverage="0" equalAverage="0" bottom="0" percent="0" rank="0" text="" dxfId="2">
      <formula>"A RECONTROLER"</formula>
    </cfRule>
    <cfRule type="cellIs" priority="14" operator="equal" aboveAverage="0" equalAverage="0" bottom="0" percent="0" rank="0" text="" dxfId="25">
      <formula>"ACCEPTER"</formula>
    </cfRule>
  </conditionalFormatting>
  <conditionalFormatting sqref="J26:J50">
    <cfRule type="cellIs" priority="15" operator="equal" aboveAverage="0" equalAverage="0" bottom="0" percent="0" rank="0" text="" dxfId="9">
      <formula>"OK"</formula>
    </cfRule>
    <cfRule type="cellIs" priority="16" operator="equal" aboveAverage="0" equalAverage="0" bottom="0" percent="0" rank="0" text="" dxfId="10">
      <formula>"EN COURS"</formula>
    </cfRule>
    <cfRule type="cellIs" priority="17" operator="equal" aboveAverage="0" equalAverage="0" bottom="0" percent="0" rank="0" text="" dxfId="11">
      <formula>"A JUSTIFIER"</formula>
    </cfRule>
    <cfRule type="cellIs" priority="18" operator="equal" aboveAverage="0" equalAverage="0" bottom="0" percent="0" rank="0" text="" dxfId="12">
      <formula>"DONNEES MANQUANTES"</formula>
    </cfRule>
    <cfRule type="cellIs" priority="19" operator="equal" aboveAverage="0" equalAverage="0" bottom="0" percent="0" rank="0" text="" dxfId="13">
      <formula>"STOCK INSUFFISANT"</formula>
    </cfRule>
    <cfRule type="cellIs" priority="20" operator="equal" aboveAverage="0" equalAverage="0" bottom="0" percent="0" rank="0" text="" dxfId="13">
      <formula>"EMPLACEMENT INCOHERENT"</formula>
    </cfRule>
    <cfRule type="cellIs" priority="21" operator="equal" aboveAverage="0" equalAverage="0" bottom="0" percent="0" rank="0" text="" dxfId="13">
      <formula>"BLOQUE"</formula>
    </cfRule>
    <cfRule type="cellIs" priority="22" operator="equal" aboveAverage="0" equalAverage="0" bottom="0" percent="0" rank="0" text="" dxfId="13">
      <formula>"INCOHERENCE"</formula>
    </cfRule>
    <cfRule type="cellIs" priority="23" operator="equal" aboveAverage="0" equalAverage="0" bottom="0" percent="0" rank="0" text="" dxfId="11">
      <formula>"LOT EN DOUBLE"</formula>
    </cfRule>
  </conditionalFormatting>
  <conditionalFormatting sqref="K54:K65">
    <cfRule type="cellIs" priority="24" operator="equal" aboveAverage="0" equalAverage="0" bottom="0" percent="0" rank="0" text="" dxfId="9">
      <formula>"OK"</formula>
    </cfRule>
    <cfRule type="cellIs" priority="25" operator="equal" aboveAverage="0" equalAverage="0" bottom="0" percent="0" rank="0" text="" dxfId="10">
      <formula>"EN COURS"</formula>
    </cfRule>
    <cfRule type="cellIs" priority="26" operator="equal" aboveAverage="0" equalAverage="0" bottom="0" percent="0" rank="0" text="" dxfId="11">
      <formula>"A JUSTIFIER"</formula>
    </cfRule>
    <cfRule type="cellIs" priority="27" operator="equal" aboveAverage="0" equalAverage="0" bottom="0" percent="0" rank="0" text="" dxfId="12">
      <formula>"DONNEES MANQUANTES"</formula>
    </cfRule>
    <cfRule type="cellIs" priority="28" operator="equal" aboveAverage="0" equalAverage="0" bottom="0" percent="0" rank="0" text="" dxfId="13">
      <formula>"STOCK INSUFFISANT"</formula>
    </cfRule>
    <cfRule type="cellIs" priority="29" operator="equal" aboveAverage="0" equalAverage="0" bottom="0" percent="0" rank="0" text="" dxfId="13">
      <formula>"EMPLACEMENT INCOHERENT"</formula>
    </cfRule>
    <cfRule type="cellIs" priority="30" operator="equal" aboveAverage="0" equalAverage="0" bottom="0" percent="0" rank="0" text="" dxfId="13">
      <formula>"BLOQUE"</formula>
    </cfRule>
    <cfRule type="cellIs" priority="31" operator="equal" aboveAverage="0" equalAverage="0" bottom="0" percent="0" rank="0" text="" dxfId="13">
      <formula>"INCOHERENCE"</formula>
    </cfRule>
    <cfRule type="cellIs" priority="32" operator="equal" aboveAverage="0" equalAverage="0" bottom="0" percent="0" rank="0" text="" dxfId="11">
      <formula>"LOT EN DOUBLE"</formula>
    </cfRule>
  </conditionalFormatting>
  <conditionalFormatting sqref="K69:K80">
    <cfRule type="cellIs" priority="33" operator="equal" aboveAverage="0" equalAverage="0" bottom="0" percent="0" rank="0" text="" dxfId="9">
      <formula>"OK"</formula>
    </cfRule>
    <cfRule type="cellIs" priority="34" operator="equal" aboveAverage="0" equalAverage="0" bottom="0" percent="0" rank="0" text="" dxfId="10">
      <formula>"EN COURS"</formula>
    </cfRule>
    <cfRule type="cellIs" priority="35" operator="equal" aboveAverage="0" equalAverage="0" bottom="0" percent="0" rank="0" text="" dxfId="11">
      <formula>"A JUSTIFIER"</formula>
    </cfRule>
    <cfRule type="cellIs" priority="36" operator="equal" aboveAverage="0" equalAverage="0" bottom="0" percent="0" rank="0" text="" dxfId="12">
      <formula>"DONNEES MANQUANTES"</formula>
    </cfRule>
    <cfRule type="cellIs" priority="37" operator="equal" aboveAverage="0" equalAverage="0" bottom="0" percent="0" rank="0" text="" dxfId="13">
      <formula>"STOCK INSUFFISANT"</formula>
    </cfRule>
    <cfRule type="cellIs" priority="38" operator="equal" aboveAverage="0" equalAverage="0" bottom="0" percent="0" rank="0" text="" dxfId="13">
      <formula>"EMPLACEMENT INCOHERENT"</formula>
    </cfRule>
    <cfRule type="cellIs" priority="39" operator="equal" aboveAverage="0" equalAverage="0" bottom="0" percent="0" rank="0" text="" dxfId="13">
      <formula>"BLOQUE"</formula>
    </cfRule>
    <cfRule type="cellIs" priority="40" operator="equal" aboveAverage="0" equalAverage="0" bottom="0" percent="0" rank="0" text="" dxfId="13">
      <formula>"INCOHERENCE"</formula>
    </cfRule>
    <cfRule type="cellIs" priority="41" operator="equal" aboveAverage="0" equalAverage="0" bottom="0" percent="0" rank="0" text="" dxfId="11">
      <formula>"LOT EN DOUBLE"</formula>
    </cfRule>
  </conditionalFormatting>
  <conditionalFormatting sqref="J84:J95">
    <cfRule type="cellIs" priority="42" operator="equal" aboveAverage="0" equalAverage="0" bottom="0" percent="0" rank="0" text="" dxfId="9">
      <formula>"OK"</formula>
    </cfRule>
    <cfRule type="cellIs" priority="43" operator="equal" aboveAverage="0" equalAverage="0" bottom="0" percent="0" rank="0" text="" dxfId="10">
      <formula>"EN COURS"</formula>
    </cfRule>
    <cfRule type="cellIs" priority="44" operator="equal" aboveAverage="0" equalAverage="0" bottom="0" percent="0" rank="0" text="" dxfId="11">
      <formula>"A JUSTIFIER"</formula>
    </cfRule>
    <cfRule type="cellIs" priority="45" operator="equal" aboveAverage="0" equalAverage="0" bottom="0" percent="0" rank="0" text="" dxfId="12">
      <formula>"DONNEES MANQUANTES"</formula>
    </cfRule>
    <cfRule type="cellIs" priority="46" operator="equal" aboveAverage="0" equalAverage="0" bottom="0" percent="0" rank="0" text="" dxfId="13">
      <formula>"STOCK INSUFFISANT"</formula>
    </cfRule>
    <cfRule type="cellIs" priority="47" operator="equal" aboveAverage="0" equalAverage="0" bottom="0" percent="0" rank="0" text="" dxfId="13">
      <formula>"EMPLACEMENT INCOHERENT"</formula>
    </cfRule>
    <cfRule type="cellIs" priority="48" operator="equal" aboveAverage="0" equalAverage="0" bottom="0" percent="0" rank="0" text="" dxfId="13">
      <formula>"BLOQUE"</formula>
    </cfRule>
    <cfRule type="cellIs" priority="49" operator="equal" aboveAverage="0" equalAverage="0" bottom="0" percent="0" rank="0" text="" dxfId="13">
      <formula>"INCOHERENCE"</formula>
    </cfRule>
    <cfRule type="cellIs" priority="50" operator="equal" aboveAverage="0" equalAverage="0" bottom="0" percent="0" rank="0" text="" dxfId="11">
      <formula>"LOT EN DOUBLE"</formula>
    </cfRule>
  </conditionalFormatting>
  <dataValidations count="1">
    <dataValidation allowBlank="true" errorStyle="stop" operator="between" showDropDown="false" showErrorMessage="false" showInputMessage="false" sqref="C4" type="list">
      <formula1>L_LOTS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P10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12"/>
    <col collapsed="false" customWidth="true" hidden="false" outlineLevel="0" max="4" min="4" style="0" width="11"/>
    <col collapsed="false" customWidth="true" hidden="false" outlineLevel="0" max="5" min="5" style="0" width="10"/>
    <col collapsed="false" customWidth="true" hidden="false" outlineLevel="0" max="6" min="6" style="0" width="24"/>
    <col collapsed="false" customWidth="true" hidden="false" outlineLevel="0" max="7" min="7" style="0" width="14"/>
    <col collapsed="false" customWidth="true" hidden="false" outlineLevel="0" max="8" min="8" style="0" width="13"/>
    <col collapsed="false" customWidth="true" hidden="false" outlineLevel="0" max="9" min="9" style="0" width="16"/>
    <col collapsed="false" customWidth="true" hidden="false" outlineLevel="0" max="10" min="10" style="0" width="11"/>
    <col collapsed="false" customWidth="true" hidden="false" outlineLevel="0" max="12" min="11" style="0" width="14"/>
    <col collapsed="false" customWidth="true" hidden="false" outlineLevel="0" max="14" min="13" style="0" width="16"/>
    <col collapsed="false" customWidth="true" hidden="false" outlineLevel="0" max="15" min="15" style="0" width="21"/>
    <col collapsed="false" customWidth="true" hidden="false" outlineLevel="0" max="16" min="16" style="0" width="12"/>
  </cols>
  <sheetData>
    <row r="1" customFormat="false" ht="30" hidden="false" customHeight="true" outlineLevel="0" collapsed="false">
      <c r="A1" s="1" t="s">
        <v>314</v>
      </c>
      <c r="B1" s="1"/>
      <c r="C1" s="1"/>
      <c r="D1" s="1"/>
      <c r="E1" s="1"/>
      <c r="F1" s="1"/>
      <c r="G1" s="1"/>
      <c r="H1" s="1"/>
      <c r="I1" s="1"/>
      <c r="J1" s="1"/>
      <c r="K1" s="1"/>
      <c r="L1" s="1"/>
      <c r="M1" s="1"/>
      <c r="N1" s="1"/>
      <c r="O1" s="1"/>
      <c r="P1" s="1"/>
    </row>
    <row r="2" customFormat="false" ht="18" hidden="false" customHeight="true" outlineLevel="0" collapsed="false">
      <c r="A2" s="2" t="s">
        <v>315</v>
      </c>
      <c r="B2" s="2"/>
      <c r="C2" s="2"/>
      <c r="D2" s="2"/>
      <c r="E2" s="2"/>
      <c r="F2" s="2"/>
      <c r="G2" s="2"/>
      <c r="H2" s="2"/>
      <c r="I2" s="2"/>
      <c r="J2" s="2"/>
      <c r="K2" s="2"/>
      <c r="L2" s="2"/>
      <c r="M2" s="2"/>
      <c r="N2" s="2"/>
      <c r="O2" s="2"/>
      <c r="P2" s="2"/>
    </row>
    <row r="3" customFormat="false" ht="19.5" hidden="false" customHeight="true" outlineLevel="0" collapsed="false">
      <c r="A3" s="3" t="s">
        <v>316</v>
      </c>
      <c r="B3" s="3"/>
      <c r="C3" s="3"/>
      <c r="D3" s="3"/>
      <c r="E3" s="3"/>
      <c r="F3" s="3"/>
      <c r="G3" s="3"/>
      <c r="H3" s="3"/>
      <c r="I3" s="3"/>
      <c r="J3" s="3"/>
      <c r="K3" s="3"/>
      <c r="L3" s="3"/>
      <c r="M3" s="3"/>
      <c r="N3" s="3"/>
      <c r="O3" s="3"/>
      <c r="P3" s="3"/>
    </row>
    <row r="4" customFormat="false" ht="30" hidden="false" customHeight="true" outlineLevel="0" collapsed="false">
      <c r="A4" s="23" t="s">
        <v>296</v>
      </c>
      <c r="B4" s="23" t="s">
        <v>55</v>
      </c>
      <c r="C4" s="23" t="s">
        <v>301</v>
      </c>
      <c r="D4" s="23" t="s">
        <v>136</v>
      </c>
      <c r="E4" s="23" t="s">
        <v>298</v>
      </c>
      <c r="F4" s="23" t="s">
        <v>297</v>
      </c>
      <c r="G4" s="23" t="s">
        <v>51</v>
      </c>
      <c r="H4" s="23" t="s">
        <v>52</v>
      </c>
      <c r="I4" s="23" t="s">
        <v>226</v>
      </c>
      <c r="J4" s="23" t="s">
        <v>265</v>
      </c>
      <c r="K4" s="23" t="s">
        <v>53</v>
      </c>
      <c r="L4" s="23" t="s">
        <v>57</v>
      </c>
      <c r="M4" s="23" t="s">
        <v>317</v>
      </c>
      <c r="N4" s="23" t="s">
        <v>318</v>
      </c>
      <c r="O4" s="23" t="s">
        <v>319</v>
      </c>
      <c r="P4" s="23" t="s">
        <v>188</v>
      </c>
    </row>
    <row r="5" customFormat="false" ht="15" hidden="false" customHeight="false" outlineLevel="0" collapsed="false">
      <c r="A5" s="28" t="str">
        <f aca="false">IF($M5=0,"",ROW()-4)</f>
        <v/>
      </c>
      <c r="B5" s="26" t="str">
        <f aca="false">IF($M5=0,"","OPERATIONS")</f>
        <v/>
      </c>
      <c r="C5" s="26" t="str">
        <f aca="false">IF($M5=0,"",OPERATIONS!$A5)</f>
        <v/>
      </c>
      <c r="D5" s="31" t="str">
        <f aca="false">IF($M5=0,"",OPERATIONS!$B5)</f>
        <v/>
      </c>
      <c r="E5" s="26" t="str">
        <f aca="false">IF($M5=0,"","SORTIE")</f>
        <v/>
      </c>
      <c r="F5" s="26" t="str">
        <f aca="false">IF($M5=0,"",OPERATIONS!$C5)</f>
        <v/>
      </c>
      <c r="G5" s="26" t="str">
        <f aca="false">IF($M5=0,"",OPERATIONS!$D5)</f>
        <v/>
      </c>
      <c r="H5" s="26" t="str">
        <f aca="false">IF($G5="","",IFERROR(INDEX(LOT_EXTE,MATCH($G5,LOT_KEY,0)),""))</f>
        <v/>
      </c>
      <c r="I5" s="26" t="str">
        <f aca="false">IF($M5=0,"",OPERATIONS!$E5)</f>
        <v/>
      </c>
      <c r="J5" s="26" t="str">
        <f aca="false">IF($I5="","",IFERROR(INDEX(EMPL_CLASSE,MATCH($I5,EMPL_KEY,0)),""))</f>
        <v/>
      </c>
      <c r="K5" s="26" t="str">
        <f aca="false">IF($M5=0,"",OPERATIONS!$K5)</f>
        <v/>
      </c>
      <c r="L5" s="26" t="str">
        <f aca="false">IF($G5="","",IF(IFERROR(INDEX(LOT_ETAT,MATCH($G5,LOT_KEY,0)),"")="","",INDEX(LOT_ETAT,MATCH($G5,LOT_KEY,0))))</f>
        <v/>
      </c>
      <c r="M5" s="73" t="n">
        <f aca="false">IF(OR(OPERATIONS!$O5=0,OPERATIONS!$C5="RECEPTION",OPERATIONS!$C5="AJUSTEMENT"),0,-OPERATIONS!$G5)</f>
        <v>0</v>
      </c>
      <c r="N5" s="73" t="n">
        <f aca="false">IF($M5=0,0,OPERATIONS!$R5*$M5)</f>
        <v>0</v>
      </c>
      <c r="O5" s="26" t="str">
        <f aca="false">IF($M5=0,"",OPERATIONS!$Q5)</f>
        <v/>
      </c>
      <c r="P5" s="26" t="str">
        <f aca="false">IF($G5="","",IF($G5=R_LOT,COUNTIF($G$5:$G5,R_LOT),""))</f>
        <v/>
      </c>
    </row>
    <row r="6" customFormat="false" ht="15" hidden="false" customHeight="false" outlineLevel="0" collapsed="false">
      <c r="A6" s="28" t="str">
        <f aca="false">IF($M6=0,"",ROW()-4)</f>
        <v/>
      </c>
      <c r="B6" s="26" t="str">
        <f aca="false">IF($M6=0,"","OPERATIONS")</f>
        <v/>
      </c>
      <c r="C6" s="26" t="str">
        <f aca="false">IF($M6=0,"",OPERATIONS!$A6)</f>
        <v/>
      </c>
      <c r="D6" s="31" t="str">
        <f aca="false">IF($M6=0,"",OPERATIONS!$B6)</f>
        <v/>
      </c>
      <c r="E6" s="26" t="str">
        <f aca="false">IF($M6=0,"","SORTIE")</f>
        <v/>
      </c>
      <c r="F6" s="26" t="str">
        <f aca="false">IF($M6=0,"",OPERATIONS!$C6)</f>
        <v/>
      </c>
      <c r="G6" s="26" t="str">
        <f aca="false">IF($M6=0,"",OPERATIONS!$D6)</f>
        <v/>
      </c>
      <c r="H6" s="26" t="str">
        <f aca="false">IF($G6="","",IFERROR(INDEX(LOT_EXTE,MATCH($G6,LOT_KEY,0)),""))</f>
        <v/>
      </c>
      <c r="I6" s="26" t="str">
        <f aca="false">IF($M6=0,"",OPERATIONS!$E6)</f>
        <v/>
      </c>
      <c r="J6" s="26" t="str">
        <f aca="false">IF($I6="","",IFERROR(INDEX(EMPL_CLASSE,MATCH($I6,EMPL_KEY,0)),""))</f>
        <v/>
      </c>
      <c r="K6" s="26" t="str">
        <f aca="false">IF($M6=0,"",OPERATIONS!$K6)</f>
        <v/>
      </c>
      <c r="L6" s="26" t="str">
        <f aca="false">IF($G6="","",IF(IFERROR(INDEX(LOT_ETAT,MATCH($G6,LOT_KEY,0)),"")="","",INDEX(LOT_ETAT,MATCH($G6,LOT_KEY,0))))</f>
        <v/>
      </c>
      <c r="M6" s="73" t="n">
        <f aca="false">IF(OR(OPERATIONS!$O6=0,OPERATIONS!$C6="RECEPTION",OPERATIONS!$C6="AJUSTEMENT"),0,-OPERATIONS!$G6)</f>
        <v>0</v>
      </c>
      <c r="N6" s="73" t="n">
        <f aca="false">IF($M6=0,0,OPERATIONS!$R6*$M6)</f>
        <v>0</v>
      </c>
      <c r="O6" s="26" t="str">
        <f aca="false">IF($M6=0,"",OPERATIONS!$Q6)</f>
        <v/>
      </c>
      <c r="P6" s="26" t="str">
        <f aca="false">IF($G6="","",IF($G6=R_LOT,COUNTIF($G$5:$G6,R_LOT),""))</f>
        <v/>
      </c>
    </row>
    <row r="7" customFormat="false" ht="15" hidden="false" customHeight="false" outlineLevel="0" collapsed="false">
      <c r="A7" s="28" t="str">
        <f aca="false">IF($M7=0,"",ROW()-4)</f>
        <v/>
      </c>
      <c r="B7" s="26" t="str">
        <f aca="false">IF($M7=0,"","OPERATIONS")</f>
        <v/>
      </c>
      <c r="C7" s="26" t="str">
        <f aca="false">IF($M7=0,"",OPERATIONS!$A7)</f>
        <v/>
      </c>
      <c r="D7" s="31" t="str">
        <f aca="false">IF($M7=0,"",OPERATIONS!$B7)</f>
        <v/>
      </c>
      <c r="E7" s="26" t="str">
        <f aca="false">IF($M7=0,"","SORTIE")</f>
        <v/>
      </c>
      <c r="F7" s="26" t="str">
        <f aca="false">IF($M7=0,"",OPERATIONS!$C7)</f>
        <v/>
      </c>
      <c r="G7" s="26" t="str">
        <f aca="false">IF($M7=0,"",OPERATIONS!$D7)</f>
        <v/>
      </c>
      <c r="H7" s="26" t="str">
        <f aca="false">IF($G7="","",IFERROR(INDEX(LOT_EXTE,MATCH($G7,LOT_KEY,0)),""))</f>
        <v/>
      </c>
      <c r="I7" s="26" t="str">
        <f aca="false">IF($M7=0,"",OPERATIONS!$E7)</f>
        <v/>
      </c>
      <c r="J7" s="26" t="str">
        <f aca="false">IF($I7="","",IFERROR(INDEX(EMPL_CLASSE,MATCH($I7,EMPL_KEY,0)),""))</f>
        <v/>
      </c>
      <c r="K7" s="26" t="str">
        <f aca="false">IF($M7=0,"",OPERATIONS!$K7)</f>
        <v/>
      </c>
      <c r="L7" s="26" t="str">
        <f aca="false">IF($G7="","",IF(IFERROR(INDEX(LOT_ETAT,MATCH($G7,LOT_KEY,0)),"")="","",INDEX(LOT_ETAT,MATCH($G7,LOT_KEY,0))))</f>
        <v/>
      </c>
      <c r="M7" s="73" t="n">
        <f aca="false">IF(OR(OPERATIONS!$O7=0,OPERATIONS!$C7="RECEPTION",OPERATIONS!$C7="AJUSTEMENT"),0,-OPERATIONS!$G7)</f>
        <v>0</v>
      </c>
      <c r="N7" s="73" t="n">
        <f aca="false">IF($M7=0,0,OPERATIONS!$R7*$M7)</f>
        <v>0</v>
      </c>
      <c r="O7" s="26" t="str">
        <f aca="false">IF($M7=0,"",OPERATIONS!$Q7)</f>
        <v/>
      </c>
      <c r="P7" s="26" t="str">
        <f aca="false">IF($G7="","",IF($G7=R_LOT,COUNTIF($G$5:$G7,R_LOT),""))</f>
        <v/>
      </c>
    </row>
    <row r="8" customFormat="false" ht="15" hidden="false" customHeight="false" outlineLevel="0" collapsed="false">
      <c r="A8" s="28" t="str">
        <f aca="false">IF($M8=0,"",ROW()-4)</f>
        <v/>
      </c>
      <c r="B8" s="26" t="str">
        <f aca="false">IF($M8=0,"","OPERATIONS")</f>
        <v/>
      </c>
      <c r="C8" s="26" t="str">
        <f aca="false">IF($M8=0,"",OPERATIONS!$A8)</f>
        <v/>
      </c>
      <c r="D8" s="31" t="str">
        <f aca="false">IF($M8=0,"",OPERATIONS!$B8)</f>
        <v/>
      </c>
      <c r="E8" s="26" t="str">
        <f aca="false">IF($M8=0,"","SORTIE")</f>
        <v/>
      </c>
      <c r="F8" s="26" t="str">
        <f aca="false">IF($M8=0,"",OPERATIONS!$C8)</f>
        <v/>
      </c>
      <c r="G8" s="26" t="str">
        <f aca="false">IF($M8=0,"",OPERATIONS!$D8)</f>
        <v/>
      </c>
      <c r="H8" s="26" t="str">
        <f aca="false">IF($G8="","",IFERROR(INDEX(LOT_EXTE,MATCH($G8,LOT_KEY,0)),""))</f>
        <v/>
      </c>
      <c r="I8" s="26" t="str">
        <f aca="false">IF($M8=0,"",OPERATIONS!$E8)</f>
        <v/>
      </c>
      <c r="J8" s="26" t="str">
        <f aca="false">IF($I8="","",IFERROR(INDEX(EMPL_CLASSE,MATCH($I8,EMPL_KEY,0)),""))</f>
        <v/>
      </c>
      <c r="K8" s="26" t="str">
        <f aca="false">IF($M8=0,"",OPERATIONS!$K8)</f>
        <v/>
      </c>
      <c r="L8" s="26" t="str">
        <f aca="false">IF($G8="","",IF(IFERROR(INDEX(LOT_ETAT,MATCH($G8,LOT_KEY,0)),"")="","",INDEX(LOT_ETAT,MATCH($G8,LOT_KEY,0))))</f>
        <v/>
      </c>
      <c r="M8" s="73" t="n">
        <f aca="false">IF(OR(OPERATIONS!$O8=0,OPERATIONS!$C8="RECEPTION",OPERATIONS!$C8="AJUSTEMENT"),0,-OPERATIONS!$G8)</f>
        <v>0</v>
      </c>
      <c r="N8" s="73" t="n">
        <f aca="false">IF($M8=0,0,OPERATIONS!$R8*$M8)</f>
        <v>0</v>
      </c>
      <c r="O8" s="26" t="str">
        <f aca="false">IF($M8=0,"",OPERATIONS!$Q8)</f>
        <v/>
      </c>
      <c r="P8" s="26" t="str">
        <f aca="false">IF($G8="","",IF($G8=R_LOT,COUNTIF($G$5:$G8,R_LOT),""))</f>
        <v/>
      </c>
    </row>
    <row r="9" customFormat="false" ht="15" hidden="false" customHeight="false" outlineLevel="0" collapsed="false">
      <c r="A9" s="28" t="n">
        <f aca="false">IF($M9=0,"",ROW()-4)</f>
        <v>5</v>
      </c>
      <c r="B9" s="26" t="str">
        <f aca="false">IF($M9=0,"","OPERATIONS")</f>
        <v>OPERATIONS</v>
      </c>
      <c r="C9" s="26" t="str">
        <f aca="false">IF($M9=0,"",OPERATIONS!$A9)</f>
        <v>OP-005</v>
      </c>
      <c r="D9" s="31" t="n">
        <f aca="false">IF($M9=0,"",OPERATIONS!$B9)</f>
        <v>46242</v>
      </c>
      <c r="E9" s="26" t="str">
        <f aca="false">IF($M9=0,"","SORTIE")</f>
        <v>SORTIE</v>
      </c>
      <c r="F9" s="26" t="str">
        <f aca="false">IF($M9=0,"",OPERATIONS!$C9)</f>
        <v>CONSOMMATION</v>
      </c>
      <c r="G9" s="26" t="str">
        <f aca="false">IF($M9=0,"",OPERATIONS!$D9)</f>
        <v>257</v>
      </c>
      <c r="H9" s="26" t="str">
        <f aca="false">IF($G9="","",IFERROR(INDEX(LOT_EXTE,MATCH($G9,LOT_KEY,0)),""))</f>
        <v>L-EXT-255</v>
      </c>
      <c r="I9" s="26" t="str">
        <f aca="false">IF($M9=0,"",OPERATIONS!$E9)</f>
        <v>OCEAMIC 2</v>
      </c>
      <c r="J9" s="26" t="str">
        <f aca="false">IF($I9="","",IFERROR(INDEX(EMPL_CLASSE,MATCH($I9,EMPL_KEY,0)),""))</f>
        <v>INTERNE</v>
      </c>
      <c r="K9" s="26" t="str">
        <f aca="false">IF($M9=0,"",OPERATIONS!$K9)</f>
        <v>Sardine</v>
      </c>
      <c r="L9" s="26" t="str">
        <f aca="false">IF($G9="","",IF(IFERROR(INDEX(LOT_ETAT,MATCH($G9,LOT_KEY,0)),"")="","",INDEX(LOT_ETAT,MATCH($G9,LOT_KEY,0))))</f>
        <v>ENTIER</v>
      </c>
      <c r="M9" s="73" t="n">
        <f aca="false">IF(OR(OPERATIONS!$O9=0,OPERATIONS!$C9="RECEPTION",OPERATIONS!$C9="AJUSTEMENT"),0,-OPERATIONS!$G9)</f>
        <v>-300</v>
      </c>
      <c r="N9" s="73" t="n">
        <f aca="false">IF($M9=0,0,OPERATIONS!$R9*$M9)</f>
        <v>-300</v>
      </c>
      <c r="O9" s="26" t="str">
        <f aca="false">IF($M9=0,"",OPERATIONS!$Q9)</f>
        <v>OK</v>
      </c>
      <c r="P9" s="26" t="str">
        <f aca="false">IF($G9="","",IF($G9=R_LOT,COUNTIF($G$5:$G9,R_LOT),""))</f>
        <v/>
      </c>
    </row>
    <row r="10" customFormat="false" ht="15" hidden="false" customHeight="false" outlineLevel="0" collapsed="false">
      <c r="A10" s="28" t="n">
        <f aca="false">IF($M10=0,"",ROW()-4)</f>
        <v>6</v>
      </c>
      <c r="B10" s="26" t="str">
        <f aca="false">IF($M10=0,"","OPERATIONS")</f>
        <v>OPERATIONS</v>
      </c>
      <c r="C10" s="26" t="str">
        <f aca="false">IF($M10=0,"",OPERATIONS!$A10)</f>
        <v>OP-006</v>
      </c>
      <c r="D10" s="31" t="n">
        <f aca="false">IF($M10=0,"",OPERATIONS!$B10)</f>
        <v>46243</v>
      </c>
      <c r="E10" s="26" t="str">
        <f aca="false">IF($M10=0,"","SORTIE")</f>
        <v>SORTIE</v>
      </c>
      <c r="F10" s="26" t="str">
        <f aca="false">IF($M10=0,"",OPERATIONS!$C10)</f>
        <v>TRANSFERT</v>
      </c>
      <c r="G10" s="26" t="str">
        <f aca="false">IF($M10=0,"",OPERATIONS!$D10)</f>
        <v>256</v>
      </c>
      <c r="H10" s="26" t="str">
        <f aca="false">IF($G10="","",IFERROR(INDEX(LOT_EXTE,MATCH($G10,LOT_KEY,0)),""))</f>
        <v>L-EXT-256</v>
      </c>
      <c r="I10" s="26" t="str">
        <f aca="false">IF($M10=0,"",OPERATIONS!$E10)</f>
        <v>SARMA</v>
      </c>
      <c r="J10" s="26" t="str">
        <f aca="false">IF($I10="","",IFERROR(INDEX(EMPL_CLASSE,MATCH($I10,EMPL_KEY,0)),""))</f>
        <v>EXTERNE</v>
      </c>
      <c r="K10" s="26" t="str">
        <f aca="false">IF($M10=0,"",OPERATIONS!$K10)</f>
        <v>Maquereau</v>
      </c>
      <c r="L10" s="26" t="str">
        <f aca="false">IF($G10="","",IF(IFERROR(INDEX(LOT_ETAT,MATCH($G10,LOT_KEY,0)),"")="","",INDEX(LOT_ETAT,MATCH($G10,LOT_KEY,0))))</f>
        <v>ENTIER</v>
      </c>
      <c r="M10" s="73" t="n">
        <f aca="false">IF(OR(OPERATIONS!$O10=0,OPERATIONS!$C10="RECEPTION",OPERATIONS!$C10="AJUSTEMENT"),0,-OPERATIONS!$G10)</f>
        <v>-800</v>
      </c>
      <c r="N10" s="73" t="n">
        <f aca="false">IF($M10=0,0,OPERATIONS!$R10*$M10)</f>
        <v>-800</v>
      </c>
      <c r="O10" s="26" t="str">
        <f aca="false">IF($M10=0,"",OPERATIONS!$Q10)</f>
        <v>OK</v>
      </c>
      <c r="P10" s="26" t="str">
        <f aca="false">IF($G10="","",IF($G10=R_LOT,COUNTIF($G$5:$G10,R_LOT),""))</f>
        <v/>
      </c>
    </row>
    <row r="11" customFormat="false" ht="15" hidden="false" customHeight="false" outlineLevel="0" collapsed="false">
      <c r="A11" s="28" t="str">
        <f aca="false">IF($M11=0,"",ROW()-4)</f>
        <v/>
      </c>
      <c r="B11" s="26" t="str">
        <f aca="false">IF($M11=0,"","OPERATIONS")</f>
        <v/>
      </c>
      <c r="C11" s="26" t="str">
        <f aca="false">IF($M11=0,"",OPERATIONS!$A11)</f>
        <v/>
      </c>
      <c r="D11" s="31" t="str">
        <f aca="false">IF($M11=0,"",OPERATIONS!$B11)</f>
        <v/>
      </c>
      <c r="E11" s="26" t="str">
        <f aca="false">IF($M11=0,"","SORTIE")</f>
        <v/>
      </c>
      <c r="F11" s="26" t="str">
        <f aca="false">IF($M11=0,"",OPERATIONS!$C11)</f>
        <v/>
      </c>
      <c r="G11" s="26" t="str">
        <f aca="false">IF($M11=0,"",OPERATIONS!$D11)</f>
        <v/>
      </c>
      <c r="H11" s="26" t="str">
        <f aca="false">IF($G11="","",IFERROR(INDEX(LOT_EXTE,MATCH($G11,LOT_KEY,0)),""))</f>
        <v/>
      </c>
      <c r="I11" s="26" t="str">
        <f aca="false">IF($M11=0,"",OPERATIONS!$E11)</f>
        <v/>
      </c>
      <c r="J11" s="26" t="str">
        <f aca="false">IF($I11="","",IFERROR(INDEX(EMPL_CLASSE,MATCH($I11,EMPL_KEY,0)),""))</f>
        <v/>
      </c>
      <c r="K11" s="26" t="str">
        <f aca="false">IF($M11=0,"",OPERATIONS!$K11)</f>
        <v/>
      </c>
      <c r="L11" s="26" t="str">
        <f aca="false">IF($G11="","",IF(IFERROR(INDEX(LOT_ETAT,MATCH($G11,LOT_KEY,0)),"")="","",INDEX(LOT_ETAT,MATCH($G11,LOT_KEY,0))))</f>
        <v/>
      </c>
      <c r="M11" s="73" t="n">
        <f aca="false">IF(OR(OPERATIONS!$O11=0,OPERATIONS!$C11="RECEPTION",OPERATIONS!$C11="AJUSTEMENT"),0,-OPERATIONS!$G11)</f>
        <v>0</v>
      </c>
      <c r="N11" s="73" t="n">
        <f aca="false">IF($M11=0,0,OPERATIONS!$R11*$M11)</f>
        <v>0</v>
      </c>
      <c r="O11" s="26" t="str">
        <f aca="false">IF($M11=0,"",OPERATIONS!$Q11)</f>
        <v/>
      </c>
      <c r="P11" s="26" t="str">
        <f aca="false">IF($G11="","",IF($G11=R_LOT,COUNTIF($G$5:$G11,R_LOT),""))</f>
        <v/>
      </c>
    </row>
    <row r="12" customFormat="false" ht="15" hidden="false" customHeight="false" outlineLevel="0" collapsed="false">
      <c r="A12" s="28" t="n">
        <f aca="false">IF($M12=0,"",ROW()-4)</f>
        <v>8</v>
      </c>
      <c r="B12" s="26" t="str">
        <f aca="false">IF($M12=0,"","OPERATIONS")</f>
        <v>OPERATIONS</v>
      </c>
      <c r="C12" s="26" t="str">
        <f aca="false">IF($M12=0,"",OPERATIONS!$A12)</f>
        <v>OP-008</v>
      </c>
      <c r="D12" s="31" t="n">
        <f aca="false">IF($M12=0,"",OPERATIONS!$B12)</f>
        <v>46245</v>
      </c>
      <c r="E12" s="26" t="str">
        <f aca="false">IF($M12=0,"","SORTIE")</f>
        <v>SORTIE</v>
      </c>
      <c r="F12" s="26" t="str">
        <f aca="false">IF($M12=0,"",OPERATIONS!$C12)</f>
        <v>CONSOMMATION</v>
      </c>
      <c r="G12" s="26" t="str">
        <f aca="false">IF($M12=0,"",OPERATIONS!$D12)</f>
        <v>258</v>
      </c>
      <c r="H12" s="26" t="str">
        <f aca="false">IF($G12="","",IFERROR(INDEX(LOT_EXTE,MATCH($G12,LOT_KEY,0)),""))</f>
        <v>L-EXT-258</v>
      </c>
      <c r="I12" s="26" t="str">
        <f aca="false">IF($M12=0,"",OPERATIONS!$E12)</f>
        <v>OCEAMIC 2</v>
      </c>
      <c r="J12" s="26" t="str">
        <f aca="false">IF($I12="","",IFERROR(INDEX(EMPL_CLASSE,MATCH($I12,EMPL_KEY,0)),""))</f>
        <v>INTERNE</v>
      </c>
      <c r="K12" s="26" t="str">
        <f aca="false">IF($M12=0,"",OPERATIONS!$K12)</f>
        <v>Sardine</v>
      </c>
      <c r="L12" s="26" t="str">
        <f aca="false">IF($G12="","",IF(IFERROR(INDEX(LOT_ETAT,MATCH($G12,LOT_KEY,0)),"")="","",INDEX(LOT_ETAT,MATCH($G12,LOT_KEY,0))))</f>
        <v>ENTIER</v>
      </c>
      <c r="M12" s="73" t="n">
        <f aca="false">IF(OR(OPERATIONS!$O12=0,OPERATIONS!$C12="RECEPTION",OPERATIONS!$C12="AJUSTEMENT"),0,-OPERATIONS!$G12)</f>
        <v>-500</v>
      </c>
      <c r="N12" s="73" t="n">
        <f aca="false">IF($M12=0,0,OPERATIONS!$R12*$M12)</f>
        <v>-0</v>
      </c>
      <c r="O12" s="26" t="str">
        <f aca="false">IF($M12=0,"",OPERATIONS!$Q12)</f>
        <v>STOCK INSUFFISANT</v>
      </c>
      <c r="P12" s="26" t="str">
        <f aca="false">IF($G12="","",IF($G12=R_LOT,COUNTIF($G$5:$G12,R_LOT),""))</f>
        <v/>
      </c>
    </row>
    <row r="13" customFormat="false" ht="15" hidden="false" customHeight="false" outlineLevel="0" collapsed="false">
      <c r="A13" s="28" t="str">
        <f aca="false">IF($M13=0,"",ROW()-4)</f>
        <v/>
      </c>
      <c r="B13" s="26" t="str">
        <f aca="false">IF($M13=0,"","OPERATIONS")</f>
        <v/>
      </c>
      <c r="C13" s="26" t="str">
        <f aca="false">IF($M13=0,"",OPERATIONS!$A13)</f>
        <v/>
      </c>
      <c r="D13" s="31" t="str">
        <f aca="false">IF($M13=0,"",OPERATIONS!$B13)</f>
        <v/>
      </c>
      <c r="E13" s="26" t="str">
        <f aca="false">IF($M13=0,"","SORTIE")</f>
        <v/>
      </c>
      <c r="F13" s="26" t="str">
        <f aca="false">IF($M13=0,"",OPERATIONS!$C13)</f>
        <v/>
      </c>
      <c r="G13" s="26" t="str">
        <f aca="false">IF($M13=0,"",OPERATIONS!$D13)</f>
        <v/>
      </c>
      <c r="H13" s="26" t="str">
        <f aca="false">IF($G13="","",IFERROR(INDEX(LOT_EXTE,MATCH($G13,LOT_KEY,0)),""))</f>
        <v/>
      </c>
      <c r="I13" s="26" t="str">
        <f aca="false">IF($M13=0,"",OPERATIONS!$E13)</f>
        <v/>
      </c>
      <c r="J13" s="26" t="str">
        <f aca="false">IF($I13="","",IFERROR(INDEX(EMPL_CLASSE,MATCH($I13,EMPL_KEY,0)),""))</f>
        <v/>
      </c>
      <c r="K13" s="26" t="str">
        <f aca="false">IF($M13=0,"",OPERATIONS!$K13)</f>
        <v/>
      </c>
      <c r="L13" s="26" t="str">
        <f aca="false">IF($G13="","",IF(IFERROR(INDEX(LOT_ETAT,MATCH($G13,LOT_KEY,0)),"")="","",INDEX(LOT_ETAT,MATCH($G13,LOT_KEY,0))))</f>
        <v/>
      </c>
      <c r="M13" s="73" t="n">
        <f aca="false">IF(OR(OPERATIONS!$O13=0,OPERATIONS!$C13="RECEPTION",OPERATIONS!$C13="AJUSTEMENT"),0,-OPERATIONS!$G13)</f>
        <v>0</v>
      </c>
      <c r="N13" s="73" t="n">
        <f aca="false">IF($M13=0,0,OPERATIONS!$R13*$M13)</f>
        <v>0</v>
      </c>
      <c r="O13" s="26" t="str">
        <f aca="false">IF($M13=0,"",OPERATIONS!$Q13)</f>
        <v/>
      </c>
      <c r="P13" s="26" t="str">
        <f aca="false">IF($G13="","",IF($G13=R_LOT,COUNTIF($G$5:$G13,R_LOT),""))</f>
        <v/>
      </c>
    </row>
    <row r="14" customFormat="false" ht="15" hidden="false" customHeight="false" outlineLevel="0" collapsed="false">
      <c r="A14" s="28" t="str">
        <f aca="false">IF($M14=0,"",ROW()-4)</f>
        <v/>
      </c>
      <c r="B14" s="26" t="str">
        <f aca="false">IF($M14=0,"","OPERATIONS")</f>
        <v/>
      </c>
      <c r="C14" s="26" t="str">
        <f aca="false">IF($M14=0,"",OPERATIONS!$A14)</f>
        <v/>
      </c>
      <c r="D14" s="31" t="str">
        <f aca="false">IF($M14=0,"",OPERATIONS!$B14)</f>
        <v/>
      </c>
      <c r="E14" s="26" t="str">
        <f aca="false">IF($M14=0,"","SORTIE")</f>
        <v/>
      </c>
      <c r="F14" s="26" t="str">
        <f aca="false">IF($M14=0,"",OPERATIONS!$C14)</f>
        <v/>
      </c>
      <c r="G14" s="26" t="str">
        <f aca="false">IF($M14=0,"",OPERATIONS!$D14)</f>
        <v/>
      </c>
      <c r="H14" s="26" t="str">
        <f aca="false">IF($G14="","",IFERROR(INDEX(LOT_EXTE,MATCH($G14,LOT_KEY,0)),""))</f>
        <v/>
      </c>
      <c r="I14" s="26" t="str">
        <f aca="false">IF($M14=0,"",OPERATIONS!$E14)</f>
        <v/>
      </c>
      <c r="J14" s="26" t="str">
        <f aca="false">IF($I14="","",IFERROR(INDEX(EMPL_CLASSE,MATCH($I14,EMPL_KEY,0)),""))</f>
        <v/>
      </c>
      <c r="K14" s="26" t="str">
        <f aca="false">IF($M14=0,"",OPERATIONS!$K14)</f>
        <v/>
      </c>
      <c r="L14" s="26" t="str">
        <f aca="false">IF($G14="","",IF(IFERROR(INDEX(LOT_ETAT,MATCH($G14,LOT_KEY,0)),"")="","",INDEX(LOT_ETAT,MATCH($G14,LOT_KEY,0))))</f>
        <v/>
      </c>
      <c r="M14" s="73" t="n">
        <f aca="false">IF(OR(OPERATIONS!$O14=0,OPERATIONS!$C14="RECEPTION",OPERATIONS!$C14="AJUSTEMENT"),0,-OPERATIONS!$G14)</f>
        <v>0</v>
      </c>
      <c r="N14" s="73" t="n">
        <f aca="false">IF($M14=0,0,OPERATIONS!$R14*$M14)</f>
        <v>0</v>
      </c>
      <c r="O14" s="26" t="str">
        <f aca="false">IF($M14=0,"",OPERATIONS!$Q14)</f>
        <v/>
      </c>
      <c r="P14" s="26" t="str">
        <f aca="false">IF($G14="","",IF($G14=R_LOT,COUNTIF($G$5:$G14,R_LOT),""))</f>
        <v/>
      </c>
    </row>
    <row r="15" customFormat="false" ht="15" hidden="false" customHeight="false" outlineLevel="0" collapsed="false">
      <c r="A15" s="28" t="str">
        <f aca="false">IF($M15=0,"",ROW()-4)</f>
        <v/>
      </c>
      <c r="B15" s="26" t="str">
        <f aca="false">IF($M15=0,"","OPERATIONS")</f>
        <v/>
      </c>
      <c r="C15" s="26" t="str">
        <f aca="false">IF($M15=0,"",OPERATIONS!$A15)</f>
        <v/>
      </c>
      <c r="D15" s="31" t="str">
        <f aca="false">IF($M15=0,"",OPERATIONS!$B15)</f>
        <v/>
      </c>
      <c r="E15" s="26" t="str">
        <f aca="false">IF($M15=0,"","SORTIE")</f>
        <v/>
      </c>
      <c r="F15" s="26" t="str">
        <f aca="false">IF($M15=0,"",OPERATIONS!$C15)</f>
        <v/>
      </c>
      <c r="G15" s="26" t="str">
        <f aca="false">IF($M15=0,"",OPERATIONS!$D15)</f>
        <v/>
      </c>
      <c r="H15" s="26" t="str">
        <f aca="false">IF($G15="","",IFERROR(INDEX(LOT_EXTE,MATCH($G15,LOT_KEY,0)),""))</f>
        <v/>
      </c>
      <c r="I15" s="26" t="str">
        <f aca="false">IF($M15=0,"",OPERATIONS!$E15)</f>
        <v/>
      </c>
      <c r="J15" s="26" t="str">
        <f aca="false">IF($I15="","",IFERROR(INDEX(EMPL_CLASSE,MATCH($I15,EMPL_KEY,0)),""))</f>
        <v/>
      </c>
      <c r="K15" s="26" t="str">
        <f aca="false">IF($M15=0,"",OPERATIONS!$K15)</f>
        <v/>
      </c>
      <c r="L15" s="26" t="str">
        <f aca="false">IF($G15="","",IF(IFERROR(INDEX(LOT_ETAT,MATCH($G15,LOT_KEY,0)),"")="","",INDEX(LOT_ETAT,MATCH($G15,LOT_KEY,0))))</f>
        <v/>
      </c>
      <c r="M15" s="73" t="n">
        <f aca="false">IF(OR(OPERATIONS!$O15=0,OPERATIONS!$C15="RECEPTION",OPERATIONS!$C15="AJUSTEMENT"),0,-OPERATIONS!$G15)</f>
        <v>0</v>
      </c>
      <c r="N15" s="73" t="n">
        <f aca="false">IF($M15=0,0,OPERATIONS!$R15*$M15)</f>
        <v>0</v>
      </c>
      <c r="O15" s="26" t="str">
        <f aca="false">IF($M15=0,"",OPERATIONS!$Q15)</f>
        <v/>
      </c>
      <c r="P15" s="26" t="str">
        <f aca="false">IF($G15="","",IF($G15=R_LOT,COUNTIF($G$5:$G15,R_LOT),""))</f>
        <v/>
      </c>
    </row>
    <row r="16" customFormat="false" ht="15" hidden="false" customHeight="false" outlineLevel="0" collapsed="false">
      <c r="A16" s="28" t="str">
        <f aca="false">IF($M16=0,"",ROW()-4)</f>
        <v/>
      </c>
      <c r="B16" s="26" t="str">
        <f aca="false">IF($M16=0,"","OPERATIONS")</f>
        <v/>
      </c>
      <c r="C16" s="26" t="str">
        <f aca="false">IF($M16=0,"",OPERATIONS!$A16)</f>
        <v/>
      </c>
      <c r="D16" s="31" t="str">
        <f aca="false">IF($M16=0,"",OPERATIONS!$B16)</f>
        <v/>
      </c>
      <c r="E16" s="26" t="str">
        <f aca="false">IF($M16=0,"","SORTIE")</f>
        <v/>
      </c>
      <c r="F16" s="26" t="str">
        <f aca="false">IF($M16=0,"",OPERATIONS!$C16)</f>
        <v/>
      </c>
      <c r="G16" s="26" t="str">
        <f aca="false">IF($M16=0,"",OPERATIONS!$D16)</f>
        <v/>
      </c>
      <c r="H16" s="26" t="str">
        <f aca="false">IF($G16="","",IFERROR(INDEX(LOT_EXTE,MATCH($G16,LOT_KEY,0)),""))</f>
        <v/>
      </c>
      <c r="I16" s="26" t="str">
        <f aca="false">IF($M16=0,"",OPERATIONS!$E16)</f>
        <v/>
      </c>
      <c r="J16" s="26" t="str">
        <f aca="false">IF($I16="","",IFERROR(INDEX(EMPL_CLASSE,MATCH($I16,EMPL_KEY,0)),""))</f>
        <v/>
      </c>
      <c r="K16" s="26" t="str">
        <f aca="false">IF($M16=0,"",OPERATIONS!$K16)</f>
        <v/>
      </c>
      <c r="L16" s="26" t="str">
        <f aca="false">IF($G16="","",IF(IFERROR(INDEX(LOT_ETAT,MATCH($G16,LOT_KEY,0)),"")="","",INDEX(LOT_ETAT,MATCH($G16,LOT_KEY,0))))</f>
        <v/>
      </c>
      <c r="M16" s="73" t="n">
        <f aca="false">IF(OR(OPERATIONS!$O16=0,OPERATIONS!$C16="RECEPTION",OPERATIONS!$C16="AJUSTEMENT"),0,-OPERATIONS!$G16)</f>
        <v>0</v>
      </c>
      <c r="N16" s="73" t="n">
        <f aca="false">IF($M16=0,0,OPERATIONS!$R16*$M16)</f>
        <v>0</v>
      </c>
      <c r="O16" s="26" t="str">
        <f aca="false">IF($M16=0,"",OPERATIONS!$Q16)</f>
        <v/>
      </c>
      <c r="P16" s="26" t="str">
        <f aca="false">IF($G16="","",IF($G16=R_LOT,COUNTIF($G$5:$G16,R_LOT),""))</f>
        <v/>
      </c>
    </row>
    <row r="17" customFormat="false" ht="15" hidden="false" customHeight="false" outlineLevel="0" collapsed="false">
      <c r="A17" s="28" t="str">
        <f aca="false">IF($M17=0,"",ROW()-4)</f>
        <v/>
      </c>
      <c r="B17" s="26" t="str">
        <f aca="false">IF($M17=0,"","OPERATIONS")</f>
        <v/>
      </c>
      <c r="C17" s="26" t="str">
        <f aca="false">IF($M17=0,"",OPERATIONS!$A17)</f>
        <v/>
      </c>
      <c r="D17" s="31" t="str">
        <f aca="false">IF($M17=0,"",OPERATIONS!$B17)</f>
        <v/>
      </c>
      <c r="E17" s="26" t="str">
        <f aca="false">IF($M17=0,"","SORTIE")</f>
        <v/>
      </c>
      <c r="F17" s="26" t="str">
        <f aca="false">IF($M17=0,"",OPERATIONS!$C17)</f>
        <v/>
      </c>
      <c r="G17" s="26" t="str">
        <f aca="false">IF($M17=0,"",OPERATIONS!$D17)</f>
        <v/>
      </c>
      <c r="H17" s="26" t="str">
        <f aca="false">IF($G17="","",IFERROR(INDEX(LOT_EXTE,MATCH($G17,LOT_KEY,0)),""))</f>
        <v/>
      </c>
      <c r="I17" s="26" t="str">
        <f aca="false">IF($M17=0,"",OPERATIONS!$E17)</f>
        <v/>
      </c>
      <c r="J17" s="26" t="str">
        <f aca="false">IF($I17="","",IFERROR(INDEX(EMPL_CLASSE,MATCH($I17,EMPL_KEY,0)),""))</f>
        <v/>
      </c>
      <c r="K17" s="26" t="str">
        <f aca="false">IF($M17=0,"",OPERATIONS!$K17)</f>
        <v/>
      </c>
      <c r="L17" s="26" t="str">
        <f aca="false">IF($G17="","",IF(IFERROR(INDEX(LOT_ETAT,MATCH($G17,LOT_KEY,0)),"")="","",INDEX(LOT_ETAT,MATCH($G17,LOT_KEY,0))))</f>
        <v/>
      </c>
      <c r="M17" s="73" t="n">
        <f aca="false">IF(OR(OPERATIONS!$O17=0,OPERATIONS!$C17="RECEPTION",OPERATIONS!$C17="AJUSTEMENT"),0,-OPERATIONS!$G17)</f>
        <v>0</v>
      </c>
      <c r="N17" s="73" t="n">
        <f aca="false">IF($M17=0,0,OPERATIONS!$R17*$M17)</f>
        <v>0</v>
      </c>
      <c r="O17" s="26" t="str">
        <f aca="false">IF($M17=0,"",OPERATIONS!$Q17)</f>
        <v/>
      </c>
      <c r="P17" s="26" t="str">
        <f aca="false">IF($G17="","",IF($G17=R_LOT,COUNTIF($G$5:$G17,R_LOT),""))</f>
        <v/>
      </c>
    </row>
    <row r="18" customFormat="false" ht="15" hidden="false" customHeight="false" outlineLevel="0" collapsed="false">
      <c r="A18" s="28" t="str">
        <f aca="false">IF($M18=0,"",ROW()-4)</f>
        <v/>
      </c>
      <c r="B18" s="26" t="str">
        <f aca="false">IF($M18=0,"","OPERATIONS")</f>
        <v/>
      </c>
      <c r="C18" s="26" t="str">
        <f aca="false">IF($M18=0,"",OPERATIONS!$A18)</f>
        <v/>
      </c>
      <c r="D18" s="31" t="str">
        <f aca="false">IF($M18=0,"",OPERATIONS!$B18)</f>
        <v/>
      </c>
      <c r="E18" s="26" t="str">
        <f aca="false">IF($M18=0,"","SORTIE")</f>
        <v/>
      </c>
      <c r="F18" s="26" t="str">
        <f aca="false">IF($M18=0,"",OPERATIONS!$C18)</f>
        <v/>
      </c>
      <c r="G18" s="26" t="str">
        <f aca="false">IF($M18=0,"",OPERATIONS!$D18)</f>
        <v/>
      </c>
      <c r="H18" s="26" t="str">
        <f aca="false">IF($G18="","",IFERROR(INDEX(LOT_EXTE,MATCH($G18,LOT_KEY,0)),""))</f>
        <v/>
      </c>
      <c r="I18" s="26" t="str">
        <f aca="false">IF($M18=0,"",OPERATIONS!$E18)</f>
        <v/>
      </c>
      <c r="J18" s="26" t="str">
        <f aca="false">IF($I18="","",IFERROR(INDEX(EMPL_CLASSE,MATCH($I18,EMPL_KEY,0)),""))</f>
        <v/>
      </c>
      <c r="K18" s="26" t="str">
        <f aca="false">IF($M18=0,"",OPERATIONS!$K18)</f>
        <v/>
      </c>
      <c r="L18" s="26" t="str">
        <f aca="false">IF($G18="","",IF(IFERROR(INDEX(LOT_ETAT,MATCH($G18,LOT_KEY,0)),"")="","",INDEX(LOT_ETAT,MATCH($G18,LOT_KEY,0))))</f>
        <v/>
      </c>
      <c r="M18" s="73" t="n">
        <f aca="false">IF(OR(OPERATIONS!$O18=0,OPERATIONS!$C18="RECEPTION",OPERATIONS!$C18="AJUSTEMENT"),0,-OPERATIONS!$G18)</f>
        <v>0</v>
      </c>
      <c r="N18" s="73" t="n">
        <f aca="false">IF($M18=0,0,OPERATIONS!$R18*$M18)</f>
        <v>0</v>
      </c>
      <c r="O18" s="26" t="str">
        <f aca="false">IF($M18=0,"",OPERATIONS!$Q18)</f>
        <v/>
      </c>
      <c r="P18" s="26" t="str">
        <f aca="false">IF($G18="","",IF($G18=R_LOT,COUNTIF($G$5:$G18,R_LOT),""))</f>
        <v/>
      </c>
    </row>
    <row r="19" customFormat="false" ht="15" hidden="false" customHeight="false" outlineLevel="0" collapsed="false">
      <c r="A19" s="28" t="str">
        <f aca="false">IF($M19=0,"",ROW()-4)</f>
        <v/>
      </c>
      <c r="B19" s="26" t="str">
        <f aca="false">IF($M19=0,"","OPERATIONS")</f>
        <v/>
      </c>
      <c r="C19" s="26" t="str">
        <f aca="false">IF($M19=0,"",OPERATIONS!$A19)</f>
        <v/>
      </c>
      <c r="D19" s="31" t="str">
        <f aca="false">IF($M19=0,"",OPERATIONS!$B19)</f>
        <v/>
      </c>
      <c r="E19" s="26" t="str">
        <f aca="false">IF($M19=0,"","SORTIE")</f>
        <v/>
      </c>
      <c r="F19" s="26" t="str">
        <f aca="false">IF($M19=0,"",OPERATIONS!$C19)</f>
        <v/>
      </c>
      <c r="G19" s="26" t="str">
        <f aca="false">IF($M19=0,"",OPERATIONS!$D19)</f>
        <v/>
      </c>
      <c r="H19" s="26" t="str">
        <f aca="false">IF($G19="","",IFERROR(INDEX(LOT_EXTE,MATCH($G19,LOT_KEY,0)),""))</f>
        <v/>
      </c>
      <c r="I19" s="26" t="str">
        <f aca="false">IF($M19=0,"",OPERATIONS!$E19)</f>
        <v/>
      </c>
      <c r="J19" s="26" t="str">
        <f aca="false">IF($I19="","",IFERROR(INDEX(EMPL_CLASSE,MATCH($I19,EMPL_KEY,0)),""))</f>
        <v/>
      </c>
      <c r="K19" s="26" t="str">
        <f aca="false">IF($M19=0,"",OPERATIONS!$K19)</f>
        <v/>
      </c>
      <c r="L19" s="26" t="str">
        <f aca="false">IF($G19="","",IF(IFERROR(INDEX(LOT_ETAT,MATCH($G19,LOT_KEY,0)),"")="","",INDEX(LOT_ETAT,MATCH($G19,LOT_KEY,0))))</f>
        <v/>
      </c>
      <c r="M19" s="73" t="n">
        <f aca="false">IF(OR(OPERATIONS!$O19=0,OPERATIONS!$C19="RECEPTION",OPERATIONS!$C19="AJUSTEMENT"),0,-OPERATIONS!$G19)</f>
        <v>0</v>
      </c>
      <c r="N19" s="73" t="n">
        <f aca="false">IF($M19=0,0,OPERATIONS!$R19*$M19)</f>
        <v>0</v>
      </c>
      <c r="O19" s="26" t="str">
        <f aca="false">IF($M19=0,"",OPERATIONS!$Q19)</f>
        <v/>
      </c>
      <c r="P19" s="26" t="str">
        <f aca="false">IF($G19="","",IF($G19=R_LOT,COUNTIF($G$5:$G19,R_LOT),""))</f>
        <v/>
      </c>
    </row>
    <row r="20" customFormat="false" ht="15" hidden="false" customHeight="false" outlineLevel="0" collapsed="false">
      <c r="A20" s="28" t="str">
        <f aca="false">IF($M20=0,"",ROW()-4)</f>
        <v/>
      </c>
      <c r="B20" s="26" t="str">
        <f aca="false">IF($M20=0,"","OPERATIONS")</f>
        <v/>
      </c>
      <c r="C20" s="26" t="str">
        <f aca="false">IF($M20=0,"",OPERATIONS!$A20)</f>
        <v/>
      </c>
      <c r="D20" s="31" t="str">
        <f aca="false">IF($M20=0,"",OPERATIONS!$B20)</f>
        <v/>
      </c>
      <c r="E20" s="26" t="str">
        <f aca="false">IF($M20=0,"","SORTIE")</f>
        <v/>
      </c>
      <c r="F20" s="26" t="str">
        <f aca="false">IF($M20=0,"",OPERATIONS!$C20)</f>
        <v/>
      </c>
      <c r="G20" s="26" t="str">
        <f aca="false">IF($M20=0,"",OPERATIONS!$D20)</f>
        <v/>
      </c>
      <c r="H20" s="26" t="str">
        <f aca="false">IF($G20="","",IFERROR(INDEX(LOT_EXTE,MATCH($G20,LOT_KEY,0)),""))</f>
        <v/>
      </c>
      <c r="I20" s="26" t="str">
        <f aca="false">IF($M20=0,"",OPERATIONS!$E20)</f>
        <v/>
      </c>
      <c r="J20" s="26" t="str">
        <f aca="false">IF($I20="","",IFERROR(INDEX(EMPL_CLASSE,MATCH($I20,EMPL_KEY,0)),""))</f>
        <v/>
      </c>
      <c r="K20" s="26" t="str">
        <f aca="false">IF($M20=0,"",OPERATIONS!$K20)</f>
        <v/>
      </c>
      <c r="L20" s="26" t="str">
        <f aca="false">IF($G20="","",IF(IFERROR(INDEX(LOT_ETAT,MATCH($G20,LOT_KEY,0)),"")="","",INDEX(LOT_ETAT,MATCH($G20,LOT_KEY,0))))</f>
        <v/>
      </c>
      <c r="M20" s="73" t="n">
        <f aca="false">IF(OR(OPERATIONS!$O20=0,OPERATIONS!$C20="RECEPTION",OPERATIONS!$C20="AJUSTEMENT"),0,-OPERATIONS!$G20)</f>
        <v>0</v>
      </c>
      <c r="N20" s="73" t="n">
        <f aca="false">IF($M20=0,0,OPERATIONS!$R20*$M20)</f>
        <v>0</v>
      </c>
      <c r="O20" s="26" t="str">
        <f aca="false">IF($M20=0,"",OPERATIONS!$Q20)</f>
        <v/>
      </c>
      <c r="P20" s="26" t="str">
        <f aca="false">IF($G20="","",IF($G20=R_LOT,COUNTIF($G$5:$G20,R_LOT),""))</f>
        <v/>
      </c>
    </row>
    <row r="21" customFormat="false" ht="15" hidden="false" customHeight="false" outlineLevel="0" collapsed="false">
      <c r="A21" s="28" t="str">
        <f aca="false">IF($M21=0,"",ROW()-4)</f>
        <v/>
      </c>
      <c r="B21" s="26" t="str">
        <f aca="false">IF($M21=0,"","OPERATIONS")</f>
        <v/>
      </c>
      <c r="C21" s="26" t="str">
        <f aca="false">IF($M21=0,"",OPERATIONS!$A21)</f>
        <v/>
      </c>
      <c r="D21" s="31" t="str">
        <f aca="false">IF($M21=0,"",OPERATIONS!$B21)</f>
        <v/>
      </c>
      <c r="E21" s="26" t="str">
        <f aca="false">IF($M21=0,"","SORTIE")</f>
        <v/>
      </c>
      <c r="F21" s="26" t="str">
        <f aca="false">IF($M21=0,"",OPERATIONS!$C21)</f>
        <v/>
      </c>
      <c r="G21" s="26" t="str">
        <f aca="false">IF($M21=0,"",OPERATIONS!$D21)</f>
        <v/>
      </c>
      <c r="H21" s="26" t="str">
        <f aca="false">IF($G21="","",IFERROR(INDEX(LOT_EXTE,MATCH($G21,LOT_KEY,0)),""))</f>
        <v/>
      </c>
      <c r="I21" s="26" t="str">
        <f aca="false">IF($M21=0,"",OPERATIONS!$E21)</f>
        <v/>
      </c>
      <c r="J21" s="26" t="str">
        <f aca="false">IF($I21="","",IFERROR(INDEX(EMPL_CLASSE,MATCH($I21,EMPL_KEY,0)),""))</f>
        <v/>
      </c>
      <c r="K21" s="26" t="str">
        <f aca="false">IF($M21=0,"",OPERATIONS!$K21)</f>
        <v/>
      </c>
      <c r="L21" s="26" t="str">
        <f aca="false">IF($G21="","",IF(IFERROR(INDEX(LOT_ETAT,MATCH($G21,LOT_KEY,0)),"")="","",INDEX(LOT_ETAT,MATCH($G21,LOT_KEY,0))))</f>
        <v/>
      </c>
      <c r="M21" s="73" t="n">
        <f aca="false">IF(OR(OPERATIONS!$O21=0,OPERATIONS!$C21="RECEPTION",OPERATIONS!$C21="AJUSTEMENT"),0,-OPERATIONS!$G21)</f>
        <v>0</v>
      </c>
      <c r="N21" s="73" t="n">
        <f aca="false">IF($M21=0,0,OPERATIONS!$R21*$M21)</f>
        <v>0</v>
      </c>
      <c r="O21" s="26" t="str">
        <f aca="false">IF($M21=0,"",OPERATIONS!$Q21)</f>
        <v/>
      </c>
      <c r="P21" s="26" t="str">
        <f aca="false">IF($G21="","",IF($G21=R_LOT,COUNTIF($G$5:$G21,R_LOT),""))</f>
        <v/>
      </c>
    </row>
    <row r="22" customFormat="false" ht="15" hidden="false" customHeight="false" outlineLevel="0" collapsed="false">
      <c r="A22" s="28" t="str">
        <f aca="false">IF($M22=0,"",ROW()-4)</f>
        <v/>
      </c>
      <c r="B22" s="26" t="str">
        <f aca="false">IF($M22=0,"","OPERATIONS")</f>
        <v/>
      </c>
      <c r="C22" s="26" t="str">
        <f aca="false">IF($M22=0,"",OPERATIONS!$A22)</f>
        <v/>
      </c>
      <c r="D22" s="31" t="str">
        <f aca="false">IF($M22=0,"",OPERATIONS!$B22)</f>
        <v/>
      </c>
      <c r="E22" s="26" t="str">
        <f aca="false">IF($M22=0,"","SORTIE")</f>
        <v/>
      </c>
      <c r="F22" s="26" t="str">
        <f aca="false">IF($M22=0,"",OPERATIONS!$C22)</f>
        <v/>
      </c>
      <c r="G22" s="26" t="str">
        <f aca="false">IF($M22=0,"",OPERATIONS!$D22)</f>
        <v/>
      </c>
      <c r="H22" s="26" t="str">
        <f aca="false">IF($G22="","",IFERROR(INDEX(LOT_EXTE,MATCH($G22,LOT_KEY,0)),""))</f>
        <v/>
      </c>
      <c r="I22" s="26" t="str">
        <f aca="false">IF($M22=0,"",OPERATIONS!$E22)</f>
        <v/>
      </c>
      <c r="J22" s="26" t="str">
        <f aca="false">IF($I22="","",IFERROR(INDEX(EMPL_CLASSE,MATCH($I22,EMPL_KEY,0)),""))</f>
        <v/>
      </c>
      <c r="K22" s="26" t="str">
        <f aca="false">IF($M22=0,"",OPERATIONS!$K22)</f>
        <v/>
      </c>
      <c r="L22" s="26" t="str">
        <f aca="false">IF($G22="","",IF(IFERROR(INDEX(LOT_ETAT,MATCH($G22,LOT_KEY,0)),"")="","",INDEX(LOT_ETAT,MATCH($G22,LOT_KEY,0))))</f>
        <v/>
      </c>
      <c r="M22" s="73" t="n">
        <f aca="false">IF(OR(OPERATIONS!$O22=0,OPERATIONS!$C22="RECEPTION",OPERATIONS!$C22="AJUSTEMENT"),0,-OPERATIONS!$G22)</f>
        <v>0</v>
      </c>
      <c r="N22" s="73" t="n">
        <f aca="false">IF($M22=0,0,OPERATIONS!$R22*$M22)</f>
        <v>0</v>
      </c>
      <c r="O22" s="26" t="str">
        <f aca="false">IF($M22=0,"",OPERATIONS!$Q22)</f>
        <v/>
      </c>
      <c r="P22" s="26" t="str">
        <f aca="false">IF($G22="","",IF($G22=R_LOT,COUNTIF($G$5:$G22,R_LOT),""))</f>
        <v/>
      </c>
    </row>
    <row r="23" customFormat="false" ht="15" hidden="false" customHeight="false" outlineLevel="0" collapsed="false">
      <c r="A23" s="28" t="str">
        <f aca="false">IF($M23=0,"",ROW()-4)</f>
        <v/>
      </c>
      <c r="B23" s="26" t="str">
        <f aca="false">IF($M23=0,"","OPERATIONS")</f>
        <v/>
      </c>
      <c r="C23" s="26" t="str">
        <f aca="false">IF($M23=0,"",OPERATIONS!$A23)</f>
        <v/>
      </c>
      <c r="D23" s="31" t="str">
        <f aca="false">IF($M23=0,"",OPERATIONS!$B23)</f>
        <v/>
      </c>
      <c r="E23" s="26" t="str">
        <f aca="false">IF($M23=0,"","SORTIE")</f>
        <v/>
      </c>
      <c r="F23" s="26" t="str">
        <f aca="false">IF($M23=0,"",OPERATIONS!$C23)</f>
        <v/>
      </c>
      <c r="G23" s="26" t="str">
        <f aca="false">IF($M23=0,"",OPERATIONS!$D23)</f>
        <v/>
      </c>
      <c r="H23" s="26" t="str">
        <f aca="false">IF($G23="","",IFERROR(INDEX(LOT_EXTE,MATCH($G23,LOT_KEY,0)),""))</f>
        <v/>
      </c>
      <c r="I23" s="26" t="str">
        <f aca="false">IF($M23=0,"",OPERATIONS!$E23)</f>
        <v/>
      </c>
      <c r="J23" s="26" t="str">
        <f aca="false">IF($I23="","",IFERROR(INDEX(EMPL_CLASSE,MATCH($I23,EMPL_KEY,0)),""))</f>
        <v/>
      </c>
      <c r="K23" s="26" t="str">
        <f aca="false">IF($M23=0,"",OPERATIONS!$K23)</f>
        <v/>
      </c>
      <c r="L23" s="26" t="str">
        <f aca="false">IF($G23="","",IF(IFERROR(INDEX(LOT_ETAT,MATCH($G23,LOT_KEY,0)),"")="","",INDEX(LOT_ETAT,MATCH($G23,LOT_KEY,0))))</f>
        <v/>
      </c>
      <c r="M23" s="73" t="n">
        <f aca="false">IF(OR(OPERATIONS!$O23=0,OPERATIONS!$C23="RECEPTION",OPERATIONS!$C23="AJUSTEMENT"),0,-OPERATIONS!$G23)</f>
        <v>0</v>
      </c>
      <c r="N23" s="73" t="n">
        <f aca="false">IF($M23=0,0,OPERATIONS!$R23*$M23)</f>
        <v>0</v>
      </c>
      <c r="O23" s="26" t="str">
        <f aca="false">IF($M23=0,"",OPERATIONS!$Q23)</f>
        <v/>
      </c>
      <c r="P23" s="26" t="str">
        <f aca="false">IF($G23="","",IF($G23=R_LOT,COUNTIF($G$5:$G23,R_LOT),""))</f>
        <v/>
      </c>
    </row>
    <row r="24" customFormat="false" ht="15" hidden="false" customHeight="false" outlineLevel="0" collapsed="false">
      <c r="A24" s="28" t="str">
        <f aca="false">IF($M24=0,"",ROW()-4)</f>
        <v/>
      </c>
      <c r="B24" s="26" t="str">
        <f aca="false">IF($M24=0,"","OPERATIONS")</f>
        <v/>
      </c>
      <c r="C24" s="26" t="str">
        <f aca="false">IF($M24=0,"",OPERATIONS!$A24)</f>
        <v/>
      </c>
      <c r="D24" s="31" t="str">
        <f aca="false">IF($M24=0,"",OPERATIONS!$B24)</f>
        <v/>
      </c>
      <c r="E24" s="26" t="str">
        <f aca="false">IF($M24=0,"","SORTIE")</f>
        <v/>
      </c>
      <c r="F24" s="26" t="str">
        <f aca="false">IF($M24=0,"",OPERATIONS!$C24)</f>
        <v/>
      </c>
      <c r="G24" s="26" t="str">
        <f aca="false">IF($M24=0,"",OPERATIONS!$D24)</f>
        <v/>
      </c>
      <c r="H24" s="26" t="str">
        <f aca="false">IF($G24="","",IFERROR(INDEX(LOT_EXTE,MATCH($G24,LOT_KEY,0)),""))</f>
        <v/>
      </c>
      <c r="I24" s="26" t="str">
        <f aca="false">IF($M24=0,"",OPERATIONS!$E24)</f>
        <v/>
      </c>
      <c r="J24" s="26" t="str">
        <f aca="false">IF($I24="","",IFERROR(INDEX(EMPL_CLASSE,MATCH($I24,EMPL_KEY,0)),""))</f>
        <v/>
      </c>
      <c r="K24" s="26" t="str">
        <f aca="false">IF($M24=0,"",OPERATIONS!$K24)</f>
        <v/>
      </c>
      <c r="L24" s="26" t="str">
        <f aca="false">IF($G24="","",IF(IFERROR(INDEX(LOT_ETAT,MATCH($G24,LOT_KEY,0)),"")="","",INDEX(LOT_ETAT,MATCH($G24,LOT_KEY,0))))</f>
        <v/>
      </c>
      <c r="M24" s="73" t="n">
        <f aca="false">IF(OR(OPERATIONS!$O24=0,OPERATIONS!$C24="RECEPTION",OPERATIONS!$C24="AJUSTEMENT"),0,-OPERATIONS!$G24)</f>
        <v>0</v>
      </c>
      <c r="N24" s="73" t="n">
        <f aca="false">IF($M24=0,0,OPERATIONS!$R24*$M24)</f>
        <v>0</v>
      </c>
      <c r="O24" s="26" t="str">
        <f aca="false">IF($M24=0,"",OPERATIONS!$Q24)</f>
        <v/>
      </c>
      <c r="P24" s="26" t="str">
        <f aca="false">IF($G24="","",IF($G24=R_LOT,COUNTIF($G$5:$G24,R_LOT),""))</f>
        <v/>
      </c>
    </row>
    <row r="25" customFormat="false" ht="15" hidden="false" customHeight="false" outlineLevel="0" collapsed="false">
      <c r="A25" s="28" t="str">
        <f aca="false">IF($M25=0,"",ROW()-4)</f>
        <v/>
      </c>
      <c r="B25" s="26" t="str">
        <f aca="false">IF($M25=0,"","OPERATIONS")</f>
        <v/>
      </c>
      <c r="C25" s="26" t="str">
        <f aca="false">IF($M25=0,"",OPERATIONS!$A25)</f>
        <v/>
      </c>
      <c r="D25" s="31" t="str">
        <f aca="false">IF($M25=0,"",OPERATIONS!$B25)</f>
        <v/>
      </c>
      <c r="E25" s="26" t="str">
        <f aca="false">IF($M25=0,"","SORTIE")</f>
        <v/>
      </c>
      <c r="F25" s="26" t="str">
        <f aca="false">IF($M25=0,"",OPERATIONS!$C25)</f>
        <v/>
      </c>
      <c r="G25" s="26" t="str">
        <f aca="false">IF($M25=0,"",OPERATIONS!$D25)</f>
        <v/>
      </c>
      <c r="H25" s="26" t="str">
        <f aca="false">IF($G25="","",IFERROR(INDEX(LOT_EXTE,MATCH($G25,LOT_KEY,0)),""))</f>
        <v/>
      </c>
      <c r="I25" s="26" t="str">
        <f aca="false">IF($M25=0,"",OPERATIONS!$E25)</f>
        <v/>
      </c>
      <c r="J25" s="26" t="str">
        <f aca="false">IF($I25="","",IFERROR(INDEX(EMPL_CLASSE,MATCH($I25,EMPL_KEY,0)),""))</f>
        <v/>
      </c>
      <c r="K25" s="26" t="str">
        <f aca="false">IF($M25=0,"",OPERATIONS!$K25)</f>
        <v/>
      </c>
      <c r="L25" s="26" t="str">
        <f aca="false">IF($G25="","",IF(IFERROR(INDEX(LOT_ETAT,MATCH($G25,LOT_KEY,0)),"")="","",INDEX(LOT_ETAT,MATCH($G25,LOT_KEY,0))))</f>
        <v/>
      </c>
      <c r="M25" s="73" t="n">
        <f aca="false">IF(OR(OPERATIONS!$O25=0,OPERATIONS!$C25="RECEPTION",OPERATIONS!$C25="AJUSTEMENT"),0,-OPERATIONS!$G25)</f>
        <v>0</v>
      </c>
      <c r="N25" s="73" t="n">
        <f aca="false">IF($M25=0,0,OPERATIONS!$R25*$M25)</f>
        <v>0</v>
      </c>
      <c r="O25" s="26" t="str">
        <f aca="false">IF($M25=0,"",OPERATIONS!$Q25)</f>
        <v/>
      </c>
      <c r="P25" s="26" t="str">
        <f aca="false">IF($G25="","",IF($G25=R_LOT,COUNTIF($G$5:$G25,R_LOT),""))</f>
        <v/>
      </c>
    </row>
    <row r="26" customFormat="false" ht="15" hidden="false" customHeight="false" outlineLevel="0" collapsed="false">
      <c r="A26" s="28" t="str">
        <f aca="false">IF($M26=0,"",ROW()-4)</f>
        <v/>
      </c>
      <c r="B26" s="26" t="str">
        <f aca="false">IF($M26=0,"","OPERATIONS")</f>
        <v/>
      </c>
      <c r="C26" s="26" t="str">
        <f aca="false">IF($M26=0,"",OPERATIONS!$A26)</f>
        <v/>
      </c>
      <c r="D26" s="31" t="str">
        <f aca="false">IF($M26=0,"",OPERATIONS!$B26)</f>
        <v/>
      </c>
      <c r="E26" s="26" t="str">
        <f aca="false">IF($M26=0,"","SORTIE")</f>
        <v/>
      </c>
      <c r="F26" s="26" t="str">
        <f aca="false">IF($M26=0,"",OPERATIONS!$C26)</f>
        <v/>
      </c>
      <c r="G26" s="26" t="str">
        <f aca="false">IF($M26=0,"",OPERATIONS!$D26)</f>
        <v/>
      </c>
      <c r="H26" s="26" t="str">
        <f aca="false">IF($G26="","",IFERROR(INDEX(LOT_EXTE,MATCH($G26,LOT_KEY,0)),""))</f>
        <v/>
      </c>
      <c r="I26" s="26" t="str">
        <f aca="false">IF($M26=0,"",OPERATIONS!$E26)</f>
        <v/>
      </c>
      <c r="J26" s="26" t="str">
        <f aca="false">IF($I26="","",IFERROR(INDEX(EMPL_CLASSE,MATCH($I26,EMPL_KEY,0)),""))</f>
        <v/>
      </c>
      <c r="K26" s="26" t="str">
        <f aca="false">IF($M26=0,"",OPERATIONS!$K26)</f>
        <v/>
      </c>
      <c r="L26" s="26" t="str">
        <f aca="false">IF($G26="","",IF(IFERROR(INDEX(LOT_ETAT,MATCH($G26,LOT_KEY,0)),"")="","",INDEX(LOT_ETAT,MATCH($G26,LOT_KEY,0))))</f>
        <v/>
      </c>
      <c r="M26" s="73" t="n">
        <f aca="false">IF(OR(OPERATIONS!$O26=0,OPERATIONS!$C26="RECEPTION",OPERATIONS!$C26="AJUSTEMENT"),0,-OPERATIONS!$G26)</f>
        <v>0</v>
      </c>
      <c r="N26" s="73" t="n">
        <f aca="false">IF($M26=0,0,OPERATIONS!$R26*$M26)</f>
        <v>0</v>
      </c>
      <c r="O26" s="26" t="str">
        <f aca="false">IF($M26=0,"",OPERATIONS!$Q26)</f>
        <v/>
      </c>
      <c r="P26" s="26" t="str">
        <f aca="false">IF($G26="","",IF($G26=R_LOT,COUNTIF($G$5:$G26,R_LOT),""))</f>
        <v/>
      </c>
    </row>
    <row r="27" customFormat="false" ht="15" hidden="false" customHeight="false" outlineLevel="0" collapsed="false">
      <c r="A27" s="28" t="str">
        <f aca="false">IF($M27=0,"",ROW()-4)</f>
        <v/>
      </c>
      <c r="B27" s="26" t="str">
        <f aca="false">IF($M27=0,"","OPERATIONS")</f>
        <v/>
      </c>
      <c r="C27" s="26" t="str">
        <f aca="false">IF($M27=0,"",OPERATIONS!$A27)</f>
        <v/>
      </c>
      <c r="D27" s="31" t="str">
        <f aca="false">IF($M27=0,"",OPERATIONS!$B27)</f>
        <v/>
      </c>
      <c r="E27" s="26" t="str">
        <f aca="false">IF($M27=0,"","SORTIE")</f>
        <v/>
      </c>
      <c r="F27" s="26" t="str">
        <f aca="false">IF($M27=0,"",OPERATIONS!$C27)</f>
        <v/>
      </c>
      <c r="G27" s="26" t="str">
        <f aca="false">IF($M27=0,"",OPERATIONS!$D27)</f>
        <v/>
      </c>
      <c r="H27" s="26" t="str">
        <f aca="false">IF($G27="","",IFERROR(INDEX(LOT_EXTE,MATCH($G27,LOT_KEY,0)),""))</f>
        <v/>
      </c>
      <c r="I27" s="26" t="str">
        <f aca="false">IF($M27=0,"",OPERATIONS!$E27)</f>
        <v/>
      </c>
      <c r="J27" s="26" t="str">
        <f aca="false">IF($I27="","",IFERROR(INDEX(EMPL_CLASSE,MATCH($I27,EMPL_KEY,0)),""))</f>
        <v/>
      </c>
      <c r="K27" s="26" t="str">
        <f aca="false">IF($M27=0,"",OPERATIONS!$K27)</f>
        <v/>
      </c>
      <c r="L27" s="26" t="str">
        <f aca="false">IF($G27="","",IF(IFERROR(INDEX(LOT_ETAT,MATCH($G27,LOT_KEY,0)),"")="","",INDEX(LOT_ETAT,MATCH($G27,LOT_KEY,0))))</f>
        <v/>
      </c>
      <c r="M27" s="73" t="n">
        <f aca="false">IF(OR(OPERATIONS!$O27=0,OPERATIONS!$C27="RECEPTION",OPERATIONS!$C27="AJUSTEMENT"),0,-OPERATIONS!$G27)</f>
        <v>0</v>
      </c>
      <c r="N27" s="73" t="n">
        <f aca="false">IF($M27=0,0,OPERATIONS!$R27*$M27)</f>
        <v>0</v>
      </c>
      <c r="O27" s="26" t="str">
        <f aca="false">IF($M27=0,"",OPERATIONS!$Q27)</f>
        <v/>
      </c>
      <c r="P27" s="26" t="str">
        <f aca="false">IF($G27="","",IF($G27=R_LOT,COUNTIF($G$5:$G27,R_LOT),""))</f>
        <v/>
      </c>
    </row>
    <row r="28" customFormat="false" ht="15" hidden="false" customHeight="false" outlineLevel="0" collapsed="false">
      <c r="A28" s="28" t="str">
        <f aca="false">IF($M28=0,"",ROW()-4)</f>
        <v/>
      </c>
      <c r="B28" s="26" t="str">
        <f aca="false">IF($M28=0,"","OPERATIONS")</f>
        <v/>
      </c>
      <c r="C28" s="26" t="str">
        <f aca="false">IF($M28=0,"",OPERATIONS!$A28)</f>
        <v/>
      </c>
      <c r="D28" s="31" t="str">
        <f aca="false">IF($M28=0,"",OPERATIONS!$B28)</f>
        <v/>
      </c>
      <c r="E28" s="26" t="str">
        <f aca="false">IF($M28=0,"","SORTIE")</f>
        <v/>
      </c>
      <c r="F28" s="26" t="str">
        <f aca="false">IF($M28=0,"",OPERATIONS!$C28)</f>
        <v/>
      </c>
      <c r="G28" s="26" t="str">
        <f aca="false">IF($M28=0,"",OPERATIONS!$D28)</f>
        <v/>
      </c>
      <c r="H28" s="26" t="str">
        <f aca="false">IF($G28="","",IFERROR(INDEX(LOT_EXTE,MATCH($G28,LOT_KEY,0)),""))</f>
        <v/>
      </c>
      <c r="I28" s="26" t="str">
        <f aca="false">IF($M28=0,"",OPERATIONS!$E28)</f>
        <v/>
      </c>
      <c r="J28" s="26" t="str">
        <f aca="false">IF($I28="","",IFERROR(INDEX(EMPL_CLASSE,MATCH($I28,EMPL_KEY,0)),""))</f>
        <v/>
      </c>
      <c r="K28" s="26" t="str">
        <f aca="false">IF($M28=0,"",OPERATIONS!$K28)</f>
        <v/>
      </c>
      <c r="L28" s="26" t="str">
        <f aca="false">IF($G28="","",IF(IFERROR(INDEX(LOT_ETAT,MATCH($G28,LOT_KEY,0)),"")="","",INDEX(LOT_ETAT,MATCH($G28,LOT_KEY,0))))</f>
        <v/>
      </c>
      <c r="M28" s="73" t="n">
        <f aca="false">IF(OR(OPERATIONS!$O28=0,OPERATIONS!$C28="RECEPTION",OPERATIONS!$C28="AJUSTEMENT"),0,-OPERATIONS!$G28)</f>
        <v>0</v>
      </c>
      <c r="N28" s="73" t="n">
        <f aca="false">IF($M28=0,0,OPERATIONS!$R28*$M28)</f>
        <v>0</v>
      </c>
      <c r="O28" s="26" t="str">
        <f aca="false">IF($M28=0,"",OPERATIONS!$Q28)</f>
        <v/>
      </c>
      <c r="P28" s="26" t="str">
        <f aca="false">IF($G28="","",IF($G28=R_LOT,COUNTIF($G$5:$G28,R_LOT),""))</f>
        <v/>
      </c>
    </row>
    <row r="29" customFormat="false" ht="15" hidden="false" customHeight="false" outlineLevel="0" collapsed="false">
      <c r="A29" s="28" t="str">
        <f aca="false">IF($M29=0,"",ROW()-4)</f>
        <v/>
      </c>
      <c r="B29" s="26" t="str">
        <f aca="false">IF($M29=0,"","OPERATIONS")</f>
        <v/>
      </c>
      <c r="C29" s="26" t="str">
        <f aca="false">IF($M29=0,"",OPERATIONS!$A29)</f>
        <v/>
      </c>
      <c r="D29" s="31" t="str">
        <f aca="false">IF($M29=0,"",OPERATIONS!$B29)</f>
        <v/>
      </c>
      <c r="E29" s="26" t="str">
        <f aca="false">IF($M29=0,"","SORTIE")</f>
        <v/>
      </c>
      <c r="F29" s="26" t="str">
        <f aca="false">IF($M29=0,"",OPERATIONS!$C29)</f>
        <v/>
      </c>
      <c r="G29" s="26" t="str">
        <f aca="false">IF($M29=0,"",OPERATIONS!$D29)</f>
        <v/>
      </c>
      <c r="H29" s="26" t="str">
        <f aca="false">IF($G29="","",IFERROR(INDEX(LOT_EXTE,MATCH($G29,LOT_KEY,0)),""))</f>
        <v/>
      </c>
      <c r="I29" s="26" t="str">
        <f aca="false">IF($M29=0,"",OPERATIONS!$E29)</f>
        <v/>
      </c>
      <c r="J29" s="26" t="str">
        <f aca="false">IF($I29="","",IFERROR(INDEX(EMPL_CLASSE,MATCH($I29,EMPL_KEY,0)),""))</f>
        <v/>
      </c>
      <c r="K29" s="26" t="str">
        <f aca="false">IF($M29=0,"",OPERATIONS!$K29)</f>
        <v/>
      </c>
      <c r="L29" s="26" t="str">
        <f aca="false">IF($G29="","",IF(IFERROR(INDEX(LOT_ETAT,MATCH($G29,LOT_KEY,0)),"")="","",INDEX(LOT_ETAT,MATCH($G29,LOT_KEY,0))))</f>
        <v/>
      </c>
      <c r="M29" s="73" t="n">
        <f aca="false">IF(OR(OPERATIONS!$O29=0,OPERATIONS!$C29="RECEPTION",OPERATIONS!$C29="AJUSTEMENT"),0,-OPERATIONS!$G29)</f>
        <v>0</v>
      </c>
      <c r="N29" s="73" t="n">
        <f aca="false">IF($M29=0,0,OPERATIONS!$R29*$M29)</f>
        <v>0</v>
      </c>
      <c r="O29" s="26" t="str">
        <f aca="false">IF($M29=0,"",OPERATIONS!$Q29)</f>
        <v/>
      </c>
      <c r="P29" s="26" t="str">
        <f aca="false">IF($G29="","",IF($G29=R_LOT,COUNTIF($G$5:$G29,R_LOT),""))</f>
        <v/>
      </c>
    </row>
    <row r="30" customFormat="false" ht="15" hidden="false" customHeight="false" outlineLevel="0" collapsed="false">
      <c r="A30" s="28" t="str">
        <f aca="false">IF($M30=0,"",ROW()-4)</f>
        <v/>
      </c>
      <c r="B30" s="26" t="str">
        <f aca="false">IF($M30=0,"","OPERATIONS")</f>
        <v/>
      </c>
      <c r="C30" s="26" t="str">
        <f aca="false">IF($M30=0,"",OPERATIONS!$A30)</f>
        <v/>
      </c>
      <c r="D30" s="31" t="str">
        <f aca="false">IF($M30=0,"",OPERATIONS!$B30)</f>
        <v/>
      </c>
      <c r="E30" s="26" t="str">
        <f aca="false">IF($M30=0,"","SORTIE")</f>
        <v/>
      </c>
      <c r="F30" s="26" t="str">
        <f aca="false">IF($M30=0,"",OPERATIONS!$C30)</f>
        <v/>
      </c>
      <c r="G30" s="26" t="str">
        <f aca="false">IF($M30=0,"",OPERATIONS!$D30)</f>
        <v/>
      </c>
      <c r="H30" s="26" t="str">
        <f aca="false">IF($G30="","",IFERROR(INDEX(LOT_EXTE,MATCH($G30,LOT_KEY,0)),""))</f>
        <v/>
      </c>
      <c r="I30" s="26" t="str">
        <f aca="false">IF($M30=0,"",OPERATIONS!$E30)</f>
        <v/>
      </c>
      <c r="J30" s="26" t="str">
        <f aca="false">IF($I30="","",IFERROR(INDEX(EMPL_CLASSE,MATCH($I30,EMPL_KEY,0)),""))</f>
        <v/>
      </c>
      <c r="K30" s="26" t="str">
        <f aca="false">IF($M30=0,"",OPERATIONS!$K30)</f>
        <v/>
      </c>
      <c r="L30" s="26" t="str">
        <f aca="false">IF($G30="","",IF(IFERROR(INDEX(LOT_ETAT,MATCH($G30,LOT_KEY,0)),"")="","",INDEX(LOT_ETAT,MATCH($G30,LOT_KEY,0))))</f>
        <v/>
      </c>
      <c r="M30" s="73" t="n">
        <f aca="false">IF(OR(OPERATIONS!$O30=0,OPERATIONS!$C30="RECEPTION",OPERATIONS!$C30="AJUSTEMENT"),0,-OPERATIONS!$G30)</f>
        <v>0</v>
      </c>
      <c r="N30" s="73" t="n">
        <f aca="false">IF($M30=0,0,OPERATIONS!$R30*$M30)</f>
        <v>0</v>
      </c>
      <c r="O30" s="26" t="str">
        <f aca="false">IF($M30=0,"",OPERATIONS!$Q30)</f>
        <v/>
      </c>
      <c r="P30" s="26" t="str">
        <f aca="false">IF($G30="","",IF($G30=R_LOT,COUNTIF($G$5:$G30,R_LOT),""))</f>
        <v/>
      </c>
    </row>
    <row r="31" customFormat="false" ht="15" hidden="false" customHeight="false" outlineLevel="0" collapsed="false">
      <c r="A31" s="28" t="str">
        <f aca="false">IF($M31=0,"",ROW()-4)</f>
        <v/>
      </c>
      <c r="B31" s="26" t="str">
        <f aca="false">IF($M31=0,"","OPERATIONS")</f>
        <v/>
      </c>
      <c r="C31" s="26" t="str">
        <f aca="false">IF($M31=0,"",OPERATIONS!$A31)</f>
        <v/>
      </c>
      <c r="D31" s="31" t="str">
        <f aca="false">IF($M31=0,"",OPERATIONS!$B31)</f>
        <v/>
      </c>
      <c r="E31" s="26" t="str">
        <f aca="false">IF($M31=0,"","SORTIE")</f>
        <v/>
      </c>
      <c r="F31" s="26" t="str">
        <f aca="false">IF($M31=0,"",OPERATIONS!$C31)</f>
        <v/>
      </c>
      <c r="G31" s="26" t="str">
        <f aca="false">IF($M31=0,"",OPERATIONS!$D31)</f>
        <v/>
      </c>
      <c r="H31" s="26" t="str">
        <f aca="false">IF($G31="","",IFERROR(INDEX(LOT_EXTE,MATCH($G31,LOT_KEY,0)),""))</f>
        <v/>
      </c>
      <c r="I31" s="26" t="str">
        <f aca="false">IF($M31=0,"",OPERATIONS!$E31)</f>
        <v/>
      </c>
      <c r="J31" s="26" t="str">
        <f aca="false">IF($I31="","",IFERROR(INDEX(EMPL_CLASSE,MATCH($I31,EMPL_KEY,0)),""))</f>
        <v/>
      </c>
      <c r="K31" s="26" t="str">
        <f aca="false">IF($M31=0,"",OPERATIONS!$K31)</f>
        <v/>
      </c>
      <c r="L31" s="26" t="str">
        <f aca="false">IF($G31="","",IF(IFERROR(INDEX(LOT_ETAT,MATCH($G31,LOT_KEY,0)),"")="","",INDEX(LOT_ETAT,MATCH($G31,LOT_KEY,0))))</f>
        <v/>
      </c>
      <c r="M31" s="73" t="n">
        <f aca="false">IF(OR(OPERATIONS!$O31=0,OPERATIONS!$C31="RECEPTION",OPERATIONS!$C31="AJUSTEMENT"),0,-OPERATIONS!$G31)</f>
        <v>0</v>
      </c>
      <c r="N31" s="73" t="n">
        <f aca="false">IF($M31=0,0,OPERATIONS!$R31*$M31)</f>
        <v>0</v>
      </c>
      <c r="O31" s="26" t="str">
        <f aca="false">IF($M31=0,"",OPERATIONS!$Q31)</f>
        <v/>
      </c>
      <c r="P31" s="26" t="str">
        <f aca="false">IF($G31="","",IF($G31=R_LOT,COUNTIF($G$5:$G31,R_LOT),""))</f>
        <v/>
      </c>
    </row>
    <row r="32" customFormat="false" ht="15" hidden="false" customHeight="false" outlineLevel="0" collapsed="false">
      <c r="A32" s="28" t="str">
        <f aca="false">IF($M32=0,"",ROW()-4)</f>
        <v/>
      </c>
      <c r="B32" s="26" t="str">
        <f aca="false">IF($M32=0,"","OPERATIONS")</f>
        <v/>
      </c>
      <c r="C32" s="26" t="str">
        <f aca="false">IF($M32=0,"",OPERATIONS!$A32)</f>
        <v/>
      </c>
      <c r="D32" s="31" t="str">
        <f aca="false">IF($M32=0,"",OPERATIONS!$B32)</f>
        <v/>
      </c>
      <c r="E32" s="26" t="str">
        <f aca="false">IF($M32=0,"","SORTIE")</f>
        <v/>
      </c>
      <c r="F32" s="26" t="str">
        <f aca="false">IF($M32=0,"",OPERATIONS!$C32)</f>
        <v/>
      </c>
      <c r="G32" s="26" t="str">
        <f aca="false">IF($M32=0,"",OPERATIONS!$D32)</f>
        <v/>
      </c>
      <c r="H32" s="26" t="str">
        <f aca="false">IF($G32="","",IFERROR(INDEX(LOT_EXTE,MATCH($G32,LOT_KEY,0)),""))</f>
        <v/>
      </c>
      <c r="I32" s="26" t="str">
        <f aca="false">IF($M32=0,"",OPERATIONS!$E32)</f>
        <v/>
      </c>
      <c r="J32" s="26" t="str">
        <f aca="false">IF($I32="","",IFERROR(INDEX(EMPL_CLASSE,MATCH($I32,EMPL_KEY,0)),""))</f>
        <v/>
      </c>
      <c r="K32" s="26" t="str">
        <f aca="false">IF($M32=0,"",OPERATIONS!$K32)</f>
        <v/>
      </c>
      <c r="L32" s="26" t="str">
        <f aca="false">IF($G32="","",IF(IFERROR(INDEX(LOT_ETAT,MATCH($G32,LOT_KEY,0)),"")="","",INDEX(LOT_ETAT,MATCH($G32,LOT_KEY,0))))</f>
        <v/>
      </c>
      <c r="M32" s="73" t="n">
        <f aca="false">IF(OR(OPERATIONS!$O32=0,OPERATIONS!$C32="RECEPTION",OPERATIONS!$C32="AJUSTEMENT"),0,-OPERATIONS!$G32)</f>
        <v>0</v>
      </c>
      <c r="N32" s="73" t="n">
        <f aca="false">IF($M32=0,0,OPERATIONS!$R32*$M32)</f>
        <v>0</v>
      </c>
      <c r="O32" s="26" t="str">
        <f aca="false">IF($M32=0,"",OPERATIONS!$Q32)</f>
        <v/>
      </c>
      <c r="P32" s="26" t="str">
        <f aca="false">IF($G32="","",IF($G32=R_LOT,COUNTIF($G$5:$G32,R_LOT),""))</f>
        <v/>
      </c>
    </row>
    <row r="33" customFormat="false" ht="15" hidden="false" customHeight="false" outlineLevel="0" collapsed="false">
      <c r="A33" s="28" t="str">
        <f aca="false">IF($M33=0,"",ROW()-4)</f>
        <v/>
      </c>
      <c r="B33" s="26" t="str">
        <f aca="false">IF($M33=0,"","OPERATIONS")</f>
        <v/>
      </c>
      <c r="C33" s="26" t="str">
        <f aca="false">IF($M33=0,"",OPERATIONS!$A33)</f>
        <v/>
      </c>
      <c r="D33" s="31" t="str">
        <f aca="false">IF($M33=0,"",OPERATIONS!$B33)</f>
        <v/>
      </c>
      <c r="E33" s="26" t="str">
        <f aca="false">IF($M33=0,"","SORTIE")</f>
        <v/>
      </c>
      <c r="F33" s="26" t="str">
        <f aca="false">IF($M33=0,"",OPERATIONS!$C33)</f>
        <v/>
      </c>
      <c r="G33" s="26" t="str">
        <f aca="false">IF($M33=0,"",OPERATIONS!$D33)</f>
        <v/>
      </c>
      <c r="H33" s="26" t="str">
        <f aca="false">IF($G33="","",IFERROR(INDEX(LOT_EXTE,MATCH($G33,LOT_KEY,0)),""))</f>
        <v/>
      </c>
      <c r="I33" s="26" t="str">
        <f aca="false">IF($M33=0,"",OPERATIONS!$E33)</f>
        <v/>
      </c>
      <c r="J33" s="26" t="str">
        <f aca="false">IF($I33="","",IFERROR(INDEX(EMPL_CLASSE,MATCH($I33,EMPL_KEY,0)),""))</f>
        <v/>
      </c>
      <c r="K33" s="26" t="str">
        <f aca="false">IF($M33=0,"",OPERATIONS!$K33)</f>
        <v/>
      </c>
      <c r="L33" s="26" t="str">
        <f aca="false">IF($G33="","",IF(IFERROR(INDEX(LOT_ETAT,MATCH($G33,LOT_KEY,0)),"")="","",INDEX(LOT_ETAT,MATCH($G33,LOT_KEY,0))))</f>
        <v/>
      </c>
      <c r="M33" s="73" t="n">
        <f aca="false">IF(OR(OPERATIONS!$O33=0,OPERATIONS!$C33="RECEPTION",OPERATIONS!$C33="AJUSTEMENT"),0,-OPERATIONS!$G33)</f>
        <v>0</v>
      </c>
      <c r="N33" s="73" t="n">
        <f aca="false">IF($M33=0,0,OPERATIONS!$R33*$M33)</f>
        <v>0</v>
      </c>
      <c r="O33" s="26" t="str">
        <f aca="false">IF($M33=0,"",OPERATIONS!$Q33)</f>
        <v/>
      </c>
      <c r="P33" s="26" t="str">
        <f aca="false">IF($G33="","",IF($G33=R_LOT,COUNTIF($G$5:$G33,R_LOT),""))</f>
        <v/>
      </c>
    </row>
    <row r="34" customFormat="false" ht="15" hidden="false" customHeight="false" outlineLevel="0" collapsed="false">
      <c r="A34" s="28" t="str">
        <f aca="false">IF($M34=0,"",ROW()-4)</f>
        <v/>
      </c>
      <c r="B34" s="26" t="str">
        <f aca="false">IF($M34=0,"","OPERATIONS")</f>
        <v/>
      </c>
      <c r="C34" s="26" t="str">
        <f aca="false">IF($M34=0,"",OPERATIONS!$A34)</f>
        <v/>
      </c>
      <c r="D34" s="31" t="str">
        <f aca="false">IF($M34=0,"",OPERATIONS!$B34)</f>
        <v/>
      </c>
      <c r="E34" s="26" t="str">
        <f aca="false">IF($M34=0,"","SORTIE")</f>
        <v/>
      </c>
      <c r="F34" s="26" t="str">
        <f aca="false">IF($M34=0,"",OPERATIONS!$C34)</f>
        <v/>
      </c>
      <c r="G34" s="26" t="str">
        <f aca="false">IF($M34=0,"",OPERATIONS!$D34)</f>
        <v/>
      </c>
      <c r="H34" s="26" t="str">
        <f aca="false">IF($G34="","",IFERROR(INDEX(LOT_EXTE,MATCH($G34,LOT_KEY,0)),""))</f>
        <v/>
      </c>
      <c r="I34" s="26" t="str">
        <f aca="false">IF($M34=0,"",OPERATIONS!$E34)</f>
        <v/>
      </c>
      <c r="J34" s="26" t="str">
        <f aca="false">IF($I34="","",IFERROR(INDEX(EMPL_CLASSE,MATCH($I34,EMPL_KEY,0)),""))</f>
        <v/>
      </c>
      <c r="K34" s="26" t="str">
        <f aca="false">IF($M34=0,"",OPERATIONS!$K34)</f>
        <v/>
      </c>
      <c r="L34" s="26" t="str">
        <f aca="false">IF($G34="","",IF(IFERROR(INDEX(LOT_ETAT,MATCH($G34,LOT_KEY,0)),"")="","",INDEX(LOT_ETAT,MATCH($G34,LOT_KEY,0))))</f>
        <v/>
      </c>
      <c r="M34" s="73" t="n">
        <f aca="false">IF(OR(OPERATIONS!$O34=0,OPERATIONS!$C34="RECEPTION",OPERATIONS!$C34="AJUSTEMENT"),0,-OPERATIONS!$G34)</f>
        <v>0</v>
      </c>
      <c r="N34" s="73" t="n">
        <f aca="false">IF($M34=0,0,OPERATIONS!$R34*$M34)</f>
        <v>0</v>
      </c>
      <c r="O34" s="26" t="str">
        <f aca="false">IF($M34=0,"",OPERATIONS!$Q34)</f>
        <v/>
      </c>
      <c r="P34" s="26" t="str">
        <f aca="false">IF($G34="","",IF($G34=R_LOT,COUNTIF($G$5:$G34,R_LOT),""))</f>
        <v/>
      </c>
    </row>
    <row r="35" customFormat="false" ht="15" hidden="false" customHeight="false" outlineLevel="0" collapsed="false">
      <c r="A35" s="28" t="str">
        <f aca="false">IF($M35=0,"",ROW()-4)</f>
        <v/>
      </c>
      <c r="B35" s="26" t="str">
        <f aca="false">IF($M35=0,"","OPERATIONS")</f>
        <v/>
      </c>
      <c r="C35" s="26" t="str">
        <f aca="false">IF($M35=0,"",OPERATIONS!$A35)</f>
        <v/>
      </c>
      <c r="D35" s="31" t="str">
        <f aca="false">IF($M35=0,"",OPERATIONS!$B35)</f>
        <v/>
      </c>
      <c r="E35" s="26" t="str">
        <f aca="false">IF($M35=0,"","SORTIE")</f>
        <v/>
      </c>
      <c r="F35" s="26" t="str">
        <f aca="false">IF($M35=0,"",OPERATIONS!$C35)</f>
        <v/>
      </c>
      <c r="G35" s="26" t="str">
        <f aca="false">IF($M35=0,"",OPERATIONS!$D35)</f>
        <v/>
      </c>
      <c r="H35" s="26" t="str">
        <f aca="false">IF($G35="","",IFERROR(INDEX(LOT_EXTE,MATCH($G35,LOT_KEY,0)),""))</f>
        <v/>
      </c>
      <c r="I35" s="26" t="str">
        <f aca="false">IF($M35=0,"",OPERATIONS!$E35)</f>
        <v/>
      </c>
      <c r="J35" s="26" t="str">
        <f aca="false">IF($I35="","",IFERROR(INDEX(EMPL_CLASSE,MATCH($I35,EMPL_KEY,0)),""))</f>
        <v/>
      </c>
      <c r="K35" s="26" t="str">
        <f aca="false">IF($M35=0,"",OPERATIONS!$K35)</f>
        <v/>
      </c>
      <c r="L35" s="26" t="str">
        <f aca="false">IF($G35="","",IF(IFERROR(INDEX(LOT_ETAT,MATCH($G35,LOT_KEY,0)),"")="","",INDEX(LOT_ETAT,MATCH($G35,LOT_KEY,0))))</f>
        <v/>
      </c>
      <c r="M35" s="73" t="n">
        <f aca="false">IF(OR(OPERATIONS!$O35=0,OPERATIONS!$C35="RECEPTION",OPERATIONS!$C35="AJUSTEMENT"),0,-OPERATIONS!$G35)</f>
        <v>0</v>
      </c>
      <c r="N35" s="73" t="n">
        <f aca="false">IF($M35=0,0,OPERATIONS!$R35*$M35)</f>
        <v>0</v>
      </c>
      <c r="O35" s="26" t="str">
        <f aca="false">IF($M35=0,"",OPERATIONS!$Q35)</f>
        <v/>
      </c>
      <c r="P35" s="26" t="str">
        <f aca="false">IF($G35="","",IF($G35=R_LOT,COUNTIF($G$5:$G35,R_LOT),""))</f>
        <v/>
      </c>
    </row>
    <row r="36" customFormat="false" ht="15" hidden="false" customHeight="false" outlineLevel="0" collapsed="false">
      <c r="A36" s="28" t="str">
        <f aca="false">IF($M36=0,"",ROW()-4)</f>
        <v/>
      </c>
      <c r="B36" s="26" t="str">
        <f aca="false">IF($M36=0,"","OPERATIONS")</f>
        <v/>
      </c>
      <c r="C36" s="26" t="str">
        <f aca="false">IF($M36=0,"",OPERATIONS!$A36)</f>
        <v/>
      </c>
      <c r="D36" s="31" t="str">
        <f aca="false">IF($M36=0,"",OPERATIONS!$B36)</f>
        <v/>
      </c>
      <c r="E36" s="26" t="str">
        <f aca="false">IF($M36=0,"","SORTIE")</f>
        <v/>
      </c>
      <c r="F36" s="26" t="str">
        <f aca="false">IF($M36=0,"",OPERATIONS!$C36)</f>
        <v/>
      </c>
      <c r="G36" s="26" t="str">
        <f aca="false">IF($M36=0,"",OPERATIONS!$D36)</f>
        <v/>
      </c>
      <c r="H36" s="26" t="str">
        <f aca="false">IF($G36="","",IFERROR(INDEX(LOT_EXTE,MATCH($G36,LOT_KEY,0)),""))</f>
        <v/>
      </c>
      <c r="I36" s="26" t="str">
        <f aca="false">IF($M36=0,"",OPERATIONS!$E36)</f>
        <v/>
      </c>
      <c r="J36" s="26" t="str">
        <f aca="false">IF($I36="","",IFERROR(INDEX(EMPL_CLASSE,MATCH($I36,EMPL_KEY,0)),""))</f>
        <v/>
      </c>
      <c r="K36" s="26" t="str">
        <f aca="false">IF($M36=0,"",OPERATIONS!$K36)</f>
        <v/>
      </c>
      <c r="L36" s="26" t="str">
        <f aca="false">IF($G36="","",IF(IFERROR(INDEX(LOT_ETAT,MATCH($G36,LOT_KEY,0)),"")="","",INDEX(LOT_ETAT,MATCH($G36,LOT_KEY,0))))</f>
        <v/>
      </c>
      <c r="M36" s="73" t="n">
        <f aca="false">IF(OR(OPERATIONS!$O36=0,OPERATIONS!$C36="RECEPTION",OPERATIONS!$C36="AJUSTEMENT"),0,-OPERATIONS!$G36)</f>
        <v>0</v>
      </c>
      <c r="N36" s="73" t="n">
        <f aca="false">IF($M36=0,0,OPERATIONS!$R36*$M36)</f>
        <v>0</v>
      </c>
      <c r="O36" s="26" t="str">
        <f aca="false">IF($M36=0,"",OPERATIONS!$Q36)</f>
        <v/>
      </c>
      <c r="P36" s="26" t="str">
        <f aca="false">IF($G36="","",IF($G36=R_LOT,COUNTIF($G$5:$G36,R_LOT),""))</f>
        <v/>
      </c>
    </row>
    <row r="37" customFormat="false" ht="15" hidden="false" customHeight="false" outlineLevel="0" collapsed="false">
      <c r="A37" s="28" t="str">
        <f aca="false">IF($M37=0,"",ROW()-4)</f>
        <v/>
      </c>
      <c r="B37" s="26" t="str">
        <f aca="false">IF($M37=0,"","OPERATIONS")</f>
        <v/>
      </c>
      <c r="C37" s="26" t="str">
        <f aca="false">IF($M37=0,"",OPERATIONS!$A37)</f>
        <v/>
      </c>
      <c r="D37" s="31" t="str">
        <f aca="false">IF($M37=0,"",OPERATIONS!$B37)</f>
        <v/>
      </c>
      <c r="E37" s="26" t="str">
        <f aca="false">IF($M37=0,"","SORTIE")</f>
        <v/>
      </c>
      <c r="F37" s="26" t="str">
        <f aca="false">IF($M37=0,"",OPERATIONS!$C37)</f>
        <v/>
      </c>
      <c r="G37" s="26" t="str">
        <f aca="false">IF($M37=0,"",OPERATIONS!$D37)</f>
        <v/>
      </c>
      <c r="H37" s="26" t="str">
        <f aca="false">IF($G37="","",IFERROR(INDEX(LOT_EXTE,MATCH($G37,LOT_KEY,0)),""))</f>
        <v/>
      </c>
      <c r="I37" s="26" t="str">
        <f aca="false">IF($M37=0,"",OPERATIONS!$E37)</f>
        <v/>
      </c>
      <c r="J37" s="26" t="str">
        <f aca="false">IF($I37="","",IFERROR(INDEX(EMPL_CLASSE,MATCH($I37,EMPL_KEY,0)),""))</f>
        <v/>
      </c>
      <c r="K37" s="26" t="str">
        <f aca="false">IF($M37=0,"",OPERATIONS!$K37)</f>
        <v/>
      </c>
      <c r="L37" s="26" t="str">
        <f aca="false">IF($G37="","",IF(IFERROR(INDEX(LOT_ETAT,MATCH($G37,LOT_KEY,0)),"")="","",INDEX(LOT_ETAT,MATCH($G37,LOT_KEY,0))))</f>
        <v/>
      </c>
      <c r="M37" s="73" t="n">
        <f aca="false">IF(OR(OPERATIONS!$O37=0,OPERATIONS!$C37="RECEPTION",OPERATIONS!$C37="AJUSTEMENT"),0,-OPERATIONS!$G37)</f>
        <v>0</v>
      </c>
      <c r="N37" s="73" t="n">
        <f aca="false">IF($M37=0,0,OPERATIONS!$R37*$M37)</f>
        <v>0</v>
      </c>
      <c r="O37" s="26" t="str">
        <f aca="false">IF($M37=0,"",OPERATIONS!$Q37)</f>
        <v/>
      </c>
      <c r="P37" s="26" t="str">
        <f aca="false">IF($G37="","",IF($G37=R_LOT,COUNTIF($G$5:$G37,R_LOT),""))</f>
        <v/>
      </c>
    </row>
    <row r="38" customFormat="false" ht="15" hidden="false" customHeight="false" outlineLevel="0" collapsed="false">
      <c r="A38" s="28" t="str">
        <f aca="false">IF($M38=0,"",ROW()-4)</f>
        <v/>
      </c>
      <c r="B38" s="26" t="str">
        <f aca="false">IF($M38=0,"","OPERATIONS")</f>
        <v/>
      </c>
      <c r="C38" s="26" t="str">
        <f aca="false">IF($M38=0,"",OPERATIONS!$A38)</f>
        <v/>
      </c>
      <c r="D38" s="31" t="str">
        <f aca="false">IF($M38=0,"",OPERATIONS!$B38)</f>
        <v/>
      </c>
      <c r="E38" s="26" t="str">
        <f aca="false">IF($M38=0,"","SORTIE")</f>
        <v/>
      </c>
      <c r="F38" s="26" t="str">
        <f aca="false">IF($M38=0,"",OPERATIONS!$C38)</f>
        <v/>
      </c>
      <c r="G38" s="26" t="str">
        <f aca="false">IF($M38=0,"",OPERATIONS!$D38)</f>
        <v/>
      </c>
      <c r="H38" s="26" t="str">
        <f aca="false">IF($G38="","",IFERROR(INDEX(LOT_EXTE,MATCH($G38,LOT_KEY,0)),""))</f>
        <v/>
      </c>
      <c r="I38" s="26" t="str">
        <f aca="false">IF($M38=0,"",OPERATIONS!$E38)</f>
        <v/>
      </c>
      <c r="J38" s="26" t="str">
        <f aca="false">IF($I38="","",IFERROR(INDEX(EMPL_CLASSE,MATCH($I38,EMPL_KEY,0)),""))</f>
        <v/>
      </c>
      <c r="K38" s="26" t="str">
        <f aca="false">IF($M38=0,"",OPERATIONS!$K38)</f>
        <v/>
      </c>
      <c r="L38" s="26" t="str">
        <f aca="false">IF($G38="","",IF(IFERROR(INDEX(LOT_ETAT,MATCH($G38,LOT_KEY,0)),"")="","",INDEX(LOT_ETAT,MATCH($G38,LOT_KEY,0))))</f>
        <v/>
      </c>
      <c r="M38" s="73" t="n">
        <f aca="false">IF(OR(OPERATIONS!$O38=0,OPERATIONS!$C38="RECEPTION",OPERATIONS!$C38="AJUSTEMENT"),0,-OPERATIONS!$G38)</f>
        <v>0</v>
      </c>
      <c r="N38" s="73" t="n">
        <f aca="false">IF($M38=0,0,OPERATIONS!$R38*$M38)</f>
        <v>0</v>
      </c>
      <c r="O38" s="26" t="str">
        <f aca="false">IF($M38=0,"",OPERATIONS!$Q38)</f>
        <v/>
      </c>
      <c r="P38" s="26" t="str">
        <f aca="false">IF($G38="","",IF($G38=R_LOT,COUNTIF($G$5:$G38,R_LOT),""))</f>
        <v/>
      </c>
    </row>
    <row r="39" customFormat="false" ht="15" hidden="false" customHeight="false" outlineLevel="0" collapsed="false">
      <c r="A39" s="28" t="str">
        <f aca="false">IF($M39=0,"",ROW()-4)</f>
        <v/>
      </c>
      <c r="B39" s="26" t="str">
        <f aca="false">IF($M39=0,"","OPERATIONS")</f>
        <v/>
      </c>
      <c r="C39" s="26" t="str">
        <f aca="false">IF($M39=0,"",OPERATIONS!$A39)</f>
        <v/>
      </c>
      <c r="D39" s="31" t="str">
        <f aca="false">IF($M39=0,"",OPERATIONS!$B39)</f>
        <v/>
      </c>
      <c r="E39" s="26" t="str">
        <f aca="false">IF($M39=0,"","SORTIE")</f>
        <v/>
      </c>
      <c r="F39" s="26" t="str">
        <f aca="false">IF($M39=0,"",OPERATIONS!$C39)</f>
        <v/>
      </c>
      <c r="G39" s="26" t="str">
        <f aca="false">IF($M39=0,"",OPERATIONS!$D39)</f>
        <v/>
      </c>
      <c r="H39" s="26" t="str">
        <f aca="false">IF($G39="","",IFERROR(INDEX(LOT_EXTE,MATCH($G39,LOT_KEY,0)),""))</f>
        <v/>
      </c>
      <c r="I39" s="26" t="str">
        <f aca="false">IF($M39=0,"",OPERATIONS!$E39)</f>
        <v/>
      </c>
      <c r="J39" s="26" t="str">
        <f aca="false">IF($I39="","",IFERROR(INDEX(EMPL_CLASSE,MATCH($I39,EMPL_KEY,0)),""))</f>
        <v/>
      </c>
      <c r="K39" s="26" t="str">
        <f aca="false">IF($M39=0,"",OPERATIONS!$K39)</f>
        <v/>
      </c>
      <c r="L39" s="26" t="str">
        <f aca="false">IF($G39="","",IF(IFERROR(INDEX(LOT_ETAT,MATCH($G39,LOT_KEY,0)),"")="","",INDEX(LOT_ETAT,MATCH($G39,LOT_KEY,0))))</f>
        <v/>
      </c>
      <c r="M39" s="73" t="n">
        <f aca="false">IF(OR(OPERATIONS!$O39=0,OPERATIONS!$C39="RECEPTION",OPERATIONS!$C39="AJUSTEMENT"),0,-OPERATIONS!$G39)</f>
        <v>0</v>
      </c>
      <c r="N39" s="73" t="n">
        <f aca="false">IF($M39=0,0,OPERATIONS!$R39*$M39)</f>
        <v>0</v>
      </c>
      <c r="O39" s="26" t="str">
        <f aca="false">IF($M39=0,"",OPERATIONS!$Q39)</f>
        <v/>
      </c>
      <c r="P39" s="26" t="str">
        <f aca="false">IF($G39="","",IF($G39=R_LOT,COUNTIF($G$5:$G39,R_LOT),""))</f>
        <v/>
      </c>
    </row>
    <row r="40" customFormat="false" ht="15" hidden="false" customHeight="false" outlineLevel="0" collapsed="false">
      <c r="A40" s="28" t="str">
        <f aca="false">IF($M40=0,"",ROW()-4)</f>
        <v/>
      </c>
      <c r="B40" s="26" t="str">
        <f aca="false">IF($M40=0,"","OPERATIONS")</f>
        <v/>
      </c>
      <c r="C40" s="26" t="str">
        <f aca="false">IF($M40=0,"",OPERATIONS!$A40)</f>
        <v/>
      </c>
      <c r="D40" s="31" t="str">
        <f aca="false">IF($M40=0,"",OPERATIONS!$B40)</f>
        <v/>
      </c>
      <c r="E40" s="26" t="str">
        <f aca="false">IF($M40=0,"","SORTIE")</f>
        <v/>
      </c>
      <c r="F40" s="26" t="str">
        <f aca="false">IF($M40=0,"",OPERATIONS!$C40)</f>
        <v/>
      </c>
      <c r="G40" s="26" t="str">
        <f aca="false">IF($M40=0,"",OPERATIONS!$D40)</f>
        <v/>
      </c>
      <c r="H40" s="26" t="str">
        <f aca="false">IF($G40="","",IFERROR(INDEX(LOT_EXTE,MATCH($G40,LOT_KEY,0)),""))</f>
        <v/>
      </c>
      <c r="I40" s="26" t="str">
        <f aca="false">IF($M40=0,"",OPERATIONS!$E40)</f>
        <v/>
      </c>
      <c r="J40" s="26" t="str">
        <f aca="false">IF($I40="","",IFERROR(INDEX(EMPL_CLASSE,MATCH($I40,EMPL_KEY,0)),""))</f>
        <v/>
      </c>
      <c r="K40" s="26" t="str">
        <f aca="false">IF($M40=0,"",OPERATIONS!$K40)</f>
        <v/>
      </c>
      <c r="L40" s="26" t="str">
        <f aca="false">IF($G40="","",IF(IFERROR(INDEX(LOT_ETAT,MATCH($G40,LOT_KEY,0)),"")="","",INDEX(LOT_ETAT,MATCH($G40,LOT_KEY,0))))</f>
        <v/>
      </c>
      <c r="M40" s="73" t="n">
        <f aca="false">IF(OR(OPERATIONS!$O40=0,OPERATIONS!$C40="RECEPTION",OPERATIONS!$C40="AJUSTEMENT"),0,-OPERATIONS!$G40)</f>
        <v>0</v>
      </c>
      <c r="N40" s="73" t="n">
        <f aca="false">IF($M40=0,0,OPERATIONS!$R40*$M40)</f>
        <v>0</v>
      </c>
      <c r="O40" s="26" t="str">
        <f aca="false">IF($M40=0,"",OPERATIONS!$Q40)</f>
        <v/>
      </c>
      <c r="P40" s="26" t="str">
        <f aca="false">IF($G40="","",IF($G40=R_LOT,COUNTIF($G$5:$G40,R_LOT),""))</f>
        <v/>
      </c>
    </row>
    <row r="41" customFormat="false" ht="15" hidden="false" customHeight="false" outlineLevel="0" collapsed="false">
      <c r="A41" s="28" t="str">
        <f aca="false">IF($M41=0,"",ROW()-4)</f>
        <v/>
      </c>
      <c r="B41" s="26" t="str">
        <f aca="false">IF($M41=0,"","OPERATIONS")</f>
        <v/>
      </c>
      <c r="C41" s="26" t="str">
        <f aca="false">IF($M41=0,"",OPERATIONS!$A41)</f>
        <v/>
      </c>
      <c r="D41" s="31" t="str">
        <f aca="false">IF($M41=0,"",OPERATIONS!$B41)</f>
        <v/>
      </c>
      <c r="E41" s="26" t="str">
        <f aca="false">IF($M41=0,"","SORTIE")</f>
        <v/>
      </c>
      <c r="F41" s="26" t="str">
        <f aca="false">IF($M41=0,"",OPERATIONS!$C41)</f>
        <v/>
      </c>
      <c r="G41" s="26" t="str">
        <f aca="false">IF($M41=0,"",OPERATIONS!$D41)</f>
        <v/>
      </c>
      <c r="H41" s="26" t="str">
        <f aca="false">IF($G41="","",IFERROR(INDEX(LOT_EXTE,MATCH($G41,LOT_KEY,0)),""))</f>
        <v/>
      </c>
      <c r="I41" s="26" t="str">
        <f aca="false">IF($M41=0,"",OPERATIONS!$E41)</f>
        <v/>
      </c>
      <c r="J41" s="26" t="str">
        <f aca="false">IF($I41="","",IFERROR(INDEX(EMPL_CLASSE,MATCH($I41,EMPL_KEY,0)),""))</f>
        <v/>
      </c>
      <c r="K41" s="26" t="str">
        <f aca="false">IF($M41=0,"",OPERATIONS!$K41)</f>
        <v/>
      </c>
      <c r="L41" s="26" t="str">
        <f aca="false">IF($G41="","",IF(IFERROR(INDEX(LOT_ETAT,MATCH($G41,LOT_KEY,0)),"")="","",INDEX(LOT_ETAT,MATCH($G41,LOT_KEY,0))))</f>
        <v/>
      </c>
      <c r="M41" s="73" t="n">
        <f aca="false">IF(OR(OPERATIONS!$O41=0,OPERATIONS!$C41="RECEPTION",OPERATIONS!$C41="AJUSTEMENT"),0,-OPERATIONS!$G41)</f>
        <v>0</v>
      </c>
      <c r="N41" s="73" t="n">
        <f aca="false">IF($M41=0,0,OPERATIONS!$R41*$M41)</f>
        <v>0</v>
      </c>
      <c r="O41" s="26" t="str">
        <f aca="false">IF($M41=0,"",OPERATIONS!$Q41)</f>
        <v/>
      </c>
      <c r="P41" s="26" t="str">
        <f aca="false">IF($G41="","",IF($G41=R_LOT,COUNTIF($G$5:$G41,R_LOT),""))</f>
        <v/>
      </c>
    </row>
    <row r="42" customFormat="false" ht="15" hidden="false" customHeight="false" outlineLevel="0" collapsed="false">
      <c r="A42" s="28" t="str">
        <f aca="false">IF($M42=0,"",ROW()-4)</f>
        <v/>
      </c>
      <c r="B42" s="26" t="str">
        <f aca="false">IF($M42=0,"","OPERATIONS")</f>
        <v/>
      </c>
      <c r="C42" s="26" t="str">
        <f aca="false">IF($M42=0,"",OPERATIONS!$A42)</f>
        <v/>
      </c>
      <c r="D42" s="31" t="str">
        <f aca="false">IF($M42=0,"",OPERATIONS!$B42)</f>
        <v/>
      </c>
      <c r="E42" s="26" t="str">
        <f aca="false">IF($M42=0,"","SORTIE")</f>
        <v/>
      </c>
      <c r="F42" s="26" t="str">
        <f aca="false">IF($M42=0,"",OPERATIONS!$C42)</f>
        <v/>
      </c>
      <c r="G42" s="26" t="str">
        <f aca="false">IF($M42=0,"",OPERATIONS!$D42)</f>
        <v/>
      </c>
      <c r="H42" s="26" t="str">
        <f aca="false">IF($G42="","",IFERROR(INDEX(LOT_EXTE,MATCH($G42,LOT_KEY,0)),""))</f>
        <v/>
      </c>
      <c r="I42" s="26" t="str">
        <f aca="false">IF($M42=0,"",OPERATIONS!$E42)</f>
        <v/>
      </c>
      <c r="J42" s="26" t="str">
        <f aca="false">IF($I42="","",IFERROR(INDEX(EMPL_CLASSE,MATCH($I42,EMPL_KEY,0)),""))</f>
        <v/>
      </c>
      <c r="K42" s="26" t="str">
        <f aca="false">IF($M42=0,"",OPERATIONS!$K42)</f>
        <v/>
      </c>
      <c r="L42" s="26" t="str">
        <f aca="false">IF($G42="","",IF(IFERROR(INDEX(LOT_ETAT,MATCH($G42,LOT_KEY,0)),"")="","",INDEX(LOT_ETAT,MATCH($G42,LOT_KEY,0))))</f>
        <v/>
      </c>
      <c r="M42" s="73" t="n">
        <f aca="false">IF(OR(OPERATIONS!$O42=0,OPERATIONS!$C42="RECEPTION",OPERATIONS!$C42="AJUSTEMENT"),0,-OPERATIONS!$G42)</f>
        <v>0</v>
      </c>
      <c r="N42" s="73" t="n">
        <f aca="false">IF($M42=0,0,OPERATIONS!$R42*$M42)</f>
        <v>0</v>
      </c>
      <c r="O42" s="26" t="str">
        <f aca="false">IF($M42=0,"",OPERATIONS!$Q42)</f>
        <v/>
      </c>
      <c r="P42" s="26" t="str">
        <f aca="false">IF($G42="","",IF($G42=R_LOT,COUNTIF($G$5:$G42,R_LOT),""))</f>
        <v/>
      </c>
    </row>
    <row r="43" customFormat="false" ht="15" hidden="false" customHeight="false" outlineLevel="0" collapsed="false">
      <c r="A43" s="28" t="str">
        <f aca="false">IF($M43=0,"",ROW()-4)</f>
        <v/>
      </c>
      <c r="B43" s="26" t="str">
        <f aca="false">IF($M43=0,"","OPERATIONS")</f>
        <v/>
      </c>
      <c r="C43" s="26" t="str">
        <f aca="false">IF($M43=0,"",OPERATIONS!$A43)</f>
        <v/>
      </c>
      <c r="D43" s="31" t="str">
        <f aca="false">IF($M43=0,"",OPERATIONS!$B43)</f>
        <v/>
      </c>
      <c r="E43" s="26" t="str">
        <f aca="false">IF($M43=0,"","SORTIE")</f>
        <v/>
      </c>
      <c r="F43" s="26" t="str">
        <f aca="false">IF($M43=0,"",OPERATIONS!$C43)</f>
        <v/>
      </c>
      <c r="G43" s="26" t="str">
        <f aca="false">IF($M43=0,"",OPERATIONS!$D43)</f>
        <v/>
      </c>
      <c r="H43" s="26" t="str">
        <f aca="false">IF($G43="","",IFERROR(INDEX(LOT_EXTE,MATCH($G43,LOT_KEY,0)),""))</f>
        <v/>
      </c>
      <c r="I43" s="26" t="str">
        <f aca="false">IF($M43=0,"",OPERATIONS!$E43)</f>
        <v/>
      </c>
      <c r="J43" s="26" t="str">
        <f aca="false">IF($I43="","",IFERROR(INDEX(EMPL_CLASSE,MATCH($I43,EMPL_KEY,0)),""))</f>
        <v/>
      </c>
      <c r="K43" s="26" t="str">
        <f aca="false">IF($M43=0,"",OPERATIONS!$K43)</f>
        <v/>
      </c>
      <c r="L43" s="26" t="str">
        <f aca="false">IF($G43="","",IF(IFERROR(INDEX(LOT_ETAT,MATCH($G43,LOT_KEY,0)),"")="","",INDEX(LOT_ETAT,MATCH($G43,LOT_KEY,0))))</f>
        <v/>
      </c>
      <c r="M43" s="73" t="n">
        <f aca="false">IF(OR(OPERATIONS!$O43=0,OPERATIONS!$C43="RECEPTION",OPERATIONS!$C43="AJUSTEMENT"),0,-OPERATIONS!$G43)</f>
        <v>0</v>
      </c>
      <c r="N43" s="73" t="n">
        <f aca="false">IF($M43=0,0,OPERATIONS!$R43*$M43)</f>
        <v>0</v>
      </c>
      <c r="O43" s="26" t="str">
        <f aca="false">IF($M43=0,"",OPERATIONS!$Q43)</f>
        <v/>
      </c>
      <c r="P43" s="26" t="str">
        <f aca="false">IF($G43="","",IF($G43=R_LOT,COUNTIF($G$5:$G43,R_LOT),""))</f>
        <v/>
      </c>
    </row>
    <row r="44" customFormat="false" ht="15" hidden="false" customHeight="false" outlineLevel="0" collapsed="false">
      <c r="A44" s="28" t="str">
        <f aca="false">IF($M44=0,"",ROW()-4)</f>
        <v/>
      </c>
      <c r="B44" s="26" t="str">
        <f aca="false">IF($M44=0,"","OPERATIONS")</f>
        <v/>
      </c>
      <c r="C44" s="26" t="str">
        <f aca="false">IF($M44=0,"",OPERATIONS!$A44)</f>
        <v/>
      </c>
      <c r="D44" s="31" t="str">
        <f aca="false">IF($M44=0,"",OPERATIONS!$B44)</f>
        <v/>
      </c>
      <c r="E44" s="26" t="str">
        <f aca="false">IF($M44=0,"","SORTIE")</f>
        <v/>
      </c>
      <c r="F44" s="26" t="str">
        <f aca="false">IF($M44=0,"",OPERATIONS!$C44)</f>
        <v/>
      </c>
      <c r="G44" s="26" t="str">
        <f aca="false">IF($M44=0,"",OPERATIONS!$D44)</f>
        <v/>
      </c>
      <c r="H44" s="26" t="str">
        <f aca="false">IF($G44="","",IFERROR(INDEX(LOT_EXTE,MATCH($G44,LOT_KEY,0)),""))</f>
        <v/>
      </c>
      <c r="I44" s="26" t="str">
        <f aca="false">IF($M44=0,"",OPERATIONS!$E44)</f>
        <v/>
      </c>
      <c r="J44" s="26" t="str">
        <f aca="false">IF($I44="","",IFERROR(INDEX(EMPL_CLASSE,MATCH($I44,EMPL_KEY,0)),""))</f>
        <v/>
      </c>
      <c r="K44" s="26" t="str">
        <f aca="false">IF($M44=0,"",OPERATIONS!$K44)</f>
        <v/>
      </c>
      <c r="L44" s="26" t="str">
        <f aca="false">IF($G44="","",IF(IFERROR(INDEX(LOT_ETAT,MATCH($G44,LOT_KEY,0)),"")="","",INDEX(LOT_ETAT,MATCH($G44,LOT_KEY,0))))</f>
        <v/>
      </c>
      <c r="M44" s="73" t="n">
        <f aca="false">IF(OR(OPERATIONS!$O44=0,OPERATIONS!$C44="RECEPTION",OPERATIONS!$C44="AJUSTEMENT"),0,-OPERATIONS!$G44)</f>
        <v>0</v>
      </c>
      <c r="N44" s="73" t="n">
        <f aca="false">IF($M44=0,0,OPERATIONS!$R44*$M44)</f>
        <v>0</v>
      </c>
      <c r="O44" s="26" t="str">
        <f aca="false">IF($M44=0,"",OPERATIONS!$Q44)</f>
        <v/>
      </c>
      <c r="P44" s="26" t="str">
        <f aca="false">IF($G44="","",IF($G44=R_LOT,COUNTIF($G$5:$G44,R_LOT),""))</f>
        <v/>
      </c>
    </row>
    <row r="45" customFormat="false" ht="15" hidden="false" customHeight="false" outlineLevel="0" collapsed="false">
      <c r="A45" s="28" t="str">
        <f aca="false">IF($M45=0,"",ROW()-4)</f>
        <v/>
      </c>
      <c r="B45" s="26" t="str">
        <f aca="false">IF($M45=0,"","OPERATIONS")</f>
        <v/>
      </c>
      <c r="C45" s="26" t="str">
        <f aca="false">IF($M45=0,"",OPERATIONS!$A45)</f>
        <v/>
      </c>
      <c r="D45" s="31" t="str">
        <f aca="false">IF($M45=0,"",OPERATIONS!$B45)</f>
        <v/>
      </c>
      <c r="E45" s="26" t="str">
        <f aca="false">IF($M45=0,"","SORTIE")</f>
        <v/>
      </c>
      <c r="F45" s="26" t="str">
        <f aca="false">IF($M45=0,"",OPERATIONS!$C45)</f>
        <v/>
      </c>
      <c r="G45" s="26" t="str">
        <f aca="false">IF($M45=0,"",OPERATIONS!$D45)</f>
        <v/>
      </c>
      <c r="H45" s="26" t="str">
        <f aca="false">IF($G45="","",IFERROR(INDEX(LOT_EXTE,MATCH($G45,LOT_KEY,0)),""))</f>
        <v/>
      </c>
      <c r="I45" s="26" t="str">
        <f aca="false">IF($M45=0,"",OPERATIONS!$E45)</f>
        <v/>
      </c>
      <c r="J45" s="26" t="str">
        <f aca="false">IF($I45="","",IFERROR(INDEX(EMPL_CLASSE,MATCH($I45,EMPL_KEY,0)),""))</f>
        <v/>
      </c>
      <c r="K45" s="26" t="str">
        <f aca="false">IF($M45=0,"",OPERATIONS!$K45)</f>
        <v/>
      </c>
      <c r="L45" s="26" t="str">
        <f aca="false">IF($G45="","",IF(IFERROR(INDEX(LOT_ETAT,MATCH($G45,LOT_KEY,0)),"")="","",INDEX(LOT_ETAT,MATCH($G45,LOT_KEY,0))))</f>
        <v/>
      </c>
      <c r="M45" s="73" t="n">
        <f aca="false">IF(OR(OPERATIONS!$O45=0,OPERATIONS!$C45="RECEPTION",OPERATIONS!$C45="AJUSTEMENT"),0,-OPERATIONS!$G45)</f>
        <v>0</v>
      </c>
      <c r="N45" s="73" t="n">
        <f aca="false">IF($M45=0,0,OPERATIONS!$R45*$M45)</f>
        <v>0</v>
      </c>
      <c r="O45" s="26" t="str">
        <f aca="false">IF($M45=0,"",OPERATIONS!$Q45)</f>
        <v/>
      </c>
      <c r="P45" s="26" t="str">
        <f aca="false">IF($G45="","",IF($G45=R_LOT,COUNTIF($G$5:$G45,R_LOT),""))</f>
        <v/>
      </c>
    </row>
    <row r="46" customFormat="false" ht="15" hidden="false" customHeight="false" outlineLevel="0" collapsed="false">
      <c r="A46" s="28" t="str">
        <f aca="false">IF($M46=0,"",ROW()-4)</f>
        <v/>
      </c>
      <c r="B46" s="26" t="str">
        <f aca="false">IF($M46=0,"","OPERATIONS")</f>
        <v/>
      </c>
      <c r="C46" s="26" t="str">
        <f aca="false">IF($M46=0,"",OPERATIONS!$A46)</f>
        <v/>
      </c>
      <c r="D46" s="31" t="str">
        <f aca="false">IF($M46=0,"",OPERATIONS!$B46)</f>
        <v/>
      </c>
      <c r="E46" s="26" t="str">
        <f aca="false">IF($M46=0,"","SORTIE")</f>
        <v/>
      </c>
      <c r="F46" s="26" t="str">
        <f aca="false">IF($M46=0,"",OPERATIONS!$C46)</f>
        <v/>
      </c>
      <c r="G46" s="26" t="str">
        <f aca="false">IF($M46=0,"",OPERATIONS!$D46)</f>
        <v/>
      </c>
      <c r="H46" s="26" t="str">
        <f aca="false">IF($G46="","",IFERROR(INDEX(LOT_EXTE,MATCH($G46,LOT_KEY,0)),""))</f>
        <v/>
      </c>
      <c r="I46" s="26" t="str">
        <f aca="false">IF($M46=0,"",OPERATIONS!$E46)</f>
        <v/>
      </c>
      <c r="J46" s="26" t="str">
        <f aca="false">IF($I46="","",IFERROR(INDEX(EMPL_CLASSE,MATCH($I46,EMPL_KEY,0)),""))</f>
        <v/>
      </c>
      <c r="K46" s="26" t="str">
        <f aca="false">IF($M46=0,"",OPERATIONS!$K46)</f>
        <v/>
      </c>
      <c r="L46" s="26" t="str">
        <f aca="false">IF($G46="","",IF(IFERROR(INDEX(LOT_ETAT,MATCH($G46,LOT_KEY,0)),"")="","",INDEX(LOT_ETAT,MATCH($G46,LOT_KEY,0))))</f>
        <v/>
      </c>
      <c r="M46" s="73" t="n">
        <f aca="false">IF(OR(OPERATIONS!$O46=0,OPERATIONS!$C46="RECEPTION",OPERATIONS!$C46="AJUSTEMENT"),0,-OPERATIONS!$G46)</f>
        <v>0</v>
      </c>
      <c r="N46" s="73" t="n">
        <f aca="false">IF($M46=0,0,OPERATIONS!$R46*$M46)</f>
        <v>0</v>
      </c>
      <c r="O46" s="26" t="str">
        <f aca="false">IF($M46=0,"",OPERATIONS!$Q46)</f>
        <v/>
      </c>
      <c r="P46" s="26" t="str">
        <f aca="false">IF($G46="","",IF($G46=R_LOT,COUNTIF($G$5:$G46,R_LOT),""))</f>
        <v/>
      </c>
    </row>
    <row r="47" customFormat="false" ht="15" hidden="false" customHeight="false" outlineLevel="0" collapsed="false">
      <c r="A47" s="28" t="str">
        <f aca="false">IF($M47=0,"",ROW()-4)</f>
        <v/>
      </c>
      <c r="B47" s="26" t="str">
        <f aca="false">IF($M47=0,"","OPERATIONS")</f>
        <v/>
      </c>
      <c r="C47" s="26" t="str">
        <f aca="false">IF($M47=0,"",OPERATIONS!$A47)</f>
        <v/>
      </c>
      <c r="D47" s="31" t="str">
        <f aca="false">IF($M47=0,"",OPERATIONS!$B47)</f>
        <v/>
      </c>
      <c r="E47" s="26" t="str">
        <f aca="false">IF($M47=0,"","SORTIE")</f>
        <v/>
      </c>
      <c r="F47" s="26" t="str">
        <f aca="false">IF($M47=0,"",OPERATIONS!$C47)</f>
        <v/>
      </c>
      <c r="G47" s="26" t="str">
        <f aca="false">IF($M47=0,"",OPERATIONS!$D47)</f>
        <v/>
      </c>
      <c r="H47" s="26" t="str">
        <f aca="false">IF($G47="","",IFERROR(INDEX(LOT_EXTE,MATCH($G47,LOT_KEY,0)),""))</f>
        <v/>
      </c>
      <c r="I47" s="26" t="str">
        <f aca="false">IF($M47=0,"",OPERATIONS!$E47)</f>
        <v/>
      </c>
      <c r="J47" s="26" t="str">
        <f aca="false">IF($I47="","",IFERROR(INDEX(EMPL_CLASSE,MATCH($I47,EMPL_KEY,0)),""))</f>
        <v/>
      </c>
      <c r="K47" s="26" t="str">
        <f aca="false">IF($M47=0,"",OPERATIONS!$K47)</f>
        <v/>
      </c>
      <c r="L47" s="26" t="str">
        <f aca="false">IF($G47="","",IF(IFERROR(INDEX(LOT_ETAT,MATCH($G47,LOT_KEY,0)),"")="","",INDEX(LOT_ETAT,MATCH($G47,LOT_KEY,0))))</f>
        <v/>
      </c>
      <c r="M47" s="73" t="n">
        <f aca="false">IF(OR(OPERATIONS!$O47=0,OPERATIONS!$C47="RECEPTION",OPERATIONS!$C47="AJUSTEMENT"),0,-OPERATIONS!$G47)</f>
        <v>0</v>
      </c>
      <c r="N47" s="73" t="n">
        <f aca="false">IF($M47=0,0,OPERATIONS!$R47*$M47)</f>
        <v>0</v>
      </c>
      <c r="O47" s="26" t="str">
        <f aca="false">IF($M47=0,"",OPERATIONS!$Q47)</f>
        <v/>
      </c>
      <c r="P47" s="26" t="str">
        <f aca="false">IF($G47="","",IF($G47=R_LOT,COUNTIF($G$5:$G47,R_LOT),""))</f>
        <v/>
      </c>
    </row>
    <row r="48" customFormat="false" ht="15" hidden="false" customHeight="false" outlineLevel="0" collapsed="false">
      <c r="A48" s="28" t="str">
        <f aca="false">IF($M48=0,"",ROW()-4)</f>
        <v/>
      </c>
      <c r="B48" s="26" t="str">
        <f aca="false">IF($M48=0,"","OPERATIONS")</f>
        <v/>
      </c>
      <c r="C48" s="26" t="str">
        <f aca="false">IF($M48=0,"",OPERATIONS!$A48)</f>
        <v/>
      </c>
      <c r="D48" s="31" t="str">
        <f aca="false">IF($M48=0,"",OPERATIONS!$B48)</f>
        <v/>
      </c>
      <c r="E48" s="26" t="str">
        <f aca="false">IF($M48=0,"","SORTIE")</f>
        <v/>
      </c>
      <c r="F48" s="26" t="str">
        <f aca="false">IF($M48=0,"",OPERATIONS!$C48)</f>
        <v/>
      </c>
      <c r="G48" s="26" t="str">
        <f aca="false">IF($M48=0,"",OPERATIONS!$D48)</f>
        <v/>
      </c>
      <c r="H48" s="26" t="str">
        <f aca="false">IF($G48="","",IFERROR(INDEX(LOT_EXTE,MATCH($G48,LOT_KEY,0)),""))</f>
        <v/>
      </c>
      <c r="I48" s="26" t="str">
        <f aca="false">IF($M48=0,"",OPERATIONS!$E48)</f>
        <v/>
      </c>
      <c r="J48" s="26" t="str">
        <f aca="false">IF($I48="","",IFERROR(INDEX(EMPL_CLASSE,MATCH($I48,EMPL_KEY,0)),""))</f>
        <v/>
      </c>
      <c r="K48" s="26" t="str">
        <f aca="false">IF($M48=0,"",OPERATIONS!$K48)</f>
        <v/>
      </c>
      <c r="L48" s="26" t="str">
        <f aca="false">IF($G48="","",IF(IFERROR(INDEX(LOT_ETAT,MATCH($G48,LOT_KEY,0)),"")="","",INDEX(LOT_ETAT,MATCH($G48,LOT_KEY,0))))</f>
        <v/>
      </c>
      <c r="M48" s="73" t="n">
        <f aca="false">IF(OR(OPERATIONS!$O48=0,OPERATIONS!$C48="RECEPTION",OPERATIONS!$C48="AJUSTEMENT"),0,-OPERATIONS!$G48)</f>
        <v>0</v>
      </c>
      <c r="N48" s="73" t="n">
        <f aca="false">IF($M48=0,0,OPERATIONS!$R48*$M48)</f>
        <v>0</v>
      </c>
      <c r="O48" s="26" t="str">
        <f aca="false">IF($M48=0,"",OPERATIONS!$Q48)</f>
        <v/>
      </c>
      <c r="P48" s="26" t="str">
        <f aca="false">IF($G48="","",IF($G48=R_LOT,COUNTIF($G$5:$G48,R_LOT),""))</f>
        <v/>
      </c>
    </row>
    <row r="49" customFormat="false" ht="15" hidden="false" customHeight="false" outlineLevel="0" collapsed="false">
      <c r="A49" s="28" t="str">
        <f aca="false">IF($M49=0,"",ROW()-4)</f>
        <v/>
      </c>
      <c r="B49" s="26" t="str">
        <f aca="false">IF($M49=0,"","OPERATIONS")</f>
        <v/>
      </c>
      <c r="C49" s="26" t="str">
        <f aca="false">IF($M49=0,"",OPERATIONS!$A49)</f>
        <v/>
      </c>
      <c r="D49" s="31" t="str">
        <f aca="false">IF($M49=0,"",OPERATIONS!$B49)</f>
        <v/>
      </c>
      <c r="E49" s="26" t="str">
        <f aca="false">IF($M49=0,"","SORTIE")</f>
        <v/>
      </c>
      <c r="F49" s="26" t="str">
        <f aca="false">IF($M49=0,"",OPERATIONS!$C49)</f>
        <v/>
      </c>
      <c r="G49" s="26" t="str">
        <f aca="false">IF($M49=0,"",OPERATIONS!$D49)</f>
        <v/>
      </c>
      <c r="H49" s="26" t="str">
        <f aca="false">IF($G49="","",IFERROR(INDEX(LOT_EXTE,MATCH($G49,LOT_KEY,0)),""))</f>
        <v/>
      </c>
      <c r="I49" s="26" t="str">
        <f aca="false">IF($M49=0,"",OPERATIONS!$E49)</f>
        <v/>
      </c>
      <c r="J49" s="26" t="str">
        <f aca="false">IF($I49="","",IFERROR(INDEX(EMPL_CLASSE,MATCH($I49,EMPL_KEY,0)),""))</f>
        <v/>
      </c>
      <c r="K49" s="26" t="str">
        <f aca="false">IF($M49=0,"",OPERATIONS!$K49)</f>
        <v/>
      </c>
      <c r="L49" s="26" t="str">
        <f aca="false">IF($G49="","",IF(IFERROR(INDEX(LOT_ETAT,MATCH($G49,LOT_KEY,0)),"")="","",INDEX(LOT_ETAT,MATCH($G49,LOT_KEY,0))))</f>
        <v/>
      </c>
      <c r="M49" s="73" t="n">
        <f aca="false">IF(OR(OPERATIONS!$O49=0,OPERATIONS!$C49="RECEPTION",OPERATIONS!$C49="AJUSTEMENT"),0,-OPERATIONS!$G49)</f>
        <v>0</v>
      </c>
      <c r="N49" s="73" t="n">
        <f aca="false">IF($M49=0,0,OPERATIONS!$R49*$M49)</f>
        <v>0</v>
      </c>
      <c r="O49" s="26" t="str">
        <f aca="false">IF($M49=0,"",OPERATIONS!$Q49)</f>
        <v/>
      </c>
      <c r="P49" s="26" t="str">
        <f aca="false">IF($G49="","",IF($G49=R_LOT,COUNTIF($G$5:$G49,R_LOT),""))</f>
        <v/>
      </c>
    </row>
    <row r="50" customFormat="false" ht="15" hidden="false" customHeight="false" outlineLevel="0" collapsed="false">
      <c r="A50" s="28" t="str">
        <f aca="false">IF($M50=0,"",ROW()-4)</f>
        <v/>
      </c>
      <c r="B50" s="26" t="str">
        <f aca="false">IF($M50=0,"","OPERATIONS")</f>
        <v/>
      </c>
      <c r="C50" s="26" t="str">
        <f aca="false">IF($M50=0,"",OPERATIONS!$A50)</f>
        <v/>
      </c>
      <c r="D50" s="31" t="str">
        <f aca="false">IF($M50=0,"",OPERATIONS!$B50)</f>
        <v/>
      </c>
      <c r="E50" s="26" t="str">
        <f aca="false">IF($M50=0,"","SORTIE")</f>
        <v/>
      </c>
      <c r="F50" s="26" t="str">
        <f aca="false">IF($M50=0,"",OPERATIONS!$C50)</f>
        <v/>
      </c>
      <c r="G50" s="26" t="str">
        <f aca="false">IF($M50=0,"",OPERATIONS!$D50)</f>
        <v/>
      </c>
      <c r="H50" s="26" t="str">
        <f aca="false">IF($G50="","",IFERROR(INDEX(LOT_EXTE,MATCH($G50,LOT_KEY,0)),""))</f>
        <v/>
      </c>
      <c r="I50" s="26" t="str">
        <f aca="false">IF($M50=0,"",OPERATIONS!$E50)</f>
        <v/>
      </c>
      <c r="J50" s="26" t="str">
        <f aca="false">IF($I50="","",IFERROR(INDEX(EMPL_CLASSE,MATCH($I50,EMPL_KEY,0)),""))</f>
        <v/>
      </c>
      <c r="K50" s="26" t="str">
        <f aca="false">IF($M50=0,"",OPERATIONS!$K50)</f>
        <v/>
      </c>
      <c r="L50" s="26" t="str">
        <f aca="false">IF($G50="","",IF(IFERROR(INDEX(LOT_ETAT,MATCH($G50,LOT_KEY,0)),"")="","",INDEX(LOT_ETAT,MATCH($G50,LOT_KEY,0))))</f>
        <v/>
      </c>
      <c r="M50" s="73" t="n">
        <f aca="false">IF(OR(OPERATIONS!$O50=0,OPERATIONS!$C50="RECEPTION",OPERATIONS!$C50="AJUSTEMENT"),0,-OPERATIONS!$G50)</f>
        <v>0</v>
      </c>
      <c r="N50" s="73" t="n">
        <f aca="false">IF($M50=0,0,OPERATIONS!$R50*$M50)</f>
        <v>0</v>
      </c>
      <c r="O50" s="26" t="str">
        <f aca="false">IF($M50=0,"",OPERATIONS!$Q50)</f>
        <v/>
      </c>
      <c r="P50" s="26" t="str">
        <f aca="false">IF($G50="","",IF($G50=R_LOT,COUNTIF($G$5:$G50,R_LOT),""))</f>
        <v/>
      </c>
    </row>
    <row r="51" customFormat="false" ht="15" hidden="false" customHeight="false" outlineLevel="0" collapsed="false">
      <c r="A51" s="28" t="str">
        <f aca="false">IF($M51=0,"",ROW()-4)</f>
        <v/>
      </c>
      <c r="B51" s="26" t="str">
        <f aca="false">IF($M51=0,"","OPERATIONS")</f>
        <v/>
      </c>
      <c r="C51" s="26" t="str">
        <f aca="false">IF($M51=0,"",OPERATIONS!$A51)</f>
        <v/>
      </c>
      <c r="D51" s="31" t="str">
        <f aca="false">IF($M51=0,"",OPERATIONS!$B51)</f>
        <v/>
      </c>
      <c r="E51" s="26" t="str">
        <f aca="false">IF($M51=0,"","SORTIE")</f>
        <v/>
      </c>
      <c r="F51" s="26" t="str">
        <f aca="false">IF($M51=0,"",OPERATIONS!$C51)</f>
        <v/>
      </c>
      <c r="G51" s="26" t="str">
        <f aca="false">IF($M51=0,"",OPERATIONS!$D51)</f>
        <v/>
      </c>
      <c r="H51" s="26" t="str">
        <f aca="false">IF($G51="","",IFERROR(INDEX(LOT_EXTE,MATCH($G51,LOT_KEY,0)),""))</f>
        <v/>
      </c>
      <c r="I51" s="26" t="str">
        <f aca="false">IF($M51=0,"",OPERATIONS!$E51)</f>
        <v/>
      </c>
      <c r="J51" s="26" t="str">
        <f aca="false">IF($I51="","",IFERROR(INDEX(EMPL_CLASSE,MATCH($I51,EMPL_KEY,0)),""))</f>
        <v/>
      </c>
      <c r="K51" s="26" t="str">
        <f aca="false">IF($M51=0,"",OPERATIONS!$K51)</f>
        <v/>
      </c>
      <c r="L51" s="26" t="str">
        <f aca="false">IF($G51="","",IF(IFERROR(INDEX(LOT_ETAT,MATCH($G51,LOT_KEY,0)),"")="","",INDEX(LOT_ETAT,MATCH($G51,LOT_KEY,0))))</f>
        <v/>
      </c>
      <c r="M51" s="73" t="n">
        <f aca="false">IF(OR(OPERATIONS!$O51=0,OPERATIONS!$C51="RECEPTION",OPERATIONS!$C51="AJUSTEMENT"),0,-OPERATIONS!$G51)</f>
        <v>0</v>
      </c>
      <c r="N51" s="73" t="n">
        <f aca="false">IF($M51=0,0,OPERATIONS!$R51*$M51)</f>
        <v>0</v>
      </c>
      <c r="O51" s="26" t="str">
        <f aca="false">IF($M51=0,"",OPERATIONS!$Q51)</f>
        <v/>
      </c>
      <c r="P51" s="26" t="str">
        <f aca="false">IF($G51="","",IF($G51=R_LOT,COUNTIF($G$5:$G51,R_LOT),""))</f>
        <v/>
      </c>
    </row>
    <row r="52" customFormat="false" ht="15" hidden="false" customHeight="false" outlineLevel="0" collapsed="false">
      <c r="A52" s="28" t="str">
        <f aca="false">IF($M52=0,"",ROW()-4)</f>
        <v/>
      </c>
      <c r="B52" s="26" t="str">
        <f aca="false">IF($M52=0,"","OPERATIONS")</f>
        <v/>
      </c>
      <c r="C52" s="26" t="str">
        <f aca="false">IF($M52=0,"",OPERATIONS!$A52)</f>
        <v/>
      </c>
      <c r="D52" s="31" t="str">
        <f aca="false">IF($M52=0,"",OPERATIONS!$B52)</f>
        <v/>
      </c>
      <c r="E52" s="26" t="str">
        <f aca="false">IF($M52=0,"","SORTIE")</f>
        <v/>
      </c>
      <c r="F52" s="26" t="str">
        <f aca="false">IF($M52=0,"",OPERATIONS!$C52)</f>
        <v/>
      </c>
      <c r="G52" s="26" t="str">
        <f aca="false">IF($M52=0,"",OPERATIONS!$D52)</f>
        <v/>
      </c>
      <c r="H52" s="26" t="str">
        <f aca="false">IF($G52="","",IFERROR(INDEX(LOT_EXTE,MATCH($G52,LOT_KEY,0)),""))</f>
        <v/>
      </c>
      <c r="I52" s="26" t="str">
        <f aca="false">IF($M52=0,"",OPERATIONS!$E52)</f>
        <v/>
      </c>
      <c r="J52" s="26" t="str">
        <f aca="false">IF($I52="","",IFERROR(INDEX(EMPL_CLASSE,MATCH($I52,EMPL_KEY,0)),""))</f>
        <v/>
      </c>
      <c r="K52" s="26" t="str">
        <f aca="false">IF($M52=0,"",OPERATIONS!$K52)</f>
        <v/>
      </c>
      <c r="L52" s="26" t="str">
        <f aca="false">IF($G52="","",IF(IFERROR(INDEX(LOT_ETAT,MATCH($G52,LOT_KEY,0)),"")="","",INDEX(LOT_ETAT,MATCH($G52,LOT_KEY,0))))</f>
        <v/>
      </c>
      <c r="M52" s="73" t="n">
        <f aca="false">IF(OR(OPERATIONS!$O52=0,OPERATIONS!$C52="RECEPTION",OPERATIONS!$C52="AJUSTEMENT"),0,-OPERATIONS!$G52)</f>
        <v>0</v>
      </c>
      <c r="N52" s="73" t="n">
        <f aca="false">IF($M52=0,0,OPERATIONS!$R52*$M52)</f>
        <v>0</v>
      </c>
      <c r="O52" s="26" t="str">
        <f aca="false">IF($M52=0,"",OPERATIONS!$Q52)</f>
        <v/>
      </c>
      <c r="P52" s="26" t="str">
        <f aca="false">IF($G52="","",IF($G52=R_LOT,COUNTIF($G$5:$G52,R_LOT),""))</f>
        <v/>
      </c>
    </row>
    <row r="53" customFormat="false" ht="15" hidden="false" customHeight="false" outlineLevel="0" collapsed="false">
      <c r="A53" s="28" t="str">
        <f aca="false">IF($M53=0,"",ROW()-4)</f>
        <v/>
      </c>
      <c r="B53" s="26" t="str">
        <f aca="false">IF($M53=0,"","OPERATIONS")</f>
        <v/>
      </c>
      <c r="C53" s="26" t="str">
        <f aca="false">IF($M53=0,"",OPERATIONS!$A53)</f>
        <v/>
      </c>
      <c r="D53" s="31" t="str">
        <f aca="false">IF($M53=0,"",OPERATIONS!$B53)</f>
        <v/>
      </c>
      <c r="E53" s="26" t="str">
        <f aca="false">IF($M53=0,"","SORTIE")</f>
        <v/>
      </c>
      <c r="F53" s="26" t="str">
        <f aca="false">IF($M53=0,"",OPERATIONS!$C53)</f>
        <v/>
      </c>
      <c r="G53" s="26" t="str">
        <f aca="false">IF($M53=0,"",OPERATIONS!$D53)</f>
        <v/>
      </c>
      <c r="H53" s="26" t="str">
        <f aca="false">IF($G53="","",IFERROR(INDEX(LOT_EXTE,MATCH($G53,LOT_KEY,0)),""))</f>
        <v/>
      </c>
      <c r="I53" s="26" t="str">
        <f aca="false">IF($M53=0,"",OPERATIONS!$E53)</f>
        <v/>
      </c>
      <c r="J53" s="26" t="str">
        <f aca="false">IF($I53="","",IFERROR(INDEX(EMPL_CLASSE,MATCH($I53,EMPL_KEY,0)),""))</f>
        <v/>
      </c>
      <c r="K53" s="26" t="str">
        <f aca="false">IF($M53=0,"",OPERATIONS!$K53)</f>
        <v/>
      </c>
      <c r="L53" s="26" t="str">
        <f aca="false">IF($G53="","",IF(IFERROR(INDEX(LOT_ETAT,MATCH($G53,LOT_KEY,0)),"")="","",INDEX(LOT_ETAT,MATCH($G53,LOT_KEY,0))))</f>
        <v/>
      </c>
      <c r="M53" s="73" t="n">
        <f aca="false">IF(OR(OPERATIONS!$O53=0,OPERATIONS!$C53="RECEPTION",OPERATIONS!$C53="AJUSTEMENT"),0,-OPERATIONS!$G53)</f>
        <v>0</v>
      </c>
      <c r="N53" s="73" t="n">
        <f aca="false">IF($M53=0,0,OPERATIONS!$R53*$M53)</f>
        <v>0</v>
      </c>
      <c r="O53" s="26" t="str">
        <f aca="false">IF($M53=0,"",OPERATIONS!$Q53)</f>
        <v/>
      </c>
      <c r="P53" s="26" t="str">
        <f aca="false">IF($G53="","",IF($G53=R_LOT,COUNTIF($G$5:$G53,R_LOT),""))</f>
        <v/>
      </c>
    </row>
    <row r="54" customFormat="false" ht="15" hidden="false" customHeight="false" outlineLevel="0" collapsed="false">
      <c r="A54" s="28" t="str">
        <f aca="false">IF($M54=0,"",ROW()-4)</f>
        <v/>
      </c>
      <c r="B54" s="26" t="str">
        <f aca="false">IF($M54=0,"","OPERATIONS")</f>
        <v/>
      </c>
      <c r="C54" s="26" t="str">
        <f aca="false">IF($M54=0,"",OPERATIONS!$A54)</f>
        <v/>
      </c>
      <c r="D54" s="31" t="str">
        <f aca="false">IF($M54=0,"",OPERATIONS!$B54)</f>
        <v/>
      </c>
      <c r="E54" s="26" t="str">
        <f aca="false">IF($M54=0,"","SORTIE")</f>
        <v/>
      </c>
      <c r="F54" s="26" t="str">
        <f aca="false">IF($M54=0,"",OPERATIONS!$C54)</f>
        <v/>
      </c>
      <c r="G54" s="26" t="str">
        <f aca="false">IF($M54=0,"",OPERATIONS!$D54)</f>
        <v/>
      </c>
      <c r="H54" s="26" t="str">
        <f aca="false">IF($G54="","",IFERROR(INDEX(LOT_EXTE,MATCH($G54,LOT_KEY,0)),""))</f>
        <v/>
      </c>
      <c r="I54" s="26" t="str">
        <f aca="false">IF($M54=0,"",OPERATIONS!$E54)</f>
        <v/>
      </c>
      <c r="J54" s="26" t="str">
        <f aca="false">IF($I54="","",IFERROR(INDEX(EMPL_CLASSE,MATCH($I54,EMPL_KEY,0)),""))</f>
        <v/>
      </c>
      <c r="K54" s="26" t="str">
        <f aca="false">IF($M54=0,"",OPERATIONS!$K54)</f>
        <v/>
      </c>
      <c r="L54" s="26" t="str">
        <f aca="false">IF($G54="","",IF(IFERROR(INDEX(LOT_ETAT,MATCH($G54,LOT_KEY,0)),"")="","",INDEX(LOT_ETAT,MATCH($G54,LOT_KEY,0))))</f>
        <v/>
      </c>
      <c r="M54" s="73" t="n">
        <f aca="false">IF(OR(OPERATIONS!$O54=0,OPERATIONS!$C54="RECEPTION",OPERATIONS!$C54="AJUSTEMENT"),0,-OPERATIONS!$G54)</f>
        <v>0</v>
      </c>
      <c r="N54" s="73" t="n">
        <f aca="false">IF($M54=0,0,OPERATIONS!$R54*$M54)</f>
        <v>0</v>
      </c>
      <c r="O54" s="26" t="str">
        <f aca="false">IF($M54=0,"",OPERATIONS!$Q54)</f>
        <v/>
      </c>
      <c r="P54" s="26" t="str">
        <f aca="false">IF($G54="","",IF($G54=R_LOT,COUNTIF($G$5:$G54,R_LOT),""))</f>
        <v/>
      </c>
    </row>
    <row r="55" customFormat="false" ht="15" hidden="false" customHeight="false" outlineLevel="0" collapsed="false">
      <c r="A55" s="28" t="str">
        <f aca="false">IF($M55=0,"",ROW()-4)</f>
        <v/>
      </c>
      <c r="B55" s="26" t="str">
        <f aca="false">IF($M55=0,"","OPERATIONS")</f>
        <v/>
      </c>
      <c r="C55" s="26" t="str">
        <f aca="false">IF($M55=0,"",OPERATIONS!$A55)</f>
        <v/>
      </c>
      <c r="D55" s="31" t="str">
        <f aca="false">IF($M55=0,"",OPERATIONS!$B55)</f>
        <v/>
      </c>
      <c r="E55" s="26" t="str">
        <f aca="false">IF($M55=0,"","SORTIE")</f>
        <v/>
      </c>
      <c r="F55" s="26" t="str">
        <f aca="false">IF($M55=0,"",OPERATIONS!$C55)</f>
        <v/>
      </c>
      <c r="G55" s="26" t="str">
        <f aca="false">IF($M55=0,"",OPERATIONS!$D55)</f>
        <v/>
      </c>
      <c r="H55" s="26" t="str">
        <f aca="false">IF($G55="","",IFERROR(INDEX(LOT_EXTE,MATCH($G55,LOT_KEY,0)),""))</f>
        <v/>
      </c>
      <c r="I55" s="26" t="str">
        <f aca="false">IF($M55=0,"",OPERATIONS!$E55)</f>
        <v/>
      </c>
      <c r="J55" s="26" t="str">
        <f aca="false">IF($I55="","",IFERROR(INDEX(EMPL_CLASSE,MATCH($I55,EMPL_KEY,0)),""))</f>
        <v/>
      </c>
      <c r="K55" s="26" t="str">
        <f aca="false">IF($M55=0,"",OPERATIONS!$K55)</f>
        <v/>
      </c>
      <c r="L55" s="26" t="str">
        <f aca="false">IF($G55="","",IF(IFERROR(INDEX(LOT_ETAT,MATCH($G55,LOT_KEY,0)),"")="","",INDEX(LOT_ETAT,MATCH($G55,LOT_KEY,0))))</f>
        <v/>
      </c>
      <c r="M55" s="73" t="n">
        <f aca="false">IF(OR(OPERATIONS!$O55=0,OPERATIONS!$C55="RECEPTION",OPERATIONS!$C55="AJUSTEMENT"),0,-OPERATIONS!$G55)</f>
        <v>0</v>
      </c>
      <c r="N55" s="73" t="n">
        <f aca="false">IF($M55=0,0,OPERATIONS!$R55*$M55)</f>
        <v>0</v>
      </c>
      <c r="O55" s="26" t="str">
        <f aca="false">IF($M55=0,"",OPERATIONS!$Q55)</f>
        <v/>
      </c>
      <c r="P55" s="26" t="str">
        <f aca="false">IF($G55="","",IF($G55=R_LOT,COUNTIF($G$5:$G55,R_LOT),""))</f>
        <v/>
      </c>
    </row>
    <row r="56" customFormat="false" ht="15" hidden="false" customHeight="false" outlineLevel="0" collapsed="false">
      <c r="A56" s="28" t="str">
        <f aca="false">IF($M56=0,"",ROW()-4)</f>
        <v/>
      </c>
      <c r="B56" s="26" t="str">
        <f aca="false">IF($M56=0,"","OPERATIONS")</f>
        <v/>
      </c>
      <c r="C56" s="26" t="str">
        <f aca="false">IF($M56=0,"",OPERATIONS!$A56)</f>
        <v/>
      </c>
      <c r="D56" s="31" t="str">
        <f aca="false">IF($M56=0,"",OPERATIONS!$B56)</f>
        <v/>
      </c>
      <c r="E56" s="26" t="str">
        <f aca="false">IF($M56=0,"","SORTIE")</f>
        <v/>
      </c>
      <c r="F56" s="26" t="str">
        <f aca="false">IF($M56=0,"",OPERATIONS!$C56)</f>
        <v/>
      </c>
      <c r="G56" s="26" t="str">
        <f aca="false">IF($M56=0,"",OPERATIONS!$D56)</f>
        <v/>
      </c>
      <c r="H56" s="26" t="str">
        <f aca="false">IF($G56="","",IFERROR(INDEX(LOT_EXTE,MATCH($G56,LOT_KEY,0)),""))</f>
        <v/>
      </c>
      <c r="I56" s="26" t="str">
        <f aca="false">IF($M56=0,"",OPERATIONS!$E56)</f>
        <v/>
      </c>
      <c r="J56" s="26" t="str">
        <f aca="false">IF($I56="","",IFERROR(INDEX(EMPL_CLASSE,MATCH($I56,EMPL_KEY,0)),""))</f>
        <v/>
      </c>
      <c r="K56" s="26" t="str">
        <f aca="false">IF($M56=0,"",OPERATIONS!$K56)</f>
        <v/>
      </c>
      <c r="L56" s="26" t="str">
        <f aca="false">IF($G56="","",IF(IFERROR(INDEX(LOT_ETAT,MATCH($G56,LOT_KEY,0)),"")="","",INDEX(LOT_ETAT,MATCH($G56,LOT_KEY,0))))</f>
        <v/>
      </c>
      <c r="M56" s="73" t="n">
        <f aca="false">IF(OR(OPERATIONS!$O56=0,OPERATIONS!$C56="RECEPTION",OPERATIONS!$C56="AJUSTEMENT"),0,-OPERATIONS!$G56)</f>
        <v>0</v>
      </c>
      <c r="N56" s="73" t="n">
        <f aca="false">IF($M56=0,0,OPERATIONS!$R56*$M56)</f>
        <v>0</v>
      </c>
      <c r="O56" s="26" t="str">
        <f aca="false">IF($M56=0,"",OPERATIONS!$Q56)</f>
        <v/>
      </c>
      <c r="P56" s="26" t="str">
        <f aca="false">IF($G56="","",IF($G56=R_LOT,COUNTIF($G$5:$G56,R_LOT),""))</f>
        <v/>
      </c>
    </row>
    <row r="57" customFormat="false" ht="15" hidden="false" customHeight="false" outlineLevel="0" collapsed="false">
      <c r="A57" s="28" t="str">
        <f aca="false">IF($M57=0,"",ROW()-4)</f>
        <v/>
      </c>
      <c r="B57" s="26" t="str">
        <f aca="false">IF($M57=0,"","OPERATIONS")</f>
        <v/>
      </c>
      <c r="C57" s="26" t="str">
        <f aca="false">IF($M57=0,"",OPERATIONS!$A57)</f>
        <v/>
      </c>
      <c r="D57" s="31" t="str">
        <f aca="false">IF($M57=0,"",OPERATIONS!$B57)</f>
        <v/>
      </c>
      <c r="E57" s="26" t="str">
        <f aca="false">IF($M57=0,"","SORTIE")</f>
        <v/>
      </c>
      <c r="F57" s="26" t="str">
        <f aca="false">IF($M57=0,"",OPERATIONS!$C57)</f>
        <v/>
      </c>
      <c r="G57" s="26" t="str">
        <f aca="false">IF($M57=0,"",OPERATIONS!$D57)</f>
        <v/>
      </c>
      <c r="H57" s="26" t="str">
        <f aca="false">IF($G57="","",IFERROR(INDEX(LOT_EXTE,MATCH($G57,LOT_KEY,0)),""))</f>
        <v/>
      </c>
      <c r="I57" s="26" t="str">
        <f aca="false">IF($M57=0,"",OPERATIONS!$E57)</f>
        <v/>
      </c>
      <c r="J57" s="26" t="str">
        <f aca="false">IF($I57="","",IFERROR(INDEX(EMPL_CLASSE,MATCH($I57,EMPL_KEY,0)),""))</f>
        <v/>
      </c>
      <c r="K57" s="26" t="str">
        <f aca="false">IF($M57=0,"",OPERATIONS!$K57)</f>
        <v/>
      </c>
      <c r="L57" s="26" t="str">
        <f aca="false">IF($G57="","",IF(IFERROR(INDEX(LOT_ETAT,MATCH($G57,LOT_KEY,0)),"")="","",INDEX(LOT_ETAT,MATCH($G57,LOT_KEY,0))))</f>
        <v/>
      </c>
      <c r="M57" s="73" t="n">
        <f aca="false">IF(OR(OPERATIONS!$O57=0,OPERATIONS!$C57="RECEPTION",OPERATIONS!$C57="AJUSTEMENT"),0,-OPERATIONS!$G57)</f>
        <v>0</v>
      </c>
      <c r="N57" s="73" t="n">
        <f aca="false">IF($M57=0,0,OPERATIONS!$R57*$M57)</f>
        <v>0</v>
      </c>
      <c r="O57" s="26" t="str">
        <f aca="false">IF($M57=0,"",OPERATIONS!$Q57)</f>
        <v/>
      </c>
      <c r="P57" s="26" t="str">
        <f aca="false">IF($G57="","",IF($G57=R_LOT,COUNTIF($G$5:$G57,R_LOT),""))</f>
        <v/>
      </c>
    </row>
    <row r="58" customFormat="false" ht="15" hidden="false" customHeight="false" outlineLevel="0" collapsed="false">
      <c r="A58" s="28" t="str">
        <f aca="false">IF($M58=0,"",ROW()-4)</f>
        <v/>
      </c>
      <c r="B58" s="26" t="str">
        <f aca="false">IF($M58=0,"","OPERATIONS")</f>
        <v/>
      </c>
      <c r="C58" s="26" t="str">
        <f aca="false">IF($M58=0,"",OPERATIONS!$A58)</f>
        <v/>
      </c>
      <c r="D58" s="31" t="str">
        <f aca="false">IF($M58=0,"",OPERATIONS!$B58)</f>
        <v/>
      </c>
      <c r="E58" s="26" t="str">
        <f aca="false">IF($M58=0,"","SORTIE")</f>
        <v/>
      </c>
      <c r="F58" s="26" t="str">
        <f aca="false">IF($M58=0,"",OPERATIONS!$C58)</f>
        <v/>
      </c>
      <c r="G58" s="26" t="str">
        <f aca="false">IF($M58=0,"",OPERATIONS!$D58)</f>
        <v/>
      </c>
      <c r="H58" s="26" t="str">
        <f aca="false">IF($G58="","",IFERROR(INDEX(LOT_EXTE,MATCH($G58,LOT_KEY,0)),""))</f>
        <v/>
      </c>
      <c r="I58" s="26" t="str">
        <f aca="false">IF($M58=0,"",OPERATIONS!$E58)</f>
        <v/>
      </c>
      <c r="J58" s="26" t="str">
        <f aca="false">IF($I58="","",IFERROR(INDEX(EMPL_CLASSE,MATCH($I58,EMPL_KEY,0)),""))</f>
        <v/>
      </c>
      <c r="K58" s="26" t="str">
        <f aca="false">IF($M58=0,"",OPERATIONS!$K58)</f>
        <v/>
      </c>
      <c r="L58" s="26" t="str">
        <f aca="false">IF($G58="","",IF(IFERROR(INDEX(LOT_ETAT,MATCH($G58,LOT_KEY,0)),"")="","",INDEX(LOT_ETAT,MATCH($G58,LOT_KEY,0))))</f>
        <v/>
      </c>
      <c r="M58" s="73" t="n">
        <f aca="false">IF(OR(OPERATIONS!$O58=0,OPERATIONS!$C58="RECEPTION",OPERATIONS!$C58="AJUSTEMENT"),0,-OPERATIONS!$G58)</f>
        <v>0</v>
      </c>
      <c r="N58" s="73" t="n">
        <f aca="false">IF($M58=0,0,OPERATIONS!$R58*$M58)</f>
        <v>0</v>
      </c>
      <c r="O58" s="26" t="str">
        <f aca="false">IF($M58=0,"",OPERATIONS!$Q58)</f>
        <v/>
      </c>
      <c r="P58" s="26" t="str">
        <f aca="false">IF($G58="","",IF($G58=R_LOT,COUNTIF($G$5:$G58,R_LOT),""))</f>
        <v/>
      </c>
    </row>
    <row r="59" customFormat="false" ht="15" hidden="false" customHeight="false" outlineLevel="0" collapsed="false">
      <c r="A59" s="28" t="str">
        <f aca="false">IF($M59=0,"",ROW()-4)</f>
        <v/>
      </c>
      <c r="B59" s="26" t="str">
        <f aca="false">IF($M59=0,"","OPERATIONS")</f>
        <v/>
      </c>
      <c r="C59" s="26" t="str">
        <f aca="false">IF($M59=0,"",OPERATIONS!$A59)</f>
        <v/>
      </c>
      <c r="D59" s="31" t="str">
        <f aca="false">IF($M59=0,"",OPERATIONS!$B59)</f>
        <v/>
      </c>
      <c r="E59" s="26" t="str">
        <f aca="false">IF($M59=0,"","SORTIE")</f>
        <v/>
      </c>
      <c r="F59" s="26" t="str">
        <f aca="false">IF($M59=0,"",OPERATIONS!$C59)</f>
        <v/>
      </c>
      <c r="G59" s="26" t="str">
        <f aca="false">IF($M59=0,"",OPERATIONS!$D59)</f>
        <v/>
      </c>
      <c r="H59" s="26" t="str">
        <f aca="false">IF($G59="","",IFERROR(INDEX(LOT_EXTE,MATCH($G59,LOT_KEY,0)),""))</f>
        <v/>
      </c>
      <c r="I59" s="26" t="str">
        <f aca="false">IF($M59=0,"",OPERATIONS!$E59)</f>
        <v/>
      </c>
      <c r="J59" s="26" t="str">
        <f aca="false">IF($I59="","",IFERROR(INDEX(EMPL_CLASSE,MATCH($I59,EMPL_KEY,0)),""))</f>
        <v/>
      </c>
      <c r="K59" s="26" t="str">
        <f aca="false">IF($M59=0,"",OPERATIONS!$K59)</f>
        <v/>
      </c>
      <c r="L59" s="26" t="str">
        <f aca="false">IF($G59="","",IF(IFERROR(INDEX(LOT_ETAT,MATCH($G59,LOT_KEY,0)),"")="","",INDEX(LOT_ETAT,MATCH($G59,LOT_KEY,0))))</f>
        <v/>
      </c>
      <c r="M59" s="73" t="n">
        <f aca="false">IF(OR(OPERATIONS!$O59=0,OPERATIONS!$C59="RECEPTION",OPERATIONS!$C59="AJUSTEMENT"),0,-OPERATIONS!$G59)</f>
        <v>0</v>
      </c>
      <c r="N59" s="73" t="n">
        <f aca="false">IF($M59=0,0,OPERATIONS!$R59*$M59)</f>
        <v>0</v>
      </c>
      <c r="O59" s="26" t="str">
        <f aca="false">IF($M59=0,"",OPERATIONS!$Q59)</f>
        <v/>
      </c>
      <c r="P59" s="26" t="str">
        <f aca="false">IF($G59="","",IF($G59=R_LOT,COUNTIF($G$5:$G59,R_LOT),""))</f>
        <v/>
      </c>
    </row>
    <row r="60" customFormat="false" ht="15" hidden="false" customHeight="false" outlineLevel="0" collapsed="false">
      <c r="A60" s="28" t="str">
        <f aca="false">IF($M60=0,"",ROW()-4)</f>
        <v/>
      </c>
      <c r="B60" s="26" t="str">
        <f aca="false">IF($M60=0,"","OPERATIONS")</f>
        <v/>
      </c>
      <c r="C60" s="26" t="str">
        <f aca="false">IF($M60=0,"",OPERATIONS!$A60)</f>
        <v/>
      </c>
      <c r="D60" s="31" t="str">
        <f aca="false">IF($M60=0,"",OPERATIONS!$B60)</f>
        <v/>
      </c>
      <c r="E60" s="26" t="str">
        <f aca="false">IF($M60=0,"","SORTIE")</f>
        <v/>
      </c>
      <c r="F60" s="26" t="str">
        <f aca="false">IF($M60=0,"",OPERATIONS!$C60)</f>
        <v/>
      </c>
      <c r="G60" s="26" t="str">
        <f aca="false">IF($M60=0,"",OPERATIONS!$D60)</f>
        <v/>
      </c>
      <c r="H60" s="26" t="str">
        <f aca="false">IF($G60="","",IFERROR(INDEX(LOT_EXTE,MATCH($G60,LOT_KEY,0)),""))</f>
        <v/>
      </c>
      <c r="I60" s="26" t="str">
        <f aca="false">IF($M60=0,"",OPERATIONS!$E60)</f>
        <v/>
      </c>
      <c r="J60" s="26" t="str">
        <f aca="false">IF($I60="","",IFERROR(INDEX(EMPL_CLASSE,MATCH($I60,EMPL_KEY,0)),""))</f>
        <v/>
      </c>
      <c r="K60" s="26" t="str">
        <f aca="false">IF($M60=0,"",OPERATIONS!$K60)</f>
        <v/>
      </c>
      <c r="L60" s="26" t="str">
        <f aca="false">IF($G60="","",IF(IFERROR(INDEX(LOT_ETAT,MATCH($G60,LOT_KEY,0)),"")="","",INDEX(LOT_ETAT,MATCH($G60,LOT_KEY,0))))</f>
        <v/>
      </c>
      <c r="M60" s="73" t="n">
        <f aca="false">IF(OR(OPERATIONS!$O60=0,OPERATIONS!$C60="RECEPTION",OPERATIONS!$C60="AJUSTEMENT"),0,-OPERATIONS!$G60)</f>
        <v>0</v>
      </c>
      <c r="N60" s="73" t="n">
        <f aca="false">IF($M60=0,0,OPERATIONS!$R60*$M60)</f>
        <v>0</v>
      </c>
      <c r="O60" s="26" t="str">
        <f aca="false">IF($M60=0,"",OPERATIONS!$Q60)</f>
        <v/>
      </c>
      <c r="P60" s="26" t="str">
        <f aca="false">IF($G60="","",IF($G60=R_LOT,COUNTIF($G$5:$G60,R_LOT),""))</f>
        <v/>
      </c>
    </row>
    <row r="61" customFormat="false" ht="15" hidden="false" customHeight="false" outlineLevel="0" collapsed="false">
      <c r="A61" s="28" t="str">
        <f aca="false">IF($M61=0,"",ROW()-4)</f>
        <v/>
      </c>
      <c r="B61" s="26" t="str">
        <f aca="false">IF($M61=0,"","OPERATIONS")</f>
        <v/>
      </c>
      <c r="C61" s="26" t="str">
        <f aca="false">IF($M61=0,"",OPERATIONS!$A61)</f>
        <v/>
      </c>
      <c r="D61" s="31" t="str">
        <f aca="false">IF($M61=0,"",OPERATIONS!$B61)</f>
        <v/>
      </c>
      <c r="E61" s="26" t="str">
        <f aca="false">IF($M61=0,"","SORTIE")</f>
        <v/>
      </c>
      <c r="F61" s="26" t="str">
        <f aca="false">IF($M61=0,"",OPERATIONS!$C61)</f>
        <v/>
      </c>
      <c r="G61" s="26" t="str">
        <f aca="false">IF($M61=0,"",OPERATIONS!$D61)</f>
        <v/>
      </c>
      <c r="H61" s="26" t="str">
        <f aca="false">IF($G61="","",IFERROR(INDEX(LOT_EXTE,MATCH($G61,LOT_KEY,0)),""))</f>
        <v/>
      </c>
      <c r="I61" s="26" t="str">
        <f aca="false">IF($M61=0,"",OPERATIONS!$E61)</f>
        <v/>
      </c>
      <c r="J61" s="26" t="str">
        <f aca="false">IF($I61="","",IFERROR(INDEX(EMPL_CLASSE,MATCH($I61,EMPL_KEY,0)),""))</f>
        <v/>
      </c>
      <c r="K61" s="26" t="str">
        <f aca="false">IF($M61=0,"",OPERATIONS!$K61)</f>
        <v/>
      </c>
      <c r="L61" s="26" t="str">
        <f aca="false">IF($G61="","",IF(IFERROR(INDEX(LOT_ETAT,MATCH($G61,LOT_KEY,0)),"")="","",INDEX(LOT_ETAT,MATCH($G61,LOT_KEY,0))))</f>
        <v/>
      </c>
      <c r="M61" s="73" t="n">
        <f aca="false">IF(OR(OPERATIONS!$O61=0,OPERATIONS!$C61="RECEPTION",OPERATIONS!$C61="AJUSTEMENT"),0,-OPERATIONS!$G61)</f>
        <v>0</v>
      </c>
      <c r="N61" s="73" t="n">
        <f aca="false">IF($M61=0,0,OPERATIONS!$R61*$M61)</f>
        <v>0</v>
      </c>
      <c r="O61" s="26" t="str">
        <f aca="false">IF($M61=0,"",OPERATIONS!$Q61)</f>
        <v/>
      </c>
      <c r="P61" s="26" t="str">
        <f aca="false">IF($G61="","",IF($G61=R_LOT,COUNTIF($G$5:$G61,R_LOT),""))</f>
        <v/>
      </c>
    </row>
    <row r="62" customFormat="false" ht="15" hidden="false" customHeight="false" outlineLevel="0" collapsed="false">
      <c r="A62" s="28" t="str">
        <f aca="false">IF($M62=0,"",ROW()-4)</f>
        <v/>
      </c>
      <c r="B62" s="26" t="str">
        <f aca="false">IF($M62=0,"","OPERATIONS")</f>
        <v/>
      </c>
      <c r="C62" s="26" t="str">
        <f aca="false">IF($M62=0,"",OPERATIONS!$A62)</f>
        <v/>
      </c>
      <c r="D62" s="31" t="str">
        <f aca="false">IF($M62=0,"",OPERATIONS!$B62)</f>
        <v/>
      </c>
      <c r="E62" s="26" t="str">
        <f aca="false">IF($M62=0,"","SORTIE")</f>
        <v/>
      </c>
      <c r="F62" s="26" t="str">
        <f aca="false">IF($M62=0,"",OPERATIONS!$C62)</f>
        <v/>
      </c>
      <c r="G62" s="26" t="str">
        <f aca="false">IF($M62=0,"",OPERATIONS!$D62)</f>
        <v/>
      </c>
      <c r="H62" s="26" t="str">
        <f aca="false">IF($G62="","",IFERROR(INDEX(LOT_EXTE,MATCH($G62,LOT_KEY,0)),""))</f>
        <v/>
      </c>
      <c r="I62" s="26" t="str">
        <f aca="false">IF($M62=0,"",OPERATIONS!$E62)</f>
        <v/>
      </c>
      <c r="J62" s="26" t="str">
        <f aca="false">IF($I62="","",IFERROR(INDEX(EMPL_CLASSE,MATCH($I62,EMPL_KEY,0)),""))</f>
        <v/>
      </c>
      <c r="K62" s="26" t="str">
        <f aca="false">IF($M62=0,"",OPERATIONS!$K62)</f>
        <v/>
      </c>
      <c r="L62" s="26" t="str">
        <f aca="false">IF($G62="","",IF(IFERROR(INDEX(LOT_ETAT,MATCH($G62,LOT_KEY,0)),"")="","",INDEX(LOT_ETAT,MATCH($G62,LOT_KEY,0))))</f>
        <v/>
      </c>
      <c r="M62" s="73" t="n">
        <f aca="false">IF(OR(OPERATIONS!$O62=0,OPERATIONS!$C62="RECEPTION",OPERATIONS!$C62="AJUSTEMENT"),0,-OPERATIONS!$G62)</f>
        <v>0</v>
      </c>
      <c r="N62" s="73" t="n">
        <f aca="false">IF($M62=0,0,OPERATIONS!$R62*$M62)</f>
        <v>0</v>
      </c>
      <c r="O62" s="26" t="str">
        <f aca="false">IF($M62=0,"",OPERATIONS!$Q62)</f>
        <v/>
      </c>
      <c r="P62" s="26" t="str">
        <f aca="false">IF($G62="","",IF($G62=R_LOT,COUNTIF($G$5:$G62,R_LOT),""))</f>
        <v/>
      </c>
    </row>
    <row r="63" customFormat="false" ht="15" hidden="false" customHeight="false" outlineLevel="0" collapsed="false">
      <c r="A63" s="28" t="str">
        <f aca="false">IF($M63=0,"",ROW()-4)</f>
        <v/>
      </c>
      <c r="B63" s="26" t="str">
        <f aca="false">IF($M63=0,"","OPERATIONS")</f>
        <v/>
      </c>
      <c r="C63" s="26" t="str">
        <f aca="false">IF($M63=0,"",OPERATIONS!$A63)</f>
        <v/>
      </c>
      <c r="D63" s="31" t="str">
        <f aca="false">IF($M63=0,"",OPERATIONS!$B63)</f>
        <v/>
      </c>
      <c r="E63" s="26" t="str">
        <f aca="false">IF($M63=0,"","SORTIE")</f>
        <v/>
      </c>
      <c r="F63" s="26" t="str">
        <f aca="false">IF($M63=0,"",OPERATIONS!$C63)</f>
        <v/>
      </c>
      <c r="G63" s="26" t="str">
        <f aca="false">IF($M63=0,"",OPERATIONS!$D63)</f>
        <v/>
      </c>
      <c r="H63" s="26" t="str">
        <f aca="false">IF($G63="","",IFERROR(INDEX(LOT_EXTE,MATCH($G63,LOT_KEY,0)),""))</f>
        <v/>
      </c>
      <c r="I63" s="26" t="str">
        <f aca="false">IF($M63=0,"",OPERATIONS!$E63)</f>
        <v/>
      </c>
      <c r="J63" s="26" t="str">
        <f aca="false">IF($I63="","",IFERROR(INDEX(EMPL_CLASSE,MATCH($I63,EMPL_KEY,0)),""))</f>
        <v/>
      </c>
      <c r="K63" s="26" t="str">
        <f aca="false">IF($M63=0,"",OPERATIONS!$K63)</f>
        <v/>
      </c>
      <c r="L63" s="26" t="str">
        <f aca="false">IF($G63="","",IF(IFERROR(INDEX(LOT_ETAT,MATCH($G63,LOT_KEY,0)),"")="","",INDEX(LOT_ETAT,MATCH($G63,LOT_KEY,0))))</f>
        <v/>
      </c>
      <c r="M63" s="73" t="n">
        <f aca="false">IF(OR(OPERATIONS!$O63=0,OPERATIONS!$C63="RECEPTION",OPERATIONS!$C63="AJUSTEMENT"),0,-OPERATIONS!$G63)</f>
        <v>0</v>
      </c>
      <c r="N63" s="73" t="n">
        <f aca="false">IF($M63=0,0,OPERATIONS!$R63*$M63)</f>
        <v>0</v>
      </c>
      <c r="O63" s="26" t="str">
        <f aca="false">IF($M63=0,"",OPERATIONS!$Q63)</f>
        <v/>
      </c>
      <c r="P63" s="26" t="str">
        <f aca="false">IF($G63="","",IF($G63=R_LOT,COUNTIF($G$5:$G63,R_LOT),""))</f>
        <v/>
      </c>
    </row>
    <row r="64" customFormat="false" ht="15" hidden="false" customHeight="false" outlineLevel="0" collapsed="false">
      <c r="A64" s="28" t="str">
        <f aca="false">IF($M64=0,"",ROW()-4)</f>
        <v/>
      </c>
      <c r="B64" s="26" t="str">
        <f aca="false">IF($M64=0,"","OPERATIONS")</f>
        <v/>
      </c>
      <c r="C64" s="26" t="str">
        <f aca="false">IF($M64=0,"",OPERATIONS!$A64)</f>
        <v/>
      </c>
      <c r="D64" s="31" t="str">
        <f aca="false">IF($M64=0,"",OPERATIONS!$B64)</f>
        <v/>
      </c>
      <c r="E64" s="26" t="str">
        <f aca="false">IF($M64=0,"","SORTIE")</f>
        <v/>
      </c>
      <c r="F64" s="26" t="str">
        <f aca="false">IF($M64=0,"",OPERATIONS!$C64)</f>
        <v/>
      </c>
      <c r="G64" s="26" t="str">
        <f aca="false">IF($M64=0,"",OPERATIONS!$D64)</f>
        <v/>
      </c>
      <c r="H64" s="26" t="str">
        <f aca="false">IF($G64="","",IFERROR(INDEX(LOT_EXTE,MATCH($G64,LOT_KEY,0)),""))</f>
        <v/>
      </c>
      <c r="I64" s="26" t="str">
        <f aca="false">IF($M64=0,"",OPERATIONS!$E64)</f>
        <v/>
      </c>
      <c r="J64" s="26" t="str">
        <f aca="false">IF($I64="","",IFERROR(INDEX(EMPL_CLASSE,MATCH($I64,EMPL_KEY,0)),""))</f>
        <v/>
      </c>
      <c r="K64" s="26" t="str">
        <f aca="false">IF($M64=0,"",OPERATIONS!$K64)</f>
        <v/>
      </c>
      <c r="L64" s="26" t="str">
        <f aca="false">IF($G64="","",IF(IFERROR(INDEX(LOT_ETAT,MATCH($G64,LOT_KEY,0)),"")="","",INDEX(LOT_ETAT,MATCH($G64,LOT_KEY,0))))</f>
        <v/>
      </c>
      <c r="M64" s="73" t="n">
        <f aca="false">IF(OR(OPERATIONS!$O64=0,OPERATIONS!$C64="RECEPTION",OPERATIONS!$C64="AJUSTEMENT"),0,-OPERATIONS!$G64)</f>
        <v>0</v>
      </c>
      <c r="N64" s="73" t="n">
        <f aca="false">IF($M64=0,0,OPERATIONS!$R64*$M64)</f>
        <v>0</v>
      </c>
      <c r="O64" s="26" t="str">
        <f aca="false">IF($M64=0,"",OPERATIONS!$Q64)</f>
        <v/>
      </c>
      <c r="P64" s="26" t="str">
        <f aca="false">IF($G64="","",IF($G64=R_LOT,COUNTIF($G$5:$G64,R_LOT),""))</f>
        <v/>
      </c>
    </row>
    <row r="65" customFormat="false" ht="15" hidden="false" customHeight="false" outlineLevel="0" collapsed="false">
      <c r="A65" s="28" t="str">
        <f aca="false">IF($M65=0,"",ROW()-4)</f>
        <v/>
      </c>
      <c r="B65" s="26" t="str">
        <f aca="false">IF($M65=0,"","OPERATIONS")</f>
        <v/>
      </c>
      <c r="C65" s="26" t="str">
        <f aca="false">IF($M65=0,"",OPERATIONS!$A65)</f>
        <v/>
      </c>
      <c r="D65" s="31" t="str">
        <f aca="false">IF($M65=0,"",OPERATIONS!$B65)</f>
        <v/>
      </c>
      <c r="E65" s="26" t="str">
        <f aca="false">IF($M65=0,"","SORTIE")</f>
        <v/>
      </c>
      <c r="F65" s="26" t="str">
        <f aca="false">IF($M65=0,"",OPERATIONS!$C65)</f>
        <v/>
      </c>
      <c r="G65" s="26" t="str">
        <f aca="false">IF($M65=0,"",OPERATIONS!$D65)</f>
        <v/>
      </c>
      <c r="H65" s="26" t="str">
        <f aca="false">IF($G65="","",IFERROR(INDEX(LOT_EXTE,MATCH($G65,LOT_KEY,0)),""))</f>
        <v/>
      </c>
      <c r="I65" s="26" t="str">
        <f aca="false">IF($M65=0,"",OPERATIONS!$E65)</f>
        <v/>
      </c>
      <c r="J65" s="26" t="str">
        <f aca="false">IF($I65="","",IFERROR(INDEX(EMPL_CLASSE,MATCH($I65,EMPL_KEY,0)),""))</f>
        <v/>
      </c>
      <c r="K65" s="26" t="str">
        <f aca="false">IF($M65=0,"",OPERATIONS!$K65)</f>
        <v/>
      </c>
      <c r="L65" s="26" t="str">
        <f aca="false">IF($G65="","",IF(IFERROR(INDEX(LOT_ETAT,MATCH($G65,LOT_KEY,0)),"")="","",INDEX(LOT_ETAT,MATCH($G65,LOT_KEY,0))))</f>
        <v/>
      </c>
      <c r="M65" s="73" t="n">
        <f aca="false">IF(OR(OPERATIONS!$O65=0,OPERATIONS!$C65="RECEPTION",OPERATIONS!$C65="AJUSTEMENT"),0,-OPERATIONS!$G65)</f>
        <v>0</v>
      </c>
      <c r="N65" s="73" t="n">
        <f aca="false">IF($M65=0,0,OPERATIONS!$R65*$M65)</f>
        <v>0</v>
      </c>
      <c r="O65" s="26" t="str">
        <f aca="false">IF($M65=0,"",OPERATIONS!$Q65)</f>
        <v/>
      </c>
      <c r="P65" s="26" t="str">
        <f aca="false">IF($G65="","",IF($G65=R_LOT,COUNTIF($G$5:$G65,R_LOT),""))</f>
        <v/>
      </c>
    </row>
    <row r="66" customFormat="false" ht="15" hidden="false" customHeight="false" outlineLevel="0" collapsed="false">
      <c r="A66" s="28" t="str">
        <f aca="false">IF($M66=0,"",ROW()-4)</f>
        <v/>
      </c>
      <c r="B66" s="26" t="str">
        <f aca="false">IF($M66=0,"","OPERATIONS")</f>
        <v/>
      </c>
      <c r="C66" s="26" t="str">
        <f aca="false">IF($M66=0,"",OPERATIONS!$A66)</f>
        <v/>
      </c>
      <c r="D66" s="31" t="str">
        <f aca="false">IF($M66=0,"",OPERATIONS!$B66)</f>
        <v/>
      </c>
      <c r="E66" s="26" t="str">
        <f aca="false">IF($M66=0,"","SORTIE")</f>
        <v/>
      </c>
      <c r="F66" s="26" t="str">
        <f aca="false">IF($M66=0,"",OPERATIONS!$C66)</f>
        <v/>
      </c>
      <c r="G66" s="26" t="str">
        <f aca="false">IF($M66=0,"",OPERATIONS!$D66)</f>
        <v/>
      </c>
      <c r="H66" s="26" t="str">
        <f aca="false">IF($G66="","",IFERROR(INDEX(LOT_EXTE,MATCH($G66,LOT_KEY,0)),""))</f>
        <v/>
      </c>
      <c r="I66" s="26" t="str">
        <f aca="false">IF($M66=0,"",OPERATIONS!$E66)</f>
        <v/>
      </c>
      <c r="J66" s="26" t="str">
        <f aca="false">IF($I66="","",IFERROR(INDEX(EMPL_CLASSE,MATCH($I66,EMPL_KEY,0)),""))</f>
        <v/>
      </c>
      <c r="K66" s="26" t="str">
        <f aca="false">IF($M66=0,"",OPERATIONS!$K66)</f>
        <v/>
      </c>
      <c r="L66" s="26" t="str">
        <f aca="false">IF($G66="","",IF(IFERROR(INDEX(LOT_ETAT,MATCH($G66,LOT_KEY,0)),"")="","",INDEX(LOT_ETAT,MATCH($G66,LOT_KEY,0))))</f>
        <v/>
      </c>
      <c r="M66" s="73" t="n">
        <f aca="false">IF(OR(OPERATIONS!$O66=0,OPERATIONS!$C66="RECEPTION",OPERATIONS!$C66="AJUSTEMENT"),0,-OPERATIONS!$G66)</f>
        <v>0</v>
      </c>
      <c r="N66" s="73" t="n">
        <f aca="false">IF($M66=0,0,OPERATIONS!$R66*$M66)</f>
        <v>0</v>
      </c>
      <c r="O66" s="26" t="str">
        <f aca="false">IF($M66=0,"",OPERATIONS!$Q66)</f>
        <v/>
      </c>
      <c r="P66" s="26" t="str">
        <f aca="false">IF($G66="","",IF($G66=R_LOT,COUNTIF($G$5:$G66,R_LOT),""))</f>
        <v/>
      </c>
    </row>
    <row r="67" customFormat="false" ht="15" hidden="false" customHeight="false" outlineLevel="0" collapsed="false">
      <c r="A67" s="28" t="str">
        <f aca="false">IF($M67=0,"",ROW()-4)</f>
        <v/>
      </c>
      <c r="B67" s="26" t="str">
        <f aca="false">IF($M67=0,"","OPERATIONS")</f>
        <v/>
      </c>
      <c r="C67" s="26" t="str">
        <f aca="false">IF($M67=0,"",OPERATIONS!$A67)</f>
        <v/>
      </c>
      <c r="D67" s="31" t="str">
        <f aca="false">IF($M67=0,"",OPERATIONS!$B67)</f>
        <v/>
      </c>
      <c r="E67" s="26" t="str">
        <f aca="false">IF($M67=0,"","SORTIE")</f>
        <v/>
      </c>
      <c r="F67" s="26" t="str">
        <f aca="false">IF($M67=0,"",OPERATIONS!$C67)</f>
        <v/>
      </c>
      <c r="G67" s="26" t="str">
        <f aca="false">IF($M67=0,"",OPERATIONS!$D67)</f>
        <v/>
      </c>
      <c r="H67" s="26" t="str">
        <f aca="false">IF($G67="","",IFERROR(INDEX(LOT_EXTE,MATCH($G67,LOT_KEY,0)),""))</f>
        <v/>
      </c>
      <c r="I67" s="26" t="str">
        <f aca="false">IF($M67=0,"",OPERATIONS!$E67)</f>
        <v/>
      </c>
      <c r="J67" s="26" t="str">
        <f aca="false">IF($I67="","",IFERROR(INDEX(EMPL_CLASSE,MATCH($I67,EMPL_KEY,0)),""))</f>
        <v/>
      </c>
      <c r="K67" s="26" t="str">
        <f aca="false">IF($M67=0,"",OPERATIONS!$K67)</f>
        <v/>
      </c>
      <c r="L67" s="26" t="str">
        <f aca="false">IF($G67="","",IF(IFERROR(INDEX(LOT_ETAT,MATCH($G67,LOT_KEY,0)),"")="","",INDEX(LOT_ETAT,MATCH($G67,LOT_KEY,0))))</f>
        <v/>
      </c>
      <c r="M67" s="73" t="n">
        <f aca="false">IF(OR(OPERATIONS!$O67=0,OPERATIONS!$C67="RECEPTION",OPERATIONS!$C67="AJUSTEMENT"),0,-OPERATIONS!$G67)</f>
        <v>0</v>
      </c>
      <c r="N67" s="73" t="n">
        <f aca="false">IF($M67=0,0,OPERATIONS!$R67*$M67)</f>
        <v>0</v>
      </c>
      <c r="O67" s="26" t="str">
        <f aca="false">IF($M67=0,"",OPERATIONS!$Q67)</f>
        <v/>
      </c>
      <c r="P67" s="26" t="str">
        <f aca="false">IF($G67="","",IF($G67=R_LOT,COUNTIF($G$5:$G67,R_LOT),""))</f>
        <v/>
      </c>
    </row>
    <row r="68" customFormat="false" ht="15" hidden="false" customHeight="false" outlineLevel="0" collapsed="false">
      <c r="A68" s="28" t="str">
        <f aca="false">IF($M68=0,"",ROW()-4)</f>
        <v/>
      </c>
      <c r="B68" s="26" t="str">
        <f aca="false">IF($M68=0,"","OPERATIONS")</f>
        <v/>
      </c>
      <c r="C68" s="26" t="str">
        <f aca="false">IF($M68=0,"",OPERATIONS!$A68)</f>
        <v/>
      </c>
      <c r="D68" s="31" t="str">
        <f aca="false">IF($M68=0,"",OPERATIONS!$B68)</f>
        <v/>
      </c>
      <c r="E68" s="26" t="str">
        <f aca="false">IF($M68=0,"","SORTIE")</f>
        <v/>
      </c>
      <c r="F68" s="26" t="str">
        <f aca="false">IF($M68=0,"",OPERATIONS!$C68)</f>
        <v/>
      </c>
      <c r="G68" s="26" t="str">
        <f aca="false">IF($M68=0,"",OPERATIONS!$D68)</f>
        <v/>
      </c>
      <c r="H68" s="26" t="str">
        <f aca="false">IF($G68="","",IFERROR(INDEX(LOT_EXTE,MATCH($G68,LOT_KEY,0)),""))</f>
        <v/>
      </c>
      <c r="I68" s="26" t="str">
        <f aca="false">IF($M68=0,"",OPERATIONS!$E68)</f>
        <v/>
      </c>
      <c r="J68" s="26" t="str">
        <f aca="false">IF($I68="","",IFERROR(INDEX(EMPL_CLASSE,MATCH($I68,EMPL_KEY,0)),""))</f>
        <v/>
      </c>
      <c r="K68" s="26" t="str">
        <f aca="false">IF($M68=0,"",OPERATIONS!$K68)</f>
        <v/>
      </c>
      <c r="L68" s="26" t="str">
        <f aca="false">IF($G68="","",IF(IFERROR(INDEX(LOT_ETAT,MATCH($G68,LOT_KEY,0)),"")="","",INDEX(LOT_ETAT,MATCH($G68,LOT_KEY,0))))</f>
        <v/>
      </c>
      <c r="M68" s="73" t="n">
        <f aca="false">IF(OR(OPERATIONS!$O68=0,OPERATIONS!$C68="RECEPTION",OPERATIONS!$C68="AJUSTEMENT"),0,-OPERATIONS!$G68)</f>
        <v>0</v>
      </c>
      <c r="N68" s="73" t="n">
        <f aca="false">IF($M68=0,0,OPERATIONS!$R68*$M68)</f>
        <v>0</v>
      </c>
      <c r="O68" s="26" t="str">
        <f aca="false">IF($M68=0,"",OPERATIONS!$Q68)</f>
        <v/>
      </c>
      <c r="P68" s="26" t="str">
        <f aca="false">IF($G68="","",IF($G68=R_LOT,COUNTIF($G$5:$G68,R_LOT),""))</f>
        <v/>
      </c>
    </row>
    <row r="69" customFormat="false" ht="15" hidden="false" customHeight="false" outlineLevel="0" collapsed="false">
      <c r="A69" s="28" t="str">
        <f aca="false">IF($M69=0,"",ROW()-4)</f>
        <v/>
      </c>
      <c r="B69" s="26" t="str">
        <f aca="false">IF($M69=0,"","OPERATIONS")</f>
        <v/>
      </c>
      <c r="C69" s="26" t="str">
        <f aca="false">IF($M69=0,"",OPERATIONS!$A69)</f>
        <v/>
      </c>
      <c r="D69" s="31" t="str">
        <f aca="false">IF($M69=0,"",OPERATIONS!$B69)</f>
        <v/>
      </c>
      <c r="E69" s="26" t="str">
        <f aca="false">IF($M69=0,"","SORTIE")</f>
        <v/>
      </c>
      <c r="F69" s="26" t="str">
        <f aca="false">IF($M69=0,"",OPERATIONS!$C69)</f>
        <v/>
      </c>
      <c r="G69" s="26" t="str">
        <f aca="false">IF($M69=0,"",OPERATIONS!$D69)</f>
        <v/>
      </c>
      <c r="H69" s="26" t="str">
        <f aca="false">IF($G69="","",IFERROR(INDEX(LOT_EXTE,MATCH($G69,LOT_KEY,0)),""))</f>
        <v/>
      </c>
      <c r="I69" s="26" t="str">
        <f aca="false">IF($M69=0,"",OPERATIONS!$E69)</f>
        <v/>
      </c>
      <c r="J69" s="26" t="str">
        <f aca="false">IF($I69="","",IFERROR(INDEX(EMPL_CLASSE,MATCH($I69,EMPL_KEY,0)),""))</f>
        <v/>
      </c>
      <c r="K69" s="26" t="str">
        <f aca="false">IF($M69=0,"",OPERATIONS!$K69)</f>
        <v/>
      </c>
      <c r="L69" s="26" t="str">
        <f aca="false">IF($G69="","",IF(IFERROR(INDEX(LOT_ETAT,MATCH($G69,LOT_KEY,0)),"")="","",INDEX(LOT_ETAT,MATCH($G69,LOT_KEY,0))))</f>
        <v/>
      </c>
      <c r="M69" s="73" t="n">
        <f aca="false">IF(OR(OPERATIONS!$O69=0,OPERATIONS!$C69="RECEPTION",OPERATIONS!$C69="AJUSTEMENT"),0,-OPERATIONS!$G69)</f>
        <v>0</v>
      </c>
      <c r="N69" s="73" t="n">
        <f aca="false">IF($M69=0,0,OPERATIONS!$R69*$M69)</f>
        <v>0</v>
      </c>
      <c r="O69" s="26" t="str">
        <f aca="false">IF($M69=0,"",OPERATIONS!$Q69)</f>
        <v/>
      </c>
      <c r="P69" s="26" t="str">
        <f aca="false">IF($G69="","",IF($G69=R_LOT,COUNTIF($G$5:$G69,R_LOT),""))</f>
        <v/>
      </c>
    </row>
    <row r="70" customFormat="false" ht="15" hidden="false" customHeight="false" outlineLevel="0" collapsed="false">
      <c r="A70" s="28" t="str">
        <f aca="false">IF($M70=0,"",ROW()-4)</f>
        <v/>
      </c>
      <c r="B70" s="26" t="str">
        <f aca="false">IF($M70=0,"","OPERATIONS")</f>
        <v/>
      </c>
      <c r="C70" s="26" t="str">
        <f aca="false">IF($M70=0,"",OPERATIONS!$A70)</f>
        <v/>
      </c>
      <c r="D70" s="31" t="str">
        <f aca="false">IF($M70=0,"",OPERATIONS!$B70)</f>
        <v/>
      </c>
      <c r="E70" s="26" t="str">
        <f aca="false">IF($M70=0,"","SORTIE")</f>
        <v/>
      </c>
      <c r="F70" s="26" t="str">
        <f aca="false">IF($M70=0,"",OPERATIONS!$C70)</f>
        <v/>
      </c>
      <c r="G70" s="26" t="str">
        <f aca="false">IF($M70=0,"",OPERATIONS!$D70)</f>
        <v/>
      </c>
      <c r="H70" s="26" t="str">
        <f aca="false">IF($G70="","",IFERROR(INDEX(LOT_EXTE,MATCH($G70,LOT_KEY,0)),""))</f>
        <v/>
      </c>
      <c r="I70" s="26" t="str">
        <f aca="false">IF($M70=0,"",OPERATIONS!$E70)</f>
        <v/>
      </c>
      <c r="J70" s="26" t="str">
        <f aca="false">IF($I70="","",IFERROR(INDEX(EMPL_CLASSE,MATCH($I70,EMPL_KEY,0)),""))</f>
        <v/>
      </c>
      <c r="K70" s="26" t="str">
        <f aca="false">IF($M70=0,"",OPERATIONS!$K70)</f>
        <v/>
      </c>
      <c r="L70" s="26" t="str">
        <f aca="false">IF($G70="","",IF(IFERROR(INDEX(LOT_ETAT,MATCH($G70,LOT_KEY,0)),"")="","",INDEX(LOT_ETAT,MATCH($G70,LOT_KEY,0))))</f>
        <v/>
      </c>
      <c r="M70" s="73" t="n">
        <f aca="false">IF(OR(OPERATIONS!$O70=0,OPERATIONS!$C70="RECEPTION",OPERATIONS!$C70="AJUSTEMENT"),0,-OPERATIONS!$G70)</f>
        <v>0</v>
      </c>
      <c r="N70" s="73" t="n">
        <f aca="false">IF($M70=0,0,OPERATIONS!$R70*$M70)</f>
        <v>0</v>
      </c>
      <c r="O70" s="26" t="str">
        <f aca="false">IF($M70=0,"",OPERATIONS!$Q70)</f>
        <v/>
      </c>
      <c r="P70" s="26" t="str">
        <f aca="false">IF($G70="","",IF($G70=R_LOT,COUNTIF($G$5:$G70,R_LOT),""))</f>
        <v/>
      </c>
    </row>
    <row r="71" customFormat="false" ht="15" hidden="false" customHeight="false" outlineLevel="0" collapsed="false">
      <c r="A71" s="28" t="str">
        <f aca="false">IF($M71=0,"",ROW()-4)</f>
        <v/>
      </c>
      <c r="B71" s="26" t="str">
        <f aca="false">IF($M71=0,"","OPERATIONS")</f>
        <v/>
      </c>
      <c r="C71" s="26" t="str">
        <f aca="false">IF($M71=0,"",OPERATIONS!$A71)</f>
        <v/>
      </c>
      <c r="D71" s="31" t="str">
        <f aca="false">IF($M71=0,"",OPERATIONS!$B71)</f>
        <v/>
      </c>
      <c r="E71" s="26" t="str">
        <f aca="false">IF($M71=0,"","SORTIE")</f>
        <v/>
      </c>
      <c r="F71" s="26" t="str">
        <f aca="false">IF($M71=0,"",OPERATIONS!$C71)</f>
        <v/>
      </c>
      <c r="G71" s="26" t="str">
        <f aca="false">IF($M71=0,"",OPERATIONS!$D71)</f>
        <v/>
      </c>
      <c r="H71" s="26" t="str">
        <f aca="false">IF($G71="","",IFERROR(INDEX(LOT_EXTE,MATCH($G71,LOT_KEY,0)),""))</f>
        <v/>
      </c>
      <c r="I71" s="26" t="str">
        <f aca="false">IF($M71=0,"",OPERATIONS!$E71)</f>
        <v/>
      </c>
      <c r="J71" s="26" t="str">
        <f aca="false">IF($I71="","",IFERROR(INDEX(EMPL_CLASSE,MATCH($I71,EMPL_KEY,0)),""))</f>
        <v/>
      </c>
      <c r="K71" s="26" t="str">
        <f aca="false">IF($M71=0,"",OPERATIONS!$K71)</f>
        <v/>
      </c>
      <c r="L71" s="26" t="str">
        <f aca="false">IF($G71="","",IF(IFERROR(INDEX(LOT_ETAT,MATCH($G71,LOT_KEY,0)),"")="","",INDEX(LOT_ETAT,MATCH($G71,LOT_KEY,0))))</f>
        <v/>
      </c>
      <c r="M71" s="73" t="n">
        <f aca="false">IF(OR(OPERATIONS!$O71=0,OPERATIONS!$C71="RECEPTION",OPERATIONS!$C71="AJUSTEMENT"),0,-OPERATIONS!$G71)</f>
        <v>0</v>
      </c>
      <c r="N71" s="73" t="n">
        <f aca="false">IF($M71=0,0,OPERATIONS!$R71*$M71)</f>
        <v>0</v>
      </c>
      <c r="O71" s="26" t="str">
        <f aca="false">IF($M71=0,"",OPERATIONS!$Q71)</f>
        <v/>
      </c>
      <c r="P71" s="26" t="str">
        <f aca="false">IF($G71="","",IF($G71=R_LOT,COUNTIF($G$5:$G71,R_LOT),""))</f>
        <v/>
      </c>
    </row>
    <row r="72" customFormat="false" ht="15" hidden="false" customHeight="false" outlineLevel="0" collapsed="false">
      <c r="A72" s="28" t="str">
        <f aca="false">IF($M72=0,"",ROW()-4)</f>
        <v/>
      </c>
      <c r="B72" s="26" t="str">
        <f aca="false">IF($M72=0,"","OPERATIONS")</f>
        <v/>
      </c>
      <c r="C72" s="26" t="str">
        <f aca="false">IF($M72=0,"",OPERATIONS!$A72)</f>
        <v/>
      </c>
      <c r="D72" s="31" t="str">
        <f aca="false">IF($M72=0,"",OPERATIONS!$B72)</f>
        <v/>
      </c>
      <c r="E72" s="26" t="str">
        <f aca="false">IF($M72=0,"","SORTIE")</f>
        <v/>
      </c>
      <c r="F72" s="26" t="str">
        <f aca="false">IF($M72=0,"",OPERATIONS!$C72)</f>
        <v/>
      </c>
      <c r="G72" s="26" t="str">
        <f aca="false">IF($M72=0,"",OPERATIONS!$D72)</f>
        <v/>
      </c>
      <c r="H72" s="26" t="str">
        <f aca="false">IF($G72="","",IFERROR(INDEX(LOT_EXTE,MATCH($G72,LOT_KEY,0)),""))</f>
        <v/>
      </c>
      <c r="I72" s="26" t="str">
        <f aca="false">IF($M72=0,"",OPERATIONS!$E72)</f>
        <v/>
      </c>
      <c r="J72" s="26" t="str">
        <f aca="false">IF($I72="","",IFERROR(INDEX(EMPL_CLASSE,MATCH($I72,EMPL_KEY,0)),""))</f>
        <v/>
      </c>
      <c r="K72" s="26" t="str">
        <f aca="false">IF($M72=0,"",OPERATIONS!$K72)</f>
        <v/>
      </c>
      <c r="L72" s="26" t="str">
        <f aca="false">IF($G72="","",IF(IFERROR(INDEX(LOT_ETAT,MATCH($G72,LOT_KEY,0)),"")="","",INDEX(LOT_ETAT,MATCH($G72,LOT_KEY,0))))</f>
        <v/>
      </c>
      <c r="M72" s="73" t="n">
        <f aca="false">IF(OR(OPERATIONS!$O72=0,OPERATIONS!$C72="RECEPTION",OPERATIONS!$C72="AJUSTEMENT"),0,-OPERATIONS!$G72)</f>
        <v>0</v>
      </c>
      <c r="N72" s="73" t="n">
        <f aca="false">IF($M72=0,0,OPERATIONS!$R72*$M72)</f>
        <v>0</v>
      </c>
      <c r="O72" s="26" t="str">
        <f aca="false">IF($M72=0,"",OPERATIONS!$Q72)</f>
        <v/>
      </c>
      <c r="P72" s="26" t="str">
        <f aca="false">IF($G72="","",IF($G72=R_LOT,COUNTIF($G$5:$G72,R_LOT),""))</f>
        <v/>
      </c>
    </row>
    <row r="73" customFormat="false" ht="15" hidden="false" customHeight="false" outlineLevel="0" collapsed="false">
      <c r="A73" s="28" t="str">
        <f aca="false">IF($M73=0,"",ROW()-4)</f>
        <v/>
      </c>
      <c r="B73" s="26" t="str">
        <f aca="false">IF($M73=0,"","OPERATIONS")</f>
        <v/>
      </c>
      <c r="C73" s="26" t="str">
        <f aca="false">IF($M73=0,"",OPERATIONS!$A73)</f>
        <v/>
      </c>
      <c r="D73" s="31" t="str">
        <f aca="false">IF($M73=0,"",OPERATIONS!$B73)</f>
        <v/>
      </c>
      <c r="E73" s="26" t="str">
        <f aca="false">IF($M73=0,"","SORTIE")</f>
        <v/>
      </c>
      <c r="F73" s="26" t="str">
        <f aca="false">IF($M73=0,"",OPERATIONS!$C73)</f>
        <v/>
      </c>
      <c r="G73" s="26" t="str">
        <f aca="false">IF($M73=0,"",OPERATIONS!$D73)</f>
        <v/>
      </c>
      <c r="H73" s="26" t="str">
        <f aca="false">IF($G73="","",IFERROR(INDEX(LOT_EXTE,MATCH($G73,LOT_KEY,0)),""))</f>
        <v/>
      </c>
      <c r="I73" s="26" t="str">
        <f aca="false">IF($M73=0,"",OPERATIONS!$E73)</f>
        <v/>
      </c>
      <c r="J73" s="26" t="str">
        <f aca="false">IF($I73="","",IFERROR(INDEX(EMPL_CLASSE,MATCH($I73,EMPL_KEY,0)),""))</f>
        <v/>
      </c>
      <c r="K73" s="26" t="str">
        <f aca="false">IF($M73=0,"",OPERATIONS!$K73)</f>
        <v/>
      </c>
      <c r="L73" s="26" t="str">
        <f aca="false">IF($G73="","",IF(IFERROR(INDEX(LOT_ETAT,MATCH($G73,LOT_KEY,0)),"")="","",INDEX(LOT_ETAT,MATCH($G73,LOT_KEY,0))))</f>
        <v/>
      </c>
      <c r="M73" s="73" t="n">
        <f aca="false">IF(OR(OPERATIONS!$O73=0,OPERATIONS!$C73="RECEPTION",OPERATIONS!$C73="AJUSTEMENT"),0,-OPERATIONS!$G73)</f>
        <v>0</v>
      </c>
      <c r="N73" s="73" t="n">
        <f aca="false">IF($M73=0,0,OPERATIONS!$R73*$M73)</f>
        <v>0</v>
      </c>
      <c r="O73" s="26" t="str">
        <f aca="false">IF($M73=0,"",OPERATIONS!$Q73)</f>
        <v/>
      </c>
      <c r="P73" s="26" t="str">
        <f aca="false">IF($G73="","",IF($G73=R_LOT,COUNTIF($G$5:$G73,R_LOT),""))</f>
        <v/>
      </c>
    </row>
    <row r="74" customFormat="false" ht="15" hidden="false" customHeight="false" outlineLevel="0" collapsed="false">
      <c r="A74" s="28" t="str">
        <f aca="false">IF($M74=0,"",ROW()-4)</f>
        <v/>
      </c>
      <c r="B74" s="26" t="str">
        <f aca="false">IF($M74=0,"","OPERATIONS")</f>
        <v/>
      </c>
      <c r="C74" s="26" t="str">
        <f aca="false">IF($M74=0,"",OPERATIONS!$A74)</f>
        <v/>
      </c>
      <c r="D74" s="31" t="str">
        <f aca="false">IF($M74=0,"",OPERATIONS!$B74)</f>
        <v/>
      </c>
      <c r="E74" s="26" t="str">
        <f aca="false">IF($M74=0,"","SORTIE")</f>
        <v/>
      </c>
      <c r="F74" s="26" t="str">
        <f aca="false">IF($M74=0,"",OPERATIONS!$C74)</f>
        <v/>
      </c>
      <c r="G74" s="26" t="str">
        <f aca="false">IF($M74=0,"",OPERATIONS!$D74)</f>
        <v/>
      </c>
      <c r="H74" s="26" t="str">
        <f aca="false">IF($G74="","",IFERROR(INDEX(LOT_EXTE,MATCH($G74,LOT_KEY,0)),""))</f>
        <v/>
      </c>
      <c r="I74" s="26" t="str">
        <f aca="false">IF($M74=0,"",OPERATIONS!$E74)</f>
        <v/>
      </c>
      <c r="J74" s="26" t="str">
        <f aca="false">IF($I74="","",IFERROR(INDEX(EMPL_CLASSE,MATCH($I74,EMPL_KEY,0)),""))</f>
        <v/>
      </c>
      <c r="K74" s="26" t="str">
        <f aca="false">IF($M74=0,"",OPERATIONS!$K74)</f>
        <v/>
      </c>
      <c r="L74" s="26" t="str">
        <f aca="false">IF($G74="","",IF(IFERROR(INDEX(LOT_ETAT,MATCH($G74,LOT_KEY,0)),"")="","",INDEX(LOT_ETAT,MATCH($G74,LOT_KEY,0))))</f>
        <v/>
      </c>
      <c r="M74" s="73" t="n">
        <f aca="false">IF(OR(OPERATIONS!$O74=0,OPERATIONS!$C74="RECEPTION",OPERATIONS!$C74="AJUSTEMENT"),0,-OPERATIONS!$G74)</f>
        <v>0</v>
      </c>
      <c r="N74" s="73" t="n">
        <f aca="false">IF($M74=0,0,OPERATIONS!$R74*$M74)</f>
        <v>0</v>
      </c>
      <c r="O74" s="26" t="str">
        <f aca="false">IF($M74=0,"",OPERATIONS!$Q74)</f>
        <v/>
      </c>
      <c r="P74" s="26" t="str">
        <f aca="false">IF($G74="","",IF($G74=R_LOT,COUNTIF($G$5:$G74,R_LOT),""))</f>
        <v/>
      </c>
    </row>
    <row r="75" customFormat="false" ht="15" hidden="false" customHeight="false" outlineLevel="0" collapsed="false">
      <c r="A75" s="28" t="str">
        <f aca="false">IF($M75=0,"",ROW()-4)</f>
        <v/>
      </c>
      <c r="B75" s="26" t="str">
        <f aca="false">IF($M75=0,"","OPERATIONS")</f>
        <v/>
      </c>
      <c r="C75" s="26" t="str">
        <f aca="false">IF($M75=0,"",OPERATIONS!$A75)</f>
        <v/>
      </c>
      <c r="D75" s="31" t="str">
        <f aca="false">IF($M75=0,"",OPERATIONS!$B75)</f>
        <v/>
      </c>
      <c r="E75" s="26" t="str">
        <f aca="false">IF($M75=0,"","SORTIE")</f>
        <v/>
      </c>
      <c r="F75" s="26" t="str">
        <f aca="false">IF($M75=0,"",OPERATIONS!$C75)</f>
        <v/>
      </c>
      <c r="G75" s="26" t="str">
        <f aca="false">IF($M75=0,"",OPERATIONS!$D75)</f>
        <v/>
      </c>
      <c r="H75" s="26" t="str">
        <f aca="false">IF($G75="","",IFERROR(INDEX(LOT_EXTE,MATCH($G75,LOT_KEY,0)),""))</f>
        <v/>
      </c>
      <c r="I75" s="26" t="str">
        <f aca="false">IF($M75=0,"",OPERATIONS!$E75)</f>
        <v/>
      </c>
      <c r="J75" s="26" t="str">
        <f aca="false">IF($I75="","",IFERROR(INDEX(EMPL_CLASSE,MATCH($I75,EMPL_KEY,0)),""))</f>
        <v/>
      </c>
      <c r="K75" s="26" t="str">
        <f aca="false">IF($M75=0,"",OPERATIONS!$K75)</f>
        <v/>
      </c>
      <c r="L75" s="26" t="str">
        <f aca="false">IF($G75="","",IF(IFERROR(INDEX(LOT_ETAT,MATCH($G75,LOT_KEY,0)),"")="","",INDEX(LOT_ETAT,MATCH($G75,LOT_KEY,0))))</f>
        <v/>
      </c>
      <c r="M75" s="73" t="n">
        <f aca="false">IF(OR(OPERATIONS!$O75=0,OPERATIONS!$C75="RECEPTION",OPERATIONS!$C75="AJUSTEMENT"),0,-OPERATIONS!$G75)</f>
        <v>0</v>
      </c>
      <c r="N75" s="73" t="n">
        <f aca="false">IF($M75=0,0,OPERATIONS!$R75*$M75)</f>
        <v>0</v>
      </c>
      <c r="O75" s="26" t="str">
        <f aca="false">IF($M75=0,"",OPERATIONS!$Q75)</f>
        <v/>
      </c>
      <c r="P75" s="26" t="str">
        <f aca="false">IF($G75="","",IF($G75=R_LOT,COUNTIF($G$5:$G75,R_LOT),""))</f>
        <v/>
      </c>
    </row>
    <row r="76" customFormat="false" ht="15" hidden="false" customHeight="false" outlineLevel="0" collapsed="false">
      <c r="A76" s="28" t="str">
        <f aca="false">IF($M76=0,"",ROW()-4)</f>
        <v/>
      </c>
      <c r="B76" s="26" t="str">
        <f aca="false">IF($M76=0,"","OPERATIONS")</f>
        <v/>
      </c>
      <c r="C76" s="26" t="str">
        <f aca="false">IF($M76=0,"",OPERATIONS!$A76)</f>
        <v/>
      </c>
      <c r="D76" s="31" t="str">
        <f aca="false">IF($M76=0,"",OPERATIONS!$B76)</f>
        <v/>
      </c>
      <c r="E76" s="26" t="str">
        <f aca="false">IF($M76=0,"","SORTIE")</f>
        <v/>
      </c>
      <c r="F76" s="26" t="str">
        <f aca="false">IF($M76=0,"",OPERATIONS!$C76)</f>
        <v/>
      </c>
      <c r="G76" s="26" t="str">
        <f aca="false">IF($M76=0,"",OPERATIONS!$D76)</f>
        <v/>
      </c>
      <c r="H76" s="26" t="str">
        <f aca="false">IF($G76="","",IFERROR(INDEX(LOT_EXTE,MATCH($G76,LOT_KEY,0)),""))</f>
        <v/>
      </c>
      <c r="I76" s="26" t="str">
        <f aca="false">IF($M76=0,"",OPERATIONS!$E76)</f>
        <v/>
      </c>
      <c r="J76" s="26" t="str">
        <f aca="false">IF($I76="","",IFERROR(INDEX(EMPL_CLASSE,MATCH($I76,EMPL_KEY,0)),""))</f>
        <v/>
      </c>
      <c r="K76" s="26" t="str">
        <f aca="false">IF($M76=0,"",OPERATIONS!$K76)</f>
        <v/>
      </c>
      <c r="L76" s="26" t="str">
        <f aca="false">IF($G76="","",IF(IFERROR(INDEX(LOT_ETAT,MATCH($G76,LOT_KEY,0)),"")="","",INDEX(LOT_ETAT,MATCH($G76,LOT_KEY,0))))</f>
        <v/>
      </c>
      <c r="M76" s="73" t="n">
        <f aca="false">IF(OR(OPERATIONS!$O76=0,OPERATIONS!$C76="RECEPTION",OPERATIONS!$C76="AJUSTEMENT"),0,-OPERATIONS!$G76)</f>
        <v>0</v>
      </c>
      <c r="N76" s="73" t="n">
        <f aca="false">IF($M76=0,0,OPERATIONS!$R76*$M76)</f>
        <v>0</v>
      </c>
      <c r="O76" s="26" t="str">
        <f aca="false">IF($M76=0,"",OPERATIONS!$Q76)</f>
        <v/>
      </c>
      <c r="P76" s="26" t="str">
        <f aca="false">IF($G76="","",IF($G76=R_LOT,COUNTIF($G$5:$G76,R_LOT),""))</f>
        <v/>
      </c>
    </row>
    <row r="77" customFormat="false" ht="15" hidden="false" customHeight="false" outlineLevel="0" collapsed="false">
      <c r="A77" s="28" t="str">
        <f aca="false">IF($M77=0,"",ROW()-4)</f>
        <v/>
      </c>
      <c r="B77" s="26" t="str">
        <f aca="false">IF($M77=0,"","OPERATIONS")</f>
        <v/>
      </c>
      <c r="C77" s="26" t="str">
        <f aca="false">IF($M77=0,"",OPERATIONS!$A77)</f>
        <v/>
      </c>
      <c r="D77" s="31" t="str">
        <f aca="false">IF($M77=0,"",OPERATIONS!$B77)</f>
        <v/>
      </c>
      <c r="E77" s="26" t="str">
        <f aca="false">IF($M77=0,"","SORTIE")</f>
        <v/>
      </c>
      <c r="F77" s="26" t="str">
        <f aca="false">IF($M77=0,"",OPERATIONS!$C77)</f>
        <v/>
      </c>
      <c r="G77" s="26" t="str">
        <f aca="false">IF($M77=0,"",OPERATIONS!$D77)</f>
        <v/>
      </c>
      <c r="H77" s="26" t="str">
        <f aca="false">IF($G77="","",IFERROR(INDEX(LOT_EXTE,MATCH($G77,LOT_KEY,0)),""))</f>
        <v/>
      </c>
      <c r="I77" s="26" t="str">
        <f aca="false">IF($M77=0,"",OPERATIONS!$E77)</f>
        <v/>
      </c>
      <c r="J77" s="26" t="str">
        <f aca="false">IF($I77="","",IFERROR(INDEX(EMPL_CLASSE,MATCH($I77,EMPL_KEY,0)),""))</f>
        <v/>
      </c>
      <c r="K77" s="26" t="str">
        <f aca="false">IF($M77=0,"",OPERATIONS!$K77)</f>
        <v/>
      </c>
      <c r="L77" s="26" t="str">
        <f aca="false">IF($G77="","",IF(IFERROR(INDEX(LOT_ETAT,MATCH($G77,LOT_KEY,0)),"")="","",INDEX(LOT_ETAT,MATCH($G77,LOT_KEY,0))))</f>
        <v/>
      </c>
      <c r="M77" s="73" t="n">
        <f aca="false">IF(OR(OPERATIONS!$O77=0,OPERATIONS!$C77="RECEPTION",OPERATIONS!$C77="AJUSTEMENT"),0,-OPERATIONS!$G77)</f>
        <v>0</v>
      </c>
      <c r="N77" s="73" t="n">
        <f aca="false">IF($M77=0,0,OPERATIONS!$R77*$M77)</f>
        <v>0</v>
      </c>
      <c r="O77" s="26" t="str">
        <f aca="false">IF($M77=0,"",OPERATIONS!$Q77)</f>
        <v/>
      </c>
      <c r="P77" s="26" t="str">
        <f aca="false">IF($G77="","",IF($G77=R_LOT,COUNTIF($G$5:$G77,R_LOT),""))</f>
        <v/>
      </c>
    </row>
    <row r="78" customFormat="false" ht="15" hidden="false" customHeight="false" outlineLevel="0" collapsed="false">
      <c r="A78" s="28" t="str">
        <f aca="false">IF($M78=0,"",ROW()-4)</f>
        <v/>
      </c>
      <c r="B78" s="26" t="str">
        <f aca="false">IF($M78=0,"","OPERATIONS")</f>
        <v/>
      </c>
      <c r="C78" s="26" t="str">
        <f aca="false">IF($M78=0,"",OPERATIONS!$A78)</f>
        <v/>
      </c>
      <c r="D78" s="31" t="str">
        <f aca="false">IF($M78=0,"",OPERATIONS!$B78)</f>
        <v/>
      </c>
      <c r="E78" s="26" t="str">
        <f aca="false">IF($M78=0,"","SORTIE")</f>
        <v/>
      </c>
      <c r="F78" s="26" t="str">
        <f aca="false">IF($M78=0,"",OPERATIONS!$C78)</f>
        <v/>
      </c>
      <c r="G78" s="26" t="str">
        <f aca="false">IF($M78=0,"",OPERATIONS!$D78)</f>
        <v/>
      </c>
      <c r="H78" s="26" t="str">
        <f aca="false">IF($G78="","",IFERROR(INDEX(LOT_EXTE,MATCH($G78,LOT_KEY,0)),""))</f>
        <v/>
      </c>
      <c r="I78" s="26" t="str">
        <f aca="false">IF($M78=0,"",OPERATIONS!$E78)</f>
        <v/>
      </c>
      <c r="J78" s="26" t="str">
        <f aca="false">IF($I78="","",IFERROR(INDEX(EMPL_CLASSE,MATCH($I78,EMPL_KEY,0)),""))</f>
        <v/>
      </c>
      <c r="K78" s="26" t="str">
        <f aca="false">IF($M78=0,"",OPERATIONS!$K78)</f>
        <v/>
      </c>
      <c r="L78" s="26" t="str">
        <f aca="false">IF($G78="","",IF(IFERROR(INDEX(LOT_ETAT,MATCH($G78,LOT_KEY,0)),"")="","",INDEX(LOT_ETAT,MATCH($G78,LOT_KEY,0))))</f>
        <v/>
      </c>
      <c r="M78" s="73" t="n">
        <f aca="false">IF(OR(OPERATIONS!$O78=0,OPERATIONS!$C78="RECEPTION",OPERATIONS!$C78="AJUSTEMENT"),0,-OPERATIONS!$G78)</f>
        <v>0</v>
      </c>
      <c r="N78" s="73" t="n">
        <f aca="false">IF($M78=0,0,OPERATIONS!$R78*$M78)</f>
        <v>0</v>
      </c>
      <c r="O78" s="26" t="str">
        <f aca="false">IF($M78=0,"",OPERATIONS!$Q78)</f>
        <v/>
      </c>
      <c r="P78" s="26" t="str">
        <f aca="false">IF($G78="","",IF($G78=R_LOT,COUNTIF($G$5:$G78,R_LOT),""))</f>
        <v/>
      </c>
    </row>
    <row r="79" customFormat="false" ht="15" hidden="false" customHeight="false" outlineLevel="0" collapsed="false">
      <c r="A79" s="28" t="str">
        <f aca="false">IF($M79=0,"",ROW()-4)</f>
        <v/>
      </c>
      <c r="B79" s="26" t="str">
        <f aca="false">IF($M79=0,"","OPERATIONS")</f>
        <v/>
      </c>
      <c r="C79" s="26" t="str">
        <f aca="false">IF($M79=0,"",OPERATIONS!$A79)</f>
        <v/>
      </c>
      <c r="D79" s="31" t="str">
        <f aca="false">IF($M79=0,"",OPERATIONS!$B79)</f>
        <v/>
      </c>
      <c r="E79" s="26" t="str">
        <f aca="false">IF($M79=0,"","SORTIE")</f>
        <v/>
      </c>
      <c r="F79" s="26" t="str">
        <f aca="false">IF($M79=0,"",OPERATIONS!$C79)</f>
        <v/>
      </c>
      <c r="G79" s="26" t="str">
        <f aca="false">IF($M79=0,"",OPERATIONS!$D79)</f>
        <v/>
      </c>
      <c r="H79" s="26" t="str">
        <f aca="false">IF($G79="","",IFERROR(INDEX(LOT_EXTE,MATCH($G79,LOT_KEY,0)),""))</f>
        <v/>
      </c>
      <c r="I79" s="26" t="str">
        <f aca="false">IF($M79=0,"",OPERATIONS!$E79)</f>
        <v/>
      </c>
      <c r="J79" s="26" t="str">
        <f aca="false">IF($I79="","",IFERROR(INDEX(EMPL_CLASSE,MATCH($I79,EMPL_KEY,0)),""))</f>
        <v/>
      </c>
      <c r="K79" s="26" t="str">
        <f aca="false">IF($M79=0,"",OPERATIONS!$K79)</f>
        <v/>
      </c>
      <c r="L79" s="26" t="str">
        <f aca="false">IF($G79="","",IF(IFERROR(INDEX(LOT_ETAT,MATCH($G79,LOT_KEY,0)),"")="","",INDEX(LOT_ETAT,MATCH($G79,LOT_KEY,0))))</f>
        <v/>
      </c>
      <c r="M79" s="73" t="n">
        <f aca="false">IF(OR(OPERATIONS!$O79=0,OPERATIONS!$C79="RECEPTION",OPERATIONS!$C79="AJUSTEMENT"),0,-OPERATIONS!$G79)</f>
        <v>0</v>
      </c>
      <c r="N79" s="73" t="n">
        <f aca="false">IF($M79=0,0,OPERATIONS!$R79*$M79)</f>
        <v>0</v>
      </c>
      <c r="O79" s="26" t="str">
        <f aca="false">IF($M79=0,"",OPERATIONS!$Q79)</f>
        <v/>
      </c>
      <c r="P79" s="26" t="str">
        <f aca="false">IF($G79="","",IF($G79=R_LOT,COUNTIF($G$5:$G79,R_LOT),""))</f>
        <v/>
      </c>
    </row>
    <row r="80" customFormat="false" ht="15" hidden="false" customHeight="false" outlineLevel="0" collapsed="false">
      <c r="A80" s="28" t="str">
        <f aca="false">IF($M80=0,"",ROW()-4)</f>
        <v/>
      </c>
      <c r="B80" s="26" t="str">
        <f aca="false">IF($M80=0,"","OPERATIONS")</f>
        <v/>
      </c>
      <c r="C80" s="26" t="str">
        <f aca="false">IF($M80=0,"",OPERATIONS!$A80)</f>
        <v/>
      </c>
      <c r="D80" s="31" t="str">
        <f aca="false">IF($M80=0,"",OPERATIONS!$B80)</f>
        <v/>
      </c>
      <c r="E80" s="26" t="str">
        <f aca="false">IF($M80=0,"","SORTIE")</f>
        <v/>
      </c>
      <c r="F80" s="26" t="str">
        <f aca="false">IF($M80=0,"",OPERATIONS!$C80)</f>
        <v/>
      </c>
      <c r="G80" s="26" t="str">
        <f aca="false">IF($M80=0,"",OPERATIONS!$D80)</f>
        <v/>
      </c>
      <c r="H80" s="26" t="str">
        <f aca="false">IF($G80="","",IFERROR(INDEX(LOT_EXTE,MATCH($G80,LOT_KEY,0)),""))</f>
        <v/>
      </c>
      <c r="I80" s="26" t="str">
        <f aca="false">IF($M80=0,"",OPERATIONS!$E80)</f>
        <v/>
      </c>
      <c r="J80" s="26" t="str">
        <f aca="false">IF($I80="","",IFERROR(INDEX(EMPL_CLASSE,MATCH($I80,EMPL_KEY,0)),""))</f>
        <v/>
      </c>
      <c r="K80" s="26" t="str">
        <f aca="false">IF($M80=0,"",OPERATIONS!$K80)</f>
        <v/>
      </c>
      <c r="L80" s="26" t="str">
        <f aca="false">IF($G80="","",IF(IFERROR(INDEX(LOT_ETAT,MATCH($G80,LOT_KEY,0)),"")="","",INDEX(LOT_ETAT,MATCH($G80,LOT_KEY,0))))</f>
        <v/>
      </c>
      <c r="M80" s="73" t="n">
        <f aca="false">IF(OR(OPERATIONS!$O80=0,OPERATIONS!$C80="RECEPTION",OPERATIONS!$C80="AJUSTEMENT"),0,-OPERATIONS!$G80)</f>
        <v>0</v>
      </c>
      <c r="N80" s="73" t="n">
        <f aca="false">IF($M80=0,0,OPERATIONS!$R80*$M80)</f>
        <v>0</v>
      </c>
      <c r="O80" s="26" t="str">
        <f aca="false">IF($M80=0,"",OPERATIONS!$Q80)</f>
        <v/>
      </c>
      <c r="P80" s="26" t="str">
        <f aca="false">IF($G80="","",IF($G80=R_LOT,COUNTIF($G$5:$G80,R_LOT),""))</f>
        <v/>
      </c>
    </row>
    <row r="81" customFormat="false" ht="15" hidden="false" customHeight="false" outlineLevel="0" collapsed="false">
      <c r="A81" s="28" t="str">
        <f aca="false">IF($M81=0,"",ROW()-4)</f>
        <v/>
      </c>
      <c r="B81" s="26" t="str">
        <f aca="false">IF($M81=0,"","OPERATIONS")</f>
        <v/>
      </c>
      <c r="C81" s="26" t="str">
        <f aca="false">IF($M81=0,"",OPERATIONS!$A81)</f>
        <v/>
      </c>
      <c r="D81" s="31" t="str">
        <f aca="false">IF($M81=0,"",OPERATIONS!$B81)</f>
        <v/>
      </c>
      <c r="E81" s="26" t="str">
        <f aca="false">IF($M81=0,"","SORTIE")</f>
        <v/>
      </c>
      <c r="F81" s="26" t="str">
        <f aca="false">IF($M81=0,"",OPERATIONS!$C81)</f>
        <v/>
      </c>
      <c r="G81" s="26" t="str">
        <f aca="false">IF($M81=0,"",OPERATIONS!$D81)</f>
        <v/>
      </c>
      <c r="H81" s="26" t="str">
        <f aca="false">IF($G81="","",IFERROR(INDEX(LOT_EXTE,MATCH($G81,LOT_KEY,0)),""))</f>
        <v/>
      </c>
      <c r="I81" s="26" t="str">
        <f aca="false">IF($M81=0,"",OPERATIONS!$E81)</f>
        <v/>
      </c>
      <c r="J81" s="26" t="str">
        <f aca="false">IF($I81="","",IFERROR(INDEX(EMPL_CLASSE,MATCH($I81,EMPL_KEY,0)),""))</f>
        <v/>
      </c>
      <c r="K81" s="26" t="str">
        <f aca="false">IF($M81=0,"",OPERATIONS!$K81)</f>
        <v/>
      </c>
      <c r="L81" s="26" t="str">
        <f aca="false">IF($G81="","",IF(IFERROR(INDEX(LOT_ETAT,MATCH($G81,LOT_KEY,0)),"")="","",INDEX(LOT_ETAT,MATCH($G81,LOT_KEY,0))))</f>
        <v/>
      </c>
      <c r="M81" s="73" t="n">
        <f aca="false">IF(OR(OPERATIONS!$O81=0,OPERATIONS!$C81="RECEPTION",OPERATIONS!$C81="AJUSTEMENT"),0,-OPERATIONS!$G81)</f>
        <v>0</v>
      </c>
      <c r="N81" s="73" t="n">
        <f aca="false">IF($M81=0,0,OPERATIONS!$R81*$M81)</f>
        <v>0</v>
      </c>
      <c r="O81" s="26" t="str">
        <f aca="false">IF($M81=0,"",OPERATIONS!$Q81)</f>
        <v/>
      </c>
      <c r="P81" s="26" t="str">
        <f aca="false">IF($G81="","",IF($G81=R_LOT,COUNTIF($G$5:$G81,R_LOT),""))</f>
        <v/>
      </c>
    </row>
    <row r="82" customFormat="false" ht="15" hidden="false" customHeight="false" outlineLevel="0" collapsed="false">
      <c r="A82" s="28" t="str">
        <f aca="false">IF($M82=0,"",ROW()-4)</f>
        <v/>
      </c>
      <c r="B82" s="26" t="str">
        <f aca="false">IF($M82=0,"","OPERATIONS")</f>
        <v/>
      </c>
      <c r="C82" s="26" t="str">
        <f aca="false">IF($M82=0,"",OPERATIONS!$A82)</f>
        <v/>
      </c>
      <c r="D82" s="31" t="str">
        <f aca="false">IF($M82=0,"",OPERATIONS!$B82)</f>
        <v/>
      </c>
      <c r="E82" s="26" t="str">
        <f aca="false">IF($M82=0,"","SORTIE")</f>
        <v/>
      </c>
      <c r="F82" s="26" t="str">
        <f aca="false">IF($M82=0,"",OPERATIONS!$C82)</f>
        <v/>
      </c>
      <c r="G82" s="26" t="str">
        <f aca="false">IF($M82=0,"",OPERATIONS!$D82)</f>
        <v/>
      </c>
      <c r="H82" s="26" t="str">
        <f aca="false">IF($G82="","",IFERROR(INDEX(LOT_EXTE,MATCH($G82,LOT_KEY,0)),""))</f>
        <v/>
      </c>
      <c r="I82" s="26" t="str">
        <f aca="false">IF($M82=0,"",OPERATIONS!$E82)</f>
        <v/>
      </c>
      <c r="J82" s="26" t="str">
        <f aca="false">IF($I82="","",IFERROR(INDEX(EMPL_CLASSE,MATCH($I82,EMPL_KEY,0)),""))</f>
        <v/>
      </c>
      <c r="K82" s="26" t="str">
        <f aca="false">IF($M82=0,"",OPERATIONS!$K82)</f>
        <v/>
      </c>
      <c r="L82" s="26" t="str">
        <f aca="false">IF($G82="","",IF(IFERROR(INDEX(LOT_ETAT,MATCH($G82,LOT_KEY,0)),"")="","",INDEX(LOT_ETAT,MATCH($G82,LOT_KEY,0))))</f>
        <v/>
      </c>
      <c r="M82" s="73" t="n">
        <f aca="false">IF(OR(OPERATIONS!$O82=0,OPERATIONS!$C82="RECEPTION",OPERATIONS!$C82="AJUSTEMENT"),0,-OPERATIONS!$G82)</f>
        <v>0</v>
      </c>
      <c r="N82" s="73" t="n">
        <f aca="false">IF($M82=0,0,OPERATIONS!$R82*$M82)</f>
        <v>0</v>
      </c>
      <c r="O82" s="26" t="str">
        <f aca="false">IF($M82=0,"",OPERATIONS!$Q82)</f>
        <v/>
      </c>
      <c r="P82" s="26" t="str">
        <f aca="false">IF($G82="","",IF($G82=R_LOT,COUNTIF($G$5:$G82,R_LOT),""))</f>
        <v/>
      </c>
    </row>
    <row r="83" customFormat="false" ht="15" hidden="false" customHeight="false" outlineLevel="0" collapsed="false">
      <c r="A83" s="28" t="str">
        <f aca="false">IF($M83=0,"",ROW()-4)</f>
        <v/>
      </c>
      <c r="B83" s="26" t="str">
        <f aca="false">IF($M83=0,"","OPERATIONS")</f>
        <v/>
      </c>
      <c r="C83" s="26" t="str">
        <f aca="false">IF($M83=0,"",OPERATIONS!$A83)</f>
        <v/>
      </c>
      <c r="D83" s="31" t="str">
        <f aca="false">IF($M83=0,"",OPERATIONS!$B83)</f>
        <v/>
      </c>
      <c r="E83" s="26" t="str">
        <f aca="false">IF($M83=0,"","SORTIE")</f>
        <v/>
      </c>
      <c r="F83" s="26" t="str">
        <f aca="false">IF($M83=0,"",OPERATIONS!$C83)</f>
        <v/>
      </c>
      <c r="G83" s="26" t="str">
        <f aca="false">IF($M83=0,"",OPERATIONS!$D83)</f>
        <v/>
      </c>
      <c r="H83" s="26" t="str">
        <f aca="false">IF($G83="","",IFERROR(INDEX(LOT_EXTE,MATCH($G83,LOT_KEY,0)),""))</f>
        <v/>
      </c>
      <c r="I83" s="26" t="str">
        <f aca="false">IF($M83=0,"",OPERATIONS!$E83)</f>
        <v/>
      </c>
      <c r="J83" s="26" t="str">
        <f aca="false">IF($I83="","",IFERROR(INDEX(EMPL_CLASSE,MATCH($I83,EMPL_KEY,0)),""))</f>
        <v/>
      </c>
      <c r="K83" s="26" t="str">
        <f aca="false">IF($M83=0,"",OPERATIONS!$K83)</f>
        <v/>
      </c>
      <c r="L83" s="26" t="str">
        <f aca="false">IF($G83="","",IF(IFERROR(INDEX(LOT_ETAT,MATCH($G83,LOT_KEY,0)),"")="","",INDEX(LOT_ETAT,MATCH($G83,LOT_KEY,0))))</f>
        <v/>
      </c>
      <c r="M83" s="73" t="n">
        <f aca="false">IF(OR(OPERATIONS!$O83=0,OPERATIONS!$C83="RECEPTION",OPERATIONS!$C83="AJUSTEMENT"),0,-OPERATIONS!$G83)</f>
        <v>0</v>
      </c>
      <c r="N83" s="73" t="n">
        <f aca="false">IF($M83=0,0,OPERATIONS!$R83*$M83)</f>
        <v>0</v>
      </c>
      <c r="O83" s="26" t="str">
        <f aca="false">IF($M83=0,"",OPERATIONS!$Q83)</f>
        <v/>
      </c>
      <c r="P83" s="26" t="str">
        <f aca="false">IF($G83="","",IF($G83=R_LOT,COUNTIF($G$5:$G83,R_LOT),""))</f>
        <v/>
      </c>
    </row>
    <row r="84" customFormat="false" ht="15" hidden="false" customHeight="false" outlineLevel="0" collapsed="false">
      <c r="A84" s="28" t="str">
        <f aca="false">IF($M84=0,"",ROW()-4)</f>
        <v/>
      </c>
      <c r="B84" s="26" t="str">
        <f aca="false">IF($M84=0,"","OPERATIONS")</f>
        <v/>
      </c>
      <c r="C84" s="26" t="str">
        <f aca="false">IF($M84=0,"",OPERATIONS!$A84)</f>
        <v/>
      </c>
      <c r="D84" s="31" t="str">
        <f aca="false">IF($M84=0,"",OPERATIONS!$B84)</f>
        <v/>
      </c>
      <c r="E84" s="26" t="str">
        <f aca="false">IF($M84=0,"","SORTIE")</f>
        <v/>
      </c>
      <c r="F84" s="26" t="str">
        <f aca="false">IF($M84=0,"",OPERATIONS!$C84)</f>
        <v/>
      </c>
      <c r="G84" s="26" t="str">
        <f aca="false">IF($M84=0,"",OPERATIONS!$D84)</f>
        <v/>
      </c>
      <c r="H84" s="26" t="str">
        <f aca="false">IF($G84="","",IFERROR(INDEX(LOT_EXTE,MATCH($G84,LOT_KEY,0)),""))</f>
        <v/>
      </c>
      <c r="I84" s="26" t="str">
        <f aca="false">IF($M84=0,"",OPERATIONS!$E84)</f>
        <v/>
      </c>
      <c r="J84" s="26" t="str">
        <f aca="false">IF($I84="","",IFERROR(INDEX(EMPL_CLASSE,MATCH($I84,EMPL_KEY,0)),""))</f>
        <v/>
      </c>
      <c r="K84" s="26" t="str">
        <f aca="false">IF($M84=0,"",OPERATIONS!$K84)</f>
        <v/>
      </c>
      <c r="L84" s="26" t="str">
        <f aca="false">IF($G84="","",IF(IFERROR(INDEX(LOT_ETAT,MATCH($G84,LOT_KEY,0)),"")="","",INDEX(LOT_ETAT,MATCH($G84,LOT_KEY,0))))</f>
        <v/>
      </c>
      <c r="M84" s="73" t="n">
        <f aca="false">IF(OR(OPERATIONS!$O84=0,OPERATIONS!$C84="RECEPTION",OPERATIONS!$C84="AJUSTEMENT"),0,-OPERATIONS!$G84)</f>
        <v>0</v>
      </c>
      <c r="N84" s="73" t="n">
        <f aca="false">IF($M84=0,0,OPERATIONS!$R84*$M84)</f>
        <v>0</v>
      </c>
      <c r="O84" s="26" t="str">
        <f aca="false">IF($M84=0,"",OPERATIONS!$Q84)</f>
        <v/>
      </c>
      <c r="P84" s="26" t="str">
        <f aca="false">IF($G84="","",IF($G84=R_LOT,COUNTIF($G$5:$G84,R_LOT),""))</f>
        <v/>
      </c>
    </row>
    <row r="85" customFormat="false" ht="15" hidden="false" customHeight="false" outlineLevel="0" collapsed="false">
      <c r="A85" s="28" t="str">
        <f aca="false">IF($M85=0,"",ROW()-4)</f>
        <v/>
      </c>
      <c r="B85" s="26" t="str">
        <f aca="false">IF($M85=0,"","OPERATIONS")</f>
        <v/>
      </c>
      <c r="C85" s="26" t="str">
        <f aca="false">IF($M85=0,"",OPERATIONS!$A85)</f>
        <v/>
      </c>
      <c r="D85" s="31" t="str">
        <f aca="false">IF($M85=0,"",OPERATIONS!$B85)</f>
        <v/>
      </c>
      <c r="E85" s="26" t="str">
        <f aca="false">IF($M85=0,"","SORTIE")</f>
        <v/>
      </c>
      <c r="F85" s="26" t="str">
        <f aca="false">IF($M85=0,"",OPERATIONS!$C85)</f>
        <v/>
      </c>
      <c r="G85" s="26" t="str">
        <f aca="false">IF($M85=0,"",OPERATIONS!$D85)</f>
        <v/>
      </c>
      <c r="H85" s="26" t="str">
        <f aca="false">IF($G85="","",IFERROR(INDEX(LOT_EXTE,MATCH($G85,LOT_KEY,0)),""))</f>
        <v/>
      </c>
      <c r="I85" s="26" t="str">
        <f aca="false">IF($M85=0,"",OPERATIONS!$E85)</f>
        <v/>
      </c>
      <c r="J85" s="26" t="str">
        <f aca="false">IF($I85="","",IFERROR(INDEX(EMPL_CLASSE,MATCH($I85,EMPL_KEY,0)),""))</f>
        <v/>
      </c>
      <c r="K85" s="26" t="str">
        <f aca="false">IF($M85=0,"",OPERATIONS!$K85)</f>
        <v/>
      </c>
      <c r="L85" s="26" t="str">
        <f aca="false">IF($G85="","",IF(IFERROR(INDEX(LOT_ETAT,MATCH($G85,LOT_KEY,0)),"")="","",INDEX(LOT_ETAT,MATCH($G85,LOT_KEY,0))))</f>
        <v/>
      </c>
      <c r="M85" s="73" t="n">
        <f aca="false">IF(OR(OPERATIONS!$O85=0,OPERATIONS!$C85="RECEPTION",OPERATIONS!$C85="AJUSTEMENT"),0,-OPERATIONS!$G85)</f>
        <v>0</v>
      </c>
      <c r="N85" s="73" t="n">
        <f aca="false">IF($M85=0,0,OPERATIONS!$R85*$M85)</f>
        <v>0</v>
      </c>
      <c r="O85" s="26" t="str">
        <f aca="false">IF($M85=0,"",OPERATIONS!$Q85)</f>
        <v/>
      </c>
      <c r="P85" s="26" t="str">
        <f aca="false">IF($G85="","",IF($G85=R_LOT,COUNTIF($G$5:$G85,R_LOT),""))</f>
        <v/>
      </c>
    </row>
    <row r="86" customFormat="false" ht="15" hidden="false" customHeight="false" outlineLevel="0" collapsed="false">
      <c r="A86" s="28" t="str">
        <f aca="false">IF($M86=0,"",ROW()-4)</f>
        <v/>
      </c>
      <c r="B86" s="26" t="str">
        <f aca="false">IF($M86=0,"","OPERATIONS")</f>
        <v/>
      </c>
      <c r="C86" s="26" t="str">
        <f aca="false">IF($M86=0,"",OPERATIONS!$A86)</f>
        <v/>
      </c>
      <c r="D86" s="31" t="str">
        <f aca="false">IF($M86=0,"",OPERATIONS!$B86)</f>
        <v/>
      </c>
      <c r="E86" s="26" t="str">
        <f aca="false">IF($M86=0,"","SORTIE")</f>
        <v/>
      </c>
      <c r="F86" s="26" t="str">
        <f aca="false">IF($M86=0,"",OPERATIONS!$C86)</f>
        <v/>
      </c>
      <c r="G86" s="26" t="str">
        <f aca="false">IF($M86=0,"",OPERATIONS!$D86)</f>
        <v/>
      </c>
      <c r="H86" s="26" t="str">
        <f aca="false">IF($G86="","",IFERROR(INDEX(LOT_EXTE,MATCH($G86,LOT_KEY,0)),""))</f>
        <v/>
      </c>
      <c r="I86" s="26" t="str">
        <f aca="false">IF($M86=0,"",OPERATIONS!$E86)</f>
        <v/>
      </c>
      <c r="J86" s="26" t="str">
        <f aca="false">IF($I86="","",IFERROR(INDEX(EMPL_CLASSE,MATCH($I86,EMPL_KEY,0)),""))</f>
        <v/>
      </c>
      <c r="K86" s="26" t="str">
        <f aca="false">IF($M86=0,"",OPERATIONS!$K86)</f>
        <v/>
      </c>
      <c r="L86" s="26" t="str">
        <f aca="false">IF($G86="","",IF(IFERROR(INDEX(LOT_ETAT,MATCH($G86,LOT_KEY,0)),"")="","",INDEX(LOT_ETAT,MATCH($G86,LOT_KEY,0))))</f>
        <v/>
      </c>
      <c r="M86" s="73" t="n">
        <f aca="false">IF(OR(OPERATIONS!$O86=0,OPERATIONS!$C86="RECEPTION",OPERATIONS!$C86="AJUSTEMENT"),0,-OPERATIONS!$G86)</f>
        <v>0</v>
      </c>
      <c r="N86" s="73" t="n">
        <f aca="false">IF($M86=0,0,OPERATIONS!$R86*$M86)</f>
        <v>0</v>
      </c>
      <c r="O86" s="26" t="str">
        <f aca="false">IF($M86=0,"",OPERATIONS!$Q86)</f>
        <v/>
      </c>
      <c r="P86" s="26" t="str">
        <f aca="false">IF($G86="","",IF($G86=R_LOT,COUNTIF($G$5:$G86,R_LOT),""))</f>
        <v/>
      </c>
    </row>
    <row r="87" customFormat="false" ht="15" hidden="false" customHeight="false" outlineLevel="0" collapsed="false">
      <c r="A87" s="28" t="str">
        <f aca="false">IF($M87=0,"",ROW()-4)</f>
        <v/>
      </c>
      <c r="B87" s="26" t="str">
        <f aca="false">IF($M87=0,"","OPERATIONS")</f>
        <v/>
      </c>
      <c r="C87" s="26" t="str">
        <f aca="false">IF($M87=0,"",OPERATIONS!$A87)</f>
        <v/>
      </c>
      <c r="D87" s="31" t="str">
        <f aca="false">IF($M87=0,"",OPERATIONS!$B87)</f>
        <v/>
      </c>
      <c r="E87" s="26" t="str">
        <f aca="false">IF($M87=0,"","SORTIE")</f>
        <v/>
      </c>
      <c r="F87" s="26" t="str">
        <f aca="false">IF($M87=0,"",OPERATIONS!$C87)</f>
        <v/>
      </c>
      <c r="G87" s="26" t="str">
        <f aca="false">IF($M87=0,"",OPERATIONS!$D87)</f>
        <v/>
      </c>
      <c r="H87" s="26" t="str">
        <f aca="false">IF($G87="","",IFERROR(INDEX(LOT_EXTE,MATCH($G87,LOT_KEY,0)),""))</f>
        <v/>
      </c>
      <c r="I87" s="26" t="str">
        <f aca="false">IF($M87=0,"",OPERATIONS!$E87)</f>
        <v/>
      </c>
      <c r="J87" s="26" t="str">
        <f aca="false">IF($I87="","",IFERROR(INDEX(EMPL_CLASSE,MATCH($I87,EMPL_KEY,0)),""))</f>
        <v/>
      </c>
      <c r="K87" s="26" t="str">
        <f aca="false">IF($M87=0,"",OPERATIONS!$K87)</f>
        <v/>
      </c>
      <c r="L87" s="26" t="str">
        <f aca="false">IF($G87="","",IF(IFERROR(INDEX(LOT_ETAT,MATCH($G87,LOT_KEY,0)),"")="","",INDEX(LOT_ETAT,MATCH($G87,LOT_KEY,0))))</f>
        <v/>
      </c>
      <c r="M87" s="73" t="n">
        <f aca="false">IF(OR(OPERATIONS!$O87=0,OPERATIONS!$C87="RECEPTION",OPERATIONS!$C87="AJUSTEMENT"),0,-OPERATIONS!$G87)</f>
        <v>0</v>
      </c>
      <c r="N87" s="73" t="n">
        <f aca="false">IF($M87=0,0,OPERATIONS!$R87*$M87)</f>
        <v>0</v>
      </c>
      <c r="O87" s="26" t="str">
        <f aca="false">IF($M87=0,"",OPERATIONS!$Q87)</f>
        <v/>
      </c>
      <c r="P87" s="26" t="str">
        <f aca="false">IF($G87="","",IF($G87=R_LOT,COUNTIF($G$5:$G87,R_LOT),""))</f>
        <v/>
      </c>
    </row>
    <row r="88" customFormat="false" ht="15" hidden="false" customHeight="false" outlineLevel="0" collapsed="false">
      <c r="A88" s="28" t="str">
        <f aca="false">IF($M88=0,"",ROW()-4)</f>
        <v/>
      </c>
      <c r="B88" s="26" t="str">
        <f aca="false">IF($M88=0,"","OPERATIONS")</f>
        <v/>
      </c>
      <c r="C88" s="26" t="str">
        <f aca="false">IF($M88=0,"",OPERATIONS!$A88)</f>
        <v/>
      </c>
      <c r="D88" s="31" t="str">
        <f aca="false">IF($M88=0,"",OPERATIONS!$B88)</f>
        <v/>
      </c>
      <c r="E88" s="26" t="str">
        <f aca="false">IF($M88=0,"","SORTIE")</f>
        <v/>
      </c>
      <c r="F88" s="26" t="str">
        <f aca="false">IF($M88=0,"",OPERATIONS!$C88)</f>
        <v/>
      </c>
      <c r="G88" s="26" t="str">
        <f aca="false">IF($M88=0,"",OPERATIONS!$D88)</f>
        <v/>
      </c>
      <c r="H88" s="26" t="str">
        <f aca="false">IF($G88="","",IFERROR(INDEX(LOT_EXTE,MATCH($G88,LOT_KEY,0)),""))</f>
        <v/>
      </c>
      <c r="I88" s="26" t="str">
        <f aca="false">IF($M88=0,"",OPERATIONS!$E88)</f>
        <v/>
      </c>
      <c r="J88" s="26" t="str">
        <f aca="false">IF($I88="","",IFERROR(INDEX(EMPL_CLASSE,MATCH($I88,EMPL_KEY,0)),""))</f>
        <v/>
      </c>
      <c r="K88" s="26" t="str">
        <f aca="false">IF($M88=0,"",OPERATIONS!$K88)</f>
        <v/>
      </c>
      <c r="L88" s="26" t="str">
        <f aca="false">IF($G88="","",IF(IFERROR(INDEX(LOT_ETAT,MATCH($G88,LOT_KEY,0)),"")="","",INDEX(LOT_ETAT,MATCH($G88,LOT_KEY,0))))</f>
        <v/>
      </c>
      <c r="M88" s="73" t="n">
        <f aca="false">IF(OR(OPERATIONS!$O88=0,OPERATIONS!$C88="RECEPTION",OPERATIONS!$C88="AJUSTEMENT"),0,-OPERATIONS!$G88)</f>
        <v>0</v>
      </c>
      <c r="N88" s="73" t="n">
        <f aca="false">IF($M88=0,0,OPERATIONS!$R88*$M88)</f>
        <v>0</v>
      </c>
      <c r="O88" s="26" t="str">
        <f aca="false">IF($M88=0,"",OPERATIONS!$Q88)</f>
        <v/>
      </c>
      <c r="P88" s="26" t="str">
        <f aca="false">IF($G88="","",IF($G88=R_LOT,COUNTIF($G$5:$G88,R_LOT),""))</f>
        <v/>
      </c>
    </row>
    <row r="89" customFormat="false" ht="15" hidden="false" customHeight="false" outlineLevel="0" collapsed="false">
      <c r="A89" s="28" t="str">
        <f aca="false">IF($M89=0,"",ROW()-4)</f>
        <v/>
      </c>
      <c r="B89" s="26" t="str">
        <f aca="false">IF($M89=0,"","OPERATIONS")</f>
        <v/>
      </c>
      <c r="C89" s="26" t="str">
        <f aca="false">IF($M89=0,"",OPERATIONS!$A89)</f>
        <v/>
      </c>
      <c r="D89" s="31" t="str">
        <f aca="false">IF($M89=0,"",OPERATIONS!$B89)</f>
        <v/>
      </c>
      <c r="E89" s="26" t="str">
        <f aca="false">IF($M89=0,"","SORTIE")</f>
        <v/>
      </c>
      <c r="F89" s="26" t="str">
        <f aca="false">IF($M89=0,"",OPERATIONS!$C89)</f>
        <v/>
      </c>
      <c r="G89" s="26" t="str">
        <f aca="false">IF($M89=0,"",OPERATIONS!$D89)</f>
        <v/>
      </c>
      <c r="H89" s="26" t="str">
        <f aca="false">IF($G89="","",IFERROR(INDEX(LOT_EXTE,MATCH($G89,LOT_KEY,0)),""))</f>
        <v/>
      </c>
      <c r="I89" s="26" t="str">
        <f aca="false">IF($M89=0,"",OPERATIONS!$E89)</f>
        <v/>
      </c>
      <c r="J89" s="26" t="str">
        <f aca="false">IF($I89="","",IFERROR(INDEX(EMPL_CLASSE,MATCH($I89,EMPL_KEY,0)),""))</f>
        <v/>
      </c>
      <c r="K89" s="26" t="str">
        <f aca="false">IF($M89=0,"",OPERATIONS!$K89)</f>
        <v/>
      </c>
      <c r="L89" s="26" t="str">
        <f aca="false">IF($G89="","",IF(IFERROR(INDEX(LOT_ETAT,MATCH($G89,LOT_KEY,0)),"")="","",INDEX(LOT_ETAT,MATCH($G89,LOT_KEY,0))))</f>
        <v/>
      </c>
      <c r="M89" s="73" t="n">
        <f aca="false">IF(OR(OPERATIONS!$O89=0,OPERATIONS!$C89="RECEPTION",OPERATIONS!$C89="AJUSTEMENT"),0,-OPERATIONS!$G89)</f>
        <v>0</v>
      </c>
      <c r="N89" s="73" t="n">
        <f aca="false">IF($M89=0,0,OPERATIONS!$R89*$M89)</f>
        <v>0</v>
      </c>
      <c r="O89" s="26" t="str">
        <f aca="false">IF($M89=0,"",OPERATIONS!$Q89)</f>
        <v/>
      </c>
      <c r="P89" s="26" t="str">
        <f aca="false">IF($G89="","",IF($G89=R_LOT,COUNTIF($G$5:$G89,R_LOT),""))</f>
        <v/>
      </c>
    </row>
    <row r="90" customFormat="false" ht="15" hidden="false" customHeight="false" outlineLevel="0" collapsed="false">
      <c r="A90" s="28" t="str">
        <f aca="false">IF($M90=0,"",ROW()-4)</f>
        <v/>
      </c>
      <c r="B90" s="26" t="str">
        <f aca="false">IF($M90=0,"","OPERATIONS")</f>
        <v/>
      </c>
      <c r="C90" s="26" t="str">
        <f aca="false">IF($M90=0,"",OPERATIONS!$A90)</f>
        <v/>
      </c>
      <c r="D90" s="31" t="str">
        <f aca="false">IF($M90=0,"",OPERATIONS!$B90)</f>
        <v/>
      </c>
      <c r="E90" s="26" t="str">
        <f aca="false">IF($M90=0,"","SORTIE")</f>
        <v/>
      </c>
      <c r="F90" s="26" t="str">
        <f aca="false">IF($M90=0,"",OPERATIONS!$C90)</f>
        <v/>
      </c>
      <c r="G90" s="26" t="str">
        <f aca="false">IF($M90=0,"",OPERATIONS!$D90)</f>
        <v/>
      </c>
      <c r="H90" s="26" t="str">
        <f aca="false">IF($G90="","",IFERROR(INDEX(LOT_EXTE,MATCH($G90,LOT_KEY,0)),""))</f>
        <v/>
      </c>
      <c r="I90" s="26" t="str">
        <f aca="false">IF($M90=0,"",OPERATIONS!$E90)</f>
        <v/>
      </c>
      <c r="J90" s="26" t="str">
        <f aca="false">IF($I90="","",IFERROR(INDEX(EMPL_CLASSE,MATCH($I90,EMPL_KEY,0)),""))</f>
        <v/>
      </c>
      <c r="K90" s="26" t="str">
        <f aca="false">IF($M90=0,"",OPERATIONS!$K90)</f>
        <v/>
      </c>
      <c r="L90" s="26" t="str">
        <f aca="false">IF($G90="","",IF(IFERROR(INDEX(LOT_ETAT,MATCH($G90,LOT_KEY,0)),"")="","",INDEX(LOT_ETAT,MATCH($G90,LOT_KEY,0))))</f>
        <v/>
      </c>
      <c r="M90" s="73" t="n">
        <f aca="false">IF(OR(OPERATIONS!$O90=0,OPERATIONS!$C90="RECEPTION",OPERATIONS!$C90="AJUSTEMENT"),0,-OPERATIONS!$G90)</f>
        <v>0</v>
      </c>
      <c r="N90" s="73" t="n">
        <f aca="false">IF($M90=0,0,OPERATIONS!$R90*$M90)</f>
        <v>0</v>
      </c>
      <c r="O90" s="26" t="str">
        <f aca="false">IF($M90=0,"",OPERATIONS!$Q90)</f>
        <v/>
      </c>
      <c r="P90" s="26" t="str">
        <f aca="false">IF($G90="","",IF($G90=R_LOT,COUNTIF($G$5:$G90,R_LOT),""))</f>
        <v/>
      </c>
    </row>
    <row r="91" customFormat="false" ht="15" hidden="false" customHeight="false" outlineLevel="0" collapsed="false">
      <c r="A91" s="28" t="str">
        <f aca="false">IF($M91=0,"",ROW()-4)</f>
        <v/>
      </c>
      <c r="B91" s="26" t="str">
        <f aca="false">IF($M91=0,"","OPERATIONS")</f>
        <v/>
      </c>
      <c r="C91" s="26" t="str">
        <f aca="false">IF($M91=0,"",OPERATIONS!$A91)</f>
        <v/>
      </c>
      <c r="D91" s="31" t="str">
        <f aca="false">IF($M91=0,"",OPERATIONS!$B91)</f>
        <v/>
      </c>
      <c r="E91" s="26" t="str">
        <f aca="false">IF($M91=0,"","SORTIE")</f>
        <v/>
      </c>
      <c r="F91" s="26" t="str">
        <f aca="false">IF($M91=0,"",OPERATIONS!$C91)</f>
        <v/>
      </c>
      <c r="G91" s="26" t="str">
        <f aca="false">IF($M91=0,"",OPERATIONS!$D91)</f>
        <v/>
      </c>
      <c r="H91" s="26" t="str">
        <f aca="false">IF($G91="","",IFERROR(INDEX(LOT_EXTE,MATCH($G91,LOT_KEY,0)),""))</f>
        <v/>
      </c>
      <c r="I91" s="26" t="str">
        <f aca="false">IF($M91=0,"",OPERATIONS!$E91)</f>
        <v/>
      </c>
      <c r="J91" s="26" t="str">
        <f aca="false">IF($I91="","",IFERROR(INDEX(EMPL_CLASSE,MATCH($I91,EMPL_KEY,0)),""))</f>
        <v/>
      </c>
      <c r="K91" s="26" t="str">
        <f aca="false">IF($M91=0,"",OPERATIONS!$K91)</f>
        <v/>
      </c>
      <c r="L91" s="26" t="str">
        <f aca="false">IF($G91="","",IF(IFERROR(INDEX(LOT_ETAT,MATCH($G91,LOT_KEY,0)),"")="","",INDEX(LOT_ETAT,MATCH($G91,LOT_KEY,0))))</f>
        <v/>
      </c>
      <c r="M91" s="73" t="n">
        <f aca="false">IF(OR(OPERATIONS!$O91=0,OPERATIONS!$C91="RECEPTION",OPERATIONS!$C91="AJUSTEMENT"),0,-OPERATIONS!$G91)</f>
        <v>0</v>
      </c>
      <c r="N91" s="73" t="n">
        <f aca="false">IF($M91=0,0,OPERATIONS!$R91*$M91)</f>
        <v>0</v>
      </c>
      <c r="O91" s="26" t="str">
        <f aca="false">IF($M91=0,"",OPERATIONS!$Q91)</f>
        <v/>
      </c>
      <c r="P91" s="26" t="str">
        <f aca="false">IF($G91="","",IF($G91=R_LOT,COUNTIF($G$5:$G91,R_LOT),""))</f>
        <v/>
      </c>
    </row>
    <row r="92" customFormat="false" ht="15" hidden="false" customHeight="false" outlineLevel="0" collapsed="false">
      <c r="A92" s="28" t="str">
        <f aca="false">IF($M92=0,"",ROW()-4)</f>
        <v/>
      </c>
      <c r="B92" s="26" t="str">
        <f aca="false">IF($M92=0,"","OPERATIONS")</f>
        <v/>
      </c>
      <c r="C92" s="26" t="str">
        <f aca="false">IF($M92=0,"",OPERATIONS!$A92)</f>
        <v/>
      </c>
      <c r="D92" s="31" t="str">
        <f aca="false">IF($M92=0,"",OPERATIONS!$B92)</f>
        <v/>
      </c>
      <c r="E92" s="26" t="str">
        <f aca="false">IF($M92=0,"","SORTIE")</f>
        <v/>
      </c>
      <c r="F92" s="26" t="str">
        <f aca="false">IF($M92=0,"",OPERATIONS!$C92)</f>
        <v/>
      </c>
      <c r="G92" s="26" t="str">
        <f aca="false">IF($M92=0,"",OPERATIONS!$D92)</f>
        <v/>
      </c>
      <c r="H92" s="26" t="str">
        <f aca="false">IF($G92="","",IFERROR(INDEX(LOT_EXTE,MATCH($G92,LOT_KEY,0)),""))</f>
        <v/>
      </c>
      <c r="I92" s="26" t="str">
        <f aca="false">IF($M92=0,"",OPERATIONS!$E92)</f>
        <v/>
      </c>
      <c r="J92" s="26" t="str">
        <f aca="false">IF($I92="","",IFERROR(INDEX(EMPL_CLASSE,MATCH($I92,EMPL_KEY,0)),""))</f>
        <v/>
      </c>
      <c r="K92" s="26" t="str">
        <f aca="false">IF($M92=0,"",OPERATIONS!$K92)</f>
        <v/>
      </c>
      <c r="L92" s="26" t="str">
        <f aca="false">IF($G92="","",IF(IFERROR(INDEX(LOT_ETAT,MATCH($G92,LOT_KEY,0)),"")="","",INDEX(LOT_ETAT,MATCH($G92,LOT_KEY,0))))</f>
        <v/>
      </c>
      <c r="M92" s="73" t="n">
        <f aca="false">IF(OR(OPERATIONS!$O92=0,OPERATIONS!$C92="RECEPTION",OPERATIONS!$C92="AJUSTEMENT"),0,-OPERATIONS!$G92)</f>
        <v>0</v>
      </c>
      <c r="N92" s="73" t="n">
        <f aca="false">IF($M92=0,0,OPERATIONS!$R92*$M92)</f>
        <v>0</v>
      </c>
      <c r="O92" s="26" t="str">
        <f aca="false">IF($M92=0,"",OPERATIONS!$Q92)</f>
        <v/>
      </c>
      <c r="P92" s="26" t="str">
        <f aca="false">IF($G92="","",IF($G92=R_LOT,COUNTIF($G$5:$G92,R_LOT),""))</f>
        <v/>
      </c>
    </row>
    <row r="93" customFormat="false" ht="15" hidden="false" customHeight="false" outlineLevel="0" collapsed="false">
      <c r="A93" s="28" t="str">
        <f aca="false">IF($M93=0,"",ROW()-4)</f>
        <v/>
      </c>
      <c r="B93" s="26" t="str">
        <f aca="false">IF($M93=0,"","OPERATIONS")</f>
        <v/>
      </c>
      <c r="C93" s="26" t="str">
        <f aca="false">IF($M93=0,"",OPERATIONS!$A93)</f>
        <v/>
      </c>
      <c r="D93" s="31" t="str">
        <f aca="false">IF($M93=0,"",OPERATIONS!$B93)</f>
        <v/>
      </c>
      <c r="E93" s="26" t="str">
        <f aca="false">IF($M93=0,"","SORTIE")</f>
        <v/>
      </c>
      <c r="F93" s="26" t="str">
        <f aca="false">IF($M93=0,"",OPERATIONS!$C93)</f>
        <v/>
      </c>
      <c r="G93" s="26" t="str">
        <f aca="false">IF($M93=0,"",OPERATIONS!$D93)</f>
        <v/>
      </c>
      <c r="H93" s="26" t="str">
        <f aca="false">IF($G93="","",IFERROR(INDEX(LOT_EXTE,MATCH($G93,LOT_KEY,0)),""))</f>
        <v/>
      </c>
      <c r="I93" s="26" t="str">
        <f aca="false">IF($M93=0,"",OPERATIONS!$E93)</f>
        <v/>
      </c>
      <c r="J93" s="26" t="str">
        <f aca="false">IF($I93="","",IFERROR(INDEX(EMPL_CLASSE,MATCH($I93,EMPL_KEY,0)),""))</f>
        <v/>
      </c>
      <c r="K93" s="26" t="str">
        <f aca="false">IF($M93=0,"",OPERATIONS!$K93)</f>
        <v/>
      </c>
      <c r="L93" s="26" t="str">
        <f aca="false">IF($G93="","",IF(IFERROR(INDEX(LOT_ETAT,MATCH($G93,LOT_KEY,0)),"")="","",INDEX(LOT_ETAT,MATCH($G93,LOT_KEY,0))))</f>
        <v/>
      </c>
      <c r="M93" s="73" t="n">
        <f aca="false">IF(OR(OPERATIONS!$O93=0,OPERATIONS!$C93="RECEPTION",OPERATIONS!$C93="AJUSTEMENT"),0,-OPERATIONS!$G93)</f>
        <v>0</v>
      </c>
      <c r="N93" s="73" t="n">
        <f aca="false">IF($M93=0,0,OPERATIONS!$R93*$M93)</f>
        <v>0</v>
      </c>
      <c r="O93" s="26" t="str">
        <f aca="false">IF($M93=0,"",OPERATIONS!$Q93)</f>
        <v/>
      </c>
      <c r="P93" s="26" t="str">
        <f aca="false">IF($G93="","",IF($G93=R_LOT,COUNTIF($G$5:$G93,R_LOT),""))</f>
        <v/>
      </c>
    </row>
    <row r="94" customFormat="false" ht="15" hidden="false" customHeight="false" outlineLevel="0" collapsed="false">
      <c r="A94" s="28" t="str">
        <f aca="false">IF($M94=0,"",ROW()-4)</f>
        <v/>
      </c>
      <c r="B94" s="26" t="str">
        <f aca="false">IF($M94=0,"","OPERATIONS")</f>
        <v/>
      </c>
      <c r="C94" s="26" t="str">
        <f aca="false">IF($M94=0,"",OPERATIONS!$A94)</f>
        <v/>
      </c>
      <c r="D94" s="31" t="str">
        <f aca="false">IF($M94=0,"",OPERATIONS!$B94)</f>
        <v/>
      </c>
      <c r="E94" s="26" t="str">
        <f aca="false">IF($M94=0,"","SORTIE")</f>
        <v/>
      </c>
      <c r="F94" s="26" t="str">
        <f aca="false">IF($M94=0,"",OPERATIONS!$C94)</f>
        <v/>
      </c>
      <c r="G94" s="26" t="str">
        <f aca="false">IF($M94=0,"",OPERATIONS!$D94)</f>
        <v/>
      </c>
      <c r="H94" s="26" t="str">
        <f aca="false">IF($G94="","",IFERROR(INDEX(LOT_EXTE,MATCH($G94,LOT_KEY,0)),""))</f>
        <v/>
      </c>
      <c r="I94" s="26" t="str">
        <f aca="false">IF($M94=0,"",OPERATIONS!$E94)</f>
        <v/>
      </c>
      <c r="J94" s="26" t="str">
        <f aca="false">IF($I94="","",IFERROR(INDEX(EMPL_CLASSE,MATCH($I94,EMPL_KEY,0)),""))</f>
        <v/>
      </c>
      <c r="K94" s="26" t="str">
        <f aca="false">IF($M94=0,"",OPERATIONS!$K94)</f>
        <v/>
      </c>
      <c r="L94" s="26" t="str">
        <f aca="false">IF($G94="","",IF(IFERROR(INDEX(LOT_ETAT,MATCH($G94,LOT_KEY,0)),"")="","",INDEX(LOT_ETAT,MATCH($G94,LOT_KEY,0))))</f>
        <v/>
      </c>
      <c r="M94" s="73" t="n">
        <f aca="false">IF(OR(OPERATIONS!$O94=0,OPERATIONS!$C94="RECEPTION",OPERATIONS!$C94="AJUSTEMENT"),0,-OPERATIONS!$G94)</f>
        <v>0</v>
      </c>
      <c r="N94" s="73" t="n">
        <f aca="false">IF($M94=0,0,OPERATIONS!$R94*$M94)</f>
        <v>0</v>
      </c>
      <c r="O94" s="26" t="str">
        <f aca="false">IF($M94=0,"",OPERATIONS!$Q94)</f>
        <v/>
      </c>
      <c r="P94" s="26" t="str">
        <f aca="false">IF($G94="","",IF($G94=R_LOT,COUNTIF($G$5:$G94,R_LOT),""))</f>
        <v/>
      </c>
    </row>
    <row r="95" customFormat="false" ht="15" hidden="false" customHeight="false" outlineLevel="0" collapsed="false">
      <c r="A95" s="28" t="str">
        <f aca="false">IF($M95=0,"",ROW()-4)</f>
        <v/>
      </c>
      <c r="B95" s="26" t="str">
        <f aca="false">IF($M95=0,"","OPERATIONS")</f>
        <v/>
      </c>
      <c r="C95" s="26" t="str">
        <f aca="false">IF($M95=0,"",OPERATIONS!$A95)</f>
        <v/>
      </c>
      <c r="D95" s="31" t="str">
        <f aca="false">IF($M95=0,"",OPERATIONS!$B95)</f>
        <v/>
      </c>
      <c r="E95" s="26" t="str">
        <f aca="false">IF($M95=0,"","SORTIE")</f>
        <v/>
      </c>
      <c r="F95" s="26" t="str">
        <f aca="false">IF($M95=0,"",OPERATIONS!$C95)</f>
        <v/>
      </c>
      <c r="G95" s="26" t="str">
        <f aca="false">IF($M95=0,"",OPERATIONS!$D95)</f>
        <v/>
      </c>
      <c r="H95" s="26" t="str">
        <f aca="false">IF($G95="","",IFERROR(INDEX(LOT_EXTE,MATCH($G95,LOT_KEY,0)),""))</f>
        <v/>
      </c>
      <c r="I95" s="26" t="str">
        <f aca="false">IF($M95=0,"",OPERATIONS!$E95)</f>
        <v/>
      </c>
      <c r="J95" s="26" t="str">
        <f aca="false">IF($I95="","",IFERROR(INDEX(EMPL_CLASSE,MATCH($I95,EMPL_KEY,0)),""))</f>
        <v/>
      </c>
      <c r="K95" s="26" t="str">
        <f aca="false">IF($M95=0,"",OPERATIONS!$K95)</f>
        <v/>
      </c>
      <c r="L95" s="26" t="str">
        <f aca="false">IF($G95="","",IF(IFERROR(INDEX(LOT_ETAT,MATCH($G95,LOT_KEY,0)),"")="","",INDEX(LOT_ETAT,MATCH($G95,LOT_KEY,0))))</f>
        <v/>
      </c>
      <c r="M95" s="73" t="n">
        <f aca="false">IF(OR(OPERATIONS!$O95=0,OPERATIONS!$C95="RECEPTION",OPERATIONS!$C95="AJUSTEMENT"),0,-OPERATIONS!$G95)</f>
        <v>0</v>
      </c>
      <c r="N95" s="73" t="n">
        <f aca="false">IF($M95=0,0,OPERATIONS!$R95*$M95)</f>
        <v>0</v>
      </c>
      <c r="O95" s="26" t="str">
        <f aca="false">IF($M95=0,"",OPERATIONS!$Q95)</f>
        <v/>
      </c>
      <c r="P95" s="26" t="str">
        <f aca="false">IF($G95="","",IF($G95=R_LOT,COUNTIF($G$5:$G95,R_LOT),""))</f>
        <v/>
      </c>
    </row>
    <row r="96" customFormat="false" ht="15" hidden="false" customHeight="false" outlineLevel="0" collapsed="false">
      <c r="A96" s="28" t="str">
        <f aca="false">IF($M96=0,"",ROW()-4)</f>
        <v/>
      </c>
      <c r="B96" s="26" t="str">
        <f aca="false">IF($M96=0,"","OPERATIONS")</f>
        <v/>
      </c>
      <c r="C96" s="26" t="str">
        <f aca="false">IF($M96=0,"",OPERATIONS!$A96)</f>
        <v/>
      </c>
      <c r="D96" s="31" t="str">
        <f aca="false">IF($M96=0,"",OPERATIONS!$B96)</f>
        <v/>
      </c>
      <c r="E96" s="26" t="str">
        <f aca="false">IF($M96=0,"","SORTIE")</f>
        <v/>
      </c>
      <c r="F96" s="26" t="str">
        <f aca="false">IF($M96=0,"",OPERATIONS!$C96)</f>
        <v/>
      </c>
      <c r="G96" s="26" t="str">
        <f aca="false">IF($M96=0,"",OPERATIONS!$D96)</f>
        <v/>
      </c>
      <c r="H96" s="26" t="str">
        <f aca="false">IF($G96="","",IFERROR(INDEX(LOT_EXTE,MATCH($G96,LOT_KEY,0)),""))</f>
        <v/>
      </c>
      <c r="I96" s="26" t="str">
        <f aca="false">IF($M96=0,"",OPERATIONS!$E96)</f>
        <v/>
      </c>
      <c r="J96" s="26" t="str">
        <f aca="false">IF($I96="","",IFERROR(INDEX(EMPL_CLASSE,MATCH($I96,EMPL_KEY,0)),""))</f>
        <v/>
      </c>
      <c r="K96" s="26" t="str">
        <f aca="false">IF($M96=0,"",OPERATIONS!$K96)</f>
        <v/>
      </c>
      <c r="L96" s="26" t="str">
        <f aca="false">IF($G96="","",IF(IFERROR(INDEX(LOT_ETAT,MATCH($G96,LOT_KEY,0)),"")="","",INDEX(LOT_ETAT,MATCH($G96,LOT_KEY,0))))</f>
        <v/>
      </c>
      <c r="M96" s="73" t="n">
        <f aca="false">IF(OR(OPERATIONS!$O96=0,OPERATIONS!$C96="RECEPTION",OPERATIONS!$C96="AJUSTEMENT"),0,-OPERATIONS!$G96)</f>
        <v>0</v>
      </c>
      <c r="N96" s="73" t="n">
        <f aca="false">IF($M96=0,0,OPERATIONS!$R96*$M96)</f>
        <v>0</v>
      </c>
      <c r="O96" s="26" t="str">
        <f aca="false">IF($M96=0,"",OPERATIONS!$Q96)</f>
        <v/>
      </c>
      <c r="P96" s="26" t="str">
        <f aca="false">IF($G96="","",IF($G96=R_LOT,COUNTIF($G$5:$G96,R_LOT),""))</f>
        <v/>
      </c>
    </row>
    <row r="97" customFormat="false" ht="15" hidden="false" customHeight="false" outlineLevel="0" collapsed="false">
      <c r="A97" s="28" t="str">
        <f aca="false">IF($M97=0,"",ROW()-4)</f>
        <v/>
      </c>
      <c r="B97" s="26" t="str">
        <f aca="false">IF($M97=0,"","OPERATIONS")</f>
        <v/>
      </c>
      <c r="C97" s="26" t="str">
        <f aca="false">IF($M97=0,"",OPERATIONS!$A97)</f>
        <v/>
      </c>
      <c r="D97" s="31" t="str">
        <f aca="false">IF($M97=0,"",OPERATIONS!$B97)</f>
        <v/>
      </c>
      <c r="E97" s="26" t="str">
        <f aca="false">IF($M97=0,"","SORTIE")</f>
        <v/>
      </c>
      <c r="F97" s="26" t="str">
        <f aca="false">IF($M97=0,"",OPERATIONS!$C97)</f>
        <v/>
      </c>
      <c r="G97" s="26" t="str">
        <f aca="false">IF($M97=0,"",OPERATIONS!$D97)</f>
        <v/>
      </c>
      <c r="H97" s="26" t="str">
        <f aca="false">IF($G97="","",IFERROR(INDEX(LOT_EXTE,MATCH($G97,LOT_KEY,0)),""))</f>
        <v/>
      </c>
      <c r="I97" s="26" t="str">
        <f aca="false">IF($M97=0,"",OPERATIONS!$E97)</f>
        <v/>
      </c>
      <c r="J97" s="26" t="str">
        <f aca="false">IF($I97="","",IFERROR(INDEX(EMPL_CLASSE,MATCH($I97,EMPL_KEY,0)),""))</f>
        <v/>
      </c>
      <c r="K97" s="26" t="str">
        <f aca="false">IF($M97=0,"",OPERATIONS!$K97)</f>
        <v/>
      </c>
      <c r="L97" s="26" t="str">
        <f aca="false">IF($G97="","",IF(IFERROR(INDEX(LOT_ETAT,MATCH($G97,LOT_KEY,0)),"")="","",INDEX(LOT_ETAT,MATCH($G97,LOT_KEY,0))))</f>
        <v/>
      </c>
      <c r="M97" s="73" t="n">
        <f aca="false">IF(OR(OPERATIONS!$O97=0,OPERATIONS!$C97="RECEPTION",OPERATIONS!$C97="AJUSTEMENT"),0,-OPERATIONS!$G97)</f>
        <v>0</v>
      </c>
      <c r="N97" s="73" t="n">
        <f aca="false">IF($M97=0,0,OPERATIONS!$R97*$M97)</f>
        <v>0</v>
      </c>
      <c r="O97" s="26" t="str">
        <f aca="false">IF($M97=0,"",OPERATIONS!$Q97)</f>
        <v/>
      </c>
      <c r="P97" s="26" t="str">
        <f aca="false">IF($G97="","",IF($G97=R_LOT,COUNTIF($G$5:$G97,R_LOT),""))</f>
        <v/>
      </c>
    </row>
    <row r="98" customFormat="false" ht="15" hidden="false" customHeight="false" outlineLevel="0" collapsed="false">
      <c r="A98" s="28" t="str">
        <f aca="false">IF($M98=0,"",ROW()-4)</f>
        <v/>
      </c>
      <c r="B98" s="26" t="str">
        <f aca="false">IF($M98=0,"","OPERATIONS")</f>
        <v/>
      </c>
      <c r="C98" s="26" t="str">
        <f aca="false">IF($M98=0,"",OPERATIONS!$A98)</f>
        <v/>
      </c>
      <c r="D98" s="31" t="str">
        <f aca="false">IF($M98=0,"",OPERATIONS!$B98)</f>
        <v/>
      </c>
      <c r="E98" s="26" t="str">
        <f aca="false">IF($M98=0,"","SORTIE")</f>
        <v/>
      </c>
      <c r="F98" s="26" t="str">
        <f aca="false">IF($M98=0,"",OPERATIONS!$C98)</f>
        <v/>
      </c>
      <c r="G98" s="26" t="str">
        <f aca="false">IF($M98=0,"",OPERATIONS!$D98)</f>
        <v/>
      </c>
      <c r="H98" s="26" t="str">
        <f aca="false">IF($G98="","",IFERROR(INDEX(LOT_EXTE,MATCH($G98,LOT_KEY,0)),""))</f>
        <v/>
      </c>
      <c r="I98" s="26" t="str">
        <f aca="false">IF($M98=0,"",OPERATIONS!$E98)</f>
        <v/>
      </c>
      <c r="J98" s="26" t="str">
        <f aca="false">IF($I98="","",IFERROR(INDEX(EMPL_CLASSE,MATCH($I98,EMPL_KEY,0)),""))</f>
        <v/>
      </c>
      <c r="K98" s="26" t="str">
        <f aca="false">IF($M98=0,"",OPERATIONS!$K98)</f>
        <v/>
      </c>
      <c r="L98" s="26" t="str">
        <f aca="false">IF($G98="","",IF(IFERROR(INDEX(LOT_ETAT,MATCH($G98,LOT_KEY,0)),"")="","",INDEX(LOT_ETAT,MATCH($G98,LOT_KEY,0))))</f>
        <v/>
      </c>
      <c r="M98" s="73" t="n">
        <f aca="false">IF(OR(OPERATIONS!$O98=0,OPERATIONS!$C98="RECEPTION",OPERATIONS!$C98="AJUSTEMENT"),0,-OPERATIONS!$G98)</f>
        <v>0</v>
      </c>
      <c r="N98" s="73" t="n">
        <f aca="false">IF($M98=0,0,OPERATIONS!$R98*$M98)</f>
        <v>0</v>
      </c>
      <c r="O98" s="26" t="str">
        <f aca="false">IF($M98=0,"",OPERATIONS!$Q98)</f>
        <v/>
      </c>
      <c r="P98" s="26" t="str">
        <f aca="false">IF($G98="","",IF($G98=R_LOT,COUNTIF($G$5:$G98,R_LOT),""))</f>
        <v/>
      </c>
    </row>
    <row r="99" customFormat="false" ht="15" hidden="false" customHeight="false" outlineLevel="0" collapsed="false">
      <c r="A99" s="28" t="str">
        <f aca="false">IF($M99=0,"",ROW()-4)</f>
        <v/>
      </c>
      <c r="B99" s="26" t="str">
        <f aca="false">IF($M99=0,"","OPERATIONS")</f>
        <v/>
      </c>
      <c r="C99" s="26" t="str">
        <f aca="false">IF($M99=0,"",OPERATIONS!$A99)</f>
        <v/>
      </c>
      <c r="D99" s="31" t="str">
        <f aca="false">IF($M99=0,"",OPERATIONS!$B99)</f>
        <v/>
      </c>
      <c r="E99" s="26" t="str">
        <f aca="false">IF($M99=0,"","SORTIE")</f>
        <v/>
      </c>
      <c r="F99" s="26" t="str">
        <f aca="false">IF($M99=0,"",OPERATIONS!$C99)</f>
        <v/>
      </c>
      <c r="G99" s="26" t="str">
        <f aca="false">IF($M99=0,"",OPERATIONS!$D99)</f>
        <v/>
      </c>
      <c r="H99" s="26" t="str">
        <f aca="false">IF($G99="","",IFERROR(INDEX(LOT_EXTE,MATCH($G99,LOT_KEY,0)),""))</f>
        <v/>
      </c>
      <c r="I99" s="26" t="str">
        <f aca="false">IF($M99=0,"",OPERATIONS!$E99)</f>
        <v/>
      </c>
      <c r="J99" s="26" t="str">
        <f aca="false">IF($I99="","",IFERROR(INDEX(EMPL_CLASSE,MATCH($I99,EMPL_KEY,0)),""))</f>
        <v/>
      </c>
      <c r="K99" s="26" t="str">
        <f aca="false">IF($M99=0,"",OPERATIONS!$K99)</f>
        <v/>
      </c>
      <c r="L99" s="26" t="str">
        <f aca="false">IF($G99="","",IF(IFERROR(INDEX(LOT_ETAT,MATCH($G99,LOT_KEY,0)),"")="","",INDEX(LOT_ETAT,MATCH($G99,LOT_KEY,0))))</f>
        <v/>
      </c>
      <c r="M99" s="73" t="n">
        <f aca="false">IF(OR(OPERATIONS!$O99=0,OPERATIONS!$C99="RECEPTION",OPERATIONS!$C99="AJUSTEMENT"),0,-OPERATIONS!$G99)</f>
        <v>0</v>
      </c>
      <c r="N99" s="73" t="n">
        <f aca="false">IF($M99=0,0,OPERATIONS!$R99*$M99)</f>
        <v>0</v>
      </c>
      <c r="O99" s="26" t="str">
        <f aca="false">IF($M99=0,"",OPERATIONS!$Q99)</f>
        <v/>
      </c>
      <c r="P99" s="26" t="str">
        <f aca="false">IF($G99="","",IF($G99=R_LOT,COUNTIF($G$5:$G99,R_LOT),""))</f>
        <v/>
      </c>
    </row>
    <row r="100" customFormat="false" ht="15" hidden="false" customHeight="false" outlineLevel="0" collapsed="false">
      <c r="A100" s="28" t="str">
        <f aca="false">IF($M100=0,"",ROW()-4)</f>
        <v/>
      </c>
      <c r="B100" s="26" t="str">
        <f aca="false">IF($M100=0,"","OPERATIONS")</f>
        <v/>
      </c>
      <c r="C100" s="26" t="str">
        <f aca="false">IF($M100=0,"",OPERATIONS!$A100)</f>
        <v/>
      </c>
      <c r="D100" s="31" t="str">
        <f aca="false">IF($M100=0,"",OPERATIONS!$B100)</f>
        <v/>
      </c>
      <c r="E100" s="26" t="str">
        <f aca="false">IF($M100=0,"","SORTIE")</f>
        <v/>
      </c>
      <c r="F100" s="26" t="str">
        <f aca="false">IF($M100=0,"",OPERATIONS!$C100)</f>
        <v/>
      </c>
      <c r="G100" s="26" t="str">
        <f aca="false">IF($M100=0,"",OPERATIONS!$D100)</f>
        <v/>
      </c>
      <c r="H100" s="26" t="str">
        <f aca="false">IF($G100="","",IFERROR(INDEX(LOT_EXTE,MATCH($G100,LOT_KEY,0)),""))</f>
        <v/>
      </c>
      <c r="I100" s="26" t="str">
        <f aca="false">IF($M100=0,"",OPERATIONS!$E100)</f>
        <v/>
      </c>
      <c r="J100" s="26" t="str">
        <f aca="false">IF($I100="","",IFERROR(INDEX(EMPL_CLASSE,MATCH($I100,EMPL_KEY,0)),""))</f>
        <v/>
      </c>
      <c r="K100" s="26" t="str">
        <f aca="false">IF($M100=0,"",OPERATIONS!$K100)</f>
        <v/>
      </c>
      <c r="L100" s="26" t="str">
        <f aca="false">IF($G100="","",IF(IFERROR(INDEX(LOT_ETAT,MATCH($G100,LOT_KEY,0)),"")="","",INDEX(LOT_ETAT,MATCH($G100,LOT_KEY,0))))</f>
        <v/>
      </c>
      <c r="M100" s="73" t="n">
        <f aca="false">IF(OR(OPERATIONS!$O100=0,OPERATIONS!$C100="RECEPTION",OPERATIONS!$C100="AJUSTEMENT"),0,-OPERATIONS!$G100)</f>
        <v>0</v>
      </c>
      <c r="N100" s="73" t="n">
        <f aca="false">IF($M100=0,0,OPERATIONS!$R100*$M100)</f>
        <v>0</v>
      </c>
      <c r="O100" s="26" t="str">
        <f aca="false">IF($M100=0,"",OPERATIONS!$Q100)</f>
        <v/>
      </c>
      <c r="P100" s="26" t="str">
        <f aca="false">IF($G100="","",IF($G100=R_LOT,COUNTIF($G$5:$G100,R_LOT),""))</f>
        <v/>
      </c>
    </row>
    <row r="101" customFormat="false" ht="15" hidden="false" customHeight="false" outlineLevel="0" collapsed="false">
      <c r="A101" s="28" t="str">
        <f aca="false">IF($M101=0,"",ROW()-4)</f>
        <v/>
      </c>
      <c r="B101" s="26" t="str">
        <f aca="false">IF($M101=0,"","OPERATIONS")</f>
        <v/>
      </c>
      <c r="C101" s="26" t="str">
        <f aca="false">IF($M101=0,"",OPERATIONS!$A101)</f>
        <v/>
      </c>
      <c r="D101" s="31" t="str">
        <f aca="false">IF($M101=0,"",OPERATIONS!$B101)</f>
        <v/>
      </c>
      <c r="E101" s="26" t="str">
        <f aca="false">IF($M101=0,"","SORTIE")</f>
        <v/>
      </c>
      <c r="F101" s="26" t="str">
        <f aca="false">IF($M101=0,"",OPERATIONS!$C101)</f>
        <v/>
      </c>
      <c r="G101" s="26" t="str">
        <f aca="false">IF($M101=0,"",OPERATIONS!$D101)</f>
        <v/>
      </c>
      <c r="H101" s="26" t="str">
        <f aca="false">IF($G101="","",IFERROR(INDEX(LOT_EXTE,MATCH($G101,LOT_KEY,0)),""))</f>
        <v/>
      </c>
      <c r="I101" s="26" t="str">
        <f aca="false">IF($M101=0,"",OPERATIONS!$E101)</f>
        <v/>
      </c>
      <c r="J101" s="26" t="str">
        <f aca="false">IF($I101="","",IFERROR(INDEX(EMPL_CLASSE,MATCH($I101,EMPL_KEY,0)),""))</f>
        <v/>
      </c>
      <c r="K101" s="26" t="str">
        <f aca="false">IF($M101=0,"",OPERATIONS!$K101)</f>
        <v/>
      </c>
      <c r="L101" s="26" t="str">
        <f aca="false">IF($G101="","",IF(IFERROR(INDEX(LOT_ETAT,MATCH($G101,LOT_KEY,0)),"")="","",INDEX(LOT_ETAT,MATCH($G101,LOT_KEY,0))))</f>
        <v/>
      </c>
      <c r="M101" s="73" t="n">
        <f aca="false">IF(OR(OPERATIONS!$O101=0,OPERATIONS!$C101="RECEPTION",OPERATIONS!$C101="AJUSTEMENT"),0,-OPERATIONS!$G101)</f>
        <v>0</v>
      </c>
      <c r="N101" s="73" t="n">
        <f aca="false">IF($M101=0,0,OPERATIONS!$R101*$M101)</f>
        <v>0</v>
      </c>
      <c r="O101" s="26" t="str">
        <f aca="false">IF($M101=0,"",OPERATIONS!$Q101)</f>
        <v/>
      </c>
      <c r="P101" s="26" t="str">
        <f aca="false">IF($G101="","",IF($G101=R_LOT,COUNTIF($G$5:$G101,R_LOT),""))</f>
        <v/>
      </c>
    </row>
    <row r="102" customFormat="false" ht="15" hidden="false" customHeight="false" outlineLevel="0" collapsed="false">
      <c r="A102" s="28" t="str">
        <f aca="false">IF($M102=0,"",ROW()-4)</f>
        <v/>
      </c>
      <c r="B102" s="26" t="str">
        <f aca="false">IF($M102=0,"","OPERATIONS")</f>
        <v/>
      </c>
      <c r="C102" s="26" t="str">
        <f aca="false">IF($M102=0,"",OPERATIONS!$A102)</f>
        <v/>
      </c>
      <c r="D102" s="31" t="str">
        <f aca="false">IF($M102=0,"",OPERATIONS!$B102)</f>
        <v/>
      </c>
      <c r="E102" s="26" t="str">
        <f aca="false">IF($M102=0,"","SORTIE")</f>
        <v/>
      </c>
      <c r="F102" s="26" t="str">
        <f aca="false">IF($M102=0,"",OPERATIONS!$C102)</f>
        <v/>
      </c>
      <c r="G102" s="26" t="str">
        <f aca="false">IF($M102=0,"",OPERATIONS!$D102)</f>
        <v/>
      </c>
      <c r="H102" s="26" t="str">
        <f aca="false">IF($G102="","",IFERROR(INDEX(LOT_EXTE,MATCH($G102,LOT_KEY,0)),""))</f>
        <v/>
      </c>
      <c r="I102" s="26" t="str">
        <f aca="false">IF($M102=0,"",OPERATIONS!$E102)</f>
        <v/>
      </c>
      <c r="J102" s="26" t="str">
        <f aca="false">IF($I102="","",IFERROR(INDEX(EMPL_CLASSE,MATCH($I102,EMPL_KEY,0)),""))</f>
        <v/>
      </c>
      <c r="K102" s="26" t="str">
        <f aca="false">IF($M102=0,"",OPERATIONS!$K102)</f>
        <v/>
      </c>
      <c r="L102" s="26" t="str">
        <f aca="false">IF($G102="","",IF(IFERROR(INDEX(LOT_ETAT,MATCH($G102,LOT_KEY,0)),"")="","",INDEX(LOT_ETAT,MATCH($G102,LOT_KEY,0))))</f>
        <v/>
      </c>
      <c r="M102" s="73" t="n">
        <f aca="false">IF(OR(OPERATIONS!$O102=0,OPERATIONS!$C102="RECEPTION",OPERATIONS!$C102="AJUSTEMENT"),0,-OPERATIONS!$G102)</f>
        <v>0</v>
      </c>
      <c r="N102" s="73" t="n">
        <f aca="false">IF($M102=0,0,OPERATIONS!$R102*$M102)</f>
        <v>0</v>
      </c>
      <c r="O102" s="26" t="str">
        <f aca="false">IF($M102=0,"",OPERATIONS!$Q102)</f>
        <v/>
      </c>
      <c r="P102" s="26" t="str">
        <f aca="false">IF($G102="","",IF($G102=R_LOT,COUNTIF($G$5:$G102,R_LOT),""))</f>
        <v/>
      </c>
    </row>
    <row r="103" customFormat="false" ht="15" hidden="false" customHeight="false" outlineLevel="0" collapsed="false">
      <c r="A103" s="28" t="str">
        <f aca="false">IF($M103=0,"",ROW()-4)</f>
        <v/>
      </c>
      <c r="B103" s="26" t="str">
        <f aca="false">IF($M103=0,"","OPERATIONS")</f>
        <v/>
      </c>
      <c r="C103" s="26" t="str">
        <f aca="false">IF($M103=0,"",OPERATIONS!$A103)</f>
        <v/>
      </c>
      <c r="D103" s="31" t="str">
        <f aca="false">IF($M103=0,"",OPERATIONS!$B103)</f>
        <v/>
      </c>
      <c r="E103" s="26" t="str">
        <f aca="false">IF($M103=0,"","SORTIE")</f>
        <v/>
      </c>
      <c r="F103" s="26" t="str">
        <f aca="false">IF($M103=0,"",OPERATIONS!$C103)</f>
        <v/>
      </c>
      <c r="G103" s="26" t="str">
        <f aca="false">IF($M103=0,"",OPERATIONS!$D103)</f>
        <v/>
      </c>
      <c r="H103" s="26" t="str">
        <f aca="false">IF($G103="","",IFERROR(INDEX(LOT_EXTE,MATCH($G103,LOT_KEY,0)),""))</f>
        <v/>
      </c>
      <c r="I103" s="26" t="str">
        <f aca="false">IF($M103=0,"",OPERATIONS!$E103)</f>
        <v/>
      </c>
      <c r="J103" s="26" t="str">
        <f aca="false">IF($I103="","",IFERROR(INDEX(EMPL_CLASSE,MATCH($I103,EMPL_KEY,0)),""))</f>
        <v/>
      </c>
      <c r="K103" s="26" t="str">
        <f aca="false">IF($M103=0,"",OPERATIONS!$K103)</f>
        <v/>
      </c>
      <c r="L103" s="26" t="str">
        <f aca="false">IF($G103="","",IF(IFERROR(INDEX(LOT_ETAT,MATCH($G103,LOT_KEY,0)),"")="","",INDEX(LOT_ETAT,MATCH($G103,LOT_KEY,0))))</f>
        <v/>
      </c>
      <c r="M103" s="73" t="n">
        <f aca="false">IF(OR(OPERATIONS!$O103=0,OPERATIONS!$C103="RECEPTION",OPERATIONS!$C103="AJUSTEMENT"),0,-OPERATIONS!$G103)</f>
        <v>0</v>
      </c>
      <c r="N103" s="73" t="n">
        <f aca="false">IF($M103=0,0,OPERATIONS!$R103*$M103)</f>
        <v>0</v>
      </c>
      <c r="O103" s="26" t="str">
        <f aca="false">IF($M103=0,"",OPERATIONS!$Q103)</f>
        <v/>
      </c>
      <c r="P103" s="26" t="str">
        <f aca="false">IF($G103="","",IF($G103=R_LOT,COUNTIF($G$5:$G103,R_LOT),""))</f>
        <v/>
      </c>
    </row>
    <row r="104" customFormat="false" ht="15" hidden="false" customHeight="false" outlineLevel="0" collapsed="false">
      <c r="A104" s="28" t="str">
        <f aca="false">IF($M104=0,"",ROW()-4)</f>
        <v/>
      </c>
      <c r="B104" s="26" t="str">
        <f aca="false">IF($M104=0,"","OPERATIONS")</f>
        <v/>
      </c>
      <c r="C104" s="26" t="str">
        <f aca="false">IF($M104=0,"",OPERATIONS!$A104)</f>
        <v/>
      </c>
      <c r="D104" s="31" t="str">
        <f aca="false">IF($M104=0,"",OPERATIONS!$B104)</f>
        <v/>
      </c>
      <c r="E104" s="26" t="str">
        <f aca="false">IF($M104=0,"","SORTIE")</f>
        <v/>
      </c>
      <c r="F104" s="26" t="str">
        <f aca="false">IF($M104=0,"",OPERATIONS!$C104)</f>
        <v/>
      </c>
      <c r="G104" s="26" t="str">
        <f aca="false">IF($M104=0,"",OPERATIONS!$D104)</f>
        <v/>
      </c>
      <c r="H104" s="26" t="str">
        <f aca="false">IF($G104="","",IFERROR(INDEX(LOT_EXTE,MATCH($G104,LOT_KEY,0)),""))</f>
        <v/>
      </c>
      <c r="I104" s="26" t="str">
        <f aca="false">IF($M104=0,"",OPERATIONS!$E104)</f>
        <v/>
      </c>
      <c r="J104" s="26" t="str">
        <f aca="false">IF($I104="","",IFERROR(INDEX(EMPL_CLASSE,MATCH($I104,EMPL_KEY,0)),""))</f>
        <v/>
      </c>
      <c r="K104" s="26" t="str">
        <f aca="false">IF($M104=0,"",OPERATIONS!$K104)</f>
        <v/>
      </c>
      <c r="L104" s="26" t="str">
        <f aca="false">IF($G104="","",IF(IFERROR(INDEX(LOT_ETAT,MATCH($G104,LOT_KEY,0)),"")="","",INDEX(LOT_ETAT,MATCH($G104,LOT_KEY,0))))</f>
        <v/>
      </c>
      <c r="M104" s="73" t="n">
        <f aca="false">IF(OR(OPERATIONS!$O104=0,OPERATIONS!$C104="RECEPTION",OPERATIONS!$C104="AJUSTEMENT"),0,-OPERATIONS!$G104)</f>
        <v>0</v>
      </c>
      <c r="N104" s="73" t="n">
        <f aca="false">IF($M104=0,0,OPERATIONS!$R104*$M104)</f>
        <v>0</v>
      </c>
      <c r="O104" s="26" t="str">
        <f aca="false">IF($M104=0,"",OPERATIONS!$Q104)</f>
        <v/>
      </c>
      <c r="P104" s="26" t="str">
        <f aca="false">IF($G104="","",IF($G104=R_LOT,COUNTIF($G$5:$G104,R_LOT),""))</f>
        <v/>
      </c>
    </row>
    <row r="105" customFormat="false" ht="15" hidden="false" customHeight="false" outlineLevel="0" collapsed="false">
      <c r="A105" s="28" t="str">
        <f aca="false">IF($M105=0,"",ROW()-4)</f>
        <v/>
      </c>
      <c r="B105" s="26" t="str">
        <f aca="false">IF($M105=0,"","OPERATIONS")</f>
        <v/>
      </c>
      <c r="C105" s="26" t="str">
        <f aca="false">IF($M105=0,"",OPERATIONS!$A105)</f>
        <v/>
      </c>
      <c r="D105" s="31" t="str">
        <f aca="false">IF($M105=0,"",OPERATIONS!$B105)</f>
        <v/>
      </c>
      <c r="E105" s="26" t="str">
        <f aca="false">IF($M105=0,"","SORTIE")</f>
        <v/>
      </c>
      <c r="F105" s="26" t="str">
        <f aca="false">IF($M105=0,"",OPERATIONS!$C105)</f>
        <v/>
      </c>
      <c r="G105" s="26" t="str">
        <f aca="false">IF($M105=0,"",OPERATIONS!$D105)</f>
        <v/>
      </c>
      <c r="H105" s="26" t="str">
        <f aca="false">IF($G105="","",IFERROR(INDEX(LOT_EXTE,MATCH($G105,LOT_KEY,0)),""))</f>
        <v/>
      </c>
      <c r="I105" s="26" t="str">
        <f aca="false">IF($M105=0,"",OPERATIONS!$E105)</f>
        <v/>
      </c>
      <c r="J105" s="26" t="str">
        <f aca="false">IF($I105="","",IFERROR(INDEX(EMPL_CLASSE,MATCH($I105,EMPL_KEY,0)),""))</f>
        <v/>
      </c>
      <c r="K105" s="26" t="str">
        <f aca="false">IF($M105=0,"",OPERATIONS!$K105)</f>
        <v/>
      </c>
      <c r="L105" s="26" t="str">
        <f aca="false">IF($G105="","",IF(IFERROR(INDEX(LOT_ETAT,MATCH($G105,LOT_KEY,0)),"")="","",INDEX(LOT_ETAT,MATCH($G105,LOT_KEY,0))))</f>
        <v/>
      </c>
      <c r="M105" s="73" t="n">
        <f aca="false">IF(OR(OPERATIONS!$O105=0,OPERATIONS!$C105="RECEPTION",OPERATIONS!$C105="AJUSTEMENT"),0,-OPERATIONS!$G105)</f>
        <v>0</v>
      </c>
      <c r="N105" s="73" t="n">
        <f aca="false">IF($M105=0,0,OPERATIONS!$R105*$M105)</f>
        <v>0</v>
      </c>
      <c r="O105" s="26" t="str">
        <f aca="false">IF($M105=0,"",OPERATIONS!$Q105)</f>
        <v/>
      </c>
      <c r="P105" s="26" t="str">
        <f aca="false">IF($G105="","",IF($G105=R_LOT,COUNTIF($G$5:$G105,R_LOT),""))</f>
        <v/>
      </c>
    </row>
    <row r="106" customFormat="false" ht="15" hidden="false" customHeight="false" outlineLevel="0" collapsed="false">
      <c r="A106" s="28" t="str">
        <f aca="false">IF($M106=0,"",ROW()-4)</f>
        <v/>
      </c>
      <c r="B106" s="26" t="str">
        <f aca="false">IF($M106=0,"","OPERATIONS")</f>
        <v/>
      </c>
      <c r="C106" s="26" t="str">
        <f aca="false">IF($M106=0,"",OPERATIONS!$A106)</f>
        <v/>
      </c>
      <c r="D106" s="31" t="str">
        <f aca="false">IF($M106=0,"",OPERATIONS!$B106)</f>
        <v/>
      </c>
      <c r="E106" s="26" t="str">
        <f aca="false">IF($M106=0,"","SORTIE")</f>
        <v/>
      </c>
      <c r="F106" s="26" t="str">
        <f aca="false">IF($M106=0,"",OPERATIONS!$C106)</f>
        <v/>
      </c>
      <c r="G106" s="26" t="str">
        <f aca="false">IF($M106=0,"",OPERATIONS!$D106)</f>
        <v/>
      </c>
      <c r="H106" s="26" t="str">
        <f aca="false">IF($G106="","",IFERROR(INDEX(LOT_EXTE,MATCH($G106,LOT_KEY,0)),""))</f>
        <v/>
      </c>
      <c r="I106" s="26" t="str">
        <f aca="false">IF($M106=0,"",OPERATIONS!$E106)</f>
        <v/>
      </c>
      <c r="J106" s="26" t="str">
        <f aca="false">IF($I106="","",IFERROR(INDEX(EMPL_CLASSE,MATCH($I106,EMPL_KEY,0)),""))</f>
        <v/>
      </c>
      <c r="K106" s="26" t="str">
        <f aca="false">IF($M106=0,"",OPERATIONS!$K106)</f>
        <v/>
      </c>
      <c r="L106" s="26" t="str">
        <f aca="false">IF($G106="","",IF(IFERROR(INDEX(LOT_ETAT,MATCH($G106,LOT_KEY,0)),"")="","",INDEX(LOT_ETAT,MATCH($G106,LOT_KEY,0))))</f>
        <v/>
      </c>
      <c r="M106" s="73" t="n">
        <f aca="false">IF(OR(OPERATIONS!$O106=0,OPERATIONS!$C106="RECEPTION",OPERATIONS!$C106="AJUSTEMENT"),0,-OPERATIONS!$G106)</f>
        <v>0</v>
      </c>
      <c r="N106" s="73" t="n">
        <f aca="false">IF($M106=0,0,OPERATIONS!$R106*$M106)</f>
        <v>0</v>
      </c>
      <c r="O106" s="26" t="str">
        <f aca="false">IF($M106=0,"",OPERATIONS!$Q106)</f>
        <v/>
      </c>
      <c r="P106" s="26" t="str">
        <f aca="false">IF($G106="","",IF($G106=R_LOT,COUNTIF($G$5:$G106,R_LOT),""))</f>
        <v/>
      </c>
    </row>
    <row r="107" customFormat="false" ht="15" hidden="false" customHeight="false" outlineLevel="0" collapsed="false">
      <c r="A107" s="28" t="str">
        <f aca="false">IF($M107=0,"",ROW()-4)</f>
        <v/>
      </c>
      <c r="B107" s="26" t="str">
        <f aca="false">IF($M107=0,"","OPERATIONS")</f>
        <v/>
      </c>
      <c r="C107" s="26" t="str">
        <f aca="false">IF($M107=0,"",OPERATIONS!$A107)</f>
        <v/>
      </c>
      <c r="D107" s="31" t="str">
        <f aca="false">IF($M107=0,"",OPERATIONS!$B107)</f>
        <v/>
      </c>
      <c r="E107" s="26" t="str">
        <f aca="false">IF($M107=0,"","SORTIE")</f>
        <v/>
      </c>
      <c r="F107" s="26" t="str">
        <f aca="false">IF($M107=0,"",OPERATIONS!$C107)</f>
        <v/>
      </c>
      <c r="G107" s="26" t="str">
        <f aca="false">IF($M107=0,"",OPERATIONS!$D107)</f>
        <v/>
      </c>
      <c r="H107" s="26" t="str">
        <f aca="false">IF($G107="","",IFERROR(INDEX(LOT_EXTE,MATCH($G107,LOT_KEY,0)),""))</f>
        <v/>
      </c>
      <c r="I107" s="26" t="str">
        <f aca="false">IF($M107=0,"",OPERATIONS!$E107)</f>
        <v/>
      </c>
      <c r="J107" s="26" t="str">
        <f aca="false">IF($I107="","",IFERROR(INDEX(EMPL_CLASSE,MATCH($I107,EMPL_KEY,0)),""))</f>
        <v/>
      </c>
      <c r="K107" s="26" t="str">
        <f aca="false">IF($M107=0,"",OPERATIONS!$K107)</f>
        <v/>
      </c>
      <c r="L107" s="26" t="str">
        <f aca="false">IF($G107="","",IF(IFERROR(INDEX(LOT_ETAT,MATCH($G107,LOT_KEY,0)),"")="","",INDEX(LOT_ETAT,MATCH($G107,LOT_KEY,0))))</f>
        <v/>
      </c>
      <c r="M107" s="73" t="n">
        <f aca="false">IF(OR(OPERATIONS!$O107=0,OPERATIONS!$C107="RECEPTION",OPERATIONS!$C107="AJUSTEMENT"),0,-OPERATIONS!$G107)</f>
        <v>0</v>
      </c>
      <c r="N107" s="73" t="n">
        <f aca="false">IF($M107=0,0,OPERATIONS!$R107*$M107)</f>
        <v>0</v>
      </c>
      <c r="O107" s="26" t="str">
        <f aca="false">IF($M107=0,"",OPERATIONS!$Q107)</f>
        <v/>
      </c>
      <c r="P107" s="26" t="str">
        <f aca="false">IF($G107="","",IF($G107=R_LOT,COUNTIF($G$5:$G107,R_LOT),""))</f>
        <v/>
      </c>
    </row>
    <row r="108" customFormat="false" ht="15" hidden="false" customHeight="false" outlineLevel="0" collapsed="false">
      <c r="A108" s="28" t="str">
        <f aca="false">IF($M108=0,"",ROW()-4)</f>
        <v/>
      </c>
      <c r="B108" s="26" t="str">
        <f aca="false">IF($M108=0,"","OPERATIONS")</f>
        <v/>
      </c>
      <c r="C108" s="26" t="str">
        <f aca="false">IF($M108=0,"",OPERATIONS!$A108)</f>
        <v/>
      </c>
      <c r="D108" s="31" t="str">
        <f aca="false">IF($M108=0,"",OPERATIONS!$B108)</f>
        <v/>
      </c>
      <c r="E108" s="26" t="str">
        <f aca="false">IF($M108=0,"","SORTIE")</f>
        <v/>
      </c>
      <c r="F108" s="26" t="str">
        <f aca="false">IF($M108=0,"",OPERATIONS!$C108)</f>
        <v/>
      </c>
      <c r="G108" s="26" t="str">
        <f aca="false">IF($M108=0,"",OPERATIONS!$D108)</f>
        <v/>
      </c>
      <c r="H108" s="26" t="str">
        <f aca="false">IF($G108="","",IFERROR(INDEX(LOT_EXTE,MATCH($G108,LOT_KEY,0)),""))</f>
        <v/>
      </c>
      <c r="I108" s="26" t="str">
        <f aca="false">IF($M108=0,"",OPERATIONS!$E108)</f>
        <v/>
      </c>
      <c r="J108" s="26" t="str">
        <f aca="false">IF($I108="","",IFERROR(INDEX(EMPL_CLASSE,MATCH($I108,EMPL_KEY,0)),""))</f>
        <v/>
      </c>
      <c r="K108" s="26" t="str">
        <f aca="false">IF($M108=0,"",OPERATIONS!$K108)</f>
        <v/>
      </c>
      <c r="L108" s="26" t="str">
        <f aca="false">IF($G108="","",IF(IFERROR(INDEX(LOT_ETAT,MATCH($G108,LOT_KEY,0)),"")="","",INDEX(LOT_ETAT,MATCH($G108,LOT_KEY,0))))</f>
        <v/>
      </c>
      <c r="M108" s="73" t="n">
        <f aca="false">IF(OR(OPERATIONS!$O108=0,OPERATIONS!$C108="RECEPTION",OPERATIONS!$C108="AJUSTEMENT"),0,-OPERATIONS!$G108)</f>
        <v>0</v>
      </c>
      <c r="N108" s="73" t="n">
        <f aca="false">IF($M108=0,0,OPERATIONS!$R108*$M108)</f>
        <v>0</v>
      </c>
      <c r="O108" s="26" t="str">
        <f aca="false">IF($M108=0,"",OPERATIONS!$Q108)</f>
        <v/>
      </c>
      <c r="P108" s="26" t="str">
        <f aca="false">IF($G108="","",IF($G108=R_LOT,COUNTIF($G$5:$G108,R_LOT),""))</f>
        <v/>
      </c>
    </row>
    <row r="109" customFormat="false" ht="15" hidden="false" customHeight="false" outlineLevel="0" collapsed="false">
      <c r="A109" s="28" t="str">
        <f aca="false">IF($M109=0,"",ROW()-4)</f>
        <v/>
      </c>
      <c r="B109" s="26" t="str">
        <f aca="false">IF($M109=0,"","OPERATIONS")</f>
        <v/>
      </c>
      <c r="C109" s="26" t="str">
        <f aca="false">IF($M109=0,"",OPERATIONS!$A109)</f>
        <v/>
      </c>
      <c r="D109" s="31" t="str">
        <f aca="false">IF($M109=0,"",OPERATIONS!$B109)</f>
        <v/>
      </c>
      <c r="E109" s="26" t="str">
        <f aca="false">IF($M109=0,"","SORTIE")</f>
        <v/>
      </c>
      <c r="F109" s="26" t="str">
        <f aca="false">IF($M109=0,"",OPERATIONS!$C109)</f>
        <v/>
      </c>
      <c r="G109" s="26" t="str">
        <f aca="false">IF($M109=0,"",OPERATIONS!$D109)</f>
        <v/>
      </c>
      <c r="H109" s="26" t="str">
        <f aca="false">IF($G109="","",IFERROR(INDEX(LOT_EXTE,MATCH($G109,LOT_KEY,0)),""))</f>
        <v/>
      </c>
      <c r="I109" s="26" t="str">
        <f aca="false">IF($M109=0,"",OPERATIONS!$E109)</f>
        <v/>
      </c>
      <c r="J109" s="26" t="str">
        <f aca="false">IF($I109="","",IFERROR(INDEX(EMPL_CLASSE,MATCH($I109,EMPL_KEY,0)),""))</f>
        <v/>
      </c>
      <c r="K109" s="26" t="str">
        <f aca="false">IF($M109=0,"",OPERATIONS!$K109)</f>
        <v/>
      </c>
      <c r="L109" s="26" t="str">
        <f aca="false">IF($G109="","",IF(IFERROR(INDEX(LOT_ETAT,MATCH($G109,LOT_KEY,0)),"")="","",INDEX(LOT_ETAT,MATCH($G109,LOT_KEY,0))))</f>
        <v/>
      </c>
      <c r="M109" s="73" t="n">
        <f aca="false">IF(OR(OPERATIONS!$O109=0,OPERATIONS!$C109="RECEPTION",OPERATIONS!$C109="AJUSTEMENT"),0,-OPERATIONS!$G109)</f>
        <v>0</v>
      </c>
      <c r="N109" s="73" t="n">
        <f aca="false">IF($M109=0,0,OPERATIONS!$R109*$M109)</f>
        <v>0</v>
      </c>
      <c r="O109" s="26" t="str">
        <f aca="false">IF($M109=0,"",OPERATIONS!$Q109)</f>
        <v/>
      </c>
      <c r="P109" s="26" t="str">
        <f aca="false">IF($G109="","",IF($G109=R_LOT,COUNTIF($G$5:$G109,R_LOT),""))</f>
        <v/>
      </c>
    </row>
    <row r="110" customFormat="false" ht="15" hidden="false" customHeight="false" outlineLevel="0" collapsed="false">
      <c r="A110" s="28" t="str">
        <f aca="false">IF($M110=0,"",ROW()-4)</f>
        <v/>
      </c>
      <c r="B110" s="26" t="str">
        <f aca="false">IF($M110=0,"","OPERATIONS")</f>
        <v/>
      </c>
      <c r="C110" s="26" t="str">
        <f aca="false">IF($M110=0,"",OPERATIONS!$A110)</f>
        <v/>
      </c>
      <c r="D110" s="31" t="str">
        <f aca="false">IF($M110=0,"",OPERATIONS!$B110)</f>
        <v/>
      </c>
      <c r="E110" s="26" t="str">
        <f aca="false">IF($M110=0,"","SORTIE")</f>
        <v/>
      </c>
      <c r="F110" s="26" t="str">
        <f aca="false">IF($M110=0,"",OPERATIONS!$C110)</f>
        <v/>
      </c>
      <c r="G110" s="26" t="str">
        <f aca="false">IF($M110=0,"",OPERATIONS!$D110)</f>
        <v/>
      </c>
      <c r="H110" s="26" t="str">
        <f aca="false">IF($G110="","",IFERROR(INDEX(LOT_EXTE,MATCH($G110,LOT_KEY,0)),""))</f>
        <v/>
      </c>
      <c r="I110" s="26" t="str">
        <f aca="false">IF($M110=0,"",OPERATIONS!$E110)</f>
        <v/>
      </c>
      <c r="J110" s="26" t="str">
        <f aca="false">IF($I110="","",IFERROR(INDEX(EMPL_CLASSE,MATCH($I110,EMPL_KEY,0)),""))</f>
        <v/>
      </c>
      <c r="K110" s="26" t="str">
        <f aca="false">IF($M110=0,"",OPERATIONS!$K110)</f>
        <v/>
      </c>
      <c r="L110" s="26" t="str">
        <f aca="false">IF($G110="","",IF(IFERROR(INDEX(LOT_ETAT,MATCH($G110,LOT_KEY,0)),"")="","",INDEX(LOT_ETAT,MATCH($G110,LOT_KEY,0))))</f>
        <v/>
      </c>
      <c r="M110" s="73" t="n">
        <f aca="false">IF(OR(OPERATIONS!$O110=0,OPERATIONS!$C110="RECEPTION",OPERATIONS!$C110="AJUSTEMENT"),0,-OPERATIONS!$G110)</f>
        <v>0</v>
      </c>
      <c r="N110" s="73" t="n">
        <f aca="false">IF($M110=0,0,OPERATIONS!$R110*$M110)</f>
        <v>0</v>
      </c>
      <c r="O110" s="26" t="str">
        <f aca="false">IF($M110=0,"",OPERATIONS!$Q110)</f>
        <v/>
      </c>
      <c r="P110" s="26" t="str">
        <f aca="false">IF($G110="","",IF($G110=R_LOT,COUNTIF($G$5:$G110,R_LOT),""))</f>
        <v/>
      </c>
    </row>
    <row r="111" customFormat="false" ht="15" hidden="false" customHeight="false" outlineLevel="0" collapsed="false">
      <c r="A111" s="28" t="str">
        <f aca="false">IF($M111=0,"",ROW()-4)</f>
        <v/>
      </c>
      <c r="B111" s="26" t="str">
        <f aca="false">IF($M111=0,"","OPERATIONS")</f>
        <v/>
      </c>
      <c r="C111" s="26" t="str">
        <f aca="false">IF($M111=0,"",OPERATIONS!$A111)</f>
        <v/>
      </c>
      <c r="D111" s="31" t="str">
        <f aca="false">IF($M111=0,"",OPERATIONS!$B111)</f>
        <v/>
      </c>
      <c r="E111" s="26" t="str">
        <f aca="false">IF($M111=0,"","SORTIE")</f>
        <v/>
      </c>
      <c r="F111" s="26" t="str">
        <f aca="false">IF($M111=0,"",OPERATIONS!$C111)</f>
        <v/>
      </c>
      <c r="G111" s="26" t="str">
        <f aca="false">IF($M111=0,"",OPERATIONS!$D111)</f>
        <v/>
      </c>
      <c r="H111" s="26" t="str">
        <f aca="false">IF($G111="","",IFERROR(INDEX(LOT_EXTE,MATCH($G111,LOT_KEY,0)),""))</f>
        <v/>
      </c>
      <c r="I111" s="26" t="str">
        <f aca="false">IF($M111=0,"",OPERATIONS!$E111)</f>
        <v/>
      </c>
      <c r="J111" s="26" t="str">
        <f aca="false">IF($I111="","",IFERROR(INDEX(EMPL_CLASSE,MATCH($I111,EMPL_KEY,0)),""))</f>
        <v/>
      </c>
      <c r="K111" s="26" t="str">
        <f aca="false">IF($M111=0,"",OPERATIONS!$K111)</f>
        <v/>
      </c>
      <c r="L111" s="26" t="str">
        <f aca="false">IF($G111="","",IF(IFERROR(INDEX(LOT_ETAT,MATCH($G111,LOT_KEY,0)),"")="","",INDEX(LOT_ETAT,MATCH($G111,LOT_KEY,0))))</f>
        <v/>
      </c>
      <c r="M111" s="73" t="n">
        <f aca="false">IF(OR(OPERATIONS!$O111=0,OPERATIONS!$C111="RECEPTION",OPERATIONS!$C111="AJUSTEMENT"),0,-OPERATIONS!$G111)</f>
        <v>0</v>
      </c>
      <c r="N111" s="73" t="n">
        <f aca="false">IF($M111=0,0,OPERATIONS!$R111*$M111)</f>
        <v>0</v>
      </c>
      <c r="O111" s="26" t="str">
        <f aca="false">IF($M111=0,"",OPERATIONS!$Q111)</f>
        <v/>
      </c>
      <c r="P111" s="26" t="str">
        <f aca="false">IF($G111="","",IF($G111=R_LOT,COUNTIF($G$5:$G111,R_LOT),""))</f>
        <v/>
      </c>
    </row>
    <row r="112" customFormat="false" ht="15" hidden="false" customHeight="false" outlineLevel="0" collapsed="false">
      <c r="A112" s="28" t="str">
        <f aca="false">IF($M112=0,"",ROW()-4)</f>
        <v/>
      </c>
      <c r="B112" s="26" t="str">
        <f aca="false">IF($M112=0,"","OPERATIONS")</f>
        <v/>
      </c>
      <c r="C112" s="26" t="str">
        <f aca="false">IF($M112=0,"",OPERATIONS!$A112)</f>
        <v/>
      </c>
      <c r="D112" s="31" t="str">
        <f aca="false">IF($M112=0,"",OPERATIONS!$B112)</f>
        <v/>
      </c>
      <c r="E112" s="26" t="str">
        <f aca="false">IF($M112=0,"","SORTIE")</f>
        <v/>
      </c>
      <c r="F112" s="26" t="str">
        <f aca="false">IF($M112=0,"",OPERATIONS!$C112)</f>
        <v/>
      </c>
      <c r="G112" s="26" t="str">
        <f aca="false">IF($M112=0,"",OPERATIONS!$D112)</f>
        <v/>
      </c>
      <c r="H112" s="26" t="str">
        <f aca="false">IF($G112="","",IFERROR(INDEX(LOT_EXTE,MATCH($G112,LOT_KEY,0)),""))</f>
        <v/>
      </c>
      <c r="I112" s="26" t="str">
        <f aca="false">IF($M112=0,"",OPERATIONS!$E112)</f>
        <v/>
      </c>
      <c r="J112" s="26" t="str">
        <f aca="false">IF($I112="","",IFERROR(INDEX(EMPL_CLASSE,MATCH($I112,EMPL_KEY,0)),""))</f>
        <v/>
      </c>
      <c r="K112" s="26" t="str">
        <f aca="false">IF($M112=0,"",OPERATIONS!$K112)</f>
        <v/>
      </c>
      <c r="L112" s="26" t="str">
        <f aca="false">IF($G112="","",IF(IFERROR(INDEX(LOT_ETAT,MATCH($G112,LOT_KEY,0)),"")="","",INDEX(LOT_ETAT,MATCH($G112,LOT_KEY,0))))</f>
        <v/>
      </c>
      <c r="M112" s="73" t="n">
        <f aca="false">IF(OR(OPERATIONS!$O112=0,OPERATIONS!$C112="RECEPTION",OPERATIONS!$C112="AJUSTEMENT"),0,-OPERATIONS!$G112)</f>
        <v>0</v>
      </c>
      <c r="N112" s="73" t="n">
        <f aca="false">IF($M112=0,0,OPERATIONS!$R112*$M112)</f>
        <v>0</v>
      </c>
      <c r="O112" s="26" t="str">
        <f aca="false">IF($M112=0,"",OPERATIONS!$Q112)</f>
        <v/>
      </c>
      <c r="P112" s="26" t="str">
        <f aca="false">IF($G112="","",IF($G112=R_LOT,COUNTIF($G$5:$G112,R_LOT),""))</f>
        <v/>
      </c>
    </row>
    <row r="113" customFormat="false" ht="15" hidden="false" customHeight="false" outlineLevel="0" collapsed="false">
      <c r="A113" s="28" t="str">
        <f aca="false">IF($M113=0,"",ROW()-4)</f>
        <v/>
      </c>
      <c r="B113" s="26" t="str">
        <f aca="false">IF($M113=0,"","OPERATIONS")</f>
        <v/>
      </c>
      <c r="C113" s="26" t="str">
        <f aca="false">IF($M113=0,"",OPERATIONS!$A113)</f>
        <v/>
      </c>
      <c r="D113" s="31" t="str">
        <f aca="false">IF($M113=0,"",OPERATIONS!$B113)</f>
        <v/>
      </c>
      <c r="E113" s="26" t="str">
        <f aca="false">IF($M113=0,"","SORTIE")</f>
        <v/>
      </c>
      <c r="F113" s="26" t="str">
        <f aca="false">IF($M113=0,"",OPERATIONS!$C113)</f>
        <v/>
      </c>
      <c r="G113" s="26" t="str">
        <f aca="false">IF($M113=0,"",OPERATIONS!$D113)</f>
        <v/>
      </c>
      <c r="H113" s="26" t="str">
        <f aca="false">IF($G113="","",IFERROR(INDEX(LOT_EXTE,MATCH($G113,LOT_KEY,0)),""))</f>
        <v/>
      </c>
      <c r="I113" s="26" t="str">
        <f aca="false">IF($M113=0,"",OPERATIONS!$E113)</f>
        <v/>
      </c>
      <c r="J113" s="26" t="str">
        <f aca="false">IF($I113="","",IFERROR(INDEX(EMPL_CLASSE,MATCH($I113,EMPL_KEY,0)),""))</f>
        <v/>
      </c>
      <c r="K113" s="26" t="str">
        <f aca="false">IF($M113=0,"",OPERATIONS!$K113)</f>
        <v/>
      </c>
      <c r="L113" s="26" t="str">
        <f aca="false">IF($G113="","",IF(IFERROR(INDEX(LOT_ETAT,MATCH($G113,LOT_KEY,0)),"")="","",INDEX(LOT_ETAT,MATCH($G113,LOT_KEY,0))))</f>
        <v/>
      </c>
      <c r="M113" s="73" t="n">
        <f aca="false">IF(OR(OPERATIONS!$O113=0,OPERATIONS!$C113="RECEPTION",OPERATIONS!$C113="AJUSTEMENT"),0,-OPERATIONS!$G113)</f>
        <v>0</v>
      </c>
      <c r="N113" s="73" t="n">
        <f aca="false">IF($M113=0,0,OPERATIONS!$R113*$M113)</f>
        <v>0</v>
      </c>
      <c r="O113" s="26" t="str">
        <f aca="false">IF($M113=0,"",OPERATIONS!$Q113)</f>
        <v/>
      </c>
      <c r="P113" s="26" t="str">
        <f aca="false">IF($G113="","",IF($G113=R_LOT,COUNTIF($G$5:$G113,R_LOT),""))</f>
        <v/>
      </c>
    </row>
    <row r="114" customFormat="false" ht="15" hidden="false" customHeight="false" outlineLevel="0" collapsed="false">
      <c r="A114" s="28" t="str">
        <f aca="false">IF($M114=0,"",ROW()-4)</f>
        <v/>
      </c>
      <c r="B114" s="26" t="str">
        <f aca="false">IF($M114=0,"","OPERATIONS")</f>
        <v/>
      </c>
      <c r="C114" s="26" t="str">
        <f aca="false">IF($M114=0,"",OPERATIONS!$A114)</f>
        <v/>
      </c>
      <c r="D114" s="31" t="str">
        <f aca="false">IF($M114=0,"",OPERATIONS!$B114)</f>
        <v/>
      </c>
      <c r="E114" s="26" t="str">
        <f aca="false">IF($M114=0,"","SORTIE")</f>
        <v/>
      </c>
      <c r="F114" s="26" t="str">
        <f aca="false">IF($M114=0,"",OPERATIONS!$C114)</f>
        <v/>
      </c>
      <c r="G114" s="26" t="str">
        <f aca="false">IF($M114=0,"",OPERATIONS!$D114)</f>
        <v/>
      </c>
      <c r="H114" s="26" t="str">
        <f aca="false">IF($G114="","",IFERROR(INDEX(LOT_EXTE,MATCH($G114,LOT_KEY,0)),""))</f>
        <v/>
      </c>
      <c r="I114" s="26" t="str">
        <f aca="false">IF($M114=0,"",OPERATIONS!$E114)</f>
        <v/>
      </c>
      <c r="J114" s="26" t="str">
        <f aca="false">IF($I114="","",IFERROR(INDEX(EMPL_CLASSE,MATCH($I114,EMPL_KEY,0)),""))</f>
        <v/>
      </c>
      <c r="K114" s="26" t="str">
        <f aca="false">IF($M114=0,"",OPERATIONS!$K114)</f>
        <v/>
      </c>
      <c r="L114" s="26" t="str">
        <f aca="false">IF($G114="","",IF(IFERROR(INDEX(LOT_ETAT,MATCH($G114,LOT_KEY,0)),"")="","",INDEX(LOT_ETAT,MATCH($G114,LOT_KEY,0))))</f>
        <v/>
      </c>
      <c r="M114" s="73" t="n">
        <f aca="false">IF(OR(OPERATIONS!$O114=0,OPERATIONS!$C114="RECEPTION",OPERATIONS!$C114="AJUSTEMENT"),0,-OPERATIONS!$G114)</f>
        <v>0</v>
      </c>
      <c r="N114" s="73" t="n">
        <f aca="false">IF($M114=0,0,OPERATIONS!$R114*$M114)</f>
        <v>0</v>
      </c>
      <c r="O114" s="26" t="str">
        <f aca="false">IF($M114=0,"",OPERATIONS!$Q114)</f>
        <v/>
      </c>
      <c r="P114" s="26" t="str">
        <f aca="false">IF($G114="","",IF($G114=R_LOT,COUNTIF($G$5:$G114,R_LOT),""))</f>
        <v/>
      </c>
    </row>
    <row r="115" customFormat="false" ht="15" hidden="false" customHeight="false" outlineLevel="0" collapsed="false">
      <c r="A115" s="28" t="str">
        <f aca="false">IF($M115=0,"",ROW()-4)</f>
        <v/>
      </c>
      <c r="B115" s="26" t="str">
        <f aca="false">IF($M115=0,"","OPERATIONS")</f>
        <v/>
      </c>
      <c r="C115" s="26" t="str">
        <f aca="false">IF($M115=0,"",OPERATIONS!$A115)</f>
        <v/>
      </c>
      <c r="D115" s="31" t="str">
        <f aca="false">IF($M115=0,"",OPERATIONS!$B115)</f>
        <v/>
      </c>
      <c r="E115" s="26" t="str">
        <f aca="false">IF($M115=0,"","SORTIE")</f>
        <v/>
      </c>
      <c r="F115" s="26" t="str">
        <f aca="false">IF($M115=0,"",OPERATIONS!$C115)</f>
        <v/>
      </c>
      <c r="G115" s="26" t="str">
        <f aca="false">IF($M115=0,"",OPERATIONS!$D115)</f>
        <v/>
      </c>
      <c r="H115" s="26" t="str">
        <f aca="false">IF($G115="","",IFERROR(INDEX(LOT_EXTE,MATCH($G115,LOT_KEY,0)),""))</f>
        <v/>
      </c>
      <c r="I115" s="26" t="str">
        <f aca="false">IF($M115=0,"",OPERATIONS!$E115)</f>
        <v/>
      </c>
      <c r="J115" s="26" t="str">
        <f aca="false">IF($I115="","",IFERROR(INDEX(EMPL_CLASSE,MATCH($I115,EMPL_KEY,0)),""))</f>
        <v/>
      </c>
      <c r="K115" s="26" t="str">
        <f aca="false">IF($M115=0,"",OPERATIONS!$K115)</f>
        <v/>
      </c>
      <c r="L115" s="26" t="str">
        <f aca="false">IF($G115="","",IF(IFERROR(INDEX(LOT_ETAT,MATCH($G115,LOT_KEY,0)),"")="","",INDEX(LOT_ETAT,MATCH($G115,LOT_KEY,0))))</f>
        <v/>
      </c>
      <c r="M115" s="73" t="n">
        <f aca="false">IF(OR(OPERATIONS!$O115=0,OPERATIONS!$C115="RECEPTION",OPERATIONS!$C115="AJUSTEMENT"),0,-OPERATIONS!$G115)</f>
        <v>0</v>
      </c>
      <c r="N115" s="73" t="n">
        <f aca="false">IF($M115=0,0,OPERATIONS!$R115*$M115)</f>
        <v>0</v>
      </c>
      <c r="O115" s="26" t="str">
        <f aca="false">IF($M115=0,"",OPERATIONS!$Q115)</f>
        <v/>
      </c>
      <c r="P115" s="26" t="str">
        <f aca="false">IF($G115="","",IF($G115=R_LOT,COUNTIF($G$5:$G115,R_LOT),""))</f>
        <v/>
      </c>
    </row>
    <row r="116" customFormat="false" ht="15" hidden="false" customHeight="false" outlineLevel="0" collapsed="false">
      <c r="A116" s="28" t="str">
        <f aca="false">IF($M116=0,"",ROW()-4)</f>
        <v/>
      </c>
      <c r="B116" s="26" t="str">
        <f aca="false">IF($M116=0,"","OPERATIONS")</f>
        <v/>
      </c>
      <c r="C116" s="26" t="str">
        <f aca="false">IF($M116=0,"",OPERATIONS!$A116)</f>
        <v/>
      </c>
      <c r="D116" s="31" t="str">
        <f aca="false">IF($M116=0,"",OPERATIONS!$B116)</f>
        <v/>
      </c>
      <c r="E116" s="26" t="str">
        <f aca="false">IF($M116=0,"","SORTIE")</f>
        <v/>
      </c>
      <c r="F116" s="26" t="str">
        <f aca="false">IF($M116=0,"",OPERATIONS!$C116)</f>
        <v/>
      </c>
      <c r="G116" s="26" t="str">
        <f aca="false">IF($M116=0,"",OPERATIONS!$D116)</f>
        <v/>
      </c>
      <c r="H116" s="26" t="str">
        <f aca="false">IF($G116="","",IFERROR(INDEX(LOT_EXTE,MATCH($G116,LOT_KEY,0)),""))</f>
        <v/>
      </c>
      <c r="I116" s="26" t="str">
        <f aca="false">IF($M116=0,"",OPERATIONS!$E116)</f>
        <v/>
      </c>
      <c r="J116" s="26" t="str">
        <f aca="false">IF($I116="","",IFERROR(INDEX(EMPL_CLASSE,MATCH($I116,EMPL_KEY,0)),""))</f>
        <v/>
      </c>
      <c r="K116" s="26" t="str">
        <f aca="false">IF($M116=0,"",OPERATIONS!$K116)</f>
        <v/>
      </c>
      <c r="L116" s="26" t="str">
        <f aca="false">IF($G116="","",IF(IFERROR(INDEX(LOT_ETAT,MATCH($G116,LOT_KEY,0)),"")="","",INDEX(LOT_ETAT,MATCH($G116,LOT_KEY,0))))</f>
        <v/>
      </c>
      <c r="M116" s="73" t="n">
        <f aca="false">IF(OR(OPERATIONS!$O116=0,OPERATIONS!$C116="RECEPTION",OPERATIONS!$C116="AJUSTEMENT"),0,-OPERATIONS!$G116)</f>
        <v>0</v>
      </c>
      <c r="N116" s="73" t="n">
        <f aca="false">IF($M116=0,0,OPERATIONS!$R116*$M116)</f>
        <v>0</v>
      </c>
      <c r="O116" s="26" t="str">
        <f aca="false">IF($M116=0,"",OPERATIONS!$Q116)</f>
        <v/>
      </c>
      <c r="P116" s="26" t="str">
        <f aca="false">IF($G116="","",IF($G116=R_LOT,COUNTIF($G$5:$G116,R_LOT),""))</f>
        <v/>
      </c>
    </row>
    <row r="117" customFormat="false" ht="15" hidden="false" customHeight="false" outlineLevel="0" collapsed="false">
      <c r="A117" s="28" t="str">
        <f aca="false">IF($M117=0,"",ROW()-4)</f>
        <v/>
      </c>
      <c r="B117" s="26" t="str">
        <f aca="false">IF($M117=0,"","OPERATIONS")</f>
        <v/>
      </c>
      <c r="C117" s="26" t="str">
        <f aca="false">IF($M117=0,"",OPERATIONS!$A117)</f>
        <v/>
      </c>
      <c r="D117" s="31" t="str">
        <f aca="false">IF($M117=0,"",OPERATIONS!$B117)</f>
        <v/>
      </c>
      <c r="E117" s="26" t="str">
        <f aca="false">IF($M117=0,"","SORTIE")</f>
        <v/>
      </c>
      <c r="F117" s="26" t="str">
        <f aca="false">IF($M117=0,"",OPERATIONS!$C117)</f>
        <v/>
      </c>
      <c r="G117" s="26" t="str">
        <f aca="false">IF($M117=0,"",OPERATIONS!$D117)</f>
        <v/>
      </c>
      <c r="H117" s="26" t="str">
        <f aca="false">IF($G117="","",IFERROR(INDEX(LOT_EXTE,MATCH($G117,LOT_KEY,0)),""))</f>
        <v/>
      </c>
      <c r="I117" s="26" t="str">
        <f aca="false">IF($M117=0,"",OPERATIONS!$E117)</f>
        <v/>
      </c>
      <c r="J117" s="26" t="str">
        <f aca="false">IF($I117="","",IFERROR(INDEX(EMPL_CLASSE,MATCH($I117,EMPL_KEY,0)),""))</f>
        <v/>
      </c>
      <c r="K117" s="26" t="str">
        <f aca="false">IF($M117=0,"",OPERATIONS!$K117)</f>
        <v/>
      </c>
      <c r="L117" s="26" t="str">
        <f aca="false">IF($G117="","",IF(IFERROR(INDEX(LOT_ETAT,MATCH($G117,LOT_KEY,0)),"")="","",INDEX(LOT_ETAT,MATCH($G117,LOT_KEY,0))))</f>
        <v/>
      </c>
      <c r="M117" s="73" t="n">
        <f aca="false">IF(OR(OPERATIONS!$O117=0,OPERATIONS!$C117="RECEPTION",OPERATIONS!$C117="AJUSTEMENT"),0,-OPERATIONS!$G117)</f>
        <v>0</v>
      </c>
      <c r="N117" s="73" t="n">
        <f aca="false">IF($M117=0,0,OPERATIONS!$R117*$M117)</f>
        <v>0</v>
      </c>
      <c r="O117" s="26" t="str">
        <f aca="false">IF($M117=0,"",OPERATIONS!$Q117)</f>
        <v/>
      </c>
      <c r="P117" s="26" t="str">
        <f aca="false">IF($G117="","",IF($G117=R_LOT,COUNTIF($G$5:$G117,R_LOT),""))</f>
        <v/>
      </c>
    </row>
    <row r="118" customFormat="false" ht="15" hidden="false" customHeight="false" outlineLevel="0" collapsed="false">
      <c r="A118" s="28" t="str">
        <f aca="false">IF($M118=0,"",ROW()-4)</f>
        <v/>
      </c>
      <c r="B118" s="26" t="str">
        <f aca="false">IF($M118=0,"","OPERATIONS")</f>
        <v/>
      </c>
      <c r="C118" s="26" t="str">
        <f aca="false">IF($M118=0,"",OPERATIONS!$A118)</f>
        <v/>
      </c>
      <c r="D118" s="31" t="str">
        <f aca="false">IF($M118=0,"",OPERATIONS!$B118)</f>
        <v/>
      </c>
      <c r="E118" s="26" t="str">
        <f aca="false">IF($M118=0,"","SORTIE")</f>
        <v/>
      </c>
      <c r="F118" s="26" t="str">
        <f aca="false">IF($M118=0,"",OPERATIONS!$C118)</f>
        <v/>
      </c>
      <c r="G118" s="26" t="str">
        <f aca="false">IF($M118=0,"",OPERATIONS!$D118)</f>
        <v/>
      </c>
      <c r="H118" s="26" t="str">
        <f aca="false">IF($G118="","",IFERROR(INDEX(LOT_EXTE,MATCH($G118,LOT_KEY,0)),""))</f>
        <v/>
      </c>
      <c r="I118" s="26" t="str">
        <f aca="false">IF($M118=0,"",OPERATIONS!$E118)</f>
        <v/>
      </c>
      <c r="J118" s="26" t="str">
        <f aca="false">IF($I118="","",IFERROR(INDEX(EMPL_CLASSE,MATCH($I118,EMPL_KEY,0)),""))</f>
        <v/>
      </c>
      <c r="K118" s="26" t="str">
        <f aca="false">IF($M118=0,"",OPERATIONS!$K118)</f>
        <v/>
      </c>
      <c r="L118" s="26" t="str">
        <f aca="false">IF($G118="","",IF(IFERROR(INDEX(LOT_ETAT,MATCH($G118,LOT_KEY,0)),"")="","",INDEX(LOT_ETAT,MATCH($G118,LOT_KEY,0))))</f>
        <v/>
      </c>
      <c r="M118" s="73" t="n">
        <f aca="false">IF(OR(OPERATIONS!$O118=0,OPERATIONS!$C118="RECEPTION",OPERATIONS!$C118="AJUSTEMENT"),0,-OPERATIONS!$G118)</f>
        <v>0</v>
      </c>
      <c r="N118" s="73" t="n">
        <f aca="false">IF($M118=0,0,OPERATIONS!$R118*$M118)</f>
        <v>0</v>
      </c>
      <c r="O118" s="26" t="str">
        <f aca="false">IF($M118=0,"",OPERATIONS!$Q118)</f>
        <v/>
      </c>
      <c r="P118" s="26" t="str">
        <f aca="false">IF($G118="","",IF($G118=R_LOT,COUNTIF($G$5:$G118,R_LOT),""))</f>
        <v/>
      </c>
    </row>
    <row r="119" customFormat="false" ht="15" hidden="false" customHeight="false" outlineLevel="0" collapsed="false">
      <c r="A119" s="28" t="str">
        <f aca="false">IF($M119=0,"",ROW()-4)</f>
        <v/>
      </c>
      <c r="B119" s="26" t="str">
        <f aca="false">IF($M119=0,"","OPERATIONS")</f>
        <v/>
      </c>
      <c r="C119" s="26" t="str">
        <f aca="false">IF($M119=0,"",OPERATIONS!$A119)</f>
        <v/>
      </c>
      <c r="D119" s="31" t="str">
        <f aca="false">IF($M119=0,"",OPERATIONS!$B119)</f>
        <v/>
      </c>
      <c r="E119" s="26" t="str">
        <f aca="false">IF($M119=0,"","SORTIE")</f>
        <v/>
      </c>
      <c r="F119" s="26" t="str">
        <f aca="false">IF($M119=0,"",OPERATIONS!$C119)</f>
        <v/>
      </c>
      <c r="G119" s="26" t="str">
        <f aca="false">IF($M119=0,"",OPERATIONS!$D119)</f>
        <v/>
      </c>
      <c r="H119" s="26" t="str">
        <f aca="false">IF($G119="","",IFERROR(INDEX(LOT_EXTE,MATCH($G119,LOT_KEY,0)),""))</f>
        <v/>
      </c>
      <c r="I119" s="26" t="str">
        <f aca="false">IF($M119=0,"",OPERATIONS!$E119)</f>
        <v/>
      </c>
      <c r="J119" s="26" t="str">
        <f aca="false">IF($I119="","",IFERROR(INDEX(EMPL_CLASSE,MATCH($I119,EMPL_KEY,0)),""))</f>
        <v/>
      </c>
      <c r="K119" s="26" t="str">
        <f aca="false">IF($M119=0,"",OPERATIONS!$K119)</f>
        <v/>
      </c>
      <c r="L119" s="26" t="str">
        <f aca="false">IF($G119="","",IF(IFERROR(INDEX(LOT_ETAT,MATCH($G119,LOT_KEY,0)),"")="","",INDEX(LOT_ETAT,MATCH($G119,LOT_KEY,0))))</f>
        <v/>
      </c>
      <c r="M119" s="73" t="n">
        <f aca="false">IF(OR(OPERATIONS!$O119=0,OPERATIONS!$C119="RECEPTION",OPERATIONS!$C119="AJUSTEMENT"),0,-OPERATIONS!$G119)</f>
        <v>0</v>
      </c>
      <c r="N119" s="73" t="n">
        <f aca="false">IF($M119=0,0,OPERATIONS!$R119*$M119)</f>
        <v>0</v>
      </c>
      <c r="O119" s="26" t="str">
        <f aca="false">IF($M119=0,"",OPERATIONS!$Q119)</f>
        <v/>
      </c>
      <c r="P119" s="26" t="str">
        <f aca="false">IF($G119="","",IF($G119=R_LOT,COUNTIF($G$5:$G119,R_LOT),""))</f>
        <v/>
      </c>
    </row>
    <row r="120" customFormat="false" ht="15" hidden="false" customHeight="false" outlineLevel="0" collapsed="false">
      <c r="A120" s="28" t="str">
        <f aca="false">IF($M120=0,"",ROW()-4)</f>
        <v/>
      </c>
      <c r="B120" s="26" t="str">
        <f aca="false">IF($M120=0,"","OPERATIONS")</f>
        <v/>
      </c>
      <c r="C120" s="26" t="str">
        <f aca="false">IF($M120=0,"",OPERATIONS!$A120)</f>
        <v/>
      </c>
      <c r="D120" s="31" t="str">
        <f aca="false">IF($M120=0,"",OPERATIONS!$B120)</f>
        <v/>
      </c>
      <c r="E120" s="26" t="str">
        <f aca="false">IF($M120=0,"","SORTIE")</f>
        <v/>
      </c>
      <c r="F120" s="26" t="str">
        <f aca="false">IF($M120=0,"",OPERATIONS!$C120)</f>
        <v/>
      </c>
      <c r="G120" s="26" t="str">
        <f aca="false">IF($M120=0,"",OPERATIONS!$D120)</f>
        <v/>
      </c>
      <c r="H120" s="26" t="str">
        <f aca="false">IF($G120="","",IFERROR(INDEX(LOT_EXTE,MATCH($G120,LOT_KEY,0)),""))</f>
        <v/>
      </c>
      <c r="I120" s="26" t="str">
        <f aca="false">IF($M120=0,"",OPERATIONS!$E120)</f>
        <v/>
      </c>
      <c r="J120" s="26" t="str">
        <f aca="false">IF($I120="","",IFERROR(INDEX(EMPL_CLASSE,MATCH($I120,EMPL_KEY,0)),""))</f>
        <v/>
      </c>
      <c r="K120" s="26" t="str">
        <f aca="false">IF($M120=0,"",OPERATIONS!$K120)</f>
        <v/>
      </c>
      <c r="L120" s="26" t="str">
        <f aca="false">IF($G120="","",IF(IFERROR(INDEX(LOT_ETAT,MATCH($G120,LOT_KEY,0)),"")="","",INDEX(LOT_ETAT,MATCH($G120,LOT_KEY,0))))</f>
        <v/>
      </c>
      <c r="M120" s="73" t="n">
        <f aca="false">IF(OR(OPERATIONS!$O120=0,OPERATIONS!$C120="RECEPTION",OPERATIONS!$C120="AJUSTEMENT"),0,-OPERATIONS!$G120)</f>
        <v>0</v>
      </c>
      <c r="N120" s="73" t="n">
        <f aca="false">IF($M120=0,0,OPERATIONS!$R120*$M120)</f>
        <v>0</v>
      </c>
      <c r="O120" s="26" t="str">
        <f aca="false">IF($M120=0,"",OPERATIONS!$Q120)</f>
        <v/>
      </c>
      <c r="P120" s="26" t="str">
        <f aca="false">IF($G120="","",IF($G120=R_LOT,COUNTIF($G$5:$G120,R_LOT),""))</f>
        <v/>
      </c>
    </row>
    <row r="121" customFormat="false" ht="15" hidden="false" customHeight="false" outlineLevel="0" collapsed="false">
      <c r="A121" s="28" t="str">
        <f aca="false">IF($M121=0,"",ROW()-4)</f>
        <v/>
      </c>
      <c r="B121" s="26" t="str">
        <f aca="false">IF($M121=0,"","OPERATIONS")</f>
        <v/>
      </c>
      <c r="C121" s="26" t="str">
        <f aca="false">IF($M121=0,"",OPERATIONS!$A121)</f>
        <v/>
      </c>
      <c r="D121" s="31" t="str">
        <f aca="false">IF($M121=0,"",OPERATIONS!$B121)</f>
        <v/>
      </c>
      <c r="E121" s="26" t="str">
        <f aca="false">IF($M121=0,"","SORTIE")</f>
        <v/>
      </c>
      <c r="F121" s="26" t="str">
        <f aca="false">IF($M121=0,"",OPERATIONS!$C121)</f>
        <v/>
      </c>
      <c r="G121" s="26" t="str">
        <f aca="false">IF($M121=0,"",OPERATIONS!$D121)</f>
        <v/>
      </c>
      <c r="H121" s="26" t="str">
        <f aca="false">IF($G121="","",IFERROR(INDEX(LOT_EXTE,MATCH($G121,LOT_KEY,0)),""))</f>
        <v/>
      </c>
      <c r="I121" s="26" t="str">
        <f aca="false">IF($M121=0,"",OPERATIONS!$E121)</f>
        <v/>
      </c>
      <c r="J121" s="26" t="str">
        <f aca="false">IF($I121="","",IFERROR(INDEX(EMPL_CLASSE,MATCH($I121,EMPL_KEY,0)),""))</f>
        <v/>
      </c>
      <c r="K121" s="26" t="str">
        <f aca="false">IF($M121=0,"",OPERATIONS!$K121)</f>
        <v/>
      </c>
      <c r="L121" s="26" t="str">
        <f aca="false">IF($G121="","",IF(IFERROR(INDEX(LOT_ETAT,MATCH($G121,LOT_KEY,0)),"")="","",INDEX(LOT_ETAT,MATCH($G121,LOT_KEY,0))))</f>
        <v/>
      </c>
      <c r="M121" s="73" t="n">
        <f aca="false">IF(OR(OPERATIONS!$O121=0,OPERATIONS!$C121="RECEPTION",OPERATIONS!$C121="AJUSTEMENT"),0,-OPERATIONS!$G121)</f>
        <v>0</v>
      </c>
      <c r="N121" s="73" t="n">
        <f aca="false">IF($M121=0,0,OPERATIONS!$R121*$M121)</f>
        <v>0</v>
      </c>
      <c r="O121" s="26" t="str">
        <f aca="false">IF($M121=0,"",OPERATIONS!$Q121)</f>
        <v/>
      </c>
      <c r="P121" s="26" t="str">
        <f aca="false">IF($G121="","",IF($G121=R_LOT,COUNTIF($G$5:$G121,R_LOT),""))</f>
        <v/>
      </c>
    </row>
    <row r="122" customFormat="false" ht="15" hidden="false" customHeight="false" outlineLevel="0" collapsed="false">
      <c r="A122" s="28" t="str">
        <f aca="false">IF($M122=0,"",ROW()-4)</f>
        <v/>
      </c>
      <c r="B122" s="26" t="str">
        <f aca="false">IF($M122=0,"","OPERATIONS")</f>
        <v/>
      </c>
      <c r="C122" s="26" t="str">
        <f aca="false">IF($M122=0,"",OPERATIONS!$A122)</f>
        <v/>
      </c>
      <c r="D122" s="31" t="str">
        <f aca="false">IF($M122=0,"",OPERATIONS!$B122)</f>
        <v/>
      </c>
      <c r="E122" s="26" t="str">
        <f aca="false">IF($M122=0,"","SORTIE")</f>
        <v/>
      </c>
      <c r="F122" s="26" t="str">
        <f aca="false">IF($M122=0,"",OPERATIONS!$C122)</f>
        <v/>
      </c>
      <c r="G122" s="26" t="str">
        <f aca="false">IF($M122=0,"",OPERATIONS!$D122)</f>
        <v/>
      </c>
      <c r="H122" s="26" t="str">
        <f aca="false">IF($G122="","",IFERROR(INDEX(LOT_EXTE,MATCH($G122,LOT_KEY,0)),""))</f>
        <v/>
      </c>
      <c r="I122" s="26" t="str">
        <f aca="false">IF($M122=0,"",OPERATIONS!$E122)</f>
        <v/>
      </c>
      <c r="J122" s="26" t="str">
        <f aca="false">IF($I122="","",IFERROR(INDEX(EMPL_CLASSE,MATCH($I122,EMPL_KEY,0)),""))</f>
        <v/>
      </c>
      <c r="K122" s="26" t="str">
        <f aca="false">IF($M122=0,"",OPERATIONS!$K122)</f>
        <v/>
      </c>
      <c r="L122" s="26" t="str">
        <f aca="false">IF($G122="","",IF(IFERROR(INDEX(LOT_ETAT,MATCH($G122,LOT_KEY,0)),"")="","",INDEX(LOT_ETAT,MATCH($G122,LOT_KEY,0))))</f>
        <v/>
      </c>
      <c r="M122" s="73" t="n">
        <f aca="false">IF(OR(OPERATIONS!$O122=0,OPERATIONS!$C122="RECEPTION",OPERATIONS!$C122="AJUSTEMENT"),0,-OPERATIONS!$G122)</f>
        <v>0</v>
      </c>
      <c r="N122" s="73" t="n">
        <f aca="false">IF($M122=0,0,OPERATIONS!$R122*$M122)</f>
        <v>0</v>
      </c>
      <c r="O122" s="26" t="str">
        <f aca="false">IF($M122=0,"",OPERATIONS!$Q122)</f>
        <v/>
      </c>
      <c r="P122" s="26" t="str">
        <f aca="false">IF($G122="","",IF($G122=R_LOT,COUNTIF($G$5:$G122,R_LOT),""))</f>
        <v/>
      </c>
    </row>
    <row r="123" customFormat="false" ht="15" hidden="false" customHeight="false" outlineLevel="0" collapsed="false">
      <c r="A123" s="28" t="str">
        <f aca="false">IF($M123=0,"",ROW()-4)</f>
        <v/>
      </c>
      <c r="B123" s="26" t="str">
        <f aca="false">IF($M123=0,"","OPERATIONS")</f>
        <v/>
      </c>
      <c r="C123" s="26" t="str">
        <f aca="false">IF($M123=0,"",OPERATIONS!$A123)</f>
        <v/>
      </c>
      <c r="D123" s="31" t="str">
        <f aca="false">IF($M123=0,"",OPERATIONS!$B123)</f>
        <v/>
      </c>
      <c r="E123" s="26" t="str">
        <f aca="false">IF($M123=0,"","SORTIE")</f>
        <v/>
      </c>
      <c r="F123" s="26" t="str">
        <f aca="false">IF($M123=0,"",OPERATIONS!$C123)</f>
        <v/>
      </c>
      <c r="G123" s="26" t="str">
        <f aca="false">IF($M123=0,"",OPERATIONS!$D123)</f>
        <v/>
      </c>
      <c r="H123" s="26" t="str">
        <f aca="false">IF($G123="","",IFERROR(INDEX(LOT_EXTE,MATCH($G123,LOT_KEY,0)),""))</f>
        <v/>
      </c>
      <c r="I123" s="26" t="str">
        <f aca="false">IF($M123=0,"",OPERATIONS!$E123)</f>
        <v/>
      </c>
      <c r="J123" s="26" t="str">
        <f aca="false">IF($I123="","",IFERROR(INDEX(EMPL_CLASSE,MATCH($I123,EMPL_KEY,0)),""))</f>
        <v/>
      </c>
      <c r="K123" s="26" t="str">
        <f aca="false">IF($M123=0,"",OPERATIONS!$K123)</f>
        <v/>
      </c>
      <c r="L123" s="26" t="str">
        <f aca="false">IF($G123="","",IF(IFERROR(INDEX(LOT_ETAT,MATCH($G123,LOT_KEY,0)),"")="","",INDEX(LOT_ETAT,MATCH($G123,LOT_KEY,0))))</f>
        <v/>
      </c>
      <c r="M123" s="73" t="n">
        <f aca="false">IF(OR(OPERATIONS!$O123=0,OPERATIONS!$C123="RECEPTION",OPERATIONS!$C123="AJUSTEMENT"),0,-OPERATIONS!$G123)</f>
        <v>0</v>
      </c>
      <c r="N123" s="73" t="n">
        <f aca="false">IF($M123=0,0,OPERATIONS!$R123*$M123)</f>
        <v>0</v>
      </c>
      <c r="O123" s="26" t="str">
        <f aca="false">IF($M123=0,"",OPERATIONS!$Q123)</f>
        <v/>
      </c>
      <c r="P123" s="26" t="str">
        <f aca="false">IF($G123="","",IF($G123=R_LOT,COUNTIF($G$5:$G123,R_LOT),""))</f>
        <v/>
      </c>
    </row>
    <row r="124" customFormat="false" ht="15" hidden="false" customHeight="false" outlineLevel="0" collapsed="false">
      <c r="A124" s="28" t="str">
        <f aca="false">IF($M124=0,"",ROW()-4)</f>
        <v/>
      </c>
      <c r="B124" s="26" t="str">
        <f aca="false">IF($M124=0,"","OPERATIONS")</f>
        <v/>
      </c>
      <c r="C124" s="26" t="str">
        <f aca="false">IF($M124=0,"",OPERATIONS!$A124)</f>
        <v/>
      </c>
      <c r="D124" s="31" t="str">
        <f aca="false">IF($M124=0,"",OPERATIONS!$B124)</f>
        <v/>
      </c>
      <c r="E124" s="26" t="str">
        <f aca="false">IF($M124=0,"","SORTIE")</f>
        <v/>
      </c>
      <c r="F124" s="26" t="str">
        <f aca="false">IF($M124=0,"",OPERATIONS!$C124)</f>
        <v/>
      </c>
      <c r="G124" s="26" t="str">
        <f aca="false">IF($M124=0,"",OPERATIONS!$D124)</f>
        <v/>
      </c>
      <c r="H124" s="26" t="str">
        <f aca="false">IF($G124="","",IFERROR(INDEX(LOT_EXTE,MATCH($G124,LOT_KEY,0)),""))</f>
        <v/>
      </c>
      <c r="I124" s="26" t="str">
        <f aca="false">IF($M124=0,"",OPERATIONS!$E124)</f>
        <v/>
      </c>
      <c r="J124" s="26" t="str">
        <f aca="false">IF($I124="","",IFERROR(INDEX(EMPL_CLASSE,MATCH($I124,EMPL_KEY,0)),""))</f>
        <v/>
      </c>
      <c r="K124" s="26" t="str">
        <f aca="false">IF($M124=0,"",OPERATIONS!$K124)</f>
        <v/>
      </c>
      <c r="L124" s="26" t="str">
        <f aca="false">IF($G124="","",IF(IFERROR(INDEX(LOT_ETAT,MATCH($G124,LOT_KEY,0)),"")="","",INDEX(LOT_ETAT,MATCH($G124,LOT_KEY,0))))</f>
        <v/>
      </c>
      <c r="M124" s="73" t="n">
        <f aca="false">IF(OR(OPERATIONS!$O124=0,OPERATIONS!$C124="RECEPTION",OPERATIONS!$C124="AJUSTEMENT"),0,-OPERATIONS!$G124)</f>
        <v>0</v>
      </c>
      <c r="N124" s="73" t="n">
        <f aca="false">IF($M124=0,0,OPERATIONS!$R124*$M124)</f>
        <v>0</v>
      </c>
      <c r="O124" s="26" t="str">
        <f aca="false">IF($M124=0,"",OPERATIONS!$Q124)</f>
        <v/>
      </c>
      <c r="P124" s="26" t="str">
        <f aca="false">IF($G124="","",IF($G124=R_LOT,COUNTIF($G$5:$G124,R_LOT),""))</f>
        <v/>
      </c>
    </row>
    <row r="125" customFormat="false" ht="15" hidden="false" customHeight="false" outlineLevel="0" collapsed="false">
      <c r="A125" s="28" t="str">
        <f aca="false">IF($M125=0,"",ROW()-4)</f>
        <v/>
      </c>
      <c r="B125" s="26" t="str">
        <f aca="false">IF($M125=0,"","OPERATIONS")</f>
        <v/>
      </c>
      <c r="C125" s="26" t="str">
        <f aca="false">IF($M125=0,"",OPERATIONS!$A125)</f>
        <v/>
      </c>
      <c r="D125" s="31" t="str">
        <f aca="false">IF($M125=0,"",OPERATIONS!$B125)</f>
        <v/>
      </c>
      <c r="E125" s="26" t="str">
        <f aca="false">IF($M125=0,"","SORTIE")</f>
        <v/>
      </c>
      <c r="F125" s="26" t="str">
        <f aca="false">IF($M125=0,"",OPERATIONS!$C125)</f>
        <v/>
      </c>
      <c r="G125" s="26" t="str">
        <f aca="false">IF($M125=0,"",OPERATIONS!$D125)</f>
        <v/>
      </c>
      <c r="H125" s="26" t="str">
        <f aca="false">IF($G125="","",IFERROR(INDEX(LOT_EXTE,MATCH($G125,LOT_KEY,0)),""))</f>
        <v/>
      </c>
      <c r="I125" s="26" t="str">
        <f aca="false">IF($M125=0,"",OPERATIONS!$E125)</f>
        <v/>
      </c>
      <c r="J125" s="26" t="str">
        <f aca="false">IF($I125="","",IFERROR(INDEX(EMPL_CLASSE,MATCH($I125,EMPL_KEY,0)),""))</f>
        <v/>
      </c>
      <c r="K125" s="26" t="str">
        <f aca="false">IF($M125=0,"",OPERATIONS!$K125)</f>
        <v/>
      </c>
      <c r="L125" s="26" t="str">
        <f aca="false">IF($G125="","",IF(IFERROR(INDEX(LOT_ETAT,MATCH($G125,LOT_KEY,0)),"")="","",INDEX(LOT_ETAT,MATCH($G125,LOT_KEY,0))))</f>
        <v/>
      </c>
      <c r="M125" s="73" t="n">
        <f aca="false">IF(OR(OPERATIONS!$O125=0,OPERATIONS!$C125="RECEPTION",OPERATIONS!$C125="AJUSTEMENT"),0,-OPERATIONS!$G125)</f>
        <v>0</v>
      </c>
      <c r="N125" s="73" t="n">
        <f aca="false">IF($M125=0,0,OPERATIONS!$R125*$M125)</f>
        <v>0</v>
      </c>
      <c r="O125" s="26" t="str">
        <f aca="false">IF($M125=0,"",OPERATIONS!$Q125)</f>
        <v/>
      </c>
      <c r="P125" s="26" t="str">
        <f aca="false">IF($G125="","",IF($G125=R_LOT,COUNTIF($G$5:$G125,R_LOT),""))</f>
        <v/>
      </c>
    </row>
    <row r="126" customFormat="false" ht="15" hidden="false" customHeight="false" outlineLevel="0" collapsed="false">
      <c r="A126" s="28" t="str">
        <f aca="false">IF($M126=0,"",ROW()-4)</f>
        <v/>
      </c>
      <c r="B126" s="26" t="str">
        <f aca="false">IF($M126=0,"","OPERATIONS")</f>
        <v/>
      </c>
      <c r="C126" s="26" t="str">
        <f aca="false">IF($M126=0,"",OPERATIONS!$A126)</f>
        <v/>
      </c>
      <c r="D126" s="31" t="str">
        <f aca="false">IF($M126=0,"",OPERATIONS!$B126)</f>
        <v/>
      </c>
      <c r="E126" s="26" t="str">
        <f aca="false">IF($M126=0,"","SORTIE")</f>
        <v/>
      </c>
      <c r="F126" s="26" t="str">
        <f aca="false">IF($M126=0,"",OPERATIONS!$C126)</f>
        <v/>
      </c>
      <c r="G126" s="26" t="str">
        <f aca="false">IF($M126=0,"",OPERATIONS!$D126)</f>
        <v/>
      </c>
      <c r="H126" s="26" t="str">
        <f aca="false">IF($G126="","",IFERROR(INDEX(LOT_EXTE,MATCH($G126,LOT_KEY,0)),""))</f>
        <v/>
      </c>
      <c r="I126" s="26" t="str">
        <f aca="false">IF($M126=0,"",OPERATIONS!$E126)</f>
        <v/>
      </c>
      <c r="J126" s="26" t="str">
        <f aca="false">IF($I126="","",IFERROR(INDEX(EMPL_CLASSE,MATCH($I126,EMPL_KEY,0)),""))</f>
        <v/>
      </c>
      <c r="K126" s="26" t="str">
        <f aca="false">IF($M126=0,"",OPERATIONS!$K126)</f>
        <v/>
      </c>
      <c r="L126" s="26" t="str">
        <f aca="false">IF($G126="","",IF(IFERROR(INDEX(LOT_ETAT,MATCH($G126,LOT_KEY,0)),"")="","",INDEX(LOT_ETAT,MATCH($G126,LOT_KEY,0))))</f>
        <v/>
      </c>
      <c r="M126" s="73" t="n">
        <f aca="false">IF(OR(OPERATIONS!$O126=0,OPERATIONS!$C126="RECEPTION",OPERATIONS!$C126="AJUSTEMENT"),0,-OPERATIONS!$G126)</f>
        <v>0</v>
      </c>
      <c r="N126" s="73" t="n">
        <f aca="false">IF($M126=0,0,OPERATIONS!$R126*$M126)</f>
        <v>0</v>
      </c>
      <c r="O126" s="26" t="str">
        <f aca="false">IF($M126=0,"",OPERATIONS!$Q126)</f>
        <v/>
      </c>
      <c r="P126" s="26" t="str">
        <f aca="false">IF($G126="","",IF($G126=R_LOT,COUNTIF($G$5:$G126,R_LOT),""))</f>
        <v/>
      </c>
    </row>
    <row r="127" customFormat="false" ht="15" hidden="false" customHeight="false" outlineLevel="0" collapsed="false">
      <c r="A127" s="28" t="str">
        <f aca="false">IF($M127=0,"",ROW()-4)</f>
        <v/>
      </c>
      <c r="B127" s="26" t="str">
        <f aca="false">IF($M127=0,"","OPERATIONS")</f>
        <v/>
      </c>
      <c r="C127" s="26" t="str">
        <f aca="false">IF($M127=0,"",OPERATIONS!$A127)</f>
        <v/>
      </c>
      <c r="D127" s="31" t="str">
        <f aca="false">IF($M127=0,"",OPERATIONS!$B127)</f>
        <v/>
      </c>
      <c r="E127" s="26" t="str">
        <f aca="false">IF($M127=0,"","SORTIE")</f>
        <v/>
      </c>
      <c r="F127" s="26" t="str">
        <f aca="false">IF($M127=0,"",OPERATIONS!$C127)</f>
        <v/>
      </c>
      <c r="G127" s="26" t="str">
        <f aca="false">IF($M127=0,"",OPERATIONS!$D127)</f>
        <v/>
      </c>
      <c r="H127" s="26" t="str">
        <f aca="false">IF($G127="","",IFERROR(INDEX(LOT_EXTE,MATCH($G127,LOT_KEY,0)),""))</f>
        <v/>
      </c>
      <c r="I127" s="26" t="str">
        <f aca="false">IF($M127=0,"",OPERATIONS!$E127)</f>
        <v/>
      </c>
      <c r="J127" s="26" t="str">
        <f aca="false">IF($I127="","",IFERROR(INDEX(EMPL_CLASSE,MATCH($I127,EMPL_KEY,0)),""))</f>
        <v/>
      </c>
      <c r="K127" s="26" t="str">
        <f aca="false">IF($M127=0,"",OPERATIONS!$K127)</f>
        <v/>
      </c>
      <c r="L127" s="26" t="str">
        <f aca="false">IF($G127="","",IF(IFERROR(INDEX(LOT_ETAT,MATCH($G127,LOT_KEY,0)),"")="","",INDEX(LOT_ETAT,MATCH($G127,LOT_KEY,0))))</f>
        <v/>
      </c>
      <c r="M127" s="73" t="n">
        <f aca="false">IF(OR(OPERATIONS!$O127=0,OPERATIONS!$C127="RECEPTION",OPERATIONS!$C127="AJUSTEMENT"),0,-OPERATIONS!$G127)</f>
        <v>0</v>
      </c>
      <c r="N127" s="73" t="n">
        <f aca="false">IF($M127=0,0,OPERATIONS!$R127*$M127)</f>
        <v>0</v>
      </c>
      <c r="O127" s="26" t="str">
        <f aca="false">IF($M127=0,"",OPERATIONS!$Q127)</f>
        <v/>
      </c>
      <c r="P127" s="26" t="str">
        <f aca="false">IF($G127="","",IF($G127=R_LOT,COUNTIF($G$5:$G127,R_LOT),""))</f>
        <v/>
      </c>
    </row>
    <row r="128" customFormat="false" ht="15" hidden="false" customHeight="false" outlineLevel="0" collapsed="false">
      <c r="A128" s="28" t="str">
        <f aca="false">IF($M128=0,"",ROW()-4)</f>
        <v/>
      </c>
      <c r="B128" s="26" t="str">
        <f aca="false">IF($M128=0,"","OPERATIONS")</f>
        <v/>
      </c>
      <c r="C128" s="26" t="str">
        <f aca="false">IF($M128=0,"",OPERATIONS!$A128)</f>
        <v/>
      </c>
      <c r="D128" s="31" t="str">
        <f aca="false">IF($M128=0,"",OPERATIONS!$B128)</f>
        <v/>
      </c>
      <c r="E128" s="26" t="str">
        <f aca="false">IF($M128=0,"","SORTIE")</f>
        <v/>
      </c>
      <c r="F128" s="26" t="str">
        <f aca="false">IF($M128=0,"",OPERATIONS!$C128)</f>
        <v/>
      </c>
      <c r="G128" s="26" t="str">
        <f aca="false">IF($M128=0,"",OPERATIONS!$D128)</f>
        <v/>
      </c>
      <c r="H128" s="26" t="str">
        <f aca="false">IF($G128="","",IFERROR(INDEX(LOT_EXTE,MATCH($G128,LOT_KEY,0)),""))</f>
        <v/>
      </c>
      <c r="I128" s="26" t="str">
        <f aca="false">IF($M128=0,"",OPERATIONS!$E128)</f>
        <v/>
      </c>
      <c r="J128" s="26" t="str">
        <f aca="false">IF($I128="","",IFERROR(INDEX(EMPL_CLASSE,MATCH($I128,EMPL_KEY,0)),""))</f>
        <v/>
      </c>
      <c r="K128" s="26" t="str">
        <f aca="false">IF($M128=0,"",OPERATIONS!$K128)</f>
        <v/>
      </c>
      <c r="L128" s="26" t="str">
        <f aca="false">IF($G128="","",IF(IFERROR(INDEX(LOT_ETAT,MATCH($G128,LOT_KEY,0)),"")="","",INDEX(LOT_ETAT,MATCH($G128,LOT_KEY,0))))</f>
        <v/>
      </c>
      <c r="M128" s="73" t="n">
        <f aca="false">IF(OR(OPERATIONS!$O128=0,OPERATIONS!$C128="RECEPTION",OPERATIONS!$C128="AJUSTEMENT"),0,-OPERATIONS!$G128)</f>
        <v>0</v>
      </c>
      <c r="N128" s="73" t="n">
        <f aca="false">IF($M128=0,0,OPERATIONS!$R128*$M128)</f>
        <v>0</v>
      </c>
      <c r="O128" s="26" t="str">
        <f aca="false">IF($M128=0,"",OPERATIONS!$Q128)</f>
        <v/>
      </c>
      <c r="P128" s="26" t="str">
        <f aca="false">IF($G128="","",IF($G128=R_LOT,COUNTIF($G$5:$G128,R_LOT),""))</f>
        <v/>
      </c>
    </row>
    <row r="129" customFormat="false" ht="15" hidden="false" customHeight="false" outlineLevel="0" collapsed="false">
      <c r="A129" s="28" t="str">
        <f aca="false">IF($M129=0,"",ROW()-4)</f>
        <v/>
      </c>
      <c r="B129" s="26" t="str">
        <f aca="false">IF($M129=0,"","OPERATIONS")</f>
        <v/>
      </c>
      <c r="C129" s="26" t="str">
        <f aca="false">IF($M129=0,"",OPERATIONS!$A129)</f>
        <v/>
      </c>
      <c r="D129" s="31" t="str">
        <f aca="false">IF($M129=0,"",OPERATIONS!$B129)</f>
        <v/>
      </c>
      <c r="E129" s="26" t="str">
        <f aca="false">IF($M129=0,"","SORTIE")</f>
        <v/>
      </c>
      <c r="F129" s="26" t="str">
        <f aca="false">IF($M129=0,"",OPERATIONS!$C129)</f>
        <v/>
      </c>
      <c r="G129" s="26" t="str">
        <f aca="false">IF($M129=0,"",OPERATIONS!$D129)</f>
        <v/>
      </c>
      <c r="H129" s="26" t="str">
        <f aca="false">IF($G129="","",IFERROR(INDEX(LOT_EXTE,MATCH($G129,LOT_KEY,0)),""))</f>
        <v/>
      </c>
      <c r="I129" s="26" t="str">
        <f aca="false">IF($M129=0,"",OPERATIONS!$E129)</f>
        <v/>
      </c>
      <c r="J129" s="26" t="str">
        <f aca="false">IF($I129="","",IFERROR(INDEX(EMPL_CLASSE,MATCH($I129,EMPL_KEY,0)),""))</f>
        <v/>
      </c>
      <c r="K129" s="26" t="str">
        <f aca="false">IF($M129=0,"",OPERATIONS!$K129)</f>
        <v/>
      </c>
      <c r="L129" s="26" t="str">
        <f aca="false">IF($G129="","",IF(IFERROR(INDEX(LOT_ETAT,MATCH($G129,LOT_KEY,0)),"")="","",INDEX(LOT_ETAT,MATCH($G129,LOT_KEY,0))))</f>
        <v/>
      </c>
      <c r="M129" s="73" t="n">
        <f aca="false">IF(OR(OPERATIONS!$O129=0,OPERATIONS!$C129="RECEPTION",OPERATIONS!$C129="AJUSTEMENT"),0,-OPERATIONS!$G129)</f>
        <v>0</v>
      </c>
      <c r="N129" s="73" t="n">
        <f aca="false">IF($M129=0,0,OPERATIONS!$R129*$M129)</f>
        <v>0</v>
      </c>
      <c r="O129" s="26" t="str">
        <f aca="false">IF($M129=0,"",OPERATIONS!$Q129)</f>
        <v/>
      </c>
      <c r="P129" s="26" t="str">
        <f aca="false">IF($G129="","",IF($G129=R_LOT,COUNTIF($G$5:$G129,R_LOT),""))</f>
        <v/>
      </c>
    </row>
    <row r="130" customFormat="false" ht="15" hidden="false" customHeight="false" outlineLevel="0" collapsed="false">
      <c r="A130" s="28" t="str">
        <f aca="false">IF($M130=0,"",ROW()-4)</f>
        <v/>
      </c>
      <c r="B130" s="26" t="str">
        <f aca="false">IF($M130=0,"","OPERATIONS")</f>
        <v/>
      </c>
      <c r="C130" s="26" t="str">
        <f aca="false">IF($M130=0,"",OPERATIONS!$A130)</f>
        <v/>
      </c>
      <c r="D130" s="31" t="str">
        <f aca="false">IF($M130=0,"",OPERATIONS!$B130)</f>
        <v/>
      </c>
      <c r="E130" s="26" t="str">
        <f aca="false">IF($M130=0,"","SORTIE")</f>
        <v/>
      </c>
      <c r="F130" s="26" t="str">
        <f aca="false">IF($M130=0,"",OPERATIONS!$C130)</f>
        <v/>
      </c>
      <c r="G130" s="26" t="str">
        <f aca="false">IF($M130=0,"",OPERATIONS!$D130)</f>
        <v/>
      </c>
      <c r="H130" s="26" t="str">
        <f aca="false">IF($G130="","",IFERROR(INDEX(LOT_EXTE,MATCH($G130,LOT_KEY,0)),""))</f>
        <v/>
      </c>
      <c r="I130" s="26" t="str">
        <f aca="false">IF($M130=0,"",OPERATIONS!$E130)</f>
        <v/>
      </c>
      <c r="J130" s="26" t="str">
        <f aca="false">IF($I130="","",IFERROR(INDEX(EMPL_CLASSE,MATCH($I130,EMPL_KEY,0)),""))</f>
        <v/>
      </c>
      <c r="K130" s="26" t="str">
        <f aca="false">IF($M130=0,"",OPERATIONS!$K130)</f>
        <v/>
      </c>
      <c r="L130" s="26" t="str">
        <f aca="false">IF($G130="","",IF(IFERROR(INDEX(LOT_ETAT,MATCH($G130,LOT_KEY,0)),"")="","",INDEX(LOT_ETAT,MATCH($G130,LOT_KEY,0))))</f>
        <v/>
      </c>
      <c r="M130" s="73" t="n">
        <f aca="false">IF(OR(OPERATIONS!$O130=0,OPERATIONS!$C130="RECEPTION",OPERATIONS!$C130="AJUSTEMENT"),0,-OPERATIONS!$G130)</f>
        <v>0</v>
      </c>
      <c r="N130" s="73" t="n">
        <f aca="false">IF($M130=0,0,OPERATIONS!$R130*$M130)</f>
        <v>0</v>
      </c>
      <c r="O130" s="26" t="str">
        <f aca="false">IF($M130=0,"",OPERATIONS!$Q130)</f>
        <v/>
      </c>
      <c r="P130" s="26" t="str">
        <f aca="false">IF($G130="","",IF($G130=R_LOT,COUNTIF($G$5:$G130,R_LOT),""))</f>
        <v/>
      </c>
    </row>
    <row r="131" customFormat="false" ht="15" hidden="false" customHeight="false" outlineLevel="0" collapsed="false">
      <c r="A131" s="28" t="str">
        <f aca="false">IF($M131=0,"",ROW()-4)</f>
        <v/>
      </c>
      <c r="B131" s="26" t="str">
        <f aca="false">IF($M131=0,"","OPERATIONS")</f>
        <v/>
      </c>
      <c r="C131" s="26" t="str">
        <f aca="false">IF($M131=0,"",OPERATIONS!$A131)</f>
        <v/>
      </c>
      <c r="D131" s="31" t="str">
        <f aca="false">IF($M131=0,"",OPERATIONS!$B131)</f>
        <v/>
      </c>
      <c r="E131" s="26" t="str">
        <f aca="false">IF($M131=0,"","SORTIE")</f>
        <v/>
      </c>
      <c r="F131" s="26" t="str">
        <f aca="false">IF($M131=0,"",OPERATIONS!$C131)</f>
        <v/>
      </c>
      <c r="G131" s="26" t="str">
        <f aca="false">IF($M131=0,"",OPERATIONS!$D131)</f>
        <v/>
      </c>
      <c r="H131" s="26" t="str">
        <f aca="false">IF($G131="","",IFERROR(INDEX(LOT_EXTE,MATCH($G131,LOT_KEY,0)),""))</f>
        <v/>
      </c>
      <c r="I131" s="26" t="str">
        <f aca="false">IF($M131=0,"",OPERATIONS!$E131)</f>
        <v/>
      </c>
      <c r="J131" s="26" t="str">
        <f aca="false">IF($I131="","",IFERROR(INDEX(EMPL_CLASSE,MATCH($I131,EMPL_KEY,0)),""))</f>
        <v/>
      </c>
      <c r="K131" s="26" t="str">
        <f aca="false">IF($M131=0,"",OPERATIONS!$K131)</f>
        <v/>
      </c>
      <c r="L131" s="26" t="str">
        <f aca="false">IF($G131="","",IF(IFERROR(INDEX(LOT_ETAT,MATCH($G131,LOT_KEY,0)),"")="","",INDEX(LOT_ETAT,MATCH($G131,LOT_KEY,0))))</f>
        <v/>
      </c>
      <c r="M131" s="73" t="n">
        <f aca="false">IF(OR(OPERATIONS!$O131=0,OPERATIONS!$C131="RECEPTION",OPERATIONS!$C131="AJUSTEMENT"),0,-OPERATIONS!$G131)</f>
        <v>0</v>
      </c>
      <c r="N131" s="73" t="n">
        <f aca="false">IF($M131=0,0,OPERATIONS!$R131*$M131)</f>
        <v>0</v>
      </c>
      <c r="O131" s="26" t="str">
        <f aca="false">IF($M131=0,"",OPERATIONS!$Q131)</f>
        <v/>
      </c>
      <c r="P131" s="26" t="str">
        <f aca="false">IF($G131="","",IF($G131=R_LOT,COUNTIF($G$5:$G131,R_LOT),""))</f>
        <v/>
      </c>
    </row>
    <row r="132" customFormat="false" ht="15" hidden="false" customHeight="false" outlineLevel="0" collapsed="false">
      <c r="A132" s="28" t="str">
        <f aca="false">IF($M132=0,"",ROW()-4)</f>
        <v/>
      </c>
      <c r="B132" s="26" t="str">
        <f aca="false">IF($M132=0,"","OPERATIONS")</f>
        <v/>
      </c>
      <c r="C132" s="26" t="str">
        <f aca="false">IF($M132=0,"",OPERATIONS!$A132)</f>
        <v/>
      </c>
      <c r="D132" s="31" t="str">
        <f aca="false">IF($M132=0,"",OPERATIONS!$B132)</f>
        <v/>
      </c>
      <c r="E132" s="26" t="str">
        <f aca="false">IF($M132=0,"","SORTIE")</f>
        <v/>
      </c>
      <c r="F132" s="26" t="str">
        <f aca="false">IF($M132=0,"",OPERATIONS!$C132)</f>
        <v/>
      </c>
      <c r="G132" s="26" t="str">
        <f aca="false">IF($M132=0,"",OPERATIONS!$D132)</f>
        <v/>
      </c>
      <c r="H132" s="26" t="str">
        <f aca="false">IF($G132="","",IFERROR(INDEX(LOT_EXTE,MATCH($G132,LOT_KEY,0)),""))</f>
        <v/>
      </c>
      <c r="I132" s="26" t="str">
        <f aca="false">IF($M132=0,"",OPERATIONS!$E132)</f>
        <v/>
      </c>
      <c r="J132" s="26" t="str">
        <f aca="false">IF($I132="","",IFERROR(INDEX(EMPL_CLASSE,MATCH($I132,EMPL_KEY,0)),""))</f>
        <v/>
      </c>
      <c r="K132" s="26" t="str">
        <f aca="false">IF($M132=0,"",OPERATIONS!$K132)</f>
        <v/>
      </c>
      <c r="L132" s="26" t="str">
        <f aca="false">IF($G132="","",IF(IFERROR(INDEX(LOT_ETAT,MATCH($G132,LOT_KEY,0)),"")="","",INDEX(LOT_ETAT,MATCH($G132,LOT_KEY,0))))</f>
        <v/>
      </c>
      <c r="M132" s="73" t="n">
        <f aca="false">IF(OR(OPERATIONS!$O132=0,OPERATIONS!$C132="RECEPTION",OPERATIONS!$C132="AJUSTEMENT"),0,-OPERATIONS!$G132)</f>
        <v>0</v>
      </c>
      <c r="N132" s="73" t="n">
        <f aca="false">IF($M132=0,0,OPERATIONS!$R132*$M132)</f>
        <v>0</v>
      </c>
      <c r="O132" s="26" t="str">
        <f aca="false">IF($M132=0,"",OPERATIONS!$Q132)</f>
        <v/>
      </c>
      <c r="P132" s="26" t="str">
        <f aca="false">IF($G132="","",IF($G132=R_LOT,COUNTIF($G$5:$G132,R_LOT),""))</f>
        <v/>
      </c>
    </row>
    <row r="133" customFormat="false" ht="15" hidden="false" customHeight="false" outlineLevel="0" collapsed="false">
      <c r="A133" s="28" t="str">
        <f aca="false">IF($M133=0,"",ROW()-4)</f>
        <v/>
      </c>
      <c r="B133" s="26" t="str">
        <f aca="false">IF($M133=0,"","OPERATIONS")</f>
        <v/>
      </c>
      <c r="C133" s="26" t="str">
        <f aca="false">IF($M133=0,"",OPERATIONS!$A133)</f>
        <v/>
      </c>
      <c r="D133" s="31" t="str">
        <f aca="false">IF($M133=0,"",OPERATIONS!$B133)</f>
        <v/>
      </c>
      <c r="E133" s="26" t="str">
        <f aca="false">IF($M133=0,"","SORTIE")</f>
        <v/>
      </c>
      <c r="F133" s="26" t="str">
        <f aca="false">IF($M133=0,"",OPERATIONS!$C133)</f>
        <v/>
      </c>
      <c r="G133" s="26" t="str">
        <f aca="false">IF($M133=0,"",OPERATIONS!$D133)</f>
        <v/>
      </c>
      <c r="H133" s="26" t="str">
        <f aca="false">IF($G133="","",IFERROR(INDEX(LOT_EXTE,MATCH($G133,LOT_KEY,0)),""))</f>
        <v/>
      </c>
      <c r="I133" s="26" t="str">
        <f aca="false">IF($M133=0,"",OPERATIONS!$E133)</f>
        <v/>
      </c>
      <c r="J133" s="26" t="str">
        <f aca="false">IF($I133="","",IFERROR(INDEX(EMPL_CLASSE,MATCH($I133,EMPL_KEY,0)),""))</f>
        <v/>
      </c>
      <c r="K133" s="26" t="str">
        <f aca="false">IF($M133=0,"",OPERATIONS!$K133)</f>
        <v/>
      </c>
      <c r="L133" s="26" t="str">
        <f aca="false">IF($G133="","",IF(IFERROR(INDEX(LOT_ETAT,MATCH($G133,LOT_KEY,0)),"")="","",INDEX(LOT_ETAT,MATCH($G133,LOT_KEY,0))))</f>
        <v/>
      </c>
      <c r="M133" s="73" t="n">
        <f aca="false">IF(OR(OPERATIONS!$O133=0,OPERATIONS!$C133="RECEPTION",OPERATIONS!$C133="AJUSTEMENT"),0,-OPERATIONS!$G133)</f>
        <v>0</v>
      </c>
      <c r="N133" s="73" t="n">
        <f aca="false">IF($M133=0,0,OPERATIONS!$R133*$M133)</f>
        <v>0</v>
      </c>
      <c r="O133" s="26" t="str">
        <f aca="false">IF($M133=0,"",OPERATIONS!$Q133)</f>
        <v/>
      </c>
      <c r="P133" s="26" t="str">
        <f aca="false">IF($G133="","",IF($G133=R_LOT,COUNTIF($G$5:$G133,R_LOT),""))</f>
        <v/>
      </c>
    </row>
    <row r="134" customFormat="false" ht="15" hidden="false" customHeight="false" outlineLevel="0" collapsed="false">
      <c r="A134" s="28" t="str">
        <f aca="false">IF($M134=0,"",ROW()-4)</f>
        <v/>
      </c>
      <c r="B134" s="26" t="str">
        <f aca="false">IF($M134=0,"","OPERATIONS")</f>
        <v/>
      </c>
      <c r="C134" s="26" t="str">
        <f aca="false">IF($M134=0,"",OPERATIONS!$A134)</f>
        <v/>
      </c>
      <c r="D134" s="31" t="str">
        <f aca="false">IF($M134=0,"",OPERATIONS!$B134)</f>
        <v/>
      </c>
      <c r="E134" s="26" t="str">
        <f aca="false">IF($M134=0,"","SORTIE")</f>
        <v/>
      </c>
      <c r="F134" s="26" t="str">
        <f aca="false">IF($M134=0,"",OPERATIONS!$C134)</f>
        <v/>
      </c>
      <c r="G134" s="26" t="str">
        <f aca="false">IF($M134=0,"",OPERATIONS!$D134)</f>
        <v/>
      </c>
      <c r="H134" s="26" t="str">
        <f aca="false">IF($G134="","",IFERROR(INDEX(LOT_EXTE,MATCH($G134,LOT_KEY,0)),""))</f>
        <v/>
      </c>
      <c r="I134" s="26" t="str">
        <f aca="false">IF($M134=0,"",OPERATIONS!$E134)</f>
        <v/>
      </c>
      <c r="J134" s="26" t="str">
        <f aca="false">IF($I134="","",IFERROR(INDEX(EMPL_CLASSE,MATCH($I134,EMPL_KEY,0)),""))</f>
        <v/>
      </c>
      <c r="K134" s="26" t="str">
        <f aca="false">IF($M134=0,"",OPERATIONS!$K134)</f>
        <v/>
      </c>
      <c r="L134" s="26" t="str">
        <f aca="false">IF($G134="","",IF(IFERROR(INDEX(LOT_ETAT,MATCH($G134,LOT_KEY,0)),"")="","",INDEX(LOT_ETAT,MATCH($G134,LOT_KEY,0))))</f>
        <v/>
      </c>
      <c r="M134" s="73" t="n">
        <f aca="false">IF(OR(OPERATIONS!$O134=0,OPERATIONS!$C134="RECEPTION",OPERATIONS!$C134="AJUSTEMENT"),0,-OPERATIONS!$G134)</f>
        <v>0</v>
      </c>
      <c r="N134" s="73" t="n">
        <f aca="false">IF($M134=0,0,OPERATIONS!$R134*$M134)</f>
        <v>0</v>
      </c>
      <c r="O134" s="26" t="str">
        <f aca="false">IF($M134=0,"",OPERATIONS!$Q134)</f>
        <v/>
      </c>
      <c r="P134" s="26" t="str">
        <f aca="false">IF($G134="","",IF($G134=R_LOT,COUNTIF($G$5:$G134,R_LOT),""))</f>
        <v/>
      </c>
    </row>
    <row r="135" customFormat="false" ht="15" hidden="false" customHeight="false" outlineLevel="0" collapsed="false">
      <c r="A135" s="28" t="str">
        <f aca="false">IF($M135=0,"",ROW()-4)</f>
        <v/>
      </c>
      <c r="B135" s="26" t="str">
        <f aca="false">IF($M135=0,"","OPERATIONS")</f>
        <v/>
      </c>
      <c r="C135" s="26" t="str">
        <f aca="false">IF($M135=0,"",OPERATIONS!$A135)</f>
        <v/>
      </c>
      <c r="D135" s="31" t="str">
        <f aca="false">IF($M135=0,"",OPERATIONS!$B135)</f>
        <v/>
      </c>
      <c r="E135" s="26" t="str">
        <f aca="false">IF($M135=0,"","SORTIE")</f>
        <v/>
      </c>
      <c r="F135" s="26" t="str">
        <f aca="false">IF($M135=0,"",OPERATIONS!$C135)</f>
        <v/>
      </c>
      <c r="G135" s="26" t="str">
        <f aca="false">IF($M135=0,"",OPERATIONS!$D135)</f>
        <v/>
      </c>
      <c r="H135" s="26" t="str">
        <f aca="false">IF($G135="","",IFERROR(INDEX(LOT_EXTE,MATCH($G135,LOT_KEY,0)),""))</f>
        <v/>
      </c>
      <c r="I135" s="26" t="str">
        <f aca="false">IF($M135=0,"",OPERATIONS!$E135)</f>
        <v/>
      </c>
      <c r="J135" s="26" t="str">
        <f aca="false">IF($I135="","",IFERROR(INDEX(EMPL_CLASSE,MATCH($I135,EMPL_KEY,0)),""))</f>
        <v/>
      </c>
      <c r="K135" s="26" t="str">
        <f aca="false">IF($M135=0,"",OPERATIONS!$K135)</f>
        <v/>
      </c>
      <c r="L135" s="26" t="str">
        <f aca="false">IF($G135="","",IF(IFERROR(INDEX(LOT_ETAT,MATCH($G135,LOT_KEY,0)),"")="","",INDEX(LOT_ETAT,MATCH($G135,LOT_KEY,0))))</f>
        <v/>
      </c>
      <c r="M135" s="73" t="n">
        <f aca="false">IF(OR(OPERATIONS!$O135=0,OPERATIONS!$C135="RECEPTION",OPERATIONS!$C135="AJUSTEMENT"),0,-OPERATIONS!$G135)</f>
        <v>0</v>
      </c>
      <c r="N135" s="73" t="n">
        <f aca="false">IF($M135=0,0,OPERATIONS!$R135*$M135)</f>
        <v>0</v>
      </c>
      <c r="O135" s="26" t="str">
        <f aca="false">IF($M135=0,"",OPERATIONS!$Q135)</f>
        <v/>
      </c>
      <c r="P135" s="26" t="str">
        <f aca="false">IF($G135="","",IF($G135=R_LOT,COUNTIF($G$5:$G135,R_LOT),""))</f>
        <v/>
      </c>
    </row>
    <row r="136" customFormat="false" ht="15" hidden="false" customHeight="false" outlineLevel="0" collapsed="false">
      <c r="A136" s="28" t="str">
        <f aca="false">IF($M136=0,"",ROW()-4)</f>
        <v/>
      </c>
      <c r="B136" s="26" t="str">
        <f aca="false">IF($M136=0,"","OPERATIONS")</f>
        <v/>
      </c>
      <c r="C136" s="26" t="str">
        <f aca="false">IF($M136=0,"",OPERATIONS!$A136)</f>
        <v/>
      </c>
      <c r="D136" s="31" t="str">
        <f aca="false">IF($M136=0,"",OPERATIONS!$B136)</f>
        <v/>
      </c>
      <c r="E136" s="26" t="str">
        <f aca="false">IF($M136=0,"","SORTIE")</f>
        <v/>
      </c>
      <c r="F136" s="26" t="str">
        <f aca="false">IF($M136=0,"",OPERATIONS!$C136)</f>
        <v/>
      </c>
      <c r="G136" s="26" t="str">
        <f aca="false">IF($M136=0,"",OPERATIONS!$D136)</f>
        <v/>
      </c>
      <c r="H136" s="26" t="str">
        <f aca="false">IF($G136="","",IFERROR(INDEX(LOT_EXTE,MATCH($G136,LOT_KEY,0)),""))</f>
        <v/>
      </c>
      <c r="I136" s="26" t="str">
        <f aca="false">IF($M136=0,"",OPERATIONS!$E136)</f>
        <v/>
      </c>
      <c r="J136" s="26" t="str">
        <f aca="false">IF($I136="","",IFERROR(INDEX(EMPL_CLASSE,MATCH($I136,EMPL_KEY,0)),""))</f>
        <v/>
      </c>
      <c r="K136" s="26" t="str">
        <f aca="false">IF($M136=0,"",OPERATIONS!$K136)</f>
        <v/>
      </c>
      <c r="L136" s="26" t="str">
        <f aca="false">IF($G136="","",IF(IFERROR(INDEX(LOT_ETAT,MATCH($G136,LOT_KEY,0)),"")="","",INDEX(LOT_ETAT,MATCH($G136,LOT_KEY,0))))</f>
        <v/>
      </c>
      <c r="M136" s="73" t="n">
        <f aca="false">IF(OR(OPERATIONS!$O136=0,OPERATIONS!$C136="RECEPTION",OPERATIONS!$C136="AJUSTEMENT"),0,-OPERATIONS!$G136)</f>
        <v>0</v>
      </c>
      <c r="N136" s="73" t="n">
        <f aca="false">IF($M136=0,0,OPERATIONS!$R136*$M136)</f>
        <v>0</v>
      </c>
      <c r="O136" s="26" t="str">
        <f aca="false">IF($M136=0,"",OPERATIONS!$Q136)</f>
        <v/>
      </c>
      <c r="P136" s="26" t="str">
        <f aca="false">IF($G136="","",IF($G136=R_LOT,COUNTIF($G$5:$G136,R_LOT),""))</f>
        <v/>
      </c>
    </row>
    <row r="137" customFormat="false" ht="15" hidden="false" customHeight="false" outlineLevel="0" collapsed="false">
      <c r="A137" s="28" t="str">
        <f aca="false">IF($M137=0,"",ROW()-4)</f>
        <v/>
      </c>
      <c r="B137" s="26" t="str">
        <f aca="false">IF($M137=0,"","OPERATIONS")</f>
        <v/>
      </c>
      <c r="C137" s="26" t="str">
        <f aca="false">IF($M137=0,"",OPERATIONS!$A137)</f>
        <v/>
      </c>
      <c r="D137" s="31" t="str">
        <f aca="false">IF($M137=0,"",OPERATIONS!$B137)</f>
        <v/>
      </c>
      <c r="E137" s="26" t="str">
        <f aca="false">IF($M137=0,"","SORTIE")</f>
        <v/>
      </c>
      <c r="F137" s="26" t="str">
        <f aca="false">IF($M137=0,"",OPERATIONS!$C137)</f>
        <v/>
      </c>
      <c r="G137" s="26" t="str">
        <f aca="false">IF($M137=0,"",OPERATIONS!$D137)</f>
        <v/>
      </c>
      <c r="H137" s="26" t="str">
        <f aca="false">IF($G137="","",IFERROR(INDEX(LOT_EXTE,MATCH($G137,LOT_KEY,0)),""))</f>
        <v/>
      </c>
      <c r="I137" s="26" t="str">
        <f aca="false">IF($M137=0,"",OPERATIONS!$E137)</f>
        <v/>
      </c>
      <c r="J137" s="26" t="str">
        <f aca="false">IF($I137="","",IFERROR(INDEX(EMPL_CLASSE,MATCH($I137,EMPL_KEY,0)),""))</f>
        <v/>
      </c>
      <c r="K137" s="26" t="str">
        <f aca="false">IF($M137=0,"",OPERATIONS!$K137)</f>
        <v/>
      </c>
      <c r="L137" s="26" t="str">
        <f aca="false">IF($G137="","",IF(IFERROR(INDEX(LOT_ETAT,MATCH($G137,LOT_KEY,0)),"")="","",INDEX(LOT_ETAT,MATCH($G137,LOT_KEY,0))))</f>
        <v/>
      </c>
      <c r="M137" s="73" t="n">
        <f aca="false">IF(OR(OPERATIONS!$O137=0,OPERATIONS!$C137="RECEPTION",OPERATIONS!$C137="AJUSTEMENT"),0,-OPERATIONS!$G137)</f>
        <v>0</v>
      </c>
      <c r="N137" s="73" t="n">
        <f aca="false">IF($M137=0,0,OPERATIONS!$R137*$M137)</f>
        <v>0</v>
      </c>
      <c r="O137" s="26" t="str">
        <f aca="false">IF($M137=0,"",OPERATIONS!$Q137)</f>
        <v/>
      </c>
      <c r="P137" s="26" t="str">
        <f aca="false">IF($G137="","",IF($G137=R_LOT,COUNTIF($G$5:$G137,R_LOT),""))</f>
        <v/>
      </c>
    </row>
    <row r="138" customFormat="false" ht="15" hidden="false" customHeight="false" outlineLevel="0" collapsed="false">
      <c r="A138" s="28" t="str">
        <f aca="false">IF($M138=0,"",ROW()-4)</f>
        <v/>
      </c>
      <c r="B138" s="26" t="str">
        <f aca="false">IF($M138=0,"","OPERATIONS")</f>
        <v/>
      </c>
      <c r="C138" s="26" t="str">
        <f aca="false">IF($M138=0,"",OPERATIONS!$A138)</f>
        <v/>
      </c>
      <c r="D138" s="31" t="str">
        <f aca="false">IF($M138=0,"",OPERATIONS!$B138)</f>
        <v/>
      </c>
      <c r="E138" s="26" t="str">
        <f aca="false">IF($M138=0,"","SORTIE")</f>
        <v/>
      </c>
      <c r="F138" s="26" t="str">
        <f aca="false">IF($M138=0,"",OPERATIONS!$C138)</f>
        <v/>
      </c>
      <c r="G138" s="26" t="str">
        <f aca="false">IF($M138=0,"",OPERATIONS!$D138)</f>
        <v/>
      </c>
      <c r="H138" s="26" t="str">
        <f aca="false">IF($G138="","",IFERROR(INDEX(LOT_EXTE,MATCH($G138,LOT_KEY,0)),""))</f>
        <v/>
      </c>
      <c r="I138" s="26" t="str">
        <f aca="false">IF($M138=0,"",OPERATIONS!$E138)</f>
        <v/>
      </c>
      <c r="J138" s="26" t="str">
        <f aca="false">IF($I138="","",IFERROR(INDEX(EMPL_CLASSE,MATCH($I138,EMPL_KEY,0)),""))</f>
        <v/>
      </c>
      <c r="K138" s="26" t="str">
        <f aca="false">IF($M138=0,"",OPERATIONS!$K138)</f>
        <v/>
      </c>
      <c r="L138" s="26" t="str">
        <f aca="false">IF($G138="","",IF(IFERROR(INDEX(LOT_ETAT,MATCH($G138,LOT_KEY,0)),"")="","",INDEX(LOT_ETAT,MATCH($G138,LOT_KEY,0))))</f>
        <v/>
      </c>
      <c r="M138" s="73" t="n">
        <f aca="false">IF(OR(OPERATIONS!$O138=0,OPERATIONS!$C138="RECEPTION",OPERATIONS!$C138="AJUSTEMENT"),0,-OPERATIONS!$G138)</f>
        <v>0</v>
      </c>
      <c r="N138" s="73" t="n">
        <f aca="false">IF($M138=0,0,OPERATIONS!$R138*$M138)</f>
        <v>0</v>
      </c>
      <c r="O138" s="26" t="str">
        <f aca="false">IF($M138=0,"",OPERATIONS!$Q138)</f>
        <v/>
      </c>
      <c r="P138" s="26" t="str">
        <f aca="false">IF($G138="","",IF($G138=R_LOT,COUNTIF($G$5:$G138,R_LOT),""))</f>
        <v/>
      </c>
    </row>
    <row r="139" customFormat="false" ht="15" hidden="false" customHeight="false" outlineLevel="0" collapsed="false">
      <c r="A139" s="28" t="str">
        <f aca="false">IF($M139=0,"",ROW()-4)</f>
        <v/>
      </c>
      <c r="B139" s="26" t="str">
        <f aca="false">IF($M139=0,"","OPERATIONS")</f>
        <v/>
      </c>
      <c r="C139" s="26" t="str">
        <f aca="false">IF($M139=0,"",OPERATIONS!$A139)</f>
        <v/>
      </c>
      <c r="D139" s="31" t="str">
        <f aca="false">IF($M139=0,"",OPERATIONS!$B139)</f>
        <v/>
      </c>
      <c r="E139" s="26" t="str">
        <f aca="false">IF($M139=0,"","SORTIE")</f>
        <v/>
      </c>
      <c r="F139" s="26" t="str">
        <f aca="false">IF($M139=0,"",OPERATIONS!$C139)</f>
        <v/>
      </c>
      <c r="G139" s="26" t="str">
        <f aca="false">IF($M139=0,"",OPERATIONS!$D139)</f>
        <v/>
      </c>
      <c r="H139" s="26" t="str">
        <f aca="false">IF($G139="","",IFERROR(INDEX(LOT_EXTE,MATCH($G139,LOT_KEY,0)),""))</f>
        <v/>
      </c>
      <c r="I139" s="26" t="str">
        <f aca="false">IF($M139=0,"",OPERATIONS!$E139)</f>
        <v/>
      </c>
      <c r="J139" s="26" t="str">
        <f aca="false">IF($I139="","",IFERROR(INDEX(EMPL_CLASSE,MATCH($I139,EMPL_KEY,0)),""))</f>
        <v/>
      </c>
      <c r="K139" s="26" t="str">
        <f aca="false">IF($M139=0,"",OPERATIONS!$K139)</f>
        <v/>
      </c>
      <c r="L139" s="26" t="str">
        <f aca="false">IF($G139="","",IF(IFERROR(INDEX(LOT_ETAT,MATCH($G139,LOT_KEY,0)),"")="","",INDEX(LOT_ETAT,MATCH($G139,LOT_KEY,0))))</f>
        <v/>
      </c>
      <c r="M139" s="73" t="n">
        <f aca="false">IF(OR(OPERATIONS!$O139=0,OPERATIONS!$C139="RECEPTION",OPERATIONS!$C139="AJUSTEMENT"),0,-OPERATIONS!$G139)</f>
        <v>0</v>
      </c>
      <c r="N139" s="73" t="n">
        <f aca="false">IF($M139=0,0,OPERATIONS!$R139*$M139)</f>
        <v>0</v>
      </c>
      <c r="O139" s="26" t="str">
        <f aca="false">IF($M139=0,"",OPERATIONS!$Q139)</f>
        <v/>
      </c>
      <c r="P139" s="26" t="str">
        <f aca="false">IF($G139="","",IF($G139=R_LOT,COUNTIF($G$5:$G139,R_LOT),""))</f>
        <v/>
      </c>
    </row>
    <row r="140" customFormat="false" ht="15" hidden="false" customHeight="false" outlineLevel="0" collapsed="false">
      <c r="A140" s="28" t="str">
        <f aca="false">IF($M140=0,"",ROW()-4)</f>
        <v/>
      </c>
      <c r="B140" s="26" t="str">
        <f aca="false">IF($M140=0,"","OPERATIONS")</f>
        <v/>
      </c>
      <c r="C140" s="26" t="str">
        <f aca="false">IF($M140=0,"",OPERATIONS!$A140)</f>
        <v/>
      </c>
      <c r="D140" s="31" t="str">
        <f aca="false">IF($M140=0,"",OPERATIONS!$B140)</f>
        <v/>
      </c>
      <c r="E140" s="26" t="str">
        <f aca="false">IF($M140=0,"","SORTIE")</f>
        <v/>
      </c>
      <c r="F140" s="26" t="str">
        <f aca="false">IF($M140=0,"",OPERATIONS!$C140)</f>
        <v/>
      </c>
      <c r="G140" s="26" t="str">
        <f aca="false">IF($M140=0,"",OPERATIONS!$D140)</f>
        <v/>
      </c>
      <c r="H140" s="26" t="str">
        <f aca="false">IF($G140="","",IFERROR(INDEX(LOT_EXTE,MATCH($G140,LOT_KEY,0)),""))</f>
        <v/>
      </c>
      <c r="I140" s="26" t="str">
        <f aca="false">IF($M140=0,"",OPERATIONS!$E140)</f>
        <v/>
      </c>
      <c r="J140" s="26" t="str">
        <f aca="false">IF($I140="","",IFERROR(INDEX(EMPL_CLASSE,MATCH($I140,EMPL_KEY,0)),""))</f>
        <v/>
      </c>
      <c r="K140" s="26" t="str">
        <f aca="false">IF($M140=0,"",OPERATIONS!$K140)</f>
        <v/>
      </c>
      <c r="L140" s="26" t="str">
        <f aca="false">IF($G140="","",IF(IFERROR(INDEX(LOT_ETAT,MATCH($G140,LOT_KEY,0)),"")="","",INDEX(LOT_ETAT,MATCH($G140,LOT_KEY,0))))</f>
        <v/>
      </c>
      <c r="M140" s="73" t="n">
        <f aca="false">IF(OR(OPERATIONS!$O140=0,OPERATIONS!$C140="RECEPTION",OPERATIONS!$C140="AJUSTEMENT"),0,-OPERATIONS!$G140)</f>
        <v>0</v>
      </c>
      <c r="N140" s="73" t="n">
        <f aca="false">IF($M140=0,0,OPERATIONS!$R140*$M140)</f>
        <v>0</v>
      </c>
      <c r="O140" s="26" t="str">
        <f aca="false">IF($M140=0,"",OPERATIONS!$Q140)</f>
        <v/>
      </c>
      <c r="P140" s="26" t="str">
        <f aca="false">IF($G140="","",IF($G140=R_LOT,COUNTIF($G$5:$G140,R_LOT),""))</f>
        <v/>
      </c>
    </row>
    <row r="141" customFormat="false" ht="15" hidden="false" customHeight="false" outlineLevel="0" collapsed="false">
      <c r="A141" s="28" t="str">
        <f aca="false">IF($M141=0,"",ROW()-4)</f>
        <v/>
      </c>
      <c r="B141" s="26" t="str">
        <f aca="false">IF($M141=0,"","OPERATIONS")</f>
        <v/>
      </c>
      <c r="C141" s="26" t="str">
        <f aca="false">IF($M141=0,"",OPERATIONS!$A141)</f>
        <v/>
      </c>
      <c r="D141" s="31" t="str">
        <f aca="false">IF($M141=0,"",OPERATIONS!$B141)</f>
        <v/>
      </c>
      <c r="E141" s="26" t="str">
        <f aca="false">IF($M141=0,"","SORTIE")</f>
        <v/>
      </c>
      <c r="F141" s="26" t="str">
        <f aca="false">IF($M141=0,"",OPERATIONS!$C141)</f>
        <v/>
      </c>
      <c r="G141" s="26" t="str">
        <f aca="false">IF($M141=0,"",OPERATIONS!$D141)</f>
        <v/>
      </c>
      <c r="H141" s="26" t="str">
        <f aca="false">IF($G141="","",IFERROR(INDEX(LOT_EXTE,MATCH($G141,LOT_KEY,0)),""))</f>
        <v/>
      </c>
      <c r="I141" s="26" t="str">
        <f aca="false">IF($M141=0,"",OPERATIONS!$E141)</f>
        <v/>
      </c>
      <c r="J141" s="26" t="str">
        <f aca="false">IF($I141="","",IFERROR(INDEX(EMPL_CLASSE,MATCH($I141,EMPL_KEY,0)),""))</f>
        <v/>
      </c>
      <c r="K141" s="26" t="str">
        <f aca="false">IF($M141=0,"",OPERATIONS!$K141)</f>
        <v/>
      </c>
      <c r="L141" s="26" t="str">
        <f aca="false">IF($G141="","",IF(IFERROR(INDEX(LOT_ETAT,MATCH($G141,LOT_KEY,0)),"")="","",INDEX(LOT_ETAT,MATCH($G141,LOT_KEY,0))))</f>
        <v/>
      </c>
      <c r="M141" s="73" t="n">
        <f aca="false">IF(OR(OPERATIONS!$O141=0,OPERATIONS!$C141="RECEPTION",OPERATIONS!$C141="AJUSTEMENT"),0,-OPERATIONS!$G141)</f>
        <v>0</v>
      </c>
      <c r="N141" s="73" t="n">
        <f aca="false">IF($M141=0,0,OPERATIONS!$R141*$M141)</f>
        <v>0</v>
      </c>
      <c r="O141" s="26" t="str">
        <f aca="false">IF($M141=0,"",OPERATIONS!$Q141)</f>
        <v/>
      </c>
      <c r="P141" s="26" t="str">
        <f aca="false">IF($G141="","",IF($G141=R_LOT,COUNTIF($G$5:$G141,R_LOT),""))</f>
        <v/>
      </c>
    </row>
    <row r="142" customFormat="false" ht="15" hidden="false" customHeight="false" outlineLevel="0" collapsed="false">
      <c r="A142" s="28" t="str">
        <f aca="false">IF($M142=0,"",ROW()-4)</f>
        <v/>
      </c>
      <c r="B142" s="26" t="str">
        <f aca="false">IF($M142=0,"","OPERATIONS")</f>
        <v/>
      </c>
      <c r="C142" s="26" t="str">
        <f aca="false">IF($M142=0,"",OPERATIONS!$A142)</f>
        <v/>
      </c>
      <c r="D142" s="31" t="str">
        <f aca="false">IF($M142=0,"",OPERATIONS!$B142)</f>
        <v/>
      </c>
      <c r="E142" s="26" t="str">
        <f aca="false">IF($M142=0,"","SORTIE")</f>
        <v/>
      </c>
      <c r="F142" s="26" t="str">
        <f aca="false">IF($M142=0,"",OPERATIONS!$C142)</f>
        <v/>
      </c>
      <c r="G142" s="26" t="str">
        <f aca="false">IF($M142=0,"",OPERATIONS!$D142)</f>
        <v/>
      </c>
      <c r="H142" s="26" t="str">
        <f aca="false">IF($G142="","",IFERROR(INDEX(LOT_EXTE,MATCH($G142,LOT_KEY,0)),""))</f>
        <v/>
      </c>
      <c r="I142" s="26" t="str">
        <f aca="false">IF($M142=0,"",OPERATIONS!$E142)</f>
        <v/>
      </c>
      <c r="J142" s="26" t="str">
        <f aca="false">IF($I142="","",IFERROR(INDEX(EMPL_CLASSE,MATCH($I142,EMPL_KEY,0)),""))</f>
        <v/>
      </c>
      <c r="K142" s="26" t="str">
        <f aca="false">IF($M142=0,"",OPERATIONS!$K142)</f>
        <v/>
      </c>
      <c r="L142" s="26" t="str">
        <f aca="false">IF($G142="","",IF(IFERROR(INDEX(LOT_ETAT,MATCH($G142,LOT_KEY,0)),"")="","",INDEX(LOT_ETAT,MATCH($G142,LOT_KEY,0))))</f>
        <v/>
      </c>
      <c r="M142" s="73" t="n">
        <f aca="false">IF(OR(OPERATIONS!$O142=0,OPERATIONS!$C142="RECEPTION",OPERATIONS!$C142="AJUSTEMENT"),0,-OPERATIONS!$G142)</f>
        <v>0</v>
      </c>
      <c r="N142" s="73" t="n">
        <f aca="false">IF($M142=0,0,OPERATIONS!$R142*$M142)</f>
        <v>0</v>
      </c>
      <c r="O142" s="26" t="str">
        <f aca="false">IF($M142=0,"",OPERATIONS!$Q142)</f>
        <v/>
      </c>
      <c r="P142" s="26" t="str">
        <f aca="false">IF($G142="","",IF($G142=R_LOT,COUNTIF($G$5:$G142,R_LOT),""))</f>
        <v/>
      </c>
    </row>
    <row r="143" customFormat="false" ht="15" hidden="false" customHeight="false" outlineLevel="0" collapsed="false">
      <c r="A143" s="28" t="str">
        <f aca="false">IF($M143=0,"",ROW()-4)</f>
        <v/>
      </c>
      <c r="B143" s="26" t="str">
        <f aca="false">IF($M143=0,"","OPERATIONS")</f>
        <v/>
      </c>
      <c r="C143" s="26" t="str">
        <f aca="false">IF($M143=0,"",OPERATIONS!$A143)</f>
        <v/>
      </c>
      <c r="D143" s="31" t="str">
        <f aca="false">IF($M143=0,"",OPERATIONS!$B143)</f>
        <v/>
      </c>
      <c r="E143" s="26" t="str">
        <f aca="false">IF($M143=0,"","SORTIE")</f>
        <v/>
      </c>
      <c r="F143" s="26" t="str">
        <f aca="false">IF($M143=0,"",OPERATIONS!$C143)</f>
        <v/>
      </c>
      <c r="G143" s="26" t="str">
        <f aca="false">IF($M143=0,"",OPERATIONS!$D143)</f>
        <v/>
      </c>
      <c r="H143" s="26" t="str">
        <f aca="false">IF($G143="","",IFERROR(INDEX(LOT_EXTE,MATCH($G143,LOT_KEY,0)),""))</f>
        <v/>
      </c>
      <c r="I143" s="26" t="str">
        <f aca="false">IF($M143=0,"",OPERATIONS!$E143)</f>
        <v/>
      </c>
      <c r="J143" s="26" t="str">
        <f aca="false">IF($I143="","",IFERROR(INDEX(EMPL_CLASSE,MATCH($I143,EMPL_KEY,0)),""))</f>
        <v/>
      </c>
      <c r="K143" s="26" t="str">
        <f aca="false">IF($M143=0,"",OPERATIONS!$K143)</f>
        <v/>
      </c>
      <c r="L143" s="26" t="str">
        <f aca="false">IF($G143="","",IF(IFERROR(INDEX(LOT_ETAT,MATCH($G143,LOT_KEY,0)),"")="","",INDEX(LOT_ETAT,MATCH($G143,LOT_KEY,0))))</f>
        <v/>
      </c>
      <c r="M143" s="73" t="n">
        <f aca="false">IF(OR(OPERATIONS!$O143=0,OPERATIONS!$C143="RECEPTION",OPERATIONS!$C143="AJUSTEMENT"),0,-OPERATIONS!$G143)</f>
        <v>0</v>
      </c>
      <c r="N143" s="73" t="n">
        <f aca="false">IF($M143=0,0,OPERATIONS!$R143*$M143)</f>
        <v>0</v>
      </c>
      <c r="O143" s="26" t="str">
        <f aca="false">IF($M143=0,"",OPERATIONS!$Q143)</f>
        <v/>
      </c>
      <c r="P143" s="26" t="str">
        <f aca="false">IF($G143="","",IF($G143=R_LOT,COUNTIF($G$5:$G143,R_LOT),""))</f>
        <v/>
      </c>
    </row>
    <row r="144" customFormat="false" ht="15" hidden="false" customHeight="false" outlineLevel="0" collapsed="false">
      <c r="A144" s="28" t="str">
        <f aca="false">IF($M144=0,"",ROW()-4)</f>
        <v/>
      </c>
      <c r="B144" s="26" t="str">
        <f aca="false">IF($M144=0,"","OPERATIONS")</f>
        <v/>
      </c>
      <c r="C144" s="26" t="str">
        <f aca="false">IF($M144=0,"",OPERATIONS!$A144)</f>
        <v/>
      </c>
      <c r="D144" s="31" t="str">
        <f aca="false">IF($M144=0,"",OPERATIONS!$B144)</f>
        <v/>
      </c>
      <c r="E144" s="26" t="str">
        <f aca="false">IF($M144=0,"","SORTIE")</f>
        <v/>
      </c>
      <c r="F144" s="26" t="str">
        <f aca="false">IF($M144=0,"",OPERATIONS!$C144)</f>
        <v/>
      </c>
      <c r="G144" s="26" t="str">
        <f aca="false">IF($M144=0,"",OPERATIONS!$D144)</f>
        <v/>
      </c>
      <c r="H144" s="26" t="str">
        <f aca="false">IF($G144="","",IFERROR(INDEX(LOT_EXTE,MATCH($G144,LOT_KEY,0)),""))</f>
        <v/>
      </c>
      <c r="I144" s="26" t="str">
        <f aca="false">IF($M144=0,"",OPERATIONS!$E144)</f>
        <v/>
      </c>
      <c r="J144" s="26" t="str">
        <f aca="false">IF($I144="","",IFERROR(INDEX(EMPL_CLASSE,MATCH($I144,EMPL_KEY,0)),""))</f>
        <v/>
      </c>
      <c r="K144" s="26" t="str">
        <f aca="false">IF($M144=0,"",OPERATIONS!$K144)</f>
        <v/>
      </c>
      <c r="L144" s="26" t="str">
        <f aca="false">IF($G144="","",IF(IFERROR(INDEX(LOT_ETAT,MATCH($G144,LOT_KEY,0)),"")="","",INDEX(LOT_ETAT,MATCH($G144,LOT_KEY,0))))</f>
        <v/>
      </c>
      <c r="M144" s="73" t="n">
        <f aca="false">IF(OR(OPERATIONS!$O144=0,OPERATIONS!$C144="RECEPTION",OPERATIONS!$C144="AJUSTEMENT"),0,-OPERATIONS!$G144)</f>
        <v>0</v>
      </c>
      <c r="N144" s="73" t="n">
        <f aca="false">IF($M144=0,0,OPERATIONS!$R144*$M144)</f>
        <v>0</v>
      </c>
      <c r="O144" s="26" t="str">
        <f aca="false">IF($M144=0,"",OPERATIONS!$Q144)</f>
        <v/>
      </c>
      <c r="P144" s="26" t="str">
        <f aca="false">IF($G144="","",IF($G144=R_LOT,COUNTIF($G$5:$G144,R_LOT),""))</f>
        <v/>
      </c>
    </row>
    <row r="145" customFormat="false" ht="15" hidden="false" customHeight="false" outlineLevel="0" collapsed="false">
      <c r="A145" s="28" t="str">
        <f aca="false">IF($M145=0,"",ROW()-4)</f>
        <v/>
      </c>
      <c r="B145" s="26" t="str">
        <f aca="false">IF($M145=0,"","OPERATIONS")</f>
        <v/>
      </c>
      <c r="C145" s="26" t="str">
        <f aca="false">IF($M145=0,"",OPERATIONS!$A145)</f>
        <v/>
      </c>
      <c r="D145" s="31" t="str">
        <f aca="false">IF($M145=0,"",OPERATIONS!$B145)</f>
        <v/>
      </c>
      <c r="E145" s="26" t="str">
        <f aca="false">IF($M145=0,"","SORTIE")</f>
        <v/>
      </c>
      <c r="F145" s="26" t="str">
        <f aca="false">IF($M145=0,"",OPERATIONS!$C145)</f>
        <v/>
      </c>
      <c r="G145" s="26" t="str">
        <f aca="false">IF($M145=0,"",OPERATIONS!$D145)</f>
        <v/>
      </c>
      <c r="H145" s="26" t="str">
        <f aca="false">IF($G145="","",IFERROR(INDEX(LOT_EXTE,MATCH($G145,LOT_KEY,0)),""))</f>
        <v/>
      </c>
      <c r="I145" s="26" t="str">
        <f aca="false">IF($M145=0,"",OPERATIONS!$E145)</f>
        <v/>
      </c>
      <c r="J145" s="26" t="str">
        <f aca="false">IF($I145="","",IFERROR(INDEX(EMPL_CLASSE,MATCH($I145,EMPL_KEY,0)),""))</f>
        <v/>
      </c>
      <c r="K145" s="26" t="str">
        <f aca="false">IF($M145=0,"",OPERATIONS!$K145)</f>
        <v/>
      </c>
      <c r="L145" s="26" t="str">
        <f aca="false">IF($G145="","",IF(IFERROR(INDEX(LOT_ETAT,MATCH($G145,LOT_KEY,0)),"")="","",INDEX(LOT_ETAT,MATCH($G145,LOT_KEY,0))))</f>
        <v/>
      </c>
      <c r="M145" s="73" t="n">
        <f aca="false">IF(OR(OPERATIONS!$O145=0,OPERATIONS!$C145="RECEPTION",OPERATIONS!$C145="AJUSTEMENT"),0,-OPERATIONS!$G145)</f>
        <v>0</v>
      </c>
      <c r="N145" s="73" t="n">
        <f aca="false">IF($M145=0,0,OPERATIONS!$R145*$M145)</f>
        <v>0</v>
      </c>
      <c r="O145" s="26" t="str">
        <f aca="false">IF($M145=0,"",OPERATIONS!$Q145)</f>
        <v/>
      </c>
      <c r="P145" s="26" t="str">
        <f aca="false">IF($G145="","",IF($G145=R_LOT,COUNTIF($G$5:$G145,R_LOT),""))</f>
        <v/>
      </c>
    </row>
    <row r="146" customFormat="false" ht="15" hidden="false" customHeight="false" outlineLevel="0" collapsed="false">
      <c r="A146" s="28" t="str">
        <f aca="false">IF($M146=0,"",ROW()-4)</f>
        <v/>
      </c>
      <c r="B146" s="26" t="str">
        <f aca="false">IF($M146=0,"","OPERATIONS")</f>
        <v/>
      </c>
      <c r="C146" s="26" t="str">
        <f aca="false">IF($M146=0,"",OPERATIONS!$A146)</f>
        <v/>
      </c>
      <c r="D146" s="31" t="str">
        <f aca="false">IF($M146=0,"",OPERATIONS!$B146)</f>
        <v/>
      </c>
      <c r="E146" s="26" t="str">
        <f aca="false">IF($M146=0,"","SORTIE")</f>
        <v/>
      </c>
      <c r="F146" s="26" t="str">
        <f aca="false">IF($M146=0,"",OPERATIONS!$C146)</f>
        <v/>
      </c>
      <c r="G146" s="26" t="str">
        <f aca="false">IF($M146=0,"",OPERATIONS!$D146)</f>
        <v/>
      </c>
      <c r="H146" s="26" t="str">
        <f aca="false">IF($G146="","",IFERROR(INDEX(LOT_EXTE,MATCH($G146,LOT_KEY,0)),""))</f>
        <v/>
      </c>
      <c r="I146" s="26" t="str">
        <f aca="false">IF($M146=0,"",OPERATIONS!$E146)</f>
        <v/>
      </c>
      <c r="J146" s="26" t="str">
        <f aca="false">IF($I146="","",IFERROR(INDEX(EMPL_CLASSE,MATCH($I146,EMPL_KEY,0)),""))</f>
        <v/>
      </c>
      <c r="K146" s="26" t="str">
        <f aca="false">IF($M146=0,"",OPERATIONS!$K146)</f>
        <v/>
      </c>
      <c r="L146" s="26" t="str">
        <f aca="false">IF($G146="","",IF(IFERROR(INDEX(LOT_ETAT,MATCH($G146,LOT_KEY,0)),"")="","",INDEX(LOT_ETAT,MATCH($G146,LOT_KEY,0))))</f>
        <v/>
      </c>
      <c r="M146" s="73" t="n">
        <f aca="false">IF(OR(OPERATIONS!$O146=0,OPERATIONS!$C146="RECEPTION",OPERATIONS!$C146="AJUSTEMENT"),0,-OPERATIONS!$G146)</f>
        <v>0</v>
      </c>
      <c r="N146" s="73" t="n">
        <f aca="false">IF($M146=0,0,OPERATIONS!$R146*$M146)</f>
        <v>0</v>
      </c>
      <c r="O146" s="26" t="str">
        <f aca="false">IF($M146=0,"",OPERATIONS!$Q146)</f>
        <v/>
      </c>
      <c r="P146" s="26" t="str">
        <f aca="false">IF($G146="","",IF($G146=R_LOT,COUNTIF($G$5:$G146,R_LOT),""))</f>
        <v/>
      </c>
    </row>
    <row r="147" customFormat="false" ht="15" hidden="false" customHeight="false" outlineLevel="0" collapsed="false">
      <c r="A147" s="28" t="str">
        <f aca="false">IF($M147=0,"",ROW()-4)</f>
        <v/>
      </c>
      <c r="B147" s="26" t="str">
        <f aca="false">IF($M147=0,"","OPERATIONS")</f>
        <v/>
      </c>
      <c r="C147" s="26" t="str">
        <f aca="false">IF($M147=0,"",OPERATIONS!$A147)</f>
        <v/>
      </c>
      <c r="D147" s="31" t="str">
        <f aca="false">IF($M147=0,"",OPERATIONS!$B147)</f>
        <v/>
      </c>
      <c r="E147" s="26" t="str">
        <f aca="false">IF($M147=0,"","SORTIE")</f>
        <v/>
      </c>
      <c r="F147" s="26" t="str">
        <f aca="false">IF($M147=0,"",OPERATIONS!$C147)</f>
        <v/>
      </c>
      <c r="G147" s="26" t="str">
        <f aca="false">IF($M147=0,"",OPERATIONS!$D147)</f>
        <v/>
      </c>
      <c r="H147" s="26" t="str">
        <f aca="false">IF($G147="","",IFERROR(INDEX(LOT_EXTE,MATCH($G147,LOT_KEY,0)),""))</f>
        <v/>
      </c>
      <c r="I147" s="26" t="str">
        <f aca="false">IF($M147=0,"",OPERATIONS!$E147)</f>
        <v/>
      </c>
      <c r="J147" s="26" t="str">
        <f aca="false">IF($I147="","",IFERROR(INDEX(EMPL_CLASSE,MATCH($I147,EMPL_KEY,0)),""))</f>
        <v/>
      </c>
      <c r="K147" s="26" t="str">
        <f aca="false">IF($M147=0,"",OPERATIONS!$K147)</f>
        <v/>
      </c>
      <c r="L147" s="26" t="str">
        <f aca="false">IF($G147="","",IF(IFERROR(INDEX(LOT_ETAT,MATCH($G147,LOT_KEY,0)),"")="","",INDEX(LOT_ETAT,MATCH($G147,LOT_KEY,0))))</f>
        <v/>
      </c>
      <c r="M147" s="73" t="n">
        <f aca="false">IF(OR(OPERATIONS!$O147=0,OPERATIONS!$C147="RECEPTION",OPERATIONS!$C147="AJUSTEMENT"),0,-OPERATIONS!$G147)</f>
        <v>0</v>
      </c>
      <c r="N147" s="73" t="n">
        <f aca="false">IF($M147=0,0,OPERATIONS!$R147*$M147)</f>
        <v>0</v>
      </c>
      <c r="O147" s="26" t="str">
        <f aca="false">IF($M147=0,"",OPERATIONS!$Q147)</f>
        <v/>
      </c>
      <c r="P147" s="26" t="str">
        <f aca="false">IF($G147="","",IF($G147=R_LOT,COUNTIF($G$5:$G147,R_LOT),""))</f>
        <v/>
      </c>
    </row>
    <row r="148" customFormat="false" ht="15" hidden="false" customHeight="false" outlineLevel="0" collapsed="false">
      <c r="A148" s="28" t="str">
        <f aca="false">IF($M148=0,"",ROW()-4)</f>
        <v/>
      </c>
      <c r="B148" s="26" t="str">
        <f aca="false">IF($M148=0,"","OPERATIONS")</f>
        <v/>
      </c>
      <c r="C148" s="26" t="str">
        <f aca="false">IF($M148=0,"",OPERATIONS!$A148)</f>
        <v/>
      </c>
      <c r="D148" s="31" t="str">
        <f aca="false">IF($M148=0,"",OPERATIONS!$B148)</f>
        <v/>
      </c>
      <c r="E148" s="26" t="str">
        <f aca="false">IF($M148=0,"","SORTIE")</f>
        <v/>
      </c>
      <c r="F148" s="26" t="str">
        <f aca="false">IF($M148=0,"",OPERATIONS!$C148)</f>
        <v/>
      </c>
      <c r="G148" s="26" t="str">
        <f aca="false">IF($M148=0,"",OPERATIONS!$D148)</f>
        <v/>
      </c>
      <c r="H148" s="26" t="str">
        <f aca="false">IF($G148="","",IFERROR(INDEX(LOT_EXTE,MATCH($G148,LOT_KEY,0)),""))</f>
        <v/>
      </c>
      <c r="I148" s="26" t="str">
        <f aca="false">IF($M148=0,"",OPERATIONS!$E148)</f>
        <v/>
      </c>
      <c r="J148" s="26" t="str">
        <f aca="false">IF($I148="","",IFERROR(INDEX(EMPL_CLASSE,MATCH($I148,EMPL_KEY,0)),""))</f>
        <v/>
      </c>
      <c r="K148" s="26" t="str">
        <f aca="false">IF($M148=0,"",OPERATIONS!$K148)</f>
        <v/>
      </c>
      <c r="L148" s="26" t="str">
        <f aca="false">IF($G148="","",IF(IFERROR(INDEX(LOT_ETAT,MATCH($G148,LOT_KEY,0)),"")="","",INDEX(LOT_ETAT,MATCH($G148,LOT_KEY,0))))</f>
        <v/>
      </c>
      <c r="M148" s="73" t="n">
        <f aca="false">IF(OR(OPERATIONS!$O148=0,OPERATIONS!$C148="RECEPTION",OPERATIONS!$C148="AJUSTEMENT"),0,-OPERATIONS!$G148)</f>
        <v>0</v>
      </c>
      <c r="N148" s="73" t="n">
        <f aca="false">IF($M148=0,0,OPERATIONS!$R148*$M148)</f>
        <v>0</v>
      </c>
      <c r="O148" s="26" t="str">
        <f aca="false">IF($M148=0,"",OPERATIONS!$Q148)</f>
        <v/>
      </c>
      <c r="P148" s="26" t="str">
        <f aca="false">IF($G148="","",IF($G148=R_LOT,COUNTIF($G$5:$G148,R_LOT),""))</f>
        <v/>
      </c>
    </row>
    <row r="149" customFormat="false" ht="15" hidden="false" customHeight="false" outlineLevel="0" collapsed="false">
      <c r="A149" s="28" t="str">
        <f aca="false">IF($M149=0,"",ROW()-4)</f>
        <v/>
      </c>
      <c r="B149" s="26" t="str">
        <f aca="false">IF($M149=0,"","OPERATIONS")</f>
        <v/>
      </c>
      <c r="C149" s="26" t="str">
        <f aca="false">IF($M149=0,"",OPERATIONS!$A149)</f>
        <v/>
      </c>
      <c r="D149" s="31" t="str">
        <f aca="false">IF($M149=0,"",OPERATIONS!$B149)</f>
        <v/>
      </c>
      <c r="E149" s="26" t="str">
        <f aca="false">IF($M149=0,"","SORTIE")</f>
        <v/>
      </c>
      <c r="F149" s="26" t="str">
        <f aca="false">IF($M149=0,"",OPERATIONS!$C149)</f>
        <v/>
      </c>
      <c r="G149" s="26" t="str">
        <f aca="false">IF($M149=0,"",OPERATIONS!$D149)</f>
        <v/>
      </c>
      <c r="H149" s="26" t="str">
        <f aca="false">IF($G149="","",IFERROR(INDEX(LOT_EXTE,MATCH($G149,LOT_KEY,0)),""))</f>
        <v/>
      </c>
      <c r="I149" s="26" t="str">
        <f aca="false">IF($M149=0,"",OPERATIONS!$E149)</f>
        <v/>
      </c>
      <c r="J149" s="26" t="str">
        <f aca="false">IF($I149="","",IFERROR(INDEX(EMPL_CLASSE,MATCH($I149,EMPL_KEY,0)),""))</f>
        <v/>
      </c>
      <c r="K149" s="26" t="str">
        <f aca="false">IF($M149=0,"",OPERATIONS!$K149)</f>
        <v/>
      </c>
      <c r="L149" s="26" t="str">
        <f aca="false">IF($G149="","",IF(IFERROR(INDEX(LOT_ETAT,MATCH($G149,LOT_KEY,0)),"")="","",INDEX(LOT_ETAT,MATCH($G149,LOT_KEY,0))))</f>
        <v/>
      </c>
      <c r="M149" s="73" t="n">
        <f aca="false">IF(OR(OPERATIONS!$O149=0,OPERATIONS!$C149="RECEPTION",OPERATIONS!$C149="AJUSTEMENT"),0,-OPERATIONS!$G149)</f>
        <v>0</v>
      </c>
      <c r="N149" s="73" t="n">
        <f aca="false">IF($M149=0,0,OPERATIONS!$R149*$M149)</f>
        <v>0</v>
      </c>
      <c r="O149" s="26" t="str">
        <f aca="false">IF($M149=0,"",OPERATIONS!$Q149)</f>
        <v/>
      </c>
      <c r="P149" s="26" t="str">
        <f aca="false">IF($G149="","",IF($G149=R_LOT,COUNTIF($G$5:$G149,R_LOT),""))</f>
        <v/>
      </c>
    </row>
    <row r="150" customFormat="false" ht="15" hidden="false" customHeight="false" outlineLevel="0" collapsed="false">
      <c r="A150" s="28" t="str">
        <f aca="false">IF($M150=0,"",ROW()-4)</f>
        <v/>
      </c>
      <c r="B150" s="26" t="str">
        <f aca="false">IF($M150=0,"","OPERATIONS")</f>
        <v/>
      </c>
      <c r="C150" s="26" t="str">
        <f aca="false">IF($M150=0,"",OPERATIONS!$A150)</f>
        <v/>
      </c>
      <c r="D150" s="31" t="str">
        <f aca="false">IF($M150=0,"",OPERATIONS!$B150)</f>
        <v/>
      </c>
      <c r="E150" s="26" t="str">
        <f aca="false">IF($M150=0,"","SORTIE")</f>
        <v/>
      </c>
      <c r="F150" s="26" t="str">
        <f aca="false">IF($M150=0,"",OPERATIONS!$C150)</f>
        <v/>
      </c>
      <c r="G150" s="26" t="str">
        <f aca="false">IF($M150=0,"",OPERATIONS!$D150)</f>
        <v/>
      </c>
      <c r="H150" s="26" t="str">
        <f aca="false">IF($G150="","",IFERROR(INDEX(LOT_EXTE,MATCH($G150,LOT_KEY,0)),""))</f>
        <v/>
      </c>
      <c r="I150" s="26" t="str">
        <f aca="false">IF($M150=0,"",OPERATIONS!$E150)</f>
        <v/>
      </c>
      <c r="J150" s="26" t="str">
        <f aca="false">IF($I150="","",IFERROR(INDEX(EMPL_CLASSE,MATCH($I150,EMPL_KEY,0)),""))</f>
        <v/>
      </c>
      <c r="K150" s="26" t="str">
        <f aca="false">IF($M150=0,"",OPERATIONS!$K150)</f>
        <v/>
      </c>
      <c r="L150" s="26" t="str">
        <f aca="false">IF($G150="","",IF(IFERROR(INDEX(LOT_ETAT,MATCH($G150,LOT_KEY,0)),"")="","",INDEX(LOT_ETAT,MATCH($G150,LOT_KEY,0))))</f>
        <v/>
      </c>
      <c r="M150" s="73" t="n">
        <f aca="false">IF(OR(OPERATIONS!$O150=0,OPERATIONS!$C150="RECEPTION",OPERATIONS!$C150="AJUSTEMENT"),0,-OPERATIONS!$G150)</f>
        <v>0</v>
      </c>
      <c r="N150" s="73" t="n">
        <f aca="false">IF($M150=0,0,OPERATIONS!$R150*$M150)</f>
        <v>0</v>
      </c>
      <c r="O150" s="26" t="str">
        <f aca="false">IF($M150=0,"",OPERATIONS!$Q150)</f>
        <v/>
      </c>
      <c r="P150" s="26" t="str">
        <f aca="false">IF($G150="","",IF($G150=R_LOT,COUNTIF($G$5:$G150,R_LOT),""))</f>
        <v/>
      </c>
    </row>
    <row r="151" customFormat="false" ht="15" hidden="false" customHeight="false" outlineLevel="0" collapsed="false">
      <c r="A151" s="28" t="str">
        <f aca="false">IF($M151=0,"",ROW()-4)</f>
        <v/>
      </c>
      <c r="B151" s="26" t="str">
        <f aca="false">IF($M151=0,"","OPERATIONS")</f>
        <v/>
      </c>
      <c r="C151" s="26" t="str">
        <f aca="false">IF($M151=0,"",OPERATIONS!$A151)</f>
        <v/>
      </c>
      <c r="D151" s="31" t="str">
        <f aca="false">IF($M151=0,"",OPERATIONS!$B151)</f>
        <v/>
      </c>
      <c r="E151" s="26" t="str">
        <f aca="false">IF($M151=0,"","SORTIE")</f>
        <v/>
      </c>
      <c r="F151" s="26" t="str">
        <f aca="false">IF($M151=0,"",OPERATIONS!$C151)</f>
        <v/>
      </c>
      <c r="G151" s="26" t="str">
        <f aca="false">IF($M151=0,"",OPERATIONS!$D151)</f>
        <v/>
      </c>
      <c r="H151" s="26" t="str">
        <f aca="false">IF($G151="","",IFERROR(INDEX(LOT_EXTE,MATCH($G151,LOT_KEY,0)),""))</f>
        <v/>
      </c>
      <c r="I151" s="26" t="str">
        <f aca="false">IF($M151=0,"",OPERATIONS!$E151)</f>
        <v/>
      </c>
      <c r="J151" s="26" t="str">
        <f aca="false">IF($I151="","",IFERROR(INDEX(EMPL_CLASSE,MATCH($I151,EMPL_KEY,0)),""))</f>
        <v/>
      </c>
      <c r="K151" s="26" t="str">
        <f aca="false">IF($M151=0,"",OPERATIONS!$K151)</f>
        <v/>
      </c>
      <c r="L151" s="26" t="str">
        <f aca="false">IF($G151="","",IF(IFERROR(INDEX(LOT_ETAT,MATCH($G151,LOT_KEY,0)),"")="","",INDEX(LOT_ETAT,MATCH($G151,LOT_KEY,0))))</f>
        <v/>
      </c>
      <c r="M151" s="73" t="n">
        <f aca="false">IF(OR(OPERATIONS!$O151=0,OPERATIONS!$C151="RECEPTION",OPERATIONS!$C151="AJUSTEMENT"),0,-OPERATIONS!$G151)</f>
        <v>0</v>
      </c>
      <c r="N151" s="73" t="n">
        <f aca="false">IF($M151=0,0,OPERATIONS!$R151*$M151)</f>
        <v>0</v>
      </c>
      <c r="O151" s="26" t="str">
        <f aca="false">IF($M151=0,"",OPERATIONS!$Q151)</f>
        <v/>
      </c>
      <c r="P151" s="26" t="str">
        <f aca="false">IF($G151="","",IF($G151=R_LOT,COUNTIF($G$5:$G151,R_LOT),""))</f>
        <v/>
      </c>
    </row>
    <row r="152" customFormat="false" ht="15" hidden="false" customHeight="false" outlineLevel="0" collapsed="false">
      <c r="A152" s="28" t="str">
        <f aca="false">IF($M152=0,"",ROW()-4)</f>
        <v/>
      </c>
      <c r="B152" s="26" t="str">
        <f aca="false">IF($M152=0,"","OPERATIONS")</f>
        <v/>
      </c>
      <c r="C152" s="26" t="str">
        <f aca="false">IF($M152=0,"",OPERATIONS!$A152)</f>
        <v/>
      </c>
      <c r="D152" s="31" t="str">
        <f aca="false">IF($M152=0,"",OPERATIONS!$B152)</f>
        <v/>
      </c>
      <c r="E152" s="26" t="str">
        <f aca="false">IF($M152=0,"","SORTIE")</f>
        <v/>
      </c>
      <c r="F152" s="26" t="str">
        <f aca="false">IF($M152=0,"",OPERATIONS!$C152)</f>
        <v/>
      </c>
      <c r="G152" s="26" t="str">
        <f aca="false">IF($M152=0,"",OPERATIONS!$D152)</f>
        <v/>
      </c>
      <c r="H152" s="26" t="str">
        <f aca="false">IF($G152="","",IFERROR(INDEX(LOT_EXTE,MATCH($G152,LOT_KEY,0)),""))</f>
        <v/>
      </c>
      <c r="I152" s="26" t="str">
        <f aca="false">IF($M152=0,"",OPERATIONS!$E152)</f>
        <v/>
      </c>
      <c r="J152" s="26" t="str">
        <f aca="false">IF($I152="","",IFERROR(INDEX(EMPL_CLASSE,MATCH($I152,EMPL_KEY,0)),""))</f>
        <v/>
      </c>
      <c r="K152" s="26" t="str">
        <f aca="false">IF($M152=0,"",OPERATIONS!$K152)</f>
        <v/>
      </c>
      <c r="L152" s="26" t="str">
        <f aca="false">IF($G152="","",IF(IFERROR(INDEX(LOT_ETAT,MATCH($G152,LOT_KEY,0)),"")="","",INDEX(LOT_ETAT,MATCH($G152,LOT_KEY,0))))</f>
        <v/>
      </c>
      <c r="M152" s="73" t="n">
        <f aca="false">IF(OR(OPERATIONS!$O152=0,OPERATIONS!$C152="RECEPTION",OPERATIONS!$C152="AJUSTEMENT"),0,-OPERATIONS!$G152)</f>
        <v>0</v>
      </c>
      <c r="N152" s="73" t="n">
        <f aca="false">IF($M152=0,0,OPERATIONS!$R152*$M152)</f>
        <v>0</v>
      </c>
      <c r="O152" s="26" t="str">
        <f aca="false">IF($M152=0,"",OPERATIONS!$Q152)</f>
        <v/>
      </c>
      <c r="P152" s="26" t="str">
        <f aca="false">IF($G152="","",IF($G152=R_LOT,COUNTIF($G$5:$G152,R_LOT),""))</f>
        <v/>
      </c>
    </row>
    <row r="153" customFormat="false" ht="15" hidden="false" customHeight="false" outlineLevel="0" collapsed="false">
      <c r="A153" s="28" t="str">
        <f aca="false">IF($M153=0,"",ROW()-4)</f>
        <v/>
      </c>
      <c r="B153" s="26" t="str">
        <f aca="false">IF($M153=0,"","OPERATIONS")</f>
        <v/>
      </c>
      <c r="C153" s="26" t="str">
        <f aca="false">IF($M153=0,"",OPERATIONS!$A153)</f>
        <v/>
      </c>
      <c r="D153" s="31" t="str">
        <f aca="false">IF($M153=0,"",OPERATIONS!$B153)</f>
        <v/>
      </c>
      <c r="E153" s="26" t="str">
        <f aca="false">IF($M153=0,"","SORTIE")</f>
        <v/>
      </c>
      <c r="F153" s="26" t="str">
        <f aca="false">IF($M153=0,"",OPERATIONS!$C153)</f>
        <v/>
      </c>
      <c r="G153" s="26" t="str">
        <f aca="false">IF($M153=0,"",OPERATIONS!$D153)</f>
        <v/>
      </c>
      <c r="H153" s="26" t="str">
        <f aca="false">IF($G153="","",IFERROR(INDEX(LOT_EXTE,MATCH($G153,LOT_KEY,0)),""))</f>
        <v/>
      </c>
      <c r="I153" s="26" t="str">
        <f aca="false">IF($M153=0,"",OPERATIONS!$E153)</f>
        <v/>
      </c>
      <c r="J153" s="26" t="str">
        <f aca="false">IF($I153="","",IFERROR(INDEX(EMPL_CLASSE,MATCH($I153,EMPL_KEY,0)),""))</f>
        <v/>
      </c>
      <c r="K153" s="26" t="str">
        <f aca="false">IF($M153=0,"",OPERATIONS!$K153)</f>
        <v/>
      </c>
      <c r="L153" s="26" t="str">
        <f aca="false">IF($G153="","",IF(IFERROR(INDEX(LOT_ETAT,MATCH($G153,LOT_KEY,0)),"")="","",INDEX(LOT_ETAT,MATCH($G153,LOT_KEY,0))))</f>
        <v/>
      </c>
      <c r="M153" s="73" t="n">
        <f aca="false">IF(OR(OPERATIONS!$O153=0,OPERATIONS!$C153="RECEPTION",OPERATIONS!$C153="AJUSTEMENT"),0,-OPERATIONS!$G153)</f>
        <v>0</v>
      </c>
      <c r="N153" s="73" t="n">
        <f aca="false">IF($M153=0,0,OPERATIONS!$R153*$M153)</f>
        <v>0</v>
      </c>
      <c r="O153" s="26" t="str">
        <f aca="false">IF($M153=0,"",OPERATIONS!$Q153)</f>
        <v/>
      </c>
      <c r="P153" s="26" t="str">
        <f aca="false">IF($G153="","",IF($G153=R_LOT,COUNTIF($G$5:$G153,R_LOT),""))</f>
        <v/>
      </c>
    </row>
    <row r="154" customFormat="false" ht="15" hidden="false" customHeight="false" outlineLevel="0" collapsed="false">
      <c r="A154" s="28" t="str">
        <f aca="false">IF($M154=0,"",ROW()-4)</f>
        <v/>
      </c>
      <c r="B154" s="26" t="str">
        <f aca="false">IF($M154=0,"","OPERATIONS")</f>
        <v/>
      </c>
      <c r="C154" s="26" t="str">
        <f aca="false">IF($M154=0,"",OPERATIONS!$A154)</f>
        <v/>
      </c>
      <c r="D154" s="31" t="str">
        <f aca="false">IF($M154=0,"",OPERATIONS!$B154)</f>
        <v/>
      </c>
      <c r="E154" s="26" t="str">
        <f aca="false">IF($M154=0,"","SORTIE")</f>
        <v/>
      </c>
      <c r="F154" s="26" t="str">
        <f aca="false">IF($M154=0,"",OPERATIONS!$C154)</f>
        <v/>
      </c>
      <c r="G154" s="26" t="str">
        <f aca="false">IF($M154=0,"",OPERATIONS!$D154)</f>
        <v/>
      </c>
      <c r="H154" s="26" t="str">
        <f aca="false">IF($G154="","",IFERROR(INDEX(LOT_EXTE,MATCH($G154,LOT_KEY,0)),""))</f>
        <v/>
      </c>
      <c r="I154" s="26" t="str">
        <f aca="false">IF($M154=0,"",OPERATIONS!$E154)</f>
        <v/>
      </c>
      <c r="J154" s="26" t="str">
        <f aca="false">IF($I154="","",IFERROR(INDEX(EMPL_CLASSE,MATCH($I154,EMPL_KEY,0)),""))</f>
        <v/>
      </c>
      <c r="K154" s="26" t="str">
        <f aca="false">IF($M154=0,"",OPERATIONS!$K154)</f>
        <v/>
      </c>
      <c r="L154" s="26" t="str">
        <f aca="false">IF($G154="","",IF(IFERROR(INDEX(LOT_ETAT,MATCH($G154,LOT_KEY,0)),"")="","",INDEX(LOT_ETAT,MATCH($G154,LOT_KEY,0))))</f>
        <v/>
      </c>
      <c r="M154" s="73" t="n">
        <f aca="false">IF(OR(OPERATIONS!$O154=0,OPERATIONS!$C154="RECEPTION",OPERATIONS!$C154="AJUSTEMENT"),0,-OPERATIONS!$G154)</f>
        <v>0</v>
      </c>
      <c r="N154" s="73" t="n">
        <f aca="false">IF($M154=0,0,OPERATIONS!$R154*$M154)</f>
        <v>0</v>
      </c>
      <c r="O154" s="26" t="str">
        <f aca="false">IF($M154=0,"",OPERATIONS!$Q154)</f>
        <v/>
      </c>
      <c r="P154" s="26" t="str">
        <f aca="false">IF($G154="","",IF($G154=R_LOT,COUNTIF($G$5:$G154,R_LOT),""))</f>
        <v/>
      </c>
    </row>
    <row r="155" customFormat="false" ht="15" hidden="false" customHeight="false" outlineLevel="0" collapsed="false">
      <c r="A155" s="28" t="str">
        <f aca="false">IF($M155=0,"",ROW()-4)</f>
        <v/>
      </c>
      <c r="B155" s="26" t="str">
        <f aca="false">IF($M155=0,"","OPERATIONS")</f>
        <v/>
      </c>
      <c r="C155" s="26" t="str">
        <f aca="false">IF($M155=0,"",OPERATIONS!$A155)</f>
        <v/>
      </c>
      <c r="D155" s="31" t="str">
        <f aca="false">IF($M155=0,"",OPERATIONS!$B155)</f>
        <v/>
      </c>
      <c r="E155" s="26" t="str">
        <f aca="false">IF($M155=0,"","SORTIE")</f>
        <v/>
      </c>
      <c r="F155" s="26" t="str">
        <f aca="false">IF($M155=0,"",OPERATIONS!$C155)</f>
        <v/>
      </c>
      <c r="G155" s="26" t="str">
        <f aca="false">IF($M155=0,"",OPERATIONS!$D155)</f>
        <v/>
      </c>
      <c r="H155" s="26" t="str">
        <f aca="false">IF($G155="","",IFERROR(INDEX(LOT_EXTE,MATCH($G155,LOT_KEY,0)),""))</f>
        <v/>
      </c>
      <c r="I155" s="26" t="str">
        <f aca="false">IF($M155=0,"",OPERATIONS!$E155)</f>
        <v/>
      </c>
      <c r="J155" s="26" t="str">
        <f aca="false">IF($I155="","",IFERROR(INDEX(EMPL_CLASSE,MATCH($I155,EMPL_KEY,0)),""))</f>
        <v/>
      </c>
      <c r="K155" s="26" t="str">
        <f aca="false">IF($M155=0,"",OPERATIONS!$K155)</f>
        <v/>
      </c>
      <c r="L155" s="26" t="str">
        <f aca="false">IF($G155="","",IF(IFERROR(INDEX(LOT_ETAT,MATCH($G155,LOT_KEY,0)),"")="","",INDEX(LOT_ETAT,MATCH($G155,LOT_KEY,0))))</f>
        <v/>
      </c>
      <c r="M155" s="73" t="n">
        <f aca="false">IF(OR(OPERATIONS!$O155=0,OPERATIONS!$C155="RECEPTION",OPERATIONS!$C155="AJUSTEMENT"),0,-OPERATIONS!$G155)</f>
        <v>0</v>
      </c>
      <c r="N155" s="73" t="n">
        <f aca="false">IF($M155=0,0,OPERATIONS!$R155*$M155)</f>
        <v>0</v>
      </c>
      <c r="O155" s="26" t="str">
        <f aca="false">IF($M155=0,"",OPERATIONS!$Q155)</f>
        <v/>
      </c>
      <c r="P155" s="26" t="str">
        <f aca="false">IF($G155="","",IF($G155=R_LOT,COUNTIF($G$5:$G155,R_LOT),""))</f>
        <v/>
      </c>
    </row>
    <row r="156" customFormat="false" ht="15" hidden="false" customHeight="false" outlineLevel="0" collapsed="false">
      <c r="A156" s="28" t="str">
        <f aca="false">IF($M156=0,"",ROW()-4)</f>
        <v/>
      </c>
      <c r="B156" s="26" t="str">
        <f aca="false">IF($M156=0,"","OPERATIONS")</f>
        <v/>
      </c>
      <c r="C156" s="26" t="str">
        <f aca="false">IF($M156=0,"",OPERATIONS!$A156)</f>
        <v/>
      </c>
      <c r="D156" s="31" t="str">
        <f aca="false">IF($M156=0,"",OPERATIONS!$B156)</f>
        <v/>
      </c>
      <c r="E156" s="26" t="str">
        <f aca="false">IF($M156=0,"","SORTIE")</f>
        <v/>
      </c>
      <c r="F156" s="26" t="str">
        <f aca="false">IF($M156=0,"",OPERATIONS!$C156)</f>
        <v/>
      </c>
      <c r="G156" s="26" t="str">
        <f aca="false">IF($M156=0,"",OPERATIONS!$D156)</f>
        <v/>
      </c>
      <c r="H156" s="26" t="str">
        <f aca="false">IF($G156="","",IFERROR(INDEX(LOT_EXTE,MATCH($G156,LOT_KEY,0)),""))</f>
        <v/>
      </c>
      <c r="I156" s="26" t="str">
        <f aca="false">IF($M156=0,"",OPERATIONS!$E156)</f>
        <v/>
      </c>
      <c r="J156" s="26" t="str">
        <f aca="false">IF($I156="","",IFERROR(INDEX(EMPL_CLASSE,MATCH($I156,EMPL_KEY,0)),""))</f>
        <v/>
      </c>
      <c r="K156" s="26" t="str">
        <f aca="false">IF($M156=0,"",OPERATIONS!$K156)</f>
        <v/>
      </c>
      <c r="L156" s="26" t="str">
        <f aca="false">IF($G156="","",IF(IFERROR(INDEX(LOT_ETAT,MATCH($G156,LOT_KEY,0)),"")="","",INDEX(LOT_ETAT,MATCH($G156,LOT_KEY,0))))</f>
        <v/>
      </c>
      <c r="M156" s="73" t="n">
        <f aca="false">IF(OR(OPERATIONS!$O156=0,OPERATIONS!$C156="RECEPTION",OPERATIONS!$C156="AJUSTEMENT"),0,-OPERATIONS!$G156)</f>
        <v>0</v>
      </c>
      <c r="N156" s="73" t="n">
        <f aca="false">IF($M156=0,0,OPERATIONS!$R156*$M156)</f>
        <v>0</v>
      </c>
      <c r="O156" s="26" t="str">
        <f aca="false">IF($M156=0,"",OPERATIONS!$Q156)</f>
        <v/>
      </c>
      <c r="P156" s="26" t="str">
        <f aca="false">IF($G156="","",IF($G156=R_LOT,COUNTIF($G$5:$G156,R_LOT),""))</f>
        <v/>
      </c>
    </row>
    <row r="157" customFormat="false" ht="15" hidden="false" customHeight="false" outlineLevel="0" collapsed="false">
      <c r="A157" s="28" t="str">
        <f aca="false">IF($M157=0,"",ROW()-4)</f>
        <v/>
      </c>
      <c r="B157" s="26" t="str">
        <f aca="false">IF($M157=0,"","OPERATIONS")</f>
        <v/>
      </c>
      <c r="C157" s="26" t="str">
        <f aca="false">IF($M157=0,"",OPERATIONS!$A157)</f>
        <v/>
      </c>
      <c r="D157" s="31" t="str">
        <f aca="false">IF($M157=0,"",OPERATIONS!$B157)</f>
        <v/>
      </c>
      <c r="E157" s="26" t="str">
        <f aca="false">IF($M157=0,"","SORTIE")</f>
        <v/>
      </c>
      <c r="F157" s="26" t="str">
        <f aca="false">IF($M157=0,"",OPERATIONS!$C157)</f>
        <v/>
      </c>
      <c r="G157" s="26" t="str">
        <f aca="false">IF($M157=0,"",OPERATIONS!$D157)</f>
        <v/>
      </c>
      <c r="H157" s="26" t="str">
        <f aca="false">IF($G157="","",IFERROR(INDEX(LOT_EXTE,MATCH($G157,LOT_KEY,0)),""))</f>
        <v/>
      </c>
      <c r="I157" s="26" t="str">
        <f aca="false">IF($M157=0,"",OPERATIONS!$E157)</f>
        <v/>
      </c>
      <c r="J157" s="26" t="str">
        <f aca="false">IF($I157="","",IFERROR(INDEX(EMPL_CLASSE,MATCH($I157,EMPL_KEY,0)),""))</f>
        <v/>
      </c>
      <c r="K157" s="26" t="str">
        <f aca="false">IF($M157=0,"",OPERATIONS!$K157)</f>
        <v/>
      </c>
      <c r="L157" s="26" t="str">
        <f aca="false">IF($G157="","",IF(IFERROR(INDEX(LOT_ETAT,MATCH($G157,LOT_KEY,0)),"")="","",INDEX(LOT_ETAT,MATCH($G157,LOT_KEY,0))))</f>
        <v/>
      </c>
      <c r="M157" s="73" t="n">
        <f aca="false">IF(OR(OPERATIONS!$O157=0,OPERATIONS!$C157="RECEPTION",OPERATIONS!$C157="AJUSTEMENT"),0,-OPERATIONS!$G157)</f>
        <v>0</v>
      </c>
      <c r="N157" s="73" t="n">
        <f aca="false">IF($M157=0,0,OPERATIONS!$R157*$M157)</f>
        <v>0</v>
      </c>
      <c r="O157" s="26" t="str">
        <f aca="false">IF($M157=0,"",OPERATIONS!$Q157)</f>
        <v/>
      </c>
      <c r="P157" s="26" t="str">
        <f aca="false">IF($G157="","",IF($G157=R_LOT,COUNTIF($G$5:$G157,R_LOT),""))</f>
        <v/>
      </c>
    </row>
    <row r="158" customFormat="false" ht="15" hidden="false" customHeight="false" outlineLevel="0" collapsed="false">
      <c r="A158" s="28" t="str">
        <f aca="false">IF($M158=0,"",ROW()-4)</f>
        <v/>
      </c>
      <c r="B158" s="26" t="str">
        <f aca="false">IF($M158=0,"","OPERATIONS")</f>
        <v/>
      </c>
      <c r="C158" s="26" t="str">
        <f aca="false">IF($M158=0,"",OPERATIONS!$A158)</f>
        <v/>
      </c>
      <c r="D158" s="31" t="str">
        <f aca="false">IF($M158=0,"",OPERATIONS!$B158)</f>
        <v/>
      </c>
      <c r="E158" s="26" t="str">
        <f aca="false">IF($M158=0,"","SORTIE")</f>
        <v/>
      </c>
      <c r="F158" s="26" t="str">
        <f aca="false">IF($M158=0,"",OPERATIONS!$C158)</f>
        <v/>
      </c>
      <c r="G158" s="26" t="str">
        <f aca="false">IF($M158=0,"",OPERATIONS!$D158)</f>
        <v/>
      </c>
      <c r="H158" s="26" t="str">
        <f aca="false">IF($G158="","",IFERROR(INDEX(LOT_EXTE,MATCH($G158,LOT_KEY,0)),""))</f>
        <v/>
      </c>
      <c r="I158" s="26" t="str">
        <f aca="false">IF($M158=0,"",OPERATIONS!$E158)</f>
        <v/>
      </c>
      <c r="J158" s="26" t="str">
        <f aca="false">IF($I158="","",IFERROR(INDEX(EMPL_CLASSE,MATCH($I158,EMPL_KEY,0)),""))</f>
        <v/>
      </c>
      <c r="K158" s="26" t="str">
        <f aca="false">IF($M158=0,"",OPERATIONS!$K158)</f>
        <v/>
      </c>
      <c r="L158" s="26" t="str">
        <f aca="false">IF($G158="","",IF(IFERROR(INDEX(LOT_ETAT,MATCH($G158,LOT_KEY,0)),"")="","",INDEX(LOT_ETAT,MATCH($G158,LOT_KEY,0))))</f>
        <v/>
      </c>
      <c r="M158" s="73" t="n">
        <f aca="false">IF(OR(OPERATIONS!$O158=0,OPERATIONS!$C158="RECEPTION",OPERATIONS!$C158="AJUSTEMENT"),0,-OPERATIONS!$G158)</f>
        <v>0</v>
      </c>
      <c r="N158" s="73" t="n">
        <f aca="false">IF($M158=0,0,OPERATIONS!$R158*$M158)</f>
        <v>0</v>
      </c>
      <c r="O158" s="26" t="str">
        <f aca="false">IF($M158=0,"",OPERATIONS!$Q158)</f>
        <v/>
      </c>
      <c r="P158" s="26" t="str">
        <f aca="false">IF($G158="","",IF($G158=R_LOT,COUNTIF($G$5:$G158,R_LOT),""))</f>
        <v/>
      </c>
    </row>
    <row r="159" customFormat="false" ht="15" hidden="false" customHeight="false" outlineLevel="0" collapsed="false">
      <c r="A159" s="28" t="str">
        <f aca="false">IF($M159=0,"",ROW()-4)</f>
        <v/>
      </c>
      <c r="B159" s="26" t="str">
        <f aca="false">IF($M159=0,"","OPERATIONS")</f>
        <v/>
      </c>
      <c r="C159" s="26" t="str">
        <f aca="false">IF($M159=0,"",OPERATIONS!$A159)</f>
        <v/>
      </c>
      <c r="D159" s="31" t="str">
        <f aca="false">IF($M159=0,"",OPERATIONS!$B159)</f>
        <v/>
      </c>
      <c r="E159" s="26" t="str">
        <f aca="false">IF($M159=0,"","SORTIE")</f>
        <v/>
      </c>
      <c r="F159" s="26" t="str">
        <f aca="false">IF($M159=0,"",OPERATIONS!$C159)</f>
        <v/>
      </c>
      <c r="G159" s="26" t="str">
        <f aca="false">IF($M159=0,"",OPERATIONS!$D159)</f>
        <v/>
      </c>
      <c r="H159" s="26" t="str">
        <f aca="false">IF($G159="","",IFERROR(INDEX(LOT_EXTE,MATCH($G159,LOT_KEY,0)),""))</f>
        <v/>
      </c>
      <c r="I159" s="26" t="str">
        <f aca="false">IF($M159=0,"",OPERATIONS!$E159)</f>
        <v/>
      </c>
      <c r="J159" s="26" t="str">
        <f aca="false">IF($I159="","",IFERROR(INDEX(EMPL_CLASSE,MATCH($I159,EMPL_KEY,0)),""))</f>
        <v/>
      </c>
      <c r="K159" s="26" t="str">
        <f aca="false">IF($M159=0,"",OPERATIONS!$K159)</f>
        <v/>
      </c>
      <c r="L159" s="26" t="str">
        <f aca="false">IF($G159="","",IF(IFERROR(INDEX(LOT_ETAT,MATCH($G159,LOT_KEY,0)),"")="","",INDEX(LOT_ETAT,MATCH($G159,LOT_KEY,0))))</f>
        <v/>
      </c>
      <c r="M159" s="73" t="n">
        <f aca="false">IF(OR(OPERATIONS!$O159=0,OPERATIONS!$C159="RECEPTION",OPERATIONS!$C159="AJUSTEMENT"),0,-OPERATIONS!$G159)</f>
        <v>0</v>
      </c>
      <c r="N159" s="73" t="n">
        <f aca="false">IF($M159=0,0,OPERATIONS!$R159*$M159)</f>
        <v>0</v>
      </c>
      <c r="O159" s="26" t="str">
        <f aca="false">IF($M159=0,"",OPERATIONS!$Q159)</f>
        <v/>
      </c>
      <c r="P159" s="26" t="str">
        <f aca="false">IF($G159="","",IF($G159=R_LOT,COUNTIF($G$5:$G159,R_LOT),""))</f>
        <v/>
      </c>
    </row>
    <row r="160" customFormat="false" ht="15" hidden="false" customHeight="false" outlineLevel="0" collapsed="false">
      <c r="A160" s="28" t="str">
        <f aca="false">IF($M160=0,"",ROW()-4)</f>
        <v/>
      </c>
      <c r="B160" s="26" t="str">
        <f aca="false">IF($M160=0,"","OPERATIONS")</f>
        <v/>
      </c>
      <c r="C160" s="26" t="str">
        <f aca="false">IF($M160=0,"",OPERATIONS!$A160)</f>
        <v/>
      </c>
      <c r="D160" s="31" t="str">
        <f aca="false">IF($M160=0,"",OPERATIONS!$B160)</f>
        <v/>
      </c>
      <c r="E160" s="26" t="str">
        <f aca="false">IF($M160=0,"","SORTIE")</f>
        <v/>
      </c>
      <c r="F160" s="26" t="str">
        <f aca="false">IF($M160=0,"",OPERATIONS!$C160)</f>
        <v/>
      </c>
      <c r="G160" s="26" t="str">
        <f aca="false">IF($M160=0,"",OPERATIONS!$D160)</f>
        <v/>
      </c>
      <c r="H160" s="26" t="str">
        <f aca="false">IF($G160="","",IFERROR(INDEX(LOT_EXTE,MATCH($G160,LOT_KEY,0)),""))</f>
        <v/>
      </c>
      <c r="I160" s="26" t="str">
        <f aca="false">IF($M160=0,"",OPERATIONS!$E160)</f>
        <v/>
      </c>
      <c r="J160" s="26" t="str">
        <f aca="false">IF($I160="","",IFERROR(INDEX(EMPL_CLASSE,MATCH($I160,EMPL_KEY,0)),""))</f>
        <v/>
      </c>
      <c r="K160" s="26" t="str">
        <f aca="false">IF($M160=0,"",OPERATIONS!$K160)</f>
        <v/>
      </c>
      <c r="L160" s="26" t="str">
        <f aca="false">IF($G160="","",IF(IFERROR(INDEX(LOT_ETAT,MATCH($G160,LOT_KEY,0)),"")="","",INDEX(LOT_ETAT,MATCH($G160,LOT_KEY,0))))</f>
        <v/>
      </c>
      <c r="M160" s="73" t="n">
        <f aca="false">IF(OR(OPERATIONS!$O160=0,OPERATIONS!$C160="RECEPTION",OPERATIONS!$C160="AJUSTEMENT"),0,-OPERATIONS!$G160)</f>
        <v>0</v>
      </c>
      <c r="N160" s="73" t="n">
        <f aca="false">IF($M160=0,0,OPERATIONS!$R160*$M160)</f>
        <v>0</v>
      </c>
      <c r="O160" s="26" t="str">
        <f aca="false">IF($M160=0,"",OPERATIONS!$Q160)</f>
        <v/>
      </c>
      <c r="P160" s="26" t="str">
        <f aca="false">IF($G160="","",IF($G160=R_LOT,COUNTIF($G$5:$G160,R_LOT),""))</f>
        <v/>
      </c>
    </row>
    <row r="161" customFormat="false" ht="15" hidden="false" customHeight="false" outlineLevel="0" collapsed="false">
      <c r="A161" s="28" t="str">
        <f aca="false">IF($M161=0,"",ROW()-4)</f>
        <v/>
      </c>
      <c r="B161" s="26" t="str">
        <f aca="false">IF($M161=0,"","OPERATIONS")</f>
        <v/>
      </c>
      <c r="C161" s="26" t="str">
        <f aca="false">IF($M161=0,"",OPERATIONS!$A161)</f>
        <v/>
      </c>
      <c r="D161" s="31" t="str">
        <f aca="false">IF($M161=0,"",OPERATIONS!$B161)</f>
        <v/>
      </c>
      <c r="E161" s="26" t="str">
        <f aca="false">IF($M161=0,"","SORTIE")</f>
        <v/>
      </c>
      <c r="F161" s="26" t="str">
        <f aca="false">IF($M161=0,"",OPERATIONS!$C161)</f>
        <v/>
      </c>
      <c r="G161" s="26" t="str">
        <f aca="false">IF($M161=0,"",OPERATIONS!$D161)</f>
        <v/>
      </c>
      <c r="H161" s="26" t="str">
        <f aca="false">IF($G161="","",IFERROR(INDEX(LOT_EXTE,MATCH($G161,LOT_KEY,0)),""))</f>
        <v/>
      </c>
      <c r="I161" s="26" t="str">
        <f aca="false">IF($M161=0,"",OPERATIONS!$E161)</f>
        <v/>
      </c>
      <c r="J161" s="26" t="str">
        <f aca="false">IF($I161="","",IFERROR(INDEX(EMPL_CLASSE,MATCH($I161,EMPL_KEY,0)),""))</f>
        <v/>
      </c>
      <c r="K161" s="26" t="str">
        <f aca="false">IF($M161=0,"",OPERATIONS!$K161)</f>
        <v/>
      </c>
      <c r="L161" s="26" t="str">
        <f aca="false">IF($G161="","",IF(IFERROR(INDEX(LOT_ETAT,MATCH($G161,LOT_KEY,0)),"")="","",INDEX(LOT_ETAT,MATCH($G161,LOT_KEY,0))))</f>
        <v/>
      </c>
      <c r="M161" s="73" t="n">
        <f aca="false">IF(OR(OPERATIONS!$O161=0,OPERATIONS!$C161="RECEPTION",OPERATIONS!$C161="AJUSTEMENT"),0,-OPERATIONS!$G161)</f>
        <v>0</v>
      </c>
      <c r="N161" s="73" t="n">
        <f aca="false">IF($M161=0,0,OPERATIONS!$R161*$M161)</f>
        <v>0</v>
      </c>
      <c r="O161" s="26" t="str">
        <f aca="false">IF($M161=0,"",OPERATIONS!$Q161)</f>
        <v/>
      </c>
      <c r="P161" s="26" t="str">
        <f aca="false">IF($G161="","",IF($G161=R_LOT,COUNTIF($G$5:$G161,R_LOT),""))</f>
        <v/>
      </c>
    </row>
    <row r="162" customFormat="false" ht="15" hidden="false" customHeight="false" outlineLevel="0" collapsed="false">
      <c r="A162" s="28" t="str">
        <f aca="false">IF($M162=0,"",ROW()-4)</f>
        <v/>
      </c>
      <c r="B162" s="26" t="str">
        <f aca="false">IF($M162=0,"","OPERATIONS")</f>
        <v/>
      </c>
      <c r="C162" s="26" t="str">
        <f aca="false">IF($M162=0,"",OPERATIONS!$A162)</f>
        <v/>
      </c>
      <c r="D162" s="31" t="str">
        <f aca="false">IF($M162=0,"",OPERATIONS!$B162)</f>
        <v/>
      </c>
      <c r="E162" s="26" t="str">
        <f aca="false">IF($M162=0,"","SORTIE")</f>
        <v/>
      </c>
      <c r="F162" s="26" t="str">
        <f aca="false">IF($M162=0,"",OPERATIONS!$C162)</f>
        <v/>
      </c>
      <c r="G162" s="26" t="str">
        <f aca="false">IF($M162=0,"",OPERATIONS!$D162)</f>
        <v/>
      </c>
      <c r="H162" s="26" t="str">
        <f aca="false">IF($G162="","",IFERROR(INDEX(LOT_EXTE,MATCH($G162,LOT_KEY,0)),""))</f>
        <v/>
      </c>
      <c r="I162" s="26" t="str">
        <f aca="false">IF($M162=0,"",OPERATIONS!$E162)</f>
        <v/>
      </c>
      <c r="J162" s="26" t="str">
        <f aca="false">IF($I162="","",IFERROR(INDEX(EMPL_CLASSE,MATCH($I162,EMPL_KEY,0)),""))</f>
        <v/>
      </c>
      <c r="K162" s="26" t="str">
        <f aca="false">IF($M162=0,"",OPERATIONS!$K162)</f>
        <v/>
      </c>
      <c r="L162" s="26" t="str">
        <f aca="false">IF($G162="","",IF(IFERROR(INDEX(LOT_ETAT,MATCH($G162,LOT_KEY,0)),"")="","",INDEX(LOT_ETAT,MATCH($G162,LOT_KEY,0))))</f>
        <v/>
      </c>
      <c r="M162" s="73" t="n">
        <f aca="false">IF(OR(OPERATIONS!$O162=0,OPERATIONS!$C162="RECEPTION",OPERATIONS!$C162="AJUSTEMENT"),0,-OPERATIONS!$G162)</f>
        <v>0</v>
      </c>
      <c r="N162" s="73" t="n">
        <f aca="false">IF($M162=0,0,OPERATIONS!$R162*$M162)</f>
        <v>0</v>
      </c>
      <c r="O162" s="26" t="str">
        <f aca="false">IF($M162=0,"",OPERATIONS!$Q162)</f>
        <v/>
      </c>
      <c r="P162" s="26" t="str">
        <f aca="false">IF($G162="","",IF($G162=R_LOT,COUNTIF($G$5:$G162,R_LOT),""))</f>
        <v/>
      </c>
    </row>
    <row r="163" customFormat="false" ht="15" hidden="false" customHeight="false" outlineLevel="0" collapsed="false">
      <c r="A163" s="28" t="str">
        <f aca="false">IF($M163=0,"",ROW()-4)</f>
        <v/>
      </c>
      <c r="B163" s="26" t="str">
        <f aca="false">IF($M163=0,"","OPERATIONS")</f>
        <v/>
      </c>
      <c r="C163" s="26" t="str">
        <f aca="false">IF($M163=0,"",OPERATIONS!$A163)</f>
        <v/>
      </c>
      <c r="D163" s="31" t="str">
        <f aca="false">IF($M163=0,"",OPERATIONS!$B163)</f>
        <v/>
      </c>
      <c r="E163" s="26" t="str">
        <f aca="false">IF($M163=0,"","SORTIE")</f>
        <v/>
      </c>
      <c r="F163" s="26" t="str">
        <f aca="false">IF($M163=0,"",OPERATIONS!$C163)</f>
        <v/>
      </c>
      <c r="G163" s="26" t="str">
        <f aca="false">IF($M163=0,"",OPERATIONS!$D163)</f>
        <v/>
      </c>
      <c r="H163" s="26" t="str">
        <f aca="false">IF($G163="","",IFERROR(INDEX(LOT_EXTE,MATCH($G163,LOT_KEY,0)),""))</f>
        <v/>
      </c>
      <c r="I163" s="26" t="str">
        <f aca="false">IF($M163=0,"",OPERATIONS!$E163)</f>
        <v/>
      </c>
      <c r="J163" s="26" t="str">
        <f aca="false">IF($I163="","",IFERROR(INDEX(EMPL_CLASSE,MATCH($I163,EMPL_KEY,0)),""))</f>
        <v/>
      </c>
      <c r="K163" s="26" t="str">
        <f aca="false">IF($M163=0,"",OPERATIONS!$K163)</f>
        <v/>
      </c>
      <c r="L163" s="26" t="str">
        <f aca="false">IF($G163="","",IF(IFERROR(INDEX(LOT_ETAT,MATCH($G163,LOT_KEY,0)),"")="","",INDEX(LOT_ETAT,MATCH($G163,LOT_KEY,0))))</f>
        <v/>
      </c>
      <c r="M163" s="73" t="n">
        <f aca="false">IF(OR(OPERATIONS!$O163=0,OPERATIONS!$C163="RECEPTION",OPERATIONS!$C163="AJUSTEMENT"),0,-OPERATIONS!$G163)</f>
        <v>0</v>
      </c>
      <c r="N163" s="73" t="n">
        <f aca="false">IF($M163=0,0,OPERATIONS!$R163*$M163)</f>
        <v>0</v>
      </c>
      <c r="O163" s="26" t="str">
        <f aca="false">IF($M163=0,"",OPERATIONS!$Q163)</f>
        <v/>
      </c>
      <c r="P163" s="26" t="str">
        <f aca="false">IF($G163="","",IF($G163=R_LOT,COUNTIF($G$5:$G163,R_LOT),""))</f>
        <v/>
      </c>
    </row>
    <row r="164" customFormat="false" ht="15" hidden="false" customHeight="false" outlineLevel="0" collapsed="false">
      <c r="A164" s="28" t="str">
        <f aca="false">IF($M164=0,"",ROW()-4)</f>
        <v/>
      </c>
      <c r="B164" s="26" t="str">
        <f aca="false">IF($M164=0,"","OPERATIONS")</f>
        <v/>
      </c>
      <c r="C164" s="26" t="str">
        <f aca="false">IF($M164=0,"",OPERATIONS!$A164)</f>
        <v/>
      </c>
      <c r="D164" s="31" t="str">
        <f aca="false">IF($M164=0,"",OPERATIONS!$B164)</f>
        <v/>
      </c>
      <c r="E164" s="26" t="str">
        <f aca="false">IF($M164=0,"","SORTIE")</f>
        <v/>
      </c>
      <c r="F164" s="26" t="str">
        <f aca="false">IF($M164=0,"",OPERATIONS!$C164)</f>
        <v/>
      </c>
      <c r="G164" s="26" t="str">
        <f aca="false">IF($M164=0,"",OPERATIONS!$D164)</f>
        <v/>
      </c>
      <c r="H164" s="26" t="str">
        <f aca="false">IF($G164="","",IFERROR(INDEX(LOT_EXTE,MATCH($G164,LOT_KEY,0)),""))</f>
        <v/>
      </c>
      <c r="I164" s="26" t="str">
        <f aca="false">IF($M164=0,"",OPERATIONS!$E164)</f>
        <v/>
      </c>
      <c r="J164" s="26" t="str">
        <f aca="false">IF($I164="","",IFERROR(INDEX(EMPL_CLASSE,MATCH($I164,EMPL_KEY,0)),""))</f>
        <v/>
      </c>
      <c r="K164" s="26" t="str">
        <f aca="false">IF($M164=0,"",OPERATIONS!$K164)</f>
        <v/>
      </c>
      <c r="L164" s="26" t="str">
        <f aca="false">IF($G164="","",IF(IFERROR(INDEX(LOT_ETAT,MATCH($G164,LOT_KEY,0)),"")="","",INDEX(LOT_ETAT,MATCH($G164,LOT_KEY,0))))</f>
        <v/>
      </c>
      <c r="M164" s="73" t="n">
        <f aca="false">IF(OR(OPERATIONS!$O164=0,OPERATIONS!$C164="RECEPTION",OPERATIONS!$C164="AJUSTEMENT"),0,-OPERATIONS!$G164)</f>
        <v>0</v>
      </c>
      <c r="N164" s="73" t="n">
        <f aca="false">IF($M164=0,0,OPERATIONS!$R164*$M164)</f>
        <v>0</v>
      </c>
      <c r="O164" s="26" t="str">
        <f aca="false">IF($M164=0,"",OPERATIONS!$Q164)</f>
        <v/>
      </c>
      <c r="P164" s="26" t="str">
        <f aca="false">IF($G164="","",IF($G164=R_LOT,COUNTIF($G$5:$G164,R_LOT),""))</f>
        <v/>
      </c>
    </row>
    <row r="165" customFormat="false" ht="15" hidden="false" customHeight="false" outlineLevel="0" collapsed="false">
      <c r="A165" s="28" t="str">
        <f aca="false">IF($M165=0,"",ROW()-4)</f>
        <v/>
      </c>
      <c r="B165" s="26" t="str">
        <f aca="false">IF($M165=0,"","OPERATIONS")</f>
        <v/>
      </c>
      <c r="C165" s="26" t="str">
        <f aca="false">IF($M165=0,"",OPERATIONS!$A165)</f>
        <v/>
      </c>
      <c r="D165" s="31" t="str">
        <f aca="false">IF($M165=0,"",OPERATIONS!$B165)</f>
        <v/>
      </c>
      <c r="E165" s="26" t="str">
        <f aca="false">IF($M165=0,"","SORTIE")</f>
        <v/>
      </c>
      <c r="F165" s="26" t="str">
        <f aca="false">IF($M165=0,"",OPERATIONS!$C165)</f>
        <v/>
      </c>
      <c r="G165" s="26" t="str">
        <f aca="false">IF($M165=0,"",OPERATIONS!$D165)</f>
        <v/>
      </c>
      <c r="H165" s="26" t="str">
        <f aca="false">IF($G165="","",IFERROR(INDEX(LOT_EXTE,MATCH($G165,LOT_KEY,0)),""))</f>
        <v/>
      </c>
      <c r="I165" s="26" t="str">
        <f aca="false">IF($M165=0,"",OPERATIONS!$E165)</f>
        <v/>
      </c>
      <c r="J165" s="26" t="str">
        <f aca="false">IF($I165="","",IFERROR(INDEX(EMPL_CLASSE,MATCH($I165,EMPL_KEY,0)),""))</f>
        <v/>
      </c>
      <c r="K165" s="26" t="str">
        <f aca="false">IF($M165=0,"",OPERATIONS!$K165)</f>
        <v/>
      </c>
      <c r="L165" s="26" t="str">
        <f aca="false">IF($G165="","",IF(IFERROR(INDEX(LOT_ETAT,MATCH($G165,LOT_KEY,0)),"")="","",INDEX(LOT_ETAT,MATCH($G165,LOT_KEY,0))))</f>
        <v/>
      </c>
      <c r="M165" s="73" t="n">
        <f aca="false">IF(OR(OPERATIONS!$O165=0,OPERATIONS!$C165="RECEPTION",OPERATIONS!$C165="AJUSTEMENT"),0,-OPERATIONS!$G165)</f>
        <v>0</v>
      </c>
      <c r="N165" s="73" t="n">
        <f aca="false">IF($M165=0,0,OPERATIONS!$R165*$M165)</f>
        <v>0</v>
      </c>
      <c r="O165" s="26" t="str">
        <f aca="false">IF($M165=0,"",OPERATIONS!$Q165)</f>
        <v/>
      </c>
      <c r="P165" s="26" t="str">
        <f aca="false">IF($G165="","",IF($G165=R_LOT,COUNTIF($G$5:$G165,R_LOT),""))</f>
        <v/>
      </c>
    </row>
    <row r="166" customFormat="false" ht="15" hidden="false" customHeight="false" outlineLevel="0" collapsed="false">
      <c r="A166" s="28" t="str">
        <f aca="false">IF($M166=0,"",ROW()-4)</f>
        <v/>
      </c>
      <c r="B166" s="26" t="str">
        <f aca="false">IF($M166=0,"","OPERATIONS")</f>
        <v/>
      </c>
      <c r="C166" s="26" t="str">
        <f aca="false">IF($M166=0,"",OPERATIONS!$A166)</f>
        <v/>
      </c>
      <c r="D166" s="31" t="str">
        <f aca="false">IF($M166=0,"",OPERATIONS!$B166)</f>
        <v/>
      </c>
      <c r="E166" s="26" t="str">
        <f aca="false">IF($M166=0,"","SORTIE")</f>
        <v/>
      </c>
      <c r="F166" s="26" t="str">
        <f aca="false">IF($M166=0,"",OPERATIONS!$C166)</f>
        <v/>
      </c>
      <c r="G166" s="26" t="str">
        <f aca="false">IF($M166=0,"",OPERATIONS!$D166)</f>
        <v/>
      </c>
      <c r="H166" s="26" t="str">
        <f aca="false">IF($G166="","",IFERROR(INDEX(LOT_EXTE,MATCH($G166,LOT_KEY,0)),""))</f>
        <v/>
      </c>
      <c r="I166" s="26" t="str">
        <f aca="false">IF($M166=0,"",OPERATIONS!$E166)</f>
        <v/>
      </c>
      <c r="J166" s="26" t="str">
        <f aca="false">IF($I166="","",IFERROR(INDEX(EMPL_CLASSE,MATCH($I166,EMPL_KEY,0)),""))</f>
        <v/>
      </c>
      <c r="K166" s="26" t="str">
        <f aca="false">IF($M166=0,"",OPERATIONS!$K166)</f>
        <v/>
      </c>
      <c r="L166" s="26" t="str">
        <f aca="false">IF($G166="","",IF(IFERROR(INDEX(LOT_ETAT,MATCH($G166,LOT_KEY,0)),"")="","",INDEX(LOT_ETAT,MATCH($G166,LOT_KEY,0))))</f>
        <v/>
      </c>
      <c r="M166" s="73" t="n">
        <f aca="false">IF(OR(OPERATIONS!$O166=0,OPERATIONS!$C166="RECEPTION",OPERATIONS!$C166="AJUSTEMENT"),0,-OPERATIONS!$G166)</f>
        <v>0</v>
      </c>
      <c r="N166" s="73" t="n">
        <f aca="false">IF($M166=0,0,OPERATIONS!$R166*$M166)</f>
        <v>0</v>
      </c>
      <c r="O166" s="26" t="str">
        <f aca="false">IF($M166=0,"",OPERATIONS!$Q166)</f>
        <v/>
      </c>
      <c r="P166" s="26" t="str">
        <f aca="false">IF($G166="","",IF($G166=R_LOT,COUNTIF($G$5:$G166,R_LOT),""))</f>
        <v/>
      </c>
    </row>
    <row r="167" customFormat="false" ht="15" hidden="false" customHeight="false" outlineLevel="0" collapsed="false">
      <c r="A167" s="28" t="str">
        <f aca="false">IF($M167=0,"",ROW()-4)</f>
        <v/>
      </c>
      <c r="B167" s="26" t="str">
        <f aca="false">IF($M167=0,"","OPERATIONS")</f>
        <v/>
      </c>
      <c r="C167" s="26" t="str">
        <f aca="false">IF($M167=0,"",OPERATIONS!$A167)</f>
        <v/>
      </c>
      <c r="D167" s="31" t="str">
        <f aca="false">IF($M167=0,"",OPERATIONS!$B167)</f>
        <v/>
      </c>
      <c r="E167" s="26" t="str">
        <f aca="false">IF($M167=0,"","SORTIE")</f>
        <v/>
      </c>
      <c r="F167" s="26" t="str">
        <f aca="false">IF($M167=0,"",OPERATIONS!$C167)</f>
        <v/>
      </c>
      <c r="G167" s="26" t="str">
        <f aca="false">IF($M167=0,"",OPERATIONS!$D167)</f>
        <v/>
      </c>
      <c r="H167" s="26" t="str">
        <f aca="false">IF($G167="","",IFERROR(INDEX(LOT_EXTE,MATCH($G167,LOT_KEY,0)),""))</f>
        <v/>
      </c>
      <c r="I167" s="26" t="str">
        <f aca="false">IF($M167=0,"",OPERATIONS!$E167)</f>
        <v/>
      </c>
      <c r="J167" s="26" t="str">
        <f aca="false">IF($I167="","",IFERROR(INDEX(EMPL_CLASSE,MATCH($I167,EMPL_KEY,0)),""))</f>
        <v/>
      </c>
      <c r="K167" s="26" t="str">
        <f aca="false">IF($M167=0,"",OPERATIONS!$K167)</f>
        <v/>
      </c>
      <c r="L167" s="26" t="str">
        <f aca="false">IF($G167="","",IF(IFERROR(INDEX(LOT_ETAT,MATCH($G167,LOT_KEY,0)),"")="","",INDEX(LOT_ETAT,MATCH($G167,LOT_KEY,0))))</f>
        <v/>
      </c>
      <c r="M167" s="73" t="n">
        <f aca="false">IF(OR(OPERATIONS!$O167=0,OPERATIONS!$C167="RECEPTION",OPERATIONS!$C167="AJUSTEMENT"),0,-OPERATIONS!$G167)</f>
        <v>0</v>
      </c>
      <c r="N167" s="73" t="n">
        <f aca="false">IF($M167=0,0,OPERATIONS!$R167*$M167)</f>
        <v>0</v>
      </c>
      <c r="O167" s="26" t="str">
        <f aca="false">IF($M167=0,"",OPERATIONS!$Q167)</f>
        <v/>
      </c>
      <c r="P167" s="26" t="str">
        <f aca="false">IF($G167="","",IF($G167=R_LOT,COUNTIF($G$5:$G167,R_LOT),""))</f>
        <v/>
      </c>
    </row>
    <row r="168" customFormat="false" ht="15" hidden="false" customHeight="false" outlineLevel="0" collapsed="false">
      <c r="A168" s="28" t="str">
        <f aca="false">IF($M168=0,"",ROW()-4)</f>
        <v/>
      </c>
      <c r="B168" s="26" t="str">
        <f aca="false">IF($M168=0,"","OPERATIONS")</f>
        <v/>
      </c>
      <c r="C168" s="26" t="str">
        <f aca="false">IF($M168=0,"",OPERATIONS!$A168)</f>
        <v/>
      </c>
      <c r="D168" s="31" t="str">
        <f aca="false">IF($M168=0,"",OPERATIONS!$B168)</f>
        <v/>
      </c>
      <c r="E168" s="26" t="str">
        <f aca="false">IF($M168=0,"","SORTIE")</f>
        <v/>
      </c>
      <c r="F168" s="26" t="str">
        <f aca="false">IF($M168=0,"",OPERATIONS!$C168)</f>
        <v/>
      </c>
      <c r="G168" s="26" t="str">
        <f aca="false">IF($M168=0,"",OPERATIONS!$D168)</f>
        <v/>
      </c>
      <c r="H168" s="26" t="str">
        <f aca="false">IF($G168="","",IFERROR(INDEX(LOT_EXTE,MATCH($G168,LOT_KEY,0)),""))</f>
        <v/>
      </c>
      <c r="I168" s="26" t="str">
        <f aca="false">IF($M168=0,"",OPERATIONS!$E168)</f>
        <v/>
      </c>
      <c r="J168" s="26" t="str">
        <f aca="false">IF($I168="","",IFERROR(INDEX(EMPL_CLASSE,MATCH($I168,EMPL_KEY,0)),""))</f>
        <v/>
      </c>
      <c r="K168" s="26" t="str">
        <f aca="false">IF($M168=0,"",OPERATIONS!$K168)</f>
        <v/>
      </c>
      <c r="L168" s="26" t="str">
        <f aca="false">IF($G168="","",IF(IFERROR(INDEX(LOT_ETAT,MATCH($G168,LOT_KEY,0)),"")="","",INDEX(LOT_ETAT,MATCH($G168,LOT_KEY,0))))</f>
        <v/>
      </c>
      <c r="M168" s="73" t="n">
        <f aca="false">IF(OR(OPERATIONS!$O168=0,OPERATIONS!$C168="RECEPTION",OPERATIONS!$C168="AJUSTEMENT"),0,-OPERATIONS!$G168)</f>
        <v>0</v>
      </c>
      <c r="N168" s="73" t="n">
        <f aca="false">IF($M168=0,0,OPERATIONS!$R168*$M168)</f>
        <v>0</v>
      </c>
      <c r="O168" s="26" t="str">
        <f aca="false">IF($M168=0,"",OPERATIONS!$Q168)</f>
        <v/>
      </c>
      <c r="P168" s="26" t="str">
        <f aca="false">IF($G168="","",IF($G168=R_LOT,COUNTIF($G$5:$G168,R_LOT),""))</f>
        <v/>
      </c>
    </row>
    <row r="169" customFormat="false" ht="15" hidden="false" customHeight="false" outlineLevel="0" collapsed="false">
      <c r="A169" s="28" t="str">
        <f aca="false">IF($M169=0,"",ROW()-4)</f>
        <v/>
      </c>
      <c r="B169" s="26" t="str">
        <f aca="false">IF($M169=0,"","OPERATIONS")</f>
        <v/>
      </c>
      <c r="C169" s="26" t="str">
        <f aca="false">IF($M169=0,"",OPERATIONS!$A169)</f>
        <v/>
      </c>
      <c r="D169" s="31" t="str">
        <f aca="false">IF($M169=0,"",OPERATIONS!$B169)</f>
        <v/>
      </c>
      <c r="E169" s="26" t="str">
        <f aca="false">IF($M169=0,"","SORTIE")</f>
        <v/>
      </c>
      <c r="F169" s="26" t="str">
        <f aca="false">IF($M169=0,"",OPERATIONS!$C169)</f>
        <v/>
      </c>
      <c r="G169" s="26" t="str">
        <f aca="false">IF($M169=0,"",OPERATIONS!$D169)</f>
        <v/>
      </c>
      <c r="H169" s="26" t="str">
        <f aca="false">IF($G169="","",IFERROR(INDEX(LOT_EXTE,MATCH($G169,LOT_KEY,0)),""))</f>
        <v/>
      </c>
      <c r="I169" s="26" t="str">
        <f aca="false">IF($M169=0,"",OPERATIONS!$E169)</f>
        <v/>
      </c>
      <c r="J169" s="26" t="str">
        <f aca="false">IF($I169="","",IFERROR(INDEX(EMPL_CLASSE,MATCH($I169,EMPL_KEY,0)),""))</f>
        <v/>
      </c>
      <c r="K169" s="26" t="str">
        <f aca="false">IF($M169=0,"",OPERATIONS!$K169)</f>
        <v/>
      </c>
      <c r="L169" s="26" t="str">
        <f aca="false">IF($G169="","",IF(IFERROR(INDEX(LOT_ETAT,MATCH($G169,LOT_KEY,0)),"")="","",INDEX(LOT_ETAT,MATCH($G169,LOT_KEY,0))))</f>
        <v/>
      </c>
      <c r="M169" s="73" t="n">
        <f aca="false">IF(OR(OPERATIONS!$O169=0,OPERATIONS!$C169="RECEPTION",OPERATIONS!$C169="AJUSTEMENT"),0,-OPERATIONS!$G169)</f>
        <v>0</v>
      </c>
      <c r="N169" s="73" t="n">
        <f aca="false">IF($M169=0,0,OPERATIONS!$R169*$M169)</f>
        <v>0</v>
      </c>
      <c r="O169" s="26" t="str">
        <f aca="false">IF($M169=0,"",OPERATIONS!$Q169)</f>
        <v/>
      </c>
      <c r="P169" s="26" t="str">
        <f aca="false">IF($G169="","",IF($G169=R_LOT,COUNTIF($G$5:$G169,R_LOT),""))</f>
        <v/>
      </c>
    </row>
    <row r="170" customFormat="false" ht="15" hidden="false" customHeight="false" outlineLevel="0" collapsed="false">
      <c r="A170" s="28" t="str">
        <f aca="false">IF($M170=0,"",ROW()-4)</f>
        <v/>
      </c>
      <c r="B170" s="26" t="str">
        <f aca="false">IF($M170=0,"","OPERATIONS")</f>
        <v/>
      </c>
      <c r="C170" s="26" t="str">
        <f aca="false">IF($M170=0,"",OPERATIONS!$A170)</f>
        <v/>
      </c>
      <c r="D170" s="31" t="str">
        <f aca="false">IF($M170=0,"",OPERATIONS!$B170)</f>
        <v/>
      </c>
      <c r="E170" s="26" t="str">
        <f aca="false">IF($M170=0,"","SORTIE")</f>
        <v/>
      </c>
      <c r="F170" s="26" t="str">
        <f aca="false">IF($M170=0,"",OPERATIONS!$C170)</f>
        <v/>
      </c>
      <c r="G170" s="26" t="str">
        <f aca="false">IF($M170=0,"",OPERATIONS!$D170)</f>
        <v/>
      </c>
      <c r="H170" s="26" t="str">
        <f aca="false">IF($G170="","",IFERROR(INDEX(LOT_EXTE,MATCH($G170,LOT_KEY,0)),""))</f>
        <v/>
      </c>
      <c r="I170" s="26" t="str">
        <f aca="false">IF($M170=0,"",OPERATIONS!$E170)</f>
        <v/>
      </c>
      <c r="J170" s="26" t="str">
        <f aca="false">IF($I170="","",IFERROR(INDEX(EMPL_CLASSE,MATCH($I170,EMPL_KEY,0)),""))</f>
        <v/>
      </c>
      <c r="K170" s="26" t="str">
        <f aca="false">IF($M170=0,"",OPERATIONS!$K170)</f>
        <v/>
      </c>
      <c r="L170" s="26" t="str">
        <f aca="false">IF($G170="","",IF(IFERROR(INDEX(LOT_ETAT,MATCH($G170,LOT_KEY,0)),"")="","",INDEX(LOT_ETAT,MATCH($G170,LOT_KEY,0))))</f>
        <v/>
      </c>
      <c r="M170" s="73" t="n">
        <f aca="false">IF(OR(OPERATIONS!$O170=0,OPERATIONS!$C170="RECEPTION",OPERATIONS!$C170="AJUSTEMENT"),0,-OPERATIONS!$G170)</f>
        <v>0</v>
      </c>
      <c r="N170" s="73" t="n">
        <f aca="false">IF($M170=0,0,OPERATIONS!$R170*$M170)</f>
        <v>0</v>
      </c>
      <c r="O170" s="26" t="str">
        <f aca="false">IF($M170=0,"",OPERATIONS!$Q170)</f>
        <v/>
      </c>
      <c r="P170" s="26" t="str">
        <f aca="false">IF($G170="","",IF($G170=R_LOT,COUNTIF($G$5:$G170,R_LOT),""))</f>
        <v/>
      </c>
    </row>
    <row r="171" customFormat="false" ht="15" hidden="false" customHeight="false" outlineLevel="0" collapsed="false">
      <c r="A171" s="28" t="str">
        <f aca="false">IF($M171=0,"",ROW()-4)</f>
        <v/>
      </c>
      <c r="B171" s="26" t="str">
        <f aca="false">IF($M171=0,"","OPERATIONS")</f>
        <v/>
      </c>
      <c r="C171" s="26" t="str">
        <f aca="false">IF($M171=0,"",OPERATIONS!$A171)</f>
        <v/>
      </c>
      <c r="D171" s="31" t="str">
        <f aca="false">IF($M171=0,"",OPERATIONS!$B171)</f>
        <v/>
      </c>
      <c r="E171" s="26" t="str">
        <f aca="false">IF($M171=0,"","SORTIE")</f>
        <v/>
      </c>
      <c r="F171" s="26" t="str">
        <f aca="false">IF($M171=0,"",OPERATIONS!$C171)</f>
        <v/>
      </c>
      <c r="G171" s="26" t="str">
        <f aca="false">IF($M171=0,"",OPERATIONS!$D171)</f>
        <v/>
      </c>
      <c r="H171" s="26" t="str">
        <f aca="false">IF($G171="","",IFERROR(INDEX(LOT_EXTE,MATCH($G171,LOT_KEY,0)),""))</f>
        <v/>
      </c>
      <c r="I171" s="26" t="str">
        <f aca="false">IF($M171=0,"",OPERATIONS!$E171)</f>
        <v/>
      </c>
      <c r="J171" s="26" t="str">
        <f aca="false">IF($I171="","",IFERROR(INDEX(EMPL_CLASSE,MATCH($I171,EMPL_KEY,0)),""))</f>
        <v/>
      </c>
      <c r="K171" s="26" t="str">
        <f aca="false">IF($M171=0,"",OPERATIONS!$K171)</f>
        <v/>
      </c>
      <c r="L171" s="26" t="str">
        <f aca="false">IF($G171="","",IF(IFERROR(INDEX(LOT_ETAT,MATCH($G171,LOT_KEY,0)),"")="","",INDEX(LOT_ETAT,MATCH($G171,LOT_KEY,0))))</f>
        <v/>
      </c>
      <c r="M171" s="73" t="n">
        <f aca="false">IF(OR(OPERATIONS!$O171=0,OPERATIONS!$C171="RECEPTION",OPERATIONS!$C171="AJUSTEMENT"),0,-OPERATIONS!$G171)</f>
        <v>0</v>
      </c>
      <c r="N171" s="73" t="n">
        <f aca="false">IF($M171=0,0,OPERATIONS!$R171*$M171)</f>
        <v>0</v>
      </c>
      <c r="O171" s="26" t="str">
        <f aca="false">IF($M171=0,"",OPERATIONS!$Q171)</f>
        <v/>
      </c>
      <c r="P171" s="26" t="str">
        <f aca="false">IF($G171="","",IF($G171=R_LOT,COUNTIF($G$5:$G171,R_LOT),""))</f>
        <v/>
      </c>
    </row>
    <row r="172" customFormat="false" ht="15" hidden="false" customHeight="false" outlineLevel="0" collapsed="false">
      <c r="A172" s="28" t="str">
        <f aca="false">IF($M172=0,"",ROW()-4)</f>
        <v/>
      </c>
      <c r="B172" s="26" t="str">
        <f aca="false">IF($M172=0,"","OPERATIONS")</f>
        <v/>
      </c>
      <c r="C172" s="26" t="str">
        <f aca="false">IF($M172=0,"",OPERATIONS!$A172)</f>
        <v/>
      </c>
      <c r="D172" s="31" t="str">
        <f aca="false">IF($M172=0,"",OPERATIONS!$B172)</f>
        <v/>
      </c>
      <c r="E172" s="26" t="str">
        <f aca="false">IF($M172=0,"","SORTIE")</f>
        <v/>
      </c>
      <c r="F172" s="26" t="str">
        <f aca="false">IF($M172=0,"",OPERATIONS!$C172)</f>
        <v/>
      </c>
      <c r="G172" s="26" t="str">
        <f aca="false">IF($M172=0,"",OPERATIONS!$D172)</f>
        <v/>
      </c>
      <c r="H172" s="26" t="str">
        <f aca="false">IF($G172="","",IFERROR(INDEX(LOT_EXTE,MATCH($G172,LOT_KEY,0)),""))</f>
        <v/>
      </c>
      <c r="I172" s="26" t="str">
        <f aca="false">IF($M172=0,"",OPERATIONS!$E172)</f>
        <v/>
      </c>
      <c r="J172" s="26" t="str">
        <f aca="false">IF($I172="","",IFERROR(INDEX(EMPL_CLASSE,MATCH($I172,EMPL_KEY,0)),""))</f>
        <v/>
      </c>
      <c r="K172" s="26" t="str">
        <f aca="false">IF($M172=0,"",OPERATIONS!$K172)</f>
        <v/>
      </c>
      <c r="L172" s="26" t="str">
        <f aca="false">IF($G172="","",IF(IFERROR(INDEX(LOT_ETAT,MATCH($G172,LOT_KEY,0)),"")="","",INDEX(LOT_ETAT,MATCH($G172,LOT_KEY,0))))</f>
        <v/>
      </c>
      <c r="M172" s="73" t="n">
        <f aca="false">IF(OR(OPERATIONS!$O172=0,OPERATIONS!$C172="RECEPTION",OPERATIONS!$C172="AJUSTEMENT"),0,-OPERATIONS!$G172)</f>
        <v>0</v>
      </c>
      <c r="N172" s="73" t="n">
        <f aca="false">IF($M172=0,0,OPERATIONS!$R172*$M172)</f>
        <v>0</v>
      </c>
      <c r="O172" s="26" t="str">
        <f aca="false">IF($M172=0,"",OPERATIONS!$Q172)</f>
        <v/>
      </c>
      <c r="P172" s="26" t="str">
        <f aca="false">IF($G172="","",IF($G172=R_LOT,COUNTIF($G$5:$G172,R_LOT),""))</f>
        <v/>
      </c>
    </row>
    <row r="173" customFormat="false" ht="15" hidden="false" customHeight="false" outlineLevel="0" collapsed="false">
      <c r="A173" s="28" t="str">
        <f aca="false">IF($M173=0,"",ROW()-4)</f>
        <v/>
      </c>
      <c r="B173" s="26" t="str">
        <f aca="false">IF($M173=0,"","OPERATIONS")</f>
        <v/>
      </c>
      <c r="C173" s="26" t="str">
        <f aca="false">IF($M173=0,"",OPERATIONS!$A173)</f>
        <v/>
      </c>
      <c r="D173" s="31" t="str">
        <f aca="false">IF($M173=0,"",OPERATIONS!$B173)</f>
        <v/>
      </c>
      <c r="E173" s="26" t="str">
        <f aca="false">IF($M173=0,"","SORTIE")</f>
        <v/>
      </c>
      <c r="F173" s="26" t="str">
        <f aca="false">IF($M173=0,"",OPERATIONS!$C173)</f>
        <v/>
      </c>
      <c r="G173" s="26" t="str">
        <f aca="false">IF($M173=0,"",OPERATIONS!$D173)</f>
        <v/>
      </c>
      <c r="H173" s="26" t="str">
        <f aca="false">IF($G173="","",IFERROR(INDEX(LOT_EXTE,MATCH($G173,LOT_KEY,0)),""))</f>
        <v/>
      </c>
      <c r="I173" s="26" t="str">
        <f aca="false">IF($M173=0,"",OPERATIONS!$E173)</f>
        <v/>
      </c>
      <c r="J173" s="26" t="str">
        <f aca="false">IF($I173="","",IFERROR(INDEX(EMPL_CLASSE,MATCH($I173,EMPL_KEY,0)),""))</f>
        <v/>
      </c>
      <c r="K173" s="26" t="str">
        <f aca="false">IF($M173=0,"",OPERATIONS!$K173)</f>
        <v/>
      </c>
      <c r="L173" s="26" t="str">
        <f aca="false">IF($G173="","",IF(IFERROR(INDEX(LOT_ETAT,MATCH($G173,LOT_KEY,0)),"")="","",INDEX(LOT_ETAT,MATCH($G173,LOT_KEY,0))))</f>
        <v/>
      </c>
      <c r="M173" s="73" t="n">
        <f aca="false">IF(OR(OPERATIONS!$O173=0,OPERATIONS!$C173="RECEPTION",OPERATIONS!$C173="AJUSTEMENT"),0,-OPERATIONS!$G173)</f>
        <v>0</v>
      </c>
      <c r="N173" s="73" t="n">
        <f aca="false">IF($M173=0,0,OPERATIONS!$R173*$M173)</f>
        <v>0</v>
      </c>
      <c r="O173" s="26" t="str">
        <f aca="false">IF($M173=0,"",OPERATIONS!$Q173)</f>
        <v/>
      </c>
      <c r="P173" s="26" t="str">
        <f aca="false">IF($G173="","",IF($G173=R_LOT,COUNTIF($G$5:$G173,R_LOT),""))</f>
        <v/>
      </c>
    </row>
    <row r="174" customFormat="false" ht="15" hidden="false" customHeight="false" outlineLevel="0" collapsed="false">
      <c r="A174" s="28" t="str">
        <f aca="false">IF($M174=0,"",ROW()-4)</f>
        <v/>
      </c>
      <c r="B174" s="26" t="str">
        <f aca="false">IF($M174=0,"","OPERATIONS")</f>
        <v/>
      </c>
      <c r="C174" s="26" t="str">
        <f aca="false">IF($M174=0,"",OPERATIONS!$A174)</f>
        <v/>
      </c>
      <c r="D174" s="31" t="str">
        <f aca="false">IF($M174=0,"",OPERATIONS!$B174)</f>
        <v/>
      </c>
      <c r="E174" s="26" t="str">
        <f aca="false">IF($M174=0,"","SORTIE")</f>
        <v/>
      </c>
      <c r="F174" s="26" t="str">
        <f aca="false">IF($M174=0,"",OPERATIONS!$C174)</f>
        <v/>
      </c>
      <c r="G174" s="26" t="str">
        <f aca="false">IF($M174=0,"",OPERATIONS!$D174)</f>
        <v/>
      </c>
      <c r="H174" s="26" t="str">
        <f aca="false">IF($G174="","",IFERROR(INDEX(LOT_EXTE,MATCH($G174,LOT_KEY,0)),""))</f>
        <v/>
      </c>
      <c r="I174" s="26" t="str">
        <f aca="false">IF($M174=0,"",OPERATIONS!$E174)</f>
        <v/>
      </c>
      <c r="J174" s="26" t="str">
        <f aca="false">IF($I174="","",IFERROR(INDEX(EMPL_CLASSE,MATCH($I174,EMPL_KEY,0)),""))</f>
        <v/>
      </c>
      <c r="K174" s="26" t="str">
        <f aca="false">IF($M174=0,"",OPERATIONS!$K174)</f>
        <v/>
      </c>
      <c r="L174" s="26" t="str">
        <f aca="false">IF($G174="","",IF(IFERROR(INDEX(LOT_ETAT,MATCH($G174,LOT_KEY,0)),"")="","",INDEX(LOT_ETAT,MATCH($G174,LOT_KEY,0))))</f>
        <v/>
      </c>
      <c r="M174" s="73" t="n">
        <f aca="false">IF(OR(OPERATIONS!$O174=0,OPERATIONS!$C174="RECEPTION",OPERATIONS!$C174="AJUSTEMENT"),0,-OPERATIONS!$G174)</f>
        <v>0</v>
      </c>
      <c r="N174" s="73" t="n">
        <f aca="false">IF($M174=0,0,OPERATIONS!$R174*$M174)</f>
        <v>0</v>
      </c>
      <c r="O174" s="26" t="str">
        <f aca="false">IF($M174=0,"",OPERATIONS!$Q174)</f>
        <v/>
      </c>
      <c r="P174" s="26" t="str">
        <f aca="false">IF($G174="","",IF($G174=R_LOT,COUNTIF($G$5:$G174,R_LOT),""))</f>
        <v/>
      </c>
    </row>
    <row r="175" customFormat="false" ht="15" hidden="false" customHeight="false" outlineLevel="0" collapsed="false">
      <c r="A175" s="28" t="str">
        <f aca="false">IF($M175=0,"",ROW()-4)</f>
        <v/>
      </c>
      <c r="B175" s="26" t="str">
        <f aca="false">IF($M175=0,"","OPERATIONS")</f>
        <v/>
      </c>
      <c r="C175" s="26" t="str">
        <f aca="false">IF($M175=0,"",OPERATIONS!$A175)</f>
        <v/>
      </c>
      <c r="D175" s="31" t="str">
        <f aca="false">IF($M175=0,"",OPERATIONS!$B175)</f>
        <v/>
      </c>
      <c r="E175" s="26" t="str">
        <f aca="false">IF($M175=0,"","SORTIE")</f>
        <v/>
      </c>
      <c r="F175" s="26" t="str">
        <f aca="false">IF($M175=0,"",OPERATIONS!$C175)</f>
        <v/>
      </c>
      <c r="G175" s="26" t="str">
        <f aca="false">IF($M175=0,"",OPERATIONS!$D175)</f>
        <v/>
      </c>
      <c r="H175" s="26" t="str">
        <f aca="false">IF($G175="","",IFERROR(INDEX(LOT_EXTE,MATCH($G175,LOT_KEY,0)),""))</f>
        <v/>
      </c>
      <c r="I175" s="26" t="str">
        <f aca="false">IF($M175=0,"",OPERATIONS!$E175)</f>
        <v/>
      </c>
      <c r="J175" s="26" t="str">
        <f aca="false">IF($I175="","",IFERROR(INDEX(EMPL_CLASSE,MATCH($I175,EMPL_KEY,0)),""))</f>
        <v/>
      </c>
      <c r="K175" s="26" t="str">
        <f aca="false">IF($M175=0,"",OPERATIONS!$K175)</f>
        <v/>
      </c>
      <c r="L175" s="26" t="str">
        <f aca="false">IF($G175="","",IF(IFERROR(INDEX(LOT_ETAT,MATCH($G175,LOT_KEY,0)),"")="","",INDEX(LOT_ETAT,MATCH($G175,LOT_KEY,0))))</f>
        <v/>
      </c>
      <c r="M175" s="73" t="n">
        <f aca="false">IF(OR(OPERATIONS!$O175=0,OPERATIONS!$C175="RECEPTION",OPERATIONS!$C175="AJUSTEMENT"),0,-OPERATIONS!$G175)</f>
        <v>0</v>
      </c>
      <c r="N175" s="73" t="n">
        <f aca="false">IF($M175=0,0,OPERATIONS!$R175*$M175)</f>
        <v>0</v>
      </c>
      <c r="O175" s="26" t="str">
        <f aca="false">IF($M175=0,"",OPERATIONS!$Q175)</f>
        <v/>
      </c>
      <c r="P175" s="26" t="str">
        <f aca="false">IF($G175="","",IF($G175=R_LOT,COUNTIF($G$5:$G175,R_LOT),""))</f>
        <v/>
      </c>
    </row>
    <row r="176" customFormat="false" ht="15" hidden="false" customHeight="false" outlineLevel="0" collapsed="false">
      <c r="A176" s="28" t="str">
        <f aca="false">IF($M176=0,"",ROW()-4)</f>
        <v/>
      </c>
      <c r="B176" s="26" t="str">
        <f aca="false">IF($M176=0,"","OPERATIONS")</f>
        <v/>
      </c>
      <c r="C176" s="26" t="str">
        <f aca="false">IF($M176=0,"",OPERATIONS!$A176)</f>
        <v/>
      </c>
      <c r="D176" s="31" t="str">
        <f aca="false">IF($M176=0,"",OPERATIONS!$B176)</f>
        <v/>
      </c>
      <c r="E176" s="26" t="str">
        <f aca="false">IF($M176=0,"","SORTIE")</f>
        <v/>
      </c>
      <c r="F176" s="26" t="str">
        <f aca="false">IF($M176=0,"",OPERATIONS!$C176)</f>
        <v/>
      </c>
      <c r="G176" s="26" t="str">
        <f aca="false">IF($M176=0,"",OPERATIONS!$D176)</f>
        <v/>
      </c>
      <c r="H176" s="26" t="str">
        <f aca="false">IF($G176="","",IFERROR(INDEX(LOT_EXTE,MATCH($G176,LOT_KEY,0)),""))</f>
        <v/>
      </c>
      <c r="I176" s="26" t="str">
        <f aca="false">IF($M176=0,"",OPERATIONS!$E176)</f>
        <v/>
      </c>
      <c r="J176" s="26" t="str">
        <f aca="false">IF($I176="","",IFERROR(INDEX(EMPL_CLASSE,MATCH($I176,EMPL_KEY,0)),""))</f>
        <v/>
      </c>
      <c r="K176" s="26" t="str">
        <f aca="false">IF($M176=0,"",OPERATIONS!$K176)</f>
        <v/>
      </c>
      <c r="L176" s="26" t="str">
        <f aca="false">IF($G176="","",IF(IFERROR(INDEX(LOT_ETAT,MATCH($G176,LOT_KEY,0)),"")="","",INDEX(LOT_ETAT,MATCH($G176,LOT_KEY,0))))</f>
        <v/>
      </c>
      <c r="M176" s="73" t="n">
        <f aca="false">IF(OR(OPERATIONS!$O176=0,OPERATIONS!$C176="RECEPTION",OPERATIONS!$C176="AJUSTEMENT"),0,-OPERATIONS!$G176)</f>
        <v>0</v>
      </c>
      <c r="N176" s="73" t="n">
        <f aca="false">IF($M176=0,0,OPERATIONS!$R176*$M176)</f>
        <v>0</v>
      </c>
      <c r="O176" s="26" t="str">
        <f aca="false">IF($M176=0,"",OPERATIONS!$Q176)</f>
        <v/>
      </c>
      <c r="P176" s="26" t="str">
        <f aca="false">IF($G176="","",IF($G176=R_LOT,COUNTIF($G$5:$G176,R_LOT),""))</f>
        <v/>
      </c>
    </row>
    <row r="177" customFormat="false" ht="15" hidden="false" customHeight="false" outlineLevel="0" collapsed="false">
      <c r="A177" s="28" t="str">
        <f aca="false">IF($M177=0,"",ROW()-4)</f>
        <v/>
      </c>
      <c r="B177" s="26" t="str">
        <f aca="false">IF($M177=0,"","OPERATIONS")</f>
        <v/>
      </c>
      <c r="C177" s="26" t="str">
        <f aca="false">IF($M177=0,"",OPERATIONS!$A177)</f>
        <v/>
      </c>
      <c r="D177" s="31" t="str">
        <f aca="false">IF($M177=0,"",OPERATIONS!$B177)</f>
        <v/>
      </c>
      <c r="E177" s="26" t="str">
        <f aca="false">IF($M177=0,"","SORTIE")</f>
        <v/>
      </c>
      <c r="F177" s="26" t="str">
        <f aca="false">IF($M177=0,"",OPERATIONS!$C177)</f>
        <v/>
      </c>
      <c r="G177" s="26" t="str">
        <f aca="false">IF($M177=0,"",OPERATIONS!$D177)</f>
        <v/>
      </c>
      <c r="H177" s="26" t="str">
        <f aca="false">IF($G177="","",IFERROR(INDEX(LOT_EXTE,MATCH($G177,LOT_KEY,0)),""))</f>
        <v/>
      </c>
      <c r="I177" s="26" t="str">
        <f aca="false">IF($M177=0,"",OPERATIONS!$E177)</f>
        <v/>
      </c>
      <c r="J177" s="26" t="str">
        <f aca="false">IF($I177="","",IFERROR(INDEX(EMPL_CLASSE,MATCH($I177,EMPL_KEY,0)),""))</f>
        <v/>
      </c>
      <c r="K177" s="26" t="str">
        <f aca="false">IF($M177=0,"",OPERATIONS!$K177)</f>
        <v/>
      </c>
      <c r="L177" s="26" t="str">
        <f aca="false">IF($G177="","",IF(IFERROR(INDEX(LOT_ETAT,MATCH($G177,LOT_KEY,0)),"")="","",INDEX(LOT_ETAT,MATCH($G177,LOT_KEY,0))))</f>
        <v/>
      </c>
      <c r="M177" s="73" t="n">
        <f aca="false">IF(OR(OPERATIONS!$O177=0,OPERATIONS!$C177="RECEPTION",OPERATIONS!$C177="AJUSTEMENT"),0,-OPERATIONS!$G177)</f>
        <v>0</v>
      </c>
      <c r="N177" s="73" t="n">
        <f aca="false">IF($M177=0,0,OPERATIONS!$R177*$M177)</f>
        <v>0</v>
      </c>
      <c r="O177" s="26" t="str">
        <f aca="false">IF($M177=0,"",OPERATIONS!$Q177)</f>
        <v/>
      </c>
      <c r="P177" s="26" t="str">
        <f aca="false">IF($G177="","",IF($G177=R_LOT,COUNTIF($G$5:$G177,R_LOT),""))</f>
        <v/>
      </c>
    </row>
    <row r="178" customFormat="false" ht="15" hidden="false" customHeight="false" outlineLevel="0" collapsed="false">
      <c r="A178" s="28" t="str">
        <f aca="false">IF($M178=0,"",ROW()-4)</f>
        <v/>
      </c>
      <c r="B178" s="26" t="str">
        <f aca="false">IF($M178=0,"","OPERATIONS")</f>
        <v/>
      </c>
      <c r="C178" s="26" t="str">
        <f aca="false">IF($M178=0,"",OPERATIONS!$A178)</f>
        <v/>
      </c>
      <c r="D178" s="31" t="str">
        <f aca="false">IF($M178=0,"",OPERATIONS!$B178)</f>
        <v/>
      </c>
      <c r="E178" s="26" t="str">
        <f aca="false">IF($M178=0,"","SORTIE")</f>
        <v/>
      </c>
      <c r="F178" s="26" t="str">
        <f aca="false">IF($M178=0,"",OPERATIONS!$C178)</f>
        <v/>
      </c>
      <c r="G178" s="26" t="str">
        <f aca="false">IF($M178=0,"",OPERATIONS!$D178)</f>
        <v/>
      </c>
      <c r="H178" s="26" t="str">
        <f aca="false">IF($G178="","",IFERROR(INDEX(LOT_EXTE,MATCH($G178,LOT_KEY,0)),""))</f>
        <v/>
      </c>
      <c r="I178" s="26" t="str">
        <f aca="false">IF($M178=0,"",OPERATIONS!$E178)</f>
        <v/>
      </c>
      <c r="J178" s="26" t="str">
        <f aca="false">IF($I178="","",IFERROR(INDEX(EMPL_CLASSE,MATCH($I178,EMPL_KEY,0)),""))</f>
        <v/>
      </c>
      <c r="K178" s="26" t="str">
        <f aca="false">IF($M178=0,"",OPERATIONS!$K178)</f>
        <v/>
      </c>
      <c r="L178" s="26" t="str">
        <f aca="false">IF($G178="","",IF(IFERROR(INDEX(LOT_ETAT,MATCH($G178,LOT_KEY,0)),"")="","",INDEX(LOT_ETAT,MATCH($G178,LOT_KEY,0))))</f>
        <v/>
      </c>
      <c r="M178" s="73" t="n">
        <f aca="false">IF(OR(OPERATIONS!$O178=0,OPERATIONS!$C178="RECEPTION",OPERATIONS!$C178="AJUSTEMENT"),0,-OPERATIONS!$G178)</f>
        <v>0</v>
      </c>
      <c r="N178" s="73" t="n">
        <f aca="false">IF($M178=0,0,OPERATIONS!$R178*$M178)</f>
        <v>0</v>
      </c>
      <c r="O178" s="26" t="str">
        <f aca="false">IF($M178=0,"",OPERATIONS!$Q178)</f>
        <v/>
      </c>
      <c r="P178" s="26" t="str">
        <f aca="false">IF($G178="","",IF($G178=R_LOT,COUNTIF($G$5:$G178,R_LOT),""))</f>
        <v/>
      </c>
    </row>
    <row r="179" customFormat="false" ht="15" hidden="false" customHeight="false" outlineLevel="0" collapsed="false">
      <c r="A179" s="28" t="str">
        <f aca="false">IF($M179=0,"",ROW()-4)</f>
        <v/>
      </c>
      <c r="B179" s="26" t="str">
        <f aca="false">IF($M179=0,"","OPERATIONS")</f>
        <v/>
      </c>
      <c r="C179" s="26" t="str">
        <f aca="false">IF($M179=0,"",OPERATIONS!$A179)</f>
        <v/>
      </c>
      <c r="D179" s="31" t="str">
        <f aca="false">IF($M179=0,"",OPERATIONS!$B179)</f>
        <v/>
      </c>
      <c r="E179" s="26" t="str">
        <f aca="false">IF($M179=0,"","SORTIE")</f>
        <v/>
      </c>
      <c r="F179" s="26" t="str">
        <f aca="false">IF($M179=0,"",OPERATIONS!$C179)</f>
        <v/>
      </c>
      <c r="G179" s="26" t="str">
        <f aca="false">IF($M179=0,"",OPERATIONS!$D179)</f>
        <v/>
      </c>
      <c r="H179" s="26" t="str">
        <f aca="false">IF($G179="","",IFERROR(INDEX(LOT_EXTE,MATCH($G179,LOT_KEY,0)),""))</f>
        <v/>
      </c>
      <c r="I179" s="26" t="str">
        <f aca="false">IF($M179=0,"",OPERATIONS!$E179)</f>
        <v/>
      </c>
      <c r="J179" s="26" t="str">
        <f aca="false">IF($I179="","",IFERROR(INDEX(EMPL_CLASSE,MATCH($I179,EMPL_KEY,0)),""))</f>
        <v/>
      </c>
      <c r="K179" s="26" t="str">
        <f aca="false">IF($M179=0,"",OPERATIONS!$K179)</f>
        <v/>
      </c>
      <c r="L179" s="26" t="str">
        <f aca="false">IF($G179="","",IF(IFERROR(INDEX(LOT_ETAT,MATCH($G179,LOT_KEY,0)),"")="","",INDEX(LOT_ETAT,MATCH($G179,LOT_KEY,0))))</f>
        <v/>
      </c>
      <c r="M179" s="73" t="n">
        <f aca="false">IF(OR(OPERATIONS!$O179=0,OPERATIONS!$C179="RECEPTION",OPERATIONS!$C179="AJUSTEMENT"),0,-OPERATIONS!$G179)</f>
        <v>0</v>
      </c>
      <c r="N179" s="73" t="n">
        <f aca="false">IF($M179=0,0,OPERATIONS!$R179*$M179)</f>
        <v>0</v>
      </c>
      <c r="O179" s="26" t="str">
        <f aca="false">IF($M179=0,"",OPERATIONS!$Q179)</f>
        <v/>
      </c>
      <c r="P179" s="26" t="str">
        <f aca="false">IF($G179="","",IF($G179=R_LOT,COUNTIF($G$5:$G179,R_LOT),""))</f>
        <v/>
      </c>
    </row>
    <row r="180" customFormat="false" ht="15" hidden="false" customHeight="false" outlineLevel="0" collapsed="false">
      <c r="A180" s="28" t="str">
        <f aca="false">IF($M180=0,"",ROW()-4)</f>
        <v/>
      </c>
      <c r="B180" s="26" t="str">
        <f aca="false">IF($M180=0,"","OPERATIONS")</f>
        <v/>
      </c>
      <c r="C180" s="26" t="str">
        <f aca="false">IF($M180=0,"",OPERATIONS!$A180)</f>
        <v/>
      </c>
      <c r="D180" s="31" t="str">
        <f aca="false">IF($M180=0,"",OPERATIONS!$B180)</f>
        <v/>
      </c>
      <c r="E180" s="26" t="str">
        <f aca="false">IF($M180=0,"","SORTIE")</f>
        <v/>
      </c>
      <c r="F180" s="26" t="str">
        <f aca="false">IF($M180=0,"",OPERATIONS!$C180)</f>
        <v/>
      </c>
      <c r="G180" s="26" t="str">
        <f aca="false">IF($M180=0,"",OPERATIONS!$D180)</f>
        <v/>
      </c>
      <c r="H180" s="26" t="str">
        <f aca="false">IF($G180="","",IFERROR(INDEX(LOT_EXTE,MATCH($G180,LOT_KEY,0)),""))</f>
        <v/>
      </c>
      <c r="I180" s="26" t="str">
        <f aca="false">IF($M180=0,"",OPERATIONS!$E180)</f>
        <v/>
      </c>
      <c r="J180" s="26" t="str">
        <f aca="false">IF($I180="","",IFERROR(INDEX(EMPL_CLASSE,MATCH($I180,EMPL_KEY,0)),""))</f>
        <v/>
      </c>
      <c r="K180" s="26" t="str">
        <f aca="false">IF($M180=0,"",OPERATIONS!$K180)</f>
        <v/>
      </c>
      <c r="L180" s="26" t="str">
        <f aca="false">IF($G180="","",IF(IFERROR(INDEX(LOT_ETAT,MATCH($G180,LOT_KEY,0)),"")="","",INDEX(LOT_ETAT,MATCH($G180,LOT_KEY,0))))</f>
        <v/>
      </c>
      <c r="M180" s="73" t="n">
        <f aca="false">IF(OR(OPERATIONS!$O180=0,OPERATIONS!$C180="RECEPTION",OPERATIONS!$C180="AJUSTEMENT"),0,-OPERATIONS!$G180)</f>
        <v>0</v>
      </c>
      <c r="N180" s="73" t="n">
        <f aca="false">IF($M180=0,0,OPERATIONS!$R180*$M180)</f>
        <v>0</v>
      </c>
      <c r="O180" s="26" t="str">
        <f aca="false">IF($M180=0,"",OPERATIONS!$Q180)</f>
        <v/>
      </c>
      <c r="P180" s="26" t="str">
        <f aca="false">IF($G180="","",IF($G180=R_LOT,COUNTIF($G$5:$G180,R_LOT),""))</f>
        <v/>
      </c>
    </row>
    <row r="181" customFormat="false" ht="15" hidden="false" customHeight="false" outlineLevel="0" collapsed="false">
      <c r="A181" s="28" t="str">
        <f aca="false">IF($M181=0,"",ROW()-4)</f>
        <v/>
      </c>
      <c r="B181" s="26" t="str">
        <f aca="false">IF($M181=0,"","OPERATIONS")</f>
        <v/>
      </c>
      <c r="C181" s="26" t="str">
        <f aca="false">IF($M181=0,"",OPERATIONS!$A181)</f>
        <v/>
      </c>
      <c r="D181" s="31" t="str">
        <f aca="false">IF($M181=0,"",OPERATIONS!$B181)</f>
        <v/>
      </c>
      <c r="E181" s="26" t="str">
        <f aca="false">IF($M181=0,"","SORTIE")</f>
        <v/>
      </c>
      <c r="F181" s="26" t="str">
        <f aca="false">IF($M181=0,"",OPERATIONS!$C181)</f>
        <v/>
      </c>
      <c r="G181" s="26" t="str">
        <f aca="false">IF($M181=0,"",OPERATIONS!$D181)</f>
        <v/>
      </c>
      <c r="H181" s="26" t="str">
        <f aca="false">IF($G181="","",IFERROR(INDEX(LOT_EXTE,MATCH($G181,LOT_KEY,0)),""))</f>
        <v/>
      </c>
      <c r="I181" s="26" t="str">
        <f aca="false">IF($M181=0,"",OPERATIONS!$E181)</f>
        <v/>
      </c>
      <c r="J181" s="26" t="str">
        <f aca="false">IF($I181="","",IFERROR(INDEX(EMPL_CLASSE,MATCH($I181,EMPL_KEY,0)),""))</f>
        <v/>
      </c>
      <c r="K181" s="26" t="str">
        <f aca="false">IF($M181=0,"",OPERATIONS!$K181)</f>
        <v/>
      </c>
      <c r="L181" s="26" t="str">
        <f aca="false">IF($G181="","",IF(IFERROR(INDEX(LOT_ETAT,MATCH($G181,LOT_KEY,0)),"")="","",INDEX(LOT_ETAT,MATCH($G181,LOT_KEY,0))))</f>
        <v/>
      </c>
      <c r="M181" s="73" t="n">
        <f aca="false">IF(OR(OPERATIONS!$O181=0,OPERATIONS!$C181="RECEPTION",OPERATIONS!$C181="AJUSTEMENT"),0,-OPERATIONS!$G181)</f>
        <v>0</v>
      </c>
      <c r="N181" s="73" t="n">
        <f aca="false">IF($M181=0,0,OPERATIONS!$R181*$M181)</f>
        <v>0</v>
      </c>
      <c r="O181" s="26" t="str">
        <f aca="false">IF($M181=0,"",OPERATIONS!$Q181)</f>
        <v/>
      </c>
      <c r="P181" s="26" t="str">
        <f aca="false">IF($G181="","",IF($G181=R_LOT,COUNTIF($G$5:$G181,R_LOT),""))</f>
        <v/>
      </c>
    </row>
    <row r="182" customFormat="false" ht="15" hidden="false" customHeight="false" outlineLevel="0" collapsed="false">
      <c r="A182" s="28" t="str">
        <f aca="false">IF($M182=0,"",ROW()-4)</f>
        <v/>
      </c>
      <c r="B182" s="26" t="str">
        <f aca="false">IF($M182=0,"","OPERATIONS")</f>
        <v/>
      </c>
      <c r="C182" s="26" t="str">
        <f aca="false">IF($M182=0,"",OPERATIONS!$A182)</f>
        <v/>
      </c>
      <c r="D182" s="31" t="str">
        <f aca="false">IF($M182=0,"",OPERATIONS!$B182)</f>
        <v/>
      </c>
      <c r="E182" s="26" t="str">
        <f aca="false">IF($M182=0,"","SORTIE")</f>
        <v/>
      </c>
      <c r="F182" s="26" t="str">
        <f aca="false">IF($M182=0,"",OPERATIONS!$C182)</f>
        <v/>
      </c>
      <c r="G182" s="26" t="str">
        <f aca="false">IF($M182=0,"",OPERATIONS!$D182)</f>
        <v/>
      </c>
      <c r="H182" s="26" t="str">
        <f aca="false">IF($G182="","",IFERROR(INDEX(LOT_EXTE,MATCH($G182,LOT_KEY,0)),""))</f>
        <v/>
      </c>
      <c r="I182" s="26" t="str">
        <f aca="false">IF($M182=0,"",OPERATIONS!$E182)</f>
        <v/>
      </c>
      <c r="J182" s="26" t="str">
        <f aca="false">IF($I182="","",IFERROR(INDEX(EMPL_CLASSE,MATCH($I182,EMPL_KEY,0)),""))</f>
        <v/>
      </c>
      <c r="K182" s="26" t="str">
        <f aca="false">IF($M182=0,"",OPERATIONS!$K182)</f>
        <v/>
      </c>
      <c r="L182" s="26" t="str">
        <f aca="false">IF($G182="","",IF(IFERROR(INDEX(LOT_ETAT,MATCH($G182,LOT_KEY,0)),"")="","",INDEX(LOT_ETAT,MATCH($G182,LOT_KEY,0))))</f>
        <v/>
      </c>
      <c r="M182" s="73" t="n">
        <f aca="false">IF(OR(OPERATIONS!$O182=0,OPERATIONS!$C182="RECEPTION",OPERATIONS!$C182="AJUSTEMENT"),0,-OPERATIONS!$G182)</f>
        <v>0</v>
      </c>
      <c r="N182" s="73" t="n">
        <f aca="false">IF($M182=0,0,OPERATIONS!$R182*$M182)</f>
        <v>0</v>
      </c>
      <c r="O182" s="26" t="str">
        <f aca="false">IF($M182=0,"",OPERATIONS!$Q182)</f>
        <v/>
      </c>
      <c r="P182" s="26" t="str">
        <f aca="false">IF($G182="","",IF($G182=R_LOT,COUNTIF($G$5:$G182,R_LOT),""))</f>
        <v/>
      </c>
    </row>
    <row r="183" customFormat="false" ht="15" hidden="false" customHeight="false" outlineLevel="0" collapsed="false">
      <c r="A183" s="28" t="str">
        <f aca="false">IF($M183=0,"",ROW()-4)</f>
        <v/>
      </c>
      <c r="B183" s="26" t="str">
        <f aca="false">IF($M183=0,"","OPERATIONS")</f>
        <v/>
      </c>
      <c r="C183" s="26" t="str">
        <f aca="false">IF($M183=0,"",OPERATIONS!$A183)</f>
        <v/>
      </c>
      <c r="D183" s="31" t="str">
        <f aca="false">IF($M183=0,"",OPERATIONS!$B183)</f>
        <v/>
      </c>
      <c r="E183" s="26" t="str">
        <f aca="false">IF($M183=0,"","SORTIE")</f>
        <v/>
      </c>
      <c r="F183" s="26" t="str">
        <f aca="false">IF($M183=0,"",OPERATIONS!$C183)</f>
        <v/>
      </c>
      <c r="G183" s="26" t="str">
        <f aca="false">IF($M183=0,"",OPERATIONS!$D183)</f>
        <v/>
      </c>
      <c r="H183" s="26" t="str">
        <f aca="false">IF($G183="","",IFERROR(INDEX(LOT_EXTE,MATCH($G183,LOT_KEY,0)),""))</f>
        <v/>
      </c>
      <c r="I183" s="26" t="str">
        <f aca="false">IF($M183=0,"",OPERATIONS!$E183)</f>
        <v/>
      </c>
      <c r="J183" s="26" t="str">
        <f aca="false">IF($I183="","",IFERROR(INDEX(EMPL_CLASSE,MATCH($I183,EMPL_KEY,0)),""))</f>
        <v/>
      </c>
      <c r="K183" s="26" t="str">
        <f aca="false">IF($M183=0,"",OPERATIONS!$K183)</f>
        <v/>
      </c>
      <c r="L183" s="26" t="str">
        <f aca="false">IF($G183="","",IF(IFERROR(INDEX(LOT_ETAT,MATCH($G183,LOT_KEY,0)),"")="","",INDEX(LOT_ETAT,MATCH($G183,LOT_KEY,0))))</f>
        <v/>
      </c>
      <c r="M183" s="73" t="n">
        <f aca="false">IF(OR(OPERATIONS!$O183=0,OPERATIONS!$C183="RECEPTION",OPERATIONS!$C183="AJUSTEMENT"),0,-OPERATIONS!$G183)</f>
        <v>0</v>
      </c>
      <c r="N183" s="73" t="n">
        <f aca="false">IF($M183=0,0,OPERATIONS!$R183*$M183)</f>
        <v>0</v>
      </c>
      <c r="O183" s="26" t="str">
        <f aca="false">IF($M183=0,"",OPERATIONS!$Q183)</f>
        <v/>
      </c>
      <c r="P183" s="26" t="str">
        <f aca="false">IF($G183="","",IF($G183=R_LOT,COUNTIF($G$5:$G183,R_LOT),""))</f>
        <v/>
      </c>
    </row>
    <row r="184" customFormat="false" ht="15" hidden="false" customHeight="false" outlineLevel="0" collapsed="false">
      <c r="A184" s="28" t="str">
        <f aca="false">IF($M184=0,"",ROW()-4)</f>
        <v/>
      </c>
      <c r="B184" s="26" t="str">
        <f aca="false">IF($M184=0,"","OPERATIONS")</f>
        <v/>
      </c>
      <c r="C184" s="26" t="str">
        <f aca="false">IF($M184=0,"",OPERATIONS!$A184)</f>
        <v/>
      </c>
      <c r="D184" s="31" t="str">
        <f aca="false">IF($M184=0,"",OPERATIONS!$B184)</f>
        <v/>
      </c>
      <c r="E184" s="26" t="str">
        <f aca="false">IF($M184=0,"","SORTIE")</f>
        <v/>
      </c>
      <c r="F184" s="26" t="str">
        <f aca="false">IF($M184=0,"",OPERATIONS!$C184)</f>
        <v/>
      </c>
      <c r="G184" s="26" t="str">
        <f aca="false">IF($M184=0,"",OPERATIONS!$D184)</f>
        <v/>
      </c>
      <c r="H184" s="26" t="str">
        <f aca="false">IF($G184="","",IFERROR(INDEX(LOT_EXTE,MATCH($G184,LOT_KEY,0)),""))</f>
        <v/>
      </c>
      <c r="I184" s="26" t="str">
        <f aca="false">IF($M184=0,"",OPERATIONS!$E184)</f>
        <v/>
      </c>
      <c r="J184" s="26" t="str">
        <f aca="false">IF($I184="","",IFERROR(INDEX(EMPL_CLASSE,MATCH($I184,EMPL_KEY,0)),""))</f>
        <v/>
      </c>
      <c r="K184" s="26" t="str">
        <f aca="false">IF($M184=0,"",OPERATIONS!$K184)</f>
        <v/>
      </c>
      <c r="L184" s="26" t="str">
        <f aca="false">IF($G184="","",IF(IFERROR(INDEX(LOT_ETAT,MATCH($G184,LOT_KEY,0)),"")="","",INDEX(LOT_ETAT,MATCH($G184,LOT_KEY,0))))</f>
        <v/>
      </c>
      <c r="M184" s="73" t="n">
        <f aca="false">IF(OR(OPERATIONS!$O184=0,OPERATIONS!$C184="RECEPTION",OPERATIONS!$C184="AJUSTEMENT"),0,-OPERATIONS!$G184)</f>
        <v>0</v>
      </c>
      <c r="N184" s="73" t="n">
        <f aca="false">IF($M184=0,0,OPERATIONS!$R184*$M184)</f>
        <v>0</v>
      </c>
      <c r="O184" s="26" t="str">
        <f aca="false">IF($M184=0,"",OPERATIONS!$Q184)</f>
        <v/>
      </c>
      <c r="P184" s="26" t="str">
        <f aca="false">IF($G184="","",IF($G184=R_LOT,COUNTIF($G$5:$G184,R_LOT),""))</f>
        <v/>
      </c>
    </row>
    <row r="185" customFormat="false" ht="15" hidden="false" customHeight="false" outlineLevel="0" collapsed="false">
      <c r="A185" s="28" t="str">
        <f aca="false">IF($M185=0,"",ROW()-4)</f>
        <v/>
      </c>
      <c r="B185" s="26" t="str">
        <f aca="false">IF($M185=0,"","OPERATIONS")</f>
        <v/>
      </c>
      <c r="C185" s="26" t="str">
        <f aca="false">IF($M185=0,"",OPERATIONS!$A185)</f>
        <v/>
      </c>
      <c r="D185" s="31" t="str">
        <f aca="false">IF($M185=0,"",OPERATIONS!$B185)</f>
        <v/>
      </c>
      <c r="E185" s="26" t="str">
        <f aca="false">IF($M185=0,"","SORTIE")</f>
        <v/>
      </c>
      <c r="F185" s="26" t="str">
        <f aca="false">IF($M185=0,"",OPERATIONS!$C185)</f>
        <v/>
      </c>
      <c r="G185" s="26" t="str">
        <f aca="false">IF($M185=0,"",OPERATIONS!$D185)</f>
        <v/>
      </c>
      <c r="H185" s="26" t="str">
        <f aca="false">IF($G185="","",IFERROR(INDEX(LOT_EXTE,MATCH($G185,LOT_KEY,0)),""))</f>
        <v/>
      </c>
      <c r="I185" s="26" t="str">
        <f aca="false">IF($M185=0,"",OPERATIONS!$E185)</f>
        <v/>
      </c>
      <c r="J185" s="26" t="str">
        <f aca="false">IF($I185="","",IFERROR(INDEX(EMPL_CLASSE,MATCH($I185,EMPL_KEY,0)),""))</f>
        <v/>
      </c>
      <c r="K185" s="26" t="str">
        <f aca="false">IF($M185=0,"",OPERATIONS!$K185)</f>
        <v/>
      </c>
      <c r="L185" s="26" t="str">
        <f aca="false">IF($G185="","",IF(IFERROR(INDEX(LOT_ETAT,MATCH($G185,LOT_KEY,0)),"")="","",INDEX(LOT_ETAT,MATCH($G185,LOT_KEY,0))))</f>
        <v/>
      </c>
      <c r="M185" s="73" t="n">
        <f aca="false">IF(OR(OPERATIONS!$O185=0,OPERATIONS!$C185="RECEPTION",OPERATIONS!$C185="AJUSTEMENT"),0,-OPERATIONS!$G185)</f>
        <v>0</v>
      </c>
      <c r="N185" s="73" t="n">
        <f aca="false">IF($M185=0,0,OPERATIONS!$R185*$M185)</f>
        <v>0</v>
      </c>
      <c r="O185" s="26" t="str">
        <f aca="false">IF($M185=0,"",OPERATIONS!$Q185)</f>
        <v/>
      </c>
      <c r="P185" s="26" t="str">
        <f aca="false">IF($G185="","",IF($G185=R_LOT,COUNTIF($G$5:$G185,R_LOT),""))</f>
        <v/>
      </c>
    </row>
    <row r="186" customFormat="false" ht="15" hidden="false" customHeight="false" outlineLevel="0" collapsed="false">
      <c r="A186" s="28" t="str">
        <f aca="false">IF($M186=0,"",ROW()-4)</f>
        <v/>
      </c>
      <c r="B186" s="26" t="str">
        <f aca="false">IF($M186=0,"","OPERATIONS")</f>
        <v/>
      </c>
      <c r="C186" s="26" t="str">
        <f aca="false">IF($M186=0,"",OPERATIONS!$A186)</f>
        <v/>
      </c>
      <c r="D186" s="31" t="str">
        <f aca="false">IF($M186=0,"",OPERATIONS!$B186)</f>
        <v/>
      </c>
      <c r="E186" s="26" t="str">
        <f aca="false">IF($M186=0,"","SORTIE")</f>
        <v/>
      </c>
      <c r="F186" s="26" t="str">
        <f aca="false">IF($M186=0,"",OPERATIONS!$C186)</f>
        <v/>
      </c>
      <c r="G186" s="26" t="str">
        <f aca="false">IF($M186=0,"",OPERATIONS!$D186)</f>
        <v/>
      </c>
      <c r="H186" s="26" t="str">
        <f aca="false">IF($G186="","",IFERROR(INDEX(LOT_EXTE,MATCH($G186,LOT_KEY,0)),""))</f>
        <v/>
      </c>
      <c r="I186" s="26" t="str">
        <f aca="false">IF($M186=0,"",OPERATIONS!$E186)</f>
        <v/>
      </c>
      <c r="J186" s="26" t="str">
        <f aca="false">IF($I186="","",IFERROR(INDEX(EMPL_CLASSE,MATCH($I186,EMPL_KEY,0)),""))</f>
        <v/>
      </c>
      <c r="K186" s="26" t="str">
        <f aca="false">IF($M186=0,"",OPERATIONS!$K186)</f>
        <v/>
      </c>
      <c r="L186" s="26" t="str">
        <f aca="false">IF($G186="","",IF(IFERROR(INDEX(LOT_ETAT,MATCH($G186,LOT_KEY,0)),"")="","",INDEX(LOT_ETAT,MATCH($G186,LOT_KEY,0))))</f>
        <v/>
      </c>
      <c r="M186" s="73" t="n">
        <f aca="false">IF(OR(OPERATIONS!$O186=0,OPERATIONS!$C186="RECEPTION",OPERATIONS!$C186="AJUSTEMENT"),0,-OPERATIONS!$G186)</f>
        <v>0</v>
      </c>
      <c r="N186" s="73" t="n">
        <f aca="false">IF($M186=0,0,OPERATIONS!$R186*$M186)</f>
        <v>0</v>
      </c>
      <c r="O186" s="26" t="str">
        <f aca="false">IF($M186=0,"",OPERATIONS!$Q186)</f>
        <v/>
      </c>
      <c r="P186" s="26" t="str">
        <f aca="false">IF($G186="","",IF($G186=R_LOT,COUNTIF($G$5:$G186,R_LOT),""))</f>
        <v/>
      </c>
    </row>
    <row r="187" customFormat="false" ht="15" hidden="false" customHeight="false" outlineLevel="0" collapsed="false">
      <c r="A187" s="28" t="str">
        <f aca="false">IF($M187=0,"",ROW()-4)</f>
        <v/>
      </c>
      <c r="B187" s="26" t="str">
        <f aca="false">IF($M187=0,"","OPERATIONS")</f>
        <v/>
      </c>
      <c r="C187" s="26" t="str">
        <f aca="false">IF($M187=0,"",OPERATIONS!$A187)</f>
        <v/>
      </c>
      <c r="D187" s="31" t="str">
        <f aca="false">IF($M187=0,"",OPERATIONS!$B187)</f>
        <v/>
      </c>
      <c r="E187" s="26" t="str">
        <f aca="false">IF($M187=0,"","SORTIE")</f>
        <v/>
      </c>
      <c r="F187" s="26" t="str">
        <f aca="false">IF($M187=0,"",OPERATIONS!$C187)</f>
        <v/>
      </c>
      <c r="G187" s="26" t="str">
        <f aca="false">IF($M187=0,"",OPERATIONS!$D187)</f>
        <v/>
      </c>
      <c r="H187" s="26" t="str">
        <f aca="false">IF($G187="","",IFERROR(INDEX(LOT_EXTE,MATCH($G187,LOT_KEY,0)),""))</f>
        <v/>
      </c>
      <c r="I187" s="26" t="str">
        <f aca="false">IF($M187=0,"",OPERATIONS!$E187)</f>
        <v/>
      </c>
      <c r="J187" s="26" t="str">
        <f aca="false">IF($I187="","",IFERROR(INDEX(EMPL_CLASSE,MATCH($I187,EMPL_KEY,0)),""))</f>
        <v/>
      </c>
      <c r="K187" s="26" t="str">
        <f aca="false">IF($M187=0,"",OPERATIONS!$K187)</f>
        <v/>
      </c>
      <c r="L187" s="26" t="str">
        <f aca="false">IF($G187="","",IF(IFERROR(INDEX(LOT_ETAT,MATCH($G187,LOT_KEY,0)),"")="","",INDEX(LOT_ETAT,MATCH($G187,LOT_KEY,0))))</f>
        <v/>
      </c>
      <c r="M187" s="73" t="n">
        <f aca="false">IF(OR(OPERATIONS!$O187=0,OPERATIONS!$C187="RECEPTION",OPERATIONS!$C187="AJUSTEMENT"),0,-OPERATIONS!$G187)</f>
        <v>0</v>
      </c>
      <c r="N187" s="73" t="n">
        <f aca="false">IF($M187=0,0,OPERATIONS!$R187*$M187)</f>
        <v>0</v>
      </c>
      <c r="O187" s="26" t="str">
        <f aca="false">IF($M187=0,"",OPERATIONS!$Q187)</f>
        <v/>
      </c>
      <c r="P187" s="26" t="str">
        <f aca="false">IF($G187="","",IF($G187=R_LOT,COUNTIF($G$5:$G187,R_LOT),""))</f>
        <v/>
      </c>
    </row>
    <row r="188" customFormat="false" ht="15" hidden="false" customHeight="false" outlineLevel="0" collapsed="false">
      <c r="A188" s="28" t="str">
        <f aca="false">IF($M188=0,"",ROW()-4)</f>
        <v/>
      </c>
      <c r="B188" s="26" t="str">
        <f aca="false">IF($M188=0,"","OPERATIONS")</f>
        <v/>
      </c>
      <c r="C188" s="26" t="str">
        <f aca="false">IF($M188=0,"",OPERATIONS!$A188)</f>
        <v/>
      </c>
      <c r="D188" s="31" t="str">
        <f aca="false">IF($M188=0,"",OPERATIONS!$B188)</f>
        <v/>
      </c>
      <c r="E188" s="26" t="str">
        <f aca="false">IF($M188=0,"","SORTIE")</f>
        <v/>
      </c>
      <c r="F188" s="26" t="str">
        <f aca="false">IF($M188=0,"",OPERATIONS!$C188)</f>
        <v/>
      </c>
      <c r="G188" s="26" t="str">
        <f aca="false">IF($M188=0,"",OPERATIONS!$D188)</f>
        <v/>
      </c>
      <c r="H188" s="26" t="str">
        <f aca="false">IF($G188="","",IFERROR(INDEX(LOT_EXTE,MATCH($G188,LOT_KEY,0)),""))</f>
        <v/>
      </c>
      <c r="I188" s="26" t="str">
        <f aca="false">IF($M188=0,"",OPERATIONS!$E188)</f>
        <v/>
      </c>
      <c r="J188" s="26" t="str">
        <f aca="false">IF($I188="","",IFERROR(INDEX(EMPL_CLASSE,MATCH($I188,EMPL_KEY,0)),""))</f>
        <v/>
      </c>
      <c r="K188" s="26" t="str">
        <f aca="false">IF($M188=0,"",OPERATIONS!$K188)</f>
        <v/>
      </c>
      <c r="L188" s="26" t="str">
        <f aca="false">IF($G188="","",IF(IFERROR(INDEX(LOT_ETAT,MATCH($G188,LOT_KEY,0)),"")="","",INDEX(LOT_ETAT,MATCH($G188,LOT_KEY,0))))</f>
        <v/>
      </c>
      <c r="M188" s="73" t="n">
        <f aca="false">IF(OR(OPERATIONS!$O188=0,OPERATIONS!$C188="RECEPTION",OPERATIONS!$C188="AJUSTEMENT"),0,-OPERATIONS!$G188)</f>
        <v>0</v>
      </c>
      <c r="N188" s="73" t="n">
        <f aca="false">IF($M188=0,0,OPERATIONS!$R188*$M188)</f>
        <v>0</v>
      </c>
      <c r="O188" s="26" t="str">
        <f aca="false">IF($M188=0,"",OPERATIONS!$Q188)</f>
        <v/>
      </c>
      <c r="P188" s="26" t="str">
        <f aca="false">IF($G188="","",IF($G188=R_LOT,COUNTIF($G$5:$G188,R_LOT),""))</f>
        <v/>
      </c>
    </row>
    <row r="189" customFormat="false" ht="15" hidden="false" customHeight="false" outlineLevel="0" collapsed="false">
      <c r="A189" s="28" t="str">
        <f aca="false">IF($M189=0,"",ROW()-4)</f>
        <v/>
      </c>
      <c r="B189" s="26" t="str">
        <f aca="false">IF($M189=0,"","OPERATIONS")</f>
        <v/>
      </c>
      <c r="C189" s="26" t="str">
        <f aca="false">IF($M189=0,"",OPERATIONS!$A189)</f>
        <v/>
      </c>
      <c r="D189" s="31" t="str">
        <f aca="false">IF($M189=0,"",OPERATIONS!$B189)</f>
        <v/>
      </c>
      <c r="E189" s="26" t="str">
        <f aca="false">IF($M189=0,"","SORTIE")</f>
        <v/>
      </c>
      <c r="F189" s="26" t="str">
        <f aca="false">IF($M189=0,"",OPERATIONS!$C189)</f>
        <v/>
      </c>
      <c r="G189" s="26" t="str">
        <f aca="false">IF($M189=0,"",OPERATIONS!$D189)</f>
        <v/>
      </c>
      <c r="H189" s="26" t="str">
        <f aca="false">IF($G189="","",IFERROR(INDEX(LOT_EXTE,MATCH($G189,LOT_KEY,0)),""))</f>
        <v/>
      </c>
      <c r="I189" s="26" t="str">
        <f aca="false">IF($M189=0,"",OPERATIONS!$E189)</f>
        <v/>
      </c>
      <c r="J189" s="26" t="str">
        <f aca="false">IF($I189="","",IFERROR(INDEX(EMPL_CLASSE,MATCH($I189,EMPL_KEY,0)),""))</f>
        <v/>
      </c>
      <c r="K189" s="26" t="str">
        <f aca="false">IF($M189=0,"",OPERATIONS!$K189)</f>
        <v/>
      </c>
      <c r="L189" s="26" t="str">
        <f aca="false">IF($G189="","",IF(IFERROR(INDEX(LOT_ETAT,MATCH($G189,LOT_KEY,0)),"")="","",INDEX(LOT_ETAT,MATCH($G189,LOT_KEY,0))))</f>
        <v/>
      </c>
      <c r="M189" s="73" t="n">
        <f aca="false">IF(OR(OPERATIONS!$O189=0,OPERATIONS!$C189="RECEPTION",OPERATIONS!$C189="AJUSTEMENT"),0,-OPERATIONS!$G189)</f>
        <v>0</v>
      </c>
      <c r="N189" s="73" t="n">
        <f aca="false">IF($M189=0,0,OPERATIONS!$R189*$M189)</f>
        <v>0</v>
      </c>
      <c r="O189" s="26" t="str">
        <f aca="false">IF($M189=0,"",OPERATIONS!$Q189)</f>
        <v/>
      </c>
      <c r="P189" s="26" t="str">
        <f aca="false">IF($G189="","",IF($G189=R_LOT,COUNTIF($G$5:$G189,R_LOT),""))</f>
        <v/>
      </c>
    </row>
    <row r="190" customFormat="false" ht="15" hidden="false" customHeight="false" outlineLevel="0" collapsed="false">
      <c r="A190" s="28" t="str">
        <f aca="false">IF($M190=0,"",ROW()-4)</f>
        <v/>
      </c>
      <c r="B190" s="26" t="str">
        <f aca="false">IF($M190=0,"","OPERATIONS")</f>
        <v/>
      </c>
      <c r="C190" s="26" t="str">
        <f aca="false">IF($M190=0,"",OPERATIONS!$A190)</f>
        <v/>
      </c>
      <c r="D190" s="31" t="str">
        <f aca="false">IF($M190=0,"",OPERATIONS!$B190)</f>
        <v/>
      </c>
      <c r="E190" s="26" t="str">
        <f aca="false">IF($M190=0,"","SORTIE")</f>
        <v/>
      </c>
      <c r="F190" s="26" t="str">
        <f aca="false">IF($M190=0,"",OPERATIONS!$C190)</f>
        <v/>
      </c>
      <c r="G190" s="26" t="str">
        <f aca="false">IF($M190=0,"",OPERATIONS!$D190)</f>
        <v/>
      </c>
      <c r="H190" s="26" t="str">
        <f aca="false">IF($G190="","",IFERROR(INDEX(LOT_EXTE,MATCH($G190,LOT_KEY,0)),""))</f>
        <v/>
      </c>
      <c r="I190" s="26" t="str">
        <f aca="false">IF($M190=0,"",OPERATIONS!$E190)</f>
        <v/>
      </c>
      <c r="J190" s="26" t="str">
        <f aca="false">IF($I190="","",IFERROR(INDEX(EMPL_CLASSE,MATCH($I190,EMPL_KEY,0)),""))</f>
        <v/>
      </c>
      <c r="K190" s="26" t="str">
        <f aca="false">IF($M190=0,"",OPERATIONS!$K190)</f>
        <v/>
      </c>
      <c r="L190" s="26" t="str">
        <f aca="false">IF($G190="","",IF(IFERROR(INDEX(LOT_ETAT,MATCH($G190,LOT_KEY,0)),"")="","",INDEX(LOT_ETAT,MATCH($G190,LOT_KEY,0))))</f>
        <v/>
      </c>
      <c r="M190" s="73" t="n">
        <f aca="false">IF(OR(OPERATIONS!$O190=0,OPERATIONS!$C190="RECEPTION",OPERATIONS!$C190="AJUSTEMENT"),0,-OPERATIONS!$G190)</f>
        <v>0</v>
      </c>
      <c r="N190" s="73" t="n">
        <f aca="false">IF($M190=0,0,OPERATIONS!$R190*$M190)</f>
        <v>0</v>
      </c>
      <c r="O190" s="26" t="str">
        <f aca="false">IF($M190=0,"",OPERATIONS!$Q190)</f>
        <v/>
      </c>
      <c r="P190" s="26" t="str">
        <f aca="false">IF($G190="","",IF($G190=R_LOT,COUNTIF($G$5:$G190,R_LOT),""))</f>
        <v/>
      </c>
    </row>
    <row r="191" customFormat="false" ht="15" hidden="false" customHeight="false" outlineLevel="0" collapsed="false">
      <c r="A191" s="28" t="str">
        <f aca="false">IF($M191=0,"",ROW()-4)</f>
        <v/>
      </c>
      <c r="B191" s="26" t="str">
        <f aca="false">IF($M191=0,"","OPERATIONS")</f>
        <v/>
      </c>
      <c r="C191" s="26" t="str">
        <f aca="false">IF($M191=0,"",OPERATIONS!$A191)</f>
        <v/>
      </c>
      <c r="D191" s="31" t="str">
        <f aca="false">IF($M191=0,"",OPERATIONS!$B191)</f>
        <v/>
      </c>
      <c r="E191" s="26" t="str">
        <f aca="false">IF($M191=0,"","SORTIE")</f>
        <v/>
      </c>
      <c r="F191" s="26" t="str">
        <f aca="false">IF($M191=0,"",OPERATIONS!$C191)</f>
        <v/>
      </c>
      <c r="G191" s="26" t="str">
        <f aca="false">IF($M191=0,"",OPERATIONS!$D191)</f>
        <v/>
      </c>
      <c r="H191" s="26" t="str">
        <f aca="false">IF($G191="","",IFERROR(INDEX(LOT_EXTE,MATCH($G191,LOT_KEY,0)),""))</f>
        <v/>
      </c>
      <c r="I191" s="26" t="str">
        <f aca="false">IF($M191=0,"",OPERATIONS!$E191)</f>
        <v/>
      </c>
      <c r="J191" s="26" t="str">
        <f aca="false">IF($I191="","",IFERROR(INDEX(EMPL_CLASSE,MATCH($I191,EMPL_KEY,0)),""))</f>
        <v/>
      </c>
      <c r="K191" s="26" t="str">
        <f aca="false">IF($M191=0,"",OPERATIONS!$K191)</f>
        <v/>
      </c>
      <c r="L191" s="26" t="str">
        <f aca="false">IF($G191="","",IF(IFERROR(INDEX(LOT_ETAT,MATCH($G191,LOT_KEY,0)),"")="","",INDEX(LOT_ETAT,MATCH($G191,LOT_KEY,0))))</f>
        <v/>
      </c>
      <c r="M191" s="73" t="n">
        <f aca="false">IF(OR(OPERATIONS!$O191=0,OPERATIONS!$C191="RECEPTION",OPERATIONS!$C191="AJUSTEMENT"),0,-OPERATIONS!$G191)</f>
        <v>0</v>
      </c>
      <c r="N191" s="73" t="n">
        <f aca="false">IF($M191=0,0,OPERATIONS!$R191*$M191)</f>
        <v>0</v>
      </c>
      <c r="O191" s="26" t="str">
        <f aca="false">IF($M191=0,"",OPERATIONS!$Q191)</f>
        <v/>
      </c>
      <c r="P191" s="26" t="str">
        <f aca="false">IF($G191="","",IF($G191=R_LOT,COUNTIF($G$5:$G191,R_LOT),""))</f>
        <v/>
      </c>
    </row>
    <row r="192" customFormat="false" ht="15" hidden="false" customHeight="false" outlineLevel="0" collapsed="false">
      <c r="A192" s="28" t="str">
        <f aca="false">IF($M192=0,"",ROW()-4)</f>
        <v/>
      </c>
      <c r="B192" s="26" t="str">
        <f aca="false">IF($M192=0,"","OPERATIONS")</f>
        <v/>
      </c>
      <c r="C192" s="26" t="str">
        <f aca="false">IF($M192=0,"",OPERATIONS!$A192)</f>
        <v/>
      </c>
      <c r="D192" s="31" t="str">
        <f aca="false">IF($M192=0,"",OPERATIONS!$B192)</f>
        <v/>
      </c>
      <c r="E192" s="26" t="str">
        <f aca="false">IF($M192=0,"","SORTIE")</f>
        <v/>
      </c>
      <c r="F192" s="26" t="str">
        <f aca="false">IF($M192=0,"",OPERATIONS!$C192)</f>
        <v/>
      </c>
      <c r="G192" s="26" t="str">
        <f aca="false">IF($M192=0,"",OPERATIONS!$D192)</f>
        <v/>
      </c>
      <c r="H192" s="26" t="str">
        <f aca="false">IF($G192="","",IFERROR(INDEX(LOT_EXTE,MATCH($G192,LOT_KEY,0)),""))</f>
        <v/>
      </c>
      <c r="I192" s="26" t="str">
        <f aca="false">IF($M192=0,"",OPERATIONS!$E192)</f>
        <v/>
      </c>
      <c r="J192" s="26" t="str">
        <f aca="false">IF($I192="","",IFERROR(INDEX(EMPL_CLASSE,MATCH($I192,EMPL_KEY,0)),""))</f>
        <v/>
      </c>
      <c r="K192" s="26" t="str">
        <f aca="false">IF($M192=0,"",OPERATIONS!$K192)</f>
        <v/>
      </c>
      <c r="L192" s="26" t="str">
        <f aca="false">IF($G192="","",IF(IFERROR(INDEX(LOT_ETAT,MATCH($G192,LOT_KEY,0)),"")="","",INDEX(LOT_ETAT,MATCH($G192,LOT_KEY,0))))</f>
        <v/>
      </c>
      <c r="M192" s="73" t="n">
        <f aca="false">IF(OR(OPERATIONS!$O192=0,OPERATIONS!$C192="RECEPTION",OPERATIONS!$C192="AJUSTEMENT"),0,-OPERATIONS!$G192)</f>
        <v>0</v>
      </c>
      <c r="N192" s="73" t="n">
        <f aca="false">IF($M192=0,0,OPERATIONS!$R192*$M192)</f>
        <v>0</v>
      </c>
      <c r="O192" s="26" t="str">
        <f aca="false">IF($M192=0,"",OPERATIONS!$Q192)</f>
        <v/>
      </c>
      <c r="P192" s="26" t="str">
        <f aca="false">IF($G192="","",IF($G192=R_LOT,COUNTIF($G$5:$G192,R_LOT),""))</f>
        <v/>
      </c>
    </row>
    <row r="193" customFormat="false" ht="15" hidden="false" customHeight="false" outlineLevel="0" collapsed="false">
      <c r="A193" s="28" t="str">
        <f aca="false">IF($M193=0,"",ROW()-4)</f>
        <v/>
      </c>
      <c r="B193" s="26" t="str">
        <f aca="false">IF($M193=0,"","OPERATIONS")</f>
        <v/>
      </c>
      <c r="C193" s="26" t="str">
        <f aca="false">IF($M193=0,"",OPERATIONS!$A193)</f>
        <v/>
      </c>
      <c r="D193" s="31" t="str">
        <f aca="false">IF($M193=0,"",OPERATIONS!$B193)</f>
        <v/>
      </c>
      <c r="E193" s="26" t="str">
        <f aca="false">IF($M193=0,"","SORTIE")</f>
        <v/>
      </c>
      <c r="F193" s="26" t="str">
        <f aca="false">IF($M193=0,"",OPERATIONS!$C193)</f>
        <v/>
      </c>
      <c r="G193" s="26" t="str">
        <f aca="false">IF($M193=0,"",OPERATIONS!$D193)</f>
        <v/>
      </c>
      <c r="H193" s="26" t="str">
        <f aca="false">IF($G193="","",IFERROR(INDEX(LOT_EXTE,MATCH($G193,LOT_KEY,0)),""))</f>
        <v/>
      </c>
      <c r="I193" s="26" t="str">
        <f aca="false">IF($M193=0,"",OPERATIONS!$E193)</f>
        <v/>
      </c>
      <c r="J193" s="26" t="str">
        <f aca="false">IF($I193="","",IFERROR(INDEX(EMPL_CLASSE,MATCH($I193,EMPL_KEY,0)),""))</f>
        <v/>
      </c>
      <c r="K193" s="26" t="str">
        <f aca="false">IF($M193=0,"",OPERATIONS!$K193)</f>
        <v/>
      </c>
      <c r="L193" s="26" t="str">
        <f aca="false">IF($G193="","",IF(IFERROR(INDEX(LOT_ETAT,MATCH($G193,LOT_KEY,0)),"")="","",INDEX(LOT_ETAT,MATCH($G193,LOT_KEY,0))))</f>
        <v/>
      </c>
      <c r="M193" s="73" t="n">
        <f aca="false">IF(OR(OPERATIONS!$O193=0,OPERATIONS!$C193="RECEPTION",OPERATIONS!$C193="AJUSTEMENT"),0,-OPERATIONS!$G193)</f>
        <v>0</v>
      </c>
      <c r="N193" s="73" t="n">
        <f aca="false">IF($M193=0,0,OPERATIONS!$R193*$M193)</f>
        <v>0</v>
      </c>
      <c r="O193" s="26" t="str">
        <f aca="false">IF($M193=0,"",OPERATIONS!$Q193)</f>
        <v/>
      </c>
      <c r="P193" s="26" t="str">
        <f aca="false">IF($G193="","",IF($G193=R_LOT,COUNTIF($G$5:$G193,R_LOT),""))</f>
        <v/>
      </c>
    </row>
    <row r="194" customFormat="false" ht="15" hidden="false" customHeight="false" outlineLevel="0" collapsed="false">
      <c r="A194" s="28" t="str">
        <f aca="false">IF($M194=0,"",ROW()-4)</f>
        <v/>
      </c>
      <c r="B194" s="26" t="str">
        <f aca="false">IF($M194=0,"","OPERATIONS")</f>
        <v/>
      </c>
      <c r="C194" s="26" t="str">
        <f aca="false">IF($M194=0,"",OPERATIONS!$A194)</f>
        <v/>
      </c>
      <c r="D194" s="31" t="str">
        <f aca="false">IF($M194=0,"",OPERATIONS!$B194)</f>
        <v/>
      </c>
      <c r="E194" s="26" t="str">
        <f aca="false">IF($M194=0,"","SORTIE")</f>
        <v/>
      </c>
      <c r="F194" s="26" t="str">
        <f aca="false">IF($M194=0,"",OPERATIONS!$C194)</f>
        <v/>
      </c>
      <c r="G194" s="26" t="str">
        <f aca="false">IF($M194=0,"",OPERATIONS!$D194)</f>
        <v/>
      </c>
      <c r="H194" s="26" t="str">
        <f aca="false">IF($G194="","",IFERROR(INDEX(LOT_EXTE,MATCH($G194,LOT_KEY,0)),""))</f>
        <v/>
      </c>
      <c r="I194" s="26" t="str">
        <f aca="false">IF($M194=0,"",OPERATIONS!$E194)</f>
        <v/>
      </c>
      <c r="J194" s="26" t="str">
        <f aca="false">IF($I194="","",IFERROR(INDEX(EMPL_CLASSE,MATCH($I194,EMPL_KEY,0)),""))</f>
        <v/>
      </c>
      <c r="K194" s="26" t="str">
        <f aca="false">IF($M194=0,"",OPERATIONS!$K194)</f>
        <v/>
      </c>
      <c r="L194" s="26" t="str">
        <f aca="false">IF($G194="","",IF(IFERROR(INDEX(LOT_ETAT,MATCH($G194,LOT_KEY,0)),"")="","",INDEX(LOT_ETAT,MATCH($G194,LOT_KEY,0))))</f>
        <v/>
      </c>
      <c r="M194" s="73" t="n">
        <f aca="false">IF(OR(OPERATIONS!$O194=0,OPERATIONS!$C194="RECEPTION",OPERATIONS!$C194="AJUSTEMENT"),0,-OPERATIONS!$G194)</f>
        <v>0</v>
      </c>
      <c r="N194" s="73" t="n">
        <f aca="false">IF($M194=0,0,OPERATIONS!$R194*$M194)</f>
        <v>0</v>
      </c>
      <c r="O194" s="26" t="str">
        <f aca="false">IF($M194=0,"",OPERATIONS!$Q194)</f>
        <v/>
      </c>
      <c r="P194" s="26" t="str">
        <f aca="false">IF($G194="","",IF($G194=R_LOT,COUNTIF($G$5:$G194,R_LOT),""))</f>
        <v/>
      </c>
    </row>
    <row r="195" customFormat="false" ht="15" hidden="false" customHeight="false" outlineLevel="0" collapsed="false">
      <c r="A195" s="28" t="str">
        <f aca="false">IF($M195=0,"",ROW()-4)</f>
        <v/>
      </c>
      <c r="B195" s="26" t="str">
        <f aca="false">IF($M195=0,"","OPERATIONS")</f>
        <v/>
      </c>
      <c r="C195" s="26" t="str">
        <f aca="false">IF($M195=0,"",OPERATIONS!$A195)</f>
        <v/>
      </c>
      <c r="D195" s="31" t="str">
        <f aca="false">IF($M195=0,"",OPERATIONS!$B195)</f>
        <v/>
      </c>
      <c r="E195" s="26" t="str">
        <f aca="false">IF($M195=0,"","SORTIE")</f>
        <v/>
      </c>
      <c r="F195" s="26" t="str">
        <f aca="false">IF($M195=0,"",OPERATIONS!$C195)</f>
        <v/>
      </c>
      <c r="G195" s="26" t="str">
        <f aca="false">IF($M195=0,"",OPERATIONS!$D195)</f>
        <v/>
      </c>
      <c r="H195" s="26" t="str">
        <f aca="false">IF($G195="","",IFERROR(INDEX(LOT_EXTE,MATCH($G195,LOT_KEY,0)),""))</f>
        <v/>
      </c>
      <c r="I195" s="26" t="str">
        <f aca="false">IF($M195=0,"",OPERATIONS!$E195)</f>
        <v/>
      </c>
      <c r="J195" s="26" t="str">
        <f aca="false">IF($I195="","",IFERROR(INDEX(EMPL_CLASSE,MATCH($I195,EMPL_KEY,0)),""))</f>
        <v/>
      </c>
      <c r="K195" s="26" t="str">
        <f aca="false">IF($M195=0,"",OPERATIONS!$K195)</f>
        <v/>
      </c>
      <c r="L195" s="26" t="str">
        <f aca="false">IF($G195="","",IF(IFERROR(INDEX(LOT_ETAT,MATCH($G195,LOT_KEY,0)),"")="","",INDEX(LOT_ETAT,MATCH($G195,LOT_KEY,0))))</f>
        <v/>
      </c>
      <c r="M195" s="73" t="n">
        <f aca="false">IF(OR(OPERATIONS!$O195=0,OPERATIONS!$C195="RECEPTION",OPERATIONS!$C195="AJUSTEMENT"),0,-OPERATIONS!$G195)</f>
        <v>0</v>
      </c>
      <c r="N195" s="73" t="n">
        <f aca="false">IF($M195=0,0,OPERATIONS!$R195*$M195)</f>
        <v>0</v>
      </c>
      <c r="O195" s="26" t="str">
        <f aca="false">IF($M195=0,"",OPERATIONS!$Q195)</f>
        <v/>
      </c>
      <c r="P195" s="26" t="str">
        <f aca="false">IF($G195="","",IF($G195=R_LOT,COUNTIF($G$5:$G195,R_LOT),""))</f>
        <v/>
      </c>
    </row>
    <row r="196" customFormat="false" ht="15" hidden="false" customHeight="false" outlineLevel="0" collapsed="false">
      <c r="A196" s="28" t="str">
        <f aca="false">IF($M196=0,"",ROW()-4)</f>
        <v/>
      </c>
      <c r="B196" s="26" t="str">
        <f aca="false">IF($M196=0,"","OPERATIONS")</f>
        <v/>
      </c>
      <c r="C196" s="26" t="str">
        <f aca="false">IF($M196=0,"",OPERATIONS!$A196)</f>
        <v/>
      </c>
      <c r="D196" s="31" t="str">
        <f aca="false">IF($M196=0,"",OPERATIONS!$B196)</f>
        <v/>
      </c>
      <c r="E196" s="26" t="str">
        <f aca="false">IF($M196=0,"","SORTIE")</f>
        <v/>
      </c>
      <c r="F196" s="26" t="str">
        <f aca="false">IF($M196=0,"",OPERATIONS!$C196)</f>
        <v/>
      </c>
      <c r="G196" s="26" t="str">
        <f aca="false">IF($M196=0,"",OPERATIONS!$D196)</f>
        <v/>
      </c>
      <c r="H196" s="26" t="str">
        <f aca="false">IF($G196="","",IFERROR(INDEX(LOT_EXTE,MATCH($G196,LOT_KEY,0)),""))</f>
        <v/>
      </c>
      <c r="I196" s="26" t="str">
        <f aca="false">IF($M196=0,"",OPERATIONS!$E196)</f>
        <v/>
      </c>
      <c r="J196" s="26" t="str">
        <f aca="false">IF($I196="","",IFERROR(INDEX(EMPL_CLASSE,MATCH($I196,EMPL_KEY,0)),""))</f>
        <v/>
      </c>
      <c r="K196" s="26" t="str">
        <f aca="false">IF($M196=0,"",OPERATIONS!$K196)</f>
        <v/>
      </c>
      <c r="L196" s="26" t="str">
        <f aca="false">IF($G196="","",IF(IFERROR(INDEX(LOT_ETAT,MATCH($G196,LOT_KEY,0)),"")="","",INDEX(LOT_ETAT,MATCH($G196,LOT_KEY,0))))</f>
        <v/>
      </c>
      <c r="M196" s="73" t="n">
        <f aca="false">IF(OR(OPERATIONS!$O196=0,OPERATIONS!$C196="RECEPTION",OPERATIONS!$C196="AJUSTEMENT"),0,-OPERATIONS!$G196)</f>
        <v>0</v>
      </c>
      <c r="N196" s="73" t="n">
        <f aca="false">IF($M196=0,0,OPERATIONS!$R196*$M196)</f>
        <v>0</v>
      </c>
      <c r="O196" s="26" t="str">
        <f aca="false">IF($M196=0,"",OPERATIONS!$Q196)</f>
        <v/>
      </c>
      <c r="P196" s="26" t="str">
        <f aca="false">IF($G196="","",IF($G196=R_LOT,COUNTIF($G$5:$G196,R_LOT),""))</f>
        <v/>
      </c>
    </row>
    <row r="197" customFormat="false" ht="15" hidden="false" customHeight="false" outlineLevel="0" collapsed="false">
      <c r="A197" s="28" t="str">
        <f aca="false">IF($M197=0,"",ROW()-4)</f>
        <v/>
      </c>
      <c r="B197" s="26" t="str">
        <f aca="false">IF($M197=0,"","OPERATIONS")</f>
        <v/>
      </c>
      <c r="C197" s="26" t="str">
        <f aca="false">IF($M197=0,"",OPERATIONS!$A197)</f>
        <v/>
      </c>
      <c r="D197" s="31" t="str">
        <f aca="false">IF($M197=0,"",OPERATIONS!$B197)</f>
        <v/>
      </c>
      <c r="E197" s="26" t="str">
        <f aca="false">IF($M197=0,"","SORTIE")</f>
        <v/>
      </c>
      <c r="F197" s="26" t="str">
        <f aca="false">IF($M197=0,"",OPERATIONS!$C197)</f>
        <v/>
      </c>
      <c r="G197" s="26" t="str">
        <f aca="false">IF($M197=0,"",OPERATIONS!$D197)</f>
        <v/>
      </c>
      <c r="H197" s="26" t="str">
        <f aca="false">IF($G197="","",IFERROR(INDEX(LOT_EXTE,MATCH($G197,LOT_KEY,0)),""))</f>
        <v/>
      </c>
      <c r="I197" s="26" t="str">
        <f aca="false">IF($M197=0,"",OPERATIONS!$E197)</f>
        <v/>
      </c>
      <c r="J197" s="26" t="str">
        <f aca="false">IF($I197="","",IFERROR(INDEX(EMPL_CLASSE,MATCH($I197,EMPL_KEY,0)),""))</f>
        <v/>
      </c>
      <c r="K197" s="26" t="str">
        <f aca="false">IF($M197=0,"",OPERATIONS!$K197)</f>
        <v/>
      </c>
      <c r="L197" s="26" t="str">
        <f aca="false">IF($G197="","",IF(IFERROR(INDEX(LOT_ETAT,MATCH($G197,LOT_KEY,0)),"")="","",INDEX(LOT_ETAT,MATCH($G197,LOT_KEY,0))))</f>
        <v/>
      </c>
      <c r="M197" s="73" t="n">
        <f aca="false">IF(OR(OPERATIONS!$O197=0,OPERATIONS!$C197="RECEPTION",OPERATIONS!$C197="AJUSTEMENT"),0,-OPERATIONS!$G197)</f>
        <v>0</v>
      </c>
      <c r="N197" s="73" t="n">
        <f aca="false">IF($M197=0,0,OPERATIONS!$R197*$M197)</f>
        <v>0</v>
      </c>
      <c r="O197" s="26" t="str">
        <f aca="false">IF($M197=0,"",OPERATIONS!$Q197)</f>
        <v/>
      </c>
      <c r="P197" s="26" t="str">
        <f aca="false">IF($G197="","",IF($G197=R_LOT,COUNTIF($G$5:$G197,R_LOT),""))</f>
        <v/>
      </c>
    </row>
    <row r="198" customFormat="false" ht="15" hidden="false" customHeight="false" outlineLevel="0" collapsed="false">
      <c r="A198" s="28" t="str">
        <f aca="false">IF($M198=0,"",ROW()-4)</f>
        <v/>
      </c>
      <c r="B198" s="26" t="str">
        <f aca="false">IF($M198=0,"","OPERATIONS")</f>
        <v/>
      </c>
      <c r="C198" s="26" t="str">
        <f aca="false">IF($M198=0,"",OPERATIONS!$A198)</f>
        <v/>
      </c>
      <c r="D198" s="31" t="str">
        <f aca="false">IF($M198=0,"",OPERATIONS!$B198)</f>
        <v/>
      </c>
      <c r="E198" s="26" t="str">
        <f aca="false">IF($M198=0,"","SORTIE")</f>
        <v/>
      </c>
      <c r="F198" s="26" t="str">
        <f aca="false">IF($M198=0,"",OPERATIONS!$C198)</f>
        <v/>
      </c>
      <c r="G198" s="26" t="str">
        <f aca="false">IF($M198=0,"",OPERATIONS!$D198)</f>
        <v/>
      </c>
      <c r="H198" s="26" t="str">
        <f aca="false">IF($G198="","",IFERROR(INDEX(LOT_EXTE,MATCH($G198,LOT_KEY,0)),""))</f>
        <v/>
      </c>
      <c r="I198" s="26" t="str">
        <f aca="false">IF($M198=0,"",OPERATIONS!$E198)</f>
        <v/>
      </c>
      <c r="J198" s="26" t="str">
        <f aca="false">IF($I198="","",IFERROR(INDEX(EMPL_CLASSE,MATCH($I198,EMPL_KEY,0)),""))</f>
        <v/>
      </c>
      <c r="K198" s="26" t="str">
        <f aca="false">IF($M198=0,"",OPERATIONS!$K198)</f>
        <v/>
      </c>
      <c r="L198" s="26" t="str">
        <f aca="false">IF($G198="","",IF(IFERROR(INDEX(LOT_ETAT,MATCH($G198,LOT_KEY,0)),"")="","",INDEX(LOT_ETAT,MATCH($G198,LOT_KEY,0))))</f>
        <v/>
      </c>
      <c r="M198" s="73" t="n">
        <f aca="false">IF(OR(OPERATIONS!$O198=0,OPERATIONS!$C198="RECEPTION",OPERATIONS!$C198="AJUSTEMENT"),0,-OPERATIONS!$G198)</f>
        <v>0</v>
      </c>
      <c r="N198" s="73" t="n">
        <f aca="false">IF($M198=0,0,OPERATIONS!$R198*$M198)</f>
        <v>0</v>
      </c>
      <c r="O198" s="26" t="str">
        <f aca="false">IF($M198=0,"",OPERATIONS!$Q198)</f>
        <v/>
      </c>
      <c r="P198" s="26" t="str">
        <f aca="false">IF($G198="","",IF($G198=R_LOT,COUNTIF($G$5:$G198,R_LOT),""))</f>
        <v/>
      </c>
    </row>
    <row r="199" customFormat="false" ht="15" hidden="false" customHeight="false" outlineLevel="0" collapsed="false">
      <c r="A199" s="28" t="str">
        <f aca="false">IF($M199=0,"",ROW()-4)</f>
        <v/>
      </c>
      <c r="B199" s="26" t="str">
        <f aca="false">IF($M199=0,"","OPERATIONS")</f>
        <v/>
      </c>
      <c r="C199" s="26" t="str">
        <f aca="false">IF($M199=0,"",OPERATIONS!$A199)</f>
        <v/>
      </c>
      <c r="D199" s="31" t="str">
        <f aca="false">IF($M199=0,"",OPERATIONS!$B199)</f>
        <v/>
      </c>
      <c r="E199" s="26" t="str">
        <f aca="false">IF($M199=0,"","SORTIE")</f>
        <v/>
      </c>
      <c r="F199" s="26" t="str">
        <f aca="false">IF($M199=0,"",OPERATIONS!$C199)</f>
        <v/>
      </c>
      <c r="G199" s="26" t="str">
        <f aca="false">IF($M199=0,"",OPERATIONS!$D199)</f>
        <v/>
      </c>
      <c r="H199" s="26" t="str">
        <f aca="false">IF($G199="","",IFERROR(INDEX(LOT_EXTE,MATCH($G199,LOT_KEY,0)),""))</f>
        <v/>
      </c>
      <c r="I199" s="26" t="str">
        <f aca="false">IF($M199=0,"",OPERATIONS!$E199)</f>
        <v/>
      </c>
      <c r="J199" s="26" t="str">
        <f aca="false">IF($I199="","",IFERROR(INDEX(EMPL_CLASSE,MATCH($I199,EMPL_KEY,0)),""))</f>
        <v/>
      </c>
      <c r="K199" s="26" t="str">
        <f aca="false">IF($M199=0,"",OPERATIONS!$K199)</f>
        <v/>
      </c>
      <c r="L199" s="26" t="str">
        <f aca="false">IF($G199="","",IF(IFERROR(INDEX(LOT_ETAT,MATCH($G199,LOT_KEY,0)),"")="","",INDEX(LOT_ETAT,MATCH($G199,LOT_KEY,0))))</f>
        <v/>
      </c>
      <c r="M199" s="73" t="n">
        <f aca="false">IF(OR(OPERATIONS!$O199=0,OPERATIONS!$C199="RECEPTION",OPERATIONS!$C199="AJUSTEMENT"),0,-OPERATIONS!$G199)</f>
        <v>0</v>
      </c>
      <c r="N199" s="73" t="n">
        <f aca="false">IF($M199=0,0,OPERATIONS!$R199*$M199)</f>
        <v>0</v>
      </c>
      <c r="O199" s="26" t="str">
        <f aca="false">IF($M199=0,"",OPERATIONS!$Q199)</f>
        <v/>
      </c>
      <c r="P199" s="26" t="str">
        <f aca="false">IF($G199="","",IF($G199=R_LOT,COUNTIF($G$5:$G199,R_LOT),""))</f>
        <v/>
      </c>
    </row>
    <row r="200" customFormat="false" ht="15" hidden="false" customHeight="false" outlineLevel="0" collapsed="false">
      <c r="A200" s="28" t="str">
        <f aca="false">IF($M200=0,"",ROW()-4)</f>
        <v/>
      </c>
      <c r="B200" s="26" t="str">
        <f aca="false">IF($M200=0,"","OPERATIONS")</f>
        <v/>
      </c>
      <c r="C200" s="26" t="str">
        <f aca="false">IF($M200=0,"",OPERATIONS!$A200)</f>
        <v/>
      </c>
      <c r="D200" s="31" t="str">
        <f aca="false">IF($M200=0,"",OPERATIONS!$B200)</f>
        <v/>
      </c>
      <c r="E200" s="26" t="str">
        <f aca="false">IF($M200=0,"","SORTIE")</f>
        <v/>
      </c>
      <c r="F200" s="26" t="str">
        <f aca="false">IF($M200=0,"",OPERATIONS!$C200)</f>
        <v/>
      </c>
      <c r="G200" s="26" t="str">
        <f aca="false">IF($M200=0,"",OPERATIONS!$D200)</f>
        <v/>
      </c>
      <c r="H200" s="26" t="str">
        <f aca="false">IF($G200="","",IFERROR(INDEX(LOT_EXTE,MATCH($G200,LOT_KEY,0)),""))</f>
        <v/>
      </c>
      <c r="I200" s="26" t="str">
        <f aca="false">IF($M200=0,"",OPERATIONS!$E200)</f>
        <v/>
      </c>
      <c r="J200" s="26" t="str">
        <f aca="false">IF($I200="","",IFERROR(INDEX(EMPL_CLASSE,MATCH($I200,EMPL_KEY,0)),""))</f>
        <v/>
      </c>
      <c r="K200" s="26" t="str">
        <f aca="false">IF($M200=0,"",OPERATIONS!$K200)</f>
        <v/>
      </c>
      <c r="L200" s="26" t="str">
        <f aca="false">IF($G200="","",IF(IFERROR(INDEX(LOT_ETAT,MATCH($G200,LOT_KEY,0)),"")="","",INDEX(LOT_ETAT,MATCH($G200,LOT_KEY,0))))</f>
        <v/>
      </c>
      <c r="M200" s="73" t="n">
        <f aca="false">IF(OR(OPERATIONS!$O200=0,OPERATIONS!$C200="RECEPTION",OPERATIONS!$C200="AJUSTEMENT"),0,-OPERATIONS!$G200)</f>
        <v>0</v>
      </c>
      <c r="N200" s="73" t="n">
        <f aca="false">IF($M200=0,0,OPERATIONS!$R200*$M200)</f>
        <v>0</v>
      </c>
      <c r="O200" s="26" t="str">
        <f aca="false">IF($M200=0,"",OPERATIONS!$Q200)</f>
        <v/>
      </c>
      <c r="P200" s="26" t="str">
        <f aca="false">IF($G200="","",IF($G200=R_LOT,COUNTIF($G$5:$G200,R_LOT),""))</f>
        <v/>
      </c>
    </row>
    <row r="201" customFormat="false" ht="15" hidden="false" customHeight="false" outlineLevel="0" collapsed="false">
      <c r="A201" s="28" t="str">
        <f aca="false">IF($M201=0,"",ROW()-4)</f>
        <v/>
      </c>
      <c r="B201" s="26" t="str">
        <f aca="false">IF($M201=0,"","OPERATIONS")</f>
        <v/>
      </c>
      <c r="C201" s="26" t="str">
        <f aca="false">IF($M201=0,"",OPERATIONS!$A201)</f>
        <v/>
      </c>
      <c r="D201" s="31" t="str">
        <f aca="false">IF($M201=0,"",OPERATIONS!$B201)</f>
        <v/>
      </c>
      <c r="E201" s="26" t="str">
        <f aca="false">IF($M201=0,"","SORTIE")</f>
        <v/>
      </c>
      <c r="F201" s="26" t="str">
        <f aca="false">IF($M201=0,"",OPERATIONS!$C201)</f>
        <v/>
      </c>
      <c r="G201" s="26" t="str">
        <f aca="false">IF($M201=0,"",OPERATIONS!$D201)</f>
        <v/>
      </c>
      <c r="H201" s="26" t="str">
        <f aca="false">IF($G201="","",IFERROR(INDEX(LOT_EXTE,MATCH($G201,LOT_KEY,0)),""))</f>
        <v/>
      </c>
      <c r="I201" s="26" t="str">
        <f aca="false">IF($M201=0,"",OPERATIONS!$E201)</f>
        <v/>
      </c>
      <c r="J201" s="26" t="str">
        <f aca="false">IF($I201="","",IFERROR(INDEX(EMPL_CLASSE,MATCH($I201,EMPL_KEY,0)),""))</f>
        <v/>
      </c>
      <c r="K201" s="26" t="str">
        <f aca="false">IF($M201=0,"",OPERATIONS!$K201)</f>
        <v/>
      </c>
      <c r="L201" s="26" t="str">
        <f aca="false">IF($G201="","",IF(IFERROR(INDEX(LOT_ETAT,MATCH($G201,LOT_KEY,0)),"")="","",INDEX(LOT_ETAT,MATCH($G201,LOT_KEY,0))))</f>
        <v/>
      </c>
      <c r="M201" s="73" t="n">
        <f aca="false">IF(OR(OPERATIONS!$O201=0,OPERATIONS!$C201="RECEPTION",OPERATIONS!$C201="AJUSTEMENT"),0,-OPERATIONS!$G201)</f>
        <v>0</v>
      </c>
      <c r="N201" s="73" t="n">
        <f aca="false">IF($M201=0,0,OPERATIONS!$R201*$M201)</f>
        <v>0</v>
      </c>
      <c r="O201" s="26" t="str">
        <f aca="false">IF($M201=0,"",OPERATIONS!$Q201)</f>
        <v/>
      </c>
      <c r="P201" s="26" t="str">
        <f aca="false">IF($G201="","",IF($G201=R_LOT,COUNTIF($G$5:$G201,R_LOT),""))</f>
        <v/>
      </c>
    </row>
    <row r="202" customFormat="false" ht="15" hidden="false" customHeight="false" outlineLevel="0" collapsed="false">
      <c r="A202" s="28" t="str">
        <f aca="false">IF($M202=0,"",ROW()-4)</f>
        <v/>
      </c>
      <c r="B202" s="26" t="str">
        <f aca="false">IF($M202=0,"","OPERATIONS")</f>
        <v/>
      </c>
      <c r="C202" s="26" t="str">
        <f aca="false">IF($M202=0,"",OPERATIONS!$A202)</f>
        <v/>
      </c>
      <c r="D202" s="31" t="str">
        <f aca="false">IF($M202=0,"",OPERATIONS!$B202)</f>
        <v/>
      </c>
      <c r="E202" s="26" t="str">
        <f aca="false">IF($M202=0,"","SORTIE")</f>
        <v/>
      </c>
      <c r="F202" s="26" t="str">
        <f aca="false">IF($M202=0,"",OPERATIONS!$C202)</f>
        <v/>
      </c>
      <c r="G202" s="26" t="str">
        <f aca="false">IF($M202=0,"",OPERATIONS!$D202)</f>
        <v/>
      </c>
      <c r="H202" s="26" t="str">
        <f aca="false">IF($G202="","",IFERROR(INDEX(LOT_EXTE,MATCH($G202,LOT_KEY,0)),""))</f>
        <v/>
      </c>
      <c r="I202" s="26" t="str">
        <f aca="false">IF($M202=0,"",OPERATIONS!$E202)</f>
        <v/>
      </c>
      <c r="J202" s="26" t="str">
        <f aca="false">IF($I202="","",IFERROR(INDEX(EMPL_CLASSE,MATCH($I202,EMPL_KEY,0)),""))</f>
        <v/>
      </c>
      <c r="K202" s="26" t="str">
        <f aca="false">IF($M202=0,"",OPERATIONS!$K202)</f>
        <v/>
      </c>
      <c r="L202" s="26" t="str">
        <f aca="false">IF($G202="","",IF(IFERROR(INDEX(LOT_ETAT,MATCH($G202,LOT_KEY,0)),"")="","",INDEX(LOT_ETAT,MATCH($G202,LOT_KEY,0))))</f>
        <v/>
      </c>
      <c r="M202" s="73" t="n">
        <f aca="false">IF(OR(OPERATIONS!$O202=0,OPERATIONS!$C202="RECEPTION",OPERATIONS!$C202="AJUSTEMENT"),0,-OPERATIONS!$G202)</f>
        <v>0</v>
      </c>
      <c r="N202" s="73" t="n">
        <f aca="false">IF($M202=0,0,OPERATIONS!$R202*$M202)</f>
        <v>0</v>
      </c>
      <c r="O202" s="26" t="str">
        <f aca="false">IF($M202=0,"",OPERATIONS!$Q202)</f>
        <v/>
      </c>
      <c r="P202" s="26" t="str">
        <f aca="false">IF($G202="","",IF($G202=R_LOT,COUNTIF($G$5:$G202,R_LOT),""))</f>
        <v/>
      </c>
    </row>
    <row r="203" customFormat="false" ht="15" hidden="false" customHeight="false" outlineLevel="0" collapsed="false">
      <c r="A203" s="28" t="str">
        <f aca="false">IF($M203=0,"",ROW()-4)</f>
        <v/>
      </c>
      <c r="B203" s="26" t="str">
        <f aca="false">IF($M203=0,"","OPERATIONS")</f>
        <v/>
      </c>
      <c r="C203" s="26" t="str">
        <f aca="false">IF($M203=0,"",OPERATIONS!$A203)</f>
        <v/>
      </c>
      <c r="D203" s="31" t="str">
        <f aca="false">IF($M203=0,"",OPERATIONS!$B203)</f>
        <v/>
      </c>
      <c r="E203" s="26" t="str">
        <f aca="false">IF($M203=0,"","SORTIE")</f>
        <v/>
      </c>
      <c r="F203" s="26" t="str">
        <f aca="false">IF($M203=0,"",OPERATIONS!$C203)</f>
        <v/>
      </c>
      <c r="G203" s="26" t="str">
        <f aca="false">IF($M203=0,"",OPERATIONS!$D203)</f>
        <v/>
      </c>
      <c r="H203" s="26" t="str">
        <f aca="false">IF($G203="","",IFERROR(INDEX(LOT_EXTE,MATCH($G203,LOT_KEY,0)),""))</f>
        <v/>
      </c>
      <c r="I203" s="26" t="str">
        <f aca="false">IF($M203=0,"",OPERATIONS!$E203)</f>
        <v/>
      </c>
      <c r="J203" s="26" t="str">
        <f aca="false">IF($I203="","",IFERROR(INDEX(EMPL_CLASSE,MATCH($I203,EMPL_KEY,0)),""))</f>
        <v/>
      </c>
      <c r="K203" s="26" t="str">
        <f aca="false">IF($M203=0,"",OPERATIONS!$K203)</f>
        <v/>
      </c>
      <c r="L203" s="26" t="str">
        <f aca="false">IF($G203="","",IF(IFERROR(INDEX(LOT_ETAT,MATCH($G203,LOT_KEY,0)),"")="","",INDEX(LOT_ETAT,MATCH($G203,LOT_KEY,0))))</f>
        <v/>
      </c>
      <c r="M203" s="73" t="n">
        <f aca="false">IF(OR(OPERATIONS!$O203=0,OPERATIONS!$C203="RECEPTION",OPERATIONS!$C203="AJUSTEMENT"),0,-OPERATIONS!$G203)</f>
        <v>0</v>
      </c>
      <c r="N203" s="73" t="n">
        <f aca="false">IF($M203=0,0,OPERATIONS!$R203*$M203)</f>
        <v>0</v>
      </c>
      <c r="O203" s="26" t="str">
        <f aca="false">IF($M203=0,"",OPERATIONS!$Q203)</f>
        <v/>
      </c>
      <c r="P203" s="26" t="str">
        <f aca="false">IF($G203="","",IF($G203=R_LOT,COUNTIF($G$5:$G203,R_LOT),""))</f>
        <v/>
      </c>
    </row>
    <row r="204" customFormat="false" ht="15" hidden="false" customHeight="false" outlineLevel="0" collapsed="false">
      <c r="A204" s="28" t="str">
        <f aca="false">IF($M204=0,"",ROW()-4)</f>
        <v/>
      </c>
      <c r="B204" s="26" t="str">
        <f aca="false">IF($M204=0,"","OPERATIONS")</f>
        <v/>
      </c>
      <c r="C204" s="26" t="str">
        <f aca="false">IF($M204=0,"",OPERATIONS!$A204)</f>
        <v/>
      </c>
      <c r="D204" s="31" t="str">
        <f aca="false">IF($M204=0,"",OPERATIONS!$B204)</f>
        <v/>
      </c>
      <c r="E204" s="26" t="str">
        <f aca="false">IF($M204=0,"","SORTIE")</f>
        <v/>
      </c>
      <c r="F204" s="26" t="str">
        <f aca="false">IF($M204=0,"",OPERATIONS!$C204)</f>
        <v/>
      </c>
      <c r="G204" s="26" t="str">
        <f aca="false">IF($M204=0,"",OPERATIONS!$D204)</f>
        <v/>
      </c>
      <c r="H204" s="26" t="str">
        <f aca="false">IF($G204="","",IFERROR(INDEX(LOT_EXTE,MATCH($G204,LOT_KEY,0)),""))</f>
        <v/>
      </c>
      <c r="I204" s="26" t="str">
        <f aca="false">IF($M204=0,"",OPERATIONS!$E204)</f>
        <v/>
      </c>
      <c r="J204" s="26" t="str">
        <f aca="false">IF($I204="","",IFERROR(INDEX(EMPL_CLASSE,MATCH($I204,EMPL_KEY,0)),""))</f>
        <v/>
      </c>
      <c r="K204" s="26" t="str">
        <f aca="false">IF($M204=0,"",OPERATIONS!$K204)</f>
        <v/>
      </c>
      <c r="L204" s="26" t="str">
        <f aca="false">IF($G204="","",IF(IFERROR(INDEX(LOT_ETAT,MATCH($G204,LOT_KEY,0)),"")="","",INDEX(LOT_ETAT,MATCH($G204,LOT_KEY,0))))</f>
        <v/>
      </c>
      <c r="M204" s="73" t="n">
        <f aca="false">IF(OR(OPERATIONS!$O204=0,OPERATIONS!$C204="RECEPTION",OPERATIONS!$C204="AJUSTEMENT"),0,-OPERATIONS!$G204)</f>
        <v>0</v>
      </c>
      <c r="N204" s="73" t="n">
        <f aca="false">IF($M204=0,0,OPERATIONS!$R204*$M204)</f>
        <v>0</v>
      </c>
      <c r="O204" s="26" t="str">
        <f aca="false">IF($M204=0,"",OPERATIONS!$Q204)</f>
        <v/>
      </c>
      <c r="P204" s="26" t="str">
        <f aca="false">IF($G204="","",IF($G204=R_LOT,COUNTIF($G$5:$G204,R_LOT),""))</f>
        <v/>
      </c>
    </row>
    <row r="205" customFormat="false" ht="15" hidden="false" customHeight="false" outlineLevel="0" collapsed="false">
      <c r="A205" s="28" t="str">
        <f aca="false">IF($M205=0,"",ROW()-4)</f>
        <v/>
      </c>
      <c r="B205" s="26" t="str">
        <f aca="false">IF($M205=0,"","OPERATIONS")</f>
        <v/>
      </c>
      <c r="C205" s="26" t="str">
        <f aca="false">IF($M205=0,"",OPERATIONS!$A205)</f>
        <v/>
      </c>
      <c r="D205" s="31" t="str">
        <f aca="false">IF($M205=0,"",OPERATIONS!$B205)</f>
        <v/>
      </c>
      <c r="E205" s="26" t="str">
        <f aca="false">IF($M205=0,"","SORTIE")</f>
        <v/>
      </c>
      <c r="F205" s="26" t="str">
        <f aca="false">IF($M205=0,"",OPERATIONS!$C205)</f>
        <v/>
      </c>
      <c r="G205" s="26" t="str">
        <f aca="false">IF($M205=0,"",OPERATIONS!$D205)</f>
        <v/>
      </c>
      <c r="H205" s="26" t="str">
        <f aca="false">IF($G205="","",IFERROR(INDEX(LOT_EXTE,MATCH($G205,LOT_KEY,0)),""))</f>
        <v/>
      </c>
      <c r="I205" s="26" t="str">
        <f aca="false">IF($M205=0,"",OPERATIONS!$E205)</f>
        <v/>
      </c>
      <c r="J205" s="26" t="str">
        <f aca="false">IF($I205="","",IFERROR(INDEX(EMPL_CLASSE,MATCH($I205,EMPL_KEY,0)),""))</f>
        <v/>
      </c>
      <c r="K205" s="26" t="str">
        <f aca="false">IF($M205=0,"",OPERATIONS!$K205)</f>
        <v/>
      </c>
      <c r="L205" s="26" t="str">
        <f aca="false">IF($G205="","",IF(IFERROR(INDEX(LOT_ETAT,MATCH($G205,LOT_KEY,0)),"")="","",INDEX(LOT_ETAT,MATCH($G205,LOT_KEY,0))))</f>
        <v/>
      </c>
      <c r="M205" s="73" t="n">
        <f aca="false">IF(OR(OPERATIONS!$O205=0,OPERATIONS!$C205="RECEPTION",OPERATIONS!$C205="AJUSTEMENT"),0,-OPERATIONS!$G205)</f>
        <v>0</v>
      </c>
      <c r="N205" s="73" t="n">
        <f aca="false">IF($M205=0,0,OPERATIONS!$R205*$M205)</f>
        <v>0</v>
      </c>
      <c r="O205" s="26" t="str">
        <f aca="false">IF($M205=0,"",OPERATIONS!$Q205)</f>
        <v/>
      </c>
      <c r="P205" s="26" t="str">
        <f aca="false">IF($G205="","",IF($G205=R_LOT,COUNTIF($G$5:$G205,R_LOT),""))</f>
        <v/>
      </c>
    </row>
    <row r="206" customFormat="false" ht="15" hidden="false" customHeight="false" outlineLevel="0" collapsed="false">
      <c r="A206" s="28" t="str">
        <f aca="false">IF($M206=0,"",ROW()-4)</f>
        <v/>
      </c>
      <c r="B206" s="26" t="str">
        <f aca="false">IF($M206=0,"","OPERATIONS")</f>
        <v/>
      </c>
      <c r="C206" s="26" t="str">
        <f aca="false">IF($M206=0,"",OPERATIONS!$A206)</f>
        <v/>
      </c>
      <c r="D206" s="31" t="str">
        <f aca="false">IF($M206=0,"",OPERATIONS!$B206)</f>
        <v/>
      </c>
      <c r="E206" s="26" t="str">
        <f aca="false">IF($M206=0,"","SORTIE")</f>
        <v/>
      </c>
      <c r="F206" s="26" t="str">
        <f aca="false">IF($M206=0,"",OPERATIONS!$C206)</f>
        <v/>
      </c>
      <c r="G206" s="26" t="str">
        <f aca="false">IF($M206=0,"",OPERATIONS!$D206)</f>
        <v/>
      </c>
      <c r="H206" s="26" t="str">
        <f aca="false">IF($G206="","",IFERROR(INDEX(LOT_EXTE,MATCH($G206,LOT_KEY,0)),""))</f>
        <v/>
      </c>
      <c r="I206" s="26" t="str">
        <f aca="false">IF($M206=0,"",OPERATIONS!$E206)</f>
        <v/>
      </c>
      <c r="J206" s="26" t="str">
        <f aca="false">IF($I206="","",IFERROR(INDEX(EMPL_CLASSE,MATCH($I206,EMPL_KEY,0)),""))</f>
        <v/>
      </c>
      <c r="K206" s="26" t="str">
        <f aca="false">IF($M206=0,"",OPERATIONS!$K206)</f>
        <v/>
      </c>
      <c r="L206" s="26" t="str">
        <f aca="false">IF($G206="","",IF(IFERROR(INDEX(LOT_ETAT,MATCH($G206,LOT_KEY,0)),"")="","",INDEX(LOT_ETAT,MATCH($G206,LOT_KEY,0))))</f>
        <v/>
      </c>
      <c r="M206" s="73" t="n">
        <f aca="false">IF(OR(OPERATIONS!$O206=0,OPERATIONS!$C206="RECEPTION",OPERATIONS!$C206="AJUSTEMENT"),0,-OPERATIONS!$G206)</f>
        <v>0</v>
      </c>
      <c r="N206" s="73" t="n">
        <f aca="false">IF($M206=0,0,OPERATIONS!$R206*$M206)</f>
        <v>0</v>
      </c>
      <c r="O206" s="26" t="str">
        <f aca="false">IF($M206=0,"",OPERATIONS!$Q206)</f>
        <v/>
      </c>
      <c r="P206" s="26" t="str">
        <f aca="false">IF($G206="","",IF($G206=R_LOT,COUNTIF($G$5:$G206,R_LOT),""))</f>
        <v/>
      </c>
    </row>
    <row r="207" customFormat="false" ht="15" hidden="false" customHeight="false" outlineLevel="0" collapsed="false">
      <c r="A207" s="28" t="str">
        <f aca="false">IF($M207=0,"",ROW()-4)</f>
        <v/>
      </c>
      <c r="B207" s="26" t="str">
        <f aca="false">IF($M207=0,"","OPERATIONS")</f>
        <v/>
      </c>
      <c r="C207" s="26" t="str">
        <f aca="false">IF($M207=0,"",OPERATIONS!$A207)</f>
        <v/>
      </c>
      <c r="D207" s="31" t="str">
        <f aca="false">IF($M207=0,"",OPERATIONS!$B207)</f>
        <v/>
      </c>
      <c r="E207" s="26" t="str">
        <f aca="false">IF($M207=0,"","SORTIE")</f>
        <v/>
      </c>
      <c r="F207" s="26" t="str">
        <f aca="false">IF($M207=0,"",OPERATIONS!$C207)</f>
        <v/>
      </c>
      <c r="G207" s="26" t="str">
        <f aca="false">IF($M207=0,"",OPERATIONS!$D207)</f>
        <v/>
      </c>
      <c r="H207" s="26" t="str">
        <f aca="false">IF($G207="","",IFERROR(INDEX(LOT_EXTE,MATCH($G207,LOT_KEY,0)),""))</f>
        <v/>
      </c>
      <c r="I207" s="26" t="str">
        <f aca="false">IF($M207=0,"",OPERATIONS!$E207)</f>
        <v/>
      </c>
      <c r="J207" s="26" t="str">
        <f aca="false">IF($I207="","",IFERROR(INDEX(EMPL_CLASSE,MATCH($I207,EMPL_KEY,0)),""))</f>
        <v/>
      </c>
      <c r="K207" s="26" t="str">
        <f aca="false">IF($M207=0,"",OPERATIONS!$K207)</f>
        <v/>
      </c>
      <c r="L207" s="26" t="str">
        <f aca="false">IF($G207="","",IF(IFERROR(INDEX(LOT_ETAT,MATCH($G207,LOT_KEY,0)),"")="","",INDEX(LOT_ETAT,MATCH($G207,LOT_KEY,0))))</f>
        <v/>
      </c>
      <c r="M207" s="73" t="n">
        <f aca="false">IF(OR(OPERATIONS!$O207=0,OPERATIONS!$C207="RECEPTION",OPERATIONS!$C207="AJUSTEMENT"),0,-OPERATIONS!$G207)</f>
        <v>0</v>
      </c>
      <c r="N207" s="73" t="n">
        <f aca="false">IF($M207=0,0,OPERATIONS!$R207*$M207)</f>
        <v>0</v>
      </c>
      <c r="O207" s="26" t="str">
        <f aca="false">IF($M207=0,"",OPERATIONS!$Q207)</f>
        <v/>
      </c>
      <c r="P207" s="26" t="str">
        <f aca="false">IF($G207="","",IF($G207=R_LOT,COUNTIF($G$5:$G207,R_LOT),""))</f>
        <v/>
      </c>
    </row>
    <row r="208" customFormat="false" ht="15" hidden="false" customHeight="false" outlineLevel="0" collapsed="false">
      <c r="A208" s="28" t="str">
        <f aca="false">IF($M208=0,"",ROW()-4)</f>
        <v/>
      </c>
      <c r="B208" s="26" t="str">
        <f aca="false">IF($M208=0,"","OPERATIONS")</f>
        <v/>
      </c>
      <c r="C208" s="26" t="str">
        <f aca="false">IF($M208=0,"",OPERATIONS!$A208)</f>
        <v/>
      </c>
      <c r="D208" s="31" t="str">
        <f aca="false">IF($M208=0,"",OPERATIONS!$B208)</f>
        <v/>
      </c>
      <c r="E208" s="26" t="str">
        <f aca="false">IF($M208=0,"","SORTIE")</f>
        <v/>
      </c>
      <c r="F208" s="26" t="str">
        <f aca="false">IF($M208=0,"",OPERATIONS!$C208)</f>
        <v/>
      </c>
      <c r="G208" s="26" t="str">
        <f aca="false">IF($M208=0,"",OPERATIONS!$D208)</f>
        <v/>
      </c>
      <c r="H208" s="26" t="str">
        <f aca="false">IF($G208="","",IFERROR(INDEX(LOT_EXTE,MATCH($G208,LOT_KEY,0)),""))</f>
        <v/>
      </c>
      <c r="I208" s="26" t="str">
        <f aca="false">IF($M208=0,"",OPERATIONS!$E208)</f>
        <v/>
      </c>
      <c r="J208" s="26" t="str">
        <f aca="false">IF($I208="","",IFERROR(INDEX(EMPL_CLASSE,MATCH($I208,EMPL_KEY,0)),""))</f>
        <v/>
      </c>
      <c r="K208" s="26" t="str">
        <f aca="false">IF($M208=0,"",OPERATIONS!$K208)</f>
        <v/>
      </c>
      <c r="L208" s="26" t="str">
        <f aca="false">IF($G208="","",IF(IFERROR(INDEX(LOT_ETAT,MATCH($G208,LOT_KEY,0)),"")="","",INDEX(LOT_ETAT,MATCH($G208,LOT_KEY,0))))</f>
        <v/>
      </c>
      <c r="M208" s="73" t="n">
        <f aca="false">IF(OR(OPERATIONS!$O208=0,OPERATIONS!$C208="RECEPTION",OPERATIONS!$C208="AJUSTEMENT"),0,-OPERATIONS!$G208)</f>
        <v>0</v>
      </c>
      <c r="N208" s="73" t="n">
        <f aca="false">IF($M208=0,0,OPERATIONS!$R208*$M208)</f>
        <v>0</v>
      </c>
      <c r="O208" s="26" t="str">
        <f aca="false">IF($M208=0,"",OPERATIONS!$Q208)</f>
        <v/>
      </c>
      <c r="P208" s="26" t="str">
        <f aca="false">IF($G208="","",IF($G208=R_LOT,COUNTIF($G$5:$G208,R_LOT),""))</f>
        <v/>
      </c>
    </row>
    <row r="209" customFormat="false" ht="15" hidden="false" customHeight="false" outlineLevel="0" collapsed="false">
      <c r="A209" s="28" t="str">
        <f aca="false">IF($M209=0,"",ROW()-4)</f>
        <v/>
      </c>
      <c r="B209" s="26" t="str">
        <f aca="false">IF($M209=0,"","OPERATIONS")</f>
        <v/>
      </c>
      <c r="C209" s="26" t="str">
        <f aca="false">IF($M209=0,"",OPERATIONS!$A209)</f>
        <v/>
      </c>
      <c r="D209" s="31" t="str">
        <f aca="false">IF($M209=0,"",OPERATIONS!$B209)</f>
        <v/>
      </c>
      <c r="E209" s="26" t="str">
        <f aca="false">IF($M209=0,"","SORTIE")</f>
        <v/>
      </c>
      <c r="F209" s="26" t="str">
        <f aca="false">IF($M209=0,"",OPERATIONS!$C209)</f>
        <v/>
      </c>
      <c r="G209" s="26" t="str">
        <f aca="false">IF($M209=0,"",OPERATIONS!$D209)</f>
        <v/>
      </c>
      <c r="H209" s="26" t="str">
        <f aca="false">IF($G209="","",IFERROR(INDEX(LOT_EXTE,MATCH($G209,LOT_KEY,0)),""))</f>
        <v/>
      </c>
      <c r="I209" s="26" t="str">
        <f aca="false">IF($M209=0,"",OPERATIONS!$E209)</f>
        <v/>
      </c>
      <c r="J209" s="26" t="str">
        <f aca="false">IF($I209="","",IFERROR(INDEX(EMPL_CLASSE,MATCH($I209,EMPL_KEY,0)),""))</f>
        <v/>
      </c>
      <c r="K209" s="26" t="str">
        <f aca="false">IF($M209=0,"",OPERATIONS!$K209)</f>
        <v/>
      </c>
      <c r="L209" s="26" t="str">
        <f aca="false">IF($G209="","",IF(IFERROR(INDEX(LOT_ETAT,MATCH($G209,LOT_KEY,0)),"")="","",INDEX(LOT_ETAT,MATCH($G209,LOT_KEY,0))))</f>
        <v/>
      </c>
      <c r="M209" s="73" t="n">
        <f aca="false">IF(OR(OPERATIONS!$O209=0,OPERATIONS!$C209="RECEPTION",OPERATIONS!$C209="AJUSTEMENT"),0,-OPERATIONS!$G209)</f>
        <v>0</v>
      </c>
      <c r="N209" s="73" t="n">
        <f aca="false">IF($M209=0,0,OPERATIONS!$R209*$M209)</f>
        <v>0</v>
      </c>
      <c r="O209" s="26" t="str">
        <f aca="false">IF($M209=0,"",OPERATIONS!$Q209)</f>
        <v/>
      </c>
      <c r="P209" s="26" t="str">
        <f aca="false">IF($G209="","",IF($G209=R_LOT,COUNTIF($G$5:$G209,R_LOT),""))</f>
        <v/>
      </c>
    </row>
    <row r="210" customFormat="false" ht="15" hidden="false" customHeight="false" outlineLevel="0" collapsed="false">
      <c r="A210" s="28" t="str">
        <f aca="false">IF($M210=0,"",ROW()-4)</f>
        <v/>
      </c>
      <c r="B210" s="26" t="str">
        <f aca="false">IF($M210=0,"","OPERATIONS")</f>
        <v/>
      </c>
      <c r="C210" s="26" t="str">
        <f aca="false">IF($M210=0,"",OPERATIONS!$A210)</f>
        <v/>
      </c>
      <c r="D210" s="31" t="str">
        <f aca="false">IF($M210=0,"",OPERATIONS!$B210)</f>
        <v/>
      </c>
      <c r="E210" s="26" t="str">
        <f aca="false">IF($M210=0,"","SORTIE")</f>
        <v/>
      </c>
      <c r="F210" s="26" t="str">
        <f aca="false">IF($M210=0,"",OPERATIONS!$C210)</f>
        <v/>
      </c>
      <c r="G210" s="26" t="str">
        <f aca="false">IF($M210=0,"",OPERATIONS!$D210)</f>
        <v/>
      </c>
      <c r="H210" s="26" t="str">
        <f aca="false">IF($G210="","",IFERROR(INDEX(LOT_EXTE,MATCH($G210,LOT_KEY,0)),""))</f>
        <v/>
      </c>
      <c r="I210" s="26" t="str">
        <f aca="false">IF($M210=0,"",OPERATIONS!$E210)</f>
        <v/>
      </c>
      <c r="J210" s="26" t="str">
        <f aca="false">IF($I210="","",IFERROR(INDEX(EMPL_CLASSE,MATCH($I210,EMPL_KEY,0)),""))</f>
        <v/>
      </c>
      <c r="K210" s="26" t="str">
        <f aca="false">IF($M210=0,"",OPERATIONS!$K210)</f>
        <v/>
      </c>
      <c r="L210" s="26" t="str">
        <f aca="false">IF($G210="","",IF(IFERROR(INDEX(LOT_ETAT,MATCH($G210,LOT_KEY,0)),"")="","",INDEX(LOT_ETAT,MATCH($G210,LOT_KEY,0))))</f>
        <v/>
      </c>
      <c r="M210" s="73" t="n">
        <f aca="false">IF(OR(OPERATIONS!$O210=0,OPERATIONS!$C210="RECEPTION",OPERATIONS!$C210="AJUSTEMENT"),0,-OPERATIONS!$G210)</f>
        <v>0</v>
      </c>
      <c r="N210" s="73" t="n">
        <f aca="false">IF($M210=0,0,OPERATIONS!$R210*$M210)</f>
        <v>0</v>
      </c>
      <c r="O210" s="26" t="str">
        <f aca="false">IF($M210=0,"",OPERATIONS!$Q210)</f>
        <v/>
      </c>
      <c r="P210" s="26" t="str">
        <f aca="false">IF($G210="","",IF($G210=R_LOT,COUNTIF($G$5:$G210,R_LOT),""))</f>
        <v/>
      </c>
    </row>
    <row r="211" customFormat="false" ht="15" hidden="false" customHeight="false" outlineLevel="0" collapsed="false">
      <c r="A211" s="28" t="str">
        <f aca="false">IF($M211=0,"",ROW()-4)</f>
        <v/>
      </c>
      <c r="B211" s="26" t="str">
        <f aca="false">IF($M211=0,"","OPERATIONS")</f>
        <v/>
      </c>
      <c r="C211" s="26" t="str">
        <f aca="false">IF($M211=0,"",OPERATIONS!$A211)</f>
        <v/>
      </c>
      <c r="D211" s="31" t="str">
        <f aca="false">IF($M211=0,"",OPERATIONS!$B211)</f>
        <v/>
      </c>
      <c r="E211" s="26" t="str">
        <f aca="false">IF($M211=0,"","SORTIE")</f>
        <v/>
      </c>
      <c r="F211" s="26" t="str">
        <f aca="false">IF($M211=0,"",OPERATIONS!$C211)</f>
        <v/>
      </c>
      <c r="G211" s="26" t="str">
        <f aca="false">IF($M211=0,"",OPERATIONS!$D211)</f>
        <v/>
      </c>
      <c r="H211" s="26" t="str">
        <f aca="false">IF($G211="","",IFERROR(INDEX(LOT_EXTE,MATCH($G211,LOT_KEY,0)),""))</f>
        <v/>
      </c>
      <c r="I211" s="26" t="str">
        <f aca="false">IF($M211=0,"",OPERATIONS!$E211)</f>
        <v/>
      </c>
      <c r="J211" s="26" t="str">
        <f aca="false">IF($I211="","",IFERROR(INDEX(EMPL_CLASSE,MATCH($I211,EMPL_KEY,0)),""))</f>
        <v/>
      </c>
      <c r="K211" s="26" t="str">
        <f aca="false">IF($M211=0,"",OPERATIONS!$K211)</f>
        <v/>
      </c>
      <c r="L211" s="26" t="str">
        <f aca="false">IF($G211="","",IF(IFERROR(INDEX(LOT_ETAT,MATCH($G211,LOT_KEY,0)),"")="","",INDEX(LOT_ETAT,MATCH($G211,LOT_KEY,0))))</f>
        <v/>
      </c>
      <c r="M211" s="73" t="n">
        <f aca="false">IF(OR(OPERATIONS!$O211=0,OPERATIONS!$C211="RECEPTION",OPERATIONS!$C211="AJUSTEMENT"),0,-OPERATIONS!$G211)</f>
        <v>0</v>
      </c>
      <c r="N211" s="73" t="n">
        <f aca="false">IF($M211=0,0,OPERATIONS!$R211*$M211)</f>
        <v>0</v>
      </c>
      <c r="O211" s="26" t="str">
        <f aca="false">IF($M211=0,"",OPERATIONS!$Q211)</f>
        <v/>
      </c>
      <c r="P211" s="26" t="str">
        <f aca="false">IF($G211="","",IF($G211=R_LOT,COUNTIF($G$5:$G211,R_LOT),""))</f>
        <v/>
      </c>
    </row>
    <row r="212" customFormat="false" ht="15" hidden="false" customHeight="false" outlineLevel="0" collapsed="false">
      <c r="A212" s="28" t="str">
        <f aca="false">IF($M212=0,"",ROW()-4)</f>
        <v/>
      </c>
      <c r="B212" s="26" t="str">
        <f aca="false">IF($M212=0,"","OPERATIONS")</f>
        <v/>
      </c>
      <c r="C212" s="26" t="str">
        <f aca="false">IF($M212=0,"",OPERATIONS!$A212)</f>
        <v/>
      </c>
      <c r="D212" s="31" t="str">
        <f aca="false">IF($M212=0,"",OPERATIONS!$B212)</f>
        <v/>
      </c>
      <c r="E212" s="26" t="str">
        <f aca="false">IF($M212=0,"","SORTIE")</f>
        <v/>
      </c>
      <c r="F212" s="26" t="str">
        <f aca="false">IF($M212=0,"",OPERATIONS!$C212)</f>
        <v/>
      </c>
      <c r="G212" s="26" t="str">
        <f aca="false">IF($M212=0,"",OPERATIONS!$D212)</f>
        <v/>
      </c>
      <c r="H212" s="26" t="str">
        <f aca="false">IF($G212="","",IFERROR(INDEX(LOT_EXTE,MATCH($G212,LOT_KEY,0)),""))</f>
        <v/>
      </c>
      <c r="I212" s="26" t="str">
        <f aca="false">IF($M212=0,"",OPERATIONS!$E212)</f>
        <v/>
      </c>
      <c r="J212" s="26" t="str">
        <f aca="false">IF($I212="","",IFERROR(INDEX(EMPL_CLASSE,MATCH($I212,EMPL_KEY,0)),""))</f>
        <v/>
      </c>
      <c r="K212" s="26" t="str">
        <f aca="false">IF($M212=0,"",OPERATIONS!$K212)</f>
        <v/>
      </c>
      <c r="L212" s="26" t="str">
        <f aca="false">IF($G212="","",IF(IFERROR(INDEX(LOT_ETAT,MATCH($G212,LOT_KEY,0)),"")="","",INDEX(LOT_ETAT,MATCH($G212,LOT_KEY,0))))</f>
        <v/>
      </c>
      <c r="M212" s="73" t="n">
        <f aca="false">IF(OR(OPERATIONS!$O212=0,OPERATIONS!$C212="RECEPTION",OPERATIONS!$C212="AJUSTEMENT"),0,-OPERATIONS!$G212)</f>
        <v>0</v>
      </c>
      <c r="N212" s="73" t="n">
        <f aca="false">IF($M212=0,0,OPERATIONS!$R212*$M212)</f>
        <v>0</v>
      </c>
      <c r="O212" s="26" t="str">
        <f aca="false">IF($M212=0,"",OPERATIONS!$Q212)</f>
        <v/>
      </c>
      <c r="P212" s="26" t="str">
        <f aca="false">IF($G212="","",IF($G212=R_LOT,COUNTIF($G$5:$G212,R_LOT),""))</f>
        <v/>
      </c>
    </row>
    <row r="213" customFormat="false" ht="15" hidden="false" customHeight="false" outlineLevel="0" collapsed="false">
      <c r="A213" s="28" t="str">
        <f aca="false">IF($M213=0,"",ROW()-4)</f>
        <v/>
      </c>
      <c r="B213" s="26" t="str">
        <f aca="false">IF($M213=0,"","OPERATIONS")</f>
        <v/>
      </c>
      <c r="C213" s="26" t="str">
        <f aca="false">IF($M213=0,"",OPERATIONS!$A213)</f>
        <v/>
      </c>
      <c r="D213" s="31" t="str">
        <f aca="false">IF($M213=0,"",OPERATIONS!$B213)</f>
        <v/>
      </c>
      <c r="E213" s="26" t="str">
        <f aca="false">IF($M213=0,"","SORTIE")</f>
        <v/>
      </c>
      <c r="F213" s="26" t="str">
        <f aca="false">IF($M213=0,"",OPERATIONS!$C213)</f>
        <v/>
      </c>
      <c r="G213" s="26" t="str">
        <f aca="false">IF($M213=0,"",OPERATIONS!$D213)</f>
        <v/>
      </c>
      <c r="H213" s="26" t="str">
        <f aca="false">IF($G213="","",IFERROR(INDEX(LOT_EXTE,MATCH($G213,LOT_KEY,0)),""))</f>
        <v/>
      </c>
      <c r="I213" s="26" t="str">
        <f aca="false">IF($M213=0,"",OPERATIONS!$E213)</f>
        <v/>
      </c>
      <c r="J213" s="26" t="str">
        <f aca="false">IF($I213="","",IFERROR(INDEX(EMPL_CLASSE,MATCH($I213,EMPL_KEY,0)),""))</f>
        <v/>
      </c>
      <c r="K213" s="26" t="str">
        <f aca="false">IF($M213=0,"",OPERATIONS!$K213)</f>
        <v/>
      </c>
      <c r="L213" s="26" t="str">
        <f aca="false">IF($G213="","",IF(IFERROR(INDEX(LOT_ETAT,MATCH($G213,LOT_KEY,0)),"")="","",INDEX(LOT_ETAT,MATCH($G213,LOT_KEY,0))))</f>
        <v/>
      </c>
      <c r="M213" s="73" t="n">
        <f aca="false">IF(OR(OPERATIONS!$O213=0,OPERATIONS!$C213="RECEPTION",OPERATIONS!$C213="AJUSTEMENT"),0,-OPERATIONS!$G213)</f>
        <v>0</v>
      </c>
      <c r="N213" s="73" t="n">
        <f aca="false">IF($M213=0,0,OPERATIONS!$R213*$M213)</f>
        <v>0</v>
      </c>
      <c r="O213" s="26" t="str">
        <f aca="false">IF($M213=0,"",OPERATIONS!$Q213)</f>
        <v/>
      </c>
      <c r="P213" s="26" t="str">
        <f aca="false">IF($G213="","",IF($G213=R_LOT,COUNTIF($G$5:$G213,R_LOT),""))</f>
        <v/>
      </c>
    </row>
    <row r="214" customFormat="false" ht="15" hidden="false" customHeight="false" outlineLevel="0" collapsed="false">
      <c r="A214" s="28" t="str">
        <f aca="false">IF($M214=0,"",ROW()-4)</f>
        <v/>
      </c>
      <c r="B214" s="26" t="str">
        <f aca="false">IF($M214=0,"","OPERATIONS")</f>
        <v/>
      </c>
      <c r="C214" s="26" t="str">
        <f aca="false">IF($M214=0,"",OPERATIONS!$A214)</f>
        <v/>
      </c>
      <c r="D214" s="31" t="str">
        <f aca="false">IF($M214=0,"",OPERATIONS!$B214)</f>
        <v/>
      </c>
      <c r="E214" s="26" t="str">
        <f aca="false">IF($M214=0,"","SORTIE")</f>
        <v/>
      </c>
      <c r="F214" s="26" t="str">
        <f aca="false">IF($M214=0,"",OPERATIONS!$C214)</f>
        <v/>
      </c>
      <c r="G214" s="26" t="str">
        <f aca="false">IF($M214=0,"",OPERATIONS!$D214)</f>
        <v/>
      </c>
      <c r="H214" s="26" t="str">
        <f aca="false">IF($G214="","",IFERROR(INDEX(LOT_EXTE,MATCH($G214,LOT_KEY,0)),""))</f>
        <v/>
      </c>
      <c r="I214" s="26" t="str">
        <f aca="false">IF($M214=0,"",OPERATIONS!$E214)</f>
        <v/>
      </c>
      <c r="J214" s="26" t="str">
        <f aca="false">IF($I214="","",IFERROR(INDEX(EMPL_CLASSE,MATCH($I214,EMPL_KEY,0)),""))</f>
        <v/>
      </c>
      <c r="K214" s="26" t="str">
        <f aca="false">IF($M214=0,"",OPERATIONS!$K214)</f>
        <v/>
      </c>
      <c r="L214" s="26" t="str">
        <f aca="false">IF($G214="","",IF(IFERROR(INDEX(LOT_ETAT,MATCH($G214,LOT_KEY,0)),"")="","",INDEX(LOT_ETAT,MATCH($G214,LOT_KEY,0))))</f>
        <v/>
      </c>
      <c r="M214" s="73" t="n">
        <f aca="false">IF(OR(OPERATIONS!$O214=0,OPERATIONS!$C214="RECEPTION",OPERATIONS!$C214="AJUSTEMENT"),0,-OPERATIONS!$G214)</f>
        <v>0</v>
      </c>
      <c r="N214" s="73" t="n">
        <f aca="false">IF($M214=0,0,OPERATIONS!$R214*$M214)</f>
        <v>0</v>
      </c>
      <c r="O214" s="26" t="str">
        <f aca="false">IF($M214=0,"",OPERATIONS!$Q214)</f>
        <v/>
      </c>
      <c r="P214" s="26" t="str">
        <f aca="false">IF($G214="","",IF($G214=R_LOT,COUNTIF($G$5:$G214,R_LOT),""))</f>
        <v/>
      </c>
    </row>
    <row r="215" customFormat="false" ht="15" hidden="false" customHeight="false" outlineLevel="0" collapsed="false">
      <c r="A215" s="28" t="str">
        <f aca="false">IF($M215=0,"",ROW()-4)</f>
        <v/>
      </c>
      <c r="B215" s="26" t="str">
        <f aca="false">IF($M215=0,"","OPERATIONS")</f>
        <v/>
      </c>
      <c r="C215" s="26" t="str">
        <f aca="false">IF($M215=0,"",OPERATIONS!$A215)</f>
        <v/>
      </c>
      <c r="D215" s="31" t="str">
        <f aca="false">IF($M215=0,"",OPERATIONS!$B215)</f>
        <v/>
      </c>
      <c r="E215" s="26" t="str">
        <f aca="false">IF($M215=0,"","SORTIE")</f>
        <v/>
      </c>
      <c r="F215" s="26" t="str">
        <f aca="false">IF($M215=0,"",OPERATIONS!$C215)</f>
        <v/>
      </c>
      <c r="G215" s="26" t="str">
        <f aca="false">IF($M215=0,"",OPERATIONS!$D215)</f>
        <v/>
      </c>
      <c r="H215" s="26" t="str">
        <f aca="false">IF($G215="","",IFERROR(INDEX(LOT_EXTE,MATCH($G215,LOT_KEY,0)),""))</f>
        <v/>
      </c>
      <c r="I215" s="26" t="str">
        <f aca="false">IF($M215=0,"",OPERATIONS!$E215)</f>
        <v/>
      </c>
      <c r="J215" s="26" t="str">
        <f aca="false">IF($I215="","",IFERROR(INDEX(EMPL_CLASSE,MATCH($I215,EMPL_KEY,0)),""))</f>
        <v/>
      </c>
      <c r="K215" s="26" t="str">
        <f aca="false">IF($M215=0,"",OPERATIONS!$K215)</f>
        <v/>
      </c>
      <c r="L215" s="26" t="str">
        <f aca="false">IF($G215="","",IF(IFERROR(INDEX(LOT_ETAT,MATCH($G215,LOT_KEY,0)),"")="","",INDEX(LOT_ETAT,MATCH($G215,LOT_KEY,0))))</f>
        <v/>
      </c>
      <c r="M215" s="73" t="n">
        <f aca="false">IF(OR(OPERATIONS!$O215=0,OPERATIONS!$C215="RECEPTION",OPERATIONS!$C215="AJUSTEMENT"),0,-OPERATIONS!$G215)</f>
        <v>0</v>
      </c>
      <c r="N215" s="73" t="n">
        <f aca="false">IF($M215=0,0,OPERATIONS!$R215*$M215)</f>
        <v>0</v>
      </c>
      <c r="O215" s="26" t="str">
        <f aca="false">IF($M215=0,"",OPERATIONS!$Q215)</f>
        <v/>
      </c>
      <c r="P215" s="26" t="str">
        <f aca="false">IF($G215="","",IF($G215=R_LOT,COUNTIF($G$5:$G215,R_LOT),""))</f>
        <v/>
      </c>
    </row>
    <row r="216" customFormat="false" ht="15" hidden="false" customHeight="false" outlineLevel="0" collapsed="false">
      <c r="A216" s="28" t="str">
        <f aca="false">IF($M216=0,"",ROW()-4)</f>
        <v/>
      </c>
      <c r="B216" s="26" t="str">
        <f aca="false">IF($M216=0,"","OPERATIONS")</f>
        <v/>
      </c>
      <c r="C216" s="26" t="str">
        <f aca="false">IF($M216=0,"",OPERATIONS!$A216)</f>
        <v/>
      </c>
      <c r="D216" s="31" t="str">
        <f aca="false">IF($M216=0,"",OPERATIONS!$B216)</f>
        <v/>
      </c>
      <c r="E216" s="26" t="str">
        <f aca="false">IF($M216=0,"","SORTIE")</f>
        <v/>
      </c>
      <c r="F216" s="26" t="str">
        <f aca="false">IF($M216=0,"",OPERATIONS!$C216)</f>
        <v/>
      </c>
      <c r="G216" s="26" t="str">
        <f aca="false">IF($M216=0,"",OPERATIONS!$D216)</f>
        <v/>
      </c>
      <c r="H216" s="26" t="str">
        <f aca="false">IF($G216="","",IFERROR(INDEX(LOT_EXTE,MATCH($G216,LOT_KEY,0)),""))</f>
        <v/>
      </c>
      <c r="I216" s="26" t="str">
        <f aca="false">IF($M216=0,"",OPERATIONS!$E216)</f>
        <v/>
      </c>
      <c r="J216" s="26" t="str">
        <f aca="false">IF($I216="","",IFERROR(INDEX(EMPL_CLASSE,MATCH($I216,EMPL_KEY,0)),""))</f>
        <v/>
      </c>
      <c r="K216" s="26" t="str">
        <f aca="false">IF($M216=0,"",OPERATIONS!$K216)</f>
        <v/>
      </c>
      <c r="L216" s="26" t="str">
        <f aca="false">IF($G216="","",IF(IFERROR(INDEX(LOT_ETAT,MATCH($G216,LOT_KEY,0)),"")="","",INDEX(LOT_ETAT,MATCH($G216,LOT_KEY,0))))</f>
        <v/>
      </c>
      <c r="M216" s="73" t="n">
        <f aca="false">IF(OR(OPERATIONS!$O216=0,OPERATIONS!$C216="RECEPTION",OPERATIONS!$C216="AJUSTEMENT"),0,-OPERATIONS!$G216)</f>
        <v>0</v>
      </c>
      <c r="N216" s="73" t="n">
        <f aca="false">IF($M216=0,0,OPERATIONS!$R216*$M216)</f>
        <v>0</v>
      </c>
      <c r="O216" s="26" t="str">
        <f aca="false">IF($M216=0,"",OPERATIONS!$Q216)</f>
        <v/>
      </c>
      <c r="P216" s="26" t="str">
        <f aca="false">IF($G216="","",IF($G216=R_LOT,COUNTIF($G$5:$G216,R_LOT),""))</f>
        <v/>
      </c>
    </row>
    <row r="217" customFormat="false" ht="15" hidden="false" customHeight="false" outlineLevel="0" collapsed="false">
      <c r="A217" s="28" t="str">
        <f aca="false">IF($M217=0,"",ROW()-4)</f>
        <v/>
      </c>
      <c r="B217" s="26" t="str">
        <f aca="false">IF($M217=0,"","OPERATIONS")</f>
        <v/>
      </c>
      <c r="C217" s="26" t="str">
        <f aca="false">IF($M217=0,"",OPERATIONS!$A217)</f>
        <v/>
      </c>
      <c r="D217" s="31" t="str">
        <f aca="false">IF($M217=0,"",OPERATIONS!$B217)</f>
        <v/>
      </c>
      <c r="E217" s="26" t="str">
        <f aca="false">IF($M217=0,"","SORTIE")</f>
        <v/>
      </c>
      <c r="F217" s="26" t="str">
        <f aca="false">IF($M217=0,"",OPERATIONS!$C217)</f>
        <v/>
      </c>
      <c r="G217" s="26" t="str">
        <f aca="false">IF($M217=0,"",OPERATIONS!$D217)</f>
        <v/>
      </c>
      <c r="H217" s="26" t="str">
        <f aca="false">IF($G217="","",IFERROR(INDEX(LOT_EXTE,MATCH($G217,LOT_KEY,0)),""))</f>
        <v/>
      </c>
      <c r="I217" s="26" t="str">
        <f aca="false">IF($M217=0,"",OPERATIONS!$E217)</f>
        <v/>
      </c>
      <c r="J217" s="26" t="str">
        <f aca="false">IF($I217="","",IFERROR(INDEX(EMPL_CLASSE,MATCH($I217,EMPL_KEY,0)),""))</f>
        <v/>
      </c>
      <c r="K217" s="26" t="str">
        <f aca="false">IF($M217=0,"",OPERATIONS!$K217)</f>
        <v/>
      </c>
      <c r="L217" s="26" t="str">
        <f aca="false">IF($G217="","",IF(IFERROR(INDEX(LOT_ETAT,MATCH($G217,LOT_KEY,0)),"")="","",INDEX(LOT_ETAT,MATCH($G217,LOT_KEY,0))))</f>
        <v/>
      </c>
      <c r="M217" s="73" t="n">
        <f aca="false">IF(OR(OPERATIONS!$O217=0,OPERATIONS!$C217="RECEPTION",OPERATIONS!$C217="AJUSTEMENT"),0,-OPERATIONS!$G217)</f>
        <v>0</v>
      </c>
      <c r="N217" s="73" t="n">
        <f aca="false">IF($M217=0,0,OPERATIONS!$R217*$M217)</f>
        <v>0</v>
      </c>
      <c r="O217" s="26" t="str">
        <f aca="false">IF($M217=0,"",OPERATIONS!$Q217)</f>
        <v/>
      </c>
      <c r="P217" s="26" t="str">
        <f aca="false">IF($G217="","",IF($G217=R_LOT,COUNTIF($G$5:$G217,R_LOT),""))</f>
        <v/>
      </c>
    </row>
    <row r="218" customFormat="false" ht="15" hidden="false" customHeight="false" outlineLevel="0" collapsed="false">
      <c r="A218" s="28" t="str">
        <f aca="false">IF($M218=0,"",ROW()-4)</f>
        <v/>
      </c>
      <c r="B218" s="26" t="str">
        <f aca="false">IF($M218=0,"","OPERATIONS")</f>
        <v/>
      </c>
      <c r="C218" s="26" t="str">
        <f aca="false">IF($M218=0,"",OPERATIONS!$A218)</f>
        <v/>
      </c>
      <c r="D218" s="31" t="str">
        <f aca="false">IF($M218=0,"",OPERATIONS!$B218)</f>
        <v/>
      </c>
      <c r="E218" s="26" t="str">
        <f aca="false">IF($M218=0,"","SORTIE")</f>
        <v/>
      </c>
      <c r="F218" s="26" t="str">
        <f aca="false">IF($M218=0,"",OPERATIONS!$C218)</f>
        <v/>
      </c>
      <c r="G218" s="26" t="str">
        <f aca="false">IF($M218=0,"",OPERATIONS!$D218)</f>
        <v/>
      </c>
      <c r="H218" s="26" t="str">
        <f aca="false">IF($G218="","",IFERROR(INDEX(LOT_EXTE,MATCH($G218,LOT_KEY,0)),""))</f>
        <v/>
      </c>
      <c r="I218" s="26" t="str">
        <f aca="false">IF($M218=0,"",OPERATIONS!$E218)</f>
        <v/>
      </c>
      <c r="J218" s="26" t="str">
        <f aca="false">IF($I218="","",IFERROR(INDEX(EMPL_CLASSE,MATCH($I218,EMPL_KEY,0)),""))</f>
        <v/>
      </c>
      <c r="K218" s="26" t="str">
        <f aca="false">IF($M218=0,"",OPERATIONS!$K218)</f>
        <v/>
      </c>
      <c r="L218" s="26" t="str">
        <f aca="false">IF($G218="","",IF(IFERROR(INDEX(LOT_ETAT,MATCH($G218,LOT_KEY,0)),"")="","",INDEX(LOT_ETAT,MATCH($G218,LOT_KEY,0))))</f>
        <v/>
      </c>
      <c r="M218" s="73" t="n">
        <f aca="false">IF(OR(OPERATIONS!$O218=0,OPERATIONS!$C218="RECEPTION",OPERATIONS!$C218="AJUSTEMENT"),0,-OPERATIONS!$G218)</f>
        <v>0</v>
      </c>
      <c r="N218" s="73" t="n">
        <f aca="false">IF($M218=0,0,OPERATIONS!$R218*$M218)</f>
        <v>0</v>
      </c>
      <c r="O218" s="26" t="str">
        <f aca="false">IF($M218=0,"",OPERATIONS!$Q218)</f>
        <v/>
      </c>
      <c r="P218" s="26" t="str">
        <f aca="false">IF($G218="","",IF($G218=R_LOT,COUNTIF($G$5:$G218,R_LOT),""))</f>
        <v/>
      </c>
    </row>
    <row r="219" customFormat="false" ht="15" hidden="false" customHeight="false" outlineLevel="0" collapsed="false">
      <c r="A219" s="28" t="str">
        <f aca="false">IF($M219=0,"",ROW()-4)</f>
        <v/>
      </c>
      <c r="B219" s="26" t="str">
        <f aca="false">IF($M219=0,"","OPERATIONS")</f>
        <v/>
      </c>
      <c r="C219" s="26" t="str">
        <f aca="false">IF($M219=0,"",OPERATIONS!$A219)</f>
        <v/>
      </c>
      <c r="D219" s="31" t="str">
        <f aca="false">IF($M219=0,"",OPERATIONS!$B219)</f>
        <v/>
      </c>
      <c r="E219" s="26" t="str">
        <f aca="false">IF($M219=0,"","SORTIE")</f>
        <v/>
      </c>
      <c r="F219" s="26" t="str">
        <f aca="false">IF($M219=0,"",OPERATIONS!$C219)</f>
        <v/>
      </c>
      <c r="G219" s="26" t="str">
        <f aca="false">IF($M219=0,"",OPERATIONS!$D219)</f>
        <v/>
      </c>
      <c r="H219" s="26" t="str">
        <f aca="false">IF($G219="","",IFERROR(INDEX(LOT_EXTE,MATCH($G219,LOT_KEY,0)),""))</f>
        <v/>
      </c>
      <c r="I219" s="26" t="str">
        <f aca="false">IF($M219=0,"",OPERATIONS!$E219)</f>
        <v/>
      </c>
      <c r="J219" s="26" t="str">
        <f aca="false">IF($I219="","",IFERROR(INDEX(EMPL_CLASSE,MATCH($I219,EMPL_KEY,0)),""))</f>
        <v/>
      </c>
      <c r="K219" s="26" t="str">
        <f aca="false">IF($M219=0,"",OPERATIONS!$K219)</f>
        <v/>
      </c>
      <c r="L219" s="26" t="str">
        <f aca="false">IF($G219="","",IF(IFERROR(INDEX(LOT_ETAT,MATCH($G219,LOT_KEY,0)),"")="","",INDEX(LOT_ETAT,MATCH($G219,LOT_KEY,0))))</f>
        <v/>
      </c>
      <c r="M219" s="73" t="n">
        <f aca="false">IF(OR(OPERATIONS!$O219=0,OPERATIONS!$C219="RECEPTION",OPERATIONS!$C219="AJUSTEMENT"),0,-OPERATIONS!$G219)</f>
        <v>0</v>
      </c>
      <c r="N219" s="73" t="n">
        <f aca="false">IF($M219=0,0,OPERATIONS!$R219*$M219)</f>
        <v>0</v>
      </c>
      <c r="O219" s="26" t="str">
        <f aca="false">IF($M219=0,"",OPERATIONS!$Q219)</f>
        <v/>
      </c>
      <c r="P219" s="26" t="str">
        <f aca="false">IF($G219="","",IF($G219=R_LOT,COUNTIF($G$5:$G219,R_LOT),""))</f>
        <v/>
      </c>
    </row>
    <row r="220" customFormat="false" ht="15" hidden="false" customHeight="false" outlineLevel="0" collapsed="false">
      <c r="A220" s="28" t="str">
        <f aca="false">IF($M220=0,"",ROW()-4)</f>
        <v/>
      </c>
      <c r="B220" s="26" t="str">
        <f aca="false">IF($M220=0,"","OPERATIONS")</f>
        <v/>
      </c>
      <c r="C220" s="26" t="str">
        <f aca="false">IF($M220=0,"",OPERATIONS!$A220)</f>
        <v/>
      </c>
      <c r="D220" s="31" t="str">
        <f aca="false">IF($M220=0,"",OPERATIONS!$B220)</f>
        <v/>
      </c>
      <c r="E220" s="26" t="str">
        <f aca="false">IF($M220=0,"","SORTIE")</f>
        <v/>
      </c>
      <c r="F220" s="26" t="str">
        <f aca="false">IF($M220=0,"",OPERATIONS!$C220)</f>
        <v/>
      </c>
      <c r="G220" s="26" t="str">
        <f aca="false">IF($M220=0,"",OPERATIONS!$D220)</f>
        <v/>
      </c>
      <c r="H220" s="26" t="str">
        <f aca="false">IF($G220="","",IFERROR(INDEX(LOT_EXTE,MATCH($G220,LOT_KEY,0)),""))</f>
        <v/>
      </c>
      <c r="I220" s="26" t="str">
        <f aca="false">IF($M220=0,"",OPERATIONS!$E220)</f>
        <v/>
      </c>
      <c r="J220" s="26" t="str">
        <f aca="false">IF($I220="","",IFERROR(INDEX(EMPL_CLASSE,MATCH($I220,EMPL_KEY,0)),""))</f>
        <v/>
      </c>
      <c r="K220" s="26" t="str">
        <f aca="false">IF($M220=0,"",OPERATIONS!$K220)</f>
        <v/>
      </c>
      <c r="L220" s="26" t="str">
        <f aca="false">IF($G220="","",IF(IFERROR(INDEX(LOT_ETAT,MATCH($G220,LOT_KEY,0)),"")="","",INDEX(LOT_ETAT,MATCH($G220,LOT_KEY,0))))</f>
        <v/>
      </c>
      <c r="M220" s="73" t="n">
        <f aca="false">IF(OR(OPERATIONS!$O220=0,OPERATIONS!$C220="RECEPTION",OPERATIONS!$C220="AJUSTEMENT"),0,-OPERATIONS!$G220)</f>
        <v>0</v>
      </c>
      <c r="N220" s="73" t="n">
        <f aca="false">IF($M220=0,0,OPERATIONS!$R220*$M220)</f>
        <v>0</v>
      </c>
      <c r="O220" s="26" t="str">
        <f aca="false">IF($M220=0,"",OPERATIONS!$Q220)</f>
        <v/>
      </c>
      <c r="P220" s="26" t="str">
        <f aca="false">IF($G220="","",IF($G220=R_LOT,COUNTIF($G$5:$G220,R_LOT),""))</f>
        <v/>
      </c>
    </row>
    <row r="221" customFormat="false" ht="15" hidden="false" customHeight="false" outlineLevel="0" collapsed="false">
      <c r="A221" s="28" t="str">
        <f aca="false">IF($M221=0,"",ROW()-4)</f>
        <v/>
      </c>
      <c r="B221" s="26" t="str">
        <f aca="false">IF($M221=0,"","OPERATIONS")</f>
        <v/>
      </c>
      <c r="C221" s="26" t="str">
        <f aca="false">IF($M221=0,"",OPERATIONS!$A221)</f>
        <v/>
      </c>
      <c r="D221" s="31" t="str">
        <f aca="false">IF($M221=0,"",OPERATIONS!$B221)</f>
        <v/>
      </c>
      <c r="E221" s="26" t="str">
        <f aca="false">IF($M221=0,"","SORTIE")</f>
        <v/>
      </c>
      <c r="F221" s="26" t="str">
        <f aca="false">IF($M221=0,"",OPERATIONS!$C221)</f>
        <v/>
      </c>
      <c r="G221" s="26" t="str">
        <f aca="false">IF($M221=0,"",OPERATIONS!$D221)</f>
        <v/>
      </c>
      <c r="H221" s="26" t="str">
        <f aca="false">IF($G221="","",IFERROR(INDEX(LOT_EXTE,MATCH($G221,LOT_KEY,0)),""))</f>
        <v/>
      </c>
      <c r="I221" s="26" t="str">
        <f aca="false">IF($M221=0,"",OPERATIONS!$E221)</f>
        <v/>
      </c>
      <c r="J221" s="26" t="str">
        <f aca="false">IF($I221="","",IFERROR(INDEX(EMPL_CLASSE,MATCH($I221,EMPL_KEY,0)),""))</f>
        <v/>
      </c>
      <c r="K221" s="26" t="str">
        <f aca="false">IF($M221=0,"",OPERATIONS!$K221)</f>
        <v/>
      </c>
      <c r="L221" s="26" t="str">
        <f aca="false">IF($G221="","",IF(IFERROR(INDEX(LOT_ETAT,MATCH($G221,LOT_KEY,0)),"")="","",INDEX(LOT_ETAT,MATCH($G221,LOT_KEY,0))))</f>
        <v/>
      </c>
      <c r="M221" s="73" t="n">
        <f aca="false">IF(OR(OPERATIONS!$O221=0,OPERATIONS!$C221="RECEPTION",OPERATIONS!$C221="AJUSTEMENT"),0,-OPERATIONS!$G221)</f>
        <v>0</v>
      </c>
      <c r="N221" s="73" t="n">
        <f aca="false">IF($M221=0,0,OPERATIONS!$R221*$M221)</f>
        <v>0</v>
      </c>
      <c r="O221" s="26" t="str">
        <f aca="false">IF($M221=0,"",OPERATIONS!$Q221)</f>
        <v/>
      </c>
      <c r="P221" s="26" t="str">
        <f aca="false">IF($G221="","",IF($G221=R_LOT,COUNTIF($G$5:$G221,R_LOT),""))</f>
        <v/>
      </c>
    </row>
    <row r="222" customFormat="false" ht="15" hidden="false" customHeight="false" outlineLevel="0" collapsed="false">
      <c r="A222" s="28" t="str">
        <f aca="false">IF($M222=0,"",ROW()-4)</f>
        <v/>
      </c>
      <c r="B222" s="26" t="str">
        <f aca="false">IF($M222=0,"","OPERATIONS")</f>
        <v/>
      </c>
      <c r="C222" s="26" t="str">
        <f aca="false">IF($M222=0,"",OPERATIONS!$A222)</f>
        <v/>
      </c>
      <c r="D222" s="31" t="str">
        <f aca="false">IF($M222=0,"",OPERATIONS!$B222)</f>
        <v/>
      </c>
      <c r="E222" s="26" t="str">
        <f aca="false">IF($M222=0,"","SORTIE")</f>
        <v/>
      </c>
      <c r="F222" s="26" t="str">
        <f aca="false">IF($M222=0,"",OPERATIONS!$C222)</f>
        <v/>
      </c>
      <c r="G222" s="26" t="str">
        <f aca="false">IF($M222=0,"",OPERATIONS!$D222)</f>
        <v/>
      </c>
      <c r="H222" s="26" t="str">
        <f aca="false">IF($G222="","",IFERROR(INDEX(LOT_EXTE,MATCH($G222,LOT_KEY,0)),""))</f>
        <v/>
      </c>
      <c r="I222" s="26" t="str">
        <f aca="false">IF($M222=0,"",OPERATIONS!$E222)</f>
        <v/>
      </c>
      <c r="J222" s="26" t="str">
        <f aca="false">IF($I222="","",IFERROR(INDEX(EMPL_CLASSE,MATCH($I222,EMPL_KEY,0)),""))</f>
        <v/>
      </c>
      <c r="K222" s="26" t="str">
        <f aca="false">IF($M222=0,"",OPERATIONS!$K222)</f>
        <v/>
      </c>
      <c r="L222" s="26" t="str">
        <f aca="false">IF($G222="","",IF(IFERROR(INDEX(LOT_ETAT,MATCH($G222,LOT_KEY,0)),"")="","",INDEX(LOT_ETAT,MATCH($G222,LOT_KEY,0))))</f>
        <v/>
      </c>
      <c r="M222" s="73" t="n">
        <f aca="false">IF(OR(OPERATIONS!$O222=0,OPERATIONS!$C222="RECEPTION",OPERATIONS!$C222="AJUSTEMENT"),0,-OPERATIONS!$G222)</f>
        <v>0</v>
      </c>
      <c r="N222" s="73" t="n">
        <f aca="false">IF($M222=0,0,OPERATIONS!$R222*$M222)</f>
        <v>0</v>
      </c>
      <c r="O222" s="26" t="str">
        <f aca="false">IF($M222=0,"",OPERATIONS!$Q222)</f>
        <v/>
      </c>
      <c r="P222" s="26" t="str">
        <f aca="false">IF($G222="","",IF($G222=R_LOT,COUNTIF($G$5:$G222,R_LOT),""))</f>
        <v/>
      </c>
    </row>
    <row r="223" customFormat="false" ht="15" hidden="false" customHeight="false" outlineLevel="0" collapsed="false">
      <c r="A223" s="28" t="str">
        <f aca="false">IF($M223=0,"",ROW()-4)</f>
        <v/>
      </c>
      <c r="B223" s="26" t="str">
        <f aca="false">IF($M223=0,"","OPERATIONS")</f>
        <v/>
      </c>
      <c r="C223" s="26" t="str">
        <f aca="false">IF($M223=0,"",OPERATIONS!$A223)</f>
        <v/>
      </c>
      <c r="D223" s="31" t="str">
        <f aca="false">IF($M223=0,"",OPERATIONS!$B223)</f>
        <v/>
      </c>
      <c r="E223" s="26" t="str">
        <f aca="false">IF($M223=0,"","SORTIE")</f>
        <v/>
      </c>
      <c r="F223" s="26" t="str">
        <f aca="false">IF($M223=0,"",OPERATIONS!$C223)</f>
        <v/>
      </c>
      <c r="G223" s="26" t="str">
        <f aca="false">IF($M223=0,"",OPERATIONS!$D223)</f>
        <v/>
      </c>
      <c r="H223" s="26" t="str">
        <f aca="false">IF($G223="","",IFERROR(INDEX(LOT_EXTE,MATCH($G223,LOT_KEY,0)),""))</f>
        <v/>
      </c>
      <c r="I223" s="26" t="str">
        <f aca="false">IF($M223=0,"",OPERATIONS!$E223)</f>
        <v/>
      </c>
      <c r="J223" s="26" t="str">
        <f aca="false">IF($I223="","",IFERROR(INDEX(EMPL_CLASSE,MATCH($I223,EMPL_KEY,0)),""))</f>
        <v/>
      </c>
      <c r="K223" s="26" t="str">
        <f aca="false">IF($M223=0,"",OPERATIONS!$K223)</f>
        <v/>
      </c>
      <c r="L223" s="26" t="str">
        <f aca="false">IF($G223="","",IF(IFERROR(INDEX(LOT_ETAT,MATCH($G223,LOT_KEY,0)),"")="","",INDEX(LOT_ETAT,MATCH($G223,LOT_KEY,0))))</f>
        <v/>
      </c>
      <c r="M223" s="73" t="n">
        <f aca="false">IF(OR(OPERATIONS!$O223=0,OPERATIONS!$C223="RECEPTION",OPERATIONS!$C223="AJUSTEMENT"),0,-OPERATIONS!$G223)</f>
        <v>0</v>
      </c>
      <c r="N223" s="73" t="n">
        <f aca="false">IF($M223=0,0,OPERATIONS!$R223*$M223)</f>
        <v>0</v>
      </c>
      <c r="O223" s="26" t="str">
        <f aca="false">IF($M223=0,"",OPERATIONS!$Q223)</f>
        <v/>
      </c>
      <c r="P223" s="26" t="str">
        <f aca="false">IF($G223="","",IF($G223=R_LOT,COUNTIF($G$5:$G223,R_LOT),""))</f>
        <v/>
      </c>
    </row>
    <row r="224" customFormat="false" ht="15" hidden="false" customHeight="false" outlineLevel="0" collapsed="false">
      <c r="A224" s="28" t="str">
        <f aca="false">IF($M224=0,"",ROW()-4)</f>
        <v/>
      </c>
      <c r="B224" s="26" t="str">
        <f aca="false">IF($M224=0,"","OPERATIONS")</f>
        <v/>
      </c>
      <c r="C224" s="26" t="str">
        <f aca="false">IF($M224=0,"",OPERATIONS!$A224)</f>
        <v/>
      </c>
      <c r="D224" s="31" t="str">
        <f aca="false">IF($M224=0,"",OPERATIONS!$B224)</f>
        <v/>
      </c>
      <c r="E224" s="26" t="str">
        <f aca="false">IF($M224=0,"","SORTIE")</f>
        <v/>
      </c>
      <c r="F224" s="26" t="str">
        <f aca="false">IF($M224=0,"",OPERATIONS!$C224)</f>
        <v/>
      </c>
      <c r="G224" s="26" t="str">
        <f aca="false">IF($M224=0,"",OPERATIONS!$D224)</f>
        <v/>
      </c>
      <c r="H224" s="26" t="str">
        <f aca="false">IF($G224="","",IFERROR(INDEX(LOT_EXTE,MATCH($G224,LOT_KEY,0)),""))</f>
        <v/>
      </c>
      <c r="I224" s="26" t="str">
        <f aca="false">IF($M224=0,"",OPERATIONS!$E224)</f>
        <v/>
      </c>
      <c r="J224" s="26" t="str">
        <f aca="false">IF($I224="","",IFERROR(INDEX(EMPL_CLASSE,MATCH($I224,EMPL_KEY,0)),""))</f>
        <v/>
      </c>
      <c r="K224" s="26" t="str">
        <f aca="false">IF($M224=0,"",OPERATIONS!$K224)</f>
        <v/>
      </c>
      <c r="L224" s="26" t="str">
        <f aca="false">IF($G224="","",IF(IFERROR(INDEX(LOT_ETAT,MATCH($G224,LOT_KEY,0)),"")="","",INDEX(LOT_ETAT,MATCH($G224,LOT_KEY,0))))</f>
        <v/>
      </c>
      <c r="M224" s="73" t="n">
        <f aca="false">IF(OR(OPERATIONS!$O224=0,OPERATIONS!$C224="RECEPTION",OPERATIONS!$C224="AJUSTEMENT"),0,-OPERATIONS!$G224)</f>
        <v>0</v>
      </c>
      <c r="N224" s="73" t="n">
        <f aca="false">IF($M224=0,0,OPERATIONS!$R224*$M224)</f>
        <v>0</v>
      </c>
      <c r="O224" s="26" t="str">
        <f aca="false">IF($M224=0,"",OPERATIONS!$Q224)</f>
        <v/>
      </c>
      <c r="P224" s="26" t="str">
        <f aca="false">IF($G224="","",IF($G224=R_LOT,COUNTIF($G$5:$G224,R_LOT),""))</f>
        <v/>
      </c>
    </row>
    <row r="225" customFormat="false" ht="15" hidden="false" customHeight="false" outlineLevel="0" collapsed="false">
      <c r="A225" s="28" t="str">
        <f aca="false">IF($M225=0,"",ROW()-4)</f>
        <v/>
      </c>
      <c r="B225" s="26" t="str">
        <f aca="false">IF($M225=0,"","OPERATIONS")</f>
        <v/>
      </c>
      <c r="C225" s="26" t="str">
        <f aca="false">IF($M225=0,"",OPERATIONS!$A225)</f>
        <v/>
      </c>
      <c r="D225" s="31" t="str">
        <f aca="false">IF($M225=0,"",OPERATIONS!$B225)</f>
        <v/>
      </c>
      <c r="E225" s="26" t="str">
        <f aca="false">IF($M225=0,"","SORTIE")</f>
        <v/>
      </c>
      <c r="F225" s="26" t="str">
        <f aca="false">IF($M225=0,"",OPERATIONS!$C225)</f>
        <v/>
      </c>
      <c r="G225" s="26" t="str">
        <f aca="false">IF($M225=0,"",OPERATIONS!$D225)</f>
        <v/>
      </c>
      <c r="H225" s="26" t="str">
        <f aca="false">IF($G225="","",IFERROR(INDEX(LOT_EXTE,MATCH($G225,LOT_KEY,0)),""))</f>
        <v/>
      </c>
      <c r="I225" s="26" t="str">
        <f aca="false">IF($M225=0,"",OPERATIONS!$E225)</f>
        <v/>
      </c>
      <c r="J225" s="26" t="str">
        <f aca="false">IF($I225="","",IFERROR(INDEX(EMPL_CLASSE,MATCH($I225,EMPL_KEY,0)),""))</f>
        <v/>
      </c>
      <c r="K225" s="26" t="str">
        <f aca="false">IF($M225=0,"",OPERATIONS!$K225)</f>
        <v/>
      </c>
      <c r="L225" s="26" t="str">
        <f aca="false">IF($G225="","",IF(IFERROR(INDEX(LOT_ETAT,MATCH($G225,LOT_KEY,0)),"")="","",INDEX(LOT_ETAT,MATCH($G225,LOT_KEY,0))))</f>
        <v/>
      </c>
      <c r="M225" s="73" t="n">
        <f aca="false">IF(OR(OPERATIONS!$O225=0,OPERATIONS!$C225="RECEPTION",OPERATIONS!$C225="AJUSTEMENT"),0,-OPERATIONS!$G225)</f>
        <v>0</v>
      </c>
      <c r="N225" s="73" t="n">
        <f aca="false">IF($M225=0,0,OPERATIONS!$R225*$M225)</f>
        <v>0</v>
      </c>
      <c r="O225" s="26" t="str">
        <f aca="false">IF($M225=0,"",OPERATIONS!$Q225)</f>
        <v/>
      </c>
      <c r="P225" s="26" t="str">
        <f aca="false">IF($G225="","",IF($G225=R_LOT,COUNTIF($G$5:$G225,R_LOT),""))</f>
        <v/>
      </c>
    </row>
    <row r="226" customFormat="false" ht="15" hidden="false" customHeight="false" outlineLevel="0" collapsed="false">
      <c r="A226" s="28" t="str">
        <f aca="false">IF($M226=0,"",ROW()-4)</f>
        <v/>
      </c>
      <c r="B226" s="26" t="str">
        <f aca="false">IF($M226=0,"","OPERATIONS")</f>
        <v/>
      </c>
      <c r="C226" s="26" t="str">
        <f aca="false">IF($M226=0,"",OPERATIONS!$A226)</f>
        <v/>
      </c>
      <c r="D226" s="31" t="str">
        <f aca="false">IF($M226=0,"",OPERATIONS!$B226)</f>
        <v/>
      </c>
      <c r="E226" s="26" t="str">
        <f aca="false">IF($M226=0,"","SORTIE")</f>
        <v/>
      </c>
      <c r="F226" s="26" t="str">
        <f aca="false">IF($M226=0,"",OPERATIONS!$C226)</f>
        <v/>
      </c>
      <c r="G226" s="26" t="str">
        <f aca="false">IF($M226=0,"",OPERATIONS!$D226)</f>
        <v/>
      </c>
      <c r="H226" s="26" t="str">
        <f aca="false">IF($G226="","",IFERROR(INDEX(LOT_EXTE,MATCH($G226,LOT_KEY,0)),""))</f>
        <v/>
      </c>
      <c r="I226" s="26" t="str">
        <f aca="false">IF($M226=0,"",OPERATIONS!$E226)</f>
        <v/>
      </c>
      <c r="J226" s="26" t="str">
        <f aca="false">IF($I226="","",IFERROR(INDEX(EMPL_CLASSE,MATCH($I226,EMPL_KEY,0)),""))</f>
        <v/>
      </c>
      <c r="K226" s="26" t="str">
        <f aca="false">IF($M226=0,"",OPERATIONS!$K226)</f>
        <v/>
      </c>
      <c r="L226" s="26" t="str">
        <f aca="false">IF($G226="","",IF(IFERROR(INDEX(LOT_ETAT,MATCH($G226,LOT_KEY,0)),"")="","",INDEX(LOT_ETAT,MATCH($G226,LOT_KEY,0))))</f>
        <v/>
      </c>
      <c r="M226" s="73" t="n">
        <f aca="false">IF(OR(OPERATIONS!$O226=0,OPERATIONS!$C226="RECEPTION",OPERATIONS!$C226="AJUSTEMENT"),0,-OPERATIONS!$G226)</f>
        <v>0</v>
      </c>
      <c r="N226" s="73" t="n">
        <f aca="false">IF($M226=0,0,OPERATIONS!$R226*$M226)</f>
        <v>0</v>
      </c>
      <c r="O226" s="26" t="str">
        <f aca="false">IF($M226=0,"",OPERATIONS!$Q226)</f>
        <v/>
      </c>
      <c r="P226" s="26" t="str">
        <f aca="false">IF($G226="","",IF($G226=R_LOT,COUNTIF($G$5:$G226,R_LOT),""))</f>
        <v/>
      </c>
    </row>
    <row r="227" customFormat="false" ht="15" hidden="false" customHeight="false" outlineLevel="0" collapsed="false">
      <c r="A227" s="28" t="str">
        <f aca="false">IF($M227=0,"",ROW()-4)</f>
        <v/>
      </c>
      <c r="B227" s="26" t="str">
        <f aca="false">IF($M227=0,"","OPERATIONS")</f>
        <v/>
      </c>
      <c r="C227" s="26" t="str">
        <f aca="false">IF($M227=0,"",OPERATIONS!$A227)</f>
        <v/>
      </c>
      <c r="D227" s="31" t="str">
        <f aca="false">IF($M227=0,"",OPERATIONS!$B227)</f>
        <v/>
      </c>
      <c r="E227" s="26" t="str">
        <f aca="false">IF($M227=0,"","SORTIE")</f>
        <v/>
      </c>
      <c r="F227" s="26" t="str">
        <f aca="false">IF($M227=0,"",OPERATIONS!$C227)</f>
        <v/>
      </c>
      <c r="G227" s="26" t="str">
        <f aca="false">IF($M227=0,"",OPERATIONS!$D227)</f>
        <v/>
      </c>
      <c r="H227" s="26" t="str">
        <f aca="false">IF($G227="","",IFERROR(INDEX(LOT_EXTE,MATCH($G227,LOT_KEY,0)),""))</f>
        <v/>
      </c>
      <c r="I227" s="26" t="str">
        <f aca="false">IF($M227=0,"",OPERATIONS!$E227)</f>
        <v/>
      </c>
      <c r="J227" s="26" t="str">
        <f aca="false">IF($I227="","",IFERROR(INDEX(EMPL_CLASSE,MATCH($I227,EMPL_KEY,0)),""))</f>
        <v/>
      </c>
      <c r="K227" s="26" t="str">
        <f aca="false">IF($M227=0,"",OPERATIONS!$K227)</f>
        <v/>
      </c>
      <c r="L227" s="26" t="str">
        <f aca="false">IF($G227="","",IF(IFERROR(INDEX(LOT_ETAT,MATCH($G227,LOT_KEY,0)),"")="","",INDEX(LOT_ETAT,MATCH($G227,LOT_KEY,0))))</f>
        <v/>
      </c>
      <c r="M227" s="73" t="n">
        <f aca="false">IF(OR(OPERATIONS!$O227=0,OPERATIONS!$C227="RECEPTION",OPERATIONS!$C227="AJUSTEMENT"),0,-OPERATIONS!$G227)</f>
        <v>0</v>
      </c>
      <c r="N227" s="73" t="n">
        <f aca="false">IF($M227=0,0,OPERATIONS!$R227*$M227)</f>
        <v>0</v>
      </c>
      <c r="O227" s="26" t="str">
        <f aca="false">IF($M227=0,"",OPERATIONS!$Q227)</f>
        <v/>
      </c>
      <c r="P227" s="26" t="str">
        <f aca="false">IF($G227="","",IF($G227=R_LOT,COUNTIF($G$5:$G227,R_LOT),""))</f>
        <v/>
      </c>
    </row>
    <row r="228" customFormat="false" ht="15" hidden="false" customHeight="false" outlineLevel="0" collapsed="false">
      <c r="A228" s="28" t="str">
        <f aca="false">IF($M228=0,"",ROW()-4)</f>
        <v/>
      </c>
      <c r="B228" s="26" t="str">
        <f aca="false">IF($M228=0,"","OPERATIONS")</f>
        <v/>
      </c>
      <c r="C228" s="26" t="str">
        <f aca="false">IF($M228=0,"",OPERATIONS!$A228)</f>
        <v/>
      </c>
      <c r="D228" s="31" t="str">
        <f aca="false">IF($M228=0,"",OPERATIONS!$B228)</f>
        <v/>
      </c>
      <c r="E228" s="26" t="str">
        <f aca="false">IF($M228=0,"","SORTIE")</f>
        <v/>
      </c>
      <c r="F228" s="26" t="str">
        <f aca="false">IF($M228=0,"",OPERATIONS!$C228)</f>
        <v/>
      </c>
      <c r="G228" s="26" t="str">
        <f aca="false">IF($M228=0,"",OPERATIONS!$D228)</f>
        <v/>
      </c>
      <c r="H228" s="26" t="str">
        <f aca="false">IF($G228="","",IFERROR(INDEX(LOT_EXTE,MATCH($G228,LOT_KEY,0)),""))</f>
        <v/>
      </c>
      <c r="I228" s="26" t="str">
        <f aca="false">IF($M228=0,"",OPERATIONS!$E228)</f>
        <v/>
      </c>
      <c r="J228" s="26" t="str">
        <f aca="false">IF($I228="","",IFERROR(INDEX(EMPL_CLASSE,MATCH($I228,EMPL_KEY,0)),""))</f>
        <v/>
      </c>
      <c r="K228" s="26" t="str">
        <f aca="false">IF($M228=0,"",OPERATIONS!$K228)</f>
        <v/>
      </c>
      <c r="L228" s="26" t="str">
        <f aca="false">IF($G228="","",IF(IFERROR(INDEX(LOT_ETAT,MATCH($G228,LOT_KEY,0)),"")="","",INDEX(LOT_ETAT,MATCH($G228,LOT_KEY,0))))</f>
        <v/>
      </c>
      <c r="M228" s="73" t="n">
        <f aca="false">IF(OR(OPERATIONS!$O228=0,OPERATIONS!$C228="RECEPTION",OPERATIONS!$C228="AJUSTEMENT"),0,-OPERATIONS!$G228)</f>
        <v>0</v>
      </c>
      <c r="N228" s="73" t="n">
        <f aca="false">IF($M228=0,0,OPERATIONS!$R228*$M228)</f>
        <v>0</v>
      </c>
      <c r="O228" s="26" t="str">
        <f aca="false">IF($M228=0,"",OPERATIONS!$Q228)</f>
        <v/>
      </c>
      <c r="P228" s="26" t="str">
        <f aca="false">IF($G228="","",IF($G228=R_LOT,COUNTIF($G$5:$G228,R_LOT),""))</f>
        <v/>
      </c>
    </row>
    <row r="229" customFormat="false" ht="15" hidden="false" customHeight="false" outlineLevel="0" collapsed="false">
      <c r="A229" s="28" t="str">
        <f aca="false">IF($M229=0,"",ROW()-4)</f>
        <v/>
      </c>
      <c r="B229" s="26" t="str">
        <f aca="false">IF($M229=0,"","OPERATIONS")</f>
        <v/>
      </c>
      <c r="C229" s="26" t="str">
        <f aca="false">IF($M229=0,"",OPERATIONS!$A229)</f>
        <v/>
      </c>
      <c r="D229" s="31" t="str">
        <f aca="false">IF($M229=0,"",OPERATIONS!$B229)</f>
        <v/>
      </c>
      <c r="E229" s="26" t="str">
        <f aca="false">IF($M229=0,"","SORTIE")</f>
        <v/>
      </c>
      <c r="F229" s="26" t="str">
        <f aca="false">IF($M229=0,"",OPERATIONS!$C229)</f>
        <v/>
      </c>
      <c r="G229" s="26" t="str">
        <f aca="false">IF($M229=0,"",OPERATIONS!$D229)</f>
        <v/>
      </c>
      <c r="H229" s="26" t="str">
        <f aca="false">IF($G229="","",IFERROR(INDEX(LOT_EXTE,MATCH($G229,LOT_KEY,0)),""))</f>
        <v/>
      </c>
      <c r="I229" s="26" t="str">
        <f aca="false">IF($M229=0,"",OPERATIONS!$E229)</f>
        <v/>
      </c>
      <c r="J229" s="26" t="str">
        <f aca="false">IF($I229="","",IFERROR(INDEX(EMPL_CLASSE,MATCH($I229,EMPL_KEY,0)),""))</f>
        <v/>
      </c>
      <c r="K229" s="26" t="str">
        <f aca="false">IF($M229=0,"",OPERATIONS!$K229)</f>
        <v/>
      </c>
      <c r="L229" s="26" t="str">
        <f aca="false">IF($G229="","",IF(IFERROR(INDEX(LOT_ETAT,MATCH($G229,LOT_KEY,0)),"")="","",INDEX(LOT_ETAT,MATCH($G229,LOT_KEY,0))))</f>
        <v/>
      </c>
      <c r="M229" s="73" t="n">
        <f aca="false">IF(OR(OPERATIONS!$O229=0,OPERATIONS!$C229="RECEPTION",OPERATIONS!$C229="AJUSTEMENT"),0,-OPERATIONS!$G229)</f>
        <v>0</v>
      </c>
      <c r="N229" s="73" t="n">
        <f aca="false">IF($M229=0,0,OPERATIONS!$R229*$M229)</f>
        <v>0</v>
      </c>
      <c r="O229" s="26" t="str">
        <f aca="false">IF($M229=0,"",OPERATIONS!$Q229)</f>
        <v/>
      </c>
      <c r="P229" s="26" t="str">
        <f aca="false">IF($G229="","",IF($G229=R_LOT,COUNTIF($G$5:$G229,R_LOT),""))</f>
        <v/>
      </c>
    </row>
    <row r="230" customFormat="false" ht="15" hidden="false" customHeight="false" outlineLevel="0" collapsed="false">
      <c r="A230" s="28" t="str">
        <f aca="false">IF($M230=0,"",ROW()-4)</f>
        <v/>
      </c>
      <c r="B230" s="26" t="str">
        <f aca="false">IF($M230=0,"","OPERATIONS")</f>
        <v/>
      </c>
      <c r="C230" s="26" t="str">
        <f aca="false">IF($M230=0,"",OPERATIONS!$A230)</f>
        <v/>
      </c>
      <c r="D230" s="31" t="str">
        <f aca="false">IF($M230=0,"",OPERATIONS!$B230)</f>
        <v/>
      </c>
      <c r="E230" s="26" t="str">
        <f aca="false">IF($M230=0,"","SORTIE")</f>
        <v/>
      </c>
      <c r="F230" s="26" t="str">
        <f aca="false">IF($M230=0,"",OPERATIONS!$C230)</f>
        <v/>
      </c>
      <c r="G230" s="26" t="str">
        <f aca="false">IF($M230=0,"",OPERATIONS!$D230)</f>
        <v/>
      </c>
      <c r="H230" s="26" t="str">
        <f aca="false">IF($G230="","",IFERROR(INDEX(LOT_EXTE,MATCH($G230,LOT_KEY,0)),""))</f>
        <v/>
      </c>
      <c r="I230" s="26" t="str">
        <f aca="false">IF($M230=0,"",OPERATIONS!$E230)</f>
        <v/>
      </c>
      <c r="J230" s="26" t="str">
        <f aca="false">IF($I230="","",IFERROR(INDEX(EMPL_CLASSE,MATCH($I230,EMPL_KEY,0)),""))</f>
        <v/>
      </c>
      <c r="K230" s="26" t="str">
        <f aca="false">IF($M230=0,"",OPERATIONS!$K230)</f>
        <v/>
      </c>
      <c r="L230" s="26" t="str">
        <f aca="false">IF($G230="","",IF(IFERROR(INDEX(LOT_ETAT,MATCH($G230,LOT_KEY,0)),"")="","",INDEX(LOT_ETAT,MATCH($G230,LOT_KEY,0))))</f>
        <v/>
      </c>
      <c r="M230" s="73" t="n">
        <f aca="false">IF(OR(OPERATIONS!$O230=0,OPERATIONS!$C230="RECEPTION",OPERATIONS!$C230="AJUSTEMENT"),0,-OPERATIONS!$G230)</f>
        <v>0</v>
      </c>
      <c r="N230" s="73" t="n">
        <f aca="false">IF($M230=0,0,OPERATIONS!$R230*$M230)</f>
        <v>0</v>
      </c>
      <c r="O230" s="26" t="str">
        <f aca="false">IF($M230=0,"",OPERATIONS!$Q230)</f>
        <v/>
      </c>
      <c r="P230" s="26" t="str">
        <f aca="false">IF($G230="","",IF($G230=R_LOT,COUNTIF($G$5:$G230,R_LOT),""))</f>
        <v/>
      </c>
    </row>
    <row r="231" customFormat="false" ht="15" hidden="false" customHeight="false" outlineLevel="0" collapsed="false">
      <c r="A231" s="28" t="str">
        <f aca="false">IF($M231=0,"",ROW()-4)</f>
        <v/>
      </c>
      <c r="B231" s="26" t="str">
        <f aca="false">IF($M231=0,"","OPERATIONS")</f>
        <v/>
      </c>
      <c r="C231" s="26" t="str">
        <f aca="false">IF($M231=0,"",OPERATIONS!$A231)</f>
        <v/>
      </c>
      <c r="D231" s="31" t="str">
        <f aca="false">IF($M231=0,"",OPERATIONS!$B231)</f>
        <v/>
      </c>
      <c r="E231" s="26" t="str">
        <f aca="false">IF($M231=0,"","SORTIE")</f>
        <v/>
      </c>
      <c r="F231" s="26" t="str">
        <f aca="false">IF($M231=0,"",OPERATIONS!$C231)</f>
        <v/>
      </c>
      <c r="G231" s="26" t="str">
        <f aca="false">IF($M231=0,"",OPERATIONS!$D231)</f>
        <v/>
      </c>
      <c r="H231" s="26" t="str">
        <f aca="false">IF($G231="","",IFERROR(INDEX(LOT_EXTE,MATCH($G231,LOT_KEY,0)),""))</f>
        <v/>
      </c>
      <c r="I231" s="26" t="str">
        <f aca="false">IF($M231=0,"",OPERATIONS!$E231)</f>
        <v/>
      </c>
      <c r="J231" s="26" t="str">
        <f aca="false">IF($I231="","",IFERROR(INDEX(EMPL_CLASSE,MATCH($I231,EMPL_KEY,0)),""))</f>
        <v/>
      </c>
      <c r="K231" s="26" t="str">
        <f aca="false">IF($M231=0,"",OPERATIONS!$K231)</f>
        <v/>
      </c>
      <c r="L231" s="26" t="str">
        <f aca="false">IF($G231="","",IF(IFERROR(INDEX(LOT_ETAT,MATCH($G231,LOT_KEY,0)),"")="","",INDEX(LOT_ETAT,MATCH($G231,LOT_KEY,0))))</f>
        <v/>
      </c>
      <c r="M231" s="73" t="n">
        <f aca="false">IF(OR(OPERATIONS!$O231=0,OPERATIONS!$C231="RECEPTION",OPERATIONS!$C231="AJUSTEMENT"),0,-OPERATIONS!$G231)</f>
        <v>0</v>
      </c>
      <c r="N231" s="73" t="n">
        <f aca="false">IF($M231=0,0,OPERATIONS!$R231*$M231)</f>
        <v>0</v>
      </c>
      <c r="O231" s="26" t="str">
        <f aca="false">IF($M231=0,"",OPERATIONS!$Q231)</f>
        <v/>
      </c>
      <c r="P231" s="26" t="str">
        <f aca="false">IF($G231="","",IF($G231=R_LOT,COUNTIF($G$5:$G231,R_LOT),""))</f>
        <v/>
      </c>
    </row>
    <row r="232" customFormat="false" ht="15" hidden="false" customHeight="false" outlineLevel="0" collapsed="false">
      <c r="A232" s="28" t="str">
        <f aca="false">IF($M232=0,"",ROW()-4)</f>
        <v/>
      </c>
      <c r="B232" s="26" t="str">
        <f aca="false">IF($M232=0,"","OPERATIONS")</f>
        <v/>
      </c>
      <c r="C232" s="26" t="str">
        <f aca="false">IF($M232=0,"",OPERATIONS!$A232)</f>
        <v/>
      </c>
      <c r="D232" s="31" t="str">
        <f aca="false">IF($M232=0,"",OPERATIONS!$B232)</f>
        <v/>
      </c>
      <c r="E232" s="26" t="str">
        <f aca="false">IF($M232=0,"","SORTIE")</f>
        <v/>
      </c>
      <c r="F232" s="26" t="str">
        <f aca="false">IF($M232=0,"",OPERATIONS!$C232)</f>
        <v/>
      </c>
      <c r="G232" s="26" t="str">
        <f aca="false">IF($M232=0,"",OPERATIONS!$D232)</f>
        <v/>
      </c>
      <c r="H232" s="26" t="str">
        <f aca="false">IF($G232="","",IFERROR(INDEX(LOT_EXTE,MATCH($G232,LOT_KEY,0)),""))</f>
        <v/>
      </c>
      <c r="I232" s="26" t="str">
        <f aca="false">IF($M232=0,"",OPERATIONS!$E232)</f>
        <v/>
      </c>
      <c r="J232" s="26" t="str">
        <f aca="false">IF($I232="","",IFERROR(INDEX(EMPL_CLASSE,MATCH($I232,EMPL_KEY,0)),""))</f>
        <v/>
      </c>
      <c r="K232" s="26" t="str">
        <f aca="false">IF($M232=0,"",OPERATIONS!$K232)</f>
        <v/>
      </c>
      <c r="L232" s="26" t="str">
        <f aca="false">IF($G232="","",IF(IFERROR(INDEX(LOT_ETAT,MATCH($G232,LOT_KEY,0)),"")="","",INDEX(LOT_ETAT,MATCH($G232,LOT_KEY,0))))</f>
        <v/>
      </c>
      <c r="M232" s="73" t="n">
        <f aca="false">IF(OR(OPERATIONS!$O232=0,OPERATIONS!$C232="RECEPTION",OPERATIONS!$C232="AJUSTEMENT"),0,-OPERATIONS!$G232)</f>
        <v>0</v>
      </c>
      <c r="N232" s="73" t="n">
        <f aca="false">IF($M232=0,0,OPERATIONS!$R232*$M232)</f>
        <v>0</v>
      </c>
      <c r="O232" s="26" t="str">
        <f aca="false">IF($M232=0,"",OPERATIONS!$Q232)</f>
        <v/>
      </c>
      <c r="P232" s="26" t="str">
        <f aca="false">IF($G232="","",IF($G232=R_LOT,COUNTIF($G$5:$G232,R_LOT),""))</f>
        <v/>
      </c>
    </row>
    <row r="233" customFormat="false" ht="15" hidden="false" customHeight="false" outlineLevel="0" collapsed="false">
      <c r="A233" s="28" t="str">
        <f aca="false">IF($M233=0,"",ROW()-4)</f>
        <v/>
      </c>
      <c r="B233" s="26" t="str">
        <f aca="false">IF($M233=0,"","OPERATIONS")</f>
        <v/>
      </c>
      <c r="C233" s="26" t="str">
        <f aca="false">IF($M233=0,"",OPERATIONS!$A233)</f>
        <v/>
      </c>
      <c r="D233" s="31" t="str">
        <f aca="false">IF($M233=0,"",OPERATIONS!$B233)</f>
        <v/>
      </c>
      <c r="E233" s="26" t="str">
        <f aca="false">IF($M233=0,"","SORTIE")</f>
        <v/>
      </c>
      <c r="F233" s="26" t="str">
        <f aca="false">IF($M233=0,"",OPERATIONS!$C233)</f>
        <v/>
      </c>
      <c r="G233" s="26" t="str">
        <f aca="false">IF($M233=0,"",OPERATIONS!$D233)</f>
        <v/>
      </c>
      <c r="H233" s="26" t="str">
        <f aca="false">IF($G233="","",IFERROR(INDEX(LOT_EXTE,MATCH($G233,LOT_KEY,0)),""))</f>
        <v/>
      </c>
      <c r="I233" s="26" t="str">
        <f aca="false">IF($M233=0,"",OPERATIONS!$E233)</f>
        <v/>
      </c>
      <c r="J233" s="26" t="str">
        <f aca="false">IF($I233="","",IFERROR(INDEX(EMPL_CLASSE,MATCH($I233,EMPL_KEY,0)),""))</f>
        <v/>
      </c>
      <c r="K233" s="26" t="str">
        <f aca="false">IF($M233=0,"",OPERATIONS!$K233)</f>
        <v/>
      </c>
      <c r="L233" s="26" t="str">
        <f aca="false">IF($G233="","",IF(IFERROR(INDEX(LOT_ETAT,MATCH($G233,LOT_KEY,0)),"")="","",INDEX(LOT_ETAT,MATCH($G233,LOT_KEY,0))))</f>
        <v/>
      </c>
      <c r="M233" s="73" t="n">
        <f aca="false">IF(OR(OPERATIONS!$O233=0,OPERATIONS!$C233="RECEPTION",OPERATIONS!$C233="AJUSTEMENT"),0,-OPERATIONS!$G233)</f>
        <v>0</v>
      </c>
      <c r="N233" s="73" t="n">
        <f aca="false">IF($M233=0,0,OPERATIONS!$R233*$M233)</f>
        <v>0</v>
      </c>
      <c r="O233" s="26" t="str">
        <f aca="false">IF($M233=0,"",OPERATIONS!$Q233)</f>
        <v/>
      </c>
      <c r="P233" s="26" t="str">
        <f aca="false">IF($G233="","",IF($G233=R_LOT,COUNTIF($G$5:$G233,R_LOT),""))</f>
        <v/>
      </c>
    </row>
    <row r="234" customFormat="false" ht="15" hidden="false" customHeight="false" outlineLevel="0" collapsed="false">
      <c r="A234" s="28" t="str">
        <f aca="false">IF($M234=0,"",ROW()-4)</f>
        <v/>
      </c>
      <c r="B234" s="26" t="str">
        <f aca="false">IF($M234=0,"","OPERATIONS")</f>
        <v/>
      </c>
      <c r="C234" s="26" t="str">
        <f aca="false">IF($M234=0,"",OPERATIONS!$A234)</f>
        <v/>
      </c>
      <c r="D234" s="31" t="str">
        <f aca="false">IF($M234=0,"",OPERATIONS!$B234)</f>
        <v/>
      </c>
      <c r="E234" s="26" t="str">
        <f aca="false">IF($M234=0,"","SORTIE")</f>
        <v/>
      </c>
      <c r="F234" s="26" t="str">
        <f aca="false">IF($M234=0,"",OPERATIONS!$C234)</f>
        <v/>
      </c>
      <c r="G234" s="26" t="str">
        <f aca="false">IF($M234=0,"",OPERATIONS!$D234)</f>
        <v/>
      </c>
      <c r="H234" s="26" t="str">
        <f aca="false">IF($G234="","",IFERROR(INDEX(LOT_EXTE,MATCH($G234,LOT_KEY,0)),""))</f>
        <v/>
      </c>
      <c r="I234" s="26" t="str">
        <f aca="false">IF($M234=0,"",OPERATIONS!$E234)</f>
        <v/>
      </c>
      <c r="J234" s="26" t="str">
        <f aca="false">IF($I234="","",IFERROR(INDEX(EMPL_CLASSE,MATCH($I234,EMPL_KEY,0)),""))</f>
        <v/>
      </c>
      <c r="K234" s="26" t="str">
        <f aca="false">IF($M234=0,"",OPERATIONS!$K234)</f>
        <v/>
      </c>
      <c r="L234" s="26" t="str">
        <f aca="false">IF($G234="","",IF(IFERROR(INDEX(LOT_ETAT,MATCH($G234,LOT_KEY,0)),"")="","",INDEX(LOT_ETAT,MATCH($G234,LOT_KEY,0))))</f>
        <v/>
      </c>
      <c r="M234" s="73" t="n">
        <f aca="false">IF(OR(OPERATIONS!$O234=0,OPERATIONS!$C234="RECEPTION",OPERATIONS!$C234="AJUSTEMENT"),0,-OPERATIONS!$G234)</f>
        <v>0</v>
      </c>
      <c r="N234" s="73" t="n">
        <f aca="false">IF($M234=0,0,OPERATIONS!$R234*$M234)</f>
        <v>0</v>
      </c>
      <c r="O234" s="26" t="str">
        <f aca="false">IF($M234=0,"",OPERATIONS!$Q234)</f>
        <v/>
      </c>
      <c r="P234" s="26" t="str">
        <f aca="false">IF($G234="","",IF($G234=R_LOT,COUNTIF($G$5:$G234,R_LOT),""))</f>
        <v/>
      </c>
    </row>
    <row r="235" customFormat="false" ht="15" hidden="false" customHeight="false" outlineLevel="0" collapsed="false">
      <c r="A235" s="28" t="str">
        <f aca="false">IF($M235=0,"",ROW()-4)</f>
        <v/>
      </c>
      <c r="B235" s="26" t="str">
        <f aca="false">IF($M235=0,"","OPERATIONS")</f>
        <v/>
      </c>
      <c r="C235" s="26" t="str">
        <f aca="false">IF($M235=0,"",OPERATIONS!$A235)</f>
        <v/>
      </c>
      <c r="D235" s="31" t="str">
        <f aca="false">IF($M235=0,"",OPERATIONS!$B235)</f>
        <v/>
      </c>
      <c r="E235" s="26" t="str">
        <f aca="false">IF($M235=0,"","SORTIE")</f>
        <v/>
      </c>
      <c r="F235" s="26" t="str">
        <f aca="false">IF($M235=0,"",OPERATIONS!$C235)</f>
        <v/>
      </c>
      <c r="G235" s="26" t="str">
        <f aca="false">IF($M235=0,"",OPERATIONS!$D235)</f>
        <v/>
      </c>
      <c r="H235" s="26" t="str">
        <f aca="false">IF($G235="","",IFERROR(INDEX(LOT_EXTE,MATCH($G235,LOT_KEY,0)),""))</f>
        <v/>
      </c>
      <c r="I235" s="26" t="str">
        <f aca="false">IF($M235=0,"",OPERATIONS!$E235)</f>
        <v/>
      </c>
      <c r="J235" s="26" t="str">
        <f aca="false">IF($I235="","",IFERROR(INDEX(EMPL_CLASSE,MATCH($I235,EMPL_KEY,0)),""))</f>
        <v/>
      </c>
      <c r="K235" s="26" t="str">
        <f aca="false">IF($M235=0,"",OPERATIONS!$K235)</f>
        <v/>
      </c>
      <c r="L235" s="26" t="str">
        <f aca="false">IF($G235="","",IF(IFERROR(INDEX(LOT_ETAT,MATCH($G235,LOT_KEY,0)),"")="","",INDEX(LOT_ETAT,MATCH($G235,LOT_KEY,0))))</f>
        <v/>
      </c>
      <c r="M235" s="73" t="n">
        <f aca="false">IF(OR(OPERATIONS!$O235=0,OPERATIONS!$C235="RECEPTION",OPERATIONS!$C235="AJUSTEMENT"),0,-OPERATIONS!$G235)</f>
        <v>0</v>
      </c>
      <c r="N235" s="73" t="n">
        <f aca="false">IF($M235=0,0,OPERATIONS!$R235*$M235)</f>
        <v>0</v>
      </c>
      <c r="O235" s="26" t="str">
        <f aca="false">IF($M235=0,"",OPERATIONS!$Q235)</f>
        <v/>
      </c>
      <c r="P235" s="26" t="str">
        <f aca="false">IF($G235="","",IF($G235=R_LOT,COUNTIF($G$5:$G235,R_LOT),""))</f>
        <v/>
      </c>
    </row>
    <row r="236" customFormat="false" ht="15" hidden="false" customHeight="false" outlineLevel="0" collapsed="false">
      <c r="A236" s="28" t="str">
        <f aca="false">IF($M236=0,"",ROW()-4)</f>
        <v/>
      </c>
      <c r="B236" s="26" t="str">
        <f aca="false">IF($M236=0,"","OPERATIONS")</f>
        <v/>
      </c>
      <c r="C236" s="26" t="str">
        <f aca="false">IF($M236=0,"",OPERATIONS!$A236)</f>
        <v/>
      </c>
      <c r="D236" s="31" t="str">
        <f aca="false">IF($M236=0,"",OPERATIONS!$B236)</f>
        <v/>
      </c>
      <c r="E236" s="26" t="str">
        <f aca="false">IF($M236=0,"","SORTIE")</f>
        <v/>
      </c>
      <c r="F236" s="26" t="str">
        <f aca="false">IF($M236=0,"",OPERATIONS!$C236)</f>
        <v/>
      </c>
      <c r="G236" s="26" t="str">
        <f aca="false">IF($M236=0,"",OPERATIONS!$D236)</f>
        <v/>
      </c>
      <c r="H236" s="26" t="str">
        <f aca="false">IF($G236="","",IFERROR(INDEX(LOT_EXTE,MATCH($G236,LOT_KEY,0)),""))</f>
        <v/>
      </c>
      <c r="I236" s="26" t="str">
        <f aca="false">IF($M236=0,"",OPERATIONS!$E236)</f>
        <v/>
      </c>
      <c r="J236" s="26" t="str">
        <f aca="false">IF($I236="","",IFERROR(INDEX(EMPL_CLASSE,MATCH($I236,EMPL_KEY,0)),""))</f>
        <v/>
      </c>
      <c r="K236" s="26" t="str">
        <f aca="false">IF($M236=0,"",OPERATIONS!$K236)</f>
        <v/>
      </c>
      <c r="L236" s="26" t="str">
        <f aca="false">IF($G236="","",IF(IFERROR(INDEX(LOT_ETAT,MATCH($G236,LOT_KEY,0)),"")="","",INDEX(LOT_ETAT,MATCH($G236,LOT_KEY,0))))</f>
        <v/>
      </c>
      <c r="M236" s="73" t="n">
        <f aca="false">IF(OR(OPERATIONS!$O236=0,OPERATIONS!$C236="RECEPTION",OPERATIONS!$C236="AJUSTEMENT"),0,-OPERATIONS!$G236)</f>
        <v>0</v>
      </c>
      <c r="N236" s="73" t="n">
        <f aca="false">IF($M236=0,0,OPERATIONS!$R236*$M236)</f>
        <v>0</v>
      </c>
      <c r="O236" s="26" t="str">
        <f aca="false">IF($M236=0,"",OPERATIONS!$Q236)</f>
        <v/>
      </c>
      <c r="P236" s="26" t="str">
        <f aca="false">IF($G236="","",IF($G236=R_LOT,COUNTIF($G$5:$G236,R_LOT),""))</f>
        <v/>
      </c>
    </row>
    <row r="237" customFormat="false" ht="15" hidden="false" customHeight="false" outlineLevel="0" collapsed="false">
      <c r="A237" s="28" t="str">
        <f aca="false">IF($M237=0,"",ROW()-4)</f>
        <v/>
      </c>
      <c r="B237" s="26" t="str">
        <f aca="false">IF($M237=0,"","OPERATIONS")</f>
        <v/>
      </c>
      <c r="C237" s="26" t="str">
        <f aca="false">IF($M237=0,"",OPERATIONS!$A237)</f>
        <v/>
      </c>
      <c r="D237" s="31" t="str">
        <f aca="false">IF($M237=0,"",OPERATIONS!$B237)</f>
        <v/>
      </c>
      <c r="E237" s="26" t="str">
        <f aca="false">IF($M237=0,"","SORTIE")</f>
        <v/>
      </c>
      <c r="F237" s="26" t="str">
        <f aca="false">IF($M237=0,"",OPERATIONS!$C237)</f>
        <v/>
      </c>
      <c r="G237" s="26" t="str">
        <f aca="false">IF($M237=0,"",OPERATIONS!$D237)</f>
        <v/>
      </c>
      <c r="H237" s="26" t="str">
        <f aca="false">IF($G237="","",IFERROR(INDEX(LOT_EXTE,MATCH($G237,LOT_KEY,0)),""))</f>
        <v/>
      </c>
      <c r="I237" s="26" t="str">
        <f aca="false">IF($M237=0,"",OPERATIONS!$E237)</f>
        <v/>
      </c>
      <c r="J237" s="26" t="str">
        <f aca="false">IF($I237="","",IFERROR(INDEX(EMPL_CLASSE,MATCH($I237,EMPL_KEY,0)),""))</f>
        <v/>
      </c>
      <c r="K237" s="26" t="str">
        <f aca="false">IF($M237=0,"",OPERATIONS!$K237)</f>
        <v/>
      </c>
      <c r="L237" s="26" t="str">
        <f aca="false">IF($G237="","",IF(IFERROR(INDEX(LOT_ETAT,MATCH($G237,LOT_KEY,0)),"")="","",INDEX(LOT_ETAT,MATCH($G237,LOT_KEY,0))))</f>
        <v/>
      </c>
      <c r="M237" s="73" t="n">
        <f aca="false">IF(OR(OPERATIONS!$O237=0,OPERATIONS!$C237="RECEPTION",OPERATIONS!$C237="AJUSTEMENT"),0,-OPERATIONS!$G237)</f>
        <v>0</v>
      </c>
      <c r="N237" s="73" t="n">
        <f aca="false">IF($M237=0,0,OPERATIONS!$R237*$M237)</f>
        <v>0</v>
      </c>
      <c r="O237" s="26" t="str">
        <f aca="false">IF($M237=0,"",OPERATIONS!$Q237)</f>
        <v/>
      </c>
      <c r="P237" s="26" t="str">
        <f aca="false">IF($G237="","",IF($G237=R_LOT,COUNTIF($G$5:$G237,R_LOT),""))</f>
        <v/>
      </c>
    </row>
    <row r="238" customFormat="false" ht="15" hidden="false" customHeight="false" outlineLevel="0" collapsed="false">
      <c r="A238" s="28" t="str">
        <f aca="false">IF($M238=0,"",ROW()-4)</f>
        <v/>
      </c>
      <c r="B238" s="26" t="str">
        <f aca="false">IF($M238=0,"","OPERATIONS")</f>
        <v/>
      </c>
      <c r="C238" s="26" t="str">
        <f aca="false">IF($M238=0,"",OPERATIONS!$A238)</f>
        <v/>
      </c>
      <c r="D238" s="31" t="str">
        <f aca="false">IF($M238=0,"",OPERATIONS!$B238)</f>
        <v/>
      </c>
      <c r="E238" s="26" t="str">
        <f aca="false">IF($M238=0,"","SORTIE")</f>
        <v/>
      </c>
      <c r="F238" s="26" t="str">
        <f aca="false">IF($M238=0,"",OPERATIONS!$C238)</f>
        <v/>
      </c>
      <c r="G238" s="26" t="str">
        <f aca="false">IF($M238=0,"",OPERATIONS!$D238)</f>
        <v/>
      </c>
      <c r="H238" s="26" t="str">
        <f aca="false">IF($G238="","",IFERROR(INDEX(LOT_EXTE,MATCH($G238,LOT_KEY,0)),""))</f>
        <v/>
      </c>
      <c r="I238" s="26" t="str">
        <f aca="false">IF($M238=0,"",OPERATIONS!$E238)</f>
        <v/>
      </c>
      <c r="J238" s="26" t="str">
        <f aca="false">IF($I238="","",IFERROR(INDEX(EMPL_CLASSE,MATCH($I238,EMPL_KEY,0)),""))</f>
        <v/>
      </c>
      <c r="K238" s="26" t="str">
        <f aca="false">IF($M238=0,"",OPERATIONS!$K238)</f>
        <v/>
      </c>
      <c r="L238" s="26" t="str">
        <f aca="false">IF($G238="","",IF(IFERROR(INDEX(LOT_ETAT,MATCH($G238,LOT_KEY,0)),"")="","",INDEX(LOT_ETAT,MATCH($G238,LOT_KEY,0))))</f>
        <v/>
      </c>
      <c r="M238" s="73" t="n">
        <f aca="false">IF(OR(OPERATIONS!$O238=0,OPERATIONS!$C238="RECEPTION",OPERATIONS!$C238="AJUSTEMENT"),0,-OPERATIONS!$G238)</f>
        <v>0</v>
      </c>
      <c r="N238" s="73" t="n">
        <f aca="false">IF($M238=0,0,OPERATIONS!$R238*$M238)</f>
        <v>0</v>
      </c>
      <c r="O238" s="26" t="str">
        <f aca="false">IF($M238=0,"",OPERATIONS!$Q238)</f>
        <v/>
      </c>
      <c r="P238" s="26" t="str">
        <f aca="false">IF($G238="","",IF($G238=R_LOT,COUNTIF($G$5:$G238,R_LOT),""))</f>
        <v/>
      </c>
    </row>
    <row r="239" customFormat="false" ht="15" hidden="false" customHeight="false" outlineLevel="0" collapsed="false">
      <c r="A239" s="28" t="str">
        <f aca="false">IF($M239=0,"",ROW()-4)</f>
        <v/>
      </c>
      <c r="B239" s="26" t="str">
        <f aca="false">IF($M239=0,"","OPERATIONS")</f>
        <v/>
      </c>
      <c r="C239" s="26" t="str">
        <f aca="false">IF($M239=0,"",OPERATIONS!$A239)</f>
        <v/>
      </c>
      <c r="D239" s="31" t="str">
        <f aca="false">IF($M239=0,"",OPERATIONS!$B239)</f>
        <v/>
      </c>
      <c r="E239" s="26" t="str">
        <f aca="false">IF($M239=0,"","SORTIE")</f>
        <v/>
      </c>
      <c r="F239" s="26" t="str">
        <f aca="false">IF($M239=0,"",OPERATIONS!$C239)</f>
        <v/>
      </c>
      <c r="G239" s="26" t="str">
        <f aca="false">IF($M239=0,"",OPERATIONS!$D239)</f>
        <v/>
      </c>
      <c r="H239" s="26" t="str">
        <f aca="false">IF($G239="","",IFERROR(INDEX(LOT_EXTE,MATCH($G239,LOT_KEY,0)),""))</f>
        <v/>
      </c>
      <c r="I239" s="26" t="str">
        <f aca="false">IF($M239=0,"",OPERATIONS!$E239)</f>
        <v/>
      </c>
      <c r="J239" s="26" t="str">
        <f aca="false">IF($I239="","",IFERROR(INDEX(EMPL_CLASSE,MATCH($I239,EMPL_KEY,0)),""))</f>
        <v/>
      </c>
      <c r="K239" s="26" t="str">
        <f aca="false">IF($M239=0,"",OPERATIONS!$K239)</f>
        <v/>
      </c>
      <c r="L239" s="26" t="str">
        <f aca="false">IF($G239="","",IF(IFERROR(INDEX(LOT_ETAT,MATCH($G239,LOT_KEY,0)),"")="","",INDEX(LOT_ETAT,MATCH($G239,LOT_KEY,0))))</f>
        <v/>
      </c>
      <c r="M239" s="73" t="n">
        <f aca="false">IF(OR(OPERATIONS!$O239=0,OPERATIONS!$C239="RECEPTION",OPERATIONS!$C239="AJUSTEMENT"),0,-OPERATIONS!$G239)</f>
        <v>0</v>
      </c>
      <c r="N239" s="73" t="n">
        <f aca="false">IF($M239=0,0,OPERATIONS!$R239*$M239)</f>
        <v>0</v>
      </c>
      <c r="O239" s="26" t="str">
        <f aca="false">IF($M239=0,"",OPERATIONS!$Q239)</f>
        <v/>
      </c>
      <c r="P239" s="26" t="str">
        <f aca="false">IF($G239="","",IF($G239=R_LOT,COUNTIF($G$5:$G239,R_LOT),""))</f>
        <v/>
      </c>
    </row>
    <row r="240" customFormat="false" ht="15" hidden="false" customHeight="false" outlineLevel="0" collapsed="false">
      <c r="A240" s="28" t="str">
        <f aca="false">IF($M240=0,"",ROW()-4)</f>
        <v/>
      </c>
      <c r="B240" s="26" t="str">
        <f aca="false">IF($M240=0,"","OPERATIONS")</f>
        <v/>
      </c>
      <c r="C240" s="26" t="str">
        <f aca="false">IF($M240=0,"",OPERATIONS!$A240)</f>
        <v/>
      </c>
      <c r="D240" s="31" t="str">
        <f aca="false">IF($M240=0,"",OPERATIONS!$B240)</f>
        <v/>
      </c>
      <c r="E240" s="26" t="str">
        <f aca="false">IF($M240=0,"","SORTIE")</f>
        <v/>
      </c>
      <c r="F240" s="26" t="str">
        <f aca="false">IF($M240=0,"",OPERATIONS!$C240)</f>
        <v/>
      </c>
      <c r="G240" s="26" t="str">
        <f aca="false">IF($M240=0,"",OPERATIONS!$D240)</f>
        <v/>
      </c>
      <c r="H240" s="26" t="str">
        <f aca="false">IF($G240="","",IFERROR(INDEX(LOT_EXTE,MATCH($G240,LOT_KEY,0)),""))</f>
        <v/>
      </c>
      <c r="I240" s="26" t="str">
        <f aca="false">IF($M240=0,"",OPERATIONS!$E240)</f>
        <v/>
      </c>
      <c r="J240" s="26" t="str">
        <f aca="false">IF($I240="","",IFERROR(INDEX(EMPL_CLASSE,MATCH($I240,EMPL_KEY,0)),""))</f>
        <v/>
      </c>
      <c r="K240" s="26" t="str">
        <f aca="false">IF($M240=0,"",OPERATIONS!$K240)</f>
        <v/>
      </c>
      <c r="L240" s="26" t="str">
        <f aca="false">IF($G240="","",IF(IFERROR(INDEX(LOT_ETAT,MATCH($G240,LOT_KEY,0)),"")="","",INDEX(LOT_ETAT,MATCH($G240,LOT_KEY,0))))</f>
        <v/>
      </c>
      <c r="M240" s="73" t="n">
        <f aca="false">IF(OR(OPERATIONS!$O240=0,OPERATIONS!$C240="RECEPTION",OPERATIONS!$C240="AJUSTEMENT"),0,-OPERATIONS!$G240)</f>
        <v>0</v>
      </c>
      <c r="N240" s="73" t="n">
        <f aca="false">IF($M240=0,0,OPERATIONS!$R240*$M240)</f>
        <v>0</v>
      </c>
      <c r="O240" s="26" t="str">
        <f aca="false">IF($M240=0,"",OPERATIONS!$Q240)</f>
        <v/>
      </c>
      <c r="P240" s="26" t="str">
        <f aca="false">IF($G240="","",IF($G240=R_LOT,COUNTIF($G$5:$G240,R_LOT),""))</f>
        <v/>
      </c>
    </row>
    <row r="241" customFormat="false" ht="15" hidden="false" customHeight="false" outlineLevel="0" collapsed="false">
      <c r="A241" s="28" t="str">
        <f aca="false">IF($M241=0,"",ROW()-4)</f>
        <v/>
      </c>
      <c r="B241" s="26" t="str">
        <f aca="false">IF($M241=0,"","OPERATIONS")</f>
        <v/>
      </c>
      <c r="C241" s="26" t="str">
        <f aca="false">IF($M241=0,"",OPERATIONS!$A241)</f>
        <v/>
      </c>
      <c r="D241" s="31" t="str">
        <f aca="false">IF($M241=0,"",OPERATIONS!$B241)</f>
        <v/>
      </c>
      <c r="E241" s="26" t="str">
        <f aca="false">IF($M241=0,"","SORTIE")</f>
        <v/>
      </c>
      <c r="F241" s="26" t="str">
        <f aca="false">IF($M241=0,"",OPERATIONS!$C241)</f>
        <v/>
      </c>
      <c r="G241" s="26" t="str">
        <f aca="false">IF($M241=0,"",OPERATIONS!$D241)</f>
        <v/>
      </c>
      <c r="H241" s="26" t="str">
        <f aca="false">IF($G241="","",IFERROR(INDEX(LOT_EXTE,MATCH($G241,LOT_KEY,0)),""))</f>
        <v/>
      </c>
      <c r="I241" s="26" t="str">
        <f aca="false">IF($M241=0,"",OPERATIONS!$E241)</f>
        <v/>
      </c>
      <c r="J241" s="26" t="str">
        <f aca="false">IF($I241="","",IFERROR(INDEX(EMPL_CLASSE,MATCH($I241,EMPL_KEY,0)),""))</f>
        <v/>
      </c>
      <c r="K241" s="26" t="str">
        <f aca="false">IF($M241=0,"",OPERATIONS!$K241)</f>
        <v/>
      </c>
      <c r="L241" s="26" t="str">
        <f aca="false">IF($G241="","",IF(IFERROR(INDEX(LOT_ETAT,MATCH($G241,LOT_KEY,0)),"")="","",INDEX(LOT_ETAT,MATCH($G241,LOT_KEY,0))))</f>
        <v/>
      </c>
      <c r="M241" s="73" t="n">
        <f aca="false">IF(OR(OPERATIONS!$O241=0,OPERATIONS!$C241="RECEPTION",OPERATIONS!$C241="AJUSTEMENT"),0,-OPERATIONS!$G241)</f>
        <v>0</v>
      </c>
      <c r="N241" s="73" t="n">
        <f aca="false">IF($M241=0,0,OPERATIONS!$R241*$M241)</f>
        <v>0</v>
      </c>
      <c r="O241" s="26" t="str">
        <f aca="false">IF($M241=0,"",OPERATIONS!$Q241)</f>
        <v/>
      </c>
      <c r="P241" s="26" t="str">
        <f aca="false">IF($G241="","",IF($G241=R_LOT,COUNTIF($G$5:$G241,R_LOT),""))</f>
        <v/>
      </c>
    </row>
    <row r="242" customFormat="false" ht="15" hidden="false" customHeight="false" outlineLevel="0" collapsed="false">
      <c r="A242" s="28" t="str">
        <f aca="false">IF($M242=0,"",ROW()-4)</f>
        <v/>
      </c>
      <c r="B242" s="26" t="str">
        <f aca="false">IF($M242=0,"","OPERATIONS")</f>
        <v/>
      </c>
      <c r="C242" s="26" t="str">
        <f aca="false">IF($M242=0,"",OPERATIONS!$A242)</f>
        <v/>
      </c>
      <c r="D242" s="31" t="str">
        <f aca="false">IF($M242=0,"",OPERATIONS!$B242)</f>
        <v/>
      </c>
      <c r="E242" s="26" t="str">
        <f aca="false">IF($M242=0,"","SORTIE")</f>
        <v/>
      </c>
      <c r="F242" s="26" t="str">
        <f aca="false">IF($M242=0,"",OPERATIONS!$C242)</f>
        <v/>
      </c>
      <c r="G242" s="26" t="str">
        <f aca="false">IF($M242=0,"",OPERATIONS!$D242)</f>
        <v/>
      </c>
      <c r="H242" s="26" t="str">
        <f aca="false">IF($G242="","",IFERROR(INDEX(LOT_EXTE,MATCH($G242,LOT_KEY,0)),""))</f>
        <v/>
      </c>
      <c r="I242" s="26" t="str">
        <f aca="false">IF($M242=0,"",OPERATIONS!$E242)</f>
        <v/>
      </c>
      <c r="J242" s="26" t="str">
        <f aca="false">IF($I242="","",IFERROR(INDEX(EMPL_CLASSE,MATCH($I242,EMPL_KEY,0)),""))</f>
        <v/>
      </c>
      <c r="K242" s="26" t="str">
        <f aca="false">IF($M242=0,"",OPERATIONS!$K242)</f>
        <v/>
      </c>
      <c r="L242" s="26" t="str">
        <f aca="false">IF($G242="","",IF(IFERROR(INDEX(LOT_ETAT,MATCH($G242,LOT_KEY,0)),"")="","",INDEX(LOT_ETAT,MATCH($G242,LOT_KEY,0))))</f>
        <v/>
      </c>
      <c r="M242" s="73" t="n">
        <f aca="false">IF(OR(OPERATIONS!$O242=0,OPERATIONS!$C242="RECEPTION",OPERATIONS!$C242="AJUSTEMENT"),0,-OPERATIONS!$G242)</f>
        <v>0</v>
      </c>
      <c r="N242" s="73" t="n">
        <f aca="false">IF($M242=0,0,OPERATIONS!$R242*$M242)</f>
        <v>0</v>
      </c>
      <c r="O242" s="26" t="str">
        <f aca="false">IF($M242=0,"",OPERATIONS!$Q242)</f>
        <v/>
      </c>
      <c r="P242" s="26" t="str">
        <f aca="false">IF($G242="","",IF($G242=R_LOT,COUNTIF($G$5:$G242,R_LOT),""))</f>
        <v/>
      </c>
    </row>
    <row r="243" customFormat="false" ht="15" hidden="false" customHeight="false" outlineLevel="0" collapsed="false">
      <c r="A243" s="28" t="str">
        <f aca="false">IF($M243=0,"",ROW()-4)</f>
        <v/>
      </c>
      <c r="B243" s="26" t="str">
        <f aca="false">IF($M243=0,"","OPERATIONS")</f>
        <v/>
      </c>
      <c r="C243" s="26" t="str">
        <f aca="false">IF($M243=0,"",OPERATIONS!$A243)</f>
        <v/>
      </c>
      <c r="D243" s="31" t="str">
        <f aca="false">IF($M243=0,"",OPERATIONS!$B243)</f>
        <v/>
      </c>
      <c r="E243" s="26" t="str">
        <f aca="false">IF($M243=0,"","SORTIE")</f>
        <v/>
      </c>
      <c r="F243" s="26" t="str">
        <f aca="false">IF($M243=0,"",OPERATIONS!$C243)</f>
        <v/>
      </c>
      <c r="G243" s="26" t="str">
        <f aca="false">IF($M243=0,"",OPERATIONS!$D243)</f>
        <v/>
      </c>
      <c r="H243" s="26" t="str">
        <f aca="false">IF($G243="","",IFERROR(INDEX(LOT_EXTE,MATCH($G243,LOT_KEY,0)),""))</f>
        <v/>
      </c>
      <c r="I243" s="26" t="str">
        <f aca="false">IF($M243=0,"",OPERATIONS!$E243)</f>
        <v/>
      </c>
      <c r="J243" s="26" t="str">
        <f aca="false">IF($I243="","",IFERROR(INDEX(EMPL_CLASSE,MATCH($I243,EMPL_KEY,0)),""))</f>
        <v/>
      </c>
      <c r="K243" s="26" t="str">
        <f aca="false">IF($M243=0,"",OPERATIONS!$K243)</f>
        <v/>
      </c>
      <c r="L243" s="26" t="str">
        <f aca="false">IF($G243="","",IF(IFERROR(INDEX(LOT_ETAT,MATCH($G243,LOT_KEY,0)),"")="","",INDEX(LOT_ETAT,MATCH($G243,LOT_KEY,0))))</f>
        <v/>
      </c>
      <c r="M243" s="73" t="n">
        <f aca="false">IF(OR(OPERATIONS!$O243=0,OPERATIONS!$C243="RECEPTION",OPERATIONS!$C243="AJUSTEMENT"),0,-OPERATIONS!$G243)</f>
        <v>0</v>
      </c>
      <c r="N243" s="73" t="n">
        <f aca="false">IF($M243=0,0,OPERATIONS!$R243*$M243)</f>
        <v>0</v>
      </c>
      <c r="O243" s="26" t="str">
        <f aca="false">IF($M243=0,"",OPERATIONS!$Q243)</f>
        <v/>
      </c>
      <c r="P243" s="26" t="str">
        <f aca="false">IF($G243="","",IF($G243=R_LOT,COUNTIF($G$5:$G243,R_LOT),""))</f>
        <v/>
      </c>
    </row>
    <row r="244" customFormat="false" ht="15" hidden="false" customHeight="false" outlineLevel="0" collapsed="false">
      <c r="A244" s="28" t="str">
        <f aca="false">IF($M244=0,"",ROW()-4)</f>
        <v/>
      </c>
      <c r="B244" s="26" t="str">
        <f aca="false">IF($M244=0,"","OPERATIONS")</f>
        <v/>
      </c>
      <c r="C244" s="26" t="str">
        <f aca="false">IF($M244=0,"",OPERATIONS!$A244)</f>
        <v/>
      </c>
      <c r="D244" s="31" t="str">
        <f aca="false">IF($M244=0,"",OPERATIONS!$B244)</f>
        <v/>
      </c>
      <c r="E244" s="26" t="str">
        <f aca="false">IF($M244=0,"","SORTIE")</f>
        <v/>
      </c>
      <c r="F244" s="26" t="str">
        <f aca="false">IF($M244=0,"",OPERATIONS!$C244)</f>
        <v/>
      </c>
      <c r="G244" s="26" t="str">
        <f aca="false">IF($M244=0,"",OPERATIONS!$D244)</f>
        <v/>
      </c>
      <c r="H244" s="26" t="str">
        <f aca="false">IF($G244="","",IFERROR(INDEX(LOT_EXTE,MATCH($G244,LOT_KEY,0)),""))</f>
        <v/>
      </c>
      <c r="I244" s="26" t="str">
        <f aca="false">IF($M244=0,"",OPERATIONS!$E244)</f>
        <v/>
      </c>
      <c r="J244" s="26" t="str">
        <f aca="false">IF($I244="","",IFERROR(INDEX(EMPL_CLASSE,MATCH($I244,EMPL_KEY,0)),""))</f>
        <v/>
      </c>
      <c r="K244" s="26" t="str">
        <f aca="false">IF($M244=0,"",OPERATIONS!$K244)</f>
        <v/>
      </c>
      <c r="L244" s="26" t="str">
        <f aca="false">IF($G244="","",IF(IFERROR(INDEX(LOT_ETAT,MATCH($G244,LOT_KEY,0)),"")="","",INDEX(LOT_ETAT,MATCH($G244,LOT_KEY,0))))</f>
        <v/>
      </c>
      <c r="M244" s="73" t="n">
        <f aca="false">IF(OR(OPERATIONS!$O244=0,OPERATIONS!$C244="RECEPTION",OPERATIONS!$C244="AJUSTEMENT"),0,-OPERATIONS!$G244)</f>
        <v>0</v>
      </c>
      <c r="N244" s="73" t="n">
        <f aca="false">IF($M244=0,0,OPERATIONS!$R244*$M244)</f>
        <v>0</v>
      </c>
      <c r="O244" s="26" t="str">
        <f aca="false">IF($M244=0,"",OPERATIONS!$Q244)</f>
        <v/>
      </c>
      <c r="P244" s="26" t="str">
        <f aca="false">IF($G244="","",IF($G244=R_LOT,COUNTIF($G$5:$G244,R_LOT),""))</f>
        <v/>
      </c>
    </row>
    <row r="245" customFormat="false" ht="15" hidden="false" customHeight="false" outlineLevel="0" collapsed="false">
      <c r="A245" s="28" t="str">
        <f aca="false">IF($M245=0,"",ROW()-4)</f>
        <v/>
      </c>
      <c r="B245" s="26" t="str">
        <f aca="false">IF($M245=0,"","OPERATIONS")</f>
        <v/>
      </c>
      <c r="C245" s="26" t="str">
        <f aca="false">IF($M245=0,"",OPERATIONS!$A245)</f>
        <v/>
      </c>
      <c r="D245" s="31" t="str">
        <f aca="false">IF($M245=0,"",OPERATIONS!$B245)</f>
        <v/>
      </c>
      <c r="E245" s="26" t="str">
        <f aca="false">IF($M245=0,"","SORTIE")</f>
        <v/>
      </c>
      <c r="F245" s="26" t="str">
        <f aca="false">IF($M245=0,"",OPERATIONS!$C245)</f>
        <v/>
      </c>
      <c r="G245" s="26" t="str">
        <f aca="false">IF($M245=0,"",OPERATIONS!$D245)</f>
        <v/>
      </c>
      <c r="H245" s="26" t="str">
        <f aca="false">IF($G245="","",IFERROR(INDEX(LOT_EXTE,MATCH($G245,LOT_KEY,0)),""))</f>
        <v/>
      </c>
      <c r="I245" s="26" t="str">
        <f aca="false">IF($M245=0,"",OPERATIONS!$E245)</f>
        <v/>
      </c>
      <c r="J245" s="26" t="str">
        <f aca="false">IF($I245="","",IFERROR(INDEX(EMPL_CLASSE,MATCH($I245,EMPL_KEY,0)),""))</f>
        <v/>
      </c>
      <c r="K245" s="26" t="str">
        <f aca="false">IF($M245=0,"",OPERATIONS!$K245)</f>
        <v/>
      </c>
      <c r="L245" s="26" t="str">
        <f aca="false">IF($G245="","",IF(IFERROR(INDEX(LOT_ETAT,MATCH($G245,LOT_KEY,0)),"")="","",INDEX(LOT_ETAT,MATCH($G245,LOT_KEY,0))))</f>
        <v/>
      </c>
      <c r="M245" s="73" t="n">
        <f aca="false">IF(OR(OPERATIONS!$O245=0,OPERATIONS!$C245="RECEPTION",OPERATIONS!$C245="AJUSTEMENT"),0,-OPERATIONS!$G245)</f>
        <v>0</v>
      </c>
      <c r="N245" s="73" t="n">
        <f aca="false">IF($M245=0,0,OPERATIONS!$R245*$M245)</f>
        <v>0</v>
      </c>
      <c r="O245" s="26" t="str">
        <f aca="false">IF($M245=0,"",OPERATIONS!$Q245)</f>
        <v/>
      </c>
      <c r="P245" s="26" t="str">
        <f aca="false">IF($G245="","",IF($G245=R_LOT,COUNTIF($G$5:$G245,R_LOT),""))</f>
        <v/>
      </c>
    </row>
    <row r="246" customFormat="false" ht="15" hidden="false" customHeight="false" outlineLevel="0" collapsed="false">
      <c r="A246" s="28" t="str">
        <f aca="false">IF($M246=0,"",ROW()-4)</f>
        <v/>
      </c>
      <c r="B246" s="26" t="str">
        <f aca="false">IF($M246=0,"","OPERATIONS")</f>
        <v/>
      </c>
      <c r="C246" s="26" t="str">
        <f aca="false">IF($M246=0,"",OPERATIONS!$A246)</f>
        <v/>
      </c>
      <c r="D246" s="31" t="str">
        <f aca="false">IF($M246=0,"",OPERATIONS!$B246)</f>
        <v/>
      </c>
      <c r="E246" s="26" t="str">
        <f aca="false">IF($M246=0,"","SORTIE")</f>
        <v/>
      </c>
      <c r="F246" s="26" t="str">
        <f aca="false">IF($M246=0,"",OPERATIONS!$C246)</f>
        <v/>
      </c>
      <c r="G246" s="26" t="str">
        <f aca="false">IF($M246=0,"",OPERATIONS!$D246)</f>
        <v/>
      </c>
      <c r="H246" s="26" t="str">
        <f aca="false">IF($G246="","",IFERROR(INDEX(LOT_EXTE,MATCH($G246,LOT_KEY,0)),""))</f>
        <v/>
      </c>
      <c r="I246" s="26" t="str">
        <f aca="false">IF($M246=0,"",OPERATIONS!$E246)</f>
        <v/>
      </c>
      <c r="J246" s="26" t="str">
        <f aca="false">IF($I246="","",IFERROR(INDEX(EMPL_CLASSE,MATCH($I246,EMPL_KEY,0)),""))</f>
        <v/>
      </c>
      <c r="K246" s="26" t="str">
        <f aca="false">IF($M246=0,"",OPERATIONS!$K246)</f>
        <v/>
      </c>
      <c r="L246" s="26" t="str">
        <f aca="false">IF($G246="","",IF(IFERROR(INDEX(LOT_ETAT,MATCH($G246,LOT_KEY,0)),"")="","",INDEX(LOT_ETAT,MATCH($G246,LOT_KEY,0))))</f>
        <v/>
      </c>
      <c r="M246" s="73" t="n">
        <f aca="false">IF(OR(OPERATIONS!$O246=0,OPERATIONS!$C246="RECEPTION",OPERATIONS!$C246="AJUSTEMENT"),0,-OPERATIONS!$G246)</f>
        <v>0</v>
      </c>
      <c r="N246" s="73" t="n">
        <f aca="false">IF($M246=0,0,OPERATIONS!$R246*$M246)</f>
        <v>0</v>
      </c>
      <c r="O246" s="26" t="str">
        <f aca="false">IF($M246=0,"",OPERATIONS!$Q246)</f>
        <v/>
      </c>
      <c r="P246" s="26" t="str">
        <f aca="false">IF($G246="","",IF($G246=R_LOT,COUNTIF($G$5:$G246,R_LOT),""))</f>
        <v/>
      </c>
    </row>
    <row r="247" customFormat="false" ht="15" hidden="false" customHeight="false" outlineLevel="0" collapsed="false">
      <c r="A247" s="28" t="str">
        <f aca="false">IF($M247=0,"",ROW()-4)</f>
        <v/>
      </c>
      <c r="B247" s="26" t="str">
        <f aca="false">IF($M247=0,"","OPERATIONS")</f>
        <v/>
      </c>
      <c r="C247" s="26" t="str">
        <f aca="false">IF($M247=0,"",OPERATIONS!$A247)</f>
        <v/>
      </c>
      <c r="D247" s="31" t="str">
        <f aca="false">IF($M247=0,"",OPERATIONS!$B247)</f>
        <v/>
      </c>
      <c r="E247" s="26" t="str">
        <f aca="false">IF($M247=0,"","SORTIE")</f>
        <v/>
      </c>
      <c r="F247" s="26" t="str">
        <f aca="false">IF($M247=0,"",OPERATIONS!$C247)</f>
        <v/>
      </c>
      <c r="G247" s="26" t="str">
        <f aca="false">IF($M247=0,"",OPERATIONS!$D247)</f>
        <v/>
      </c>
      <c r="H247" s="26" t="str">
        <f aca="false">IF($G247="","",IFERROR(INDEX(LOT_EXTE,MATCH($G247,LOT_KEY,0)),""))</f>
        <v/>
      </c>
      <c r="I247" s="26" t="str">
        <f aca="false">IF($M247=0,"",OPERATIONS!$E247)</f>
        <v/>
      </c>
      <c r="J247" s="26" t="str">
        <f aca="false">IF($I247="","",IFERROR(INDEX(EMPL_CLASSE,MATCH($I247,EMPL_KEY,0)),""))</f>
        <v/>
      </c>
      <c r="K247" s="26" t="str">
        <f aca="false">IF($M247=0,"",OPERATIONS!$K247)</f>
        <v/>
      </c>
      <c r="L247" s="26" t="str">
        <f aca="false">IF($G247="","",IF(IFERROR(INDEX(LOT_ETAT,MATCH($G247,LOT_KEY,0)),"")="","",INDEX(LOT_ETAT,MATCH($G247,LOT_KEY,0))))</f>
        <v/>
      </c>
      <c r="M247" s="73" t="n">
        <f aca="false">IF(OR(OPERATIONS!$O247=0,OPERATIONS!$C247="RECEPTION",OPERATIONS!$C247="AJUSTEMENT"),0,-OPERATIONS!$G247)</f>
        <v>0</v>
      </c>
      <c r="N247" s="73" t="n">
        <f aca="false">IF($M247=0,0,OPERATIONS!$R247*$M247)</f>
        <v>0</v>
      </c>
      <c r="O247" s="26" t="str">
        <f aca="false">IF($M247=0,"",OPERATIONS!$Q247)</f>
        <v/>
      </c>
      <c r="P247" s="26" t="str">
        <f aca="false">IF($G247="","",IF($G247=R_LOT,COUNTIF($G$5:$G247,R_LOT),""))</f>
        <v/>
      </c>
    </row>
    <row r="248" customFormat="false" ht="15" hidden="false" customHeight="false" outlineLevel="0" collapsed="false">
      <c r="A248" s="28" t="str">
        <f aca="false">IF($M248=0,"",ROW()-4)</f>
        <v/>
      </c>
      <c r="B248" s="26" t="str">
        <f aca="false">IF($M248=0,"","OPERATIONS")</f>
        <v/>
      </c>
      <c r="C248" s="26" t="str">
        <f aca="false">IF($M248=0,"",OPERATIONS!$A248)</f>
        <v/>
      </c>
      <c r="D248" s="31" t="str">
        <f aca="false">IF($M248=0,"",OPERATIONS!$B248)</f>
        <v/>
      </c>
      <c r="E248" s="26" t="str">
        <f aca="false">IF($M248=0,"","SORTIE")</f>
        <v/>
      </c>
      <c r="F248" s="26" t="str">
        <f aca="false">IF($M248=0,"",OPERATIONS!$C248)</f>
        <v/>
      </c>
      <c r="G248" s="26" t="str">
        <f aca="false">IF($M248=0,"",OPERATIONS!$D248)</f>
        <v/>
      </c>
      <c r="H248" s="26" t="str">
        <f aca="false">IF($G248="","",IFERROR(INDEX(LOT_EXTE,MATCH($G248,LOT_KEY,0)),""))</f>
        <v/>
      </c>
      <c r="I248" s="26" t="str">
        <f aca="false">IF($M248=0,"",OPERATIONS!$E248)</f>
        <v/>
      </c>
      <c r="J248" s="26" t="str">
        <f aca="false">IF($I248="","",IFERROR(INDEX(EMPL_CLASSE,MATCH($I248,EMPL_KEY,0)),""))</f>
        <v/>
      </c>
      <c r="K248" s="26" t="str">
        <f aca="false">IF($M248=0,"",OPERATIONS!$K248)</f>
        <v/>
      </c>
      <c r="L248" s="26" t="str">
        <f aca="false">IF($G248="","",IF(IFERROR(INDEX(LOT_ETAT,MATCH($G248,LOT_KEY,0)),"")="","",INDEX(LOT_ETAT,MATCH($G248,LOT_KEY,0))))</f>
        <v/>
      </c>
      <c r="M248" s="73" t="n">
        <f aca="false">IF(OR(OPERATIONS!$O248=0,OPERATIONS!$C248="RECEPTION",OPERATIONS!$C248="AJUSTEMENT"),0,-OPERATIONS!$G248)</f>
        <v>0</v>
      </c>
      <c r="N248" s="73" t="n">
        <f aca="false">IF($M248=0,0,OPERATIONS!$R248*$M248)</f>
        <v>0</v>
      </c>
      <c r="O248" s="26" t="str">
        <f aca="false">IF($M248=0,"",OPERATIONS!$Q248)</f>
        <v/>
      </c>
      <c r="P248" s="26" t="str">
        <f aca="false">IF($G248="","",IF($G248=R_LOT,COUNTIF($G$5:$G248,R_LOT),""))</f>
        <v/>
      </c>
    </row>
    <row r="249" customFormat="false" ht="15" hidden="false" customHeight="false" outlineLevel="0" collapsed="false">
      <c r="A249" s="28" t="str">
        <f aca="false">IF($M249=0,"",ROW()-4)</f>
        <v/>
      </c>
      <c r="B249" s="26" t="str">
        <f aca="false">IF($M249=0,"","OPERATIONS")</f>
        <v/>
      </c>
      <c r="C249" s="26" t="str">
        <f aca="false">IF($M249=0,"",OPERATIONS!$A249)</f>
        <v/>
      </c>
      <c r="D249" s="31" t="str">
        <f aca="false">IF($M249=0,"",OPERATIONS!$B249)</f>
        <v/>
      </c>
      <c r="E249" s="26" t="str">
        <f aca="false">IF($M249=0,"","SORTIE")</f>
        <v/>
      </c>
      <c r="F249" s="26" t="str">
        <f aca="false">IF($M249=0,"",OPERATIONS!$C249)</f>
        <v/>
      </c>
      <c r="G249" s="26" t="str">
        <f aca="false">IF($M249=0,"",OPERATIONS!$D249)</f>
        <v/>
      </c>
      <c r="H249" s="26" t="str">
        <f aca="false">IF($G249="","",IFERROR(INDEX(LOT_EXTE,MATCH($G249,LOT_KEY,0)),""))</f>
        <v/>
      </c>
      <c r="I249" s="26" t="str">
        <f aca="false">IF($M249=0,"",OPERATIONS!$E249)</f>
        <v/>
      </c>
      <c r="J249" s="26" t="str">
        <f aca="false">IF($I249="","",IFERROR(INDEX(EMPL_CLASSE,MATCH($I249,EMPL_KEY,0)),""))</f>
        <v/>
      </c>
      <c r="K249" s="26" t="str">
        <f aca="false">IF($M249=0,"",OPERATIONS!$K249)</f>
        <v/>
      </c>
      <c r="L249" s="26" t="str">
        <f aca="false">IF($G249="","",IF(IFERROR(INDEX(LOT_ETAT,MATCH($G249,LOT_KEY,0)),"")="","",INDEX(LOT_ETAT,MATCH($G249,LOT_KEY,0))))</f>
        <v/>
      </c>
      <c r="M249" s="73" t="n">
        <f aca="false">IF(OR(OPERATIONS!$O249=0,OPERATIONS!$C249="RECEPTION",OPERATIONS!$C249="AJUSTEMENT"),0,-OPERATIONS!$G249)</f>
        <v>0</v>
      </c>
      <c r="N249" s="73" t="n">
        <f aca="false">IF($M249=0,0,OPERATIONS!$R249*$M249)</f>
        <v>0</v>
      </c>
      <c r="O249" s="26" t="str">
        <f aca="false">IF($M249=0,"",OPERATIONS!$Q249)</f>
        <v/>
      </c>
      <c r="P249" s="26" t="str">
        <f aca="false">IF($G249="","",IF($G249=R_LOT,COUNTIF($G$5:$G249,R_LOT),""))</f>
        <v/>
      </c>
    </row>
    <row r="250" customFormat="false" ht="15" hidden="false" customHeight="false" outlineLevel="0" collapsed="false">
      <c r="A250" s="28" t="str">
        <f aca="false">IF($M250=0,"",ROW()-4)</f>
        <v/>
      </c>
      <c r="B250" s="26" t="str">
        <f aca="false">IF($M250=0,"","OPERATIONS")</f>
        <v/>
      </c>
      <c r="C250" s="26" t="str">
        <f aca="false">IF($M250=0,"",OPERATIONS!$A250)</f>
        <v/>
      </c>
      <c r="D250" s="31" t="str">
        <f aca="false">IF($M250=0,"",OPERATIONS!$B250)</f>
        <v/>
      </c>
      <c r="E250" s="26" t="str">
        <f aca="false">IF($M250=0,"","SORTIE")</f>
        <v/>
      </c>
      <c r="F250" s="26" t="str">
        <f aca="false">IF($M250=0,"",OPERATIONS!$C250)</f>
        <v/>
      </c>
      <c r="G250" s="26" t="str">
        <f aca="false">IF($M250=0,"",OPERATIONS!$D250)</f>
        <v/>
      </c>
      <c r="H250" s="26" t="str">
        <f aca="false">IF($G250="","",IFERROR(INDEX(LOT_EXTE,MATCH($G250,LOT_KEY,0)),""))</f>
        <v/>
      </c>
      <c r="I250" s="26" t="str">
        <f aca="false">IF($M250=0,"",OPERATIONS!$E250)</f>
        <v/>
      </c>
      <c r="J250" s="26" t="str">
        <f aca="false">IF($I250="","",IFERROR(INDEX(EMPL_CLASSE,MATCH($I250,EMPL_KEY,0)),""))</f>
        <v/>
      </c>
      <c r="K250" s="26" t="str">
        <f aca="false">IF($M250=0,"",OPERATIONS!$K250)</f>
        <v/>
      </c>
      <c r="L250" s="26" t="str">
        <f aca="false">IF($G250="","",IF(IFERROR(INDEX(LOT_ETAT,MATCH($G250,LOT_KEY,0)),"")="","",INDEX(LOT_ETAT,MATCH($G250,LOT_KEY,0))))</f>
        <v/>
      </c>
      <c r="M250" s="73" t="n">
        <f aca="false">IF(OR(OPERATIONS!$O250=0,OPERATIONS!$C250="RECEPTION",OPERATIONS!$C250="AJUSTEMENT"),0,-OPERATIONS!$G250)</f>
        <v>0</v>
      </c>
      <c r="N250" s="73" t="n">
        <f aca="false">IF($M250=0,0,OPERATIONS!$R250*$M250)</f>
        <v>0</v>
      </c>
      <c r="O250" s="26" t="str">
        <f aca="false">IF($M250=0,"",OPERATIONS!$Q250)</f>
        <v/>
      </c>
      <c r="P250" s="26" t="str">
        <f aca="false">IF($G250="","",IF($G250=R_LOT,COUNTIF($G$5:$G250,R_LOT),""))</f>
        <v/>
      </c>
    </row>
    <row r="251" customFormat="false" ht="15" hidden="false" customHeight="false" outlineLevel="0" collapsed="false">
      <c r="A251" s="28" t="str">
        <f aca="false">IF($M251=0,"",ROW()-4)</f>
        <v/>
      </c>
      <c r="B251" s="26" t="str">
        <f aca="false">IF($M251=0,"","OPERATIONS")</f>
        <v/>
      </c>
      <c r="C251" s="26" t="str">
        <f aca="false">IF($M251=0,"",OPERATIONS!$A251)</f>
        <v/>
      </c>
      <c r="D251" s="31" t="str">
        <f aca="false">IF($M251=0,"",OPERATIONS!$B251)</f>
        <v/>
      </c>
      <c r="E251" s="26" t="str">
        <f aca="false">IF($M251=0,"","SORTIE")</f>
        <v/>
      </c>
      <c r="F251" s="26" t="str">
        <f aca="false">IF($M251=0,"",OPERATIONS!$C251)</f>
        <v/>
      </c>
      <c r="G251" s="26" t="str">
        <f aca="false">IF($M251=0,"",OPERATIONS!$D251)</f>
        <v/>
      </c>
      <c r="H251" s="26" t="str">
        <f aca="false">IF($G251="","",IFERROR(INDEX(LOT_EXTE,MATCH($G251,LOT_KEY,0)),""))</f>
        <v/>
      </c>
      <c r="I251" s="26" t="str">
        <f aca="false">IF($M251=0,"",OPERATIONS!$E251)</f>
        <v/>
      </c>
      <c r="J251" s="26" t="str">
        <f aca="false">IF($I251="","",IFERROR(INDEX(EMPL_CLASSE,MATCH($I251,EMPL_KEY,0)),""))</f>
        <v/>
      </c>
      <c r="K251" s="26" t="str">
        <f aca="false">IF($M251=0,"",OPERATIONS!$K251)</f>
        <v/>
      </c>
      <c r="L251" s="26" t="str">
        <f aca="false">IF($G251="","",IF(IFERROR(INDEX(LOT_ETAT,MATCH($G251,LOT_KEY,0)),"")="","",INDEX(LOT_ETAT,MATCH($G251,LOT_KEY,0))))</f>
        <v/>
      </c>
      <c r="M251" s="73" t="n">
        <f aca="false">IF(OR(OPERATIONS!$O251=0,OPERATIONS!$C251="RECEPTION",OPERATIONS!$C251="AJUSTEMENT"),0,-OPERATIONS!$G251)</f>
        <v>0</v>
      </c>
      <c r="N251" s="73" t="n">
        <f aca="false">IF($M251=0,0,OPERATIONS!$R251*$M251)</f>
        <v>0</v>
      </c>
      <c r="O251" s="26" t="str">
        <f aca="false">IF($M251=0,"",OPERATIONS!$Q251)</f>
        <v/>
      </c>
      <c r="P251" s="26" t="str">
        <f aca="false">IF($G251="","",IF($G251=R_LOT,COUNTIF($G$5:$G251,R_LOT),""))</f>
        <v/>
      </c>
    </row>
    <row r="252" customFormat="false" ht="15" hidden="false" customHeight="false" outlineLevel="0" collapsed="false">
      <c r="A252" s="28" t="str">
        <f aca="false">IF($M252=0,"",ROW()-4)</f>
        <v/>
      </c>
      <c r="B252" s="26" t="str">
        <f aca="false">IF($M252=0,"","OPERATIONS")</f>
        <v/>
      </c>
      <c r="C252" s="26" t="str">
        <f aca="false">IF($M252=0,"",OPERATIONS!$A252)</f>
        <v/>
      </c>
      <c r="D252" s="31" t="str">
        <f aca="false">IF($M252=0,"",OPERATIONS!$B252)</f>
        <v/>
      </c>
      <c r="E252" s="26" t="str">
        <f aca="false">IF($M252=0,"","SORTIE")</f>
        <v/>
      </c>
      <c r="F252" s="26" t="str">
        <f aca="false">IF($M252=0,"",OPERATIONS!$C252)</f>
        <v/>
      </c>
      <c r="G252" s="26" t="str">
        <f aca="false">IF($M252=0,"",OPERATIONS!$D252)</f>
        <v/>
      </c>
      <c r="H252" s="26" t="str">
        <f aca="false">IF($G252="","",IFERROR(INDEX(LOT_EXTE,MATCH($G252,LOT_KEY,0)),""))</f>
        <v/>
      </c>
      <c r="I252" s="26" t="str">
        <f aca="false">IF($M252=0,"",OPERATIONS!$E252)</f>
        <v/>
      </c>
      <c r="J252" s="26" t="str">
        <f aca="false">IF($I252="","",IFERROR(INDEX(EMPL_CLASSE,MATCH($I252,EMPL_KEY,0)),""))</f>
        <v/>
      </c>
      <c r="K252" s="26" t="str">
        <f aca="false">IF($M252=0,"",OPERATIONS!$K252)</f>
        <v/>
      </c>
      <c r="L252" s="26" t="str">
        <f aca="false">IF($G252="","",IF(IFERROR(INDEX(LOT_ETAT,MATCH($G252,LOT_KEY,0)),"")="","",INDEX(LOT_ETAT,MATCH($G252,LOT_KEY,0))))</f>
        <v/>
      </c>
      <c r="M252" s="73" t="n">
        <f aca="false">IF(OR(OPERATIONS!$O252=0,OPERATIONS!$C252="RECEPTION",OPERATIONS!$C252="AJUSTEMENT"),0,-OPERATIONS!$G252)</f>
        <v>0</v>
      </c>
      <c r="N252" s="73" t="n">
        <f aca="false">IF($M252=0,0,OPERATIONS!$R252*$M252)</f>
        <v>0</v>
      </c>
      <c r="O252" s="26" t="str">
        <f aca="false">IF($M252=0,"",OPERATIONS!$Q252)</f>
        <v/>
      </c>
      <c r="P252" s="26" t="str">
        <f aca="false">IF($G252="","",IF($G252=R_LOT,COUNTIF($G$5:$G252,R_LOT),""))</f>
        <v/>
      </c>
    </row>
    <row r="253" customFormat="false" ht="15" hidden="false" customHeight="false" outlineLevel="0" collapsed="false">
      <c r="A253" s="28" t="str">
        <f aca="false">IF($M253=0,"",ROW()-4)</f>
        <v/>
      </c>
      <c r="B253" s="26" t="str">
        <f aca="false">IF($M253=0,"","OPERATIONS")</f>
        <v/>
      </c>
      <c r="C253" s="26" t="str">
        <f aca="false">IF($M253=0,"",OPERATIONS!$A253)</f>
        <v/>
      </c>
      <c r="D253" s="31" t="str">
        <f aca="false">IF($M253=0,"",OPERATIONS!$B253)</f>
        <v/>
      </c>
      <c r="E253" s="26" t="str">
        <f aca="false">IF($M253=0,"","SORTIE")</f>
        <v/>
      </c>
      <c r="F253" s="26" t="str">
        <f aca="false">IF($M253=0,"",OPERATIONS!$C253)</f>
        <v/>
      </c>
      <c r="G253" s="26" t="str">
        <f aca="false">IF($M253=0,"",OPERATIONS!$D253)</f>
        <v/>
      </c>
      <c r="H253" s="26" t="str">
        <f aca="false">IF($G253="","",IFERROR(INDEX(LOT_EXTE,MATCH($G253,LOT_KEY,0)),""))</f>
        <v/>
      </c>
      <c r="I253" s="26" t="str">
        <f aca="false">IF($M253=0,"",OPERATIONS!$E253)</f>
        <v/>
      </c>
      <c r="J253" s="26" t="str">
        <f aca="false">IF($I253="","",IFERROR(INDEX(EMPL_CLASSE,MATCH($I253,EMPL_KEY,0)),""))</f>
        <v/>
      </c>
      <c r="K253" s="26" t="str">
        <f aca="false">IF($M253=0,"",OPERATIONS!$K253)</f>
        <v/>
      </c>
      <c r="L253" s="26" t="str">
        <f aca="false">IF($G253="","",IF(IFERROR(INDEX(LOT_ETAT,MATCH($G253,LOT_KEY,0)),"")="","",INDEX(LOT_ETAT,MATCH($G253,LOT_KEY,0))))</f>
        <v/>
      </c>
      <c r="M253" s="73" t="n">
        <f aca="false">IF(OR(OPERATIONS!$O253=0,OPERATIONS!$C253="RECEPTION",OPERATIONS!$C253="AJUSTEMENT"),0,-OPERATIONS!$G253)</f>
        <v>0</v>
      </c>
      <c r="N253" s="73" t="n">
        <f aca="false">IF($M253=0,0,OPERATIONS!$R253*$M253)</f>
        <v>0</v>
      </c>
      <c r="O253" s="26" t="str">
        <f aca="false">IF($M253=0,"",OPERATIONS!$Q253)</f>
        <v/>
      </c>
      <c r="P253" s="26" t="str">
        <f aca="false">IF($G253="","",IF($G253=R_LOT,COUNTIF($G$5:$G253,R_LOT),""))</f>
        <v/>
      </c>
    </row>
    <row r="254" customFormat="false" ht="15" hidden="false" customHeight="false" outlineLevel="0" collapsed="false">
      <c r="A254" s="28" t="str">
        <f aca="false">IF($M254=0,"",ROW()-4)</f>
        <v/>
      </c>
      <c r="B254" s="26" t="str">
        <f aca="false">IF($M254=0,"","OPERATIONS")</f>
        <v/>
      </c>
      <c r="C254" s="26" t="str">
        <f aca="false">IF($M254=0,"",OPERATIONS!$A254)</f>
        <v/>
      </c>
      <c r="D254" s="31" t="str">
        <f aca="false">IF($M254=0,"",OPERATIONS!$B254)</f>
        <v/>
      </c>
      <c r="E254" s="26" t="str">
        <f aca="false">IF($M254=0,"","SORTIE")</f>
        <v/>
      </c>
      <c r="F254" s="26" t="str">
        <f aca="false">IF($M254=0,"",OPERATIONS!$C254)</f>
        <v/>
      </c>
      <c r="G254" s="26" t="str">
        <f aca="false">IF($M254=0,"",OPERATIONS!$D254)</f>
        <v/>
      </c>
      <c r="H254" s="26" t="str">
        <f aca="false">IF($G254="","",IFERROR(INDEX(LOT_EXTE,MATCH($G254,LOT_KEY,0)),""))</f>
        <v/>
      </c>
      <c r="I254" s="26" t="str">
        <f aca="false">IF($M254=0,"",OPERATIONS!$E254)</f>
        <v/>
      </c>
      <c r="J254" s="26" t="str">
        <f aca="false">IF($I254="","",IFERROR(INDEX(EMPL_CLASSE,MATCH($I254,EMPL_KEY,0)),""))</f>
        <v/>
      </c>
      <c r="K254" s="26" t="str">
        <f aca="false">IF($M254=0,"",OPERATIONS!$K254)</f>
        <v/>
      </c>
      <c r="L254" s="26" t="str">
        <f aca="false">IF($G254="","",IF(IFERROR(INDEX(LOT_ETAT,MATCH($G254,LOT_KEY,0)),"")="","",INDEX(LOT_ETAT,MATCH($G254,LOT_KEY,0))))</f>
        <v/>
      </c>
      <c r="M254" s="73" t="n">
        <f aca="false">IF(OR(OPERATIONS!$O254=0,OPERATIONS!$C254="RECEPTION",OPERATIONS!$C254="AJUSTEMENT"),0,-OPERATIONS!$G254)</f>
        <v>0</v>
      </c>
      <c r="N254" s="73" t="n">
        <f aca="false">IF($M254=0,0,OPERATIONS!$R254*$M254)</f>
        <v>0</v>
      </c>
      <c r="O254" s="26" t="str">
        <f aca="false">IF($M254=0,"",OPERATIONS!$Q254)</f>
        <v/>
      </c>
      <c r="P254" s="26" t="str">
        <f aca="false">IF($G254="","",IF($G254=R_LOT,COUNTIF($G$5:$G254,R_LOT),""))</f>
        <v/>
      </c>
    </row>
    <row r="255" customFormat="false" ht="15" hidden="false" customHeight="false" outlineLevel="0" collapsed="false">
      <c r="A255" s="28" t="str">
        <f aca="false">IF($M255=0,"",ROW()-4)</f>
        <v/>
      </c>
      <c r="B255" s="26" t="str">
        <f aca="false">IF($M255=0,"","OPERATIONS")</f>
        <v/>
      </c>
      <c r="C255" s="26" t="str">
        <f aca="false">IF($M255=0,"",OPERATIONS!$A255)</f>
        <v/>
      </c>
      <c r="D255" s="31" t="str">
        <f aca="false">IF($M255=0,"",OPERATIONS!$B255)</f>
        <v/>
      </c>
      <c r="E255" s="26" t="str">
        <f aca="false">IF($M255=0,"","SORTIE")</f>
        <v/>
      </c>
      <c r="F255" s="26" t="str">
        <f aca="false">IF($M255=0,"",OPERATIONS!$C255)</f>
        <v/>
      </c>
      <c r="G255" s="26" t="str">
        <f aca="false">IF($M255=0,"",OPERATIONS!$D255)</f>
        <v/>
      </c>
      <c r="H255" s="26" t="str">
        <f aca="false">IF($G255="","",IFERROR(INDEX(LOT_EXTE,MATCH($G255,LOT_KEY,0)),""))</f>
        <v/>
      </c>
      <c r="I255" s="26" t="str">
        <f aca="false">IF($M255=0,"",OPERATIONS!$E255)</f>
        <v/>
      </c>
      <c r="J255" s="26" t="str">
        <f aca="false">IF($I255="","",IFERROR(INDEX(EMPL_CLASSE,MATCH($I255,EMPL_KEY,0)),""))</f>
        <v/>
      </c>
      <c r="K255" s="26" t="str">
        <f aca="false">IF($M255=0,"",OPERATIONS!$K255)</f>
        <v/>
      </c>
      <c r="L255" s="26" t="str">
        <f aca="false">IF($G255="","",IF(IFERROR(INDEX(LOT_ETAT,MATCH($G255,LOT_KEY,0)),"")="","",INDEX(LOT_ETAT,MATCH($G255,LOT_KEY,0))))</f>
        <v/>
      </c>
      <c r="M255" s="73" t="n">
        <f aca="false">IF(OR(OPERATIONS!$O255=0,OPERATIONS!$C255="RECEPTION",OPERATIONS!$C255="AJUSTEMENT"),0,-OPERATIONS!$G255)</f>
        <v>0</v>
      </c>
      <c r="N255" s="73" t="n">
        <f aca="false">IF($M255=0,0,OPERATIONS!$R255*$M255)</f>
        <v>0</v>
      </c>
      <c r="O255" s="26" t="str">
        <f aca="false">IF($M255=0,"",OPERATIONS!$Q255)</f>
        <v/>
      </c>
      <c r="P255" s="26" t="str">
        <f aca="false">IF($G255="","",IF($G255=R_LOT,COUNTIF($G$5:$G255,R_LOT),""))</f>
        <v/>
      </c>
    </row>
    <row r="256" customFormat="false" ht="15" hidden="false" customHeight="false" outlineLevel="0" collapsed="false">
      <c r="A256" s="28" t="str">
        <f aca="false">IF($M256=0,"",ROW()-4)</f>
        <v/>
      </c>
      <c r="B256" s="26" t="str">
        <f aca="false">IF($M256=0,"","OPERATIONS")</f>
        <v/>
      </c>
      <c r="C256" s="26" t="str">
        <f aca="false">IF($M256=0,"",OPERATIONS!$A256)</f>
        <v/>
      </c>
      <c r="D256" s="31" t="str">
        <f aca="false">IF($M256=0,"",OPERATIONS!$B256)</f>
        <v/>
      </c>
      <c r="E256" s="26" t="str">
        <f aca="false">IF($M256=0,"","SORTIE")</f>
        <v/>
      </c>
      <c r="F256" s="26" t="str">
        <f aca="false">IF($M256=0,"",OPERATIONS!$C256)</f>
        <v/>
      </c>
      <c r="G256" s="26" t="str">
        <f aca="false">IF($M256=0,"",OPERATIONS!$D256)</f>
        <v/>
      </c>
      <c r="H256" s="26" t="str">
        <f aca="false">IF($G256="","",IFERROR(INDEX(LOT_EXTE,MATCH($G256,LOT_KEY,0)),""))</f>
        <v/>
      </c>
      <c r="I256" s="26" t="str">
        <f aca="false">IF($M256=0,"",OPERATIONS!$E256)</f>
        <v/>
      </c>
      <c r="J256" s="26" t="str">
        <f aca="false">IF($I256="","",IFERROR(INDEX(EMPL_CLASSE,MATCH($I256,EMPL_KEY,0)),""))</f>
        <v/>
      </c>
      <c r="K256" s="26" t="str">
        <f aca="false">IF($M256=0,"",OPERATIONS!$K256)</f>
        <v/>
      </c>
      <c r="L256" s="26" t="str">
        <f aca="false">IF($G256="","",IF(IFERROR(INDEX(LOT_ETAT,MATCH($G256,LOT_KEY,0)),"")="","",INDEX(LOT_ETAT,MATCH($G256,LOT_KEY,0))))</f>
        <v/>
      </c>
      <c r="M256" s="73" t="n">
        <f aca="false">IF(OR(OPERATIONS!$O256=0,OPERATIONS!$C256="RECEPTION",OPERATIONS!$C256="AJUSTEMENT"),0,-OPERATIONS!$G256)</f>
        <v>0</v>
      </c>
      <c r="N256" s="73" t="n">
        <f aca="false">IF($M256=0,0,OPERATIONS!$R256*$M256)</f>
        <v>0</v>
      </c>
      <c r="O256" s="26" t="str">
        <f aca="false">IF($M256=0,"",OPERATIONS!$Q256)</f>
        <v/>
      </c>
      <c r="P256" s="26" t="str">
        <f aca="false">IF($G256="","",IF($G256=R_LOT,COUNTIF($G$5:$G256,R_LOT),""))</f>
        <v/>
      </c>
    </row>
    <row r="257" customFormat="false" ht="15" hidden="false" customHeight="false" outlineLevel="0" collapsed="false">
      <c r="A257" s="28" t="str">
        <f aca="false">IF($M257=0,"",ROW()-4)</f>
        <v/>
      </c>
      <c r="B257" s="26" t="str">
        <f aca="false">IF($M257=0,"","OPERATIONS")</f>
        <v/>
      </c>
      <c r="C257" s="26" t="str">
        <f aca="false">IF($M257=0,"",OPERATIONS!$A257)</f>
        <v/>
      </c>
      <c r="D257" s="31" t="str">
        <f aca="false">IF($M257=0,"",OPERATIONS!$B257)</f>
        <v/>
      </c>
      <c r="E257" s="26" t="str">
        <f aca="false">IF($M257=0,"","SORTIE")</f>
        <v/>
      </c>
      <c r="F257" s="26" t="str">
        <f aca="false">IF($M257=0,"",OPERATIONS!$C257)</f>
        <v/>
      </c>
      <c r="G257" s="26" t="str">
        <f aca="false">IF($M257=0,"",OPERATIONS!$D257)</f>
        <v/>
      </c>
      <c r="H257" s="26" t="str">
        <f aca="false">IF($G257="","",IFERROR(INDEX(LOT_EXTE,MATCH($G257,LOT_KEY,0)),""))</f>
        <v/>
      </c>
      <c r="I257" s="26" t="str">
        <f aca="false">IF($M257=0,"",OPERATIONS!$E257)</f>
        <v/>
      </c>
      <c r="J257" s="26" t="str">
        <f aca="false">IF($I257="","",IFERROR(INDEX(EMPL_CLASSE,MATCH($I257,EMPL_KEY,0)),""))</f>
        <v/>
      </c>
      <c r="K257" s="26" t="str">
        <f aca="false">IF($M257=0,"",OPERATIONS!$K257)</f>
        <v/>
      </c>
      <c r="L257" s="26" t="str">
        <f aca="false">IF($G257="","",IF(IFERROR(INDEX(LOT_ETAT,MATCH($G257,LOT_KEY,0)),"")="","",INDEX(LOT_ETAT,MATCH($G257,LOT_KEY,0))))</f>
        <v/>
      </c>
      <c r="M257" s="73" t="n">
        <f aca="false">IF(OR(OPERATIONS!$O257=0,OPERATIONS!$C257="RECEPTION",OPERATIONS!$C257="AJUSTEMENT"),0,-OPERATIONS!$G257)</f>
        <v>0</v>
      </c>
      <c r="N257" s="73" t="n">
        <f aca="false">IF($M257=0,0,OPERATIONS!$R257*$M257)</f>
        <v>0</v>
      </c>
      <c r="O257" s="26" t="str">
        <f aca="false">IF($M257=0,"",OPERATIONS!$Q257)</f>
        <v/>
      </c>
      <c r="P257" s="26" t="str">
        <f aca="false">IF($G257="","",IF($G257=R_LOT,COUNTIF($G$5:$G257,R_LOT),""))</f>
        <v/>
      </c>
    </row>
    <row r="258" customFormat="false" ht="15" hidden="false" customHeight="false" outlineLevel="0" collapsed="false">
      <c r="A258" s="28" t="str">
        <f aca="false">IF($M258=0,"",ROW()-4)</f>
        <v/>
      </c>
      <c r="B258" s="26" t="str">
        <f aca="false">IF($M258=0,"","OPERATIONS")</f>
        <v/>
      </c>
      <c r="C258" s="26" t="str">
        <f aca="false">IF($M258=0,"",OPERATIONS!$A258)</f>
        <v/>
      </c>
      <c r="D258" s="31" t="str">
        <f aca="false">IF($M258=0,"",OPERATIONS!$B258)</f>
        <v/>
      </c>
      <c r="E258" s="26" t="str">
        <f aca="false">IF($M258=0,"","SORTIE")</f>
        <v/>
      </c>
      <c r="F258" s="26" t="str">
        <f aca="false">IF($M258=0,"",OPERATIONS!$C258)</f>
        <v/>
      </c>
      <c r="G258" s="26" t="str">
        <f aca="false">IF($M258=0,"",OPERATIONS!$D258)</f>
        <v/>
      </c>
      <c r="H258" s="26" t="str">
        <f aca="false">IF($G258="","",IFERROR(INDEX(LOT_EXTE,MATCH($G258,LOT_KEY,0)),""))</f>
        <v/>
      </c>
      <c r="I258" s="26" t="str">
        <f aca="false">IF($M258=0,"",OPERATIONS!$E258)</f>
        <v/>
      </c>
      <c r="J258" s="26" t="str">
        <f aca="false">IF($I258="","",IFERROR(INDEX(EMPL_CLASSE,MATCH($I258,EMPL_KEY,0)),""))</f>
        <v/>
      </c>
      <c r="K258" s="26" t="str">
        <f aca="false">IF($M258=0,"",OPERATIONS!$K258)</f>
        <v/>
      </c>
      <c r="L258" s="26" t="str">
        <f aca="false">IF($G258="","",IF(IFERROR(INDEX(LOT_ETAT,MATCH($G258,LOT_KEY,0)),"")="","",INDEX(LOT_ETAT,MATCH($G258,LOT_KEY,0))))</f>
        <v/>
      </c>
      <c r="M258" s="73" t="n">
        <f aca="false">IF(OR(OPERATIONS!$O258=0,OPERATIONS!$C258="RECEPTION",OPERATIONS!$C258="AJUSTEMENT"),0,-OPERATIONS!$G258)</f>
        <v>0</v>
      </c>
      <c r="N258" s="73" t="n">
        <f aca="false">IF($M258=0,0,OPERATIONS!$R258*$M258)</f>
        <v>0</v>
      </c>
      <c r="O258" s="26" t="str">
        <f aca="false">IF($M258=0,"",OPERATIONS!$Q258)</f>
        <v/>
      </c>
      <c r="P258" s="26" t="str">
        <f aca="false">IF($G258="","",IF($G258=R_LOT,COUNTIF($G$5:$G258,R_LOT),""))</f>
        <v/>
      </c>
    </row>
    <row r="259" customFormat="false" ht="15" hidden="false" customHeight="false" outlineLevel="0" collapsed="false">
      <c r="A259" s="28" t="str">
        <f aca="false">IF($M259=0,"",ROW()-4)</f>
        <v/>
      </c>
      <c r="B259" s="26" t="str">
        <f aca="false">IF($M259=0,"","OPERATIONS")</f>
        <v/>
      </c>
      <c r="C259" s="26" t="str">
        <f aca="false">IF($M259=0,"",OPERATIONS!$A259)</f>
        <v/>
      </c>
      <c r="D259" s="31" t="str">
        <f aca="false">IF($M259=0,"",OPERATIONS!$B259)</f>
        <v/>
      </c>
      <c r="E259" s="26" t="str">
        <f aca="false">IF($M259=0,"","SORTIE")</f>
        <v/>
      </c>
      <c r="F259" s="26" t="str">
        <f aca="false">IF($M259=0,"",OPERATIONS!$C259)</f>
        <v/>
      </c>
      <c r="G259" s="26" t="str">
        <f aca="false">IF($M259=0,"",OPERATIONS!$D259)</f>
        <v/>
      </c>
      <c r="H259" s="26" t="str">
        <f aca="false">IF($G259="","",IFERROR(INDEX(LOT_EXTE,MATCH($G259,LOT_KEY,0)),""))</f>
        <v/>
      </c>
      <c r="I259" s="26" t="str">
        <f aca="false">IF($M259=0,"",OPERATIONS!$E259)</f>
        <v/>
      </c>
      <c r="J259" s="26" t="str">
        <f aca="false">IF($I259="","",IFERROR(INDEX(EMPL_CLASSE,MATCH($I259,EMPL_KEY,0)),""))</f>
        <v/>
      </c>
      <c r="K259" s="26" t="str">
        <f aca="false">IF($M259=0,"",OPERATIONS!$K259)</f>
        <v/>
      </c>
      <c r="L259" s="26" t="str">
        <f aca="false">IF($G259="","",IF(IFERROR(INDEX(LOT_ETAT,MATCH($G259,LOT_KEY,0)),"")="","",INDEX(LOT_ETAT,MATCH($G259,LOT_KEY,0))))</f>
        <v/>
      </c>
      <c r="M259" s="73" t="n">
        <f aca="false">IF(OR(OPERATIONS!$O259=0,OPERATIONS!$C259="RECEPTION",OPERATIONS!$C259="AJUSTEMENT"),0,-OPERATIONS!$G259)</f>
        <v>0</v>
      </c>
      <c r="N259" s="73" t="n">
        <f aca="false">IF($M259=0,0,OPERATIONS!$R259*$M259)</f>
        <v>0</v>
      </c>
      <c r="O259" s="26" t="str">
        <f aca="false">IF($M259=0,"",OPERATIONS!$Q259)</f>
        <v/>
      </c>
      <c r="P259" s="26" t="str">
        <f aca="false">IF($G259="","",IF($G259=R_LOT,COUNTIF($G$5:$G259,R_LOT),""))</f>
        <v/>
      </c>
    </row>
    <row r="260" customFormat="false" ht="15" hidden="false" customHeight="false" outlineLevel="0" collapsed="false">
      <c r="A260" s="28" t="str">
        <f aca="false">IF($M260=0,"",ROW()-4)</f>
        <v/>
      </c>
      <c r="B260" s="26" t="str">
        <f aca="false">IF($M260=0,"","OPERATIONS")</f>
        <v/>
      </c>
      <c r="C260" s="26" t="str">
        <f aca="false">IF($M260=0,"",OPERATIONS!$A260)</f>
        <v/>
      </c>
      <c r="D260" s="31" t="str">
        <f aca="false">IF($M260=0,"",OPERATIONS!$B260)</f>
        <v/>
      </c>
      <c r="E260" s="26" t="str">
        <f aca="false">IF($M260=0,"","SORTIE")</f>
        <v/>
      </c>
      <c r="F260" s="26" t="str">
        <f aca="false">IF($M260=0,"",OPERATIONS!$C260)</f>
        <v/>
      </c>
      <c r="G260" s="26" t="str">
        <f aca="false">IF($M260=0,"",OPERATIONS!$D260)</f>
        <v/>
      </c>
      <c r="H260" s="26" t="str">
        <f aca="false">IF($G260="","",IFERROR(INDEX(LOT_EXTE,MATCH($G260,LOT_KEY,0)),""))</f>
        <v/>
      </c>
      <c r="I260" s="26" t="str">
        <f aca="false">IF($M260=0,"",OPERATIONS!$E260)</f>
        <v/>
      </c>
      <c r="J260" s="26" t="str">
        <f aca="false">IF($I260="","",IFERROR(INDEX(EMPL_CLASSE,MATCH($I260,EMPL_KEY,0)),""))</f>
        <v/>
      </c>
      <c r="K260" s="26" t="str">
        <f aca="false">IF($M260=0,"",OPERATIONS!$K260)</f>
        <v/>
      </c>
      <c r="L260" s="26" t="str">
        <f aca="false">IF($G260="","",IF(IFERROR(INDEX(LOT_ETAT,MATCH($G260,LOT_KEY,0)),"")="","",INDEX(LOT_ETAT,MATCH($G260,LOT_KEY,0))))</f>
        <v/>
      </c>
      <c r="M260" s="73" t="n">
        <f aca="false">IF(OR(OPERATIONS!$O260=0,OPERATIONS!$C260="RECEPTION",OPERATIONS!$C260="AJUSTEMENT"),0,-OPERATIONS!$G260)</f>
        <v>0</v>
      </c>
      <c r="N260" s="73" t="n">
        <f aca="false">IF($M260=0,0,OPERATIONS!$R260*$M260)</f>
        <v>0</v>
      </c>
      <c r="O260" s="26" t="str">
        <f aca="false">IF($M260=0,"",OPERATIONS!$Q260)</f>
        <v/>
      </c>
      <c r="P260" s="26" t="str">
        <f aca="false">IF($G260="","",IF($G260=R_LOT,COUNTIF($G$5:$G260,R_LOT),""))</f>
        <v/>
      </c>
    </row>
    <row r="261" customFormat="false" ht="15" hidden="false" customHeight="false" outlineLevel="0" collapsed="false">
      <c r="A261" s="28" t="str">
        <f aca="false">IF($M261=0,"",ROW()-4)</f>
        <v/>
      </c>
      <c r="B261" s="26" t="str">
        <f aca="false">IF($M261=0,"","OPERATIONS")</f>
        <v/>
      </c>
      <c r="C261" s="26" t="str">
        <f aca="false">IF($M261=0,"",OPERATIONS!$A261)</f>
        <v/>
      </c>
      <c r="D261" s="31" t="str">
        <f aca="false">IF($M261=0,"",OPERATIONS!$B261)</f>
        <v/>
      </c>
      <c r="E261" s="26" t="str">
        <f aca="false">IF($M261=0,"","SORTIE")</f>
        <v/>
      </c>
      <c r="F261" s="26" t="str">
        <f aca="false">IF($M261=0,"",OPERATIONS!$C261)</f>
        <v/>
      </c>
      <c r="G261" s="26" t="str">
        <f aca="false">IF($M261=0,"",OPERATIONS!$D261)</f>
        <v/>
      </c>
      <c r="H261" s="26" t="str">
        <f aca="false">IF($G261="","",IFERROR(INDEX(LOT_EXTE,MATCH($G261,LOT_KEY,0)),""))</f>
        <v/>
      </c>
      <c r="I261" s="26" t="str">
        <f aca="false">IF($M261=0,"",OPERATIONS!$E261)</f>
        <v/>
      </c>
      <c r="J261" s="26" t="str">
        <f aca="false">IF($I261="","",IFERROR(INDEX(EMPL_CLASSE,MATCH($I261,EMPL_KEY,0)),""))</f>
        <v/>
      </c>
      <c r="K261" s="26" t="str">
        <f aca="false">IF($M261=0,"",OPERATIONS!$K261)</f>
        <v/>
      </c>
      <c r="L261" s="26" t="str">
        <f aca="false">IF($G261="","",IF(IFERROR(INDEX(LOT_ETAT,MATCH($G261,LOT_KEY,0)),"")="","",INDEX(LOT_ETAT,MATCH($G261,LOT_KEY,0))))</f>
        <v/>
      </c>
      <c r="M261" s="73" t="n">
        <f aca="false">IF(OR(OPERATIONS!$O261=0,OPERATIONS!$C261="RECEPTION",OPERATIONS!$C261="AJUSTEMENT"),0,-OPERATIONS!$G261)</f>
        <v>0</v>
      </c>
      <c r="N261" s="73" t="n">
        <f aca="false">IF($M261=0,0,OPERATIONS!$R261*$M261)</f>
        <v>0</v>
      </c>
      <c r="O261" s="26" t="str">
        <f aca="false">IF($M261=0,"",OPERATIONS!$Q261)</f>
        <v/>
      </c>
      <c r="P261" s="26" t="str">
        <f aca="false">IF($G261="","",IF($G261=R_LOT,COUNTIF($G$5:$G261,R_LOT),""))</f>
        <v/>
      </c>
    </row>
    <row r="262" customFormat="false" ht="15" hidden="false" customHeight="false" outlineLevel="0" collapsed="false">
      <c r="A262" s="28" t="str">
        <f aca="false">IF($M262=0,"",ROW()-4)</f>
        <v/>
      </c>
      <c r="B262" s="26" t="str">
        <f aca="false">IF($M262=0,"","OPERATIONS")</f>
        <v/>
      </c>
      <c r="C262" s="26" t="str">
        <f aca="false">IF($M262=0,"",OPERATIONS!$A262)</f>
        <v/>
      </c>
      <c r="D262" s="31" t="str">
        <f aca="false">IF($M262=0,"",OPERATIONS!$B262)</f>
        <v/>
      </c>
      <c r="E262" s="26" t="str">
        <f aca="false">IF($M262=0,"","SORTIE")</f>
        <v/>
      </c>
      <c r="F262" s="26" t="str">
        <f aca="false">IF($M262=0,"",OPERATIONS!$C262)</f>
        <v/>
      </c>
      <c r="G262" s="26" t="str">
        <f aca="false">IF($M262=0,"",OPERATIONS!$D262)</f>
        <v/>
      </c>
      <c r="H262" s="26" t="str">
        <f aca="false">IF($G262="","",IFERROR(INDEX(LOT_EXTE,MATCH($G262,LOT_KEY,0)),""))</f>
        <v/>
      </c>
      <c r="I262" s="26" t="str">
        <f aca="false">IF($M262=0,"",OPERATIONS!$E262)</f>
        <v/>
      </c>
      <c r="J262" s="26" t="str">
        <f aca="false">IF($I262="","",IFERROR(INDEX(EMPL_CLASSE,MATCH($I262,EMPL_KEY,0)),""))</f>
        <v/>
      </c>
      <c r="K262" s="26" t="str">
        <f aca="false">IF($M262=0,"",OPERATIONS!$K262)</f>
        <v/>
      </c>
      <c r="L262" s="26" t="str">
        <f aca="false">IF($G262="","",IF(IFERROR(INDEX(LOT_ETAT,MATCH($G262,LOT_KEY,0)),"")="","",INDEX(LOT_ETAT,MATCH($G262,LOT_KEY,0))))</f>
        <v/>
      </c>
      <c r="M262" s="73" t="n">
        <f aca="false">IF(OR(OPERATIONS!$O262=0,OPERATIONS!$C262="RECEPTION",OPERATIONS!$C262="AJUSTEMENT"),0,-OPERATIONS!$G262)</f>
        <v>0</v>
      </c>
      <c r="N262" s="73" t="n">
        <f aca="false">IF($M262=0,0,OPERATIONS!$R262*$M262)</f>
        <v>0</v>
      </c>
      <c r="O262" s="26" t="str">
        <f aca="false">IF($M262=0,"",OPERATIONS!$Q262)</f>
        <v/>
      </c>
      <c r="P262" s="26" t="str">
        <f aca="false">IF($G262="","",IF($G262=R_LOT,COUNTIF($G$5:$G262,R_LOT),""))</f>
        <v/>
      </c>
    </row>
    <row r="263" customFormat="false" ht="15" hidden="false" customHeight="false" outlineLevel="0" collapsed="false">
      <c r="A263" s="28" t="str">
        <f aca="false">IF($M263=0,"",ROW()-4)</f>
        <v/>
      </c>
      <c r="B263" s="26" t="str">
        <f aca="false">IF($M263=0,"","OPERATIONS")</f>
        <v/>
      </c>
      <c r="C263" s="26" t="str">
        <f aca="false">IF($M263=0,"",OPERATIONS!$A263)</f>
        <v/>
      </c>
      <c r="D263" s="31" t="str">
        <f aca="false">IF($M263=0,"",OPERATIONS!$B263)</f>
        <v/>
      </c>
      <c r="E263" s="26" t="str">
        <f aca="false">IF($M263=0,"","SORTIE")</f>
        <v/>
      </c>
      <c r="F263" s="26" t="str">
        <f aca="false">IF($M263=0,"",OPERATIONS!$C263)</f>
        <v/>
      </c>
      <c r="G263" s="26" t="str">
        <f aca="false">IF($M263=0,"",OPERATIONS!$D263)</f>
        <v/>
      </c>
      <c r="H263" s="26" t="str">
        <f aca="false">IF($G263="","",IFERROR(INDEX(LOT_EXTE,MATCH($G263,LOT_KEY,0)),""))</f>
        <v/>
      </c>
      <c r="I263" s="26" t="str">
        <f aca="false">IF($M263=0,"",OPERATIONS!$E263)</f>
        <v/>
      </c>
      <c r="J263" s="26" t="str">
        <f aca="false">IF($I263="","",IFERROR(INDEX(EMPL_CLASSE,MATCH($I263,EMPL_KEY,0)),""))</f>
        <v/>
      </c>
      <c r="K263" s="26" t="str">
        <f aca="false">IF($M263=0,"",OPERATIONS!$K263)</f>
        <v/>
      </c>
      <c r="L263" s="26" t="str">
        <f aca="false">IF($G263="","",IF(IFERROR(INDEX(LOT_ETAT,MATCH($G263,LOT_KEY,0)),"")="","",INDEX(LOT_ETAT,MATCH($G263,LOT_KEY,0))))</f>
        <v/>
      </c>
      <c r="M263" s="73" t="n">
        <f aca="false">IF(OR(OPERATIONS!$O263=0,OPERATIONS!$C263="RECEPTION",OPERATIONS!$C263="AJUSTEMENT"),0,-OPERATIONS!$G263)</f>
        <v>0</v>
      </c>
      <c r="N263" s="73" t="n">
        <f aca="false">IF($M263=0,0,OPERATIONS!$R263*$M263)</f>
        <v>0</v>
      </c>
      <c r="O263" s="26" t="str">
        <f aca="false">IF($M263=0,"",OPERATIONS!$Q263)</f>
        <v/>
      </c>
      <c r="P263" s="26" t="str">
        <f aca="false">IF($G263="","",IF($G263=R_LOT,COUNTIF($G$5:$G263,R_LOT),""))</f>
        <v/>
      </c>
    </row>
    <row r="264" customFormat="false" ht="15" hidden="false" customHeight="false" outlineLevel="0" collapsed="false">
      <c r="A264" s="28" t="str">
        <f aca="false">IF($M264=0,"",ROW()-4)</f>
        <v/>
      </c>
      <c r="B264" s="26" t="str">
        <f aca="false">IF($M264=0,"","OPERATIONS")</f>
        <v/>
      </c>
      <c r="C264" s="26" t="str">
        <f aca="false">IF($M264=0,"",OPERATIONS!$A264)</f>
        <v/>
      </c>
      <c r="D264" s="31" t="str">
        <f aca="false">IF($M264=0,"",OPERATIONS!$B264)</f>
        <v/>
      </c>
      <c r="E264" s="26" t="str">
        <f aca="false">IF($M264=0,"","SORTIE")</f>
        <v/>
      </c>
      <c r="F264" s="26" t="str">
        <f aca="false">IF($M264=0,"",OPERATIONS!$C264)</f>
        <v/>
      </c>
      <c r="G264" s="26" t="str">
        <f aca="false">IF($M264=0,"",OPERATIONS!$D264)</f>
        <v/>
      </c>
      <c r="H264" s="26" t="str">
        <f aca="false">IF($G264="","",IFERROR(INDEX(LOT_EXTE,MATCH($G264,LOT_KEY,0)),""))</f>
        <v/>
      </c>
      <c r="I264" s="26" t="str">
        <f aca="false">IF($M264=0,"",OPERATIONS!$E264)</f>
        <v/>
      </c>
      <c r="J264" s="26" t="str">
        <f aca="false">IF($I264="","",IFERROR(INDEX(EMPL_CLASSE,MATCH($I264,EMPL_KEY,0)),""))</f>
        <v/>
      </c>
      <c r="K264" s="26" t="str">
        <f aca="false">IF($M264=0,"",OPERATIONS!$K264)</f>
        <v/>
      </c>
      <c r="L264" s="26" t="str">
        <f aca="false">IF($G264="","",IF(IFERROR(INDEX(LOT_ETAT,MATCH($G264,LOT_KEY,0)),"")="","",INDEX(LOT_ETAT,MATCH($G264,LOT_KEY,0))))</f>
        <v/>
      </c>
      <c r="M264" s="73" t="n">
        <f aca="false">IF(OR(OPERATIONS!$O264=0,OPERATIONS!$C264="RECEPTION",OPERATIONS!$C264="AJUSTEMENT"),0,-OPERATIONS!$G264)</f>
        <v>0</v>
      </c>
      <c r="N264" s="73" t="n">
        <f aca="false">IF($M264=0,0,OPERATIONS!$R264*$M264)</f>
        <v>0</v>
      </c>
      <c r="O264" s="26" t="str">
        <f aca="false">IF($M264=0,"",OPERATIONS!$Q264)</f>
        <v/>
      </c>
      <c r="P264" s="26" t="str">
        <f aca="false">IF($G264="","",IF($G264=R_LOT,COUNTIF($G$5:$G264,R_LOT),""))</f>
        <v/>
      </c>
    </row>
    <row r="265" customFormat="false" ht="15" hidden="false" customHeight="false" outlineLevel="0" collapsed="false">
      <c r="A265" s="28" t="str">
        <f aca="false">IF($M265=0,"",ROW()-4)</f>
        <v/>
      </c>
      <c r="B265" s="26" t="str">
        <f aca="false">IF($M265=0,"","OPERATIONS")</f>
        <v/>
      </c>
      <c r="C265" s="26" t="str">
        <f aca="false">IF($M265=0,"",OPERATIONS!$A265)</f>
        <v/>
      </c>
      <c r="D265" s="31" t="str">
        <f aca="false">IF($M265=0,"",OPERATIONS!$B265)</f>
        <v/>
      </c>
      <c r="E265" s="26" t="str">
        <f aca="false">IF($M265=0,"","SORTIE")</f>
        <v/>
      </c>
      <c r="F265" s="26" t="str">
        <f aca="false">IF($M265=0,"",OPERATIONS!$C265)</f>
        <v/>
      </c>
      <c r="G265" s="26" t="str">
        <f aca="false">IF($M265=0,"",OPERATIONS!$D265)</f>
        <v/>
      </c>
      <c r="H265" s="26" t="str">
        <f aca="false">IF($G265="","",IFERROR(INDEX(LOT_EXTE,MATCH($G265,LOT_KEY,0)),""))</f>
        <v/>
      </c>
      <c r="I265" s="26" t="str">
        <f aca="false">IF($M265=0,"",OPERATIONS!$E265)</f>
        <v/>
      </c>
      <c r="J265" s="26" t="str">
        <f aca="false">IF($I265="","",IFERROR(INDEX(EMPL_CLASSE,MATCH($I265,EMPL_KEY,0)),""))</f>
        <v/>
      </c>
      <c r="K265" s="26" t="str">
        <f aca="false">IF($M265=0,"",OPERATIONS!$K265)</f>
        <v/>
      </c>
      <c r="L265" s="26" t="str">
        <f aca="false">IF($G265="","",IF(IFERROR(INDEX(LOT_ETAT,MATCH($G265,LOT_KEY,0)),"")="","",INDEX(LOT_ETAT,MATCH($G265,LOT_KEY,0))))</f>
        <v/>
      </c>
      <c r="M265" s="73" t="n">
        <f aca="false">IF(OR(OPERATIONS!$O265=0,OPERATIONS!$C265="RECEPTION",OPERATIONS!$C265="AJUSTEMENT"),0,-OPERATIONS!$G265)</f>
        <v>0</v>
      </c>
      <c r="N265" s="73" t="n">
        <f aca="false">IF($M265=0,0,OPERATIONS!$R265*$M265)</f>
        <v>0</v>
      </c>
      <c r="O265" s="26" t="str">
        <f aca="false">IF($M265=0,"",OPERATIONS!$Q265)</f>
        <v/>
      </c>
      <c r="P265" s="26" t="str">
        <f aca="false">IF($G265="","",IF($G265=R_LOT,COUNTIF($G$5:$G265,R_LOT),""))</f>
        <v/>
      </c>
    </row>
    <row r="266" customFormat="false" ht="15" hidden="false" customHeight="false" outlineLevel="0" collapsed="false">
      <c r="A266" s="28" t="str">
        <f aca="false">IF($M266=0,"",ROW()-4)</f>
        <v/>
      </c>
      <c r="B266" s="26" t="str">
        <f aca="false">IF($M266=0,"","OPERATIONS")</f>
        <v/>
      </c>
      <c r="C266" s="26" t="str">
        <f aca="false">IF($M266=0,"",OPERATIONS!$A266)</f>
        <v/>
      </c>
      <c r="D266" s="31" t="str">
        <f aca="false">IF($M266=0,"",OPERATIONS!$B266)</f>
        <v/>
      </c>
      <c r="E266" s="26" t="str">
        <f aca="false">IF($M266=0,"","SORTIE")</f>
        <v/>
      </c>
      <c r="F266" s="26" t="str">
        <f aca="false">IF($M266=0,"",OPERATIONS!$C266)</f>
        <v/>
      </c>
      <c r="G266" s="26" t="str">
        <f aca="false">IF($M266=0,"",OPERATIONS!$D266)</f>
        <v/>
      </c>
      <c r="H266" s="26" t="str">
        <f aca="false">IF($G266="","",IFERROR(INDEX(LOT_EXTE,MATCH($G266,LOT_KEY,0)),""))</f>
        <v/>
      </c>
      <c r="I266" s="26" t="str">
        <f aca="false">IF($M266=0,"",OPERATIONS!$E266)</f>
        <v/>
      </c>
      <c r="J266" s="26" t="str">
        <f aca="false">IF($I266="","",IFERROR(INDEX(EMPL_CLASSE,MATCH($I266,EMPL_KEY,0)),""))</f>
        <v/>
      </c>
      <c r="K266" s="26" t="str">
        <f aca="false">IF($M266=0,"",OPERATIONS!$K266)</f>
        <v/>
      </c>
      <c r="L266" s="26" t="str">
        <f aca="false">IF($G266="","",IF(IFERROR(INDEX(LOT_ETAT,MATCH($G266,LOT_KEY,0)),"")="","",INDEX(LOT_ETAT,MATCH($G266,LOT_KEY,0))))</f>
        <v/>
      </c>
      <c r="M266" s="73" t="n">
        <f aca="false">IF(OR(OPERATIONS!$O266=0,OPERATIONS!$C266="RECEPTION",OPERATIONS!$C266="AJUSTEMENT"),0,-OPERATIONS!$G266)</f>
        <v>0</v>
      </c>
      <c r="N266" s="73" t="n">
        <f aca="false">IF($M266=0,0,OPERATIONS!$R266*$M266)</f>
        <v>0</v>
      </c>
      <c r="O266" s="26" t="str">
        <f aca="false">IF($M266=0,"",OPERATIONS!$Q266)</f>
        <v/>
      </c>
      <c r="P266" s="26" t="str">
        <f aca="false">IF($G266="","",IF($G266=R_LOT,COUNTIF($G$5:$G266,R_LOT),""))</f>
        <v/>
      </c>
    </row>
    <row r="267" customFormat="false" ht="15" hidden="false" customHeight="false" outlineLevel="0" collapsed="false">
      <c r="A267" s="28" t="str">
        <f aca="false">IF($M267=0,"",ROW()-4)</f>
        <v/>
      </c>
      <c r="B267" s="26" t="str">
        <f aca="false">IF($M267=0,"","OPERATIONS")</f>
        <v/>
      </c>
      <c r="C267" s="26" t="str">
        <f aca="false">IF($M267=0,"",OPERATIONS!$A267)</f>
        <v/>
      </c>
      <c r="D267" s="31" t="str">
        <f aca="false">IF($M267=0,"",OPERATIONS!$B267)</f>
        <v/>
      </c>
      <c r="E267" s="26" t="str">
        <f aca="false">IF($M267=0,"","SORTIE")</f>
        <v/>
      </c>
      <c r="F267" s="26" t="str">
        <f aca="false">IF($M267=0,"",OPERATIONS!$C267)</f>
        <v/>
      </c>
      <c r="G267" s="26" t="str">
        <f aca="false">IF($M267=0,"",OPERATIONS!$D267)</f>
        <v/>
      </c>
      <c r="H267" s="26" t="str">
        <f aca="false">IF($G267="","",IFERROR(INDEX(LOT_EXTE,MATCH($G267,LOT_KEY,0)),""))</f>
        <v/>
      </c>
      <c r="I267" s="26" t="str">
        <f aca="false">IF($M267=0,"",OPERATIONS!$E267)</f>
        <v/>
      </c>
      <c r="J267" s="26" t="str">
        <f aca="false">IF($I267="","",IFERROR(INDEX(EMPL_CLASSE,MATCH($I267,EMPL_KEY,0)),""))</f>
        <v/>
      </c>
      <c r="K267" s="26" t="str">
        <f aca="false">IF($M267=0,"",OPERATIONS!$K267)</f>
        <v/>
      </c>
      <c r="L267" s="26" t="str">
        <f aca="false">IF($G267="","",IF(IFERROR(INDEX(LOT_ETAT,MATCH($G267,LOT_KEY,0)),"")="","",INDEX(LOT_ETAT,MATCH($G267,LOT_KEY,0))))</f>
        <v/>
      </c>
      <c r="M267" s="73" t="n">
        <f aca="false">IF(OR(OPERATIONS!$O267=0,OPERATIONS!$C267="RECEPTION",OPERATIONS!$C267="AJUSTEMENT"),0,-OPERATIONS!$G267)</f>
        <v>0</v>
      </c>
      <c r="N267" s="73" t="n">
        <f aca="false">IF($M267=0,0,OPERATIONS!$R267*$M267)</f>
        <v>0</v>
      </c>
      <c r="O267" s="26" t="str">
        <f aca="false">IF($M267=0,"",OPERATIONS!$Q267)</f>
        <v/>
      </c>
      <c r="P267" s="26" t="str">
        <f aca="false">IF($G267="","",IF($G267=R_LOT,COUNTIF($G$5:$G267,R_LOT),""))</f>
        <v/>
      </c>
    </row>
    <row r="268" customFormat="false" ht="15" hidden="false" customHeight="false" outlineLevel="0" collapsed="false">
      <c r="A268" s="28" t="str">
        <f aca="false">IF($M268=0,"",ROW()-4)</f>
        <v/>
      </c>
      <c r="B268" s="26" t="str">
        <f aca="false">IF($M268=0,"","OPERATIONS")</f>
        <v/>
      </c>
      <c r="C268" s="26" t="str">
        <f aca="false">IF($M268=0,"",OPERATIONS!$A268)</f>
        <v/>
      </c>
      <c r="D268" s="31" t="str">
        <f aca="false">IF($M268=0,"",OPERATIONS!$B268)</f>
        <v/>
      </c>
      <c r="E268" s="26" t="str">
        <f aca="false">IF($M268=0,"","SORTIE")</f>
        <v/>
      </c>
      <c r="F268" s="26" t="str">
        <f aca="false">IF($M268=0,"",OPERATIONS!$C268)</f>
        <v/>
      </c>
      <c r="G268" s="26" t="str">
        <f aca="false">IF($M268=0,"",OPERATIONS!$D268)</f>
        <v/>
      </c>
      <c r="H268" s="26" t="str">
        <f aca="false">IF($G268="","",IFERROR(INDEX(LOT_EXTE,MATCH($G268,LOT_KEY,0)),""))</f>
        <v/>
      </c>
      <c r="I268" s="26" t="str">
        <f aca="false">IF($M268=0,"",OPERATIONS!$E268)</f>
        <v/>
      </c>
      <c r="J268" s="26" t="str">
        <f aca="false">IF($I268="","",IFERROR(INDEX(EMPL_CLASSE,MATCH($I268,EMPL_KEY,0)),""))</f>
        <v/>
      </c>
      <c r="K268" s="26" t="str">
        <f aca="false">IF($M268=0,"",OPERATIONS!$K268)</f>
        <v/>
      </c>
      <c r="L268" s="26" t="str">
        <f aca="false">IF($G268="","",IF(IFERROR(INDEX(LOT_ETAT,MATCH($G268,LOT_KEY,0)),"")="","",INDEX(LOT_ETAT,MATCH($G268,LOT_KEY,0))))</f>
        <v/>
      </c>
      <c r="M268" s="73" t="n">
        <f aca="false">IF(OR(OPERATIONS!$O268=0,OPERATIONS!$C268="RECEPTION",OPERATIONS!$C268="AJUSTEMENT"),0,-OPERATIONS!$G268)</f>
        <v>0</v>
      </c>
      <c r="N268" s="73" t="n">
        <f aca="false">IF($M268=0,0,OPERATIONS!$R268*$M268)</f>
        <v>0</v>
      </c>
      <c r="O268" s="26" t="str">
        <f aca="false">IF($M268=0,"",OPERATIONS!$Q268)</f>
        <v/>
      </c>
      <c r="P268" s="26" t="str">
        <f aca="false">IF($G268="","",IF($G268=R_LOT,COUNTIF($G$5:$G268,R_LOT),""))</f>
        <v/>
      </c>
    </row>
    <row r="269" customFormat="false" ht="15" hidden="false" customHeight="false" outlineLevel="0" collapsed="false">
      <c r="A269" s="28" t="str">
        <f aca="false">IF($M269=0,"",ROW()-4)</f>
        <v/>
      </c>
      <c r="B269" s="26" t="str">
        <f aca="false">IF($M269=0,"","OPERATIONS")</f>
        <v/>
      </c>
      <c r="C269" s="26" t="str">
        <f aca="false">IF($M269=0,"",OPERATIONS!$A269)</f>
        <v/>
      </c>
      <c r="D269" s="31" t="str">
        <f aca="false">IF($M269=0,"",OPERATIONS!$B269)</f>
        <v/>
      </c>
      <c r="E269" s="26" t="str">
        <f aca="false">IF($M269=0,"","SORTIE")</f>
        <v/>
      </c>
      <c r="F269" s="26" t="str">
        <f aca="false">IF($M269=0,"",OPERATIONS!$C269)</f>
        <v/>
      </c>
      <c r="G269" s="26" t="str">
        <f aca="false">IF($M269=0,"",OPERATIONS!$D269)</f>
        <v/>
      </c>
      <c r="H269" s="26" t="str">
        <f aca="false">IF($G269="","",IFERROR(INDEX(LOT_EXTE,MATCH($G269,LOT_KEY,0)),""))</f>
        <v/>
      </c>
      <c r="I269" s="26" t="str">
        <f aca="false">IF($M269=0,"",OPERATIONS!$E269)</f>
        <v/>
      </c>
      <c r="J269" s="26" t="str">
        <f aca="false">IF($I269="","",IFERROR(INDEX(EMPL_CLASSE,MATCH($I269,EMPL_KEY,0)),""))</f>
        <v/>
      </c>
      <c r="K269" s="26" t="str">
        <f aca="false">IF($M269=0,"",OPERATIONS!$K269)</f>
        <v/>
      </c>
      <c r="L269" s="26" t="str">
        <f aca="false">IF($G269="","",IF(IFERROR(INDEX(LOT_ETAT,MATCH($G269,LOT_KEY,0)),"")="","",INDEX(LOT_ETAT,MATCH($G269,LOT_KEY,0))))</f>
        <v/>
      </c>
      <c r="M269" s="73" t="n">
        <f aca="false">IF(OR(OPERATIONS!$O269=0,OPERATIONS!$C269="RECEPTION",OPERATIONS!$C269="AJUSTEMENT"),0,-OPERATIONS!$G269)</f>
        <v>0</v>
      </c>
      <c r="N269" s="73" t="n">
        <f aca="false">IF($M269=0,0,OPERATIONS!$R269*$M269)</f>
        <v>0</v>
      </c>
      <c r="O269" s="26" t="str">
        <f aca="false">IF($M269=0,"",OPERATIONS!$Q269)</f>
        <v/>
      </c>
      <c r="P269" s="26" t="str">
        <f aca="false">IF($G269="","",IF($G269=R_LOT,COUNTIF($G$5:$G269,R_LOT),""))</f>
        <v/>
      </c>
    </row>
    <row r="270" customFormat="false" ht="15" hidden="false" customHeight="false" outlineLevel="0" collapsed="false">
      <c r="A270" s="28" t="str">
        <f aca="false">IF($M270=0,"",ROW()-4)</f>
        <v/>
      </c>
      <c r="B270" s="26" t="str">
        <f aca="false">IF($M270=0,"","OPERATIONS")</f>
        <v/>
      </c>
      <c r="C270" s="26" t="str">
        <f aca="false">IF($M270=0,"",OPERATIONS!$A270)</f>
        <v/>
      </c>
      <c r="D270" s="31" t="str">
        <f aca="false">IF($M270=0,"",OPERATIONS!$B270)</f>
        <v/>
      </c>
      <c r="E270" s="26" t="str">
        <f aca="false">IF($M270=0,"","SORTIE")</f>
        <v/>
      </c>
      <c r="F270" s="26" t="str">
        <f aca="false">IF($M270=0,"",OPERATIONS!$C270)</f>
        <v/>
      </c>
      <c r="G270" s="26" t="str">
        <f aca="false">IF($M270=0,"",OPERATIONS!$D270)</f>
        <v/>
      </c>
      <c r="H270" s="26" t="str">
        <f aca="false">IF($G270="","",IFERROR(INDEX(LOT_EXTE,MATCH($G270,LOT_KEY,0)),""))</f>
        <v/>
      </c>
      <c r="I270" s="26" t="str">
        <f aca="false">IF($M270=0,"",OPERATIONS!$E270)</f>
        <v/>
      </c>
      <c r="J270" s="26" t="str">
        <f aca="false">IF($I270="","",IFERROR(INDEX(EMPL_CLASSE,MATCH($I270,EMPL_KEY,0)),""))</f>
        <v/>
      </c>
      <c r="K270" s="26" t="str">
        <f aca="false">IF($M270=0,"",OPERATIONS!$K270)</f>
        <v/>
      </c>
      <c r="L270" s="26" t="str">
        <f aca="false">IF($G270="","",IF(IFERROR(INDEX(LOT_ETAT,MATCH($G270,LOT_KEY,0)),"")="","",INDEX(LOT_ETAT,MATCH($G270,LOT_KEY,0))))</f>
        <v/>
      </c>
      <c r="M270" s="73" t="n">
        <f aca="false">IF(OR(OPERATIONS!$O270=0,OPERATIONS!$C270="RECEPTION",OPERATIONS!$C270="AJUSTEMENT"),0,-OPERATIONS!$G270)</f>
        <v>0</v>
      </c>
      <c r="N270" s="73" t="n">
        <f aca="false">IF($M270=0,0,OPERATIONS!$R270*$M270)</f>
        <v>0</v>
      </c>
      <c r="O270" s="26" t="str">
        <f aca="false">IF($M270=0,"",OPERATIONS!$Q270)</f>
        <v/>
      </c>
      <c r="P270" s="26" t="str">
        <f aca="false">IF($G270="","",IF($G270=R_LOT,COUNTIF($G$5:$G270,R_LOT),""))</f>
        <v/>
      </c>
    </row>
    <row r="271" customFormat="false" ht="15" hidden="false" customHeight="false" outlineLevel="0" collapsed="false">
      <c r="A271" s="28" t="str">
        <f aca="false">IF($M271=0,"",ROW()-4)</f>
        <v/>
      </c>
      <c r="B271" s="26" t="str">
        <f aca="false">IF($M271=0,"","OPERATIONS")</f>
        <v/>
      </c>
      <c r="C271" s="26" t="str">
        <f aca="false">IF($M271=0,"",OPERATIONS!$A271)</f>
        <v/>
      </c>
      <c r="D271" s="31" t="str">
        <f aca="false">IF($M271=0,"",OPERATIONS!$B271)</f>
        <v/>
      </c>
      <c r="E271" s="26" t="str">
        <f aca="false">IF($M271=0,"","SORTIE")</f>
        <v/>
      </c>
      <c r="F271" s="26" t="str">
        <f aca="false">IF($M271=0,"",OPERATIONS!$C271)</f>
        <v/>
      </c>
      <c r="G271" s="26" t="str">
        <f aca="false">IF($M271=0,"",OPERATIONS!$D271)</f>
        <v/>
      </c>
      <c r="H271" s="26" t="str">
        <f aca="false">IF($G271="","",IFERROR(INDEX(LOT_EXTE,MATCH($G271,LOT_KEY,0)),""))</f>
        <v/>
      </c>
      <c r="I271" s="26" t="str">
        <f aca="false">IF($M271=0,"",OPERATIONS!$E271)</f>
        <v/>
      </c>
      <c r="J271" s="26" t="str">
        <f aca="false">IF($I271="","",IFERROR(INDEX(EMPL_CLASSE,MATCH($I271,EMPL_KEY,0)),""))</f>
        <v/>
      </c>
      <c r="K271" s="26" t="str">
        <f aca="false">IF($M271=0,"",OPERATIONS!$K271)</f>
        <v/>
      </c>
      <c r="L271" s="26" t="str">
        <f aca="false">IF($G271="","",IF(IFERROR(INDEX(LOT_ETAT,MATCH($G271,LOT_KEY,0)),"")="","",INDEX(LOT_ETAT,MATCH($G271,LOT_KEY,0))))</f>
        <v/>
      </c>
      <c r="M271" s="73" t="n">
        <f aca="false">IF(OR(OPERATIONS!$O271=0,OPERATIONS!$C271="RECEPTION",OPERATIONS!$C271="AJUSTEMENT"),0,-OPERATIONS!$G271)</f>
        <v>0</v>
      </c>
      <c r="N271" s="73" t="n">
        <f aca="false">IF($M271=0,0,OPERATIONS!$R271*$M271)</f>
        <v>0</v>
      </c>
      <c r="O271" s="26" t="str">
        <f aca="false">IF($M271=0,"",OPERATIONS!$Q271)</f>
        <v/>
      </c>
      <c r="P271" s="26" t="str">
        <f aca="false">IF($G271="","",IF($G271=R_LOT,COUNTIF($G$5:$G271,R_LOT),""))</f>
        <v/>
      </c>
    </row>
    <row r="272" customFormat="false" ht="15" hidden="false" customHeight="false" outlineLevel="0" collapsed="false">
      <c r="A272" s="28" t="str">
        <f aca="false">IF($M272=0,"",ROW()-4)</f>
        <v/>
      </c>
      <c r="B272" s="26" t="str">
        <f aca="false">IF($M272=0,"","OPERATIONS")</f>
        <v/>
      </c>
      <c r="C272" s="26" t="str">
        <f aca="false">IF($M272=0,"",OPERATIONS!$A272)</f>
        <v/>
      </c>
      <c r="D272" s="31" t="str">
        <f aca="false">IF($M272=0,"",OPERATIONS!$B272)</f>
        <v/>
      </c>
      <c r="E272" s="26" t="str">
        <f aca="false">IF($M272=0,"","SORTIE")</f>
        <v/>
      </c>
      <c r="F272" s="26" t="str">
        <f aca="false">IF($M272=0,"",OPERATIONS!$C272)</f>
        <v/>
      </c>
      <c r="G272" s="26" t="str">
        <f aca="false">IF($M272=0,"",OPERATIONS!$D272)</f>
        <v/>
      </c>
      <c r="H272" s="26" t="str">
        <f aca="false">IF($G272="","",IFERROR(INDEX(LOT_EXTE,MATCH($G272,LOT_KEY,0)),""))</f>
        <v/>
      </c>
      <c r="I272" s="26" t="str">
        <f aca="false">IF($M272=0,"",OPERATIONS!$E272)</f>
        <v/>
      </c>
      <c r="J272" s="26" t="str">
        <f aca="false">IF($I272="","",IFERROR(INDEX(EMPL_CLASSE,MATCH($I272,EMPL_KEY,0)),""))</f>
        <v/>
      </c>
      <c r="K272" s="26" t="str">
        <f aca="false">IF($M272=0,"",OPERATIONS!$K272)</f>
        <v/>
      </c>
      <c r="L272" s="26" t="str">
        <f aca="false">IF($G272="","",IF(IFERROR(INDEX(LOT_ETAT,MATCH($G272,LOT_KEY,0)),"")="","",INDEX(LOT_ETAT,MATCH($G272,LOT_KEY,0))))</f>
        <v/>
      </c>
      <c r="M272" s="73" t="n">
        <f aca="false">IF(OR(OPERATIONS!$O272=0,OPERATIONS!$C272="RECEPTION",OPERATIONS!$C272="AJUSTEMENT"),0,-OPERATIONS!$G272)</f>
        <v>0</v>
      </c>
      <c r="N272" s="73" t="n">
        <f aca="false">IF($M272=0,0,OPERATIONS!$R272*$M272)</f>
        <v>0</v>
      </c>
      <c r="O272" s="26" t="str">
        <f aca="false">IF($M272=0,"",OPERATIONS!$Q272)</f>
        <v/>
      </c>
      <c r="P272" s="26" t="str">
        <f aca="false">IF($G272="","",IF($G272=R_LOT,COUNTIF($G$5:$G272,R_LOT),""))</f>
        <v/>
      </c>
    </row>
    <row r="273" customFormat="false" ht="15" hidden="false" customHeight="false" outlineLevel="0" collapsed="false">
      <c r="A273" s="28" t="str">
        <f aca="false">IF($M273=0,"",ROW()-4)</f>
        <v/>
      </c>
      <c r="B273" s="26" t="str">
        <f aca="false">IF($M273=0,"","OPERATIONS")</f>
        <v/>
      </c>
      <c r="C273" s="26" t="str">
        <f aca="false">IF($M273=0,"",OPERATIONS!$A273)</f>
        <v/>
      </c>
      <c r="D273" s="31" t="str">
        <f aca="false">IF($M273=0,"",OPERATIONS!$B273)</f>
        <v/>
      </c>
      <c r="E273" s="26" t="str">
        <f aca="false">IF($M273=0,"","SORTIE")</f>
        <v/>
      </c>
      <c r="F273" s="26" t="str">
        <f aca="false">IF($M273=0,"",OPERATIONS!$C273)</f>
        <v/>
      </c>
      <c r="G273" s="26" t="str">
        <f aca="false">IF($M273=0,"",OPERATIONS!$D273)</f>
        <v/>
      </c>
      <c r="H273" s="26" t="str">
        <f aca="false">IF($G273="","",IFERROR(INDEX(LOT_EXTE,MATCH($G273,LOT_KEY,0)),""))</f>
        <v/>
      </c>
      <c r="I273" s="26" t="str">
        <f aca="false">IF($M273=0,"",OPERATIONS!$E273)</f>
        <v/>
      </c>
      <c r="J273" s="26" t="str">
        <f aca="false">IF($I273="","",IFERROR(INDEX(EMPL_CLASSE,MATCH($I273,EMPL_KEY,0)),""))</f>
        <v/>
      </c>
      <c r="K273" s="26" t="str">
        <f aca="false">IF($M273=0,"",OPERATIONS!$K273)</f>
        <v/>
      </c>
      <c r="L273" s="26" t="str">
        <f aca="false">IF($G273="","",IF(IFERROR(INDEX(LOT_ETAT,MATCH($G273,LOT_KEY,0)),"")="","",INDEX(LOT_ETAT,MATCH($G273,LOT_KEY,0))))</f>
        <v/>
      </c>
      <c r="M273" s="73" t="n">
        <f aca="false">IF(OR(OPERATIONS!$O273=0,OPERATIONS!$C273="RECEPTION",OPERATIONS!$C273="AJUSTEMENT"),0,-OPERATIONS!$G273)</f>
        <v>0</v>
      </c>
      <c r="N273" s="73" t="n">
        <f aca="false">IF($M273=0,0,OPERATIONS!$R273*$M273)</f>
        <v>0</v>
      </c>
      <c r="O273" s="26" t="str">
        <f aca="false">IF($M273=0,"",OPERATIONS!$Q273)</f>
        <v/>
      </c>
      <c r="P273" s="26" t="str">
        <f aca="false">IF($G273="","",IF($G273=R_LOT,COUNTIF($G$5:$G273,R_LOT),""))</f>
        <v/>
      </c>
    </row>
    <row r="274" customFormat="false" ht="15" hidden="false" customHeight="false" outlineLevel="0" collapsed="false">
      <c r="A274" s="28" t="str">
        <f aca="false">IF($M274=0,"",ROW()-4)</f>
        <v/>
      </c>
      <c r="B274" s="26" t="str">
        <f aca="false">IF($M274=0,"","OPERATIONS")</f>
        <v/>
      </c>
      <c r="C274" s="26" t="str">
        <f aca="false">IF($M274=0,"",OPERATIONS!$A274)</f>
        <v/>
      </c>
      <c r="D274" s="31" t="str">
        <f aca="false">IF($M274=0,"",OPERATIONS!$B274)</f>
        <v/>
      </c>
      <c r="E274" s="26" t="str">
        <f aca="false">IF($M274=0,"","SORTIE")</f>
        <v/>
      </c>
      <c r="F274" s="26" t="str">
        <f aca="false">IF($M274=0,"",OPERATIONS!$C274)</f>
        <v/>
      </c>
      <c r="G274" s="26" t="str">
        <f aca="false">IF($M274=0,"",OPERATIONS!$D274)</f>
        <v/>
      </c>
      <c r="H274" s="26" t="str">
        <f aca="false">IF($G274="","",IFERROR(INDEX(LOT_EXTE,MATCH($G274,LOT_KEY,0)),""))</f>
        <v/>
      </c>
      <c r="I274" s="26" t="str">
        <f aca="false">IF($M274=0,"",OPERATIONS!$E274)</f>
        <v/>
      </c>
      <c r="J274" s="26" t="str">
        <f aca="false">IF($I274="","",IFERROR(INDEX(EMPL_CLASSE,MATCH($I274,EMPL_KEY,0)),""))</f>
        <v/>
      </c>
      <c r="K274" s="26" t="str">
        <f aca="false">IF($M274=0,"",OPERATIONS!$K274)</f>
        <v/>
      </c>
      <c r="L274" s="26" t="str">
        <f aca="false">IF($G274="","",IF(IFERROR(INDEX(LOT_ETAT,MATCH($G274,LOT_KEY,0)),"")="","",INDEX(LOT_ETAT,MATCH($G274,LOT_KEY,0))))</f>
        <v/>
      </c>
      <c r="M274" s="73" t="n">
        <f aca="false">IF(OR(OPERATIONS!$O274=0,OPERATIONS!$C274="RECEPTION",OPERATIONS!$C274="AJUSTEMENT"),0,-OPERATIONS!$G274)</f>
        <v>0</v>
      </c>
      <c r="N274" s="73" t="n">
        <f aca="false">IF($M274=0,0,OPERATIONS!$R274*$M274)</f>
        <v>0</v>
      </c>
      <c r="O274" s="26" t="str">
        <f aca="false">IF($M274=0,"",OPERATIONS!$Q274)</f>
        <v/>
      </c>
      <c r="P274" s="26" t="str">
        <f aca="false">IF($G274="","",IF($G274=R_LOT,COUNTIF($G$5:$G274,R_LOT),""))</f>
        <v/>
      </c>
    </row>
    <row r="275" customFormat="false" ht="15" hidden="false" customHeight="false" outlineLevel="0" collapsed="false">
      <c r="A275" s="28" t="str">
        <f aca="false">IF($M275=0,"",ROW()-4)</f>
        <v/>
      </c>
      <c r="B275" s="26" t="str">
        <f aca="false">IF($M275=0,"","OPERATIONS")</f>
        <v/>
      </c>
      <c r="C275" s="26" t="str">
        <f aca="false">IF($M275=0,"",OPERATIONS!$A275)</f>
        <v/>
      </c>
      <c r="D275" s="31" t="str">
        <f aca="false">IF($M275=0,"",OPERATIONS!$B275)</f>
        <v/>
      </c>
      <c r="E275" s="26" t="str">
        <f aca="false">IF($M275=0,"","SORTIE")</f>
        <v/>
      </c>
      <c r="F275" s="26" t="str">
        <f aca="false">IF($M275=0,"",OPERATIONS!$C275)</f>
        <v/>
      </c>
      <c r="G275" s="26" t="str">
        <f aca="false">IF($M275=0,"",OPERATIONS!$D275)</f>
        <v/>
      </c>
      <c r="H275" s="26" t="str">
        <f aca="false">IF($G275="","",IFERROR(INDEX(LOT_EXTE,MATCH($G275,LOT_KEY,0)),""))</f>
        <v/>
      </c>
      <c r="I275" s="26" t="str">
        <f aca="false">IF($M275=0,"",OPERATIONS!$E275)</f>
        <v/>
      </c>
      <c r="J275" s="26" t="str">
        <f aca="false">IF($I275="","",IFERROR(INDEX(EMPL_CLASSE,MATCH($I275,EMPL_KEY,0)),""))</f>
        <v/>
      </c>
      <c r="K275" s="26" t="str">
        <f aca="false">IF($M275=0,"",OPERATIONS!$K275)</f>
        <v/>
      </c>
      <c r="L275" s="26" t="str">
        <f aca="false">IF($G275="","",IF(IFERROR(INDEX(LOT_ETAT,MATCH($G275,LOT_KEY,0)),"")="","",INDEX(LOT_ETAT,MATCH($G275,LOT_KEY,0))))</f>
        <v/>
      </c>
      <c r="M275" s="73" t="n">
        <f aca="false">IF(OR(OPERATIONS!$O275=0,OPERATIONS!$C275="RECEPTION",OPERATIONS!$C275="AJUSTEMENT"),0,-OPERATIONS!$G275)</f>
        <v>0</v>
      </c>
      <c r="N275" s="73" t="n">
        <f aca="false">IF($M275=0,0,OPERATIONS!$R275*$M275)</f>
        <v>0</v>
      </c>
      <c r="O275" s="26" t="str">
        <f aca="false">IF($M275=0,"",OPERATIONS!$Q275)</f>
        <v/>
      </c>
      <c r="P275" s="26" t="str">
        <f aca="false">IF($G275="","",IF($G275=R_LOT,COUNTIF($G$5:$G275,R_LOT),""))</f>
        <v/>
      </c>
    </row>
    <row r="276" customFormat="false" ht="15" hidden="false" customHeight="false" outlineLevel="0" collapsed="false">
      <c r="A276" s="28" t="str">
        <f aca="false">IF($M276=0,"",ROW()-4)</f>
        <v/>
      </c>
      <c r="B276" s="26" t="str">
        <f aca="false">IF($M276=0,"","OPERATIONS")</f>
        <v/>
      </c>
      <c r="C276" s="26" t="str">
        <f aca="false">IF($M276=0,"",OPERATIONS!$A276)</f>
        <v/>
      </c>
      <c r="D276" s="31" t="str">
        <f aca="false">IF($M276=0,"",OPERATIONS!$B276)</f>
        <v/>
      </c>
      <c r="E276" s="26" t="str">
        <f aca="false">IF($M276=0,"","SORTIE")</f>
        <v/>
      </c>
      <c r="F276" s="26" t="str">
        <f aca="false">IF($M276=0,"",OPERATIONS!$C276)</f>
        <v/>
      </c>
      <c r="G276" s="26" t="str">
        <f aca="false">IF($M276=0,"",OPERATIONS!$D276)</f>
        <v/>
      </c>
      <c r="H276" s="26" t="str">
        <f aca="false">IF($G276="","",IFERROR(INDEX(LOT_EXTE,MATCH($G276,LOT_KEY,0)),""))</f>
        <v/>
      </c>
      <c r="I276" s="26" t="str">
        <f aca="false">IF($M276=0,"",OPERATIONS!$E276)</f>
        <v/>
      </c>
      <c r="J276" s="26" t="str">
        <f aca="false">IF($I276="","",IFERROR(INDEX(EMPL_CLASSE,MATCH($I276,EMPL_KEY,0)),""))</f>
        <v/>
      </c>
      <c r="K276" s="26" t="str">
        <f aca="false">IF($M276=0,"",OPERATIONS!$K276)</f>
        <v/>
      </c>
      <c r="L276" s="26" t="str">
        <f aca="false">IF($G276="","",IF(IFERROR(INDEX(LOT_ETAT,MATCH($G276,LOT_KEY,0)),"")="","",INDEX(LOT_ETAT,MATCH($G276,LOT_KEY,0))))</f>
        <v/>
      </c>
      <c r="M276" s="73" t="n">
        <f aca="false">IF(OR(OPERATIONS!$O276=0,OPERATIONS!$C276="RECEPTION",OPERATIONS!$C276="AJUSTEMENT"),0,-OPERATIONS!$G276)</f>
        <v>0</v>
      </c>
      <c r="N276" s="73" t="n">
        <f aca="false">IF($M276=0,0,OPERATIONS!$R276*$M276)</f>
        <v>0</v>
      </c>
      <c r="O276" s="26" t="str">
        <f aca="false">IF($M276=0,"",OPERATIONS!$Q276)</f>
        <v/>
      </c>
      <c r="P276" s="26" t="str">
        <f aca="false">IF($G276="","",IF($G276=R_LOT,COUNTIF($G$5:$G276,R_LOT),""))</f>
        <v/>
      </c>
    </row>
    <row r="277" customFormat="false" ht="15" hidden="false" customHeight="false" outlineLevel="0" collapsed="false">
      <c r="A277" s="28" t="str">
        <f aca="false">IF($M277=0,"",ROW()-4)</f>
        <v/>
      </c>
      <c r="B277" s="26" t="str">
        <f aca="false">IF($M277=0,"","OPERATIONS")</f>
        <v/>
      </c>
      <c r="C277" s="26" t="str">
        <f aca="false">IF($M277=0,"",OPERATIONS!$A277)</f>
        <v/>
      </c>
      <c r="D277" s="31" t="str">
        <f aca="false">IF($M277=0,"",OPERATIONS!$B277)</f>
        <v/>
      </c>
      <c r="E277" s="26" t="str">
        <f aca="false">IF($M277=0,"","SORTIE")</f>
        <v/>
      </c>
      <c r="F277" s="26" t="str">
        <f aca="false">IF($M277=0,"",OPERATIONS!$C277)</f>
        <v/>
      </c>
      <c r="G277" s="26" t="str">
        <f aca="false">IF($M277=0,"",OPERATIONS!$D277)</f>
        <v/>
      </c>
      <c r="H277" s="26" t="str">
        <f aca="false">IF($G277="","",IFERROR(INDEX(LOT_EXTE,MATCH($G277,LOT_KEY,0)),""))</f>
        <v/>
      </c>
      <c r="I277" s="26" t="str">
        <f aca="false">IF($M277=0,"",OPERATIONS!$E277)</f>
        <v/>
      </c>
      <c r="J277" s="26" t="str">
        <f aca="false">IF($I277="","",IFERROR(INDEX(EMPL_CLASSE,MATCH($I277,EMPL_KEY,0)),""))</f>
        <v/>
      </c>
      <c r="K277" s="26" t="str">
        <f aca="false">IF($M277=0,"",OPERATIONS!$K277)</f>
        <v/>
      </c>
      <c r="L277" s="26" t="str">
        <f aca="false">IF($G277="","",IF(IFERROR(INDEX(LOT_ETAT,MATCH($G277,LOT_KEY,0)),"")="","",INDEX(LOT_ETAT,MATCH($G277,LOT_KEY,0))))</f>
        <v/>
      </c>
      <c r="M277" s="73" t="n">
        <f aca="false">IF(OR(OPERATIONS!$O277=0,OPERATIONS!$C277="RECEPTION",OPERATIONS!$C277="AJUSTEMENT"),0,-OPERATIONS!$G277)</f>
        <v>0</v>
      </c>
      <c r="N277" s="73" t="n">
        <f aca="false">IF($M277=0,0,OPERATIONS!$R277*$M277)</f>
        <v>0</v>
      </c>
      <c r="O277" s="26" t="str">
        <f aca="false">IF($M277=0,"",OPERATIONS!$Q277)</f>
        <v/>
      </c>
      <c r="P277" s="26" t="str">
        <f aca="false">IF($G277="","",IF($G277=R_LOT,COUNTIF($G$5:$G277,R_LOT),""))</f>
        <v/>
      </c>
    </row>
    <row r="278" customFormat="false" ht="15" hidden="false" customHeight="false" outlineLevel="0" collapsed="false">
      <c r="A278" s="28" t="str">
        <f aca="false">IF($M278=0,"",ROW()-4)</f>
        <v/>
      </c>
      <c r="B278" s="26" t="str">
        <f aca="false">IF($M278=0,"","OPERATIONS")</f>
        <v/>
      </c>
      <c r="C278" s="26" t="str">
        <f aca="false">IF($M278=0,"",OPERATIONS!$A278)</f>
        <v/>
      </c>
      <c r="D278" s="31" t="str">
        <f aca="false">IF($M278=0,"",OPERATIONS!$B278)</f>
        <v/>
      </c>
      <c r="E278" s="26" t="str">
        <f aca="false">IF($M278=0,"","SORTIE")</f>
        <v/>
      </c>
      <c r="F278" s="26" t="str">
        <f aca="false">IF($M278=0,"",OPERATIONS!$C278)</f>
        <v/>
      </c>
      <c r="G278" s="26" t="str">
        <f aca="false">IF($M278=0,"",OPERATIONS!$D278)</f>
        <v/>
      </c>
      <c r="H278" s="26" t="str">
        <f aca="false">IF($G278="","",IFERROR(INDEX(LOT_EXTE,MATCH($G278,LOT_KEY,0)),""))</f>
        <v/>
      </c>
      <c r="I278" s="26" t="str">
        <f aca="false">IF($M278=0,"",OPERATIONS!$E278)</f>
        <v/>
      </c>
      <c r="J278" s="26" t="str">
        <f aca="false">IF($I278="","",IFERROR(INDEX(EMPL_CLASSE,MATCH($I278,EMPL_KEY,0)),""))</f>
        <v/>
      </c>
      <c r="K278" s="26" t="str">
        <f aca="false">IF($M278=0,"",OPERATIONS!$K278)</f>
        <v/>
      </c>
      <c r="L278" s="26" t="str">
        <f aca="false">IF($G278="","",IF(IFERROR(INDEX(LOT_ETAT,MATCH($G278,LOT_KEY,0)),"")="","",INDEX(LOT_ETAT,MATCH($G278,LOT_KEY,0))))</f>
        <v/>
      </c>
      <c r="M278" s="73" t="n">
        <f aca="false">IF(OR(OPERATIONS!$O278=0,OPERATIONS!$C278="RECEPTION",OPERATIONS!$C278="AJUSTEMENT"),0,-OPERATIONS!$G278)</f>
        <v>0</v>
      </c>
      <c r="N278" s="73" t="n">
        <f aca="false">IF($M278=0,0,OPERATIONS!$R278*$M278)</f>
        <v>0</v>
      </c>
      <c r="O278" s="26" t="str">
        <f aca="false">IF($M278=0,"",OPERATIONS!$Q278)</f>
        <v/>
      </c>
      <c r="P278" s="26" t="str">
        <f aca="false">IF($G278="","",IF($G278=R_LOT,COUNTIF($G$5:$G278,R_LOT),""))</f>
        <v/>
      </c>
    </row>
    <row r="279" customFormat="false" ht="15" hidden="false" customHeight="false" outlineLevel="0" collapsed="false">
      <c r="A279" s="28" t="str">
        <f aca="false">IF($M279=0,"",ROW()-4)</f>
        <v/>
      </c>
      <c r="B279" s="26" t="str">
        <f aca="false">IF($M279=0,"","OPERATIONS")</f>
        <v/>
      </c>
      <c r="C279" s="26" t="str">
        <f aca="false">IF($M279=0,"",OPERATIONS!$A279)</f>
        <v/>
      </c>
      <c r="D279" s="31" t="str">
        <f aca="false">IF($M279=0,"",OPERATIONS!$B279)</f>
        <v/>
      </c>
      <c r="E279" s="26" t="str">
        <f aca="false">IF($M279=0,"","SORTIE")</f>
        <v/>
      </c>
      <c r="F279" s="26" t="str">
        <f aca="false">IF($M279=0,"",OPERATIONS!$C279)</f>
        <v/>
      </c>
      <c r="G279" s="26" t="str">
        <f aca="false">IF($M279=0,"",OPERATIONS!$D279)</f>
        <v/>
      </c>
      <c r="H279" s="26" t="str">
        <f aca="false">IF($G279="","",IFERROR(INDEX(LOT_EXTE,MATCH($G279,LOT_KEY,0)),""))</f>
        <v/>
      </c>
      <c r="I279" s="26" t="str">
        <f aca="false">IF($M279=0,"",OPERATIONS!$E279)</f>
        <v/>
      </c>
      <c r="J279" s="26" t="str">
        <f aca="false">IF($I279="","",IFERROR(INDEX(EMPL_CLASSE,MATCH($I279,EMPL_KEY,0)),""))</f>
        <v/>
      </c>
      <c r="K279" s="26" t="str">
        <f aca="false">IF($M279=0,"",OPERATIONS!$K279)</f>
        <v/>
      </c>
      <c r="L279" s="26" t="str">
        <f aca="false">IF($G279="","",IF(IFERROR(INDEX(LOT_ETAT,MATCH($G279,LOT_KEY,0)),"")="","",INDEX(LOT_ETAT,MATCH($G279,LOT_KEY,0))))</f>
        <v/>
      </c>
      <c r="M279" s="73" t="n">
        <f aca="false">IF(OR(OPERATIONS!$O279=0,OPERATIONS!$C279="RECEPTION",OPERATIONS!$C279="AJUSTEMENT"),0,-OPERATIONS!$G279)</f>
        <v>0</v>
      </c>
      <c r="N279" s="73" t="n">
        <f aca="false">IF($M279=0,0,OPERATIONS!$R279*$M279)</f>
        <v>0</v>
      </c>
      <c r="O279" s="26" t="str">
        <f aca="false">IF($M279=0,"",OPERATIONS!$Q279)</f>
        <v/>
      </c>
      <c r="P279" s="26" t="str">
        <f aca="false">IF($G279="","",IF($G279=R_LOT,COUNTIF($G$5:$G279,R_LOT),""))</f>
        <v/>
      </c>
    </row>
    <row r="280" customFormat="false" ht="15" hidden="false" customHeight="false" outlineLevel="0" collapsed="false">
      <c r="A280" s="28" t="str">
        <f aca="false">IF($M280=0,"",ROW()-4)</f>
        <v/>
      </c>
      <c r="B280" s="26" t="str">
        <f aca="false">IF($M280=0,"","OPERATIONS")</f>
        <v/>
      </c>
      <c r="C280" s="26" t="str">
        <f aca="false">IF($M280=0,"",OPERATIONS!$A280)</f>
        <v/>
      </c>
      <c r="D280" s="31" t="str">
        <f aca="false">IF($M280=0,"",OPERATIONS!$B280)</f>
        <v/>
      </c>
      <c r="E280" s="26" t="str">
        <f aca="false">IF($M280=0,"","SORTIE")</f>
        <v/>
      </c>
      <c r="F280" s="26" t="str">
        <f aca="false">IF($M280=0,"",OPERATIONS!$C280)</f>
        <v/>
      </c>
      <c r="G280" s="26" t="str">
        <f aca="false">IF($M280=0,"",OPERATIONS!$D280)</f>
        <v/>
      </c>
      <c r="H280" s="26" t="str">
        <f aca="false">IF($G280="","",IFERROR(INDEX(LOT_EXTE,MATCH($G280,LOT_KEY,0)),""))</f>
        <v/>
      </c>
      <c r="I280" s="26" t="str">
        <f aca="false">IF($M280=0,"",OPERATIONS!$E280)</f>
        <v/>
      </c>
      <c r="J280" s="26" t="str">
        <f aca="false">IF($I280="","",IFERROR(INDEX(EMPL_CLASSE,MATCH($I280,EMPL_KEY,0)),""))</f>
        <v/>
      </c>
      <c r="K280" s="26" t="str">
        <f aca="false">IF($M280=0,"",OPERATIONS!$K280)</f>
        <v/>
      </c>
      <c r="L280" s="26" t="str">
        <f aca="false">IF($G280="","",IF(IFERROR(INDEX(LOT_ETAT,MATCH($G280,LOT_KEY,0)),"")="","",INDEX(LOT_ETAT,MATCH($G280,LOT_KEY,0))))</f>
        <v/>
      </c>
      <c r="M280" s="73" t="n">
        <f aca="false">IF(OR(OPERATIONS!$O280=0,OPERATIONS!$C280="RECEPTION",OPERATIONS!$C280="AJUSTEMENT"),0,-OPERATIONS!$G280)</f>
        <v>0</v>
      </c>
      <c r="N280" s="73" t="n">
        <f aca="false">IF($M280=0,0,OPERATIONS!$R280*$M280)</f>
        <v>0</v>
      </c>
      <c r="O280" s="26" t="str">
        <f aca="false">IF($M280=0,"",OPERATIONS!$Q280)</f>
        <v/>
      </c>
      <c r="P280" s="26" t="str">
        <f aca="false">IF($G280="","",IF($G280=R_LOT,COUNTIF($G$5:$G280,R_LOT),""))</f>
        <v/>
      </c>
    </row>
    <row r="281" customFormat="false" ht="15" hidden="false" customHeight="false" outlineLevel="0" collapsed="false">
      <c r="A281" s="28" t="str">
        <f aca="false">IF($M281=0,"",ROW()-4)</f>
        <v/>
      </c>
      <c r="B281" s="26" t="str">
        <f aca="false">IF($M281=0,"","OPERATIONS")</f>
        <v/>
      </c>
      <c r="C281" s="26" t="str">
        <f aca="false">IF($M281=0,"",OPERATIONS!$A281)</f>
        <v/>
      </c>
      <c r="D281" s="31" t="str">
        <f aca="false">IF($M281=0,"",OPERATIONS!$B281)</f>
        <v/>
      </c>
      <c r="E281" s="26" t="str">
        <f aca="false">IF($M281=0,"","SORTIE")</f>
        <v/>
      </c>
      <c r="F281" s="26" t="str">
        <f aca="false">IF($M281=0,"",OPERATIONS!$C281)</f>
        <v/>
      </c>
      <c r="G281" s="26" t="str">
        <f aca="false">IF($M281=0,"",OPERATIONS!$D281)</f>
        <v/>
      </c>
      <c r="H281" s="26" t="str">
        <f aca="false">IF($G281="","",IFERROR(INDEX(LOT_EXTE,MATCH($G281,LOT_KEY,0)),""))</f>
        <v/>
      </c>
      <c r="I281" s="26" t="str">
        <f aca="false">IF($M281=0,"",OPERATIONS!$E281)</f>
        <v/>
      </c>
      <c r="J281" s="26" t="str">
        <f aca="false">IF($I281="","",IFERROR(INDEX(EMPL_CLASSE,MATCH($I281,EMPL_KEY,0)),""))</f>
        <v/>
      </c>
      <c r="K281" s="26" t="str">
        <f aca="false">IF($M281=0,"",OPERATIONS!$K281)</f>
        <v/>
      </c>
      <c r="L281" s="26" t="str">
        <f aca="false">IF($G281="","",IF(IFERROR(INDEX(LOT_ETAT,MATCH($G281,LOT_KEY,0)),"")="","",INDEX(LOT_ETAT,MATCH($G281,LOT_KEY,0))))</f>
        <v/>
      </c>
      <c r="M281" s="73" t="n">
        <f aca="false">IF(OR(OPERATIONS!$O281=0,OPERATIONS!$C281="RECEPTION",OPERATIONS!$C281="AJUSTEMENT"),0,-OPERATIONS!$G281)</f>
        <v>0</v>
      </c>
      <c r="N281" s="73" t="n">
        <f aca="false">IF($M281=0,0,OPERATIONS!$R281*$M281)</f>
        <v>0</v>
      </c>
      <c r="O281" s="26" t="str">
        <f aca="false">IF($M281=0,"",OPERATIONS!$Q281)</f>
        <v/>
      </c>
      <c r="P281" s="26" t="str">
        <f aca="false">IF($G281="","",IF($G281=R_LOT,COUNTIF($G$5:$G281,R_LOT),""))</f>
        <v/>
      </c>
    </row>
    <row r="282" customFormat="false" ht="15" hidden="false" customHeight="false" outlineLevel="0" collapsed="false">
      <c r="A282" s="28" t="str">
        <f aca="false">IF($M282=0,"",ROW()-4)</f>
        <v/>
      </c>
      <c r="B282" s="26" t="str">
        <f aca="false">IF($M282=0,"","OPERATIONS")</f>
        <v/>
      </c>
      <c r="C282" s="26" t="str">
        <f aca="false">IF($M282=0,"",OPERATIONS!$A282)</f>
        <v/>
      </c>
      <c r="D282" s="31" t="str">
        <f aca="false">IF($M282=0,"",OPERATIONS!$B282)</f>
        <v/>
      </c>
      <c r="E282" s="26" t="str">
        <f aca="false">IF($M282=0,"","SORTIE")</f>
        <v/>
      </c>
      <c r="F282" s="26" t="str">
        <f aca="false">IF($M282=0,"",OPERATIONS!$C282)</f>
        <v/>
      </c>
      <c r="G282" s="26" t="str">
        <f aca="false">IF($M282=0,"",OPERATIONS!$D282)</f>
        <v/>
      </c>
      <c r="H282" s="26" t="str">
        <f aca="false">IF($G282="","",IFERROR(INDEX(LOT_EXTE,MATCH($G282,LOT_KEY,0)),""))</f>
        <v/>
      </c>
      <c r="I282" s="26" t="str">
        <f aca="false">IF($M282=0,"",OPERATIONS!$E282)</f>
        <v/>
      </c>
      <c r="J282" s="26" t="str">
        <f aca="false">IF($I282="","",IFERROR(INDEX(EMPL_CLASSE,MATCH($I282,EMPL_KEY,0)),""))</f>
        <v/>
      </c>
      <c r="K282" s="26" t="str">
        <f aca="false">IF($M282=0,"",OPERATIONS!$K282)</f>
        <v/>
      </c>
      <c r="L282" s="26" t="str">
        <f aca="false">IF($G282="","",IF(IFERROR(INDEX(LOT_ETAT,MATCH($G282,LOT_KEY,0)),"")="","",INDEX(LOT_ETAT,MATCH($G282,LOT_KEY,0))))</f>
        <v/>
      </c>
      <c r="M282" s="73" t="n">
        <f aca="false">IF(OR(OPERATIONS!$O282=0,OPERATIONS!$C282="RECEPTION",OPERATIONS!$C282="AJUSTEMENT"),0,-OPERATIONS!$G282)</f>
        <v>0</v>
      </c>
      <c r="N282" s="73" t="n">
        <f aca="false">IF($M282=0,0,OPERATIONS!$R282*$M282)</f>
        <v>0</v>
      </c>
      <c r="O282" s="26" t="str">
        <f aca="false">IF($M282=0,"",OPERATIONS!$Q282)</f>
        <v/>
      </c>
      <c r="P282" s="26" t="str">
        <f aca="false">IF($G282="","",IF($G282=R_LOT,COUNTIF($G$5:$G282,R_LOT),""))</f>
        <v/>
      </c>
    </row>
    <row r="283" customFormat="false" ht="15" hidden="false" customHeight="false" outlineLevel="0" collapsed="false">
      <c r="A283" s="28" t="str">
        <f aca="false">IF($M283=0,"",ROW()-4)</f>
        <v/>
      </c>
      <c r="B283" s="26" t="str">
        <f aca="false">IF($M283=0,"","OPERATIONS")</f>
        <v/>
      </c>
      <c r="C283" s="26" t="str">
        <f aca="false">IF($M283=0,"",OPERATIONS!$A283)</f>
        <v/>
      </c>
      <c r="D283" s="31" t="str">
        <f aca="false">IF($M283=0,"",OPERATIONS!$B283)</f>
        <v/>
      </c>
      <c r="E283" s="26" t="str">
        <f aca="false">IF($M283=0,"","SORTIE")</f>
        <v/>
      </c>
      <c r="F283" s="26" t="str">
        <f aca="false">IF($M283=0,"",OPERATIONS!$C283)</f>
        <v/>
      </c>
      <c r="G283" s="26" t="str">
        <f aca="false">IF($M283=0,"",OPERATIONS!$D283)</f>
        <v/>
      </c>
      <c r="H283" s="26" t="str">
        <f aca="false">IF($G283="","",IFERROR(INDEX(LOT_EXTE,MATCH($G283,LOT_KEY,0)),""))</f>
        <v/>
      </c>
      <c r="I283" s="26" t="str">
        <f aca="false">IF($M283=0,"",OPERATIONS!$E283)</f>
        <v/>
      </c>
      <c r="J283" s="26" t="str">
        <f aca="false">IF($I283="","",IFERROR(INDEX(EMPL_CLASSE,MATCH($I283,EMPL_KEY,0)),""))</f>
        <v/>
      </c>
      <c r="K283" s="26" t="str">
        <f aca="false">IF($M283=0,"",OPERATIONS!$K283)</f>
        <v/>
      </c>
      <c r="L283" s="26" t="str">
        <f aca="false">IF($G283="","",IF(IFERROR(INDEX(LOT_ETAT,MATCH($G283,LOT_KEY,0)),"")="","",INDEX(LOT_ETAT,MATCH($G283,LOT_KEY,0))))</f>
        <v/>
      </c>
      <c r="M283" s="73" t="n">
        <f aca="false">IF(OR(OPERATIONS!$O283=0,OPERATIONS!$C283="RECEPTION",OPERATIONS!$C283="AJUSTEMENT"),0,-OPERATIONS!$G283)</f>
        <v>0</v>
      </c>
      <c r="N283" s="73" t="n">
        <f aca="false">IF($M283=0,0,OPERATIONS!$R283*$M283)</f>
        <v>0</v>
      </c>
      <c r="O283" s="26" t="str">
        <f aca="false">IF($M283=0,"",OPERATIONS!$Q283)</f>
        <v/>
      </c>
      <c r="P283" s="26" t="str">
        <f aca="false">IF($G283="","",IF($G283=R_LOT,COUNTIF($G$5:$G283,R_LOT),""))</f>
        <v/>
      </c>
    </row>
    <row r="284" customFormat="false" ht="15" hidden="false" customHeight="false" outlineLevel="0" collapsed="false">
      <c r="A284" s="28" t="str">
        <f aca="false">IF($M284=0,"",ROW()-4)</f>
        <v/>
      </c>
      <c r="B284" s="26" t="str">
        <f aca="false">IF($M284=0,"","OPERATIONS")</f>
        <v/>
      </c>
      <c r="C284" s="26" t="str">
        <f aca="false">IF($M284=0,"",OPERATIONS!$A284)</f>
        <v/>
      </c>
      <c r="D284" s="31" t="str">
        <f aca="false">IF($M284=0,"",OPERATIONS!$B284)</f>
        <v/>
      </c>
      <c r="E284" s="26" t="str">
        <f aca="false">IF($M284=0,"","SORTIE")</f>
        <v/>
      </c>
      <c r="F284" s="26" t="str">
        <f aca="false">IF($M284=0,"",OPERATIONS!$C284)</f>
        <v/>
      </c>
      <c r="G284" s="26" t="str">
        <f aca="false">IF($M284=0,"",OPERATIONS!$D284)</f>
        <v/>
      </c>
      <c r="H284" s="26" t="str">
        <f aca="false">IF($G284="","",IFERROR(INDEX(LOT_EXTE,MATCH($G284,LOT_KEY,0)),""))</f>
        <v/>
      </c>
      <c r="I284" s="26" t="str">
        <f aca="false">IF($M284=0,"",OPERATIONS!$E284)</f>
        <v/>
      </c>
      <c r="J284" s="26" t="str">
        <f aca="false">IF($I284="","",IFERROR(INDEX(EMPL_CLASSE,MATCH($I284,EMPL_KEY,0)),""))</f>
        <v/>
      </c>
      <c r="K284" s="26" t="str">
        <f aca="false">IF($M284=0,"",OPERATIONS!$K284)</f>
        <v/>
      </c>
      <c r="L284" s="26" t="str">
        <f aca="false">IF($G284="","",IF(IFERROR(INDEX(LOT_ETAT,MATCH($G284,LOT_KEY,0)),"")="","",INDEX(LOT_ETAT,MATCH($G284,LOT_KEY,0))))</f>
        <v/>
      </c>
      <c r="M284" s="73" t="n">
        <f aca="false">IF(OR(OPERATIONS!$O284=0,OPERATIONS!$C284="RECEPTION",OPERATIONS!$C284="AJUSTEMENT"),0,-OPERATIONS!$G284)</f>
        <v>0</v>
      </c>
      <c r="N284" s="73" t="n">
        <f aca="false">IF($M284=0,0,OPERATIONS!$R284*$M284)</f>
        <v>0</v>
      </c>
      <c r="O284" s="26" t="str">
        <f aca="false">IF($M284=0,"",OPERATIONS!$Q284)</f>
        <v/>
      </c>
      <c r="P284" s="26" t="str">
        <f aca="false">IF($G284="","",IF($G284=R_LOT,COUNTIF($G$5:$G284,R_LOT),""))</f>
        <v/>
      </c>
    </row>
    <row r="285" customFormat="false" ht="15" hidden="false" customHeight="false" outlineLevel="0" collapsed="false">
      <c r="A285" s="28" t="str">
        <f aca="false">IF($M285=0,"",ROW()-4)</f>
        <v/>
      </c>
      <c r="B285" s="26" t="str">
        <f aca="false">IF($M285=0,"","OPERATIONS")</f>
        <v/>
      </c>
      <c r="C285" s="26" t="str">
        <f aca="false">IF($M285=0,"",OPERATIONS!$A285)</f>
        <v/>
      </c>
      <c r="D285" s="31" t="str">
        <f aca="false">IF($M285=0,"",OPERATIONS!$B285)</f>
        <v/>
      </c>
      <c r="E285" s="26" t="str">
        <f aca="false">IF($M285=0,"","SORTIE")</f>
        <v/>
      </c>
      <c r="F285" s="26" t="str">
        <f aca="false">IF($M285=0,"",OPERATIONS!$C285)</f>
        <v/>
      </c>
      <c r="G285" s="26" t="str">
        <f aca="false">IF($M285=0,"",OPERATIONS!$D285)</f>
        <v/>
      </c>
      <c r="H285" s="26" t="str">
        <f aca="false">IF($G285="","",IFERROR(INDEX(LOT_EXTE,MATCH($G285,LOT_KEY,0)),""))</f>
        <v/>
      </c>
      <c r="I285" s="26" t="str">
        <f aca="false">IF($M285=0,"",OPERATIONS!$E285)</f>
        <v/>
      </c>
      <c r="J285" s="26" t="str">
        <f aca="false">IF($I285="","",IFERROR(INDEX(EMPL_CLASSE,MATCH($I285,EMPL_KEY,0)),""))</f>
        <v/>
      </c>
      <c r="K285" s="26" t="str">
        <f aca="false">IF($M285=0,"",OPERATIONS!$K285)</f>
        <v/>
      </c>
      <c r="L285" s="26" t="str">
        <f aca="false">IF($G285="","",IF(IFERROR(INDEX(LOT_ETAT,MATCH($G285,LOT_KEY,0)),"")="","",INDEX(LOT_ETAT,MATCH($G285,LOT_KEY,0))))</f>
        <v/>
      </c>
      <c r="M285" s="73" t="n">
        <f aca="false">IF(OR(OPERATIONS!$O285=0,OPERATIONS!$C285="RECEPTION",OPERATIONS!$C285="AJUSTEMENT"),0,-OPERATIONS!$G285)</f>
        <v>0</v>
      </c>
      <c r="N285" s="73" t="n">
        <f aca="false">IF($M285=0,0,OPERATIONS!$R285*$M285)</f>
        <v>0</v>
      </c>
      <c r="O285" s="26" t="str">
        <f aca="false">IF($M285=0,"",OPERATIONS!$Q285)</f>
        <v/>
      </c>
      <c r="P285" s="26" t="str">
        <f aca="false">IF($G285="","",IF($G285=R_LOT,COUNTIF($G$5:$G285,R_LOT),""))</f>
        <v/>
      </c>
    </row>
    <row r="286" customFormat="false" ht="15" hidden="false" customHeight="false" outlineLevel="0" collapsed="false">
      <c r="A286" s="28" t="str">
        <f aca="false">IF($M286=0,"",ROW()-4)</f>
        <v/>
      </c>
      <c r="B286" s="26" t="str">
        <f aca="false">IF($M286=0,"","OPERATIONS")</f>
        <v/>
      </c>
      <c r="C286" s="26" t="str">
        <f aca="false">IF($M286=0,"",OPERATIONS!$A286)</f>
        <v/>
      </c>
      <c r="D286" s="31" t="str">
        <f aca="false">IF($M286=0,"",OPERATIONS!$B286)</f>
        <v/>
      </c>
      <c r="E286" s="26" t="str">
        <f aca="false">IF($M286=0,"","SORTIE")</f>
        <v/>
      </c>
      <c r="F286" s="26" t="str">
        <f aca="false">IF($M286=0,"",OPERATIONS!$C286)</f>
        <v/>
      </c>
      <c r="G286" s="26" t="str">
        <f aca="false">IF($M286=0,"",OPERATIONS!$D286)</f>
        <v/>
      </c>
      <c r="H286" s="26" t="str">
        <f aca="false">IF($G286="","",IFERROR(INDEX(LOT_EXTE,MATCH($G286,LOT_KEY,0)),""))</f>
        <v/>
      </c>
      <c r="I286" s="26" t="str">
        <f aca="false">IF($M286=0,"",OPERATIONS!$E286)</f>
        <v/>
      </c>
      <c r="J286" s="26" t="str">
        <f aca="false">IF($I286="","",IFERROR(INDEX(EMPL_CLASSE,MATCH($I286,EMPL_KEY,0)),""))</f>
        <v/>
      </c>
      <c r="K286" s="26" t="str">
        <f aca="false">IF($M286=0,"",OPERATIONS!$K286)</f>
        <v/>
      </c>
      <c r="L286" s="26" t="str">
        <f aca="false">IF($G286="","",IF(IFERROR(INDEX(LOT_ETAT,MATCH($G286,LOT_KEY,0)),"")="","",INDEX(LOT_ETAT,MATCH($G286,LOT_KEY,0))))</f>
        <v/>
      </c>
      <c r="M286" s="73" t="n">
        <f aca="false">IF(OR(OPERATIONS!$O286=0,OPERATIONS!$C286="RECEPTION",OPERATIONS!$C286="AJUSTEMENT"),0,-OPERATIONS!$G286)</f>
        <v>0</v>
      </c>
      <c r="N286" s="73" t="n">
        <f aca="false">IF($M286=0,0,OPERATIONS!$R286*$M286)</f>
        <v>0</v>
      </c>
      <c r="O286" s="26" t="str">
        <f aca="false">IF($M286=0,"",OPERATIONS!$Q286)</f>
        <v/>
      </c>
      <c r="P286" s="26" t="str">
        <f aca="false">IF($G286="","",IF($G286=R_LOT,COUNTIF($G$5:$G286,R_LOT),""))</f>
        <v/>
      </c>
    </row>
    <row r="287" customFormat="false" ht="15" hidden="false" customHeight="false" outlineLevel="0" collapsed="false">
      <c r="A287" s="28" t="str">
        <f aca="false">IF($M287=0,"",ROW()-4)</f>
        <v/>
      </c>
      <c r="B287" s="26" t="str">
        <f aca="false">IF($M287=0,"","OPERATIONS")</f>
        <v/>
      </c>
      <c r="C287" s="26" t="str">
        <f aca="false">IF($M287=0,"",OPERATIONS!$A287)</f>
        <v/>
      </c>
      <c r="D287" s="31" t="str">
        <f aca="false">IF($M287=0,"",OPERATIONS!$B287)</f>
        <v/>
      </c>
      <c r="E287" s="26" t="str">
        <f aca="false">IF($M287=0,"","SORTIE")</f>
        <v/>
      </c>
      <c r="F287" s="26" t="str">
        <f aca="false">IF($M287=0,"",OPERATIONS!$C287)</f>
        <v/>
      </c>
      <c r="G287" s="26" t="str">
        <f aca="false">IF($M287=0,"",OPERATIONS!$D287)</f>
        <v/>
      </c>
      <c r="H287" s="26" t="str">
        <f aca="false">IF($G287="","",IFERROR(INDEX(LOT_EXTE,MATCH($G287,LOT_KEY,0)),""))</f>
        <v/>
      </c>
      <c r="I287" s="26" t="str">
        <f aca="false">IF($M287=0,"",OPERATIONS!$E287)</f>
        <v/>
      </c>
      <c r="J287" s="26" t="str">
        <f aca="false">IF($I287="","",IFERROR(INDEX(EMPL_CLASSE,MATCH($I287,EMPL_KEY,0)),""))</f>
        <v/>
      </c>
      <c r="K287" s="26" t="str">
        <f aca="false">IF($M287=0,"",OPERATIONS!$K287)</f>
        <v/>
      </c>
      <c r="L287" s="26" t="str">
        <f aca="false">IF($G287="","",IF(IFERROR(INDEX(LOT_ETAT,MATCH($G287,LOT_KEY,0)),"")="","",INDEX(LOT_ETAT,MATCH($G287,LOT_KEY,0))))</f>
        <v/>
      </c>
      <c r="M287" s="73" t="n">
        <f aca="false">IF(OR(OPERATIONS!$O287=0,OPERATIONS!$C287="RECEPTION",OPERATIONS!$C287="AJUSTEMENT"),0,-OPERATIONS!$G287)</f>
        <v>0</v>
      </c>
      <c r="N287" s="73" t="n">
        <f aca="false">IF($M287=0,0,OPERATIONS!$R287*$M287)</f>
        <v>0</v>
      </c>
      <c r="O287" s="26" t="str">
        <f aca="false">IF($M287=0,"",OPERATIONS!$Q287)</f>
        <v/>
      </c>
      <c r="P287" s="26" t="str">
        <f aca="false">IF($G287="","",IF($G287=R_LOT,COUNTIF($G$5:$G287,R_LOT),""))</f>
        <v/>
      </c>
    </row>
    <row r="288" customFormat="false" ht="15" hidden="false" customHeight="false" outlineLevel="0" collapsed="false">
      <c r="A288" s="28" t="str">
        <f aca="false">IF($M288=0,"",ROW()-4)</f>
        <v/>
      </c>
      <c r="B288" s="26" t="str">
        <f aca="false">IF($M288=0,"","OPERATIONS")</f>
        <v/>
      </c>
      <c r="C288" s="26" t="str">
        <f aca="false">IF($M288=0,"",OPERATIONS!$A288)</f>
        <v/>
      </c>
      <c r="D288" s="31" t="str">
        <f aca="false">IF($M288=0,"",OPERATIONS!$B288)</f>
        <v/>
      </c>
      <c r="E288" s="26" t="str">
        <f aca="false">IF($M288=0,"","SORTIE")</f>
        <v/>
      </c>
      <c r="F288" s="26" t="str">
        <f aca="false">IF($M288=0,"",OPERATIONS!$C288)</f>
        <v/>
      </c>
      <c r="G288" s="26" t="str">
        <f aca="false">IF($M288=0,"",OPERATIONS!$D288)</f>
        <v/>
      </c>
      <c r="H288" s="26" t="str">
        <f aca="false">IF($G288="","",IFERROR(INDEX(LOT_EXTE,MATCH($G288,LOT_KEY,0)),""))</f>
        <v/>
      </c>
      <c r="I288" s="26" t="str">
        <f aca="false">IF($M288=0,"",OPERATIONS!$E288)</f>
        <v/>
      </c>
      <c r="J288" s="26" t="str">
        <f aca="false">IF($I288="","",IFERROR(INDEX(EMPL_CLASSE,MATCH($I288,EMPL_KEY,0)),""))</f>
        <v/>
      </c>
      <c r="K288" s="26" t="str">
        <f aca="false">IF($M288=0,"",OPERATIONS!$K288)</f>
        <v/>
      </c>
      <c r="L288" s="26" t="str">
        <f aca="false">IF($G288="","",IF(IFERROR(INDEX(LOT_ETAT,MATCH($G288,LOT_KEY,0)),"")="","",INDEX(LOT_ETAT,MATCH($G288,LOT_KEY,0))))</f>
        <v/>
      </c>
      <c r="M288" s="73" t="n">
        <f aca="false">IF(OR(OPERATIONS!$O288=0,OPERATIONS!$C288="RECEPTION",OPERATIONS!$C288="AJUSTEMENT"),0,-OPERATIONS!$G288)</f>
        <v>0</v>
      </c>
      <c r="N288" s="73" t="n">
        <f aca="false">IF($M288=0,0,OPERATIONS!$R288*$M288)</f>
        <v>0</v>
      </c>
      <c r="O288" s="26" t="str">
        <f aca="false">IF($M288=0,"",OPERATIONS!$Q288)</f>
        <v/>
      </c>
      <c r="P288" s="26" t="str">
        <f aca="false">IF($G288="","",IF($G288=R_LOT,COUNTIF($G$5:$G288,R_LOT),""))</f>
        <v/>
      </c>
    </row>
    <row r="289" customFormat="false" ht="15" hidden="false" customHeight="false" outlineLevel="0" collapsed="false">
      <c r="A289" s="28" t="str">
        <f aca="false">IF($M289=0,"",ROW()-4)</f>
        <v/>
      </c>
      <c r="B289" s="26" t="str">
        <f aca="false">IF($M289=0,"","OPERATIONS")</f>
        <v/>
      </c>
      <c r="C289" s="26" t="str">
        <f aca="false">IF($M289=0,"",OPERATIONS!$A289)</f>
        <v/>
      </c>
      <c r="D289" s="31" t="str">
        <f aca="false">IF($M289=0,"",OPERATIONS!$B289)</f>
        <v/>
      </c>
      <c r="E289" s="26" t="str">
        <f aca="false">IF($M289=0,"","SORTIE")</f>
        <v/>
      </c>
      <c r="F289" s="26" t="str">
        <f aca="false">IF($M289=0,"",OPERATIONS!$C289)</f>
        <v/>
      </c>
      <c r="G289" s="26" t="str">
        <f aca="false">IF($M289=0,"",OPERATIONS!$D289)</f>
        <v/>
      </c>
      <c r="H289" s="26" t="str">
        <f aca="false">IF($G289="","",IFERROR(INDEX(LOT_EXTE,MATCH($G289,LOT_KEY,0)),""))</f>
        <v/>
      </c>
      <c r="I289" s="26" t="str">
        <f aca="false">IF($M289=0,"",OPERATIONS!$E289)</f>
        <v/>
      </c>
      <c r="J289" s="26" t="str">
        <f aca="false">IF($I289="","",IFERROR(INDEX(EMPL_CLASSE,MATCH($I289,EMPL_KEY,0)),""))</f>
        <v/>
      </c>
      <c r="K289" s="26" t="str">
        <f aca="false">IF($M289=0,"",OPERATIONS!$K289)</f>
        <v/>
      </c>
      <c r="L289" s="26" t="str">
        <f aca="false">IF($G289="","",IF(IFERROR(INDEX(LOT_ETAT,MATCH($G289,LOT_KEY,0)),"")="","",INDEX(LOT_ETAT,MATCH($G289,LOT_KEY,0))))</f>
        <v/>
      </c>
      <c r="M289" s="73" t="n">
        <f aca="false">IF(OR(OPERATIONS!$O289=0,OPERATIONS!$C289="RECEPTION",OPERATIONS!$C289="AJUSTEMENT"),0,-OPERATIONS!$G289)</f>
        <v>0</v>
      </c>
      <c r="N289" s="73" t="n">
        <f aca="false">IF($M289=0,0,OPERATIONS!$R289*$M289)</f>
        <v>0</v>
      </c>
      <c r="O289" s="26" t="str">
        <f aca="false">IF($M289=0,"",OPERATIONS!$Q289)</f>
        <v/>
      </c>
      <c r="P289" s="26" t="str">
        <f aca="false">IF($G289="","",IF($G289=R_LOT,COUNTIF($G$5:$G289,R_LOT),""))</f>
        <v/>
      </c>
    </row>
    <row r="290" customFormat="false" ht="15" hidden="false" customHeight="false" outlineLevel="0" collapsed="false">
      <c r="A290" s="28" t="str">
        <f aca="false">IF($M290=0,"",ROW()-4)</f>
        <v/>
      </c>
      <c r="B290" s="26" t="str">
        <f aca="false">IF($M290=0,"","OPERATIONS")</f>
        <v/>
      </c>
      <c r="C290" s="26" t="str">
        <f aca="false">IF($M290=0,"",OPERATIONS!$A290)</f>
        <v/>
      </c>
      <c r="D290" s="31" t="str">
        <f aca="false">IF($M290=0,"",OPERATIONS!$B290)</f>
        <v/>
      </c>
      <c r="E290" s="26" t="str">
        <f aca="false">IF($M290=0,"","SORTIE")</f>
        <v/>
      </c>
      <c r="F290" s="26" t="str">
        <f aca="false">IF($M290=0,"",OPERATIONS!$C290)</f>
        <v/>
      </c>
      <c r="G290" s="26" t="str">
        <f aca="false">IF($M290=0,"",OPERATIONS!$D290)</f>
        <v/>
      </c>
      <c r="H290" s="26" t="str">
        <f aca="false">IF($G290="","",IFERROR(INDEX(LOT_EXTE,MATCH($G290,LOT_KEY,0)),""))</f>
        <v/>
      </c>
      <c r="I290" s="26" t="str">
        <f aca="false">IF($M290=0,"",OPERATIONS!$E290)</f>
        <v/>
      </c>
      <c r="J290" s="26" t="str">
        <f aca="false">IF($I290="","",IFERROR(INDEX(EMPL_CLASSE,MATCH($I290,EMPL_KEY,0)),""))</f>
        <v/>
      </c>
      <c r="K290" s="26" t="str">
        <f aca="false">IF($M290=0,"",OPERATIONS!$K290)</f>
        <v/>
      </c>
      <c r="L290" s="26" t="str">
        <f aca="false">IF($G290="","",IF(IFERROR(INDEX(LOT_ETAT,MATCH($G290,LOT_KEY,0)),"")="","",INDEX(LOT_ETAT,MATCH($G290,LOT_KEY,0))))</f>
        <v/>
      </c>
      <c r="M290" s="73" t="n">
        <f aca="false">IF(OR(OPERATIONS!$O290=0,OPERATIONS!$C290="RECEPTION",OPERATIONS!$C290="AJUSTEMENT"),0,-OPERATIONS!$G290)</f>
        <v>0</v>
      </c>
      <c r="N290" s="73" t="n">
        <f aca="false">IF($M290=0,0,OPERATIONS!$R290*$M290)</f>
        <v>0</v>
      </c>
      <c r="O290" s="26" t="str">
        <f aca="false">IF($M290=0,"",OPERATIONS!$Q290)</f>
        <v/>
      </c>
      <c r="P290" s="26" t="str">
        <f aca="false">IF($G290="","",IF($G290=R_LOT,COUNTIF($G$5:$G290,R_LOT),""))</f>
        <v/>
      </c>
    </row>
    <row r="291" customFormat="false" ht="15" hidden="false" customHeight="false" outlineLevel="0" collapsed="false">
      <c r="A291" s="28" t="str">
        <f aca="false">IF($M291=0,"",ROW()-4)</f>
        <v/>
      </c>
      <c r="B291" s="26" t="str">
        <f aca="false">IF($M291=0,"","OPERATIONS")</f>
        <v/>
      </c>
      <c r="C291" s="26" t="str">
        <f aca="false">IF($M291=0,"",OPERATIONS!$A291)</f>
        <v/>
      </c>
      <c r="D291" s="31" t="str">
        <f aca="false">IF($M291=0,"",OPERATIONS!$B291)</f>
        <v/>
      </c>
      <c r="E291" s="26" t="str">
        <f aca="false">IF($M291=0,"","SORTIE")</f>
        <v/>
      </c>
      <c r="F291" s="26" t="str">
        <f aca="false">IF($M291=0,"",OPERATIONS!$C291)</f>
        <v/>
      </c>
      <c r="G291" s="26" t="str">
        <f aca="false">IF($M291=0,"",OPERATIONS!$D291)</f>
        <v/>
      </c>
      <c r="H291" s="26" t="str">
        <f aca="false">IF($G291="","",IFERROR(INDEX(LOT_EXTE,MATCH($G291,LOT_KEY,0)),""))</f>
        <v/>
      </c>
      <c r="I291" s="26" t="str">
        <f aca="false">IF($M291=0,"",OPERATIONS!$E291)</f>
        <v/>
      </c>
      <c r="J291" s="26" t="str">
        <f aca="false">IF($I291="","",IFERROR(INDEX(EMPL_CLASSE,MATCH($I291,EMPL_KEY,0)),""))</f>
        <v/>
      </c>
      <c r="K291" s="26" t="str">
        <f aca="false">IF($M291=0,"",OPERATIONS!$K291)</f>
        <v/>
      </c>
      <c r="L291" s="26" t="str">
        <f aca="false">IF($G291="","",IF(IFERROR(INDEX(LOT_ETAT,MATCH($G291,LOT_KEY,0)),"")="","",INDEX(LOT_ETAT,MATCH($G291,LOT_KEY,0))))</f>
        <v/>
      </c>
      <c r="M291" s="73" t="n">
        <f aca="false">IF(OR(OPERATIONS!$O291=0,OPERATIONS!$C291="RECEPTION",OPERATIONS!$C291="AJUSTEMENT"),0,-OPERATIONS!$G291)</f>
        <v>0</v>
      </c>
      <c r="N291" s="73" t="n">
        <f aca="false">IF($M291=0,0,OPERATIONS!$R291*$M291)</f>
        <v>0</v>
      </c>
      <c r="O291" s="26" t="str">
        <f aca="false">IF($M291=0,"",OPERATIONS!$Q291)</f>
        <v/>
      </c>
      <c r="P291" s="26" t="str">
        <f aca="false">IF($G291="","",IF($G291=R_LOT,COUNTIF($G$5:$G291,R_LOT),""))</f>
        <v/>
      </c>
    </row>
    <row r="292" customFormat="false" ht="15" hidden="false" customHeight="false" outlineLevel="0" collapsed="false">
      <c r="A292" s="28" t="str">
        <f aca="false">IF($M292=0,"",ROW()-4)</f>
        <v/>
      </c>
      <c r="B292" s="26" t="str">
        <f aca="false">IF($M292=0,"","OPERATIONS")</f>
        <v/>
      </c>
      <c r="C292" s="26" t="str">
        <f aca="false">IF($M292=0,"",OPERATIONS!$A292)</f>
        <v/>
      </c>
      <c r="D292" s="31" t="str">
        <f aca="false">IF($M292=0,"",OPERATIONS!$B292)</f>
        <v/>
      </c>
      <c r="E292" s="26" t="str">
        <f aca="false">IF($M292=0,"","SORTIE")</f>
        <v/>
      </c>
      <c r="F292" s="26" t="str">
        <f aca="false">IF($M292=0,"",OPERATIONS!$C292)</f>
        <v/>
      </c>
      <c r="G292" s="26" t="str">
        <f aca="false">IF($M292=0,"",OPERATIONS!$D292)</f>
        <v/>
      </c>
      <c r="H292" s="26" t="str">
        <f aca="false">IF($G292="","",IFERROR(INDEX(LOT_EXTE,MATCH($G292,LOT_KEY,0)),""))</f>
        <v/>
      </c>
      <c r="I292" s="26" t="str">
        <f aca="false">IF($M292=0,"",OPERATIONS!$E292)</f>
        <v/>
      </c>
      <c r="J292" s="26" t="str">
        <f aca="false">IF($I292="","",IFERROR(INDEX(EMPL_CLASSE,MATCH($I292,EMPL_KEY,0)),""))</f>
        <v/>
      </c>
      <c r="K292" s="26" t="str">
        <f aca="false">IF($M292=0,"",OPERATIONS!$K292)</f>
        <v/>
      </c>
      <c r="L292" s="26" t="str">
        <f aca="false">IF($G292="","",IF(IFERROR(INDEX(LOT_ETAT,MATCH($G292,LOT_KEY,0)),"")="","",INDEX(LOT_ETAT,MATCH($G292,LOT_KEY,0))))</f>
        <v/>
      </c>
      <c r="M292" s="73" t="n">
        <f aca="false">IF(OR(OPERATIONS!$O292=0,OPERATIONS!$C292="RECEPTION",OPERATIONS!$C292="AJUSTEMENT"),0,-OPERATIONS!$G292)</f>
        <v>0</v>
      </c>
      <c r="N292" s="73" t="n">
        <f aca="false">IF($M292=0,0,OPERATIONS!$R292*$M292)</f>
        <v>0</v>
      </c>
      <c r="O292" s="26" t="str">
        <f aca="false">IF($M292=0,"",OPERATIONS!$Q292)</f>
        <v/>
      </c>
      <c r="P292" s="26" t="str">
        <f aca="false">IF($G292="","",IF($G292=R_LOT,COUNTIF($G$5:$G292,R_LOT),""))</f>
        <v/>
      </c>
    </row>
    <row r="293" customFormat="false" ht="15" hidden="false" customHeight="false" outlineLevel="0" collapsed="false">
      <c r="A293" s="28" t="str">
        <f aca="false">IF($M293=0,"",ROW()-4)</f>
        <v/>
      </c>
      <c r="B293" s="26" t="str">
        <f aca="false">IF($M293=0,"","OPERATIONS")</f>
        <v/>
      </c>
      <c r="C293" s="26" t="str">
        <f aca="false">IF($M293=0,"",OPERATIONS!$A293)</f>
        <v/>
      </c>
      <c r="D293" s="31" t="str">
        <f aca="false">IF($M293=0,"",OPERATIONS!$B293)</f>
        <v/>
      </c>
      <c r="E293" s="26" t="str">
        <f aca="false">IF($M293=0,"","SORTIE")</f>
        <v/>
      </c>
      <c r="F293" s="26" t="str">
        <f aca="false">IF($M293=0,"",OPERATIONS!$C293)</f>
        <v/>
      </c>
      <c r="G293" s="26" t="str">
        <f aca="false">IF($M293=0,"",OPERATIONS!$D293)</f>
        <v/>
      </c>
      <c r="H293" s="26" t="str">
        <f aca="false">IF($G293="","",IFERROR(INDEX(LOT_EXTE,MATCH($G293,LOT_KEY,0)),""))</f>
        <v/>
      </c>
      <c r="I293" s="26" t="str">
        <f aca="false">IF($M293=0,"",OPERATIONS!$E293)</f>
        <v/>
      </c>
      <c r="J293" s="26" t="str">
        <f aca="false">IF($I293="","",IFERROR(INDEX(EMPL_CLASSE,MATCH($I293,EMPL_KEY,0)),""))</f>
        <v/>
      </c>
      <c r="K293" s="26" t="str">
        <f aca="false">IF($M293=0,"",OPERATIONS!$K293)</f>
        <v/>
      </c>
      <c r="L293" s="26" t="str">
        <f aca="false">IF($G293="","",IF(IFERROR(INDEX(LOT_ETAT,MATCH($G293,LOT_KEY,0)),"")="","",INDEX(LOT_ETAT,MATCH($G293,LOT_KEY,0))))</f>
        <v/>
      </c>
      <c r="M293" s="73" t="n">
        <f aca="false">IF(OR(OPERATIONS!$O293=0,OPERATIONS!$C293="RECEPTION",OPERATIONS!$C293="AJUSTEMENT"),0,-OPERATIONS!$G293)</f>
        <v>0</v>
      </c>
      <c r="N293" s="73" t="n">
        <f aca="false">IF($M293=0,0,OPERATIONS!$R293*$M293)</f>
        <v>0</v>
      </c>
      <c r="O293" s="26" t="str">
        <f aca="false">IF($M293=0,"",OPERATIONS!$Q293)</f>
        <v/>
      </c>
      <c r="P293" s="26" t="str">
        <f aca="false">IF($G293="","",IF($G293=R_LOT,COUNTIF($G$5:$G293,R_LOT),""))</f>
        <v/>
      </c>
    </row>
    <row r="294" customFormat="false" ht="15" hidden="false" customHeight="false" outlineLevel="0" collapsed="false">
      <c r="A294" s="28" t="str">
        <f aca="false">IF($M294=0,"",ROW()-4)</f>
        <v/>
      </c>
      <c r="B294" s="26" t="str">
        <f aca="false">IF($M294=0,"","OPERATIONS")</f>
        <v/>
      </c>
      <c r="C294" s="26" t="str">
        <f aca="false">IF($M294=0,"",OPERATIONS!$A294)</f>
        <v/>
      </c>
      <c r="D294" s="31" t="str">
        <f aca="false">IF($M294=0,"",OPERATIONS!$B294)</f>
        <v/>
      </c>
      <c r="E294" s="26" t="str">
        <f aca="false">IF($M294=0,"","SORTIE")</f>
        <v/>
      </c>
      <c r="F294" s="26" t="str">
        <f aca="false">IF($M294=0,"",OPERATIONS!$C294)</f>
        <v/>
      </c>
      <c r="G294" s="26" t="str">
        <f aca="false">IF($M294=0,"",OPERATIONS!$D294)</f>
        <v/>
      </c>
      <c r="H294" s="26" t="str">
        <f aca="false">IF($G294="","",IFERROR(INDEX(LOT_EXTE,MATCH($G294,LOT_KEY,0)),""))</f>
        <v/>
      </c>
      <c r="I294" s="26" t="str">
        <f aca="false">IF($M294=0,"",OPERATIONS!$E294)</f>
        <v/>
      </c>
      <c r="J294" s="26" t="str">
        <f aca="false">IF($I294="","",IFERROR(INDEX(EMPL_CLASSE,MATCH($I294,EMPL_KEY,0)),""))</f>
        <v/>
      </c>
      <c r="K294" s="26" t="str">
        <f aca="false">IF($M294=0,"",OPERATIONS!$K294)</f>
        <v/>
      </c>
      <c r="L294" s="26" t="str">
        <f aca="false">IF($G294="","",IF(IFERROR(INDEX(LOT_ETAT,MATCH($G294,LOT_KEY,0)),"")="","",INDEX(LOT_ETAT,MATCH($G294,LOT_KEY,0))))</f>
        <v/>
      </c>
      <c r="M294" s="73" t="n">
        <f aca="false">IF(OR(OPERATIONS!$O294=0,OPERATIONS!$C294="RECEPTION",OPERATIONS!$C294="AJUSTEMENT"),0,-OPERATIONS!$G294)</f>
        <v>0</v>
      </c>
      <c r="N294" s="73" t="n">
        <f aca="false">IF($M294=0,0,OPERATIONS!$R294*$M294)</f>
        <v>0</v>
      </c>
      <c r="O294" s="26" t="str">
        <f aca="false">IF($M294=0,"",OPERATIONS!$Q294)</f>
        <v/>
      </c>
      <c r="P294" s="26" t="str">
        <f aca="false">IF($G294="","",IF($G294=R_LOT,COUNTIF($G$5:$G294,R_LOT),""))</f>
        <v/>
      </c>
    </row>
    <row r="295" customFormat="false" ht="15" hidden="false" customHeight="false" outlineLevel="0" collapsed="false">
      <c r="A295" s="28" t="str">
        <f aca="false">IF($M295=0,"",ROW()-4)</f>
        <v/>
      </c>
      <c r="B295" s="26" t="str">
        <f aca="false">IF($M295=0,"","OPERATIONS")</f>
        <v/>
      </c>
      <c r="C295" s="26" t="str">
        <f aca="false">IF($M295=0,"",OPERATIONS!$A295)</f>
        <v/>
      </c>
      <c r="D295" s="31" t="str">
        <f aca="false">IF($M295=0,"",OPERATIONS!$B295)</f>
        <v/>
      </c>
      <c r="E295" s="26" t="str">
        <f aca="false">IF($M295=0,"","SORTIE")</f>
        <v/>
      </c>
      <c r="F295" s="26" t="str">
        <f aca="false">IF($M295=0,"",OPERATIONS!$C295)</f>
        <v/>
      </c>
      <c r="G295" s="26" t="str">
        <f aca="false">IF($M295=0,"",OPERATIONS!$D295)</f>
        <v/>
      </c>
      <c r="H295" s="26" t="str">
        <f aca="false">IF($G295="","",IFERROR(INDEX(LOT_EXTE,MATCH($G295,LOT_KEY,0)),""))</f>
        <v/>
      </c>
      <c r="I295" s="26" t="str">
        <f aca="false">IF($M295=0,"",OPERATIONS!$E295)</f>
        <v/>
      </c>
      <c r="J295" s="26" t="str">
        <f aca="false">IF($I295="","",IFERROR(INDEX(EMPL_CLASSE,MATCH($I295,EMPL_KEY,0)),""))</f>
        <v/>
      </c>
      <c r="K295" s="26" t="str">
        <f aca="false">IF($M295=0,"",OPERATIONS!$K295)</f>
        <v/>
      </c>
      <c r="L295" s="26" t="str">
        <f aca="false">IF($G295="","",IF(IFERROR(INDEX(LOT_ETAT,MATCH($G295,LOT_KEY,0)),"")="","",INDEX(LOT_ETAT,MATCH($G295,LOT_KEY,0))))</f>
        <v/>
      </c>
      <c r="M295" s="73" t="n">
        <f aca="false">IF(OR(OPERATIONS!$O295=0,OPERATIONS!$C295="RECEPTION",OPERATIONS!$C295="AJUSTEMENT"),0,-OPERATIONS!$G295)</f>
        <v>0</v>
      </c>
      <c r="N295" s="73" t="n">
        <f aca="false">IF($M295=0,0,OPERATIONS!$R295*$M295)</f>
        <v>0</v>
      </c>
      <c r="O295" s="26" t="str">
        <f aca="false">IF($M295=0,"",OPERATIONS!$Q295)</f>
        <v/>
      </c>
      <c r="P295" s="26" t="str">
        <f aca="false">IF($G295="","",IF($G295=R_LOT,COUNTIF($G$5:$G295,R_LOT),""))</f>
        <v/>
      </c>
    </row>
    <row r="296" customFormat="false" ht="15" hidden="false" customHeight="false" outlineLevel="0" collapsed="false">
      <c r="A296" s="28" t="str">
        <f aca="false">IF($M296=0,"",ROW()-4)</f>
        <v/>
      </c>
      <c r="B296" s="26" t="str">
        <f aca="false">IF($M296=0,"","OPERATIONS")</f>
        <v/>
      </c>
      <c r="C296" s="26" t="str">
        <f aca="false">IF($M296=0,"",OPERATIONS!$A296)</f>
        <v/>
      </c>
      <c r="D296" s="31" t="str">
        <f aca="false">IF($M296=0,"",OPERATIONS!$B296)</f>
        <v/>
      </c>
      <c r="E296" s="26" t="str">
        <f aca="false">IF($M296=0,"","SORTIE")</f>
        <v/>
      </c>
      <c r="F296" s="26" t="str">
        <f aca="false">IF($M296=0,"",OPERATIONS!$C296)</f>
        <v/>
      </c>
      <c r="G296" s="26" t="str">
        <f aca="false">IF($M296=0,"",OPERATIONS!$D296)</f>
        <v/>
      </c>
      <c r="H296" s="26" t="str">
        <f aca="false">IF($G296="","",IFERROR(INDEX(LOT_EXTE,MATCH($G296,LOT_KEY,0)),""))</f>
        <v/>
      </c>
      <c r="I296" s="26" t="str">
        <f aca="false">IF($M296=0,"",OPERATIONS!$E296)</f>
        <v/>
      </c>
      <c r="J296" s="26" t="str">
        <f aca="false">IF($I296="","",IFERROR(INDEX(EMPL_CLASSE,MATCH($I296,EMPL_KEY,0)),""))</f>
        <v/>
      </c>
      <c r="K296" s="26" t="str">
        <f aca="false">IF($M296=0,"",OPERATIONS!$K296)</f>
        <v/>
      </c>
      <c r="L296" s="26" t="str">
        <f aca="false">IF($G296="","",IF(IFERROR(INDEX(LOT_ETAT,MATCH($G296,LOT_KEY,0)),"")="","",INDEX(LOT_ETAT,MATCH($G296,LOT_KEY,0))))</f>
        <v/>
      </c>
      <c r="M296" s="73" t="n">
        <f aca="false">IF(OR(OPERATIONS!$O296=0,OPERATIONS!$C296="RECEPTION",OPERATIONS!$C296="AJUSTEMENT"),0,-OPERATIONS!$G296)</f>
        <v>0</v>
      </c>
      <c r="N296" s="73" t="n">
        <f aca="false">IF($M296=0,0,OPERATIONS!$R296*$M296)</f>
        <v>0</v>
      </c>
      <c r="O296" s="26" t="str">
        <f aca="false">IF($M296=0,"",OPERATIONS!$Q296)</f>
        <v/>
      </c>
      <c r="P296" s="26" t="str">
        <f aca="false">IF($G296="","",IF($G296=R_LOT,COUNTIF($G$5:$G296,R_LOT),""))</f>
        <v/>
      </c>
    </row>
    <row r="297" customFormat="false" ht="15" hidden="false" customHeight="false" outlineLevel="0" collapsed="false">
      <c r="A297" s="28" t="str">
        <f aca="false">IF($M297=0,"",ROW()-4)</f>
        <v/>
      </c>
      <c r="B297" s="26" t="str">
        <f aca="false">IF($M297=0,"","OPERATIONS")</f>
        <v/>
      </c>
      <c r="C297" s="26" t="str">
        <f aca="false">IF($M297=0,"",OPERATIONS!$A297)</f>
        <v/>
      </c>
      <c r="D297" s="31" t="str">
        <f aca="false">IF($M297=0,"",OPERATIONS!$B297)</f>
        <v/>
      </c>
      <c r="E297" s="26" t="str">
        <f aca="false">IF($M297=0,"","SORTIE")</f>
        <v/>
      </c>
      <c r="F297" s="26" t="str">
        <f aca="false">IF($M297=0,"",OPERATIONS!$C297)</f>
        <v/>
      </c>
      <c r="G297" s="26" t="str">
        <f aca="false">IF($M297=0,"",OPERATIONS!$D297)</f>
        <v/>
      </c>
      <c r="H297" s="26" t="str">
        <f aca="false">IF($G297="","",IFERROR(INDEX(LOT_EXTE,MATCH($G297,LOT_KEY,0)),""))</f>
        <v/>
      </c>
      <c r="I297" s="26" t="str">
        <f aca="false">IF($M297=0,"",OPERATIONS!$E297)</f>
        <v/>
      </c>
      <c r="J297" s="26" t="str">
        <f aca="false">IF($I297="","",IFERROR(INDEX(EMPL_CLASSE,MATCH($I297,EMPL_KEY,0)),""))</f>
        <v/>
      </c>
      <c r="K297" s="26" t="str">
        <f aca="false">IF($M297=0,"",OPERATIONS!$K297)</f>
        <v/>
      </c>
      <c r="L297" s="26" t="str">
        <f aca="false">IF($G297="","",IF(IFERROR(INDEX(LOT_ETAT,MATCH($G297,LOT_KEY,0)),"")="","",INDEX(LOT_ETAT,MATCH($G297,LOT_KEY,0))))</f>
        <v/>
      </c>
      <c r="M297" s="73" t="n">
        <f aca="false">IF(OR(OPERATIONS!$O297=0,OPERATIONS!$C297="RECEPTION",OPERATIONS!$C297="AJUSTEMENT"),0,-OPERATIONS!$G297)</f>
        <v>0</v>
      </c>
      <c r="N297" s="73" t="n">
        <f aca="false">IF($M297=0,0,OPERATIONS!$R297*$M297)</f>
        <v>0</v>
      </c>
      <c r="O297" s="26" t="str">
        <f aca="false">IF($M297=0,"",OPERATIONS!$Q297)</f>
        <v/>
      </c>
      <c r="P297" s="26" t="str">
        <f aca="false">IF($G297="","",IF($G297=R_LOT,COUNTIF($G$5:$G297,R_LOT),""))</f>
        <v/>
      </c>
    </row>
    <row r="298" customFormat="false" ht="15" hidden="false" customHeight="false" outlineLevel="0" collapsed="false">
      <c r="A298" s="28" t="str">
        <f aca="false">IF($M298=0,"",ROW()-4)</f>
        <v/>
      </c>
      <c r="B298" s="26" t="str">
        <f aca="false">IF($M298=0,"","OPERATIONS")</f>
        <v/>
      </c>
      <c r="C298" s="26" t="str">
        <f aca="false">IF($M298=0,"",OPERATIONS!$A298)</f>
        <v/>
      </c>
      <c r="D298" s="31" t="str">
        <f aca="false">IF($M298=0,"",OPERATIONS!$B298)</f>
        <v/>
      </c>
      <c r="E298" s="26" t="str">
        <f aca="false">IF($M298=0,"","SORTIE")</f>
        <v/>
      </c>
      <c r="F298" s="26" t="str">
        <f aca="false">IF($M298=0,"",OPERATIONS!$C298)</f>
        <v/>
      </c>
      <c r="G298" s="26" t="str">
        <f aca="false">IF($M298=0,"",OPERATIONS!$D298)</f>
        <v/>
      </c>
      <c r="H298" s="26" t="str">
        <f aca="false">IF($G298="","",IFERROR(INDEX(LOT_EXTE,MATCH($G298,LOT_KEY,0)),""))</f>
        <v/>
      </c>
      <c r="I298" s="26" t="str">
        <f aca="false">IF($M298=0,"",OPERATIONS!$E298)</f>
        <v/>
      </c>
      <c r="J298" s="26" t="str">
        <f aca="false">IF($I298="","",IFERROR(INDEX(EMPL_CLASSE,MATCH($I298,EMPL_KEY,0)),""))</f>
        <v/>
      </c>
      <c r="K298" s="26" t="str">
        <f aca="false">IF($M298=0,"",OPERATIONS!$K298)</f>
        <v/>
      </c>
      <c r="L298" s="26" t="str">
        <f aca="false">IF($G298="","",IF(IFERROR(INDEX(LOT_ETAT,MATCH($G298,LOT_KEY,0)),"")="","",INDEX(LOT_ETAT,MATCH($G298,LOT_KEY,0))))</f>
        <v/>
      </c>
      <c r="M298" s="73" t="n">
        <f aca="false">IF(OR(OPERATIONS!$O298=0,OPERATIONS!$C298="RECEPTION",OPERATIONS!$C298="AJUSTEMENT"),0,-OPERATIONS!$G298)</f>
        <v>0</v>
      </c>
      <c r="N298" s="73" t="n">
        <f aca="false">IF($M298=0,0,OPERATIONS!$R298*$M298)</f>
        <v>0</v>
      </c>
      <c r="O298" s="26" t="str">
        <f aca="false">IF($M298=0,"",OPERATIONS!$Q298)</f>
        <v/>
      </c>
      <c r="P298" s="26" t="str">
        <f aca="false">IF($G298="","",IF($G298=R_LOT,COUNTIF($G$5:$G298,R_LOT),""))</f>
        <v/>
      </c>
    </row>
    <row r="299" customFormat="false" ht="15" hidden="false" customHeight="false" outlineLevel="0" collapsed="false">
      <c r="A299" s="28" t="str">
        <f aca="false">IF($M299=0,"",ROW()-4)</f>
        <v/>
      </c>
      <c r="B299" s="26" t="str">
        <f aca="false">IF($M299=0,"","OPERATIONS")</f>
        <v/>
      </c>
      <c r="C299" s="26" t="str">
        <f aca="false">IF($M299=0,"",OPERATIONS!$A299)</f>
        <v/>
      </c>
      <c r="D299" s="31" t="str">
        <f aca="false">IF($M299=0,"",OPERATIONS!$B299)</f>
        <v/>
      </c>
      <c r="E299" s="26" t="str">
        <f aca="false">IF($M299=0,"","SORTIE")</f>
        <v/>
      </c>
      <c r="F299" s="26" t="str">
        <f aca="false">IF($M299=0,"",OPERATIONS!$C299)</f>
        <v/>
      </c>
      <c r="G299" s="26" t="str">
        <f aca="false">IF($M299=0,"",OPERATIONS!$D299)</f>
        <v/>
      </c>
      <c r="H299" s="26" t="str">
        <f aca="false">IF($G299="","",IFERROR(INDEX(LOT_EXTE,MATCH($G299,LOT_KEY,0)),""))</f>
        <v/>
      </c>
      <c r="I299" s="26" t="str">
        <f aca="false">IF($M299=0,"",OPERATIONS!$E299)</f>
        <v/>
      </c>
      <c r="J299" s="26" t="str">
        <f aca="false">IF($I299="","",IFERROR(INDEX(EMPL_CLASSE,MATCH($I299,EMPL_KEY,0)),""))</f>
        <v/>
      </c>
      <c r="K299" s="26" t="str">
        <f aca="false">IF($M299=0,"",OPERATIONS!$K299)</f>
        <v/>
      </c>
      <c r="L299" s="26" t="str">
        <f aca="false">IF($G299="","",IF(IFERROR(INDEX(LOT_ETAT,MATCH($G299,LOT_KEY,0)),"")="","",INDEX(LOT_ETAT,MATCH($G299,LOT_KEY,0))))</f>
        <v/>
      </c>
      <c r="M299" s="73" t="n">
        <f aca="false">IF(OR(OPERATIONS!$O299=0,OPERATIONS!$C299="RECEPTION",OPERATIONS!$C299="AJUSTEMENT"),0,-OPERATIONS!$G299)</f>
        <v>0</v>
      </c>
      <c r="N299" s="73" t="n">
        <f aca="false">IF($M299=0,0,OPERATIONS!$R299*$M299)</f>
        <v>0</v>
      </c>
      <c r="O299" s="26" t="str">
        <f aca="false">IF($M299=0,"",OPERATIONS!$Q299)</f>
        <v/>
      </c>
      <c r="P299" s="26" t="str">
        <f aca="false">IF($G299="","",IF($G299=R_LOT,COUNTIF($G$5:$G299,R_LOT),""))</f>
        <v/>
      </c>
    </row>
    <row r="300" customFormat="false" ht="15" hidden="false" customHeight="false" outlineLevel="0" collapsed="false">
      <c r="A300" s="28" t="str">
        <f aca="false">IF($M300=0,"",ROW()-4)</f>
        <v/>
      </c>
      <c r="B300" s="26" t="str">
        <f aca="false">IF($M300=0,"","OPERATIONS")</f>
        <v/>
      </c>
      <c r="C300" s="26" t="str">
        <f aca="false">IF($M300=0,"",OPERATIONS!$A300)</f>
        <v/>
      </c>
      <c r="D300" s="31" t="str">
        <f aca="false">IF($M300=0,"",OPERATIONS!$B300)</f>
        <v/>
      </c>
      <c r="E300" s="26" t="str">
        <f aca="false">IF($M300=0,"","SORTIE")</f>
        <v/>
      </c>
      <c r="F300" s="26" t="str">
        <f aca="false">IF($M300=0,"",OPERATIONS!$C300)</f>
        <v/>
      </c>
      <c r="G300" s="26" t="str">
        <f aca="false">IF($M300=0,"",OPERATIONS!$D300)</f>
        <v/>
      </c>
      <c r="H300" s="26" t="str">
        <f aca="false">IF($G300="","",IFERROR(INDEX(LOT_EXTE,MATCH($G300,LOT_KEY,0)),""))</f>
        <v/>
      </c>
      <c r="I300" s="26" t="str">
        <f aca="false">IF($M300=0,"",OPERATIONS!$E300)</f>
        <v/>
      </c>
      <c r="J300" s="26" t="str">
        <f aca="false">IF($I300="","",IFERROR(INDEX(EMPL_CLASSE,MATCH($I300,EMPL_KEY,0)),""))</f>
        <v/>
      </c>
      <c r="K300" s="26" t="str">
        <f aca="false">IF($M300=0,"",OPERATIONS!$K300)</f>
        <v/>
      </c>
      <c r="L300" s="26" t="str">
        <f aca="false">IF($G300="","",IF(IFERROR(INDEX(LOT_ETAT,MATCH($G300,LOT_KEY,0)),"")="","",INDEX(LOT_ETAT,MATCH($G300,LOT_KEY,0))))</f>
        <v/>
      </c>
      <c r="M300" s="73" t="n">
        <f aca="false">IF(OR(OPERATIONS!$O300=0,OPERATIONS!$C300="RECEPTION",OPERATIONS!$C300="AJUSTEMENT"),0,-OPERATIONS!$G300)</f>
        <v>0</v>
      </c>
      <c r="N300" s="73" t="n">
        <f aca="false">IF($M300=0,0,OPERATIONS!$R300*$M300)</f>
        <v>0</v>
      </c>
      <c r="O300" s="26" t="str">
        <f aca="false">IF($M300=0,"",OPERATIONS!$Q300)</f>
        <v/>
      </c>
      <c r="P300" s="26" t="str">
        <f aca="false">IF($G300="","",IF($G300=R_LOT,COUNTIF($G$5:$G300,R_LOT),""))</f>
        <v/>
      </c>
    </row>
    <row r="301" customFormat="false" ht="15" hidden="false" customHeight="false" outlineLevel="0" collapsed="false">
      <c r="A301" s="28" t="str">
        <f aca="false">IF($M301=0,"",ROW()-4)</f>
        <v/>
      </c>
      <c r="B301" s="26" t="str">
        <f aca="false">IF($M301=0,"","OPERATIONS")</f>
        <v/>
      </c>
      <c r="C301" s="26" t="str">
        <f aca="false">IF($M301=0,"",OPERATIONS!$A301)</f>
        <v/>
      </c>
      <c r="D301" s="31" t="str">
        <f aca="false">IF($M301=0,"",OPERATIONS!$B301)</f>
        <v/>
      </c>
      <c r="E301" s="26" t="str">
        <f aca="false">IF($M301=0,"","SORTIE")</f>
        <v/>
      </c>
      <c r="F301" s="26" t="str">
        <f aca="false">IF($M301=0,"",OPERATIONS!$C301)</f>
        <v/>
      </c>
      <c r="G301" s="26" t="str">
        <f aca="false">IF($M301=0,"",OPERATIONS!$D301)</f>
        <v/>
      </c>
      <c r="H301" s="26" t="str">
        <f aca="false">IF($G301="","",IFERROR(INDEX(LOT_EXTE,MATCH($G301,LOT_KEY,0)),""))</f>
        <v/>
      </c>
      <c r="I301" s="26" t="str">
        <f aca="false">IF($M301=0,"",OPERATIONS!$E301)</f>
        <v/>
      </c>
      <c r="J301" s="26" t="str">
        <f aca="false">IF($I301="","",IFERROR(INDEX(EMPL_CLASSE,MATCH($I301,EMPL_KEY,0)),""))</f>
        <v/>
      </c>
      <c r="K301" s="26" t="str">
        <f aca="false">IF($M301=0,"",OPERATIONS!$K301)</f>
        <v/>
      </c>
      <c r="L301" s="26" t="str">
        <f aca="false">IF($G301="","",IF(IFERROR(INDEX(LOT_ETAT,MATCH($G301,LOT_KEY,0)),"")="","",INDEX(LOT_ETAT,MATCH($G301,LOT_KEY,0))))</f>
        <v/>
      </c>
      <c r="M301" s="73" t="n">
        <f aca="false">IF(OR(OPERATIONS!$O301=0,OPERATIONS!$C301="RECEPTION",OPERATIONS!$C301="AJUSTEMENT"),0,-OPERATIONS!$G301)</f>
        <v>0</v>
      </c>
      <c r="N301" s="73" t="n">
        <f aca="false">IF($M301=0,0,OPERATIONS!$R301*$M301)</f>
        <v>0</v>
      </c>
      <c r="O301" s="26" t="str">
        <f aca="false">IF($M301=0,"",OPERATIONS!$Q301)</f>
        <v/>
      </c>
      <c r="P301" s="26" t="str">
        <f aca="false">IF($G301="","",IF($G301=R_LOT,COUNTIF($G$5:$G301,R_LOT),""))</f>
        <v/>
      </c>
    </row>
    <row r="302" customFormat="false" ht="15" hidden="false" customHeight="false" outlineLevel="0" collapsed="false">
      <c r="A302" s="28" t="str">
        <f aca="false">IF($M302=0,"",ROW()-4)</f>
        <v/>
      </c>
      <c r="B302" s="26" t="str">
        <f aca="false">IF($M302=0,"","OPERATIONS")</f>
        <v/>
      </c>
      <c r="C302" s="26" t="str">
        <f aca="false">IF($M302=0,"",OPERATIONS!$A302)</f>
        <v/>
      </c>
      <c r="D302" s="31" t="str">
        <f aca="false">IF($M302=0,"",OPERATIONS!$B302)</f>
        <v/>
      </c>
      <c r="E302" s="26" t="str">
        <f aca="false">IF($M302=0,"","SORTIE")</f>
        <v/>
      </c>
      <c r="F302" s="26" t="str">
        <f aca="false">IF($M302=0,"",OPERATIONS!$C302)</f>
        <v/>
      </c>
      <c r="G302" s="26" t="str">
        <f aca="false">IF($M302=0,"",OPERATIONS!$D302)</f>
        <v/>
      </c>
      <c r="H302" s="26" t="str">
        <f aca="false">IF($G302="","",IFERROR(INDEX(LOT_EXTE,MATCH($G302,LOT_KEY,0)),""))</f>
        <v/>
      </c>
      <c r="I302" s="26" t="str">
        <f aca="false">IF($M302=0,"",OPERATIONS!$E302)</f>
        <v/>
      </c>
      <c r="J302" s="26" t="str">
        <f aca="false">IF($I302="","",IFERROR(INDEX(EMPL_CLASSE,MATCH($I302,EMPL_KEY,0)),""))</f>
        <v/>
      </c>
      <c r="K302" s="26" t="str">
        <f aca="false">IF($M302=0,"",OPERATIONS!$K302)</f>
        <v/>
      </c>
      <c r="L302" s="26" t="str">
        <f aca="false">IF($G302="","",IF(IFERROR(INDEX(LOT_ETAT,MATCH($G302,LOT_KEY,0)),"")="","",INDEX(LOT_ETAT,MATCH($G302,LOT_KEY,0))))</f>
        <v/>
      </c>
      <c r="M302" s="73" t="n">
        <f aca="false">IF(OR(OPERATIONS!$O302=0,OPERATIONS!$C302="RECEPTION",OPERATIONS!$C302="AJUSTEMENT"),0,-OPERATIONS!$G302)</f>
        <v>0</v>
      </c>
      <c r="N302" s="73" t="n">
        <f aca="false">IF($M302=0,0,OPERATIONS!$R302*$M302)</f>
        <v>0</v>
      </c>
      <c r="O302" s="26" t="str">
        <f aca="false">IF($M302=0,"",OPERATIONS!$Q302)</f>
        <v/>
      </c>
      <c r="P302" s="26" t="str">
        <f aca="false">IF($G302="","",IF($G302=R_LOT,COUNTIF($G$5:$G302,R_LOT),""))</f>
        <v/>
      </c>
    </row>
    <row r="303" customFormat="false" ht="15" hidden="false" customHeight="false" outlineLevel="0" collapsed="false">
      <c r="A303" s="28" t="str">
        <f aca="false">IF($M303=0,"",ROW()-4)</f>
        <v/>
      </c>
      <c r="B303" s="26" t="str">
        <f aca="false">IF($M303=0,"","OPERATIONS")</f>
        <v/>
      </c>
      <c r="C303" s="26" t="str">
        <f aca="false">IF($M303=0,"",OPERATIONS!$A303)</f>
        <v/>
      </c>
      <c r="D303" s="31" t="str">
        <f aca="false">IF($M303=0,"",OPERATIONS!$B303)</f>
        <v/>
      </c>
      <c r="E303" s="26" t="str">
        <f aca="false">IF($M303=0,"","SORTIE")</f>
        <v/>
      </c>
      <c r="F303" s="26" t="str">
        <f aca="false">IF($M303=0,"",OPERATIONS!$C303)</f>
        <v/>
      </c>
      <c r="G303" s="26" t="str">
        <f aca="false">IF($M303=0,"",OPERATIONS!$D303)</f>
        <v/>
      </c>
      <c r="H303" s="26" t="str">
        <f aca="false">IF($G303="","",IFERROR(INDEX(LOT_EXTE,MATCH($G303,LOT_KEY,0)),""))</f>
        <v/>
      </c>
      <c r="I303" s="26" t="str">
        <f aca="false">IF($M303=0,"",OPERATIONS!$E303)</f>
        <v/>
      </c>
      <c r="J303" s="26" t="str">
        <f aca="false">IF($I303="","",IFERROR(INDEX(EMPL_CLASSE,MATCH($I303,EMPL_KEY,0)),""))</f>
        <v/>
      </c>
      <c r="K303" s="26" t="str">
        <f aca="false">IF($M303=0,"",OPERATIONS!$K303)</f>
        <v/>
      </c>
      <c r="L303" s="26" t="str">
        <f aca="false">IF($G303="","",IF(IFERROR(INDEX(LOT_ETAT,MATCH($G303,LOT_KEY,0)),"")="","",INDEX(LOT_ETAT,MATCH($G303,LOT_KEY,0))))</f>
        <v/>
      </c>
      <c r="M303" s="73" t="n">
        <f aca="false">IF(OR(OPERATIONS!$O303=0,OPERATIONS!$C303="RECEPTION",OPERATIONS!$C303="AJUSTEMENT"),0,-OPERATIONS!$G303)</f>
        <v>0</v>
      </c>
      <c r="N303" s="73" t="n">
        <f aca="false">IF($M303=0,0,OPERATIONS!$R303*$M303)</f>
        <v>0</v>
      </c>
      <c r="O303" s="26" t="str">
        <f aca="false">IF($M303=0,"",OPERATIONS!$Q303)</f>
        <v/>
      </c>
      <c r="P303" s="26" t="str">
        <f aca="false">IF($G303="","",IF($G303=R_LOT,COUNTIF($G$5:$G303,R_LOT),""))</f>
        <v/>
      </c>
    </row>
    <row r="304" customFormat="false" ht="15" hidden="false" customHeight="false" outlineLevel="0" collapsed="false">
      <c r="A304" s="28" t="str">
        <f aca="false">IF($M304=0,"",ROW()-4)</f>
        <v/>
      </c>
      <c r="B304" s="26" t="str">
        <f aca="false">IF($M304=0,"","OPERATIONS")</f>
        <v/>
      </c>
      <c r="C304" s="26" t="str">
        <f aca="false">IF($M304=0,"",OPERATIONS!$A304)</f>
        <v/>
      </c>
      <c r="D304" s="31" t="str">
        <f aca="false">IF($M304=0,"",OPERATIONS!$B304)</f>
        <v/>
      </c>
      <c r="E304" s="26" t="str">
        <f aca="false">IF($M304=0,"","SORTIE")</f>
        <v/>
      </c>
      <c r="F304" s="26" t="str">
        <f aca="false">IF($M304=0,"",OPERATIONS!$C304)</f>
        <v/>
      </c>
      <c r="G304" s="26" t="str">
        <f aca="false">IF($M304=0,"",OPERATIONS!$D304)</f>
        <v/>
      </c>
      <c r="H304" s="26" t="str">
        <f aca="false">IF($G304="","",IFERROR(INDEX(LOT_EXTE,MATCH($G304,LOT_KEY,0)),""))</f>
        <v/>
      </c>
      <c r="I304" s="26" t="str">
        <f aca="false">IF($M304=0,"",OPERATIONS!$E304)</f>
        <v/>
      </c>
      <c r="J304" s="26" t="str">
        <f aca="false">IF($I304="","",IFERROR(INDEX(EMPL_CLASSE,MATCH($I304,EMPL_KEY,0)),""))</f>
        <v/>
      </c>
      <c r="K304" s="26" t="str">
        <f aca="false">IF($M304=0,"",OPERATIONS!$K304)</f>
        <v/>
      </c>
      <c r="L304" s="26" t="str">
        <f aca="false">IF($G304="","",IF(IFERROR(INDEX(LOT_ETAT,MATCH($G304,LOT_KEY,0)),"")="","",INDEX(LOT_ETAT,MATCH($G304,LOT_KEY,0))))</f>
        <v/>
      </c>
      <c r="M304" s="73" t="n">
        <f aca="false">IF(OR(OPERATIONS!$O304=0,OPERATIONS!$C304="RECEPTION",OPERATIONS!$C304="AJUSTEMENT"),0,-OPERATIONS!$G304)</f>
        <v>0</v>
      </c>
      <c r="N304" s="73" t="n">
        <f aca="false">IF($M304=0,0,OPERATIONS!$R304*$M304)</f>
        <v>0</v>
      </c>
      <c r="O304" s="26" t="str">
        <f aca="false">IF($M304=0,"",OPERATIONS!$Q304)</f>
        <v/>
      </c>
      <c r="P304" s="26" t="str">
        <f aca="false">IF($G304="","",IF($G304=R_LOT,COUNTIF($G$5:$G304,R_LOT),""))</f>
        <v/>
      </c>
    </row>
    <row r="305" customFormat="false" ht="15" hidden="false" customHeight="false" outlineLevel="0" collapsed="false">
      <c r="A305" s="28" t="n">
        <f aca="false">IF($M305=0,"",ROW()-4)</f>
        <v>301</v>
      </c>
      <c r="B305" s="26" t="str">
        <f aca="false">IF($M305=0,"","OPERATIONS")</f>
        <v>OPERATIONS</v>
      </c>
      <c r="C305" s="26" t="str">
        <f aca="false">IF($M305=0,"",OPERATIONS!$A5)</f>
        <v>OP-001</v>
      </c>
      <c r="D305" s="31" t="n">
        <f aca="false">IF($M305=0,"",OPERATIONS!$B5)</f>
        <v>46237</v>
      </c>
      <c r="E305" s="26" t="str">
        <f aca="false">IF($M305=0,"",IF($M305&lt;0,"SORTIE","ENTREE"))</f>
        <v>ENTREE</v>
      </c>
      <c r="F305" s="26" t="str">
        <f aca="false">IF($M305=0,"",OPERATIONS!$C5)</f>
        <v>RECEPTION</v>
      </c>
      <c r="G305" s="26" t="str">
        <f aca="false">IF($M305=0,"",OPERATIONS!$D5)</f>
        <v>255</v>
      </c>
      <c r="H305" s="26" t="str">
        <f aca="false">IF($G305="","",IFERROR(INDEX(LOT_EXTE,MATCH($G305,LOT_KEY,0)),""))</f>
        <v>L-EXT-255</v>
      </c>
      <c r="I305" s="26" t="str">
        <f aca="false">IF($M305=0,"",OPERATIONS!$F5)</f>
        <v>OCEAMIC 2</v>
      </c>
      <c r="J305" s="26" t="str">
        <f aca="false">IF($I305="","",IFERROR(INDEX(EMPL_CLASSE,MATCH($I305,EMPL_KEY,0)),""))</f>
        <v>INTERNE</v>
      </c>
      <c r="K305" s="26" t="str">
        <f aca="false">IF($M305=0,"",OPERATIONS!$K5)</f>
        <v>Sardine</v>
      </c>
      <c r="L305" s="26" t="str">
        <f aca="false">IF($G305="","",IF(IFERROR(INDEX(LOT_ETAT,MATCH($G305,LOT_KEY,0)),"")="","",INDEX(LOT_ETAT,MATCH($G305,LOT_KEY,0))))</f>
        <v>ENTIER</v>
      </c>
      <c r="M305" s="73" t="n">
        <f aca="false">IF(OR(OPERATIONS!$O5=0,OPERATIONS!$C5="CONSOMMATION"),0,OPERATIONS!$G5)</f>
        <v>1000</v>
      </c>
      <c r="N305" s="73" t="n">
        <f aca="false">IF($M305=0,0,OPERATIONS!$R5*$M305)</f>
        <v>1000</v>
      </c>
      <c r="O305" s="26" t="str">
        <f aca="false">IF($M305=0,"",OPERATIONS!$Q5)</f>
        <v>OK</v>
      </c>
      <c r="P305" s="26" t="n">
        <f aca="false">IF($G305="","",IF($G305=R_LOT,COUNTIF($G$5:$G305,R_LOT),""))</f>
        <v>1</v>
      </c>
    </row>
    <row r="306" customFormat="false" ht="15" hidden="false" customHeight="false" outlineLevel="0" collapsed="false">
      <c r="A306" s="28" t="n">
        <f aca="false">IF($M306=0,"",ROW()-4)</f>
        <v>302</v>
      </c>
      <c r="B306" s="26" t="str">
        <f aca="false">IF($M306=0,"","OPERATIONS")</f>
        <v>OPERATIONS</v>
      </c>
      <c r="C306" s="26" t="str">
        <f aca="false">IF($M306=0,"",OPERATIONS!$A6)</f>
        <v>OP-002</v>
      </c>
      <c r="D306" s="31" t="n">
        <f aca="false">IF($M306=0,"",OPERATIONS!$B6)</f>
        <v>46238</v>
      </c>
      <c r="E306" s="26" t="str">
        <f aca="false">IF($M306=0,"",IF($M306&lt;0,"SORTIE","ENTREE"))</f>
        <v>ENTREE</v>
      </c>
      <c r="F306" s="26" t="str">
        <f aca="false">IF($M306=0,"",OPERATIONS!$C6)</f>
        <v>RECEPTION</v>
      </c>
      <c r="G306" s="26" t="str">
        <f aca="false">IF($M306=0,"",OPERATIONS!$D6)</f>
        <v>256</v>
      </c>
      <c r="H306" s="26" t="str">
        <f aca="false">IF($G306="","",IFERROR(INDEX(LOT_EXTE,MATCH($G306,LOT_KEY,0)),""))</f>
        <v>L-EXT-256</v>
      </c>
      <c r="I306" s="26" t="str">
        <f aca="false">IF($M306=0,"",OPERATIONS!$F6)</f>
        <v>SARMA</v>
      </c>
      <c r="J306" s="26" t="str">
        <f aca="false">IF($I306="","",IFERROR(INDEX(EMPL_CLASSE,MATCH($I306,EMPL_KEY,0)),""))</f>
        <v>EXTERNE</v>
      </c>
      <c r="K306" s="26" t="str">
        <f aca="false">IF($M306=0,"",OPERATIONS!$K6)</f>
        <v>Maquereau</v>
      </c>
      <c r="L306" s="26" t="str">
        <f aca="false">IF($G306="","",IF(IFERROR(INDEX(LOT_ETAT,MATCH($G306,LOT_KEY,0)),"")="","",INDEX(LOT_ETAT,MATCH($G306,LOT_KEY,0))))</f>
        <v>ENTIER</v>
      </c>
      <c r="M306" s="73" t="n">
        <f aca="false">IF(OR(OPERATIONS!$O6=0,OPERATIONS!$C6="CONSOMMATION"),0,OPERATIONS!$G6)</f>
        <v>2000</v>
      </c>
      <c r="N306" s="73" t="n">
        <f aca="false">IF($M306=0,0,OPERATIONS!$R6*$M306)</f>
        <v>2000</v>
      </c>
      <c r="O306" s="26" t="str">
        <f aca="false">IF($M306=0,"",OPERATIONS!$Q6)</f>
        <v>OK</v>
      </c>
      <c r="P306" s="26" t="str">
        <f aca="false">IF($G306="","",IF($G306=R_LOT,COUNTIF($G$5:$G306,R_LOT),""))</f>
        <v/>
      </c>
    </row>
    <row r="307" customFormat="false" ht="15" hidden="false" customHeight="false" outlineLevel="0" collapsed="false">
      <c r="A307" s="28" t="n">
        <f aca="false">IF($M307=0,"",ROW()-4)</f>
        <v>303</v>
      </c>
      <c r="B307" s="26" t="str">
        <f aca="false">IF($M307=0,"","OPERATIONS")</f>
        <v>OPERATIONS</v>
      </c>
      <c r="C307" s="26" t="str">
        <f aca="false">IF($M307=0,"",OPERATIONS!$A7)</f>
        <v>OP-003</v>
      </c>
      <c r="D307" s="31" t="n">
        <f aca="false">IF($M307=0,"",OPERATIONS!$B7)</f>
        <v>46239</v>
      </c>
      <c r="E307" s="26" t="str">
        <f aca="false">IF($M307=0,"",IF($M307&lt;0,"SORTIE","ENTREE"))</f>
        <v>ENTREE</v>
      </c>
      <c r="F307" s="26" t="str">
        <f aca="false">IF($M307=0,"",OPERATIONS!$C7)</f>
        <v>RECEPTION</v>
      </c>
      <c r="G307" s="26" t="str">
        <f aca="false">IF($M307=0,"",OPERATIONS!$D7)</f>
        <v>257</v>
      </c>
      <c r="H307" s="26" t="str">
        <f aca="false">IF($G307="","",IFERROR(INDEX(LOT_EXTE,MATCH($G307,LOT_KEY,0)),""))</f>
        <v>L-EXT-255</v>
      </c>
      <c r="I307" s="26" t="str">
        <f aca="false">IF($M307=0,"",OPERATIONS!$F7)</f>
        <v>OCEAMIC 2</v>
      </c>
      <c r="J307" s="26" t="str">
        <f aca="false">IF($I307="","",IFERROR(INDEX(EMPL_CLASSE,MATCH($I307,EMPL_KEY,0)),""))</f>
        <v>INTERNE</v>
      </c>
      <c r="K307" s="26" t="str">
        <f aca="false">IF($M307=0,"",OPERATIONS!$K7)</f>
        <v>Sardine</v>
      </c>
      <c r="L307" s="26" t="str">
        <f aca="false">IF($G307="","",IF(IFERROR(INDEX(LOT_ETAT,MATCH($G307,LOT_KEY,0)),"")="","",INDEX(LOT_ETAT,MATCH($G307,LOT_KEY,0))))</f>
        <v>ENTIER</v>
      </c>
      <c r="M307" s="73" t="n">
        <f aca="false">IF(OR(OPERATIONS!$O7=0,OPERATIONS!$C7="CONSOMMATION"),0,OPERATIONS!$G7)</f>
        <v>800</v>
      </c>
      <c r="N307" s="73" t="n">
        <f aca="false">IF($M307=0,0,OPERATIONS!$R7*$M307)</f>
        <v>800</v>
      </c>
      <c r="O307" s="26" t="str">
        <f aca="false">IF($M307=0,"",OPERATIONS!$Q7)</f>
        <v>OK</v>
      </c>
      <c r="P307" s="26" t="str">
        <f aca="false">IF($G307="","",IF($G307=R_LOT,COUNTIF($G$5:$G307,R_LOT),""))</f>
        <v/>
      </c>
    </row>
    <row r="308" customFormat="false" ht="15" hidden="false" customHeight="false" outlineLevel="0" collapsed="false">
      <c r="A308" s="28" t="n">
        <f aca="false">IF($M308=0,"",ROW()-4)</f>
        <v>304</v>
      </c>
      <c r="B308" s="26" t="str">
        <f aca="false">IF($M308=0,"","OPERATIONS")</f>
        <v>OPERATIONS</v>
      </c>
      <c r="C308" s="26" t="str">
        <f aca="false">IF($M308=0,"",OPERATIONS!$A8)</f>
        <v>OP-004</v>
      </c>
      <c r="D308" s="31" t="n">
        <f aca="false">IF($M308=0,"",OPERATIONS!$B8)</f>
        <v>46240</v>
      </c>
      <c r="E308" s="26" t="str">
        <f aca="false">IF($M308=0,"",IF($M308&lt;0,"SORTIE","ENTREE"))</f>
        <v>ENTREE</v>
      </c>
      <c r="F308" s="26" t="str">
        <f aca="false">IF($M308=0,"",OPERATIONS!$C8)</f>
        <v>RECEPTION</v>
      </c>
      <c r="G308" s="26" t="str">
        <f aca="false">IF($M308=0,"",OPERATIONS!$D8)</f>
        <v>258</v>
      </c>
      <c r="H308" s="26" t="str">
        <f aca="false">IF($G308="","",IFERROR(INDEX(LOT_EXTE,MATCH($G308,LOT_KEY,0)),""))</f>
        <v>L-EXT-258</v>
      </c>
      <c r="I308" s="26" t="str">
        <f aca="false">IF($M308=0,"",OPERATIONS!$F8)</f>
        <v>OCEAMIC 2</v>
      </c>
      <c r="J308" s="26" t="str">
        <f aca="false">IF($I308="","",IFERROR(INDEX(EMPL_CLASSE,MATCH($I308,EMPL_KEY,0)),""))</f>
        <v>INTERNE</v>
      </c>
      <c r="K308" s="26" t="str">
        <f aca="false">IF($M308=0,"",OPERATIONS!$K8)</f>
        <v>Sardine</v>
      </c>
      <c r="L308" s="26" t="str">
        <f aca="false">IF($G308="","",IF(IFERROR(INDEX(LOT_ETAT,MATCH($G308,LOT_KEY,0)),"")="","",INDEX(LOT_ETAT,MATCH($G308,LOT_KEY,0))))</f>
        <v>ENTIER</v>
      </c>
      <c r="M308" s="73" t="n">
        <f aca="false">IF(OR(OPERATIONS!$O8=0,OPERATIONS!$C8="CONSOMMATION"),0,OPERATIONS!$G8)</f>
        <v>200</v>
      </c>
      <c r="N308" s="73" t="n">
        <f aca="false">IF($M308=0,0,OPERATIONS!$R8*$M308)</f>
        <v>200</v>
      </c>
      <c r="O308" s="26" t="str">
        <f aca="false">IF($M308=0,"",OPERATIONS!$Q8)</f>
        <v>OK</v>
      </c>
      <c r="P308" s="26" t="str">
        <f aca="false">IF($G308="","",IF($G308=R_LOT,COUNTIF($G$5:$G308,R_LOT),""))</f>
        <v/>
      </c>
    </row>
    <row r="309" customFormat="false" ht="15" hidden="false" customHeight="false" outlineLevel="0" collapsed="false">
      <c r="A309" s="28" t="str">
        <f aca="false">IF($M309=0,"",ROW()-4)</f>
        <v/>
      </c>
      <c r="B309" s="26" t="str">
        <f aca="false">IF($M309=0,"","OPERATIONS")</f>
        <v/>
      </c>
      <c r="C309" s="26" t="str">
        <f aca="false">IF($M309=0,"",OPERATIONS!$A9)</f>
        <v/>
      </c>
      <c r="D309" s="31" t="str">
        <f aca="false">IF($M309=0,"",OPERATIONS!$B9)</f>
        <v/>
      </c>
      <c r="E309" s="26" t="str">
        <f aca="false">IF($M309=0,"",IF($M309&lt;0,"SORTIE","ENTREE"))</f>
        <v/>
      </c>
      <c r="F309" s="26" t="str">
        <f aca="false">IF($M309=0,"",OPERATIONS!$C9)</f>
        <v/>
      </c>
      <c r="G309" s="26" t="str">
        <f aca="false">IF($M309=0,"",OPERATIONS!$D9)</f>
        <v/>
      </c>
      <c r="H309" s="26" t="str">
        <f aca="false">IF($G309="","",IFERROR(INDEX(LOT_EXTE,MATCH($G309,LOT_KEY,0)),""))</f>
        <v/>
      </c>
      <c r="I309" s="26" t="str">
        <f aca="false">IF($M309=0,"",OPERATIONS!$F9)</f>
        <v/>
      </c>
      <c r="J309" s="26" t="str">
        <f aca="false">IF($I309="","",IFERROR(INDEX(EMPL_CLASSE,MATCH($I309,EMPL_KEY,0)),""))</f>
        <v/>
      </c>
      <c r="K309" s="26" t="str">
        <f aca="false">IF($M309=0,"",OPERATIONS!$K9)</f>
        <v/>
      </c>
      <c r="L309" s="26" t="str">
        <f aca="false">IF($G309="","",IF(IFERROR(INDEX(LOT_ETAT,MATCH($G309,LOT_KEY,0)),"")="","",INDEX(LOT_ETAT,MATCH($G309,LOT_KEY,0))))</f>
        <v/>
      </c>
      <c r="M309" s="73" t="n">
        <f aca="false">IF(OR(OPERATIONS!$O9=0,OPERATIONS!$C9="CONSOMMATION"),0,OPERATIONS!$G9)</f>
        <v>0</v>
      </c>
      <c r="N309" s="73" t="n">
        <f aca="false">IF($M309=0,0,OPERATIONS!$R9*$M309)</f>
        <v>0</v>
      </c>
      <c r="O309" s="26" t="str">
        <f aca="false">IF($M309=0,"",OPERATIONS!$Q9)</f>
        <v/>
      </c>
      <c r="P309" s="26" t="str">
        <f aca="false">IF($G309="","",IF($G309=R_LOT,COUNTIF($G$5:$G309,R_LOT),""))</f>
        <v/>
      </c>
    </row>
    <row r="310" customFormat="false" ht="15" hidden="false" customHeight="false" outlineLevel="0" collapsed="false">
      <c r="A310" s="28" t="n">
        <f aca="false">IF($M310=0,"",ROW()-4)</f>
        <v>306</v>
      </c>
      <c r="B310" s="26" t="str">
        <f aca="false">IF($M310=0,"","OPERATIONS")</f>
        <v>OPERATIONS</v>
      </c>
      <c r="C310" s="26" t="str">
        <f aca="false">IF($M310=0,"",OPERATIONS!$A10)</f>
        <v>OP-006</v>
      </c>
      <c r="D310" s="31" t="n">
        <f aca="false">IF($M310=0,"",OPERATIONS!$B10)</f>
        <v>46243</v>
      </c>
      <c r="E310" s="26" t="str">
        <f aca="false">IF($M310=0,"",IF($M310&lt;0,"SORTIE","ENTREE"))</f>
        <v>ENTREE</v>
      </c>
      <c r="F310" s="26" t="str">
        <f aca="false">IF($M310=0,"",OPERATIONS!$C10)</f>
        <v>TRANSFERT</v>
      </c>
      <c r="G310" s="26" t="str">
        <f aca="false">IF($M310=0,"",OPERATIONS!$D10)</f>
        <v>256</v>
      </c>
      <c r="H310" s="26" t="str">
        <f aca="false">IF($G310="","",IFERROR(INDEX(LOT_EXTE,MATCH($G310,LOT_KEY,0)),""))</f>
        <v>L-EXT-256</v>
      </c>
      <c r="I310" s="26" t="str">
        <f aca="false">IF($M310=0,"",OPERATIONS!$F10)</f>
        <v>OCEAMIC 2</v>
      </c>
      <c r="J310" s="26" t="str">
        <f aca="false">IF($I310="","",IFERROR(INDEX(EMPL_CLASSE,MATCH($I310,EMPL_KEY,0)),""))</f>
        <v>INTERNE</v>
      </c>
      <c r="K310" s="26" t="str">
        <f aca="false">IF($M310=0,"",OPERATIONS!$K10)</f>
        <v>Maquereau</v>
      </c>
      <c r="L310" s="26" t="str">
        <f aca="false">IF($G310="","",IF(IFERROR(INDEX(LOT_ETAT,MATCH($G310,LOT_KEY,0)),"")="","",INDEX(LOT_ETAT,MATCH($G310,LOT_KEY,0))))</f>
        <v>ENTIER</v>
      </c>
      <c r="M310" s="73" t="n">
        <f aca="false">IF(OR(OPERATIONS!$O10=0,OPERATIONS!$C10="CONSOMMATION"),0,OPERATIONS!$G10)</f>
        <v>800</v>
      </c>
      <c r="N310" s="73" t="n">
        <f aca="false">IF($M310=0,0,OPERATIONS!$R10*$M310)</f>
        <v>800</v>
      </c>
      <c r="O310" s="26" t="str">
        <f aca="false">IF($M310=0,"",OPERATIONS!$Q10)</f>
        <v>OK</v>
      </c>
      <c r="P310" s="26" t="str">
        <f aca="false">IF($G310="","",IF($G310=R_LOT,COUNTIF($G$5:$G310,R_LOT),""))</f>
        <v/>
      </c>
    </row>
    <row r="311" customFormat="false" ht="15" hidden="false" customHeight="false" outlineLevel="0" collapsed="false">
      <c r="A311" s="28" t="n">
        <f aca="false">IF($M311=0,"",ROW()-4)</f>
        <v>307</v>
      </c>
      <c r="B311" s="26" t="str">
        <f aca="false">IF($M311=0,"","OPERATIONS")</f>
        <v>OPERATIONS</v>
      </c>
      <c r="C311" s="26" t="str">
        <f aca="false">IF($M311=0,"",OPERATIONS!$A11)</f>
        <v>OP-007</v>
      </c>
      <c r="D311" s="31" t="n">
        <f aca="false">IF($M311=0,"",OPERATIONS!$B11)</f>
        <v>46244</v>
      </c>
      <c r="E311" s="26" t="str">
        <f aca="false">IF($M311=0,"",IF($M311&lt;0,"SORTIE","ENTREE"))</f>
        <v>ENTREE</v>
      </c>
      <c r="F311" s="26" t="str">
        <f aca="false">IF($M311=0,"",OPERATIONS!$C11)</f>
        <v>RECEPTION</v>
      </c>
      <c r="G311" s="26" t="str">
        <f aca="false">IF($M311=0,"",OPERATIONS!$D11)</f>
        <v>301</v>
      </c>
      <c r="H311" s="26" t="str">
        <f aca="false">IF($G311="","",IFERROR(INDEX(LOT_EXTE,MATCH($G311,LOT_KEY,0)),""))</f>
        <v>L-EXT-301</v>
      </c>
      <c r="I311" s="26" t="str">
        <f aca="false">IF($M311=0,"",OPERATIONS!$F11)</f>
        <v>OCEAMIC 2</v>
      </c>
      <c r="J311" s="26" t="str">
        <f aca="false">IF($I311="","",IFERROR(INDEX(EMPL_CLASSE,MATCH($I311,EMPL_KEY,0)),""))</f>
        <v>INTERNE</v>
      </c>
      <c r="K311" s="26" t="str">
        <f aca="false">IF($M311=0,"",OPERATIONS!$K11)</f>
        <v>Maquereau</v>
      </c>
      <c r="L311" s="26" t="str">
        <f aca="false">IF($G311="","",IF(IFERROR(INDEX(LOT_ETAT,MATCH($G311,LOT_KEY,0)),"")="","",INDEX(LOT_ETAT,MATCH($G311,LOT_KEY,0))))</f>
        <v>ENTIER</v>
      </c>
      <c r="M311" s="73" t="n">
        <f aca="false">IF(OR(OPERATIONS!$O11=0,OPERATIONS!$C11="CONSOMMATION"),0,OPERATIONS!$G11)</f>
        <v>400</v>
      </c>
      <c r="N311" s="73" t="n">
        <f aca="false">IF($M311=0,0,OPERATIONS!$R11*$M311)</f>
        <v>400</v>
      </c>
      <c r="O311" s="26" t="str">
        <f aca="false">IF($M311=0,"",OPERATIONS!$Q11)</f>
        <v>OK</v>
      </c>
      <c r="P311" s="26" t="str">
        <f aca="false">IF($G311="","",IF($G311=R_LOT,COUNTIF($G$5:$G311,R_LOT),""))</f>
        <v/>
      </c>
    </row>
    <row r="312" customFormat="false" ht="15" hidden="false" customHeight="false" outlineLevel="0" collapsed="false">
      <c r="A312" s="28" t="str">
        <f aca="false">IF($M312=0,"",ROW()-4)</f>
        <v/>
      </c>
      <c r="B312" s="26" t="str">
        <f aca="false">IF($M312=0,"","OPERATIONS")</f>
        <v/>
      </c>
      <c r="C312" s="26" t="str">
        <f aca="false">IF($M312=0,"",OPERATIONS!$A12)</f>
        <v/>
      </c>
      <c r="D312" s="31" t="str">
        <f aca="false">IF($M312=0,"",OPERATIONS!$B12)</f>
        <v/>
      </c>
      <c r="E312" s="26" t="str">
        <f aca="false">IF($M312=0,"",IF($M312&lt;0,"SORTIE","ENTREE"))</f>
        <v/>
      </c>
      <c r="F312" s="26" t="str">
        <f aca="false">IF($M312=0,"",OPERATIONS!$C12)</f>
        <v/>
      </c>
      <c r="G312" s="26" t="str">
        <f aca="false">IF($M312=0,"",OPERATIONS!$D12)</f>
        <v/>
      </c>
      <c r="H312" s="26" t="str">
        <f aca="false">IF($G312="","",IFERROR(INDEX(LOT_EXTE,MATCH($G312,LOT_KEY,0)),""))</f>
        <v/>
      </c>
      <c r="I312" s="26" t="str">
        <f aca="false">IF($M312=0,"",OPERATIONS!$F12)</f>
        <v/>
      </c>
      <c r="J312" s="26" t="str">
        <f aca="false">IF($I312="","",IFERROR(INDEX(EMPL_CLASSE,MATCH($I312,EMPL_KEY,0)),""))</f>
        <v/>
      </c>
      <c r="K312" s="26" t="str">
        <f aca="false">IF($M312=0,"",OPERATIONS!$K12)</f>
        <v/>
      </c>
      <c r="L312" s="26" t="str">
        <f aca="false">IF($G312="","",IF(IFERROR(INDEX(LOT_ETAT,MATCH($G312,LOT_KEY,0)),"")="","",INDEX(LOT_ETAT,MATCH($G312,LOT_KEY,0))))</f>
        <v/>
      </c>
      <c r="M312" s="73" t="n">
        <f aca="false">IF(OR(OPERATIONS!$O12=0,OPERATIONS!$C12="CONSOMMATION"),0,OPERATIONS!$G12)</f>
        <v>0</v>
      </c>
      <c r="N312" s="73" t="n">
        <f aca="false">IF($M312=0,0,OPERATIONS!$R12*$M312)</f>
        <v>0</v>
      </c>
      <c r="O312" s="26" t="str">
        <f aca="false">IF($M312=0,"",OPERATIONS!$Q12)</f>
        <v/>
      </c>
      <c r="P312" s="26" t="str">
        <f aca="false">IF($G312="","",IF($G312=R_LOT,COUNTIF($G$5:$G312,R_LOT),""))</f>
        <v/>
      </c>
    </row>
    <row r="313" customFormat="false" ht="15" hidden="false" customHeight="false" outlineLevel="0" collapsed="false">
      <c r="A313" s="28" t="n">
        <f aca="false">IF($M313=0,"",ROW()-4)</f>
        <v>309</v>
      </c>
      <c r="B313" s="26" t="str">
        <f aca="false">IF($M313=0,"","OPERATIONS")</f>
        <v>OPERATIONS</v>
      </c>
      <c r="C313" s="26" t="str">
        <f aca="false">IF($M313=0,"",OPERATIONS!$A13)</f>
        <v>OP-009</v>
      </c>
      <c r="D313" s="31" t="n">
        <f aca="false">IF($M313=0,"",OPERATIONS!$B13)</f>
        <v>46251</v>
      </c>
      <c r="E313" s="26" t="str">
        <f aca="false">IF($M313=0,"",IF($M313&lt;0,"SORTIE","ENTREE"))</f>
        <v>ENTREE</v>
      </c>
      <c r="F313" s="26" t="str">
        <f aca="false">IF($M313=0,"",OPERATIONS!$C13)</f>
        <v>RECEPTION</v>
      </c>
      <c r="G313" s="26" t="str">
        <f aca="false">IF($M313=0,"",OPERATIONS!$D13)</f>
        <v>302</v>
      </c>
      <c r="H313" s="26" t="str">
        <f aca="false">IF($G313="","",IFERROR(INDEX(LOT_EXTE,MATCH($G313,LOT_KEY,0)),""))</f>
        <v>L-EXT-302</v>
      </c>
      <c r="I313" s="26" t="str">
        <f aca="false">IF($M313=0,"",OPERATIONS!$F13)</f>
        <v>OCEAMIC 2</v>
      </c>
      <c r="J313" s="26" t="str">
        <f aca="false">IF($I313="","",IFERROR(INDEX(EMPL_CLASSE,MATCH($I313,EMPL_KEY,0)),""))</f>
        <v>INTERNE</v>
      </c>
      <c r="K313" s="26" t="str">
        <f aca="false">IF($M313=0,"",OPERATIONS!$K13)</f>
        <v>Chinchard</v>
      </c>
      <c r="L313" s="26" t="str">
        <f aca="false">IF($G313="","",IF(IFERROR(INDEX(LOT_ETAT,MATCH($G313,LOT_KEY,0)),"")="","",INDEX(LOT_ETAT,MATCH($G313,LOT_KEY,0))))</f>
        <v>ENTIER</v>
      </c>
      <c r="M313" s="73" t="n">
        <f aca="false">IF(OR(OPERATIONS!$O13=0,OPERATIONS!$C13="CONSOMMATION"),0,OPERATIONS!$G13)</f>
        <v>1000</v>
      </c>
      <c r="N313" s="73" t="n">
        <f aca="false">IF($M313=0,0,OPERATIONS!$R13*$M313)</f>
        <v>1000</v>
      </c>
      <c r="O313" s="26" t="str">
        <f aca="false">IF($M313=0,"",OPERATIONS!$Q13)</f>
        <v>OK</v>
      </c>
      <c r="P313" s="26" t="str">
        <f aca="false">IF($G313="","",IF($G313=R_LOT,COUNTIF($G$5:$G313,R_LOT),""))</f>
        <v/>
      </c>
    </row>
    <row r="314" customFormat="false" ht="15" hidden="false" customHeight="false" outlineLevel="0" collapsed="false">
      <c r="A314" s="28" t="n">
        <f aca="false">IF($M314=0,"",ROW()-4)</f>
        <v>310</v>
      </c>
      <c r="B314" s="26" t="str">
        <f aca="false">IF($M314=0,"","OPERATIONS")</f>
        <v>OPERATIONS</v>
      </c>
      <c r="C314" s="26" t="str">
        <f aca="false">IF($M314=0,"",OPERATIONS!$A14)</f>
        <v>OP-010</v>
      </c>
      <c r="D314" s="31" t="n">
        <f aca="false">IF($M314=0,"",OPERATIONS!$B14)</f>
        <v>46252</v>
      </c>
      <c r="E314" s="26" t="str">
        <f aca="false">IF($M314=0,"",IF($M314&lt;0,"SORTIE","ENTREE"))</f>
        <v>SORTIE</v>
      </c>
      <c r="F314" s="26" t="str">
        <f aca="false">IF($M314=0,"",OPERATIONS!$C14)</f>
        <v>AJUSTEMENT</v>
      </c>
      <c r="G314" s="26" t="str">
        <f aca="false">IF($M314=0,"",OPERATIONS!$D14)</f>
        <v>302</v>
      </c>
      <c r="H314" s="26" t="str">
        <f aca="false">IF($G314="","",IFERROR(INDEX(LOT_EXTE,MATCH($G314,LOT_KEY,0)),""))</f>
        <v>L-EXT-302</v>
      </c>
      <c r="I314" s="26" t="str">
        <f aca="false">IF($M314=0,"",OPERATIONS!$F14)</f>
        <v>OCEAMIC 2</v>
      </c>
      <c r="J314" s="26" t="str">
        <f aca="false">IF($I314="","",IFERROR(INDEX(EMPL_CLASSE,MATCH($I314,EMPL_KEY,0)),""))</f>
        <v>INTERNE</v>
      </c>
      <c r="K314" s="26" t="str">
        <f aca="false">IF($M314=0,"",OPERATIONS!$K14)</f>
        <v>Chinchard</v>
      </c>
      <c r="L314" s="26" t="str">
        <f aca="false">IF($G314="","",IF(IFERROR(INDEX(LOT_ETAT,MATCH($G314,LOT_KEY,0)),"")="","",INDEX(LOT_ETAT,MATCH($G314,LOT_KEY,0))))</f>
        <v>ENTIER</v>
      </c>
      <c r="M314" s="73" t="n">
        <f aca="false">IF(OR(OPERATIONS!$O14=0,OPERATIONS!$C14="CONSOMMATION"),0,OPERATIONS!$G14)</f>
        <v>-25</v>
      </c>
      <c r="N314" s="73" t="n">
        <f aca="false">IF($M314=0,0,OPERATIONS!$R14*$M314)</f>
        <v>-25</v>
      </c>
      <c r="O314" s="26" t="str">
        <f aca="false">IF($M314=0,"",OPERATIONS!$Q14)</f>
        <v>OK</v>
      </c>
      <c r="P314" s="26" t="str">
        <f aca="false">IF($G314="","",IF($G314=R_LOT,COUNTIF($G$5:$G314,R_LOT),""))</f>
        <v/>
      </c>
    </row>
    <row r="315" customFormat="false" ht="15" hidden="false" customHeight="false" outlineLevel="0" collapsed="false">
      <c r="A315" s="28" t="str">
        <f aca="false">IF($M315=0,"",ROW()-4)</f>
        <v/>
      </c>
      <c r="B315" s="26" t="str">
        <f aca="false">IF($M315=0,"","OPERATIONS")</f>
        <v/>
      </c>
      <c r="C315" s="26" t="str">
        <f aca="false">IF($M315=0,"",OPERATIONS!$A15)</f>
        <v/>
      </c>
      <c r="D315" s="31" t="str">
        <f aca="false">IF($M315=0,"",OPERATIONS!$B15)</f>
        <v/>
      </c>
      <c r="E315" s="26" t="str">
        <f aca="false">IF($M315=0,"",IF($M315&lt;0,"SORTIE","ENTREE"))</f>
        <v/>
      </c>
      <c r="F315" s="26" t="str">
        <f aca="false">IF($M315=0,"",OPERATIONS!$C15)</f>
        <v/>
      </c>
      <c r="G315" s="26" t="str">
        <f aca="false">IF($M315=0,"",OPERATIONS!$D15)</f>
        <v/>
      </c>
      <c r="H315" s="26" t="str">
        <f aca="false">IF($G315="","",IFERROR(INDEX(LOT_EXTE,MATCH($G315,LOT_KEY,0)),""))</f>
        <v/>
      </c>
      <c r="I315" s="26" t="str">
        <f aca="false">IF($M315=0,"",OPERATIONS!$F15)</f>
        <v/>
      </c>
      <c r="J315" s="26" t="str">
        <f aca="false">IF($I315="","",IFERROR(INDEX(EMPL_CLASSE,MATCH($I315,EMPL_KEY,0)),""))</f>
        <v/>
      </c>
      <c r="K315" s="26" t="str">
        <f aca="false">IF($M315=0,"",OPERATIONS!$K15)</f>
        <v/>
      </c>
      <c r="L315" s="26" t="str">
        <f aca="false">IF($G315="","",IF(IFERROR(INDEX(LOT_ETAT,MATCH($G315,LOT_KEY,0)),"")="","",INDEX(LOT_ETAT,MATCH($G315,LOT_KEY,0))))</f>
        <v/>
      </c>
      <c r="M315" s="73" t="n">
        <f aca="false">IF(OR(OPERATIONS!$O15=0,OPERATIONS!$C15="CONSOMMATION"),0,OPERATIONS!$G15)</f>
        <v>0</v>
      </c>
      <c r="N315" s="73" t="n">
        <f aca="false">IF($M315=0,0,OPERATIONS!$R15*$M315)</f>
        <v>0</v>
      </c>
      <c r="O315" s="26" t="str">
        <f aca="false">IF($M315=0,"",OPERATIONS!$Q15)</f>
        <v/>
      </c>
      <c r="P315" s="26" t="str">
        <f aca="false">IF($G315="","",IF($G315=R_LOT,COUNTIF($G$5:$G315,R_LOT),""))</f>
        <v/>
      </c>
    </row>
    <row r="316" customFormat="false" ht="15" hidden="false" customHeight="false" outlineLevel="0" collapsed="false">
      <c r="A316" s="28" t="str">
        <f aca="false">IF($M316=0,"",ROW()-4)</f>
        <v/>
      </c>
      <c r="B316" s="26" t="str">
        <f aca="false">IF($M316=0,"","OPERATIONS")</f>
        <v/>
      </c>
      <c r="C316" s="26" t="str">
        <f aca="false">IF($M316=0,"",OPERATIONS!$A16)</f>
        <v/>
      </c>
      <c r="D316" s="31" t="str">
        <f aca="false">IF($M316=0,"",OPERATIONS!$B16)</f>
        <v/>
      </c>
      <c r="E316" s="26" t="str">
        <f aca="false">IF($M316=0,"",IF($M316&lt;0,"SORTIE","ENTREE"))</f>
        <v/>
      </c>
      <c r="F316" s="26" t="str">
        <f aca="false">IF($M316=0,"",OPERATIONS!$C16)</f>
        <v/>
      </c>
      <c r="G316" s="26" t="str">
        <f aca="false">IF($M316=0,"",OPERATIONS!$D16)</f>
        <v/>
      </c>
      <c r="H316" s="26" t="str">
        <f aca="false">IF($G316="","",IFERROR(INDEX(LOT_EXTE,MATCH($G316,LOT_KEY,0)),""))</f>
        <v/>
      </c>
      <c r="I316" s="26" t="str">
        <f aca="false">IF($M316=0,"",OPERATIONS!$F16)</f>
        <v/>
      </c>
      <c r="J316" s="26" t="str">
        <f aca="false">IF($I316="","",IFERROR(INDEX(EMPL_CLASSE,MATCH($I316,EMPL_KEY,0)),""))</f>
        <v/>
      </c>
      <c r="K316" s="26" t="str">
        <f aca="false">IF($M316=0,"",OPERATIONS!$K16)</f>
        <v/>
      </c>
      <c r="L316" s="26" t="str">
        <f aca="false">IF($G316="","",IF(IFERROR(INDEX(LOT_ETAT,MATCH($G316,LOT_KEY,0)),"")="","",INDEX(LOT_ETAT,MATCH($G316,LOT_KEY,0))))</f>
        <v/>
      </c>
      <c r="M316" s="73" t="n">
        <f aca="false">IF(OR(OPERATIONS!$O16=0,OPERATIONS!$C16="CONSOMMATION"),0,OPERATIONS!$G16)</f>
        <v>0</v>
      </c>
      <c r="N316" s="73" t="n">
        <f aca="false">IF($M316=0,0,OPERATIONS!$R16*$M316)</f>
        <v>0</v>
      </c>
      <c r="O316" s="26" t="str">
        <f aca="false">IF($M316=0,"",OPERATIONS!$Q16)</f>
        <v/>
      </c>
      <c r="P316" s="26" t="str">
        <f aca="false">IF($G316="","",IF($G316=R_LOT,COUNTIF($G$5:$G316,R_LOT),""))</f>
        <v/>
      </c>
    </row>
    <row r="317" customFormat="false" ht="15" hidden="false" customHeight="false" outlineLevel="0" collapsed="false">
      <c r="A317" s="28" t="str">
        <f aca="false">IF($M317=0,"",ROW()-4)</f>
        <v/>
      </c>
      <c r="B317" s="26" t="str">
        <f aca="false">IF($M317=0,"","OPERATIONS")</f>
        <v/>
      </c>
      <c r="C317" s="26" t="str">
        <f aca="false">IF($M317=0,"",OPERATIONS!$A17)</f>
        <v/>
      </c>
      <c r="D317" s="31" t="str">
        <f aca="false">IF($M317=0,"",OPERATIONS!$B17)</f>
        <v/>
      </c>
      <c r="E317" s="26" t="str">
        <f aca="false">IF($M317=0,"",IF($M317&lt;0,"SORTIE","ENTREE"))</f>
        <v/>
      </c>
      <c r="F317" s="26" t="str">
        <f aca="false">IF($M317=0,"",OPERATIONS!$C17)</f>
        <v/>
      </c>
      <c r="G317" s="26" t="str">
        <f aca="false">IF($M317=0,"",OPERATIONS!$D17)</f>
        <v/>
      </c>
      <c r="H317" s="26" t="str">
        <f aca="false">IF($G317="","",IFERROR(INDEX(LOT_EXTE,MATCH($G317,LOT_KEY,0)),""))</f>
        <v/>
      </c>
      <c r="I317" s="26" t="str">
        <f aca="false">IF($M317=0,"",OPERATIONS!$F17)</f>
        <v/>
      </c>
      <c r="J317" s="26" t="str">
        <f aca="false">IF($I317="","",IFERROR(INDEX(EMPL_CLASSE,MATCH($I317,EMPL_KEY,0)),""))</f>
        <v/>
      </c>
      <c r="K317" s="26" t="str">
        <f aca="false">IF($M317=0,"",OPERATIONS!$K17)</f>
        <v/>
      </c>
      <c r="L317" s="26" t="str">
        <f aca="false">IF($G317="","",IF(IFERROR(INDEX(LOT_ETAT,MATCH($G317,LOT_KEY,0)),"")="","",INDEX(LOT_ETAT,MATCH($G317,LOT_KEY,0))))</f>
        <v/>
      </c>
      <c r="M317" s="73" t="n">
        <f aca="false">IF(OR(OPERATIONS!$O17=0,OPERATIONS!$C17="CONSOMMATION"),0,OPERATIONS!$G17)</f>
        <v>0</v>
      </c>
      <c r="N317" s="73" t="n">
        <f aca="false">IF($M317=0,0,OPERATIONS!$R17*$M317)</f>
        <v>0</v>
      </c>
      <c r="O317" s="26" t="str">
        <f aca="false">IF($M317=0,"",OPERATIONS!$Q17)</f>
        <v/>
      </c>
      <c r="P317" s="26" t="str">
        <f aca="false">IF($G317="","",IF($G317=R_LOT,COUNTIF($G$5:$G317,R_LOT),""))</f>
        <v/>
      </c>
    </row>
    <row r="318" customFormat="false" ht="15" hidden="false" customHeight="false" outlineLevel="0" collapsed="false">
      <c r="A318" s="28" t="str">
        <f aca="false">IF($M318=0,"",ROW()-4)</f>
        <v/>
      </c>
      <c r="B318" s="26" t="str">
        <f aca="false">IF($M318=0,"","OPERATIONS")</f>
        <v/>
      </c>
      <c r="C318" s="26" t="str">
        <f aca="false">IF($M318=0,"",OPERATIONS!$A18)</f>
        <v/>
      </c>
      <c r="D318" s="31" t="str">
        <f aca="false">IF($M318=0,"",OPERATIONS!$B18)</f>
        <v/>
      </c>
      <c r="E318" s="26" t="str">
        <f aca="false">IF($M318=0,"",IF($M318&lt;0,"SORTIE","ENTREE"))</f>
        <v/>
      </c>
      <c r="F318" s="26" t="str">
        <f aca="false">IF($M318=0,"",OPERATIONS!$C18)</f>
        <v/>
      </c>
      <c r="G318" s="26" t="str">
        <f aca="false">IF($M318=0,"",OPERATIONS!$D18)</f>
        <v/>
      </c>
      <c r="H318" s="26" t="str">
        <f aca="false">IF($G318="","",IFERROR(INDEX(LOT_EXTE,MATCH($G318,LOT_KEY,0)),""))</f>
        <v/>
      </c>
      <c r="I318" s="26" t="str">
        <f aca="false">IF($M318=0,"",OPERATIONS!$F18)</f>
        <v/>
      </c>
      <c r="J318" s="26" t="str">
        <f aca="false">IF($I318="","",IFERROR(INDEX(EMPL_CLASSE,MATCH($I318,EMPL_KEY,0)),""))</f>
        <v/>
      </c>
      <c r="K318" s="26" t="str">
        <f aca="false">IF($M318=0,"",OPERATIONS!$K18)</f>
        <v/>
      </c>
      <c r="L318" s="26" t="str">
        <f aca="false">IF($G318="","",IF(IFERROR(INDEX(LOT_ETAT,MATCH($G318,LOT_KEY,0)),"")="","",INDEX(LOT_ETAT,MATCH($G318,LOT_KEY,0))))</f>
        <v/>
      </c>
      <c r="M318" s="73" t="n">
        <f aca="false">IF(OR(OPERATIONS!$O18=0,OPERATIONS!$C18="CONSOMMATION"),0,OPERATIONS!$G18)</f>
        <v>0</v>
      </c>
      <c r="N318" s="73" t="n">
        <f aca="false">IF($M318=0,0,OPERATIONS!$R18*$M318)</f>
        <v>0</v>
      </c>
      <c r="O318" s="26" t="str">
        <f aca="false">IF($M318=0,"",OPERATIONS!$Q18)</f>
        <v/>
      </c>
      <c r="P318" s="26" t="str">
        <f aca="false">IF($G318="","",IF($G318=R_LOT,COUNTIF($G$5:$G318,R_LOT),""))</f>
        <v/>
      </c>
    </row>
    <row r="319" customFormat="false" ht="15" hidden="false" customHeight="false" outlineLevel="0" collapsed="false">
      <c r="A319" s="28" t="str">
        <f aca="false">IF($M319=0,"",ROW()-4)</f>
        <v/>
      </c>
      <c r="B319" s="26" t="str">
        <f aca="false">IF($M319=0,"","OPERATIONS")</f>
        <v/>
      </c>
      <c r="C319" s="26" t="str">
        <f aca="false">IF($M319=0,"",OPERATIONS!$A19)</f>
        <v/>
      </c>
      <c r="D319" s="31" t="str">
        <f aca="false">IF($M319=0,"",OPERATIONS!$B19)</f>
        <v/>
      </c>
      <c r="E319" s="26" t="str">
        <f aca="false">IF($M319=0,"",IF($M319&lt;0,"SORTIE","ENTREE"))</f>
        <v/>
      </c>
      <c r="F319" s="26" t="str">
        <f aca="false">IF($M319=0,"",OPERATIONS!$C19)</f>
        <v/>
      </c>
      <c r="G319" s="26" t="str">
        <f aca="false">IF($M319=0,"",OPERATIONS!$D19)</f>
        <v/>
      </c>
      <c r="H319" s="26" t="str">
        <f aca="false">IF($G319="","",IFERROR(INDEX(LOT_EXTE,MATCH($G319,LOT_KEY,0)),""))</f>
        <v/>
      </c>
      <c r="I319" s="26" t="str">
        <f aca="false">IF($M319=0,"",OPERATIONS!$F19)</f>
        <v/>
      </c>
      <c r="J319" s="26" t="str">
        <f aca="false">IF($I319="","",IFERROR(INDEX(EMPL_CLASSE,MATCH($I319,EMPL_KEY,0)),""))</f>
        <v/>
      </c>
      <c r="K319" s="26" t="str">
        <f aca="false">IF($M319=0,"",OPERATIONS!$K19)</f>
        <v/>
      </c>
      <c r="L319" s="26" t="str">
        <f aca="false">IF($G319="","",IF(IFERROR(INDEX(LOT_ETAT,MATCH($G319,LOT_KEY,0)),"")="","",INDEX(LOT_ETAT,MATCH($G319,LOT_KEY,0))))</f>
        <v/>
      </c>
      <c r="M319" s="73" t="n">
        <f aca="false">IF(OR(OPERATIONS!$O19=0,OPERATIONS!$C19="CONSOMMATION"),0,OPERATIONS!$G19)</f>
        <v>0</v>
      </c>
      <c r="N319" s="73" t="n">
        <f aca="false">IF($M319=0,0,OPERATIONS!$R19*$M319)</f>
        <v>0</v>
      </c>
      <c r="O319" s="26" t="str">
        <f aca="false">IF($M319=0,"",OPERATIONS!$Q19)</f>
        <v/>
      </c>
      <c r="P319" s="26" t="str">
        <f aca="false">IF($G319="","",IF($G319=R_LOT,COUNTIF($G$5:$G319,R_LOT),""))</f>
        <v/>
      </c>
    </row>
    <row r="320" customFormat="false" ht="15" hidden="false" customHeight="false" outlineLevel="0" collapsed="false">
      <c r="A320" s="28" t="str">
        <f aca="false">IF($M320=0,"",ROW()-4)</f>
        <v/>
      </c>
      <c r="B320" s="26" t="str">
        <f aca="false">IF($M320=0,"","OPERATIONS")</f>
        <v/>
      </c>
      <c r="C320" s="26" t="str">
        <f aca="false">IF($M320=0,"",OPERATIONS!$A20)</f>
        <v/>
      </c>
      <c r="D320" s="31" t="str">
        <f aca="false">IF($M320=0,"",OPERATIONS!$B20)</f>
        <v/>
      </c>
      <c r="E320" s="26" t="str">
        <f aca="false">IF($M320=0,"",IF($M320&lt;0,"SORTIE","ENTREE"))</f>
        <v/>
      </c>
      <c r="F320" s="26" t="str">
        <f aca="false">IF($M320=0,"",OPERATIONS!$C20)</f>
        <v/>
      </c>
      <c r="G320" s="26" t="str">
        <f aca="false">IF($M320=0,"",OPERATIONS!$D20)</f>
        <v/>
      </c>
      <c r="H320" s="26" t="str">
        <f aca="false">IF($G320="","",IFERROR(INDEX(LOT_EXTE,MATCH($G320,LOT_KEY,0)),""))</f>
        <v/>
      </c>
      <c r="I320" s="26" t="str">
        <f aca="false">IF($M320=0,"",OPERATIONS!$F20)</f>
        <v/>
      </c>
      <c r="J320" s="26" t="str">
        <f aca="false">IF($I320="","",IFERROR(INDEX(EMPL_CLASSE,MATCH($I320,EMPL_KEY,0)),""))</f>
        <v/>
      </c>
      <c r="K320" s="26" t="str">
        <f aca="false">IF($M320=0,"",OPERATIONS!$K20)</f>
        <v/>
      </c>
      <c r="L320" s="26" t="str">
        <f aca="false">IF($G320="","",IF(IFERROR(INDEX(LOT_ETAT,MATCH($G320,LOT_KEY,0)),"")="","",INDEX(LOT_ETAT,MATCH($G320,LOT_KEY,0))))</f>
        <v/>
      </c>
      <c r="M320" s="73" t="n">
        <f aca="false">IF(OR(OPERATIONS!$O20=0,OPERATIONS!$C20="CONSOMMATION"),0,OPERATIONS!$G20)</f>
        <v>0</v>
      </c>
      <c r="N320" s="73" t="n">
        <f aca="false">IF($M320=0,0,OPERATIONS!$R20*$M320)</f>
        <v>0</v>
      </c>
      <c r="O320" s="26" t="str">
        <f aca="false">IF($M320=0,"",OPERATIONS!$Q20)</f>
        <v/>
      </c>
      <c r="P320" s="26" t="str">
        <f aca="false">IF($G320="","",IF($G320=R_LOT,COUNTIF($G$5:$G320,R_LOT),""))</f>
        <v/>
      </c>
    </row>
    <row r="321" customFormat="false" ht="15" hidden="false" customHeight="false" outlineLevel="0" collapsed="false">
      <c r="A321" s="28" t="str">
        <f aca="false">IF($M321=0,"",ROW()-4)</f>
        <v/>
      </c>
      <c r="B321" s="26" t="str">
        <f aca="false">IF($M321=0,"","OPERATIONS")</f>
        <v/>
      </c>
      <c r="C321" s="26" t="str">
        <f aca="false">IF($M321=0,"",OPERATIONS!$A21)</f>
        <v/>
      </c>
      <c r="D321" s="31" t="str">
        <f aca="false">IF($M321=0,"",OPERATIONS!$B21)</f>
        <v/>
      </c>
      <c r="E321" s="26" t="str">
        <f aca="false">IF($M321=0,"",IF($M321&lt;0,"SORTIE","ENTREE"))</f>
        <v/>
      </c>
      <c r="F321" s="26" t="str">
        <f aca="false">IF($M321=0,"",OPERATIONS!$C21)</f>
        <v/>
      </c>
      <c r="G321" s="26" t="str">
        <f aca="false">IF($M321=0,"",OPERATIONS!$D21)</f>
        <v/>
      </c>
      <c r="H321" s="26" t="str">
        <f aca="false">IF($G321="","",IFERROR(INDEX(LOT_EXTE,MATCH($G321,LOT_KEY,0)),""))</f>
        <v/>
      </c>
      <c r="I321" s="26" t="str">
        <f aca="false">IF($M321=0,"",OPERATIONS!$F21)</f>
        <v/>
      </c>
      <c r="J321" s="26" t="str">
        <f aca="false">IF($I321="","",IFERROR(INDEX(EMPL_CLASSE,MATCH($I321,EMPL_KEY,0)),""))</f>
        <v/>
      </c>
      <c r="K321" s="26" t="str">
        <f aca="false">IF($M321=0,"",OPERATIONS!$K21)</f>
        <v/>
      </c>
      <c r="L321" s="26" t="str">
        <f aca="false">IF($G321="","",IF(IFERROR(INDEX(LOT_ETAT,MATCH($G321,LOT_KEY,0)),"")="","",INDEX(LOT_ETAT,MATCH($G321,LOT_KEY,0))))</f>
        <v/>
      </c>
      <c r="M321" s="73" t="n">
        <f aca="false">IF(OR(OPERATIONS!$O21=0,OPERATIONS!$C21="CONSOMMATION"),0,OPERATIONS!$G21)</f>
        <v>0</v>
      </c>
      <c r="N321" s="73" t="n">
        <f aca="false">IF($M321=0,0,OPERATIONS!$R21*$M321)</f>
        <v>0</v>
      </c>
      <c r="O321" s="26" t="str">
        <f aca="false">IF($M321=0,"",OPERATIONS!$Q21)</f>
        <v/>
      </c>
      <c r="P321" s="26" t="str">
        <f aca="false">IF($G321="","",IF($G321=R_LOT,COUNTIF($G$5:$G321,R_LOT),""))</f>
        <v/>
      </c>
    </row>
    <row r="322" customFormat="false" ht="15" hidden="false" customHeight="false" outlineLevel="0" collapsed="false">
      <c r="A322" s="28" t="str">
        <f aca="false">IF($M322=0,"",ROW()-4)</f>
        <v/>
      </c>
      <c r="B322" s="26" t="str">
        <f aca="false">IF($M322=0,"","OPERATIONS")</f>
        <v/>
      </c>
      <c r="C322" s="26" t="str">
        <f aca="false">IF($M322=0,"",OPERATIONS!$A22)</f>
        <v/>
      </c>
      <c r="D322" s="31" t="str">
        <f aca="false">IF($M322=0,"",OPERATIONS!$B22)</f>
        <v/>
      </c>
      <c r="E322" s="26" t="str">
        <f aca="false">IF($M322=0,"",IF($M322&lt;0,"SORTIE","ENTREE"))</f>
        <v/>
      </c>
      <c r="F322" s="26" t="str">
        <f aca="false">IF($M322=0,"",OPERATIONS!$C22)</f>
        <v/>
      </c>
      <c r="G322" s="26" t="str">
        <f aca="false">IF($M322=0,"",OPERATIONS!$D22)</f>
        <v/>
      </c>
      <c r="H322" s="26" t="str">
        <f aca="false">IF($G322="","",IFERROR(INDEX(LOT_EXTE,MATCH($G322,LOT_KEY,0)),""))</f>
        <v/>
      </c>
      <c r="I322" s="26" t="str">
        <f aca="false">IF($M322=0,"",OPERATIONS!$F22)</f>
        <v/>
      </c>
      <c r="J322" s="26" t="str">
        <f aca="false">IF($I322="","",IFERROR(INDEX(EMPL_CLASSE,MATCH($I322,EMPL_KEY,0)),""))</f>
        <v/>
      </c>
      <c r="K322" s="26" t="str">
        <f aca="false">IF($M322=0,"",OPERATIONS!$K22)</f>
        <v/>
      </c>
      <c r="L322" s="26" t="str">
        <f aca="false">IF($G322="","",IF(IFERROR(INDEX(LOT_ETAT,MATCH($G322,LOT_KEY,0)),"")="","",INDEX(LOT_ETAT,MATCH($G322,LOT_KEY,0))))</f>
        <v/>
      </c>
      <c r="M322" s="73" t="n">
        <f aca="false">IF(OR(OPERATIONS!$O22=0,OPERATIONS!$C22="CONSOMMATION"),0,OPERATIONS!$G22)</f>
        <v>0</v>
      </c>
      <c r="N322" s="73" t="n">
        <f aca="false">IF($M322=0,0,OPERATIONS!$R22*$M322)</f>
        <v>0</v>
      </c>
      <c r="O322" s="26" t="str">
        <f aca="false">IF($M322=0,"",OPERATIONS!$Q22)</f>
        <v/>
      </c>
      <c r="P322" s="26" t="str">
        <f aca="false">IF($G322="","",IF($G322=R_LOT,COUNTIF($G$5:$G322,R_LOT),""))</f>
        <v/>
      </c>
    </row>
    <row r="323" customFormat="false" ht="15" hidden="false" customHeight="false" outlineLevel="0" collapsed="false">
      <c r="A323" s="28" t="str">
        <f aca="false">IF($M323=0,"",ROW()-4)</f>
        <v/>
      </c>
      <c r="B323" s="26" t="str">
        <f aca="false">IF($M323=0,"","OPERATIONS")</f>
        <v/>
      </c>
      <c r="C323" s="26" t="str">
        <f aca="false">IF($M323=0,"",OPERATIONS!$A23)</f>
        <v/>
      </c>
      <c r="D323" s="31" t="str">
        <f aca="false">IF($M323=0,"",OPERATIONS!$B23)</f>
        <v/>
      </c>
      <c r="E323" s="26" t="str">
        <f aca="false">IF($M323=0,"",IF($M323&lt;0,"SORTIE","ENTREE"))</f>
        <v/>
      </c>
      <c r="F323" s="26" t="str">
        <f aca="false">IF($M323=0,"",OPERATIONS!$C23)</f>
        <v/>
      </c>
      <c r="G323" s="26" t="str">
        <f aca="false">IF($M323=0,"",OPERATIONS!$D23)</f>
        <v/>
      </c>
      <c r="H323" s="26" t="str">
        <f aca="false">IF($G323="","",IFERROR(INDEX(LOT_EXTE,MATCH($G323,LOT_KEY,0)),""))</f>
        <v/>
      </c>
      <c r="I323" s="26" t="str">
        <f aca="false">IF($M323=0,"",OPERATIONS!$F23)</f>
        <v/>
      </c>
      <c r="J323" s="26" t="str">
        <f aca="false">IF($I323="","",IFERROR(INDEX(EMPL_CLASSE,MATCH($I323,EMPL_KEY,0)),""))</f>
        <v/>
      </c>
      <c r="K323" s="26" t="str">
        <f aca="false">IF($M323=0,"",OPERATIONS!$K23)</f>
        <v/>
      </c>
      <c r="L323" s="26" t="str">
        <f aca="false">IF($G323="","",IF(IFERROR(INDEX(LOT_ETAT,MATCH($G323,LOT_KEY,0)),"")="","",INDEX(LOT_ETAT,MATCH($G323,LOT_KEY,0))))</f>
        <v/>
      </c>
      <c r="M323" s="73" t="n">
        <f aca="false">IF(OR(OPERATIONS!$O23=0,OPERATIONS!$C23="CONSOMMATION"),0,OPERATIONS!$G23)</f>
        <v>0</v>
      </c>
      <c r="N323" s="73" t="n">
        <f aca="false">IF($M323=0,0,OPERATIONS!$R23*$M323)</f>
        <v>0</v>
      </c>
      <c r="O323" s="26" t="str">
        <f aca="false">IF($M323=0,"",OPERATIONS!$Q23)</f>
        <v/>
      </c>
      <c r="P323" s="26" t="str">
        <f aca="false">IF($G323="","",IF($G323=R_LOT,COUNTIF($G$5:$G323,R_LOT),""))</f>
        <v/>
      </c>
    </row>
    <row r="324" customFormat="false" ht="15" hidden="false" customHeight="false" outlineLevel="0" collapsed="false">
      <c r="A324" s="28" t="str">
        <f aca="false">IF($M324=0,"",ROW()-4)</f>
        <v/>
      </c>
      <c r="B324" s="26" t="str">
        <f aca="false">IF($M324=0,"","OPERATIONS")</f>
        <v/>
      </c>
      <c r="C324" s="26" t="str">
        <f aca="false">IF($M324=0,"",OPERATIONS!$A24)</f>
        <v/>
      </c>
      <c r="D324" s="31" t="str">
        <f aca="false">IF($M324=0,"",OPERATIONS!$B24)</f>
        <v/>
      </c>
      <c r="E324" s="26" t="str">
        <f aca="false">IF($M324=0,"",IF($M324&lt;0,"SORTIE","ENTREE"))</f>
        <v/>
      </c>
      <c r="F324" s="26" t="str">
        <f aca="false">IF($M324=0,"",OPERATIONS!$C24)</f>
        <v/>
      </c>
      <c r="G324" s="26" t="str">
        <f aca="false">IF($M324=0,"",OPERATIONS!$D24)</f>
        <v/>
      </c>
      <c r="H324" s="26" t="str">
        <f aca="false">IF($G324="","",IFERROR(INDEX(LOT_EXTE,MATCH($G324,LOT_KEY,0)),""))</f>
        <v/>
      </c>
      <c r="I324" s="26" t="str">
        <f aca="false">IF($M324=0,"",OPERATIONS!$F24)</f>
        <v/>
      </c>
      <c r="J324" s="26" t="str">
        <f aca="false">IF($I324="","",IFERROR(INDEX(EMPL_CLASSE,MATCH($I324,EMPL_KEY,0)),""))</f>
        <v/>
      </c>
      <c r="K324" s="26" t="str">
        <f aca="false">IF($M324=0,"",OPERATIONS!$K24)</f>
        <v/>
      </c>
      <c r="L324" s="26" t="str">
        <f aca="false">IF($G324="","",IF(IFERROR(INDEX(LOT_ETAT,MATCH($G324,LOT_KEY,0)),"")="","",INDEX(LOT_ETAT,MATCH($G324,LOT_KEY,0))))</f>
        <v/>
      </c>
      <c r="M324" s="73" t="n">
        <f aca="false">IF(OR(OPERATIONS!$O24=0,OPERATIONS!$C24="CONSOMMATION"),0,OPERATIONS!$G24)</f>
        <v>0</v>
      </c>
      <c r="N324" s="73" t="n">
        <f aca="false">IF($M324=0,0,OPERATIONS!$R24*$M324)</f>
        <v>0</v>
      </c>
      <c r="O324" s="26" t="str">
        <f aca="false">IF($M324=0,"",OPERATIONS!$Q24)</f>
        <v/>
      </c>
      <c r="P324" s="26" t="str">
        <f aca="false">IF($G324="","",IF($G324=R_LOT,COUNTIF($G$5:$G324,R_LOT),""))</f>
        <v/>
      </c>
    </row>
    <row r="325" customFormat="false" ht="15" hidden="false" customHeight="false" outlineLevel="0" collapsed="false">
      <c r="A325" s="28" t="str">
        <f aca="false">IF($M325=0,"",ROW()-4)</f>
        <v/>
      </c>
      <c r="B325" s="26" t="str">
        <f aca="false">IF($M325=0,"","OPERATIONS")</f>
        <v/>
      </c>
      <c r="C325" s="26" t="str">
        <f aca="false">IF($M325=0,"",OPERATIONS!$A25)</f>
        <v/>
      </c>
      <c r="D325" s="31" t="str">
        <f aca="false">IF($M325=0,"",OPERATIONS!$B25)</f>
        <v/>
      </c>
      <c r="E325" s="26" t="str">
        <f aca="false">IF($M325=0,"",IF($M325&lt;0,"SORTIE","ENTREE"))</f>
        <v/>
      </c>
      <c r="F325" s="26" t="str">
        <f aca="false">IF($M325=0,"",OPERATIONS!$C25)</f>
        <v/>
      </c>
      <c r="G325" s="26" t="str">
        <f aca="false">IF($M325=0,"",OPERATIONS!$D25)</f>
        <v/>
      </c>
      <c r="H325" s="26" t="str">
        <f aca="false">IF($G325="","",IFERROR(INDEX(LOT_EXTE,MATCH($G325,LOT_KEY,0)),""))</f>
        <v/>
      </c>
      <c r="I325" s="26" t="str">
        <f aca="false">IF($M325=0,"",OPERATIONS!$F25)</f>
        <v/>
      </c>
      <c r="J325" s="26" t="str">
        <f aca="false">IF($I325="","",IFERROR(INDEX(EMPL_CLASSE,MATCH($I325,EMPL_KEY,0)),""))</f>
        <v/>
      </c>
      <c r="K325" s="26" t="str">
        <f aca="false">IF($M325=0,"",OPERATIONS!$K25)</f>
        <v/>
      </c>
      <c r="L325" s="26" t="str">
        <f aca="false">IF($G325="","",IF(IFERROR(INDEX(LOT_ETAT,MATCH($G325,LOT_KEY,0)),"")="","",INDEX(LOT_ETAT,MATCH($G325,LOT_KEY,0))))</f>
        <v/>
      </c>
      <c r="M325" s="73" t="n">
        <f aca="false">IF(OR(OPERATIONS!$O25=0,OPERATIONS!$C25="CONSOMMATION"),0,OPERATIONS!$G25)</f>
        <v>0</v>
      </c>
      <c r="N325" s="73" t="n">
        <f aca="false">IF($M325=0,0,OPERATIONS!$R25*$M325)</f>
        <v>0</v>
      </c>
      <c r="O325" s="26" t="str">
        <f aca="false">IF($M325=0,"",OPERATIONS!$Q25)</f>
        <v/>
      </c>
      <c r="P325" s="26" t="str">
        <f aca="false">IF($G325="","",IF($G325=R_LOT,COUNTIF($G$5:$G325,R_LOT),""))</f>
        <v/>
      </c>
    </row>
    <row r="326" customFormat="false" ht="15" hidden="false" customHeight="false" outlineLevel="0" collapsed="false">
      <c r="A326" s="28" t="str">
        <f aca="false">IF($M326=0,"",ROW()-4)</f>
        <v/>
      </c>
      <c r="B326" s="26" t="str">
        <f aca="false">IF($M326=0,"","OPERATIONS")</f>
        <v/>
      </c>
      <c r="C326" s="26" t="str">
        <f aca="false">IF($M326=0,"",OPERATIONS!$A26)</f>
        <v/>
      </c>
      <c r="D326" s="31" t="str">
        <f aca="false">IF($M326=0,"",OPERATIONS!$B26)</f>
        <v/>
      </c>
      <c r="E326" s="26" t="str">
        <f aca="false">IF($M326=0,"",IF($M326&lt;0,"SORTIE","ENTREE"))</f>
        <v/>
      </c>
      <c r="F326" s="26" t="str">
        <f aca="false">IF($M326=0,"",OPERATIONS!$C26)</f>
        <v/>
      </c>
      <c r="G326" s="26" t="str">
        <f aca="false">IF($M326=0,"",OPERATIONS!$D26)</f>
        <v/>
      </c>
      <c r="H326" s="26" t="str">
        <f aca="false">IF($G326="","",IFERROR(INDEX(LOT_EXTE,MATCH($G326,LOT_KEY,0)),""))</f>
        <v/>
      </c>
      <c r="I326" s="26" t="str">
        <f aca="false">IF($M326=0,"",OPERATIONS!$F26)</f>
        <v/>
      </c>
      <c r="J326" s="26" t="str">
        <f aca="false">IF($I326="","",IFERROR(INDEX(EMPL_CLASSE,MATCH($I326,EMPL_KEY,0)),""))</f>
        <v/>
      </c>
      <c r="K326" s="26" t="str">
        <f aca="false">IF($M326=0,"",OPERATIONS!$K26)</f>
        <v/>
      </c>
      <c r="L326" s="26" t="str">
        <f aca="false">IF($G326="","",IF(IFERROR(INDEX(LOT_ETAT,MATCH($G326,LOT_KEY,0)),"")="","",INDEX(LOT_ETAT,MATCH($G326,LOT_KEY,0))))</f>
        <v/>
      </c>
      <c r="M326" s="73" t="n">
        <f aca="false">IF(OR(OPERATIONS!$O26=0,OPERATIONS!$C26="CONSOMMATION"),0,OPERATIONS!$G26)</f>
        <v>0</v>
      </c>
      <c r="N326" s="73" t="n">
        <f aca="false">IF($M326=0,0,OPERATIONS!$R26*$M326)</f>
        <v>0</v>
      </c>
      <c r="O326" s="26" t="str">
        <f aca="false">IF($M326=0,"",OPERATIONS!$Q26)</f>
        <v/>
      </c>
      <c r="P326" s="26" t="str">
        <f aca="false">IF($G326="","",IF($G326=R_LOT,COUNTIF($G$5:$G326,R_LOT),""))</f>
        <v/>
      </c>
    </row>
    <row r="327" customFormat="false" ht="15" hidden="false" customHeight="false" outlineLevel="0" collapsed="false">
      <c r="A327" s="28" t="str">
        <f aca="false">IF($M327=0,"",ROW()-4)</f>
        <v/>
      </c>
      <c r="B327" s="26" t="str">
        <f aca="false">IF($M327=0,"","OPERATIONS")</f>
        <v/>
      </c>
      <c r="C327" s="26" t="str">
        <f aca="false">IF($M327=0,"",OPERATIONS!$A27)</f>
        <v/>
      </c>
      <c r="D327" s="31" t="str">
        <f aca="false">IF($M327=0,"",OPERATIONS!$B27)</f>
        <v/>
      </c>
      <c r="E327" s="26" t="str">
        <f aca="false">IF($M327=0,"",IF($M327&lt;0,"SORTIE","ENTREE"))</f>
        <v/>
      </c>
      <c r="F327" s="26" t="str">
        <f aca="false">IF($M327=0,"",OPERATIONS!$C27)</f>
        <v/>
      </c>
      <c r="G327" s="26" t="str">
        <f aca="false">IF($M327=0,"",OPERATIONS!$D27)</f>
        <v/>
      </c>
      <c r="H327" s="26" t="str">
        <f aca="false">IF($G327="","",IFERROR(INDEX(LOT_EXTE,MATCH($G327,LOT_KEY,0)),""))</f>
        <v/>
      </c>
      <c r="I327" s="26" t="str">
        <f aca="false">IF($M327=0,"",OPERATIONS!$F27)</f>
        <v/>
      </c>
      <c r="J327" s="26" t="str">
        <f aca="false">IF($I327="","",IFERROR(INDEX(EMPL_CLASSE,MATCH($I327,EMPL_KEY,0)),""))</f>
        <v/>
      </c>
      <c r="K327" s="26" t="str">
        <f aca="false">IF($M327=0,"",OPERATIONS!$K27)</f>
        <v/>
      </c>
      <c r="L327" s="26" t="str">
        <f aca="false">IF($G327="","",IF(IFERROR(INDEX(LOT_ETAT,MATCH($G327,LOT_KEY,0)),"")="","",INDEX(LOT_ETAT,MATCH($G327,LOT_KEY,0))))</f>
        <v/>
      </c>
      <c r="M327" s="73" t="n">
        <f aca="false">IF(OR(OPERATIONS!$O27=0,OPERATIONS!$C27="CONSOMMATION"),0,OPERATIONS!$G27)</f>
        <v>0</v>
      </c>
      <c r="N327" s="73" t="n">
        <f aca="false">IF($M327=0,0,OPERATIONS!$R27*$M327)</f>
        <v>0</v>
      </c>
      <c r="O327" s="26" t="str">
        <f aca="false">IF($M327=0,"",OPERATIONS!$Q27)</f>
        <v/>
      </c>
      <c r="P327" s="26" t="str">
        <f aca="false">IF($G327="","",IF($G327=R_LOT,COUNTIF($G$5:$G327,R_LOT),""))</f>
        <v/>
      </c>
    </row>
    <row r="328" customFormat="false" ht="15" hidden="false" customHeight="false" outlineLevel="0" collapsed="false">
      <c r="A328" s="28" t="str">
        <f aca="false">IF($M328=0,"",ROW()-4)</f>
        <v/>
      </c>
      <c r="B328" s="26" t="str">
        <f aca="false">IF($M328=0,"","OPERATIONS")</f>
        <v/>
      </c>
      <c r="C328" s="26" t="str">
        <f aca="false">IF($M328=0,"",OPERATIONS!$A28)</f>
        <v/>
      </c>
      <c r="D328" s="31" t="str">
        <f aca="false">IF($M328=0,"",OPERATIONS!$B28)</f>
        <v/>
      </c>
      <c r="E328" s="26" t="str">
        <f aca="false">IF($M328=0,"",IF($M328&lt;0,"SORTIE","ENTREE"))</f>
        <v/>
      </c>
      <c r="F328" s="26" t="str">
        <f aca="false">IF($M328=0,"",OPERATIONS!$C28)</f>
        <v/>
      </c>
      <c r="G328" s="26" t="str">
        <f aca="false">IF($M328=0,"",OPERATIONS!$D28)</f>
        <v/>
      </c>
      <c r="H328" s="26" t="str">
        <f aca="false">IF($G328="","",IFERROR(INDEX(LOT_EXTE,MATCH($G328,LOT_KEY,0)),""))</f>
        <v/>
      </c>
      <c r="I328" s="26" t="str">
        <f aca="false">IF($M328=0,"",OPERATIONS!$F28)</f>
        <v/>
      </c>
      <c r="J328" s="26" t="str">
        <f aca="false">IF($I328="","",IFERROR(INDEX(EMPL_CLASSE,MATCH($I328,EMPL_KEY,0)),""))</f>
        <v/>
      </c>
      <c r="K328" s="26" t="str">
        <f aca="false">IF($M328=0,"",OPERATIONS!$K28)</f>
        <v/>
      </c>
      <c r="L328" s="26" t="str">
        <f aca="false">IF($G328="","",IF(IFERROR(INDEX(LOT_ETAT,MATCH($G328,LOT_KEY,0)),"")="","",INDEX(LOT_ETAT,MATCH($G328,LOT_KEY,0))))</f>
        <v/>
      </c>
      <c r="M328" s="73" t="n">
        <f aca="false">IF(OR(OPERATIONS!$O28=0,OPERATIONS!$C28="CONSOMMATION"),0,OPERATIONS!$G28)</f>
        <v>0</v>
      </c>
      <c r="N328" s="73" t="n">
        <f aca="false">IF($M328=0,0,OPERATIONS!$R28*$M328)</f>
        <v>0</v>
      </c>
      <c r="O328" s="26" t="str">
        <f aca="false">IF($M328=0,"",OPERATIONS!$Q28)</f>
        <v/>
      </c>
      <c r="P328" s="26" t="str">
        <f aca="false">IF($G328="","",IF($G328=R_LOT,COUNTIF($G$5:$G328,R_LOT),""))</f>
        <v/>
      </c>
    </row>
    <row r="329" customFormat="false" ht="15" hidden="false" customHeight="false" outlineLevel="0" collapsed="false">
      <c r="A329" s="28" t="str">
        <f aca="false">IF($M329=0,"",ROW()-4)</f>
        <v/>
      </c>
      <c r="B329" s="26" t="str">
        <f aca="false">IF($M329=0,"","OPERATIONS")</f>
        <v/>
      </c>
      <c r="C329" s="26" t="str">
        <f aca="false">IF($M329=0,"",OPERATIONS!$A29)</f>
        <v/>
      </c>
      <c r="D329" s="31" t="str">
        <f aca="false">IF($M329=0,"",OPERATIONS!$B29)</f>
        <v/>
      </c>
      <c r="E329" s="26" t="str">
        <f aca="false">IF($M329=0,"",IF($M329&lt;0,"SORTIE","ENTREE"))</f>
        <v/>
      </c>
      <c r="F329" s="26" t="str">
        <f aca="false">IF($M329=0,"",OPERATIONS!$C29)</f>
        <v/>
      </c>
      <c r="G329" s="26" t="str">
        <f aca="false">IF($M329=0,"",OPERATIONS!$D29)</f>
        <v/>
      </c>
      <c r="H329" s="26" t="str">
        <f aca="false">IF($G329="","",IFERROR(INDEX(LOT_EXTE,MATCH($G329,LOT_KEY,0)),""))</f>
        <v/>
      </c>
      <c r="I329" s="26" t="str">
        <f aca="false">IF($M329=0,"",OPERATIONS!$F29)</f>
        <v/>
      </c>
      <c r="J329" s="26" t="str">
        <f aca="false">IF($I329="","",IFERROR(INDEX(EMPL_CLASSE,MATCH($I329,EMPL_KEY,0)),""))</f>
        <v/>
      </c>
      <c r="K329" s="26" t="str">
        <f aca="false">IF($M329=0,"",OPERATIONS!$K29)</f>
        <v/>
      </c>
      <c r="L329" s="26" t="str">
        <f aca="false">IF($G329="","",IF(IFERROR(INDEX(LOT_ETAT,MATCH($G329,LOT_KEY,0)),"")="","",INDEX(LOT_ETAT,MATCH($G329,LOT_KEY,0))))</f>
        <v/>
      </c>
      <c r="M329" s="73" t="n">
        <f aca="false">IF(OR(OPERATIONS!$O29=0,OPERATIONS!$C29="CONSOMMATION"),0,OPERATIONS!$G29)</f>
        <v>0</v>
      </c>
      <c r="N329" s="73" t="n">
        <f aca="false">IF($M329=0,0,OPERATIONS!$R29*$M329)</f>
        <v>0</v>
      </c>
      <c r="O329" s="26" t="str">
        <f aca="false">IF($M329=0,"",OPERATIONS!$Q29)</f>
        <v/>
      </c>
      <c r="P329" s="26" t="str">
        <f aca="false">IF($G329="","",IF($G329=R_LOT,COUNTIF($G$5:$G329,R_LOT),""))</f>
        <v/>
      </c>
    </row>
    <row r="330" customFormat="false" ht="15" hidden="false" customHeight="false" outlineLevel="0" collapsed="false">
      <c r="A330" s="28" t="str">
        <f aca="false">IF($M330=0,"",ROW()-4)</f>
        <v/>
      </c>
      <c r="B330" s="26" t="str">
        <f aca="false">IF($M330=0,"","OPERATIONS")</f>
        <v/>
      </c>
      <c r="C330" s="26" t="str">
        <f aca="false">IF($M330=0,"",OPERATIONS!$A30)</f>
        <v/>
      </c>
      <c r="D330" s="31" t="str">
        <f aca="false">IF($M330=0,"",OPERATIONS!$B30)</f>
        <v/>
      </c>
      <c r="E330" s="26" t="str">
        <f aca="false">IF($M330=0,"",IF($M330&lt;0,"SORTIE","ENTREE"))</f>
        <v/>
      </c>
      <c r="F330" s="26" t="str">
        <f aca="false">IF($M330=0,"",OPERATIONS!$C30)</f>
        <v/>
      </c>
      <c r="G330" s="26" t="str">
        <f aca="false">IF($M330=0,"",OPERATIONS!$D30)</f>
        <v/>
      </c>
      <c r="H330" s="26" t="str">
        <f aca="false">IF($G330="","",IFERROR(INDEX(LOT_EXTE,MATCH($G330,LOT_KEY,0)),""))</f>
        <v/>
      </c>
      <c r="I330" s="26" t="str">
        <f aca="false">IF($M330=0,"",OPERATIONS!$F30)</f>
        <v/>
      </c>
      <c r="J330" s="26" t="str">
        <f aca="false">IF($I330="","",IFERROR(INDEX(EMPL_CLASSE,MATCH($I330,EMPL_KEY,0)),""))</f>
        <v/>
      </c>
      <c r="K330" s="26" t="str">
        <f aca="false">IF($M330=0,"",OPERATIONS!$K30)</f>
        <v/>
      </c>
      <c r="L330" s="26" t="str">
        <f aca="false">IF($G330="","",IF(IFERROR(INDEX(LOT_ETAT,MATCH($G330,LOT_KEY,0)),"")="","",INDEX(LOT_ETAT,MATCH($G330,LOT_KEY,0))))</f>
        <v/>
      </c>
      <c r="M330" s="73" t="n">
        <f aca="false">IF(OR(OPERATIONS!$O30=0,OPERATIONS!$C30="CONSOMMATION"),0,OPERATIONS!$G30)</f>
        <v>0</v>
      </c>
      <c r="N330" s="73" t="n">
        <f aca="false">IF($M330=0,0,OPERATIONS!$R30*$M330)</f>
        <v>0</v>
      </c>
      <c r="O330" s="26" t="str">
        <f aca="false">IF($M330=0,"",OPERATIONS!$Q30)</f>
        <v/>
      </c>
      <c r="P330" s="26" t="str">
        <f aca="false">IF($G330="","",IF($G330=R_LOT,COUNTIF($G$5:$G330,R_LOT),""))</f>
        <v/>
      </c>
    </row>
    <row r="331" customFormat="false" ht="15" hidden="false" customHeight="false" outlineLevel="0" collapsed="false">
      <c r="A331" s="28" t="str">
        <f aca="false">IF($M331=0,"",ROW()-4)</f>
        <v/>
      </c>
      <c r="B331" s="26" t="str">
        <f aca="false">IF($M331=0,"","OPERATIONS")</f>
        <v/>
      </c>
      <c r="C331" s="26" t="str">
        <f aca="false">IF($M331=0,"",OPERATIONS!$A31)</f>
        <v/>
      </c>
      <c r="D331" s="31" t="str">
        <f aca="false">IF($M331=0,"",OPERATIONS!$B31)</f>
        <v/>
      </c>
      <c r="E331" s="26" t="str">
        <f aca="false">IF($M331=0,"",IF($M331&lt;0,"SORTIE","ENTREE"))</f>
        <v/>
      </c>
      <c r="F331" s="26" t="str">
        <f aca="false">IF($M331=0,"",OPERATIONS!$C31)</f>
        <v/>
      </c>
      <c r="G331" s="26" t="str">
        <f aca="false">IF($M331=0,"",OPERATIONS!$D31)</f>
        <v/>
      </c>
      <c r="H331" s="26" t="str">
        <f aca="false">IF($G331="","",IFERROR(INDEX(LOT_EXTE,MATCH($G331,LOT_KEY,0)),""))</f>
        <v/>
      </c>
      <c r="I331" s="26" t="str">
        <f aca="false">IF($M331=0,"",OPERATIONS!$F31)</f>
        <v/>
      </c>
      <c r="J331" s="26" t="str">
        <f aca="false">IF($I331="","",IFERROR(INDEX(EMPL_CLASSE,MATCH($I331,EMPL_KEY,0)),""))</f>
        <v/>
      </c>
      <c r="K331" s="26" t="str">
        <f aca="false">IF($M331=0,"",OPERATIONS!$K31)</f>
        <v/>
      </c>
      <c r="L331" s="26" t="str">
        <f aca="false">IF($G331="","",IF(IFERROR(INDEX(LOT_ETAT,MATCH($G331,LOT_KEY,0)),"")="","",INDEX(LOT_ETAT,MATCH($G331,LOT_KEY,0))))</f>
        <v/>
      </c>
      <c r="M331" s="73" t="n">
        <f aca="false">IF(OR(OPERATIONS!$O31=0,OPERATIONS!$C31="CONSOMMATION"),0,OPERATIONS!$G31)</f>
        <v>0</v>
      </c>
      <c r="N331" s="73" t="n">
        <f aca="false">IF($M331=0,0,OPERATIONS!$R31*$M331)</f>
        <v>0</v>
      </c>
      <c r="O331" s="26" t="str">
        <f aca="false">IF($M331=0,"",OPERATIONS!$Q31)</f>
        <v/>
      </c>
      <c r="P331" s="26" t="str">
        <f aca="false">IF($G331="","",IF($G331=R_LOT,COUNTIF($G$5:$G331,R_LOT),""))</f>
        <v/>
      </c>
    </row>
    <row r="332" customFormat="false" ht="15" hidden="false" customHeight="false" outlineLevel="0" collapsed="false">
      <c r="A332" s="28" t="str">
        <f aca="false">IF($M332=0,"",ROW()-4)</f>
        <v/>
      </c>
      <c r="B332" s="26" t="str">
        <f aca="false">IF($M332=0,"","OPERATIONS")</f>
        <v/>
      </c>
      <c r="C332" s="26" t="str">
        <f aca="false">IF($M332=0,"",OPERATIONS!$A32)</f>
        <v/>
      </c>
      <c r="D332" s="31" t="str">
        <f aca="false">IF($M332=0,"",OPERATIONS!$B32)</f>
        <v/>
      </c>
      <c r="E332" s="26" t="str">
        <f aca="false">IF($M332=0,"",IF($M332&lt;0,"SORTIE","ENTREE"))</f>
        <v/>
      </c>
      <c r="F332" s="26" t="str">
        <f aca="false">IF($M332=0,"",OPERATIONS!$C32)</f>
        <v/>
      </c>
      <c r="G332" s="26" t="str">
        <f aca="false">IF($M332=0,"",OPERATIONS!$D32)</f>
        <v/>
      </c>
      <c r="H332" s="26" t="str">
        <f aca="false">IF($G332="","",IFERROR(INDEX(LOT_EXTE,MATCH($G332,LOT_KEY,0)),""))</f>
        <v/>
      </c>
      <c r="I332" s="26" t="str">
        <f aca="false">IF($M332=0,"",OPERATIONS!$F32)</f>
        <v/>
      </c>
      <c r="J332" s="26" t="str">
        <f aca="false">IF($I332="","",IFERROR(INDEX(EMPL_CLASSE,MATCH($I332,EMPL_KEY,0)),""))</f>
        <v/>
      </c>
      <c r="K332" s="26" t="str">
        <f aca="false">IF($M332=0,"",OPERATIONS!$K32)</f>
        <v/>
      </c>
      <c r="L332" s="26" t="str">
        <f aca="false">IF($G332="","",IF(IFERROR(INDEX(LOT_ETAT,MATCH($G332,LOT_KEY,0)),"")="","",INDEX(LOT_ETAT,MATCH($G332,LOT_KEY,0))))</f>
        <v/>
      </c>
      <c r="M332" s="73" t="n">
        <f aca="false">IF(OR(OPERATIONS!$O32=0,OPERATIONS!$C32="CONSOMMATION"),0,OPERATIONS!$G32)</f>
        <v>0</v>
      </c>
      <c r="N332" s="73" t="n">
        <f aca="false">IF($M332=0,0,OPERATIONS!$R32*$M332)</f>
        <v>0</v>
      </c>
      <c r="O332" s="26" t="str">
        <f aca="false">IF($M332=0,"",OPERATIONS!$Q32)</f>
        <v/>
      </c>
      <c r="P332" s="26" t="str">
        <f aca="false">IF($G332="","",IF($G332=R_LOT,COUNTIF($G$5:$G332,R_LOT),""))</f>
        <v/>
      </c>
    </row>
    <row r="333" customFormat="false" ht="15" hidden="false" customHeight="false" outlineLevel="0" collapsed="false">
      <c r="A333" s="28" t="str">
        <f aca="false">IF($M333=0,"",ROW()-4)</f>
        <v/>
      </c>
      <c r="B333" s="26" t="str">
        <f aca="false">IF($M333=0,"","OPERATIONS")</f>
        <v/>
      </c>
      <c r="C333" s="26" t="str">
        <f aca="false">IF($M333=0,"",OPERATIONS!$A33)</f>
        <v/>
      </c>
      <c r="D333" s="31" t="str">
        <f aca="false">IF($M333=0,"",OPERATIONS!$B33)</f>
        <v/>
      </c>
      <c r="E333" s="26" t="str">
        <f aca="false">IF($M333=0,"",IF($M333&lt;0,"SORTIE","ENTREE"))</f>
        <v/>
      </c>
      <c r="F333" s="26" t="str">
        <f aca="false">IF($M333=0,"",OPERATIONS!$C33)</f>
        <v/>
      </c>
      <c r="G333" s="26" t="str">
        <f aca="false">IF($M333=0,"",OPERATIONS!$D33)</f>
        <v/>
      </c>
      <c r="H333" s="26" t="str">
        <f aca="false">IF($G333="","",IFERROR(INDEX(LOT_EXTE,MATCH($G333,LOT_KEY,0)),""))</f>
        <v/>
      </c>
      <c r="I333" s="26" t="str">
        <f aca="false">IF($M333=0,"",OPERATIONS!$F33)</f>
        <v/>
      </c>
      <c r="J333" s="26" t="str">
        <f aca="false">IF($I333="","",IFERROR(INDEX(EMPL_CLASSE,MATCH($I333,EMPL_KEY,0)),""))</f>
        <v/>
      </c>
      <c r="K333" s="26" t="str">
        <f aca="false">IF($M333=0,"",OPERATIONS!$K33)</f>
        <v/>
      </c>
      <c r="L333" s="26" t="str">
        <f aca="false">IF($G333="","",IF(IFERROR(INDEX(LOT_ETAT,MATCH($G333,LOT_KEY,0)),"")="","",INDEX(LOT_ETAT,MATCH($G333,LOT_KEY,0))))</f>
        <v/>
      </c>
      <c r="M333" s="73" t="n">
        <f aca="false">IF(OR(OPERATIONS!$O33=0,OPERATIONS!$C33="CONSOMMATION"),0,OPERATIONS!$G33)</f>
        <v>0</v>
      </c>
      <c r="N333" s="73" t="n">
        <f aca="false">IF($M333=0,0,OPERATIONS!$R33*$M333)</f>
        <v>0</v>
      </c>
      <c r="O333" s="26" t="str">
        <f aca="false">IF($M333=0,"",OPERATIONS!$Q33)</f>
        <v/>
      </c>
      <c r="P333" s="26" t="str">
        <f aca="false">IF($G333="","",IF($G333=R_LOT,COUNTIF($G$5:$G333,R_LOT),""))</f>
        <v/>
      </c>
    </row>
    <row r="334" customFormat="false" ht="15" hidden="false" customHeight="false" outlineLevel="0" collapsed="false">
      <c r="A334" s="28" t="str">
        <f aca="false">IF($M334=0,"",ROW()-4)</f>
        <v/>
      </c>
      <c r="B334" s="26" t="str">
        <f aca="false">IF($M334=0,"","OPERATIONS")</f>
        <v/>
      </c>
      <c r="C334" s="26" t="str">
        <f aca="false">IF($M334=0,"",OPERATIONS!$A34)</f>
        <v/>
      </c>
      <c r="D334" s="31" t="str">
        <f aca="false">IF($M334=0,"",OPERATIONS!$B34)</f>
        <v/>
      </c>
      <c r="E334" s="26" t="str">
        <f aca="false">IF($M334=0,"",IF($M334&lt;0,"SORTIE","ENTREE"))</f>
        <v/>
      </c>
      <c r="F334" s="26" t="str">
        <f aca="false">IF($M334=0,"",OPERATIONS!$C34)</f>
        <v/>
      </c>
      <c r="G334" s="26" t="str">
        <f aca="false">IF($M334=0,"",OPERATIONS!$D34)</f>
        <v/>
      </c>
      <c r="H334" s="26" t="str">
        <f aca="false">IF($G334="","",IFERROR(INDEX(LOT_EXTE,MATCH($G334,LOT_KEY,0)),""))</f>
        <v/>
      </c>
      <c r="I334" s="26" t="str">
        <f aca="false">IF($M334=0,"",OPERATIONS!$F34)</f>
        <v/>
      </c>
      <c r="J334" s="26" t="str">
        <f aca="false">IF($I334="","",IFERROR(INDEX(EMPL_CLASSE,MATCH($I334,EMPL_KEY,0)),""))</f>
        <v/>
      </c>
      <c r="K334" s="26" t="str">
        <f aca="false">IF($M334=0,"",OPERATIONS!$K34)</f>
        <v/>
      </c>
      <c r="L334" s="26" t="str">
        <f aca="false">IF($G334="","",IF(IFERROR(INDEX(LOT_ETAT,MATCH($G334,LOT_KEY,0)),"")="","",INDEX(LOT_ETAT,MATCH($G334,LOT_KEY,0))))</f>
        <v/>
      </c>
      <c r="M334" s="73" t="n">
        <f aca="false">IF(OR(OPERATIONS!$O34=0,OPERATIONS!$C34="CONSOMMATION"),0,OPERATIONS!$G34)</f>
        <v>0</v>
      </c>
      <c r="N334" s="73" t="n">
        <f aca="false">IF($M334=0,0,OPERATIONS!$R34*$M334)</f>
        <v>0</v>
      </c>
      <c r="O334" s="26" t="str">
        <f aca="false">IF($M334=0,"",OPERATIONS!$Q34)</f>
        <v/>
      </c>
      <c r="P334" s="26" t="str">
        <f aca="false">IF($G334="","",IF($G334=R_LOT,COUNTIF($G$5:$G334,R_LOT),""))</f>
        <v/>
      </c>
    </row>
    <row r="335" customFormat="false" ht="15" hidden="false" customHeight="false" outlineLevel="0" collapsed="false">
      <c r="A335" s="28" t="str">
        <f aca="false">IF($M335=0,"",ROW()-4)</f>
        <v/>
      </c>
      <c r="B335" s="26" t="str">
        <f aca="false">IF($M335=0,"","OPERATIONS")</f>
        <v/>
      </c>
      <c r="C335" s="26" t="str">
        <f aca="false">IF($M335=0,"",OPERATIONS!$A35)</f>
        <v/>
      </c>
      <c r="D335" s="31" t="str">
        <f aca="false">IF($M335=0,"",OPERATIONS!$B35)</f>
        <v/>
      </c>
      <c r="E335" s="26" t="str">
        <f aca="false">IF($M335=0,"",IF($M335&lt;0,"SORTIE","ENTREE"))</f>
        <v/>
      </c>
      <c r="F335" s="26" t="str">
        <f aca="false">IF($M335=0,"",OPERATIONS!$C35)</f>
        <v/>
      </c>
      <c r="G335" s="26" t="str">
        <f aca="false">IF($M335=0,"",OPERATIONS!$D35)</f>
        <v/>
      </c>
      <c r="H335" s="26" t="str">
        <f aca="false">IF($G335="","",IFERROR(INDEX(LOT_EXTE,MATCH($G335,LOT_KEY,0)),""))</f>
        <v/>
      </c>
      <c r="I335" s="26" t="str">
        <f aca="false">IF($M335=0,"",OPERATIONS!$F35)</f>
        <v/>
      </c>
      <c r="J335" s="26" t="str">
        <f aca="false">IF($I335="","",IFERROR(INDEX(EMPL_CLASSE,MATCH($I335,EMPL_KEY,0)),""))</f>
        <v/>
      </c>
      <c r="K335" s="26" t="str">
        <f aca="false">IF($M335=0,"",OPERATIONS!$K35)</f>
        <v/>
      </c>
      <c r="L335" s="26" t="str">
        <f aca="false">IF($G335="","",IF(IFERROR(INDEX(LOT_ETAT,MATCH($G335,LOT_KEY,0)),"")="","",INDEX(LOT_ETAT,MATCH($G335,LOT_KEY,0))))</f>
        <v/>
      </c>
      <c r="M335" s="73" t="n">
        <f aca="false">IF(OR(OPERATIONS!$O35=0,OPERATIONS!$C35="CONSOMMATION"),0,OPERATIONS!$G35)</f>
        <v>0</v>
      </c>
      <c r="N335" s="73" t="n">
        <f aca="false">IF($M335=0,0,OPERATIONS!$R35*$M335)</f>
        <v>0</v>
      </c>
      <c r="O335" s="26" t="str">
        <f aca="false">IF($M335=0,"",OPERATIONS!$Q35)</f>
        <v/>
      </c>
      <c r="P335" s="26" t="str">
        <f aca="false">IF($G335="","",IF($G335=R_LOT,COUNTIF($G$5:$G335,R_LOT),""))</f>
        <v/>
      </c>
    </row>
    <row r="336" customFormat="false" ht="15" hidden="false" customHeight="false" outlineLevel="0" collapsed="false">
      <c r="A336" s="28" t="str">
        <f aca="false">IF($M336=0,"",ROW()-4)</f>
        <v/>
      </c>
      <c r="B336" s="26" t="str">
        <f aca="false">IF($M336=0,"","OPERATIONS")</f>
        <v/>
      </c>
      <c r="C336" s="26" t="str">
        <f aca="false">IF($M336=0,"",OPERATIONS!$A36)</f>
        <v/>
      </c>
      <c r="D336" s="31" t="str">
        <f aca="false">IF($M336=0,"",OPERATIONS!$B36)</f>
        <v/>
      </c>
      <c r="E336" s="26" t="str">
        <f aca="false">IF($M336=0,"",IF($M336&lt;0,"SORTIE","ENTREE"))</f>
        <v/>
      </c>
      <c r="F336" s="26" t="str">
        <f aca="false">IF($M336=0,"",OPERATIONS!$C36)</f>
        <v/>
      </c>
      <c r="G336" s="26" t="str">
        <f aca="false">IF($M336=0,"",OPERATIONS!$D36)</f>
        <v/>
      </c>
      <c r="H336" s="26" t="str">
        <f aca="false">IF($G336="","",IFERROR(INDEX(LOT_EXTE,MATCH($G336,LOT_KEY,0)),""))</f>
        <v/>
      </c>
      <c r="I336" s="26" t="str">
        <f aca="false">IF($M336=0,"",OPERATIONS!$F36)</f>
        <v/>
      </c>
      <c r="J336" s="26" t="str">
        <f aca="false">IF($I336="","",IFERROR(INDEX(EMPL_CLASSE,MATCH($I336,EMPL_KEY,0)),""))</f>
        <v/>
      </c>
      <c r="K336" s="26" t="str">
        <f aca="false">IF($M336=0,"",OPERATIONS!$K36)</f>
        <v/>
      </c>
      <c r="L336" s="26" t="str">
        <f aca="false">IF($G336="","",IF(IFERROR(INDEX(LOT_ETAT,MATCH($G336,LOT_KEY,0)),"")="","",INDEX(LOT_ETAT,MATCH($G336,LOT_KEY,0))))</f>
        <v/>
      </c>
      <c r="M336" s="73" t="n">
        <f aca="false">IF(OR(OPERATIONS!$O36=0,OPERATIONS!$C36="CONSOMMATION"),0,OPERATIONS!$G36)</f>
        <v>0</v>
      </c>
      <c r="N336" s="73" t="n">
        <f aca="false">IF($M336=0,0,OPERATIONS!$R36*$M336)</f>
        <v>0</v>
      </c>
      <c r="O336" s="26" t="str">
        <f aca="false">IF($M336=0,"",OPERATIONS!$Q36)</f>
        <v/>
      </c>
      <c r="P336" s="26" t="str">
        <f aca="false">IF($G336="","",IF($G336=R_LOT,COUNTIF($G$5:$G336,R_LOT),""))</f>
        <v/>
      </c>
    </row>
    <row r="337" customFormat="false" ht="15" hidden="false" customHeight="false" outlineLevel="0" collapsed="false">
      <c r="A337" s="28" t="str">
        <f aca="false">IF($M337=0,"",ROW()-4)</f>
        <v/>
      </c>
      <c r="B337" s="26" t="str">
        <f aca="false">IF($M337=0,"","OPERATIONS")</f>
        <v/>
      </c>
      <c r="C337" s="26" t="str">
        <f aca="false">IF($M337=0,"",OPERATIONS!$A37)</f>
        <v/>
      </c>
      <c r="D337" s="31" t="str">
        <f aca="false">IF($M337=0,"",OPERATIONS!$B37)</f>
        <v/>
      </c>
      <c r="E337" s="26" t="str">
        <f aca="false">IF($M337=0,"",IF($M337&lt;0,"SORTIE","ENTREE"))</f>
        <v/>
      </c>
      <c r="F337" s="26" t="str">
        <f aca="false">IF($M337=0,"",OPERATIONS!$C37)</f>
        <v/>
      </c>
      <c r="G337" s="26" t="str">
        <f aca="false">IF($M337=0,"",OPERATIONS!$D37)</f>
        <v/>
      </c>
      <c r="H337" s="26" t="str">
        <f aca="false">IF($G337="","",IFERROR(INDEX(LOT_EXTE,MATCH($G337,LOT_KEY,0)),""))</f>
        <v/>
      </c>
      <c r="I337" s="26" t="str">
        <f aca="false">IF($M337=0,"",OPERATIONS!$F37)</f>
        <v/>
      </c>
      <c r="J337" s="26" t="str">
        <f aca="false">IF($I337="","",IFERROR(INDEX(EMPL_CLASSE,MATCH($I337,EMPL_KEY,0)),""))</f>
        <v/>
      </c>
      <c r="K337" s="26" t="str">
        <f aca="false">IF($M337=0,"",OPERATIONS!$K37)</f>
        <v/>
      </c>
      <c r="L337" s="26" t="str">
        <f aca="false">IF($G337="","",IF(IFERROR(INDEX(LOT_ETAT,MATCH($G337,LOT_KEY,0)),"")="","",INDEX(LOT_ETAT,MATCH($G337,LOT_KEY,0))))</f>
        <v/>
      </c>
      <c r="M337" s="73" t="n">
        <f aca="false">IF(OR(OPERATIONS!$O37=0,OPERATIONS!$C37="CONSOMMATION"),0,OPERATIONS!$G37)</f>
        <v>0</v>
      </c>
      <c r="N337" s="73" t="n">
        <f aca="false">IF($M337=0,0,OPERATIONS!$R37*$M337)</f>
        <v>0</v>
      </c>
      <c r="O337" s="26" t="str">
        <f aca="false">IF($M337=0,"",OPERATIONS!$Q37)</f>
        <v/>
      </c>
      <c r="P337" s="26" t="str">
        <f aca="false">IF($G337="","",IF($G337=R_LOT,COUNTIF($G$5:$G337,R_LOT),""))</f>
        <v/>
      </c>
    </row>
    <row r="338" customFormat="false" ht="15" hidden="false" customHeight="false" outlineLevel="0" collapsed="false">
      <c r="A338" s="28" t="str">
        <f aca="false">IF($M338=0,"",ROW()-4)</f>
        <v/>
      </c>
      <c r="B338" s="26" t="str">
        <f aca="false">IF($M338=0,"","OPERATIONS")</f>
        <v/>
      </c>
      <c r="C338" s="26" t="str">
        <f aca="false">IF($M338=0,"",OPERATIONS!$A38)</f>
        <v/>
      </c>
      <c r="D338" s="31" t="str">
        <f aca="false">IF($M338=0,"",OPERATIONS!$B38)</f>
        <v/>
      </c>
      <c r="E338" s="26" t="str">
        <f aca="false">IF($M338=0,"",IF($M338&lt;0,"SORTIE","ENTREE"))</f>
        <v/>
      </c>
      <c r="F338" s="26" t="str">
        <f aca="false">IF($M338=0,"",OPERATIONS!$C38)</f>
        <v/>
      </c>
      <c r="G338" s="26" t="str">
        <f aca="false">IF($M338=0,"",OPERATIONS!$D38)</f>
        <v/>
      </c>
      <c r="H338" s="26" t="str">
        <f aca="false">IF($G338="","",IFERROR(INDEX(LOT_EXTE,MATCH($G338,LOT_KEY,0)),""))</f>
        <v/>
      </c>
      <c r="I338" s="26" t="str">
        <f aca="false">IF($M338=0,"",OPERATIONS!$F38)</f>
        <v/>
      </c>
      <c r="J338" s="26" t="str">
        <f aca="false">IF($I338="","",IFERROR(INDEX(EMPL_CLASSE,MATCH($I338,EMPL_KEY,0)),""))</f>
        <v/>
      </c>
      <c r="K338" s="26" t="str">
        <f aca="false">IF($M338=0,"",OPERATIONS!$K38)</f>
        <v/>
      </c>
      <c r="L338" s="26" t="str">
        <f aca="false">IF($G338="","",IF(IFERROR(INDEX(LOT_ETAT,MATCH($G338,LOT_KEY,0)),"")="","",INDEX(LOT_ETAT,MATCH($G338,LOT_KEY,0))))</f>
        <v/>
      </c>
      <c r="M338" s="73" t="n">
        <f aca="false">IF(OR(OPERATIONS!$O38=0,OPERATIONS!$C38="CONSOMMATION"),0,OPERATIONS!$G38)</f>
        <v>0</v>
      </c>
      <c r="N338" s="73" t="n">
        <f aca="false">IF($M338=0,0,OPERATIONS!$R38*$M338)</f>
        <v>0</v>
      </c>
      <c r="O338" s="26" t="str">
        <f aca="false">IF($M338=0,"",OPERATIONS!$Q38)</f>
        <v/>
      </c>
      <c r="P338" s="26" t="str">
        <f aca="false">IF($G338="","",IF($G338=R_LOT,COUNTIF($G$5:$G338,R_LOT),""))</f>
        <v/>
      </c>
    </row>
    <row r="339" customFormat="false" ht="15" hidden="false" customHeight="false" outlineLevel="0" collapsed="false">
      <c r="A339" s="28" t="str">
        <f aca="false">IF($M339=0,"",ROW()-4)</f>
        <v/>
      </c>
      <c r="B339" s="26" t="str">
        <f aca="false">IF($M339=0,"","OPERATIONS")</f>
        <v/>
      </c>
      <c r="C339" s="26" t="str">
        <f aca="false">IF($M339=0,"",OPERATIONS!$A39)</f>
        <v/>
      </c>
      <c r="D339" s="31" t="str">
        <f aca="false">IF($M339=0,"",OPERATIONS!$B39)</f>
        <v/>
      </c>
      <c r="E339" s="26" t="str">
        <f aca="false">IF($M339=0,"",IF($M339&lt;0,"SORTIE","ENTREE"))</f>
        <v/>
      </c>
      <c r="F339" s="26" t="str">
        <f aca="false">IF($M339=0,"",OPERATIONS!$C39)</f>
        <v/>
      </c>
      <c r="G339" s="26" t="str">
        <f aca="false">IF($M339=0,"",OPERATIONS!$D39)</f>
        <v/>
      </c>
      <c r="H339" s="26" t="str">
        <f aca="false">IF($G339="","",IFERROR(INDEX(LOT_EXTE,MATCH($G339,LOT_KEY,0)),""))</f>
        <v/>
      </c>
      <c r="I339" s="26" t="str">
        <f aca="false">IF($M339=0,"",OPERATIONS!$F39)</f>
        <v/>
      </c>
      <c r="J339" s="26" t="str">
        <f aca="false">IF($I339="","",IFERROR(INDEX(EMPL_CLASSE,MATCH($I339,EMPL_KEY,0)),""))</f>
        <v/>
      </c>
      <c r="K339" s="26" t="str">
        <f aca="false">IF($M339=0,"",OPERATIONS!$K39)</f>
        <v/>
      </c>
      <c r="L339" s="26" t="str">
        <f aca="false">IF($G339="","",IF(IFERROR(INDEX(LOT_ETAT,MATCH($G339,LOT_KEY,0)),"")="","",INDEX(LOT_ETAT,MATCH($G339,LOT_KEY,0))))</f>
        <v/>
      </c>
      <c r="M339" s="73" t="n">
        <f aca="false">IF(OR(OPERATIONS!$O39=0,OPERATIONS!$C39="CONSOMMATION"),0,OPERATIONS!$G39)</f>
        <v>0</v>
      </c>
      <c r="N339" s="73" t="n">
        <f aca="false">IF($M339=0,0,OPERATIONS!$R39*$M339)</f>
        <v>0</v>
      </c>
      <c r="O339" s="26" t="str">
        <f aca="false">IF($M339=0,"",OPERATIONS!$Q39)</f>
        <v/>
      </c>
      <c r="P339" s="26" t="str">
        <f aca="false">IF($G339="","",IF($G339=R_LOT,COUNTIF($G$5:$G339,R_LOT),""))</f>
        <v/>
      </c>
    </row>
    <row r="340" customFormat="false" ht="15" hidden="false" customHeight="false" outlineLevel="0" collapsed="false">
      <c r="A340" s="28" t="str">
        <f aca="false">IF($M340=0,"",ROW()-4)</f>
        <v/>
      </c>
      <c r="B340" s="26" t="str">
        <f aca="false">IF($M340=0,"","OPERATIONS")</f>
        <v/>
      </c>
      <c r="C340" s="26" t="str">
        <f aca="false">IF($M340=0,"",OPERATIONS!$A40)</f>
        <v/>
      </c>
      <c r="D340" s="31" t="str">
        <f aca="false">IF($M340=0,"",OPERATIONS!$B40)</f>
        <v/>
      </c>
      <c r="E340" s="26" t="str">
        <f aca="false">IF($M340=0,"",IF($M340&lt;0,"SORTIE","ENTREE"))</f>
        <v/>
      </c>
      <c r="F340" s="26" t="str">
        <f aca="false">IF($M340=0,"",OPERATIONS!$C40)</f>
        <v/>
      </c>
      <c r="G340" s="26" t="str">
        <f aca="false">IF($M340=0,"",OPERATIONS!$D40)</f>
        <v/>
      </c>
      <c r="H340" s="26" t="str">
        <f aca="false">IF($G340="","",IFERROR(INDEX(LOT_EXTE,MATCH($G340,LOT_KEY,0)),""))</f>
        <v/>
      </c>
      <c r="I340" s="26" t="str">
        <f aca="false">IF($M340=0,"",OPERATIONS!$F40)</f>
        <v/>
      </c>
      <c r="J340" s="26" t="str">
        <f aca="false">IF($I340="","",IFERROR(INDEX(EMPL_CLASSE,MATCH($I340,EMPL_KEY,0)),""))</f>
        <v/>
      </c>
      <c r="K340" s="26" t="str">
        <f aca="false">IF($M340=0,"",OPERATIONS!$K40)</f>
        <v/>
      </c>
      <c r="L340" s="26" t="str">
        <f aca="false">IF($G340="","",IF(IFERROR(INDEX(LOT_ETAT,MATCH($G340,LOT_KEY,0)),"")="","",INDEX(LOT_ETAT,MATCH($G340,LOT_KEY,0))))</f>
        <v/>
      </c>
      <c r="M340" s="73" t="n">
        <f aca="false">IF(OR(OPERATIONS!$O40=0,OPERATIONS!$C40="CONSOMMATION"),0,OPERATIONS!$G40)</f>
        <v>0</v>
      </c>
      <c r="N340" s="73" t="n">
        <f aca="false">IF($M340=0,0,OPERATIONS!$R40*$M340)</f>
        <v>0</v>
      </c>
      <c r="O340" s="26" t="str">
        <f aca="false">IF($M340=0,"",OPERATIONS!$Q40)</f>
        <v/>
      </c>
      <c r="P340" s="26" t="str">
        <f aca="false">IF($G340="","",IF($G340=R_LOT,COUNTIF($G$5:$G340,R_LOT),""))</f>
        <v/>
      </c>
    </row>
    <row r="341" customFormat="false" ht="15" hidden="false" customHeight="false" outlineLevel="0" collapsed="false">
      <c r="A341" s="28" t="str">
        <f aca="false">IF($M341=0,"",ROW()-4)</f>
        <v/>
      </c>
      <c r="B341" s="26" t="str">
        <f aca="false">IF($M341=0,"","OPERATIONS")</f>
        <v/>
      </c>
      <c r="C341" s="26" t="str">
        <f aca="false">IF($M341=0,"",OPERATIONS!$A41)</f>
        <v/>
      </c>
      <c r="D341" s="31" t="str">
        <f aca="false">IF($M341=0,"",OPERATIONS!$B41)</f>
        <v/>
      </c>
      <c r="E341" s="26" t="str">
        <f aca="false">IF($M341=0,"",IF($M341&lt;0,"SORTIE","ENTREE"))</f>
        <v/>
      </c>
      <c r="F341" s="26" t="str">
        <f aca="false">IF($M341=0,"",OPERATIONS!$C41)</f>
        <v/>
      </c>
      <c r="G341" s="26" t="str">
        <f aca="false">IF($M341=0,"",OPERATIONS!$D41)</f>
        <v/>
      </c>
      <c r="H341" s="26" t="str">
        <f aca="false">IF($G341="","",IFERROR(INDEX(LOT_EXTE,MATCH($G341,LOT_KEY,0)),""))</f>
        <v/>
      </c>
      <c r="I341" s="26" t="str">
        <f aca="false">IF($M341=0,"",OPERATIONS!$F41)</f>
        <v/>
      </c>
      <c r="J341" s="26" t="str">
        <f aca="false">IF($I341="","",IFERROR(INDEX(EMPL_CLASSE,MATCH($I341,EMPL_KEY,0)),""))</f>
        <v/>
      </c>
      <c r="K341" s="26" t="str">
        <f aca="false">IF($M341=0,"",OPERATIONS!$K41)</f>
        <v/>
      </c>
      <c r="L341" s="26" t="str">
        <f aca="false">IF($G341="","",IF(IFERROR(INDEX(LOT_ETAT,MATCH($G341,LOT_KEY,0)),"")="","",INDEX(LOT_ETAT,MATCH($G341,LOT_KEY,0))))</f>
        <v/>
      </c>
      <c r="M341" s="73" t="n">
        <f aca="false">IF(OR(OPERATIONS!$O41=0,OPERATIONS!$C41="CONSOMMATION"),0,OPERATIONS!$G41)</f>
        <v>0</v>
      </c>
      <c r="N341" s="73" t="n">
        <f aca="false">IF($M341=0,0,OPERATIONS!$R41*$M341)</f>
        <v>0</v>
      </c>
      <c r="O341" s="26" t="str">
        <f aca="false">IF($M341=0,"",OPERATIONS!$Q41)</f>
        <v/>
      </c>
      <c r="P341" s="26" t="str">
        <f aca="false">IF($G341="","",IF($G341=R_LOT,COUNTIF($G$5:$G341,R_LOT),""))</f>
        <v/>
      </c>
    </row>
    <row r="342" customFormat="false" ht="15" hidden="false" customHeight="false" outlineLevel="0" collapsed="false">
      <c r="A342" s="28" t="str">
        <f aca="false">IF($M342=0,"",ROW()-4)</f>
        <v/>
      </c>
      <c r="B342" s="26" t="str">
        <f aca="false">IF($M342=0,"","OPERATIONS")</f>
        <v/>
      </c>
      <c r="C342" s="26" t="str">
        <f aca="false">IF($M342=0,"",OPERATIONS!$A42)</f>
        <v/>
      </c>
      <c r="D342" s="31" t="str">
        <f aca="false">IF($M342=0,"",OPERATIONS!$B42)</f>
        <v/>
      </c>
      <c r="E342" s="26" t="str">
        <f aca="false">IF($M342=0,"",IF($M342&lt;0,"SORTIE","ENTREE"))</f>
        <v/>
      </c>
      <c r="F342" s="26" t="str">
        <f aca="false">IF($M342=0,"",OPERATIONS!$C42)</f>
        <v/>
      </c>
      <c r="G342" s="26" t="str">
        <f aca="false">IF($M342=0,"",OPERATIONS!$D42)</f>
        <v/>
      </c>
      <c r="H342" s="26" t="str">
        <f aca="false">IF($G342="","",IFERROR(INDEX(LOT_EXTE,MATCH($G342,LOT_KEY,0)),""))</f>
        <v/>
      </c>
      <c r="I342" s="26" t="str">
        <f aca="false">IF($M342=0,"",OPERATIONS!$F42)</f>
        <v/>
      </c>
      <c r="J342" s="26" t="str">
        <f aca="false">IF($I342="","",IFERROR(INDEX(EMPL_CLASSE,MATCH($I342,EMPL_KEY,0)),""))</f>
        <v/>
      </c>
      <c r="K342" s="26" t="str">
        <f aca="false">IF($M342=0,"",OPERATIONS!$K42)</f>
        <v/>
      </c>
      <c r="L342" s="26" t="str">
        <f aca="false">IF($G342="","",IF(IFERROR(INDEX(LOT_ETAT,MATCH($G342,LOT_KEY,0)),"")="","",INDEX(LOT_ETAT,MATCH($G342,LOT_KEY,0))))</f>
        <v/>
      </c>
      <c r="M342" s="73" t="n">
        <f aca="false">IF(OR(OPERATIONS!$O42=0,OPERATIONS!$C42="CONSOMMATION"),0,OPERATIONS!$G42)</f>
        <v>0</v>
      </c>
      <c r="N342" s="73" t="n">
        <f aca="false">IF($M342=0,0,OPERATIONS!$R42*$M342)</f>
        <v>0</v>
      </c>
      <c r="O342" s="26" t="str">
        <f aca="false">IF($M342=0,"",OPERATIONS!$Q42)</f>
        <v/>
      </c>
      <c r="P342" s="26" t="str">
        <f aca="false">IF($G342="","",IF($G342=R_LOT,COUNTIF($G$5:$G342,R_LOT),""))</f>
        <v/>
      </c>
    </row>
    <row r="343" customFormat="false" ht="15" hidden="false" customHeight="false" outlineLevel="0" collapsed="false">
      <c r="A343" s="28" t="str">
        <f aca="false">IF($M343=0,"",ROW()-4)</f>
        <v/>
      </c>
      <c r="B343" s="26" t="str">
        <f aca="false">IF($M343=0,"","OPERATIONS")</f>
        <v/>
      </c>
      <c r="C343" s="26" t="str">
        <f aca="false">IF($M343=0,"",OPERATIONS!$A43)</f>
        <v/>
      </c>
      <c r="D343" s="31" t="str">
        <f aca="false">IF($M343=0,"",OPERATIONS!$B43)</f>
        <v/>
      </c>
      <c r="E343" s="26" t="str">
        <f aca="false">IF($M343=0,"",IF($M343&lt;0,"SORTIE","ENTREE"))</f>
        <v/>
      </c>
      <c r="F343" s="26" t="str">
        <f aca="false">IF($M343=0,"",OPERATIONS!$C43)</f>
        <v/>
      </c>
      <c r="G343" s="26" t="str">
        <f aca="false">IF($M343=0,"",OPERATIONS!$D43)</f>
        <v/>
      </c>
      <c r="H343" s="26" t="str">
        <f aca="false">IF($G343="","",IFERROR(INDEX(LOT_EXTE,MATCH($G343,LOT_KEY,0)),""))</f>
        <v/>
      </c>
      <c r="I343" s="26" t="str">
        <f aca="false">IF($M343=0,"",OPERATIONS!$F43)</f>
        <v/>
      </c>
      <c r="J343" s="26" t="str">
        <f aca="false">IF($I343="","",IFERROR(INDEX(EMPL_CLASSE,MATCH($I343,EMPL_KEY,0)),""))</f>
        <v/>
      </c>
      <c r="K343" s="26" t="str">
        <f aca="false">IF($M343=0,"",OPERATIONS!$K43)</f>
        <v/>
      </c>
      <c r="L343" s="26" t="str">
        <f aca="false">IF($G343="","",IF(IFERROR(INDEX(LOT_ETAT,MATCH($G343,LOT_KEY,0)),"")="","",INDEX(LOT_ETAT,MATCH($G343,LOT_KEY,0))))</f>
        <v/>
      </c>
      <c r="M343" s="73" t="n">
        <f aca="false">IF(OR(OPERATIONS!$O43=0,OPERATIONS!$C43="CONSOMMATION"),0,OPERATIONS!$G43)</f>
        <v>0</v>
      </c>
      <c r="N343" s="73" t="n">
        <f aca="false">IF($M343=0,0,OPERATIONS!$R43*$M343)</f>
        <v>0</v>
      </c>
      <c r="O343" s="26" t="str">
        <f aca="false">IF($M343=0,"",OPERATIONS!$Q43)</f>
        <v/>
      </c>
      <c r="P343" s="26" t="str">
        <f aca="false">IF($G343="","",IF($G343=R_LOT,COUNTIF($G$5:$G343,R_LOT),""))</f>
        <v/>
      </c>
    </row>
    <row r="344" customFormat="false" ht="15" hidden="false" customHeight="false" outlineLevel="0" collapsed="false">
      <c r="A344" s="28" t="str">
        <f aca="false">IF($M344=0,"",ROW()-4)</f>
        <v/>
      </c>
      <c r="B344" s="26" t="str">
        <f aca="false">IF($M344=0,"","OPERATIONS")</f>
        <v/>
      </c>
      <c r="C344" s="26" t="str">
        <f aca="false">IF($M344=0,"",OPERATIONS!$A44)</f>
        <v/>
      </c>
      <c r="D344" s="31" t="str">
        <f aca="false">IF($M344=0,"",OPERATIONS!$B44)</f>
        <v/>
      </c>
      <c r="E344" s="26" t="str">
        <f aca="false">IF($M344=0,"",IF($M344&lt;0,"SORTIE","ENTREE"))</f>
        <v/>
      </c>
      <c r="F344" s="26" t="str">
        <f aca="false">IF($M344=0,"",OPERATIONS!$C44)</f>
        <v/>
      </c>
      <c r="G344" s="26" t="str">
        <f aca="false">IF($M344=0,"",OPERATIONS!$D44)</f>
        <v/>
      </c>
      <c r="H344" s="26" t="str">
        <f aca="false">IF($G344="","",IFERROR(INDEX(LOT_EXTE,MATCH($G344,LOT_KEY,0)),""))</f>
        <v/>
      </c>
      <c r="I344" s="26" t="str">
        <f aca="false">IF($M344=0,"",OPERATIONS!$F44)</f>
        <v/>
      </c>
      <c r="J344" s="26" t="str">
        <f aca="false">IF($I344="","",IFERROR(INDEX(EMPL_CLASSE,MATCH($I344,EMPL_KEY,0)),""))</f>
        <v/>
      </c>
      <c r="K344" s="26" t="str">
        <f aca="false">IF($M344=0,"",OPERATIONS!$K44)</f>
        <v/>
      </c>
      <c r="L344" s="26" t="str">
        <f aca="false">IF($G344="","",IF(IFERROR(INDEX(LOT_ETAT,MATCH($G344,LOT_KEY,0)),"")="","",INDEX(LOT_ETAT,MATCH($G344,LOT_KEY,0))))</f>
        <v/>
      </c>
      <c r="M344" s="73" t="n">
        <f aca="false">IF(OR(OPERATIONS!$O44=0,OPERATIONS!$C44="CONSOMMATION"),0,OPERATIONS!$G44)</f>
        <v>0</v>
      </c>
      <c r="N344" s="73" t="n">
        <f aca="false">IF($M344=0,0,OPERATIONS!$R44*$M344)</f>
        <v>0</v>
      </c>
      <c r="O344" s="26" t="str">
        <f aca="false">IF($M344=0,"",OPERATIONS!$Q44)</f>
        <v/>
      </c>
      <c r="P344" s="26" t="str">
        <f aca="false">IF($G344="","",IF($G344=R_LOT,COUNTIF($G$5:$G344,R_LOT),""))</f>
        <v/>
      </c>
    </row>
    <row r="345" customFormat="false" ht="15" hidden="false" customHeight="false" outlineLevel="0" collapsed="false">
      <c r="A345" s="28" t="str">
        <f aca="false">IF($M345=0,"",ROW()-4)</f>
        <v/>
      </c>
      <c r="B345" s="26" t="str">
        <f aca="false">IF($M345=0,"","OPERATIONS")</f>
        <v/>
      </c>
      <c r="C345" s="26" t="str">
        <f aca="false">IF($M345=0,"",OPERATIONS!$A45)</f>
        <v/>
      </c>
      <c r="D345" s="31" t="str">
        <f aca="false">IF($M345=0,"",OPERATIONS!$B45)</f>
        <v/>
      </c>
      <c r="E345" s="26" t="str">
        <f aca="false">IF($M345=0,"",IF($M345&lt;0,"SORTIE","ENTREE"))</f>
        <v/>
      </c>
      <c r="F345" s="26" t="str">
        <f aca="false">IF($M345=0,"",OPERATIONS!$C45)</f>
        <v/>
      </c>
      <c r="G345" s="26" t="str">
        <f aca="false">IF($M345=0,"",OPERATIONS!$D45)</f>
        <v/>
      </c>
      <c r="H345" s="26" t="str">
        <f aca="false">IF($G345="","",IFERROR(INDEX(LOT_EXTE,MATCH($G345,LOT_KEY,0)),""))</f>
        <v/>
      </c>
      <c r="I345" s="26" t="str">
        <f aca="false">IF($M345=0,"",OPERATIONS!$F45)</f>
        <v/>
      </c>
      <c r="J345" s="26" t="str">
        <f aca="false">IF($I345="","",IFERROR(INDEX(EMPL_CLASSE,MATCH($I345,EMPL_KEY,0)),""))</f>
        <v/>
      </c>
      <c r="K345" s="26" t="str">
        <f aca="false">IF($M345=0,"",OPERATIONS!$K45)</f>
        <v/>
      </c>
      <c r="L345" s="26" t="str">
        <f aca="false">IF($G345="","",IF(IFERROR(INDEX(LOT_ETAT,MATCH($G345,LOT_KEY,0)),"")="","",INDEX(LOT_ETAT,MATCH($G345,LOT_KEY,0))))</f>
        <v/>
      </c>
      <c r="M345" s="73" t="n">
        <f aca="false">IF(OR(OPERATIONS!$O45=0,OPERATIONS!$C45="CONSOMMATION"),0,OPERATIONS!$G45)</f>
        <v>0</v>
      </c>
      <c r="N345" s="73" t="n">
        <f aca="false">IF($M345=0,0,OPERATIONS!$R45*$M345)</f>
        <v>0</v>
      </c>
      <c r="O345" s="26" t="str">
        <f aca="false">IF($M345=0,"",OPERATIONS!$Q45)</f>
        <v/>
      </c>
      <c r="P345" s="26" t="str">
        <f aca="false">IF($G345="","",IF($G345=R_LOT,COUNTIF($G$5:$G345,R_LOT),""))</f>
        <v/>
      </c>
    </row>
    <row r="346" customFormat="false" ht="15" hidden="false" customHeight="false" outlineLevel="0" collapsed="false">
      <c r="A346" s="28" t="str">
        <f aca="false">IF($M346=0,"",ROW()-4)</f>
        <v/>
      </c>
      <c r="B346" s="26" t="str">
        <f aca="false">IF($M346=0,"","OPERATIONS")</f>
        <v/>
      </c>
      <c r="C346" s="26" t="str">
        <f aca="false">IF($M346=0,"",OPERATIONS!$A46)</f>
        <v/>
      </c>
      <c r="D346" s="31" t="str">
        <f aca="false">IF($M346=0,"",OPERATIONS!$B46)</f>
        <v/>
      </c>
      <c r="E346" s="26" t="str">
        <f aca="false">IF($M346=0,"",IF($M346&lt;0,"SORTIE","ENTREE"))</f>
        <v/>
      </c>
      <c r="F346" s="26" t="str">
        <f aca="false">IF($M346=0,"",OPERATIONS!$C46)</f>
        <v/>
      </c>
      <c r="G346" s="26" t="str">
        <f aca="false">IF($M346=0,"",OPERATIONS!$D46)</f>
        <v/>
      </c>
      <c r="H346" s="26" t="str">
        <f aca="false">IF($G346="","",IFERROR(INDEX(LOT_EXTE,MATCH($G346,LOT_KEY,0)),""))</f>
        <v/>
      </c>
      <c r="I346" s="26" t="str">
        <f aca="false">IF($M346=0,"",OPERATIONS!$F46)</f>
        <v/>
      </c>
      <c r="J346" s="26" t="str">
        <f aca="false">IF($I346="","",IFERROR(INDEX(EMPL_CLASSE,MATCH($I346,EMPL_KEY,0)),""))</f>
        <v/>
      </c>
      <c r="K346" s="26" t="str">
        <f aca="false">IF($M346=0,"",OPERATIONS!$K46)</f>
        <v/>
      </c>
      <c r="L346" s="26" t="str">
        <f aca="false">IF($G346="","",IF(IFERROR(INDEX(LOT_ETAT,MATCH($G346,LOT_KEY,0)),"")="","",INDEX(LOT_ETAT,MATCH($G346,LOT_KEY,0))))</f>
        <v/>
      </c>
      <c r="M346" s="73" t="n">
        <f aca="false">IF(OR(OPERATIONS!$O46=0,OPERATIONS!$C46="CONSOMMATION"),0,OPERATIONS!$G46)</f>
        <v>0</v>
      </c>
      <c r="N346" s="73" t="n">
        <f aca="false">IF($M346=0,0,OPERATIONS!$R46*$M346)</f>
        <v>0</v>
      </c>
      <c r="O346" s="26" t="str">
        <f aca="false">IF($M346=0,"",OPERATIONS!$Q46)</f>
        <v/>
      </c>
      <c r="P346" s="26" t="str">
        <f aca="false">IF($G346="","",IF($G346=R_LOT,COUNTIF($G$5:$G346,R_LOT),""))</f>
        <v/>
      </c>
    </row>
    <row r="347" customFormat="false" ht="15" hidden="false" customHeight="false" outlineLevel="0" collapsed="false">
      <c r="A347" s="28" t="str">
        <f aca="false">IF($M347=0,"",ROW()-4)</f>
        <v/>
      </c>
      <c r="B347" s="26" t="str">
        <f aca="false">IF($M347=0,"","OPERATIONS")</f>
        <v/>
      </c>
      <c r="C347" s="26" t="str">
        <f aca="false">IF($M347=0,"",OPERATIONS!$A47)</f>
        <v/>
      </c>
      <c r="D347" s="31" t="str">
        <f aca="false">IF($M347=0,"",OPERATIONS!$B47)</f>
        <v/>
      </c>
      <c r="E347" s="26" t="str">
        <f aca="false">IF($M347=0,"",IF($M347&lt;0,"SORTIE","ENTREE"))</f>
        <v/>
      </c>
      <c r="F347" s="26" t="str">
        <f aca="false">IF($M347=0,"",OPERATIONS!$C47)</f>
        <v/>
      </c>
      <c r="G347" s="26" t="str">
        <f aca="false">IF($M347=0,"",OPERATIONS!$D47)</f>
        <v/>
      </c>
      <c r="H347" s="26" t="str">
        <f aca="false">IF($G347="","",IFERROR(INDEX(LOT_EXTE,MATCH($G347,LOT_KEY,0)),""))</f>
        <v/>
      </c>
      <c r="I347" s="26" t="str">
        <f aca="false">IF($M347=0,"",OPERATIONS!$F47)</f>
        <v/>
      </c>
      <c r="J347" s="26" t="str">
        <f aca="false">IF($I347="","",IFERROR(INDEX(EMPL_CLASSE,MATCH($I347,EMPL_KEY,0)),""))</f>
        <v/>
      </c>
      <c r="K347" s="26" t="str">
        <f aca="false">IF($M347=0,"",OPERATIONS!$K47)</f>
        <v/>
      </c>
      <c r="L347" s="26" t="str">
        <f aca="false">IF($G347="","",IF(IFERROR(INDEX(LOT_ETAT,MATCH($G347,LOT_KEY,0)),"")="","",INDEX(LOT_ETAT,MATCH($G347,LOT_KEY,0))))</f>
        <v/>
      </c>
      <c r="M347" s="73" t="n">
        <f aca="false">IF(OR(OPERATIONS!$O47=0,OPERATIONS!$C47="CONSOMMATION"),0,OPERATIONS!$G47)</f>
        <v>0</v>
      </c>
      <c r="N347" s="73" t="n">
        <f aca="false">IF($M347=0,0,OPERATIONS!$R47*$M347)</f>
        <v>0</v>
      </c>
      <c r="O347" s="26" t="str">
        <f aca="false">IF($M347=0,"",OPERATIONS!$Q47)</f>
        <v/>
      </c>
      <c r="P347" s="26" t="str">
        <f aca="false">IF($G347="","",IF($G347=R_LOT,COUNTIF($G$5:$G347,R_LOT),""))</f>
        <v/>
      </c>
    </row>
    <row r="348" customFormat="false" ht="15" hidden="false" customHeight="false" outlineLevel="0" collapsed="false">
      <c r="A348" s="28" t="str">
        <f aca="false">IF($M348=0,"",ROW()-4)</f>
        <v/>
      </c>
      <c r="B348" s="26" t="str">
        <f aca="false">IF($M348=0,"","OPERATIONS")</f>
        <v/>
      </c>
      <c r="C348" s="26" t="str">
        <f aca="false">IF($M348=0,"",OPERATIONS!$A48)</f>
        <v/>
      </c>
      <c r="D348" s="31" t="str">
        <f aca="false">IF($M348=0,"",OPERATIONS!$B48)</f>
        <v/>
      </c>
      <c r="E348" s="26" t="str">
        <f aca="false">IF($M348=0,"",IF($M348&lt;0,"SORTIE","ENTREE"))</f>
        <v/>
      </c>
      <c r="F348" s="26" t="str">
        <f aca="false">IF($M348=0,"",OPERATIONS!$C48)</f>
        <v/>
      </c>
      <c r="G348" s="26" t="str">
        <f aca="false">IF($M348=0,"",OPERATIONS!$D48)</f>
        <v/>
      </c>
      <c r="H348" s="26" t="str">
        <f aca="false">IF($G348="","",IFERROR(INDEX(LOT_EXTE,MATCH($G348,LOT_KEY,0)),""))</f>
        <v/>
      </c>
      <c r="I348" s="26" t="str">
        <f aca="false">IF($M348=0,"",OPERATIONS!$F48)</f>
        <v/>
      </c>
      <c r="J348" s="26" t="str">
        <f aca="false">IF($I348="","",IFERROR(INDEX(EMPL_CLASSE,MATCH($I348,EMPL_KEY,0)),""))</f>
        <v/>
      </c>
      <c r="K348" s="26" t="str">
        <f aca="false">IF($M348=0,"",OPERATIONS!$K48)</f>
        <v/>
      </c>
      <c r="L348" s="26" t="str">
        <f aca="false">IF($G348="","",IF(IFERROR(INDEX(LOT_ETAT,MATCH($G348,LOT_KEY,0)),"")="","",INDEX(LOT_ETAT,MATCH($G348,LOT_KEY,0))))</f>
        <v/>
      </c>
      <c r="M348" s="73" t="n">
        <f aca="false">IF(OR(OPERATIONS!$O48=0,OPERATIONS!$C48="CONSOMMATION"),0,OPERATIONS!$G48)</f>
        <v>0</v>
      </c>
      <c r="N348" s="73" t="n">
        <f aca="false">IF($M348=0,0,OPERATIONS!$R48*$M348)</f>
        <v>0</v>
      </c>
      <c r="O348" s="26" t="str">
        <f aca="false">IF($M348=0,"",OPERATIONS!$Q48)</f>
        <v/>
      </c>
      <c r="P348" s="26" t="str">
        <f aca="false">IF($G348="","",IF($G348=R_LOT,COUNTIF($G$5:$G348,R_LOT),""))</f>
        <v/>
      </c>
    </row>
    <row r="349" customFormat="false" ht="15" hidden="false" customHeight="false" outlineLevel="0" collapsed="false">
      <c r="A349" s="28" t="str">
        <f aca="false">IF($M349=0,"",ROW()-4)</f>
        <v/>
      </c>
      <c r="B349" s="26" t="str">
        <f aca="false">IF($M349=0,"","OPERATIONS")</f>
        <v/>
      </c>
      <c r="C349" s="26" t="str">
        <f aca="false">IF($M349=0,"",OPERATIONS!$A49)</f>
        <v/>
      </c>
      <c r="D349" s="31" t="str">
        <f aca="false">IF($M349=0,"",OPERATIONS!$B49)</f>
        <v/>
      </c>
      <c r="E349" s="26" t="str">
        <f aca="false">IF($M349=0,"",IF($M349&lt;0,"SORTIE","ENTREE"))</f>
        <v/>
      </c>
      <c r="F349" s="26" t="str">
        <f aca="false">IF($M349=0,"",OPERATIONS!$C49)</f>
        <v/>
      </c>
      <c r="G349" s="26" t="str">
        <f aca="false">IF($M349=0,"",OPERATIONS!$D49)</f>
        <v/>
      </c>
      <c r="H349" s="26" t="str">
        <f aca="false">IF($G349="","",IFERROR(INDEX(LOT_EXTE,MATCH($G349,LOT_KEY,0)),""))</f>
        <v/>
      </c>
      <c r="I349" s="26" t="str">
        <f aca="false">IF($M349=0,"",OPERATIONS!$F49)</f>
        <v/>
      </c>
      <c r="J349" s="26" t="str">
        <f aca="false">IF($I349="","",IFERROR(INDEX(EMPL_CLASSE,MATCH($I349,EMPL_KEY,0)),""))</f>
        <v/>
      </c>
      <c r="K349" s="26" t="str">
        <f aca="false">IF($M349=0,"",OPERATIONS!$K49)</f>
        <v/>
      </c>
      <c r="L349" s="26" t="str">
        <f aca="false">IF($G349="","",IF(IFERROR(INDEX(LOT_ETAT,MATCH($G349,LOT_KEY,0)),"")="","",INDEX(LOT_ETAT,MATCH($G349,LOT_KEY,0))))</f>
        <v/>
      </c>
      <c r="M349" s="73" t="n">
        <f aca="false">IF(OR(OPERATIONS!$O49=0,OPERATIONS!$C49="CONSOMMATION"),0,OPERATIONS!$G49)</f>
        <v>0</v>
      </c>
      <c r="N349" s="73" t="n">
        <f aca="false">IF($M349=0,0,OPERATIONS!$R49*$M349)</f>
        <v>0</v>
      </c>
      <c r="O349" s="26" t="str">
        <f aca="false">IF($M349=0,"",OPERATIONS!$Q49)</f>
        <v/>
      </c>
      <c r="P349" s="26" t="str">
        <f aca="false">IF($G349="","",IF($G349=R_LOT,COUNTIF($G$5:$G349,R_LOT),""))</f>
        <v/>
      </c>
    </row>
    <row r="350" customFormat="false" ht="15" hidden="false" customHeight="false" outlineLevel="0" collapsed="false">
      <c r="A350" s="28" t="str">
        <f aca="false">IF($M350=0,"",ROW()-4)</f>
        <v/>
      </c>
      <c r="B350" s="26" t="str">
        <f aca="false">IF($M350=0,"","OPERATIONS")</f>
        <v/>
      </c>
      <c r="C350" s="26" t="str">
        <f aca="false">IF($M350=0,"",OPERATIONS!$A50)</f>
        <v/>
      </c>
      <c r="D350" s="31" t="str">
        <f aca="false">IF($M350=0,"",OPERATIONS!$B50)</f>
        <v/>
      </c>
      <c r="E350" s="26" t="str">
        <f aca="false">IF($M350=0,"",IF($M350&lt;0,"SORTIE","ENTREE"))</f>
        <v/>
      </c>
      <c r="F350" s="26" t="str">
        <f aca="false">IF($M350=0,"",OPERATIONS!$C50)</f>
        <v/>
      </c>
      <c r="G350" s="26" t="str">
        <f aca="false">IF($M350=0,"",OPERATIONS!$D50)</f>
        <v/>
      </c>
      <c r="H350" s="26" t="str">
        <f aca="false">IF($G350="","",IFERROR(INDEX(LOT_EXTE,MATCH($G350,LOT_KEY,0)),""))</f>
        <v/>
      </c>
      <c r="I350" s="26" t="str">
        <f aca="false">IF($M350=0,"",OPERATIONS!$F50)</f>
        <v/>
      </c>
      <c r="J350" s="26" t="str">
        <f aca="false">IF($I350="","",IFERROR(INDEX(EMPL_CLASSE,MATCH($I350,EMPL_KEY,0)),""))</f>
        <v/>
      </c>
      <c r="K350" s="26" t="str">
        <f aca="false">IF($M350=0,"",OPERATIONS!$K50)</f>
        <v/>
      </c>
      <c r="L350" s="26" t="str">
        <f aca="false">IF($G350="","",IF(IFERROR(INDEX(LOT_ETAT,MATCH($G350,LOT_KEY,0)),"")="","",INDEX(LOT_ETAT,MATCH($G350,LOT_KEY,0))))</f>
        <v/>
      </c>
      <c r="M350" s="73" t="n">
        <f aca="false">IF(OR(OPERATIONS!$O50=0,OPERATIONS!$C50="CONSOMMATION"),0,OPERATIONS!$G50)</f>
        <v>0</v>
      </c>
      <c r="N350" s="73" t="n">
        <f aca="false">IF($M350=0,0,OPERATIONS!$R50*$M350)</f>
        <v>0</v>
      </c>
      <c r="O350" s="26" t="str">
        <f aca="false">IF($M350=0,"",OPERATIONS!$Q50)</f>
        <v/>
      </c>
      <c r="P350" s="26" t="str">
        <f aca="false">IF($G350="","",IF($G350=R_LOT,COUNTIF($G$5:$G350,R_LOT),""))</f>
        <v/>
      </c>
    </row>
    <row r="351" customFormat="false" ht="15" hidden="false" customHeight="false" outlineLevel="0" collapsed="false">
      <c r="A351" s="28" t="str">
        <f aca="false">IF($M351=0,"",ROW()-4)</f>
        <v/>
      </c>
      <c r="B351" s="26" t="str">
        <f aca="false">IF($M351=0,"","OPERATIONS")</f>
        <v/>
      </c>
      <c r="C351" s="26" t="str">
        <f aca="false">IF($M351=0,"",OPERATIONS!$A51)</f>
        <v/>
      </c>
      <c r="D351" s="31" t="str">
        <f aca="false">IF($M351=0,"",OPERATIONS!$B51)</f>
        <v/>
      </c>
      <c r="E351" s="26" t="str">
        <f aca="false">IF($M351=0,"",IF($M351&lt;0,"SORTIE","ENTREE"))</f>
        <v/>
      </c>
      <c r="F351" s="26" t="str">
        <f aca="false">IF($M351=0,"",OPERATIONS!$C51)</f>
        <v/>
      </c>
      <c r="G351" s="26" t="str">
        <f aca="false">IF($M351=0,"",OPERATIONS!$D51)</f>
        <v/>
      </c>
      <c r="H351" s="26" t="str">
        <f aca="false">IF($G351="","",IFERROR(INDEX(LOT_EXTE,MATCH($G351,LOT_KEY,0)),""))</f>
        <v/>
      </c>
      <c r="I351" s="26" t="str">
        <f aca="false">IF($M351=0,"",OPERATIONS!$F51)</f>
        <v/>
      </c>
      <c r="J351" s="26" t="str">
        <f aca="false">IF($I351="","",IFERROR(INDEX(EMPL_CLASSE,MATCH($I351,EMPL_KEY,0)),""))</f>
        <v/>
      </c>
      <c r="K351" s="26" t="str">
        <f aca="false">IF($M351=0,"",OPERATIONS!$K51)</f>
        <v/>
      </c>
      <c r="L351" s="26" t="str">
        <f aca="false">IF($G351="","",IF(IFERROR(INDEX(LOT_ETAT,MATCH($G351,LOT_KEY,0)),"")="","",INDEX(LOT_ETAT,MATCH($G351,LOT_KEY,0))))</f>
        <v/>
      </c>
      <c r="M351" s="73" t="n">
        <f aca="false">IF(OR(OPERATIONS!$O51=0,OPERATIONS!$C51="CONSOMMATION"),0,OPERATIONS!$G51)</f>
        <v>0</v>
      </c>
      <c r="N351" s="73" t="n">
        <f aca="false">IF($M351=0,0,OPERATIONS!$R51*$M351)</f>
        <v>0</v>
      </c>
      <c r="O351" s="26" t="str">
        <f aca="false">IF($M351=0,"",OPERATIONS!$Q51)</f>
        <v/>
      </c>
      <c r="P351" s="26" t="str">
        <f aca="false">IF($G351="","",IF($G351=R_LOT,COUNTIF($G$5:$G351,R_LOT),""))</f>
        <v/>
      </c>
    </row>
    <row r="352" customFormat="false" ht="15" hidden="false" customHeight="false" outlineLevel="0" collapsed="false">
      <c r="A352" s="28" t="str">
        <f aca="false">IF($M352=0,"",ROW()-4)</f>
        <v/>
      </c>
      <c r="B352" s="26" t="str">
        <f aca="false">IF($M352=0,"","OPERATIONS")</f>
        <v/>
      </c>
      <c r="C352" s="26" t="str">
        <f aca="false">IF($M352=0,"",OPERATIONS!$A52)</f>
        <v/>
      </c>
      <c r="D352" s="31" t="str">
        <f aca="false">IF($M352=0,"",OPERATIONS!$B52)</f>
        <v/>
      </c>
      <c r="E352" s="26" t="str">
        <f aca="false">IF($M352=0,"",IF($M352&lt;0,"SORTIE","ENTREE"))</f>
        <v/>
      </c>
      <c r="F352" s="26" t="str">
        <f aca="false">IF($M352=0,"",OPERATIONS!$C52)</f>
        <v/>
      </c>
      <c r="G352" s="26" t="str">
        <f aca="false">IF($M352=0,"",OPERATIONS!$D52)</f>
        <v/>
      </c>
      <c r="H352" s="26" t="str">
        <f aca="false">IF($G352="","",IFERROR(INDEX(LOT_EXTE,MATCH($G352,LOT_KEY,0)),""))</f>
        <v/>
      </c>
      <c r="I352" s="26" t="str">
        <f aca="false">IF($M352=0,"",OPERATIONS!$F52)</f>
        <v/>
      </c>
      <c r="J352" s="26" t="str">
        <f aca="false">IF($I352="","",IFERROR(INDEX(EMPL_CLASSE,MATCH($I352,EMPL_KEY,0)),""))</f>
        <v/>
      </c>
      <c r="K352" s="26" t="str">
        <f aca="false">IF($M352=0,"",OPERATIONS!$K52)</f>
        <v/>
      </c>
      <c r="L352" s="26" t="str">
        <f aca="false">IF($G352="","",IF(IFERROR(INDEX(LOT_ETAT,MATCH($G352,LOT_KEY,0)),"")="","",INDEX(LOT_ETAT,MATCH($G352,LOT_KEY,0))))</f>
        <v/>
      </c>
      <c r="M352" s="73" t="n">
        <f aca="false">IF(OR(OPERATIONS!$O52=0,OPERATIONS!$C52="CONSOMMATION"),0,OPERATIONS!$G52)</f>
        <v>0</v>
      </c>
      <c r="N352" s="73" t="n">
        <f aca="false">IF($M352=0,0,OPERATIONS!$R52*$M352)</f>
        <v>0</v>
      </c>
      <c r="O352" s="26" t="str">
        <f aca="false">IF($M352=0,"",OPERATIONS!$Q52)</f>
        <v/>
      </c>
      <c r="P352" s="26" t="str">
        <f aca="false">IF($G352="","",IF($G352=R_LOT,COUNTIF($G$5:$G352,R_LOT),""))</f>
        <v/>
      </c>
    </row>
    <row r="353" customFormat="false" ht="15" hidden="false" customHeight="false" outlineLevel="0" collapsed="false">
      <c r="A353" s="28" t="str">
        <f aca="false">IF($M353=0,"",ROW()-4)</f>
        <v/>
      </c>
      <c r="B353" s="26" t="str">
        <f aca="false">IF($M353=0,"","OPERATIONS")</f>
        <v/>
      </c>
      <c r="C353" s="26" t="str">
        <f aca="false">IF($M353=0,"",OPERATIONS!$A53)</f>
        <v/>
      </c>
      <c r="D353" s="31" t="str">
        <f aca="false">IF($M353=0,"",OPERATIONS!$B53)</f>
        <v/>
      </c>
      <c r="E353" s="26" t="str">
        <f aca="false">IF($M353=0,"",IF($M353&lt;0,"SORTIE","ENTREE"))</f>
        <v/>
      </c>
      <c r="F353" s="26" t="str">
        <f aca="false">IF($M353=0,"",OPERATIONS!$C53)</f>
        <v/>
      </c>
      <c r="G353" s="26" t="str">
        <f aca="false">IF($M353=0,"",OPERATIONS!$D53)</f>
        <v/>
      </c>
      <c r="H353" s="26" t="str">
        <f aca="false">IF($G353="","",IFERROR(INDEX(LOT_EXTE,MATCH($G353,LOT_KEY,0)),""))</f>
        <v/>
      </c>
      <c r="I353" s="26" t="str">
        <f aca="false">IF($M353=0,"",OPERATIONS!$F53)</f>
        <v/>
      </c>
      <c r="J353" s="26" t="str">
        <f aca="false">IF($I353="","",IFERROR(INDEX(EMPL_CLASSE,MATCH($I353,EMPL_KEY,0)),""))</f>
        <v/>
      </c>
      <c r="K353" s="26" t="str">
        <f aca="false">IF($M353=0,"",OPERATIONS!$K53)</f>
        <v/>
      </c>
      <c r="L353" s="26" t="str">
        <f aca="false">IF($G353="","",IF(IFERROR(INDEX(LOT_ETAT,MATCH($G353,LOT_KEY,0)),"")="","",INDEX(LOT_ETAT,MATCH($G353,LOT_KEY,0))))</f>
        <v/>
      </c>
      <c r="M353" s="73" t="n">
        <f aca="false">IF(OR(OPERATIONS!$O53=0,OPERATIONS!$C53="CONSOMMATION"),0,OPERATIONS!$G53)</f>
        <v>0</v>
      </c>
      <c r="N353" s="73" t="n">
        <f aca="false">IF($M353=0,0,OPERATIONS!$R53*$M353)</f>
        <v>0</v>
      </c>
      <c r="O353" s="26" t="str">
        <f aca="false">IF($M353=0,"",OPERATIONS!$Q53)</f>
        <v/>
      </c>
      <c r="P353" s="26" t="str">
        <f aca="false">IF($G353="","",IF($G353=R_LOT,COUNTIF($G$5:$G353,R_LOT),""))</f>
        <v/>
      </c>
    </row>
    <row r="354" customFormat="false" ht="15" hidden="false" customHeight="false" outlineLevel="0" collapsed="false">
      <c r="A354" s="28" t="str">
        <f aca="false">IF($M354=0,"",ROW()-4)</f>
        <v/>
      </c>
      <c r="B354" s="26" t="str">
        <f aca="false">IF($M354=0,"","OPERATIONS")</f>
        <v/>
      </c>
      <c r="C354" s="26" t="str">
        <f aca="false">IF($M354=0,"",OPERATIONS!$A54)</f>
        <v/>
      </c>
      <c r="D354" s="31" t="str">
        <f aca="false">IF($M354=0,"",OPERATIONS!$B54)</f>
        <v/>
      </c>
      <c r="E354" s="26" t="str">
        <f aca="false">IF($M354=0,"",IF($M354&lt;0,"SORTIE","ENTREE"))</f>
        <v/>
      </c>
      <c r="F354" s="26" t="str">
        <f aca="false">IF($M354=0,"",OPERATIONS!$C54)</f>
        <v/>
      </c>
      <c r="G354" s="26" t="str">
        <f aca="false">IF($M354=0,"",OPERATIONS!$D54)</f>
        <v/>
      </c>
      <c r="H354" s="26" t="str">
        <f aca="false">IF($G354="","",IFERROR(INDEX(LOT_EXTE,MATCH($G354,LOT_KEY,0)),""))</f>
        <v/>
      </c>
      <c r="I354" s="26" t="str">
        <f aca="false">IF($M354=0,"",OPERATIONS!$F54)</f>
        <v/>
      </c>
      <c r="J354" s="26" t="str">
        <f aca="false">IF($I354="","",IFERROR(INDEX(EMPL_CLASSE,MATCH($I354,EMPL_KEY,0)),""))</f>
        <v/>
      </c>
      <c r="K354" s="26" t="str">
        <f aca="false">IF($M354=0,"",OPERATIONS!$K54)</f>
        <v/>
      </c>
      <c r="L354" s="26" t="str">
        <f aca="false">IF($G354="","",IF(IFERROR(INDEX(LOT_ETAT,MATCH($G354,LOT_KEY,0)),"")="","",INDEX(LOT_ETAT,MATCH($G354,LOT_KEY,0))))</f>
        <v/>
      </c>
      <c r="M354" s="73" t="n">
        <f aca="false">IF(OR(OPERATIONS!$O54=0,OPERATIONS!$C54="CONSOMMATION"),0,OPERATIONS!$G54)</f>
        <v>0</v>
      </c>
      <c r="N354" s="73" t="n">
        <f aca="false">IF($M354=0,0,OPERATIONS!$R54*$M354)</f>
        <v>0</v>
      </c>
      <c r="O354" s="26" t="str">
        <f aca="false">IF($M354=0,"",OPERATIONS!$Q54)</f>
        <v/>
      </c>
      <c r="P354" s="26" t="str">
        <f aca="false">IF($G354="","",IF($G354=R_LOT,COUNTIF($G$5:$G354,R_LOT),""))</f>
        <v/>
      </c>
    </row>
    <row r="355" customFormat="false" ht="15" hidden="false" customHeight="false" outlineLevel="0" collapsed="false">
      <c r="A355" s="28" t="str">
        <f aca="false">IF($M355=0,"",ROW()-4)</f>
        <v/>
      </c>
      <c r="B355" s="26" t="str">
        <f aca="false">IF($M355=0,"","OPERATIONS")</f>
        <v/>
      </c>
      <c r="C355" s="26" t="str">
        <f aca="false">IF($M355=0,"",OPERATIONS!$A55)</f>
        <v/>
      </c>
      <c r="D355" s="31" t="str">
        <f aca="false">IF($M355=0,"",OPERATIONS!$B55)</f>
        <v/>
      </c>
      <c r="E355" s="26" t="str">
        <f aca="false">IF($M355=0,"",IF($M355&lt;0,"SORTIE","ENTREE"))</f>
        <v/>
      </c>
      <c r="F355" s="26" t="str">
        <f aca="false">IF($M355=0,"",OPERATIONS!$C55)</f>
        <v/>
      </c>
      <c r="G355" s="26" t="str">
        <f aca="false">IF($M355=0,"",OPERATIONS!$D55)</f>
        <v/>
      </c>
      <c r="H355" s="26" t="str">
        <f aca="false">IF($G355="","",IFERROR(INDEX(LOT_EXTE,MATCH($G355,LOT_KEY,0)),""))</f>
        <v/>
      </c>
      <c r="I355" s="26" t="str">
        <f aca="false">IF($M355=0,"",OPERATIONS!$F55)</f>
        <v/>
      </c>
      <c r="J355" s="26" t="str">
        <f aca="false">IF($I355="","",IFERROR(INDEX(EMPL_CLASSE,MATCH($I355,EMPL_KEY,0)),""))</f>
        <v/>
      </c>
      <c r="K355" s="26" t="str">
        <f aca="false">IF($M355=0,"",OPERATIONS!$K55)</f>
        <v/>
      </c>
      <c r="L355" s="26" t="str">
        <f aca="false">IF($G355="","",IF(IFERROR(INDEX(LOT_ETAT,MATCH($G355,LOT_KEY,0)),"")="","",INDEX(LOT_ETAT,MATCH($G355,LOT_KEY,0))))</f>
        <v/>
      </c>
      <c r="M355" s="73" t="n">
        <f aca="false">IF(OR(OPERATIONS!$O55=0,OPERATIONS!$C55="CONSOMMATION"),0,OPERATIONS!$G55)</f>
        <v>0</v>
      </c>
      <c r="N355" s="73" t="n">
        <f aca="false">IF($M355=0,0,OPERATIONS!$R55*$M355)</f>
        <v>0</v>
      </c>
      <c r="O355" s="26" t="str">
        <f aca="false">IF($M355=0,"",OPERATIONS!$Q55)</f>
        <v/>
      </c>
      <c r="P355" s="26" t="str">
        <f aca="false">IF($G355="","",IF($G355=R_LOT,COUNTIF($G$5:$G355,R_LOT),""))</f>
        <v/>
      </c>
    </row>
    <row r="356" customFormat="false" ht="15" hidden="false" customHeight="false" outlineLevel="0" collapsed="false">
      <c r="A356" s="28" t="str">
        <f aca="false">IF($M356=0,"",ROW()-4)</f>
        <v/>
      </c>
      <c r="B356" s="26" t="str">
        <f aca="false">IF($M356=0,"","OPERATIONS")</f>
        <v/>
      </c>
      <c r="C356" s="26" t="str">
        <f aca="false">IF($M356=0,"",OPERATIONS!$A56)</f>
        <v/>
      </c>
      <c r="D356" s="31" t="str">
        <f aca="false">IF($M356=0,"",OPERATIONS!$B56)</f>
        <v/>
      </c>
      <c r="E356" s="26" t="str">
        <f aca="false">IF($M356=0,"",IF($M356&lt;0,"SORTIE","ENTREE"))</f>
        <v/>
      </c>
      <c r="F356" s="26" t="str">
        <f aca="false">IF($M356=0,"",OPERATIONS!$C56)</f>
        <v/>
      </c>
      <c r="G356" s="26" t="str">
        <f aca="false">IF($M356=0,"",OPERATIONS!$D56)</f>
        <v/>
      </c>
      <c r="H356" s="26" t="str">
        <f aca="false">IF($G356="","",IFERROR(INDEX(LOT_EXTE,MATCH($G356,LOT_KEY,0)),""))</f>
        <v/>
      </c>
      <c r="I356" s="26" t="str">
        <f aca="false">IF($M356=0,"",OPERATIONS!$F56)</f>
        <v/>
      </c>
      <c r="J356" s="26" t="str">
        <f aca="false">IF($I356="","",IFERROR(INDEX(EMPL_CLASSE,MATCH($I356,EMPL_KEY,0)),""))</f>
        <v/>
      </c>
      <c r="K356" s="26" t="str">
        <f aca="false">IF($M356=0,"",OPERATIONS!$K56)</f>
        <v/>
      </c>
      <c r="L356" s="26" t="str">
        <f aca="false">IF($G356="","",IF(IFERROR(INDEX(LOT_ETAT,MATCH($G356,LOT_KEY,0)),"")="","",INDEX(LOT_ETAT,MATCH($G356,LOT_KEY,0))))</f>
        <v/>
      </c>
      <c r="M356" s="73" t="n">
        <f aca="false">IF(OR(OPERATIONS!$O56=0,OPERATIONS!$C56="CONSOMMATION"),0,OPERATIONS!$G56)</f>
        <v>0</v>
      </c>
      <c r="N356" s="73" t="n">
        <f aca="false">IF($M356=0,0,OPERATIONS!$R56*$M356)</f>
        <v>0</v>
      </c>
      <c r="O356" s="26" t="str">
        <f aca="false">IF($M356=0,"",OPERATIONS!$Q56)</f>
        <v/>
      </c>
      <c r="P356" s="26" t="str">
        <f aca="false">IF($G356="","",IF($G356=R_LOT,COUNTIF($G$5:$G356,R_LOT),""))</f>
        <v/>
      </c>
    </row>
    <row r="357" customFormat="false" ht="15" hidden="false" customHeight="false" outlineLevel="0" collapsed="false">
      <c r="A357" s="28" t="str">
        <f aca="false">IF($M357=0,"",ROW()-4)</f>
        <v/>
      </c>
      <c r="B357" s="26" t="str">
        <f aca="false">IF($M357=0,"","OPERATIONS")</f>
        <v/>
      </c>
      <c r="C357" s="26" t="str">
        <f aca="false">IF($M357=0,"",OPERATIONS!$A57)</f>
        <v/>
      </c>
      <c r="D357" s="31" t="str">
        <f aca="false">IF($M357=0,"",OPERATIONS!$B57)</f>
        <v/>
      </c>
      <c r="E357" s="26" t="str">
        <f aca="false">IF($M357=0,"",IF($M357&lt;0,"SORTIE","ENTREE"))</f>
        <v/>
      </c>
      <c r="F357" s="26" t="str">
        <f aca="false">IF($M357=0,"",OPERATIONS!$C57)</f>
        <v/>
      </c>
      <c r="G357" s="26" t="str">
        <f aca="false">IF($M357=0,"",OPERATIONS!$D57)</f>
        <v/>
      </c>
      <c r="H357" s="26" t="str">
        <f aca="false">IF($G357="","",IFERROR(INDEX(LOT_EXTE,MATCH($G357,LOT_KEY,0)),""))</f>
        <v/>
      </c>
      <c r="I357" s="26" t="str">
        <f aca="false">IF($M357=0,"",OPERATIONS!$F57)</f>
        <v/>
      </c>
      <c r="J357" s="26" t="str">
        <f aca="false">IF($I357="","",IFERROR(INDEX(EMPL_CLASSE,MATCH($I357,EMPL_KEY,0)),""))</f>
        <v/>
      </c>
      <c r="K357" s="26" t="str">
        <f aca="false">IF($M357=0,"",OPERATIONS!$K57)</f>
        <v/>
      </c>
      <c r="L357" s="26" t="str">
        <f aca="false">IF($G357="","",IF(IFERROR(INDEX(LOT_ETAT,MATCH($G357,LOT_KEY,0)),"")="","",INDEX(LOT_ETAT,MATCH($G357,LOT_KEY,0))))</f>
        <v/>
      </c>
      <c r="M357" s="73" t="n">
        <f aca="false">IF(OR(OPERATIONS!$O57=0,OPERATIONS!$C57="CONSOMMATION"),0,OPERATIONS!$G57)</f>
        <v>0</v>
      </c>
      <c r="N357" s="73" t="n">
        <f aca="false">IF($M357=0,0,OPERATIONS!$R57*$M357)</f>
        <v>0</v>
      </c>
      <c r="O357" s="26" t="str">
        <f aca="false">IF($M357=0,"",OPERATIONS!$Q57)</f>
        <v/>
      </c>
      <c r="P357" s="26" t="str">
        <f aca="false">IF($G357="","",IF($G357=R_LOT,COUNTIF($G$5:$G357,R_LOT),""))</f>
        <v/>
      </c>
    </row>
    <row r="358" customFormat="false" ht="15" hidden="false" customHeight="false" outlineLevel="0" collapsed="false">
      <c r="A358" s="28" t="str">
        <f aca="false">IF($M358=0,"",ROW()-4)</f>
        <v/>
      </c>
      <c r="B358" s="26" t="str">
        <f aca="false">IF($M358=0,"","OPERATIONS")</f>
        <v/>
      </c>
      <c r="C358" s="26" t="str">
        <f aca="false">IF($M358=0,"",OPERATIONS!$A58)</f>
        <v/>
      </c>
      <c r="D358" s="31" t="str">
        <f aca="false">IF($M358=0,"",OPERATIONS!$B58)</f>
        <v/>
      </c>
      <c r="E358" s="26" t="str">
        <f aca="false">IF($M358=0,"",IF($M358&lt;0,"SORTIE","ENTREE"))</f>
        <v/>
      </c>
      <c r="F358" s="26" t="str">
        <f aca="false">IF($M358=0,"",OPERATIONS!$C58)</f>
        <v/>
      </c>
      <c r="G358" s="26" t="str">
        <f aca="false">IF($M358=0,"",OPERATIONS!$D58)</f>
        <v/>
      </c>
      <c r="H358" s="26" t="str">
        <f aca="false">IF($G358="","",IFERROR(INDEX(LOT_EXTE,MATCH($G358,LOT_KEY,0)),""))</f>
        <v/>
      </c>
      <c r="I358" s="26" t="str">
        <f aca="false">IF($M358=0,"",OPERATIONS!$F58)</f>
        <v/>
      </c>
      <c r="J358" s="26" t="str">
        <f aca="false">IF($I358="","",IFERROR(INDEX(EMPL_CLASSE,MATCH($I358,EMPL_KEY,0)),""))</f>
        <v/>
      </c>
      <c r="K358" s="26" t="str">
        <f aca="false">IF($M358=0,"",OPERATIONS!$K58)</f>
        <v/>
      </c>
      <c r="L358" s="26" t="str">
        <f aca="false">IF($G358="","",IF(IFERROR(INDEX(LOT_ETAT,MATCH($G358,LOT_KEY,0)),"")="","",INDEX(LOT_ETAT,MATCH($G358,LOT_KEY,0))))</f>
        <v/>
      </c>
      <c r="M358" s="73" t="n">
        <f aca="false">IF(OR(OPERATIONS!$O58=0,OPERATIONS!$C58="CONSOMMATION"),0,OPERATIONS!$G58)</f>
        <v>0</v>
      </c>
      <c r="N358" s="73" t="n">
        <f aca="false">IF($M358=0,0,OPERATIONS!$R58*$M358)</f>
        <v>0</v>
      </c>
      <c r="O358" s="26" t="str">
        <f aca="false">IF($M358=0,"",OPERATIONS!$Q58)</f>
        <v/>
      </c>
      <c r="P358" s="26" t="str">
        <f aca="false">IF($G358="","",IF($G358=R_LOT,COUNTIF($G$5:$G358,R_LOT),""))</f>
        <v/>
      </c>
    </row>
    <row r="359" customFormat="false" ht="15" hidden="false" customHeight="false" outlineLevel="0" collapsed="false">
      <c r="A359" s="28" t="str">
        <f aca="false">IF($M359=0,"",ROW()-4)</f>
        <v/>
      </c>
      <c r="B359" s="26" t="str">
        <f aca="false">IF($M359=0,"","OPERATIONS")</f>
        <v/>
      </c>
      <c r="C359" s="26" t="str">
        <f aca="false">IF($M359=0,"",OPERATIONS!$A59)</f>
        <v/>
      </c>
      <c r="D359" s="31" t="str">
        <f aca="false">IF($M359=0,"",OPERATIONS!$B59)</f>
        <v/>
      </c>
      <c r="E359" s="26" t="str">
        <f aca="false">IF($M359=0,"",IF($M359&lt;0,"SORTIE","ENTREE"))</f>
        <v/>
      </c>
      <c r="F359" s="26" t="str">
        <f aca="false">IF($M359=0,"",OPERATIONS!$C59)</f>
        <v/>
      </c>
      <c r="G359" s="26" t="str">
        <f aca="false">IF($M359=0,"",OPERATIONS!$D59)</f>
        <v/>
      </c>
      <c r="H359" s="26" t="str">
        <f aca="false">IF($G359="","",IFERROR(INDEX(LOT_EXTE,MATCH($G359,LOT_KEY,0)),""))</f>
        <v/>
      </c>
      <c r="I359" s="26" t="str">
        <f aca="false">IF($M359=0,"",OPERATIONS!$F59)</f>
        <v/>
      </c>
      <c r="J359" s="26" t="str">
        <f aca="false">IF($I359="","",IFERROR(INDEX(EMPL_CLASSE,MATCH($I359,EMPL_KEY,0)),""))</f>
        <v/>
      </c>
      <c r="K359" s="26" t="str">
        <f aca="false">IF($M359=0,"",OPERATIONS!$K59)</f>
        <v/>
      </c>
      <c r="L359" s="26" t="str">
        <f aca="false">IF($G359="","",IF(IFERROR(INDEX(LOT_ETAT,MATCH($G359,LOT_KEY,0)),"")="","",INDEX(LOT_ETAT,MATCH($G359,LOT_KEY,0))))</f>
        <v/>
      </c>
      <c r="M359" s="73" t="n">
        <f aca="false">IF(OR(OPERATIONS!$O59=0,OPERATIONS!$C59="CONSOMMATION"),0,OPERATIONS!$G59)</f>
        <v>0</v>
      </c>
      <c r="N359" s="73" t="n">
        <f aca="false">IF($M359=0,0,OPERATIONS!$R59*$M359)</f>
        <v>0</v>
      </c>
      <c r="O359" s="26" t="str">
        <f aca="false">IF($M359=0,"",OPERATIONS!$Q59)</f>
        <v/>
      </c>
      <c r="P359" s="26" t="str">
        <f aca="false">IF($G359="","",IF($G359=R_LOT,COUNTIF($G$5:$G359,R_LOT),""))</f>
        <v/>
      </c>
    </row>
    <row r="360" customFormat="false" ht="15" hidden="false" customHeight="false" outlineLevel="0" collapsed="false">
      <c r="A360" s="28" t="str">
        <f aca="false">IF($M360=0,"",ROW()-4)</f>
        <v/>
      </c>
      <c r="B360" s="26" t="str">
        <f aca="false">IF($M360=0,"","OPERATIONS")</f>
        <v/>
      </c>
      <c r="C360" s="26" t="str">
        <f aca="false">IF($M360=0,"",OPERATIONS!$A60)</f>
        <v/>
      </c>
      <c r="D360" s="31" t="str">
        <f aca="false">IF($M360=0,"",OPERATIONS!$B60)</f>
        <v/>
      </c>
      <c r="E360" s="26" t="str">
        <f aca="false">IF($M360=0,"",IF($M360&lt;0,"SORTIE","ENTREE"))</f>
        <v/>
      </c>
      <c r="F360" s="26" t="str">
        <f aca="false">IF($M360=0,"",OPERATIONS!$C60)</f>
        <v/>
      </c>
      <c r="G360" s="26" t="str">
        <f aca="false">IF($M360=0,"",OPERATIONS!$D60)</f>
        <v/>
      </c>
      <c r="H360" s="26" t="str">
        <f aca="false">IF($G360="","",IFERROR(INDEX(LOT_EXTE,MATCH($G360,LOT_KEY,0)),""))</f>
        <v/>
      </c>
      <c r="I360" s="26" t="str">
        <f aca="false">IF($M360=0,"",OPERATIONS!$F60)</f>
        <v/>
      </c>
      <c r="J360" s="26" t="str">
        <f aca="false">IF($I360="","",IFERROR(INDEX(EMPL_CLASSE,MATCH($I360,EMPL_KEY,0)),""))</f>
        <v/>
      </c>
      <c r="K360" s="26" t="str">
        <f aca="false">IF($M360=0,"",OPERATIONS!$K60)</f>
        <v/>
      </c>
      <c r="L360" s="26" t="str">
        <f aca="false">IF($G360="","",IF(IFERROR(INDEX(LOT_ETAT,MATCH($G360,LOT_KEY,0)),"")="","",INDEX(LOT_ETAT,MATCH($G360,LOT_KEY,0))))</f>
        <v/>
      </c>
      <c r="M360" s="73" t="n">
        <f aca="false">IF(OR(OPERATIONS!$O60=0,OPERATIONS!$C60="CONSOMMATION"),0,OPERATIONS!$G60)</f>
        <v>0</v>
      </c>
      <c r="N360" s="73" t="n">
        <f aca="false">IF($M360=0,0,OPERATIONS!$R60*$M360)</f>
        <v>0</v>
      </c>
      <c r="O360" s="26" t="str">
        <f aca="false">IF($M360=0,"",OPERATIONS!$Q60)</f>
        <v/>
      </c>
      <c r="P360" s="26" t="str">
        <f aca="false">IF($G360="","",IF($G360=R_LOT,COUNTIF($G$5:$G360,R_LOT),""))</f>
        <v/>
      </c>
    </row>
    <row r="361" customFormat="false" ht="15" hidden="false" customHeight="false" outlineLevel="0" collapsed="false">
      <c r="A361" s="28" t="str">
        <f aca="false">IF($M361=0,"",ROW()-4)</f>
        <v/>
      </c>
      <c r="B361" s="26" t="str">
        <f aca="false">IF($M361=0,"","OPERATIONS")</f>
        <v/>
      </c>
      <c r="C361" s="26" t="str">
        <f aca="false">IF($M361=0,"",OPERATIONS!$A61)</f>
        <v/>
      </c>
      <c r="D361" s="31" t="str">
        <f aca="false">IF($M361=0,"",OPERATIONS!$B61)</f>
        <v/>
      </c>
      <c r="E361" s="26" t="str">
        <f aca="false">IF($M361=0,"",IF($M361&lt;0,"SORTIE","ENTREE"))</f>
        <v/>
      </c>
      <c r="F361" s="26" t="str">
        <f aca="false">IF($M361=0,"",OPERATIONS!$C61)</f>
        <v/>
      </c>
      <c r="G361" s="26" t="str">
        <f aca="false">IF($M361=0,"",OPERATIONS!$D61)</f>
        <v/>
      </c>
      <c r="H361" s="26" t="str">
        <f aca="false">IF($G361="","",IFERROR(INDEX(LOT_EXTE,MATCH($G361,LOT_KEY,0)),""))</f>
        <v/>
      </c>
      <c r="I361" s="26" t="str">
        <f aca="false">IF($M361=0,"",OPERATIONS!$F61)</f>
        <v/>
      </c>
      <c r="J361" s="26" t="str">
        <f aca="false">IF($I361="","",IFERROR(INDEX(EMPL_CLASSE,MATCH($I361,EMPL_KEY,0)),""))</f>
        <v/>
      </c>
      <c r="K361" s="26" t="str">
        <f aca="false">IF($M361=0,"",OPERATIONS!$K61)</f>
        <v/>
      </c>
      <c r="L361" s="26" t="str">
        <f aca="false">IF($G361="","",IF(IFERROR(INDEX(LOT_ETAT,MATCH($G361,LOT_KEY,0)),"")="","",INDEX(LOT_ETAT,MATCH($G361,LOT_KEY,0))))</f>
        <v/>
      </c>
      <c r="M361" s="73" t="n">
        <f aca="false">IF(OR(OPERATIONS!$O61=0,OPERATIONS!$C61="CONSOMMATION"),0,OPERATIONS!$G61)</f>
        <v>0</v>
      </c>
      <c r="N361" s="73" t="n">
        <f aca="false">IF($M361=0,0,OPERATIONS!$R61*$M361)</f>
        <v>0</v>
      </c>
      <c r="O361" s="26" t="str">
        <f aca="false">IF($M361=0,"",OPERATIONS!$Q61)</f>
        <v/>
      </c>
      <c r="P361" s="26" t="str">
        <f aca="false">IF($G361="","",IF($G361=R_LOT,COUNTIF($G$5:$G361,R_LOT),""))</f>
        <v/>
      </c>
    </row>
    <row r="362" customFormat="false" ht="15" hidden="false" customHeight="false" outlineLevel="0" collapsed="false">
      <c r="A362" s="28" t="str">
        <f aca="false">IF($M362=0,"",ROW()-4)</f>
        <v/>
      </c>
      <c r="B362" s="26" t="str">
        <f aca="false">IF($M362=0,"","OPERATIONS")</f>
        <v/>
      </c>
      <c r="C362" s="26" t="str">
        <f aca="false">IF($M362=0,"",OPERATIONS!$A62)</f>
        <v/>
      </c>
      <c r="D362" s="31" t="str">
        <f aca="false">IF($M362=0,"",OPERATIONS!$B62)</f>
        <v/>
      </c>
      <c r="E362" s="26" t="str">
        <f aca="false">IF($M362=0,"",IF($M362&lt;0,"SORTIE","ENTREE"))</f>
        <v/>
      </c>
      <c r="F362" s="26" t="str">
        <f aca="false">IF($M362=0,"",OPERATIONS!$C62)</f>
        <v/>
      </c>
      <c r="G362" s="26" t="str">
        <f aca="false">IF($M362=0,"",OPERATIONS!$D62)</f>
        <v/>
      </c>
      <c r="H362" s="26" t="str">
        <f aca="false">IF($G362="","",IFERROR(INDEX(LOT_EXTE,MATCH($G362,LOT_KEY,0)),""))</f>
        <v/>
      </c>
      <c r="I362" s="26" t="str">
        <f aca="false">IF($M362=0,"",OPERATIONS!$F62)</f>
        <v/>
      </c>
      <c r="J362" s="26" t="str">
        <f aca="false">IF($I362="","",IFERROR(INDEX(EMPL_CLASSE,MATCH($I362,EMPL_KEY,0)),""))</f>
        <v/>
      </c>
      <c r="K362" s="26" t="str">
        <f aca="false">IF($M362=0,"",OPERATIONS!$K62)</f>
        <v/>
      </c>
      <c r="L362" s="26" t="str">
        <f aca="false">IF($G362="","",IF(IFERROR(INDEX(LOT_ETAT,MATCH($G362,LOT_KEY,0)),"")="","",INDEX(LOT_ETAT,MATCH($G362,LOT_KEY,0))))</f>
        <v/>
      </c>
      <c r="M362" s="73" t="n">
        <f aca="false">IF(OR(OPERATIONS!$O62=0,OPERATIONS!$C62="CONSOMMATION"),0,OPERATIONS!$G62)</f>
        <v>0</v>
      </c>
      <c r="N362" s="73" t="n">
        <f aca="false">IF($M362=0,0,OPERATIONS!$R62*$M362)</f>
        <v>0</v>
      </c>
      <c r="O362" s="26" t="str">
        <f aca="false">IF($M362=0,"",OPERATIONS!$Q62)</f>
        <v/>
      </c>
      <c r="P362" s="26" t="str">
        <f aca="false">IF($G362="","",IF($G362=R_LOT,COUNTIF($G$5:$G362,R_LOT),""))</f>
        <v/>
      </c>
    </row>
    <row r="363" customFormat="false" ht="15" hidden="false" customHeight="false" outlineLevel="0" collapsed="false">
      <c r="A363" s="28" t="str">
        <f aca="false">IF($M363=0,"",ROW()-4)</f>
        <v/>
      </c>
      <c r="B363" s="26" t="str">
        <f aca="false">IF($M363=0,"","OPERATIONS")</f>
        <v/>
      </c>
      <c r="C363" s="26" t="str">
        <f aca="false">IF($M363=0,"",OPERATIONS!$A63)</f>
        <v/>
      </c>
      <c r="D363" s="31" t="str">
        <f aca="false">IF($M363=0,"",OPERATIONS!$B63)</f>
        <v/>
      </c>
      <c r="E363" s="26" t="str">
        <f aca="false">IF($M363=0,"",IF($M363&lt;0,"SORTIE","ENTREE"))</f>
        <v/>
      </c>
      <c r="F363" s="26" t="str">
        <f aca="false">IF($M363=0,"",OPERATIONS!$C63)</f>
        <v/>
      </c>
      <c r="G363" s="26" t="str">
        <f aca="false">IF($M363=0,"",OPERATIONS!$D63)</f>
        <v/>
      </c>
      <c r="H363" s="26" t="str">
        <f aca="false">IF($G363="","",IFERROR(INDEX(LOT_EXTE,MATCH($G363,LOT_KEY,0)),""))</f>
        <v/>
      </c>
      <c r="I363" s="26" t="str">
        <f aca="false">IF($M363=0,"",OPERATIONS!$F63)</f>
        <v/>
      </c>
      <c r="J363" s="26" t="str">
        <f aca="false">IF($I363="","",IFERROR(INDEX(EMPL_CLASSE,MATCH($I363,EMPL_KEY,0)),""))</f>
        <v/>
      </c>
      <c r="K363" s="26" t="str">
        <f aca="false">IF($M363=0,"",OPERATIONS!$K63)</f>
        <v/>
      </c>
      <c r="L363" s="26" t="str">
        <f aca="false">IF($G363="","",IF(IFERROR(INDEX(LOT_ETAT,MATCH($G363,LOT_KEY,0)),"")="","",INDEX(LOT_ETAT,MATCH($G363,LOT_KEY,0))))</f>
        <v/>
      </c>
      <c r="M363" s="73" t="n">
        <f aca="false">IF(OR(OPERATIONS!$O63=0,OPERATIONS!$C63="CONSOMMATION"),0,OPERATIONS!$G63)</f>
        <v>0</v>
      </c>
      <c r="N363" s="73" t="n">
        <f aca="false">IF($M363=0,0,OPERATIONS!$R63*$M363)</f>
        <v>0</v>
      </c>
      <c r="O363" s="26" t="str">
        <f aca="false">IF($M363=0,"",OPERATIONS!$Q63)</f>
        <v/>
      </c>
      <c r="P363" s="26" t="str">
        <f aca="false">IF($G363="","",IF($G363=R_LOT,COUNTIF($G$5:$G363,R_LOT),""))</f>
        <v/>
      </c>
    </row>
    <row r="364" customFormat="false" ht="15" hidden="false" customHeight="false" outlineLevel="0" collapsed="false">
      <c r="A364" s="28" t="str">
        <f aca="false">IF($M364=0,"",ROW()-4)</f>
        <v/>
      </c>
      <c r="B364" s="26" t="str">
        <f aca="false">IF($M364=0,"","OPERATIONS")</f>
        <v/>
      </c>
      <c r="C364" s="26" t="str">
        <f aca="false">IF($M364=0,"",OPERATIONS!$A64)</f>
        <v/>
      </c>
      <c r="D364" s="31" t="str">
        <f aca="false">IF($M364=0,"",OPERATIONS!$B64)</f>
        <v/>
      </c>
      <c r="E364" s="26" t="str">
        <f aca="false">IF($M364=0,"",IF($M364&lt;0,"SORTIE","ENTREE"))</f>
        <v/>
      </c>
      <c r="F364" s="26" t="str">
        <f aca="false">IF($M364=0,"",OPERATIONS!$C64)</f>
        <v/>
      </c>
      <c r="G364" s="26" t="str">
        <f aca="false">IF($M364=0,"",OPERATIONS!$D64)</f>
        <v/>
      </c>
      <c r="H364" s="26" t="str">
        <f aca="false">IF($G364="","",IFERROR(INDEX(LOT_EXTE,MATCH($G364,LOT_KEY,0)),""))</f>
        <v/>
      </c>
      <c r="I364" s="26" t="str">
        <f aca="false">IF($M364=0,"",OPERATIONS!$F64)</f>
        <v/>
      </c>
      <c r="J364" s="26" t="str">
        <f aca="false">IF($I364="","",IFERROR(INDEX(EMPL_CLASSE,MATCH($I364,EMPL_KEY,0)),""))</f>
        <v/>
      </c>
      <c r="K364" s="26" t="str">
        <f aca="false">IF($M364=0,"",OPERATIONS!$K64)</f>
        <v/>
      </c>
      <c r="L364" s="26" t="str">
        <f aca="false">IF($G364="","",IF(IFERROR(INDEX(LOT_ETAT,MATCH($G364,LOT_KEY,0)),"")="","",INDEX(LOT_ETAT,MATCH($G364,LOT_KEY,0))))</f>
        <v/>
      </c>
      <c r="M364" s="73" t="n">
        <f aca="false">IF(OR(OPERATIONS!$O64=0,OPERATIONS!$C64="CONSOMMATION"),0,OPERATIONS!$G64)</f>
        <v>0</v>
      </c>
      <c r="N364" s="73" t="n">
        <f aca="false">IF($M364=0,0,OPERATIONS!$R64*$M364)</f>
        <v>0</v>
      </c>
      <c r="O364" s="26" t="str">
        <f aca="false">IF($M364=0,"",OPERATIONS!$Q64)</f>
        <v/>
      </c>
      <c r="P364" s="26" t="str">
        <f aca="false">IF($G364="","",IF($G364=R_LOT,COUNTIF($G$5:$G364,R_LOT),""))</f>
        <v/>
      </c>
    </row>
    <row r="365" customFormat="false" ht="15" hidden="false" customHeight="false" outlineLevel="0" collapsed="false">
      <c r="A365" s="28" t="str">
        <f aca="false">IF($M365=0,"",ROW()-4)</f>
        <v/>
      </c>
      <c r="B365" s="26" t="str">
        <f aca="false">IF($M365=0,"","OPERATIONS")</f>
        <v/>
      </c>
      <c r="C365" s="26" t="str">
        <f aca="false">IF($M365=0,"",OPERATIONS!$A65)</f>
        <v/>
      </c>
      <c r="D365" s="31" t="str">
        <f aca="false">IF($M365=0,"",OPERATIONS!$B65)</f>
        <v/>
      </c>
      <c r="E365" s="26" t="str">
        <f aca="false">IF($M365=0,"",IF($M365&lt;0,"SORTIE","ENTREE"))</f>
        <v/>
      </c>
      <c r="F365" s="26" t="str">
        <f aca="false">IF($M365=0,"",OPERATIONS!$C65)</f>
        <v/>
      </c>
      <c r="G365" s="26" t="str">
        <f aca="false">IF($M365=0,"",OPERATIONS!$D65)</f>
        <v/>
      </c>
      <c r="H365" s="26" t="str">
        <f aca="false">IF($G365="","",IFERROR(INDEX(LOT_EXTE,MATCH($G365,LOT_KEY,0)),""))</f>
        <v/>
      </c>
      <c r="I365" s="26" t="str">
        <f aca="false">IF($M365=0,"",OPERATIONS!$F65)</f>
        <v/>
      </c>
      <c r="J365" s="26" t="str">
        <f aca="false">IF($I365="","",IFERROR(INDEX(EMPL_CLASSE,MATCH($I365,EMPL_KEY,0)),""))</f>
        <v/>
      </c>
      <c r="K365" s="26" t="str">
        <f aca="false">IF($M365=0,"",OPERATIONS!$K65)</f>
        <v/>
      </c>
      <c r="L365" s="26" t="str">
        <f aca="false">IF($G365="","",IF(IFERROR(INDEX(LOT_ETAT,MATCH($G365,LOT_KEY,0)),"")="","",INDEX(LOT_ETAT,MATCH($G365,LOT_KEY,0))))</f>
        <v/>
      </c>
      <c r="M365" s="73" t="n">
        <f aca="false">IF(OR(OPERATIONS!$O65=0,OPERATIONS!$C65="CONSOMMATION"),0,OPERATIONS!$G65)</f>
        <v>0</v>
      </c>
      <c r="N365" s="73" t="n">
        <f aca="false">IF($M365=0,0,OPERATIONS!$R65*$M365)</f>
        <v>0</v>
      </c>
      <c r="O365" s="26" t="str">
        <f aca="false">IF($M365=0,"",OPERATIONS!$Q65)</f>
        <v/>
      </c>
      <c r="P365" s="26" t="str">
        <f aca="false">IF($G365="","",IF($G365=R_LOT,COUNTIF($G$5:$G365,R_LOT),""))</f>
        <v/>
      </c>
    </row>
    <row r="366" customFormat="false" ht="15" hidden="false" customHeight="false" outlineLevel="0" collapsed="false">
      <c r="A366" s="28" t="str">
        <f aca="false">IF($M366=0,"",ROW()-4)</f>
        <v/>
      </c>
      <c r="B366" s="26" t="str">
        <f aca="false">IF($M366=0,"","OPERATIONS")</f>
        <v/>
      </c>
      <c r="C366" s="26" t="str">
        <f aca="false">IF($M366=0,"",OPERATIONS!$A66)</f>
        <v/>
      </c>
      <c r="D366" s="31" t="str">
        <f aca="false">IF($M366=0,"",OPERATIONS!$B66)</f>
        <v/>
      </c>
      <c r="E366" s="26" t="str">
        <f aca="false">IF($M366=0,"",IF($M366&lt;0,"SORTIE","ENTREE"))</f>
        <v/>
      </c>
      <c r="F366" s="26" t="str">
        <f aca="false">IF($M366=0,"",OPERATIONS!$C66)</f>
        <v/>
      </c>
      <c r="G366" s="26" t="str">
        <f aca="false">IF($M366=0,"",OPERATIONS!$D66)</f>
        <v/>
      </c>
      <c r="H366" s="26" t="str">
        <f aca="false">IF($G366="","",IFERROR(INDEX(LOT_EXTE,MATCH($G366,LOT_KEY,0)),""))</f>
        <v/>
      </c>
      <c r="I366" s="26" t="str">
        <f aca="false">IF($M366=0,"",OPERATIONS!$F66)</f>
        <v/>
      </c>
      <c r="J366" s="26" t="str">
        <f aca="false">IF($I366="","",IFERROR(INDEX(EMPL_CLASSE,MATCH($I366,EMPL_KEY,0)),""))</f>
        <v/>
      </c>
      <c r="K366" s="26" t="str">
        <f aca="false">IF($M366=0,"",OPERATIONS!$K66)</f>
        <v/>
      </c>
      <c r="L366" s="26" t="str">
        <f aca="false">IF($G366="","",IF(IFERROR(INDEX(LOT_ETAT,MATCH($G366,LOT_KEY,0)),"")="","",INDEX(LOT_ETAT,MATCH($G366,LOT_KEY,0))))</f>
        <v/>
      </c>
      <c r="M366" s="73" t="n">
        <f aca="false">IF(OR(OPERATIONS!$O66=0,OPERATIONS!$C66="CONSOMMATION"),0,OPERATIONS!$G66)</f>
        <v>0</v>
      </c>
      <c r="N366" s="73" t="n">
        <f aca="false">IF($M366=0,0,OPERATIONS!$R66*$M366)</f>
        <v>0</v>
      </c>
      <c r="O366" s="26" t="str">
        <f aca="false">IF($M366=0,"",OPERATIONS!$Q66)</f>
        <v/>
      </c>
      <c r="P366" s="26" t="str">
        <f aca="false">IF($G366="","",IF($G366=R_LOT,COUNTIF($G$5:$G366,R_LOT),""))</f>
        <v/>
      </c>
    </row>
    <row r="367" customFormat="false" ht="15" hidden="false" customHeight="false" outlineLevel="0" collapsed="false">
      <c r="A367" s="28" t="str">
        <f aca="false">IF($M367=0,"",ROW()-4)</f>
        <v/>
      </c>
      <c r="B367" s="26" t="str">
        <f aca="false">IF($M367=0,"","OPERATIONS")</f>
        <v/>
      </c>
      <c r="C367" s="26" t="str">
        <f aca="false">IF($M367=0,"",OPERATIONS!$A67)</f>
        <v/>
      </c>
      <c r="D367" s="31" t="str">
        <f aca="false">IF($M367=0,"",OPERATIONS!$B67)</f>
        <v/>
      </c>
      <c r="E367" s="26" t="str">
        <f aca="false">IF($M367=0,"",IF($M367&lt;0,"SORTIE","ENTREE"))</f>
        <v/>
      </c>
      <c r="F367" s="26" t="str">
        <f aca="false">IF($M367=0,"",OPERATIONS!$C67)</f>
        <v/>
      </c>
      <c r="G367" s="26" t="str">
        <f aca="false">IF($M367=0,"",OPERATIONS!$D67)</f>
        <v/>
      </c>
      <c r="H367" s="26" t="str">
        <f aca="false">IF($G367="","",IFERROR(INDEX(LOT_EXTE,MATCH($G367,LOT_KEY,0)),""))</f>
        <v/>
      </c>
      <c r="I367" s="26" t="str">
        <f aca="false">IF($M367=0,"",OPERATIONS!$F67)</f>
        <v/>
      </c>
      <c r="J367" s="26" t="str">
        <f aca="false">IF($I367="","",IFERROR(INDEX(EMPL_CLASSE,MATCH($I367,EMPL_KEY,0)),""))</f>
        <v/>
      </c>
      <c r="K367" s="26" t="str">
        <f aca="false">IF($M367=0,"",OPERATIONS!$K67)</f>
        <v/>
      </c>
      <c r="L367" s="26" t="str">
        <f aca="false">IF($G367="","",IF(IFERROR(INDEX(LOT_ETAT,MATCH($G367,LOT_KEY,0)),"")="","",INDEX(LOT_ETAT,MATCH($G367,LOT_KEY,0))))</f>
        <v/>
      </c>
      <c r="M367" s="73" t="n">
        <f aca="false">IF(OR(OPERATIONS!$O67=0,OPERATIONS!$C67="CONSOMMATION"),0,OPERATIONS!$G67)</f>
        <v>0</v>
      </c>
      <c r="N367" s="73" t="n">
        <f aca="false">IF($M367=0,0,OPERATIONS!$R67*$M367)</f>
        <v>0</v>
      </c>
      <c r="O367" s="26" t="str">
        <f aca="false">IF($M367=0,"",OPERATIONS!$Q67)</f>
        <v/>
      </c>
      <c r="P367" s="26" t="str">
        <f aca="false">IF($G367="","",IF($G367=R_LOT,COUNTIF($G$5:$G367,R_LOT),""))</f>
        <v/>
      </c>
    </row>
    <row r="368" customFormat="false" ht="15" hidden="false" customHeight="false" outlineLevel="0" collapsed="false">
      <c r="A368" s="28" t="str">
        <f aca="false">IF($M368=0,"",ROW()-4)</f>
        <v/>
      </c>
      <c r="B368" s="26" t="str">
        <f aca="false">IF($M368=0,"","OPERATIONS")</f>
        <v/>
      </c>
      <c r="C368" s="26" t="str">
        <f aca="false">IF($M368=0,"",OPERATIONS!$A68)</f>
        <v/>
      </c>
      <c r="D368" s="31" t="str">
        <f aca="false">IF($M368=0,"",OPERATIONS!$B68)</f>
        <v/>
      </c>
      <c r="E368" s="26" t="str">
        <f aca="false">IF($M368=0,"",IF($M368&lt;0,"SORTIE","ENTREE"))</f>
        <v/>
      </c>
      <c r="F368" s="26" t="str">
        <f aca="false">IF($M368=0,"",OPERATIONS!$C68)</f>
        <v/>
      </c>
      <c r="G368" s="26" t="str">
        <f aca="false">IF($M368=0,"",OPERATIONS!$D68)</f>
        <v/>
      </c>
      <c r="H368" s="26" t="str">
        <f aca="false">IF($G368="","",IFERROR(INDEX(LOT_EXTE,MATCH($G368,LOT_KEY,0)),""))</f>
        <v/>
      </c>
      <c r="I368" s="26" t="str">
        <f aca="false">IF($M368=0,"",OPERATIONS!$F68)</f>
        <v/>
      </c>
      <c r="J368" s="26" t="str">
        <f aca="false">IF($I368="","",IFERROR(INDEX(EMPL_CLASSE,MATCH($I368,EMPL_KEY,0)),""))</f>
        <v/>
      </c>
      <c r="K368" s="26" t="str">
        <f aca="false">IF($M368=0,"",OPERATIONS!$K68)</f>
        <v/>
      </c>
      <c r="L368" s="26" t="str">
        <f aca="false">IF($G368="","",IF(IFERROR(INDEX(LOT_ETAT,MATCH($G368,LOT_KEY,0)),"")="","",INDEX(LOT_ETAT,MATCH($G368,LOT_KEY,0))))</f>
        <v/>
      </c>
      <c r="M368" s="73" t="n">
        <f aca="false">IF(OR(OPERATIONS!$O68=0,OPERATIONS!$C68="CONSOMMATION"),0,OPERATIONS!$G68)</f>
        <v>0</v>
      </c>
      <c r="N368" s="73" t="n">
        <f aca="false">IF($M368=0,0,OPERATIONS!$R68*$M368)</f>
        <v>0</v>
      </c>
      <c r="O368" s="26" t="str">
        <f aca="false">IF($M368=0,"",OPERATIONS!$Q68)</f>
        <v/>
      </c>
      <c r="P368" s="26" t="str">
        <f aca="false">IF($G368="","",IF($G368=R_LOT,COUNTIF($G$5:$G368,R_LOT),""))</f>
        <v/>
      </c>
    </row>
    <row r="369" customFormat="false" ht="15" hidden="false" customHeight="false" outlineLevel="0" collapsed="false">
      <c r="A369" s="28" t="str">
        <f aca="false">IF($M369=0,"",ROW()-4)</f>
        <v/>
      </c>
      <c r="B369" s="26" t="str">
        <f aca="false">IF($M369=0,"","OPERATIONS")</f>
        <v/>
      </c>
      <c r="C369" s="26" t="str">
        <f aca="false">IF($M369=0,"",OPERATIONS!$A69)</f>
        <v/>
      </c>
      <c r="D369" s="31" t="str">
        <f aca="false">IF($M369=0,"",OPERATIONS!$B69)</f>
        <v/>
      </c>
      <c r="E369" s="26" t="str">
        <f aca="false">IF($M369=0,"",IF($M369&lt;0,"SORTIE","ENTREE"))</f>
        <v/>
      </c>
      <c r="F369" s="26" t="str">
        <f aca="false">IF($M369=0,"",OPERATIONS!$C69)</f>
        <v/>
      </c>
      <c r="G369" s="26" t="str">
        <f aca="false">IF($M369=0,"",OPERATIONS!$D69)</f>
        <v/>
      </c>
      <c r="H369" s="26" t="str">
        <f aca="false">IF($G369="","",IFERROR(INDEX(LOT_EXTE,MATCH($G369,LOT_KEY,0)),""))</f>
        <v/>
      </c>
      <c r="I369" s="26" t="str">
        <f aca="false">IF($M369=0,"",OPERATIONS!$F69)</f>
        <v/>
      </c>
      <c r="J369" s="26" t="str">
        <f aca="false">IF($I369="","",IFERROR(INDEX(EMPL_CLASSE,MATCH($I369,EMPL_KEY,0)),""))</f>
        <v/>
      </c>
      <c r="K369" s="26" t="str">
        <f aca="false">IF($M369=0,"",OPERATIONS!$K69)</f>
        <v/>
      </c>
      <c r="L369" s="26" t="str">
        <f aca="false">IF($G369="","",IF(IFERROR(INDEX(LOT_ETAT,MATCH($G369,LOT_KEY,0)),"")="","",INDEX(LOT_ETAT,MATCH($G369,LOT_KEY,0))))</f>
        <v/>
      </c>
      <c r="M369" s="73" t="n">
        <f aca="false">IF(OR(OPERATIONS!$O69=0,OPERATIONS!$C69="CONSOMMATION"),0,OPERATIONS!$G69)</f>
        <v>0</v>
      </c>
      <c r="N369" s="73" t="n">
        <f aca="false">IF($M369=0,0,OPERATIONS!$R69*$M369)</f>
        <v>0</v>
      </c>
      <c r="O369" s="26" t="str">
        <f aca="false">IF($M369=0,"",OPERATIONS!$Q69)</f>
        <v/>
      </c>
      <c r="P369" s="26" t="str">
        <f aca="false">IF($G369="","",IF($G369=R_LOT,COUNTIF($G$5:$G369,R_LOT),""))</f>
        <v/>
      </c>
    </row>
    <row r="370" customFormat="false" ht="15" hidden="false" customHeight="false" outlineLevel="0" collapsed="false">
      <c r="A370" s="28" t="str">
        <f aca="false">IF($M370=0,"",ROW()-4)</f>
        <v/>
      </c>
      <c r="B370" s="26" t="str">
        <f aca="false">IF($M370=0,"","OPERATIONS")</f>
        <v/>
      </c>
      <c r="C370" s="26" t="str">
        <f aca="false">IF($M370=0,"",OPERATIONS!$A70)</f>
        <v/>
      </c>
      <c r="D370" s="31" t="str">
        <f aca="false">IF($M370=0,"",OPERATIONS!$B70)</f>
        <v/>
      </c>
      <c r="E370" s="26" t="str">
        <f aca="false">IF($M370=0,"",IF($M370&lt;0,"SORTIE","ENTREE"))</f>
        <v/>
      </c>
      <c r="F370" s="26" t="str">
        <f aca="false">IF($M370=0,"",OPERATIONS!$C70)</f>
        <v/>
      </c>
      <c r="G370" s="26" t="str">
        <f aca="false">IF($M370=0,"",OPERATIONS!$D70)</f>
        <v/>
      </c>
      <c r="H370" s="26" t="str">
        <f aca="false">IF($G370="","",IFERROR(INDEX(LOT_EXTE,MATCH($G370,LOT_KEY,0)),""))</f>
        <v/>
      </c>
      <c r="I370" s="26" t="str">
        <f aca="false">IF($M370=0,"",OPERATIONS!$F70)</f>
        <v/>
      </c>
      <c r="J370" s="26" t="str">
        <f aca="false">IF($I370="","",IFERROR(INDEX(EMPL_CLASSE,MATCH($I370,EMPL_KEY,0)),""))</f>
        <v/>
      </c>
      <c r="K370" s="26" t="str">
        <f aca="false">IF($M370=0,"",OPERATIONS!$K70)</f>
        <v/>
      </c>
      <c r="L370" s="26" t="str">
        <f aca="false">IF($G370="","",IF(IFERROR(INDEX(LOT_ETAT,MATCH($G370,LOT_KEY,0)),"")="","",INDEX(LOT_ETAT,MATCH($G370,LOT_KEY,0))))</f>
        <v/>
      </c>
      <c r="M370" s="73" t="n">
        <f aca="false">IF(OR(OPERATIONS!$O70=0,OPERATIONS!$C70="CONSOMMATION"),0,OPERATIONS!$G70)</f>
        <v>0</v>
      </c>
      <c r="N370" s="73" t="n">
        <f aca="false">IF($M370=0,0,OPERATIONS!$R70*$M370)</f>
        <v>0</v>
      </c>
      <c r="O370" s="26" t="str">
        <f aca="false">IF($M370=0,"",OPERATIONS!$Q70)</f>
        <v/>
      </c>
      <c r="P370" s="26" t="str">
        <f aca="false">IF($G370="","",IF($G370=R_LOT,COUNTIF($G$5:$G370,R_LOT),""))</f>
        <v/>
      </c>
    </row>
    <row r="371" customFormat="false" ht="15" hidden="false" customHeight="false" outlineLevel="0" collapsed="false">
      <c r="A371" s="28" t="str">
        <f aca="false">IF($M371=0,"",ROW()-4)</f>
        <v/>
      </c>
      <c r="B371" s="26" t="str">
        <f aca="false">IF($M371=0,"","OPERATIONS")</f>
        <v/>
      </c>
      <c r="C371" s="26" t="str">
        <f aca="false">IF($M371=0,"",OPERATIONS!$A71)</f>
        <v/>
      </c>
      <c r="D371" s="31" t="str">
        <f aca="false">IF($M371=0,"",OPERATIONS!$B71)</f>
        <v/>
      </c>
      <c r="E371" s="26" t="str">
        <f aca="false">IF($M371=0,"",IF($M371&lt;0,"SORTIE","ENTREE"))</f>
        <v/>
      </c>
      <c r="F371" s="26" t="str">
        <f aca="false">IF($M371=0,"",OPERATIONS!$C71)</f>
        <v/>
      </c>
      <c r="G371" s="26" t="str">
        <f aca="false">IF($M371=0,"",OPERATIONS!$D71)</f>
        <v/>
      </c>
      <c r="H371" s="26" t="str">
        <f aca="false">IF($G371="","",IFERROR(INDEX(LOT_EXTE,MATCH($G371,LOT_KEY,0)),""))</f>
        <v/>
      </c>
      <c r="I371" s="26" t="str">
        <f aca="false">IF($M371=0,"",OPERATIONS!$F71)</f>
        <v/>
      </c>
      <c r="J371" s="26" t="str">
        <f aca="false">IF($I371="","",IFERROR(INDEX(EMPL_CLASSE,MATCH($I371,EMPL_KEY,0)),""))</f>
        <v/>
      </c>
      <c r="K371" s="26" t="str">
        <f aca="false">IF($M371=0,"",OPERATIONS!$K71)</f>
        <v/>
      </c>
      <c r="L371" s="26" t="str">
        <f aca="false">IF($G371="","",IF(IFERROR(INDEX(LOT_ETAT,MATCH($G371,LOT_KEY,0)),"")="","",INDEX(LOT_ETAT,MATCH($G371,LOT_KEY,0))))</f>
        <v/>
      </c>
      <c r="M371" s="73" t="n">
        <f aca="false">IF(OR(OPERATIONS!$O71=0,OPERATIONS!$C71="CONSOMMATION"),0,OPERATIONS!$G71)</f>
        <v>0</v>
      </c>
      <c r="N371" s="73" t="n">
        <f aca="false">IF($M371=0,0,OPERATIONS!$R71*$M371)</f>
        <v>0</v>
      </c>
      <c r="O371" s="26" t="str">
        <f aca="false">IF($M371=0,"",OPERATIONS!$Q71)</f>
        <v/>
      </c>
      <c r="P371" s="26" t="str">
        <f aca="false">IF($G371="","",IF($G371=R_LOT,COUNTIF($G$5:$G371,R_LOT),""))</f>
        <v/>
      </c>
    </row>
    <row r="372" customFormat="false" ht="15" hidden="false" customHeight="false" outlineLevel="0" collapsed="false">
      <c r="A372" s="28" t="str">
        <f aca="false">IF($M372=0,"",ROW()-4)</f>
        <v/>
      </c>
      <c r="B372" s="26" t="str">
        <f aca="false">IF($M372=0,"","OPERATIONS")</f>
        <v/>
      </c>
      <c r="C372" s="26" t="str">
        <f aca="false">IF($M372=0,"",OPERATIONS!$A72)</f>
        <v/>
      </c>
      <c r="D372" s="31" t="str">
        <f aca="false">IF($M372=0,"",OPERATIONS!$B72)</f>
        <v/>
      </c>
      <c r="E372" s="26" t="str">
        <f aca="false">IF($M372=0,"",IF($M372&lt;0,"SORTIE","ENTREE"))</f>
        <v/>
      </c>
      <c r="F372" s="26" t="str">
        <f aca="false">IF($M372=0,"",OPERATIONS!$C72)</f>
        <v/>
      </c>
      <c r="G372" s="26" t="str">
        <f aca="false">IF($M372=0,"",OPERATIONS!$D72)</f>
        <v/>
      </c>
      <c r="H372" s="26" t="str">
        <f aca="false">IF($G372="","",IFERROR(INDEX(LOT_EXTE,MATCH($G372,LOT_KEY,0)),""))</f>
        <v/>
      </c>
      <c r="I372" s="26" t="str">
        <f aca="false">IF($M372=0,"",OPERATIONS!$F72)</f>
        <v/>
      </c>
      <c r="J372" s="26" t="str">
        <f aca="false">IF($I372="","",IFERROR(INDEX(EMPL_CLASSE,MATCH($I372,EMPL_KEY,0)),""))</f>
        <v/>
      </c>
      <c r="K372" s="26" t="str">
        <f aca="false">IF($M372=0,"",OPERATIONS!$K72)</f>
        <v/>
      </c>
      <c r="L372" s="26" t="str">
        <f aca="false">IF($G372="","",IF(IFERROR(INDEX(LOT_ETAT,MATCH($G372,LOT_KEY,0)),"")="","",INDEX(LOT_ETAT,MATCH($G372,LOT_KEY,0))))</f>
        <v/>
      </c>
      <c r="M372" s="73" t="n">
        <f aca="false">IF(OR(OPERATIONS!$O72=0,OPERATIONS!$C72="CONSOMMATION"),0,OPERATIONS!$G72)</f>
        <v>0</v>
      </c>
      <c r="N372" s="73" t="n">
        <f aca="false">IF($M372=0,0,OPERATIONS!$R72*$M372)</f>
        <v>0</v>
      </c>
      <c r="O372" s="26" t="str">
        <f aca="false">IF($M372=0,"",OPERATIONS!$Q72)</f>
        <v/>
      </c>
      <c r="P372" s="26" t="str">
        <f aca="false">IF($G372="","",IF($G372=R_LOT,COUNTIF($G$5:$G372,R_LOT),""))</f>
        <v/>
      </c>
    </row>
    <row r="373" customFormat="false" ht="15" hidden="false" customHeight="false" outlineLevel="0" collapsed="false">
      <c r="A373" s="28" t="str">
        <f aca="false">IF($M373=0,"",ROW()-4)</f>
        <v/>
      </c>
      <c r="B373" s="26" t="str">
        <f aca="false">IF($M373=0,"","OPERATIONS")</f>
        <v/>
      </c>
      <c r="C373" s="26" t="str">
        <f aca="false">IF($M373=0,"",OPERATIONS!$A73)</f>
        <v/>
      </c>
      <c r="D373" s="31" t="str">
        <f aca="false">IF($M373=0,"",OPERATIONS!$B73)</f>
        <v/>
      </c>
      <c r="E373" s="26" t="str">
        <f aca="false">IF($M373=0,"",IF($M373&lt;0,"SORTIE","ENTREE"))</f>
        <v/>
      </c>
      <c r="F373" s="26" t="str">
        <f aca="false">IF($M373=0,"",OPERATIONS!$C73)</f>
        <v/>
      </c>
      <c r="G373" s="26" t="str">
        <f aca="false">IF($M373=0,"",OPERATIONS!$D73)</f>
        <v/>
      </c>
      <c r="H373" s="26" t="str">
        <f aca="false">IF($G373="","",IFERROR(INDEX(LOT_EXTE,MATCH($G373,LOT_KEY,0)),""))</f>
        <v/>
      </c>
      <c r="I373" s="26" t="str">
        <f aca="false">IF($M373=0,"",OPERATIONS!$F73)</f>
        <v/>
      </c>
      <c r="J373" s="26" t="str">
        <f aca="false">IF($I373="","",IFERROR(INDEX(EMPL_CLASSE,MATCH($I373,EMPL_KEY,0)),""))</f>
        <v/>
      </c>
      <c r="K373" s="26" t="str">
        <f aca="false">IF($M373=0,"",OPERATIONS!$K73)</f>
        <v/>
      </c>
      <c r="L373" s="26" t="str">
        <f aca="false">IF($G373="","",IF(IFERROR(INDEX(LOT_ETAT,MATCH($G373,LOT_KEY,0)),"")="","",INDEX(LOT_ETAT,MATCH($G373,LOT_KEY,0))))</f>
        <v/>
      </c>
      <c r="M373" s="73" t="n">
        <f aca="false">IF(OR(OPERATIONS!$O73=0,OPERATIONS!$C73="CONSOMMATION"),0,OPERATIONS!$G73)</f>
        <v>0</v>
      </c>
      <c r="N373" s="73" t="n">
        <f aca="false">IF($M373=0,0,OPERATIONS!$R73*$M373)</f>
        <v>0</v>
      </c>
      <c r="O373" s="26" t="str">
        <f aca="false">IF($M373=0,"",OPERATIONS!$Q73)</f>
        <v/>
      </c>
      <c r="P373" s="26" t="str">
        <f aca="false">IF($G373="","",IF($G373=R_LOT,COUNTIF($G$5:$G373,R_LOT),""))</f>
        <v/>
      </c>
    </row>
    <row r="374" customFormat="false" ht="15" hidden="false" customHeight="false" outlineLevel="0" collapsed="false">
      <c r="A374" s="28" t="str">
        <f aca="false">IF($M374=0,"",ROW()-4)</f>
        <v/>
      </c>
      <c r="B374" s="26" t="str">
        <f aca="false">IF($M374=0,"","OPERATIONS")</f>
        <v/>
      </c>
      <c r="C374" s="26" t="str">
        <f aca="false">IF($M374=0,"",OPERATIONS!$A74)</f>
        <v/>
      </c>
      <c r="D374" s="31" t="str">
        <f aca="false">IF($M374=0,"",OPERATIONS!$B74)</f>
        <v/>
      </c>
      <c r="E374" s="26" t="str">
        <f aca="false">IF($M374=0,"",IF($M374&lt;0,"SORTIE","ENTREE"))</f>
        <v/>
      </c>
      <c r="F374" s="26" t="str">
        <f aca="false">IF($M374=0,"",OPERATIONS!$C74)</f>
        <v/>
      </c>
      <c r="G374" s="26" t="str">
        <f aca="false">IF($M374=0,"",OPERATIONS!$D74)</f>
        <v/>
      </c>
      <c r="H374" s="26" t="str">
        <f aca="false">IF($G374="","",IFERROR(INDEX(LOT_EXTE,MATCH($G374,LOT_KEY,0)),""))</f>
        <v/>
      </c>
      <c r="I374" s="26" t="str">
        <f aca="false">IF($M374=0,"",OPERATIONS!$F74)</f>
        <v/>
      </c>
      <c r="J374" s="26" t="str">
        <f aca="false">IF($I374="","",IFERROR(INDEX(EMPL_CLASSE,MATCH($I374,EMPL_KEY,0)),""))</f>
        <v/>
      </c>
      <c r="K374" s="26" t="str">
        <f aca="false">IF($M374=0,"",OPERATIONS!$K74)</f>
        <v/>
      </c>
      <c r="L374" s="26" t="str">
        <f aca="false">IF($G374="","",IF(IFERROR(INDEX(LOT_ETAT,MATCH($G374,LOT_KEY,0)),"")="","",INDEX(LOT_ETAT,MATCH($G374,LOT_KEY,0))))</f>
        <v/>
      </c>
      <c r="M374" s="73" t="n">
        <f aca="false">IF(OR(OPERATIONS!$O74=0,OPERATIONS!$C74="CONSOMMATION"),0,OPERATIONS!$G74)</f>
        <v>0</v>
      </c>
      <c r="N374" s="73" t="n">
        <f aca="false">IF($M374=0,0,OPERATIONS!$R74*$M374)</f>
        <v>0</v>
      </c>
      <c r="O374" s="26" t="str">
        <f aca="false">IF($M374=0,"",OPERATIONS!$Q74)</f>
        <v/>
      </c>
      <c r="P374" s="26" t="str">
        <f aca="false">IF($G374="","",IF($G374=R_LOT,COUNTIF($G$5:$G374,R_LOT),""))</f>
        <v/>
      </c>
    </row>
    <row r="375" customFormat="false" ht="15" hidden="false" customHeight="false" outlineLevel="0" collapsed="false">
      <c r="A375" s="28" t="str">
        <f aca="false">IF($M375=0,"",ROW()-4)</f>
        <v/>
      </c>
      <c r="B375" s="26" t="str">
        <f aca="false">IF($M375=0,"","OPERATIONS")</f>
        <v/>
      </c>
      <c r="C375" s="26" t="str">
        <f aca="false">IF($M375=0,"",OPERATIONS!$A75)</f>
        <v/>
      </c>
      <c r="D375" s="31" t="str">
        <f aca="false">IF($M375=0,"",OPERATIONS!$B75)</f>
        <v/>
      </c>
      <c r="E375" s="26" t="str">
        <f aca="false">IF($M375=0,"",IF($M375&lt;0,"SORTIE","ENTREE"))</f>
        <v/>
      </c>
      <c r="F375" s="26" t="str">
        <f aca="false">IF($M375=0,"",OPERATIONS!$C75)</f>
        <v/>
      </c>
      <c r="G375" s="26" t="str">
        <f aca="false">IF($M375=0,"",OPERATIONS!$D75)</f>
        <v/>
      </c>
      <c r="H375" s="26" t="str">
        <f aca="false">IF($G375="","",IFERROR(INDEX(LOT_EXTE,MATCH($G375,LOT_KEY,0)),""))</f>
        <v/>
      </c>
      <c r="I375" s="26" t="str">
        <f aca="false">IF($M375=0,"",OPERATIONS!$F75)</f>
        <v/>
      </c>
      <c r="J375" s="26" t="str">
        <f aca="false">IF($I375="","",IFERROR(INDEX(EMPL_CLASSE,MATCH($I375,EMPL_KEY,0)),""))</f>
        <v/>
      </c>
      <c r="K375" s="26" t="str">
        <f aca="false">IF($M375=0,"",OPERATIONS!$K75)</f>
        <v/>
      </c>
      <c r="L375" s="26" t="str">
        <f aca="false">IF($G375="","",IF(IFERROR(INDEX(LOT_ETAT,MATCH($G375,LOT_KEY,0)),"")="","",INDEX(LOT_ETAT,MATCH($G375,LOT_KEY,0))))</f>
        <v/>
      </c>
      <c r="M375" s="73" t="n">
        <f aca="false">IF(OR(OPERATIONS!$O75=0,OPERATIONS!$C75="CONSOMMATION"),0,OPERATIONS!$G75)</f>
        <v>0</v>
      </c>
      <c r="N375" s="73" t="n">
        <f aca="false">IF($M375=0,0,OPERATIONS!$R75*$M375)</f>
        <v>0</v>
      </c>
      <c r="O375" s="26" t="str">
        <f aca="false">IF($M375=0,"",OPERATIONS!$Q75)</f>
        <v/>
      </c>
      <c r="P375" s="26" t="str">
        <f aca="false">IF($G375="","",IF($G375=R_LOT,COUNTIF($G$5:$G375,R_LOT),""))</f>
        <v/>
      </c>
    </row>
    <row r="376" customFormat="false" ht="15" hidden="false" customHeight="false" outlineLevel="0" collapsed="false">
      <c r="A376" s="28" t="str">
        <f aca="false">IF($M376=0,"",ROW()-4)</f>
        <v/>
      </c>
      <c r="B376" s="26" t="str">
        <f aca="false">IF($M376=0,"","OPERATIONS")</f>
        <v/>
      </c>
      <c r="C376" s="26" t="str">
        <f aca="false">IF($M376=0,"",OPERATIONS!$A76)</f>
        <v/>
      </c>
      <c r="D376" s="31" t="str">
        <f aca="false">IF($M376=0,"",OPERATIONS!$B76)</f>
        <v/>
      </c>
      <c r="E376" s="26" t="str">
        <f aca="false">IF($M376=0,"",IF($M376&lt;0,"SORTIE","ENTREE"))</f>
        <v/>
      </c>
      <c r="F376" s="26" t="str">
        <f aca="false">IF($M376=0,"",OPERATIONS!$C76)</f>
        <v/>
      </c>
      <c r="G376" s="26" t="str">
        <f aca="false">IF($M376=0,"",OPERATIONS!$D76)</f>
        <v/>
      </c>
      <c r="H376" s="26" t="str">
        <f aca="false">IF($G376="","",IFERROR(INDEX(LOT_EXTE,MATCH($G376,LOT_KEY,0)),""))</f>
        <v/>
      </c>
      <c r="I376" s="26" t="str">
        <f aca="false">IF($M376=0,"",OPERATIONS!$F76)</f>
        <v/>
      </c>
      <c r="J376" s="26" t="str">
        <f aca="false">IF($I376="","",IFERROR(INDEX(EMPL_CLASSE,MATCH($I376,EMPL_KEY,0)),""))</f>
        <v/>
      </c>
      <c r="K376" s="26" t="str">
        <f aca="false">IF($M376=0,"",OPERATIONS!$K76)</f>
        <v/>
      </c>
      <c r="L376" s="26" t="str">
        <f aca="false">IF($G376="","",IF(IFERROR(INDEX(LOT_ETAT,MATCH($G376,LOT_KEY,0)),"")="","",INDEX(LOT_ETAT,MATCH($G376,LOT_KEY,0))))</f>
        <v/>
      </c>
      <c r="M376" s="73" t="n">
        <f aca="false">IF(OR(OPERATIONS!$O76=0,OPERATIONS!$C76="CONSOMMATION"),0,OPERATIONS!$G76)</f>
        <v>0</v>
      </c>
      <c r="N376" s="73" t="n">
        <f aca="false">IF($M376=0,0,OPERATIONS!$R76*$M376)</f>
        <v>0</v>
      </c>
      <c r="O376" s="26" t="str">
        <f aca="false">IF($M376=0,"",OPERATIONS!$Q76)</f>
        <v/>
      </c>
      <c r="P376" s="26" t="str">
        <f aca="false">IF($G376="","",IF($G376=R_LOT,COUNTIF($G$5:$G376,R_LOT),""))</f>
        <v/>
      </c>
    </row>
    <row r="377" customFormat="false" ht="15" hidden="false" customHeight="false" outlineLevel="0" collapsed="false">
      <c r="A377" s="28" t="str">
        <f aca="false">IF($M377=0,"",ROW()-4)</f>
        <v/>
      </c>
      <c r="B377" s="26" t="str">
        <f aca="false">IF($M377=0,"","OPERATIONS")</f>
        <v/>
      </c>
      <c r="C377" s="26" t="str">
        <f aca="false">IF($M377=0,"",OPERATIONS!$A77)</f>
        <v/>
      </c>
      <c r="D377" s="31" t="str">
        <f aca="false">IF($M377=0,"",OPERATIONS!$B77)</f>
        <v/>
      </c>
      <c r="E377" s="26" t="str">
        <f aca="false">IF($M377=0,"",IF($M377&lt;0,"SORTIE","ENTREE"))</f>
        <v/>
      </c>
      <c r="F377" s="26" t="str">
        <f aca="false">IF($M377=0,"",OPERATIONS!$C77)</f>
        <v/>
      </c>
      <c r="G377" s="26" t="str">
        <f aca="false">IF($M377=0,"",OPERATIONS!$D77)</f>
        <v/>
      </c>
      <c r="H377" s="26" t="str">
        <f aca="false">IF($G377="","",IFERROR(INDEX(LOT_EXTE,MATCH($G377,LOT_KEY,0)),""))</f>
        <v/>
      </c>
      <c r="I377" s="26" t="str">
        <f aca="false">IF($M377=0,"",OPERATIONS!$F77)</f>
        <v/>
      </c>
      <c r="J377" s="26" t="str">
        <f aca="false">IF($I377="","",IFERROR(INDEX(EMPL_CLASSE,MATCH($I377,EMPL_KEY,0)),""))</f>
        <v/>
      </c>
      <c r="K377" s="26" t="str">
        <f aca="false">IF($M377=0,"",OPERATIONS!$K77)</f>
        <v/>
      </c>
      <c r="L377" s="26" t="str">
        <f aca="false">IF($G377="","",IF(IFERROR(INDEX(LOT_ETAT,MATCH($G377,LOT_KEY,0)),"")="","",INDEX(LOT_ETAT,MATCH($G377,LOT_KEY,0))))</f>
        <v/>
      </c>
      <c r="M377" s="73" t="n">
        <f aca="false">IF(OR(OPERATIONS!$O77=0,OPERATIONS!$C77="CONSOMMATION"),0,OPERATIONS!$G77)</f>
        <v>0</v>
      </c>
      <c r="N377" s="73" t="n">
        <f aca="false">IF($M377=0,0,OPERATIONS!$R77*$M377)</f>
        <v>0</v>
      </c>
      <c r="O377" s="26" t="str">
        <f aca="false">IF($M377=0,"",OPERATIONS!$Q77)</f>
        <v/>
      </c>
      <c r="P377" s="26" t="str">
        <f aca="false">IF($G377="","",IF($G377=R_LOT,COUNTIF($G$5:$G377,R_LOT),""))</f>
        <v/>
      </c>
    </row>
    <row r="378" customFormat="false" ht="15" hidden="false" customHeight="false" outlineLevel="0" collapsed="false">
      <c r="A378" s="28" t="str">
        <f aca="false">IF($M378=0,"",ROW()-4)</f>
        <v/>
      </c>
      <c r="B378" s="26" t="str">
        <f aca="false">IF($M378=0,"","OPERATIONS")</f>
        <v/>
      </c>
      <c r="C378" s="26" t="str">
        <f aca="false">IF($M378=0,"",OPERATIONS!$A78)</f>
        <v/>
      </c>
      <c r="D378" s="31" t="str">
        <f aca="false">IF($M378=0,"",OPERATIONS!$B78)</f>
        <v/>
      </c>
      <c r="E378" s="26" t="str">
        <f aca="false">IF($M378=0,"",IF($M378&lt;0,"SORTIE","ENTREE"))</f>
        <v/>
      </c>
      <c r="F378" s="26" t="str">
        <f aca="false">IF($M378=0,"",OPERATIONS!$C78)</f>
        <v/>
      </c>
      <c r="G378" s="26" t="str">
        <f aca="false">IF($M378=0,"",OPERATIONS!$D78)</f>
        <v/>
      </c>
      <c r="H378" s="26" t="str">
        <f aca="false">IF($G378="","",IFERROR(INDEX(LOT_EXTE,MATCH($G378,LOT_KEY,0)),""))</f>
        <v/>
      </c>
      <c r="I378" s="26" t="str">
        <f aca="false">IF($M378=0,"",OPERATIONS!$F78)</f>
        <v/>
      </c>
      <c r="J378" s="26" t="str">
        <f aca="false">IF($I378="","",IFERROR(INDEX(EMPL_CLASSE,MATCH($I378,EMPL_KEY,0)),""))</f>
        <v/>
      </c>
      <c r="K378" s="26" t="str">
        <f aca="false">IF($M378=0,"",OPERATIONS!$K78)</f>
        <v/>
      </c>
      <c r="L378" s="26" t="str">
        <f aca="false">IF($G378="","",IF(IFERROR(INDEX(LOT_ETAT,MATCH($G378,LOT_KEY,0)),"")="","",INDEX(LOT_ETAT,MATCH($G378,LOT_KEY,0))))</f>
        <v/>
      </c>
      <c r="M378" s="73" t="n">
        <f aca="false">IF(OR(OPERATIONS!$O78=0,OPERATIONS!$C78="CONSOMMATION"),0,OPERATIONS!$G78)</f>
        <v>0</v>
      </c>
      <c r="N378" s="73" t="n">
        <f aca="false">IF($M378=0,0,OPERATIONS!$R78*$M378)</f>
        <v>0</v>
      </c>
      <c r="O378" s="26" t="str">
        <f aca="false">IF($M378=0,"",OPERATIONS!$Q78)</f>
        <v/>
      </c>
      <c r="P378" s="26" t="str">
        <f aca="false">IF($G378="","",IF($G378=R_LOT,COUNTIF($G$5:$G378,R_LOT),""))</f>
        <v/>
      </c>
    </row>
    <row r="379" customFormat="false" ht="15" hidden="false" customHeight="false" outlineLevel="0" collapsed="false">
      <c r="A379" s="28" t="str">
        <f aca="false">IF($M379=0,"",ROW()-4)</f>
        <v/>
      </c>
      <c r="B379" s="26" t="str">
        <f aca="false">IF($M379=0,"","OPERATIONS")</f>
        <v/>
      </c>
      <c r="C379" s="26" t="str">
        <f aca="false">IF($M379=0,"",OPERATIONS!$A79)</f>
        <v/>
      </c>
      <c r="D379" s="31" t="str">
        <f aca="false">IF($M379=0,"",OPERATIONS!$B79)</f>
        <v/>
      </c>
      <c r="E379" s="26" t="str">
        <f aca="false">IF($M379=0,"",IF($M379&lt;0,"SORTIE","ENTREE"))</f>
        <v/>
      </c>
      <c r="F379" s="26" t="str">
        <f aca="false">IF($M379=0,"",OPERATIONS!$C79)</f>
        <v/>
      </c>
      <c r="G379" s="26" t="str">
        <f aca="false">IF($M379=0,"",OPERATIONS!$D79)</f>
        <v/>
      </c>
      <c r="H379" s="26" t="str">
        <f aca="false">IF($G379="","",IFERROR(INDEX(LOT_EXTE,MATCH($G379,LOT_KEY,0)),""))</f>
        <v/>
      </c>
      <c r="I379" s="26" t="str">
        <f aca="false">IF($M379=0,"",OPERATIONS!$F79)</f>
        <v/>
      </c>
      <c r="J379" s="26" t="str">
        <f aca="false">IF($I379="","",IFERROR(INDEX(EMPL_CLASSE,MATCH($I379,EMPL_KEY,0)),""))</f>
        <v/>
      </c>
      <c r="K379" s="26" t="str">
        <f aca="false">IF($M379=0,"",OPERATIONS!$K79)</f>
        <v/>
      </c>
      <c r="L379" s="26" t="str">
        <f aca="false">IF($G379="","",IF(IFERROR(INDEX(LOT_ETAT,MATCH($G379,LOT_KEY,0)),"")="","",INDEX(LOT_ETAT,MATCH($G379,LOT_KEY,0))))</f>
        <v/>
      </c>
      <c r="M379" s="73" t="n">
        <f aca="false">IF(OR(OPERATIONS!$O79=0,OPERATIONS!$C79="CONSOMMATION"),0,OPERATIONS!$G79)</f>
        <v>0</v>
      </c>
      <c r="N379" s="73" t="n">
        <f aca="false">IF($M379=0,0,OPERATIONS!$R79*$M379)</f>
        <v>0</v>
      </c>
      <c r="O379" s="26" t="str">
        <f aca="false">IF($M379=0,"",OPERATIONS!$Q79)</f>
        <v/>
      </c>
      <c r="P379" s="26" t="str">
        <f aca="false">IF($G379="","",IF($G379=R_LOT,COUNTIF($G$5:$G379,R_LOT),""))</f>
        <v/>
      </c>
    </row>
    <row r="380" customFormat="false" ht="15" hidden="false" customHeight="false" outlineLevel="0" collapsed="false">
      <c r="A380" s="28" t="str">
        <f aca="false">IF($M380=0,"",ROW()-4)</f>
        <v/>
      </c>
      <c r="B380" s="26" t="str">
        <f aca="false">IF($M380=0,"","OPERATIONS")</f>
        <v/>
      </c>
      <c r="C380" s="26" t="str">
        <f aca="false">IF($M380=0,"",OPERATIONS!$A80)</f>
        <v/>
      </c>
      <c r="D380" s="31" t="str">
        <f aca="false">IF($M380=0,"",OPERATIONS!$B80)</f>
        <v/>
      </c>
      <c r="E380" s="26" t="str">
        <f aca="false">IF($M380=0,"",IF($M380&lt;0,"SORTIE","ENTREE"))</f>
        <v/>
      </c>
      <c r="F380" s="26" t="str">
        <f aca="false">IF($M380=0,"",OPERATIONS!$C80)</f>
        <v/>
      </c>
      <c r="G380" s="26" t="str">
        <f aca="false">IF($M380=0,"",OPERATIONS!$D80)</f>
        <v/>
      </c>
      <c r="H380" s="26" t="str">
        <f aca="false">IF($G380="","",IFERROR(INDEX(LOT_EXTE,MATCH($G380,LOT_KEY,0)),""))</f>
        <v/>
      </c>
      <c r="I380" s="26" t="str">
        <f aca="false">IF($M380=0,"",OPERATIONS!$F80)</f>
        <v/>
      </c>
      <c r="J380" s="26" t="str">
        <f aca="false">IF($I380="","",IFERROR(INDEX(EMPL_CLASSE,MATCH($I380,EMPL_KEY,0)),""))</f>
        <v/>
      </c>
      <c r="K380" s="26" t="str">
        <f aca="false">IF($M380=0,"",OPERATIONS!$K80)</f>
        <v/>
      </c>
      <c r="L380" s="26" t="str">
        <f aca="false">IF($G380="","",IF(IFERROR(INDEX(LOT_ETAT,MATCH($G380,LOT_KEY,0)),"")="","",INDEX(LOT_ETAT,MATCH($G380,LOT_KEY,0))))</f>
        <v/>
      </c>
      <c r="M380" s="73" t="n">
        <f aca="false">IF(OR(OPERATIONS!$O80=0,OPERATIONS!$C80="CONSOMMATION"),0,OPERATIONS!$G80)</f>
        <v>0</v>
      </c>
      <c r="N380" s="73" t="n">
        <f aca="false">IF($M380=0,0,OPERATIONS!$R80*$M380)</f>
        <v>0</v>
      </c>
      <c r="O380" s="26" t="str">
        <f aca="false">IF($M380=0,"",OPERATIONS!$Q80)</f>
        <v/>
      </c>
      <c r="P380" s="26" t="str">
        <f aca="false">IF($G380="","",IF($G380=R_LOT,COUNTIF($G$5:$G380,R_LOT),""))</f>
        <v/>
      </c>
    </row>
    <row r="381" customFormat="false" ht="15" hidden="false" customHeight="false" outlineLevel="0" collapsed="false">
      <c r="A381" s="28" t="str">
        <f aca="false">IF($M381=0,"",ROW()-4)</f>
        <v/>
      </c>
      <c r="B381" s="26" t="str">
        <f aca="false">IF($M381=0,"","OPERATIONS")</f>
        <v/>
      </c>
      <c r="C381" s="26" t="str">
        <f aca="false">IF($M381=0,"",OPERATIONS!$A81)</f>
        <v/>
      </c>
      <c r="D381" s="31" t="str">
        <f aca="false">IF($M381=0,"",OPERATIONS!$B81)</f>
        <v/>
      </c>
      <c r="E381" s="26" t="str">
        <f aca="false">IF($M381=0,"",IF($M381&lt;0,"SORTIE","ENTREE"))</f>
        <v/>
      </c>
      <c r="F381" s="26" t="str">
        <f aca="false">IF($M381=0,"",OPERATIONS!$C81)</f>
        <v/>
      </c>
      <c r="G381" s="26" t="str">
        <f aca="false">IF($M381=0,"",OPERATIONS!$D81)</f>
        <v/>
      </c>
      <c r="H381" s="26" t="str">
        <f aca="false">IF($G381="","",IFERROR(INDEX(LOT_EXTE,MATCH($G381,LOT_KEY,0)),""))</f>
        <v/>
      </c>
      <c r="I381" s="26" t="str">
        <f aca="false">IF($M381=0,"",OPERATIONS!$F81)</f>
        <v/>
      </c>
      <c r="J381" s="26" t="str">
        <f aca="false">IF($I381="","",IFERROR(INDEX(EMPL_CLASSE,MATCH($I381,EMPL_KEY,0)),""))</f>
        <v/>
      </c>
      <c r="K381" s="26" t="str">
        <f aca="false">IF($M381=0,"",OPERATIONS!$K81)</f>
        <v/>
      </c>
      <c r="L381" s="26" t="str">
        <f aca="false">IF($G381="","",IF(IFERROR(INDEX(LOT_ETAT,MATCH($G381,LOT_KEY,0)),"")="","",INDEX(LOT_ETAT,MATCH($G381,LOT_KEY,0))))</f>
        <v/>
      </c>
      <c r="M381" s="73" t="n">
        <f aca="false">IF(OR(OPERATIONS!$O81=0,OPERATIONS!$C81="CONSOMMATION"),0,OPERATIONS!$G81)</f>
        <v>0</v>
      </c>
      <c r="N381" s="73" t="n">
        <f aca="false">IF($M381=0,0,OPERATIONS!$R81*$M381)</f>
        <v>0</v>
      </c>
      <c r="O381" s="26" t="str">
        <f aca="false">IF($M381=0,"",OPERATIONS!$Q81)</f>
        <v/>
      </c>
      <c r="P381" s="26" t="str">
        <f aca="false">IF($G381="","",IF($G381=R_LOT,COUNTIF($G$5:$G381,R_LOT),""))</f>
        <v/>
      </c>
    </row>
    <row r="382" customFormat="false" ht="15" hidden="false" customHeight="false" outlineLevel="0" collapsed="false">
      <c r="A382" s="28" t="str">
        <f aca="false">IF($M382=0,"",ROW()-4)</f>
        <v/>
      </c>
      <c r="B382" s="26" t="str">
        <f aca="false">IF($M382=0,"","OPERATIONS")</f>
        <v/>
      </c>
      <c r="C382" s="26" t="str">
        <f aca="false">IF($M382=0,"",OPERATIONS!$A82)</f>
        <v/>
      </c>
      <c r="D382" s="31" t="str">
        <f aca="false">IF($M382=0,"",OPERATIONS!$B82)</f>
        <v/>
      </c>
      <c r="E382" s="26" t="str">
        <f aca="false">IF($M382=0,"",IF($M382&lt;0,"SORTIE","ENTREE"))</f>
        <v/>
      </c>
      <c r="F382" s="26" t="str">
        <f aca="false">IF($M382=0,"",OPERATIONS!$C82)</f>
        <v/>
      </c>
      <c r="G382" s="26" t="str">
        <f aca="false">IF($M382=0,"",OPERATIONS!$D82)</f>
        <v/>
      </c>
      <c r="H382" s="26" t="str">
        <f aca="false">IF($G382="","",IFERROR(INDEX(LOT_EXTE,MATCH($G382,LOT_KEY,0)),""))</f>
        <v/>
      </c>
      <c r="I382" s="26" t="str">
        <f aca="false">IF($M382=0,"",OPERATIONS!$F82)</f>
        <v/>
      </c>
      <c r="J382" s="26" t="str">
        <f aca="false">IF($I382="","",IFERROR(INDEX(EMPL_CLASSE,MATCH($I382,EMPL_KEY,0)),""))</f>
        <v/>
      </c>
      <c r="K382" s="26" t="str">
        <f aca="false">IF($M382=0,"",OPERATIONS!$K82)</f>
        <v/>
      </c>
      <c r="L382" s="26" t="str">
        <f aca="false">IF($G382="","",IF(IFERROR(INDEX(LOT_ETAT,MATCH($G382,LOT_KEY,0)),"")="","",INDEX(LOT_ETAT,MATCH($G382,LOT_KEY,0))))</f>
        <v/>
      </c>
      <c r="M382" s="73" t="n">
        <f aca="false">IF(OR(OPERATIONS!$O82=0,OPERATIONS!$C82="CONSOMMATION"),0,OPERATIONS!$G82)</f>
        <v>0</v>
      </c>
      <c r="N382" s="73" t="n">
        <f aca="false">IF($M382=0,0,OPERATIONS!$R82*$M382)</f>
        <v>0</v>
      </c>
      <c r="O382" s="26" t="str">
        <f aca="false">IF($M382=0,"",OPERATIONS!$Q82)</f>
        <v/>
      </c>
      <c r="P382" s="26" t="str">
        <f aca="false">IF($G382="","",IF($G382=R_LOT,COUNTIF($G$5:$G382,R_LOT),""))</f>
        <v/>
      </c>
    </row>
    <row r="383" customFormat="false" ht="15" hidden="false" customHeight="false" outlineLevel="0" collapsed="false">
      <c r="A383" s="28" t="str">
        <f aca="false">IF($M383=0,"",ROW()-4)</f>
        <v/>
      </c>
      <c r="B383" s="26" t="str">
        <f aca="false">IF($M383=0,"","OPERATIONS")</f>
        <v/>
      </c>
      <c r="C383" s="26" t="str">
        <f aca="false">IF($M383=0,"",OPERATIONS!$A83)</f>
        <v/>
      </c>
      <c r="D383" s="31" t="str">
        <f aca="false">IF($M383=0,"",OPERATIONS!$B83)</f>
        <v/>
      </c>
      <c r="E383" s="26" t="str">
        <f aca="false">IF($M383=0,"",IF($M383&lt;0,"SORTIE","ENTREE"))</f>
        <v/>
      </c>
      <c r="F383" s="26" t="str">
        <f aca="false">IF($M383=0,"",OPERATIONS!$C83)</f>
        <v/>
      </c>
      <c r="G383" s="26" t="str">
        <f aca="false">IF($M383=0,"",OPERATIONS!$D83)</f>
        <v/>
      </c>
      <c r="H383" s="26" t="str">
        <f aca="false">IF($G383="","",IFERROR(INDEX(LOT_EXTE,MATCH($G383,LOT_KEY,0)),""))</f>
        <v/>
      </c>
      <c r="I383" s="26" t="str">
        <f aca="false">IF($M383=0,"",OPERATIONS!$F83)</f>
        <v/>
      </c>
      <c r="J383" s="26" t="str">
        <f aca="false">IF($I383="","",IFERROR(INDEX(EMPL_CLASSE,MATCH($I383,EMPL_KEY,0)),""))</f>
        <v/>
      </c>
      <c r="K383" s="26" t="str">
        <f aca="false">IF($M383=0,"",OPERATIONS!$K83)</f>
        <v/>
      </c>
      <c r="L383" s="26" t="str">
        <f aca="false">IF($G383="","",IF(IFERROR(INDEX(LOT_ETAT,MATCH($G383,LOT_KEY,0)),"")="","",INDEX(LOT_ETAT,MATCH($G383,LOT_KEY,0))))</f>
        <v/>
      </c>
      <c r="M383" s="73" t="n">
        <f aca="false">IF(OR(OPERATIONS!$O83=0,OPERATIONS!$C83="CONSOMMATION"),0,OPERATIONS!$G83)</f>
        <v>0</v>
      </c>
      <c r="N383" s="73" t="n">
        <f aca="false">IF($M383=0,0,OPERATIONS!$R83*$M383)</f>
        <v>0</v>
      </c>
      <c r="O383" s="26" t="str">
        <f aca="false">IF($M383=0,"",OPERATIONS!$Q83)</f>
        <v/>
      </c>
      <c r="P383" s="26" t="str">
        <f aca="false">IF($G383="","",IF($G383=R_LOT,COUNTIF($G$5:$G383,R_LOT),""))</f>
        <v/>
      </c>
    </row>
    <row r="384" customFormat="false" ht="15" hidden="false" customHeight="false" outlineLevel="0" collapsed="false">
      <c r="A384" s="28" t="str">
        <f aca="false">IF($M384=0,"",ROW()-4)</f>
        <v/>
      </c>
      <c r="B384" s="26" t="str">
        <f aca="false">IF($M384=0,"","OPERATIONS")</f>
        <v/>
      </c>
      <c r="C384" s="26" t="str">
        <f aca="false">IF($M384=0,"",OPERATIONS!$A84)</f>
        <v/>
      </c>
      <c r="D384" s="31" t="str">
        <f aca="false">IF($M384=0,"",OPERATIONS!$B84)</f>
        <v/>
      </c>
      <c r="E384" s="26" t="str">
        <f aca="false">IF($M384=0,"",IF($M384&lt;0,"SORTIE","ENTREE"))</f>
        <v/>
      </c>
      <c r="F384" s="26" t="str">
        <f aca="false">IF($M384=0,"",OPERATIONS!$C84)</f>
        <v/>
      </c>
      <c r="G384" s="26" t="str">
        <f aca="false">IF($M384=0,"",OPERATIONS!$D84)</f>
        <v/>
      </c>
      <c r="H384" s="26" t="str">
        <f aca="false">IF($G384="","",IFERROR(INDEX(LOT_EXTE,MATCH($G384,LOT_KEY,0)),""))</f>
        <v/>
      </c>
      <c r="I384" s="26" t="str">
        <f aca="false">IF($M384=0,"",OPERATIONS!$F84)</f>
        <v/>
      </c>
      <c r="J384" s="26" t="str">
        <f aca="false">IF($I384="","",IFERROR(INDEX(EMPL_CLASSE,MATCH($I384,EMPL_KEY,0)),""))</f>
        <v/>
      </c>
      <c r="K384" s="26" t="str">
        <f aca="false">IF($M384=0,"",OPERATIONS!$K84)</f>
        <v/>
      </c>
      <c r="L384" s="26" t="str">
        <f aca="false">IF($G384="","",IF(IFERROR(INDEX(LOT_ETAT,MATCH($G384,LOT_KEY,0)),"")="","",INDEX(LOT_ETAT,MATCH($G384,LOT_KEY,0))))</f>
        <v/>
      </c>
      <c r="M384" s="73" t="n">
        <f aca="false">IF(OR(OPERATIONS!$O84=0,OPERATIONS!$C84="CONSOMMATION"),0,OPERATIONS!$G84)</f>
        <v>0</v>
      </c>
      <c r="N384" s="73" t="n">
        <f aca="false">IF($M384=0,0,OPERATIONS!$R84*$M384)</f>
        <v>0</v>
      </c>
      <c r="O384" s="26" t="str">
        <f aca="false">IF($M384=0,"",OPERATIONS!$Q84)</f>
        <v/>
      </c>
      <c r="P384" s="26" t="str">
        <f aca="false">IF($G384="","",IF($G384=R_LOT,COUNTIF($G$5:$G384,R_LOT),""))</f>
        <v/>
      </c>
    </row>
    <row r="385" customFormat="false" ht="15" hidden="false" customHeight="false" outlineLevel="0" collapsed="false">
      <c r="A385" s="28" t="str">
        <f aca="false">IF($M385=0,"",ROW()-4)</f>
        <v/>
      </c>
      <c r="B385" s="26" t="str">
        <f aca="false">IF($M385=0,"","OPERATIONS")</f>
        <v/>
      </c>
      <c r="C385" s="26" t="str">
        <f aca="false">IF($M385=0,"",OPERATIONS!$A85)</f>
        <v/>
      </c>
      <c r="D385" s="31" t="str">
        <f aca="false">IF($M385=0,"",OPERATIONS!$B85)</f>
        <v/>
      </c>
      <c r="E385" s="26" t="str">
        <f aca="false">IF($M385=0,"",IF($M385&lt;0,"SORTIE","ENTREE"))</f>
        <v/>
      </c>
      <c r="F385" s="26" t="str">
        <f aca="false">IF($M385=0,"",OPERATIONS!$C85)</f>
        <v/>
      </c>
      <c r="G385" s="26" t="str">
        <f aca="false">IF($M385=0,"",OPERATIONS!$D85)</f>
        <v/>
      </c>
      <c r="H385" s="26" t="str">
        <f aca="false">IF($G385="","",IFERROR(INDEX(LOT_EXTE,MATCH($G385,LOT_KEY,0)),""))</f>
        <v/>
      </c>
      <c r="I385" s="26" t="str">
        <f aca="false">IF($M385=0,"",OPERATIONS!$F85)</f>
        <v/>
      </c>
      <c r="J385" s="26" t="str">
        <f aca="false">IF($I385="","",IFERROR(INDEX(EMPL_CLASSE,MATCH($I385,EMPL_KEY,0)),""))</f>
        <v/>
      </c>
      <c r="K385" s="26" t="str">
        <f aca="false">IF($M385=0,"",OPERATIONS!$K85)</f>
        <v/>
      </c>
      <c r="L385" s="26" t="str">
        <f aca="false">IF($G385="","",IF(IFERROR(INDEX(LOT_ETAT,MATCH($G385,LOT_KEY,0)),"")="","",INDEX(LOT_ETAT,MATCH($G385,LOT_KEY,0))))</f>
        <v/>
      </c>
      <c r="M385" s="73" t="n">
        <f aca="false">IF(OR(OPERATIONS!$O85=0,OPERATIONS!$C85="CONSOMMATION"),0,OPERATIONS!$G85)</f>
        <v>0</v>
      </c>
      <c r="N385" s="73" t="n">
        <f aca="false">IF($M385=0,0,OPERATIONS!$R85*$M385)</f>
        <v>0</v>
      </c>
      <c r="O385" s="26" t="str">
        <f aca="false">IF($M385=0,"",OPERATIONS!$Q85)</f>
        <v/>
      </c>
      <c r="P385" s="26" t="str">
        <f aca="false">IF($G385="","",IF($G385=R_LOT,COUNTIF($G$5:$G385,R_LOT),""))</f>
        <v/>
      </c>
    </row>
    <row r="386" customFormat="false" ht="15" hidden="false" customHeight="false" outlineLevel="0" collapsed="false">
      <c r="A386" s="28" t="str">
        <f aca="false">IF($M386=0,"",ROW()-4)</f>
        <v/>
      </c>
      <c r="B386" s="26" t="str">
        <f aca="false">IF($M386=0,"","OPERATIONS")</f>
        <v/>
      </c>
      <c r="C386" s="26" t="str">
        <f aca="false">IF($M386=0,"",OPERATIONS!$A86)</f>
        <v/>
      </c>
      <c r="D386" s="31" t="str">
        <f aca="false">IF($M386=0,"",OPERATIONS!$B86)</f>
        <v/>
      </c>
      <c r="E386" s="26" t="str">
        <f aca="false">IF($M386=0,"",IF($M386&lt;0,"SORTIE","ENTREE"))</f>
        <v/>
      </c>
      <c r="F386" s="26" t="str">
        <f aca="false">IF($M386=0,"",OPERATIONS!$C86)</f>
        <v/>
      </c>
      <c r="G386" s="26" t="str">
        <f aca="false">IF($M386=0,"",OPERATIONS!$D86)</f>
        <v/>
      </c>
      <c r="H386" s="26" t="str">
        <f aca="false">IF($G386="","",IFERROR(INDEX(LOT_EXTE,MATCH($G386,LOT_KEY,0)),""))</f>
        <v/>
      </c>
      <c r="I386" s="26" t="str">
        <f aca="false">IF($M386=0,"",OPERATIONS!$F86)</f>
        <v/>
      </c>
      <c r="J386" s="26" t="str">
        <f aca="false">IF($I386="","",IFERROR(INDEX(EMPL_CLASSE,MATCH($I386,EMPL_KEY,0)),""))</f>
        <v/>
      </c>
      <c r="K386" s="26" t="str">
        <f aca="false">IF($M386=0,"",OPERATIONS!$K86)</f>
        <v/>
      </c>
      <c r="L386" s="26" t="str">
        <f aca="false">IF($G386="","",IF(IFERROR(INDEX(LOT_ETAT,MATCH($G386,LOT_KEY,0)),"")="","",INDEX(LOT_ETAT,MATCH($G386,LOT_KEY,0))))</f>
        <v/>
      </c>
      <c r="M386" s="73" t="n">
        <f aca="false">IF(OR(OPERATIONS!$O86=0,OPERATIONS!$C86="CONSOMMATION"),0,OPERATIONS!$G86)</f>
        <v>0</v>
      </c>
      <c r="N386" s="73" t="n">
        <f aca="false">IF($M386=0,0,OPERATIONS!$R86*$M386)</f>
        <v>0</v>
      </c>
      <c r="O386" s="26" t="str">
        <f aca="false">IF($M386=0,"",OPERATIONS!$Q86)</f>
        <v/>
      </c>
      <c r="P386" s="26" t="str">
        <f aca="false">IF($G386="","",IF($G386=R_LOT,COUNTIF($G$5:$G386,R_LOT),""))</f>
        <v/>
      </c>
    </row>
    <row r="387" customFormat="false" ht="15" hidden="false" customHeight="false" outlineLevel="0" collapsed="false">
      <c r="A387" s="28" t="str">
        <f aca="false">IF($M387=0,"",ROW()-4)</f>
        <v/>
      </c>
      <c r="B387" s="26" t="str">
        <f aca="false">IF($M387=0,"","OPERATIONS")</f>
        <v/>
      </c>
      <c r="C387" s="26" t="str">
        <f aca="false">IF($M387=0,"",OPERATIONS!$A87)</f>
        <v/>
      </c>
      <c r="D387" s="31" t="str">
        <f aca="false">IF($M387=0,"",OPERATIONS!$B87)</f>
        <v/>
      </c>
      <c r="E387" s="26" t="str">
        <f aca="false">IF($M387=0,"",IF($M387&lt;0,"SORTIE","ENTREE"))</f>
        <v/>
      </c>
      <c r="F387" s="26" t="str">
        <f aca="false">IF($M387=0,"",OPERATIONS!$C87)</f>
        <v/>
      </c>
      <c r="G387" s="26" t="str">
        <f aca="false">IF($M387=0,"",OPERATIONS!$D87)</f>
        <v/>
      </c>
      <c r="H387" s="26" t="str">
        <f aca="false">IF($G387="","",IFERROR(INDEX(LOT_EXTE,MATCH($G387,LOT_KEY,0)),""))</f>
        <v/>
      </c>
      <c r="I387" s="26" t="str">
        <f aca="false">IF($M387=0,"",OPERATIONS!$F87)</f>
        <v/>
      </c>
      <c r="J387" s="26" t="str">
        <f aca="false">IF($I387="","",IFERROR(INDEX(EMPL_CLASSE,MATCH($I387,EMPL_KEY,0)),""))</f>
        <v/>
      </c>
      <c r="K387" s="26" t="str">
        <f aca="false">IF($M387=0,"",OPERATIONS!$K87)</f>
        <v/>
      </c>
      <c r="L387" s="26" t="str">
        <f aca="false">IF($G387="","",IF(IFERROR(INDEX(LOT_ETAT,MATCH($G387,LOT_KEY,0)),"")="","",INDEX(LOT_ETAT,MATCH($G387,LOT_KEY,0))))</f>
        <v/>
      </c>
      <c r="M387" s="73" t="n">
        <f aca="false">IF(OR(OPERATIONS!$O87=0,OPERATIONS!$C87="CONSOMMATION"),0,OPERATIONS!$G87)</f>
        <v>0</v>
      </c>
      <c r="N387" s="73" t="n">
        <f aca="false">IF($M387=0,0,OPERATIONS!$R87*$M387)</f>
        <v>0</v>
      </c>
      <c r="O387" s="26" t="str">
        <f aca="false">IF($M387=0,"",OPERATIONS!$Q87)</f>
        <v/>
      </c>
      <c r="P387" s="26" t="str">
        <f aca="false">IF($G387="","",IF($G387=R_LOT,COUNTIF($G$5:$G387,R_LOT),""))</f>
        <v/>
      </c>
    </row>
    <row r="388" customFormat="false" ht="15" hidden="false" customHeight="false" outlineLevel="0" collapsed="false">
      <c r="A388" s="28" t="str">
        <f aca="false">IF($M388=0,"",ROW()-4)</f>
        <v/>
      </c>
      <c r="B388" s="26" t="str">
        <f aca="false">IF($M388=0,"","OPERATIONS")</f>
        <v/>
      </c>
      <c r="C388" s="26" t="str">
        <f aca="false">IF($M388=0,"",OPERATIONS!$A88)</f>
        <v/>
      </c>
      <c r="D388" s="31" t="str">
        <f aca="false">IF($M388=0,"",OPERATIONS!$B88)</f>
        <v/>
      </c>
      <c r="E388" s="26" t="str">
        <f aca="false">IF($M388=0,"",IF($M388&lt;0,"SORTIE","ENTREE"))</f>
        <v/>
      </c>
      <c r="F388" s="26" t="str">
        <f aca="false">IF($M388=0,"",OPERATIONS!$C88)</f>
        <v/>
      </c>
      <c r="G388" s="26" t="str">
        <f aca="false">IF($M388=0,"",OPERATIONS!$D88)</f>
        <v/>
      </c>
      <c r="H388" s="26" t="str">
        <f aca="false">IF($G388="","",IFERROR(INDEX(LOT_EXTE,MATCH($G388,LOT_KEY,0)),""))</f>
        <v/>
      </c>
      <c r="I388" s="26" t="str">
        <f aca="false">IF($M388=0,"",OPERATIONS!$F88)</f>
        <v/>
      </c>
      <c r="J388" s="26" t="str">
        <f aca="false">IF($I388="","",IFERROR(INDEX(EMPL_CLASSE,MATCH($I388,EMPL_KEY,0)),""))</f>
        <v/>
      </c>
      <c r="K388" s="26" t="str">
        <f aca="false">IF($M388=0,"",OPERATIONS!$K88)</f>
        <v/>
      </c>
      <c r="L388" s="26" t="str">
        <f aca="false">IF($G388="","",IF(IFERROR(INDEX(LOT_ETAT,MATCH($G388,LOT_KEY,0)),"")="","",INDEX(LOT_ETAT,MATCH($G388,LOT_KEY,0))))</f>
        <v/>
      </c>
      <c r="M388" s="73" t="n">
        <f aca="false">IF(OR(OPERATIONS!$O88=0,OPERATIONS!$C88="CONSOMMATION"),0,OPERATIONS!$G88)</f>
        <v>0</v>
      </c>
      <c r="N388" s="73" t="n">
        <f aca="false">IF($M388=0,0,OPERATIONS!$R88*$M388)</f>
        <v>0</v>
      </c>
      <c r="O388" s="26" t="str">
        <f aca="false">IF($M388=0,"",OPERATIONS!$Q88)</f>
        <v/>
      </c>
      <c r="P388" s="26" t="str">
        <f aca="false">IF($G388="","",IF($G388=R_LOT,COUNTIF($G$5:$G388,R_LOT),""))</f>
        <v/>
      </c>
    </row>
    <row r="389" customFormat="false" ht="15" hidden="false" customHeight="false" outlineLevel="0" collapsed="false">
      <c r="A389" s="28" t="str">
        <f aca="false">IF($M389=0,"",ROW()-4)</f>
        <v/>
      </c>
      <c r="B389" s="26" t="str">
        <f aca="false">IF($M389=0,"","OPERATIONS")</f>
        <v/>
      </c>
      <c r="C389" s="26" t="str">
        <f aca="false">IF($M389=0,"",OPERATIONS!$A89)</f>
        <v/>
      </c>
      <c r="D389" s="31" t="str">
        <f aca="false">IF($M389=0,"",OPERATIONS!$B89)</f>
        <v/>
      </c>
      <c r="E389" s="26" t="str">
        <f aca="false">IF($M389=0,"",IF($M389&lt;0,"SORTIE","ENTREE"))</f>
        <v/>
      </c>
      <c r="F389" s="26" t="str">
        <f aca="false">IF($M389=0,"",OPERATIONS!$C89)</f>
        <v/>
      </c>
      <c r="G389" s="26" t="str">
        <f aca="false">IF($M389=0,"",OPERATIONS!$D89)</f>
        <v/>
      </c>
      <c r="H389" s="26" t="str">
        <f aca="false">IF($G389="","",IFERROR(INDEX(LOT_EXTE,MATCH($G389,LOT_KEY,0)),""))</f>
        <v/>
      </c>
      <c r="I389" s="26" t="str">
        <f aca="false">IF($M389=0,"",OPERATIONS!$F89)</f>
        <v/>
      </c>
      <c r="J389" s="26" t="str">
        <f aca="false">IF($I389="","",IFERROR(INDEX(EMPL_CLASSE,MATCH($I389,EMPL_KEY,0)),""))</f>
        <v/>
      </c>
      <c r="K389" s="26" t="str">
        <f aca="false">IF($M389=0,"",OPERATIONS!$K89)</f>
        <v/>
      </c>
      <c r="L389" s="26" t="str">
        <f aca="false">IF($G389="","",IF(IFERROR(INDEX(LOT_ETAT,MATCH($G389,LOT_KEY,0)),"")="","",INDEX(LOT_ETAT,MATCH($G389,LOT_KEY,0))))</f>
        <v/>
      </c>
      <c r="M389" s="73" t="n">
        <f aca="false">IF(OR(OPERATIONS!$O89=0,OPERATIONS!$C89="CONSOMMATION"),0,OPERATIONS!$G89)</f>
        <v>0</v>
      </c>
      <c r="N389" s="73" t="n">
        <f aca="false">IF($M389=0,0,OPERATIONS!$R89*$M389)</f>
        <v>0</v>
      </c>
      <c r="O389" s="26" t="str">
        <f aca="false">IF($M389=0,"",OPERATIONS!$Q89)</f>
        <v/>
      </c>
      <c r="P389" s="26" t="str">
        <f aca="false">IF($G389="","",IF($G389=R_LOT,COUNTIF($G$5:$G389,R_LOT),""))</f>
        <v/>
      </c>
    </row>
    <row r="390" customFormat="false" ht="15" hidden="false" customHeight="false" outlineLevel="0" collapsed="false">
      <c r="A390" s="28" t="str">
        <f aca="false">IF($M390=0,"",ROW()-4)</f>
        <v/>
      </c>
      <c r="B390" s="26" t="str">
        <f aca="false">IF($M390=0,"","OPERATIONS")</f>
        <v/>
      </c>
      <c r="C390" s="26" t="str">
        <f aca="false">IF($M390=0,"",OPERATIONS!$A90)</f>
        <v/>
      </c>
      <c r="D390" s="31" t="str">
        <f aca="false">IF($M390=0,"",OPERATIONS!$B90)</f>
        <v/>
      </c>
      <c r="E390" s="26" t="str">
        <f aca="false">IF($M390=0,"",IF($M390&lt;0,"SORTIE","ENTREE"))</f>
        <v/>
      </c>
      <c r="F390" s="26" t="str">
        <f aca="false">IF($M390=0,"",OPERATIONS!$C90)</f>
        <v/>
      </c>
      <c r="G390" s="26" t="str">
        <f aca="false">IF($M390=0,"",OPERATIONS!$D90)</f>
        <v/>
      </c>
      <c r="H390" s="26" t="str">
        <f aca="false">IF($G390="","",IFERROR(INDEX(LOT_EXTE,MATCH($G390,LOT_KEY,0)),""))</f>
        <v/>
      </c>
      <c r="I390" s="26" t="str">
        <f aca="false">IF($M390=0,"",OPERATIONS!$F90)</f>
        <v/>
      </c>
      <c r="J390" s="26" t="str">
        <f aca="false">IF($I390="","",IFERROR(INDEX(EMPL_CLASSE,MATCH($I390,EMPL_KEY,0)),""))</f>
        <v/>
      </c>
      <c r="K390" s="26" t="str">
        <f aca="false">IF($M390=0,"",OPERATIONS!$K90)</f>
        <v/>
      </c>
      <c r="L390" s="26" t="str">
        <f aca="false">IF($G390="","",IF(IFERROR(INDEX(LOT_ETAT,MATCH($G390,LOT_KEY,0)),"")="","",INDEX(LOT_ETAT,MATCH($G390,LOT_KEY,0))))</f>
        <v/>
      </c>
      <c r="M390" s="73" t="n">
        <f aca="false">IF(OR(OPERATIONS!$O90=0,OPERATIONS!$C90="CONSOMMATION"),0,OPERATIONS!$G90)</f>
        <v>0</v>
      </c>
      <c r="N390" s="73" t="n">
        <f aca="false">IF($M390=0,0,OPERATIONS!$R90*$M390)</f>
        <v>0</v>
      </c>
      <c r="O390" s="26" t="str">
        <f aca="false">IF($M390=0,"",OPERATIONS!$Q90)</f>
        <v/>
      </c>
      <c r="P390" s="26" t="str">
        <f aca="false">IF($G390="","",IF($G390=R_LOT,COUNTIF($G$5:$G390,R_LOT),""))</f>
        <v/>
      </c>
    </row>
    <row r="391" customFormat="false" ht="15" hidden="false" customHeight="false" outlineLevel="0" collapsed="false">
      <c r="A391" s="28" t="str">
        <f aca="false">IF($M391=0,"",ROW()-4)</f>
        <v/>
      </c>
      <c r="B391" s="26" t="str">
        <f aca="false">IF($M391=0,"","OPERATIONS")</f>
        <v/>
      </c>
      <c r="C391" s="26" t="str">
        <f aca="false">IF($M391=0,"",OPERATIONS!$A91)</f>
        <v/>
      </c>
      <c r="D391" s="31" t="str">
        <f aca="false">IF($M391=0,"",OPERATIONS!$B91)</f>
        <v/>
      </c>
      <c r="E391" s="26" t="str">
        <f aca="false">IF($M391=0,"",IF($M391&lt;0,"SORTIE","ENTREE"))</f>
        <v/>
      </c>
      <c r="F391" s="26" t="str">
        <f aca="false">IF($M391=0,"",OPERATIONS!$C91)</f>
        <v/>
      </c>
      <c r="G391" s="26" t="str">
        <f aca="false">IF($M391=0,"",OPERATIONS!$D91)</f>
        <v/>
      </c>
      <c r="H391" s="26" t="str">
        <f aca="false">IF($G391="","",IFERROR(INDEX(LOT_EXTE,MATCH($G391,LOT_KEY,0)),""))</f>
        <v/>
      </c>
      <c r="I391" s="26" t="str">
        <f aca="false">IF($M391=0,"",OPERATIONS!$F91)</f>
        <v/>
      </c>
      <c r="J391" s="26" t="str">
        <f aca="false">IF($I391="","",IFERROR(INDEX(EMPL_CLASSE,MATCH($I391,EMPL_KEY,0)),""))</f>
        <v/>
      </c>
      <c r="K391" s="26" t="str">
        <f aca="false">IF($M391=0,"",OPERATIONS!$K91)</f>
        <v/>
      </c>
      <c r="L391" s="26" t="str">
        <f aca="false">IF($G391="","",IF(IFERROR(INDEX(LOT_ETAT,MATCH($G391,LOT_KEY,0)),"")="","",INDEX(LOT_ETAT,MATCH($G391,LOT_KEY,0))))</f>
        <v/>
      </c>
      <c r="M391" s="73" t="n">
        <f aca="false">IF(OR(OPERATIONS!$O91=0,OPERATIONS!$C91="CONSOMMATION"),0,OPERATIONS!$G91)</f>
        <v>0</v>
      </c>
      <c r="N391" s="73" t="n">
        <f aca="false">IF($M391=0,0,OPERATIONS!$R91*$M391)</f>
        <v>0</v>
      </c>
      <c r="O391" s="26" t="str">
        <f aca="false">IF($M391=0,"",OPERATIONS!$Q91)</f>
        <v/>
      </c>
      <c r="P391" s="26" t="str">
        <f aca="false">IF($G391="","",IF($G391=R_LOT,COUNTIF($G$5:$G391,R_LOT),""))</f>
        <v/>
      </c>
    </row>
    <row r="392" customFormat="false" ht="15" hidden="false" customHeight="false" outlineLevel="0" collapsed="false">
      <c r="A392" s="28" t="str">
        <f aca="false">IF($M392=0,"",ROW()-4)</f>
        <v/>
      </c>
      <c r="B392" s="26" t="str">
        <f aca="false">IF($M392=0,"","OPERATIONS")</f>
        <v/>
      </c>
      <c r="C392" s="26" t="str">
        <f aca="false">IF($M392=0,"",OPERATIONS!$A92)</f>
        <v/>
      </c>
      <c r="D392" s="31" t="str">
        <f aca="false">IF($M392=0,"",OPERATIONS!$B92)</f>
        <v/>
      </c>
      <c r="E392" s="26" t="str">
        <f aca="false">IF($M392=0,"",IF($M392&lt;0,"SORTIE","ENTREE"))</f>
        <v/>
      </c>
      <c r="F392" s="26" t="str">
        <f aca="false">IF($M392=0,"",OPERATIONS!$C92)</f>
        <v/>
      </c>
      <c r="G392" s="26" t="str">
        <f aca="false">IF($M392=0,"",OPERATIONS!$D92)</f>
        <v/>
      </c>
      <c r="H392" s="26" t="str">
        <f aca="false">IF($G392="","",IFERROR(INDEX(LOT_EXTE,MATCH($G392,LOT_KEY,0)),""))</f>
        <v/>
      </c>
      <c r="I392" s="26" t="str">
        <f aca="false">IF($M392=0,"",OPERATIONS!$F92)</f>
        <v/>
      </c>
      <c r="J392" s="26" t="str">
        <f aca="false">IF($I392="","",IFERROR(INDEX(EMPL_CLASSE,MATCH($I392,EMPL_KEY,0)),""))</f>
        <v/>
      </c>
      <c r="K392" s="26" t="str">
        <f aca="false">IF($M392=0,"",OPERATIONS!$K92)</f>
        <v/>
      </c>
      <c r="L392" s="26" t="str">
        <f aca="false">IF($G392="","",IF(IFERROR(INDEX(LOT_ETAT,MATCH($G392,LOT_KEY,0)),"")="","",INDEX(LOT_ETAT,MATCH($G392,LOT_KEY,0))))</f>
        <v/>
      </c>
      <c r="M392" s="73" t="n">
        <f aca="false">IF(OR(OPERATIONS!$O92=0,OPERATIONS!$C92="CONSOMMATION"),0,OPERATIONS!$G92)</f>
        <v>0</v>
      </c>
      <c r="N392" s="73" t="n">
        <f aca="false">IF($M392=0,0,OPERATIONS!$R92*$M392)</f>
        <v>0</v>
      </c>
      <c r="O392" s="26" t="str">
        <f aca="false">IF($M392=0,"",OPERATIONS!$Q92)</f>
        <v/>
      </c>
      <c r="P392" s="26" t="str">
        <f aca="false">IF($G392="","",IF($G392=R_LOT,COUNTIF($G$5:$G392,R_LOT),""))</f>
        <v/>
      </c>
    </row>
    <row r="393" customFormat="false" ht="15" hidden="false" customHeight="false" outlineLevel="0" collapsed="false">
      <c r="A393" s="28" t="str">
        <f aca="false">IF($M393=0,"",ROW()-4)</f>
        <v/>
      </c>
      <c r="B393" s="26" t="str">
        <f aca="false">IF($M393=0,"","OPERATIONS")</f>
        <v/>
      </c>
      <c r="C393" s="26" t="str">
        <f aca="false">IF($M393=0,"",OPERATIONS!$A93)</f>
        <v/>
      </c>
      <c r="D393" s="31" t="str">
        <f aca="false">IF($M393=0,"",OPERATIONS!$B93)</f>
        <v/>
      </c>
      <c r="E393" s="26" t="str">
        <f aca="false">IF($M393=0,"",IF($M393&lt;0,"SORTIE","ENTREE"))</f>
        <v/>
      </c>
      <c r="F393" s="26" t="str">
        <f aca="false">IF($M393=0,"",OPERATIONS!$C93)</f>
        <v/>
      </c>
      <c r="G393" s="26" t="str">
        <f aca="false">IF($M393=0,"",OPERATIONS!$D93)</f>
        <v/>
      </c>
      <c r="H393" s="26" t="str">
        <f aca="false">IF($G393="","",IFERROR(INDEX(LOT_EXTE,MATCH($G393,LOT_KEY,0)),""))</f>
        <v/>
      </c>
      <c r="I393" s="26" t="str">
        <f aca="false">IF($M393=0,"",OPERATIONS!$F93)</f>
        <v/>
      </c>
      <c r="J393" s="26" t="str">
        <f aca="false">IF($I393="","",IFERROR(INDEX(EMPL_CLASSE,MATCH($I393,EMPL_KEY,0)),""))</f>
        <v/>
      </c>
      <c r="K393" s="26" t="str">
        <f aca="false">IF($M393=0,"",OPERATIONS!$K93)</f>
        <v/>
      </c>
      <c r="L393" s="26" t="str">
        <f aca="false">IF($G393="","",IF(IFERROR(INDEX(LOT_ETAT,MATCH($G393,LOT_KEY,0)),"")="","",INDEX(LOT_ETAT,MATCH($G393,LOT_KEY,0))))</f>
        <v/>
      </c>
      <c r="M393" s="73" t="n">
        <f aca="false">IF(OR(OPERATIONS!$O93=0,OPERATIONS!$C93="CONSOMMATION"),0,OPERATIONS!$G93)</f>
        <v>0</v>
      </c>
      <c r="N393" s="73" t="n">
        <f aca="false">IF($M393=0,0,OPERATIONS!$R93*$M393)</f>
        <v>0</v>
      </c>
      <c r="O393" s="26" t="str">
        <f aca="false">IF($M393=0,"",OPERATIONS!$Q93)</f>
        <v/>
      </c>
      <c r="P393" s="26" t="str">
        <f aca="false">IF($G393="","",IF($G393=R_LOT,COUNTIF($G$5:$G393,R_LOT),""))</f>
        <v/>
      </c>
    </row>
    <row r="394" customFormat="false" ht="15" hidden="false" customHeight="false" outlineLevel="0" collapsed="false">
      <c r="A394" s="28" t="str">
        <f aca="false">IF($M394=0,"",ROW()-4)</f>
        <v/>
      </c>
      <c r="B394" s="26" t="str">
        <f aca="false">IF($M394=0,"","OPERATIONS")</f>
        <v/>
      </c>
      <c r="C394" s="26" t="str">
        <f aca="false">IF($M394=0,"",OPERATIONS!$A94)</f>
        <v/>
      </c>
      <c r="D394" s="31" t="str">
        <f aca="false">IF($M394=0,"",OPERATIONS!$B94)</f>
        <v/>
      </c>
      <c r="E394" s="26" t="str">
        <f aca="false">IF($M394=0,"",IF($M394&lt;0,"SORTIE","ENTREE"))</f>
        <v/>
      </c>
      <c r="F394" s="26" t="str">
        <f aca="false">IF($M394=0,"",OPERATIONS!$C94)</f>
        <v/>
      </c>
      <c r="G394" s="26" t="str">
        <f aca="false">IF($M394=0,"",OPERATIONS!$D94)</f>
        <v/>
      </c>
      <c r="H394" s="26" t="str">
        <f aca="false">IF($G394="","",IFERROR(INDEX(LOT_EXTE,MATCH($G394,LOT_KEY,0)),""))</f>
        <v/>
      </c>
      <c r="I394" s="26" t="str">
        <f aca="false">IF($M394=0,"",OPERATIONS!$F94)</f>
        <v/>
      </c>
      <c r="J394" s="26" t="str">
        <f aca="false">IF($I394="","",IFERROR(INDEX(EMPL_CLASSE,MATCH($I394,EMPL_KEY,0)),""))</f>
        <v/>
      </c>
      <c r="K394" s="26" t="str">
        <f aca="false">IF($M394=0,"",OPERATIONS!$K94)</f>
        <v/>
      </c>
      <c r="L394" s="26" t="str">
        <f aca="false">IF($G394="","",IF(IFERROR(INDEX(LOT_ETAT,MATCH($G394,LOT_KEY,0)),"")="","",INDEX(LOT_ETAT,MATCH($G394,LOT_KEY,0))))</f>
        <v/>
      </c>
      <c r="M394" s="73" t="n">
        <f aca="false">IF(OR(OPERATIONS!$O94=0,OPERATIONS!$C94="CONSOMMATION"),0,OPERATIONS!$G94)</f>
        <v>0</v>
      </c>
      <c r="N394" s="73" t="n">
        <f aca="false">IF($M394=0,0,OPERATIONS!$R94*$M394)</f>
        <v>0</v>
      </c>
      <c r="O394" s="26" t="str">
        <f aca="false">IF($M394=0,"",OPERATIONS!$Q94)</f>
        <v/>
      </c>
      <c r="P394" s="26" t="str">
        <f aca="false">IF($G394="","",IF($G394=R_LOT,COUNTIF($G$5:$G394,R_LOT),""))</f>
        <v/>
      </c>
    </row>
    <row r="395" customFormat="false" ht="15" hidden="false" customHeight="false" outlineLevel="0" collapsed="false">
      <c r="A395" s="28" t="str">
        <f aca="false">IF($M395=0,"",ROW()-4)</f>
        <v/>
      </c>
      <c r="B395" s="26" t="str">
        <f aca="false">IF($M395=0,"","OPERATIONS")</f>
        <v/>
      </c>
      <c r="C395" s="26" t="str">
        <f aca="false">IF($M395=0,"",OPERATIONS!$A95)</f>
        <v/>
      </c>
      <c r="D395" s="31" t="str">
        <f aca="false">IF($M395=0,"",OPERATIONS!$B95)</f>
        <v/>
      </c>
      <c r="E395" s="26" t="str">
        <f aca="false">IF($M395=0,"",IF($M395&lt;0,"SORTIE","ENTREE"))</f>
        <v/>
      </c>
      <c r="F395" s="26" t="str">
        <f aca="false">IF($M395=0,"",OPERATIONS!$C95)</f>
        <v/>
      </c>
      <c r="G395" s="26" t="str">
        <f aca="false">IF($M395=0,"",OPERATIONS!$D95)</f>
        <v/>
      </c>
      <c r="H395" s="26" t="str">
        <f aca="false">IF($G395="","",IFERROR(INDEX(LOT_EXTE,MATCH($G395,LOT_KEY,0)),""))</f>
        <v/>
      </c>
      <c r="I395" s="26" t="str">
        <f aca="false">IF($M395=0,"",OPERATIONS!$F95)</f>
        <v/>
      </c>
      <c r="J395" s="26" t="str">
        <f aca="false">IF($I395="","",IFERROR(INDEX(EMPL_CLASSE,MATCH($I395,EMPL_KEY,0)),""))</f>
        <v/>
      </c>
      <c r="K395" s="26" t="str">
        <f aca="false">IF($M395=0,"",OPERATIONS!$K95)</f>
        <v/>
      </c>
      <c r="L395" s="26" t="str">
        <f aca="false">IF($G395="","",IF(IFERROR(INDEX(LOT_ETAT,MATCH($G395,LOT_KEY,0)),"")="","",INDEX(LOT_ETAT,MATCH($G395,LOT_KEY,0))))</f>
        <v/>
      </c>
      <c r="M395" s="73" t="n">
        <f aca="false">IF(OR(OPERATIONS!$O95=0,OPERATIONS!$C95="CONSOMMATION"),0,OPERATIONS!$G95)</f>
        <v>0</v>
      </c>
      <c r="N395" s="73" t="n">
        <f aca="false">IF($M395=0,0,OPERATIONS!$R95*$M395)</f>
        <v>0</v>
      </c>
      <c r="O395" s="26" t="str">
        <f aca="false">IF($M395=0,"",OPERATIONS!$Q95)</f>
        <v/>
      </c>
      <c r="P395" s="26" t="str">
        <f aca="false">IF($G395="","",IF($G395=R_LOT,COUNTIF($G$5:$G395,R_LOT),""))</f>
        <v/>
      </c>
    </row>
    <row r="396" customFormat="false" ht="15" hidden="false" customHeight="false" outlineLevel="0" collapsed="false">
      <c r="A396" s="28" t="str">
        <f aca="false">IF($M396=0,"",ROW()-4)</f>
        <v/>
      </c>
      <c r="B396" s="26" t="str">
        <f aca="false">IF($M396=0,"","OPERATIONS")</f>
        <v/>
      </c>
      <c r="C396" s="26" t="str">
        <f aca="false">IF($M396=0,"",OPERATIONS!$A96)</f>
        <v/>
      </c>
      <c r="D396" s="31" t="str">
        <f aca="false">IF($M396=0,"",OPERATIONS!$B96)</f>
        <v/>
      </c>
      <c r="E396" s="26" t="str">
        <f aca="false">IF($M396=0,"",IF($M396&lt;0,"SORTIE","ENTREE"))</f>
        <v/>
      </c>
      <c r="F396" s="26" t="str">
        <f aca="false">IF($M396=0,"",OPERATIONS!$C96)</f>
        <v/>
      </c>
      <c r="G396" s="26" t="str">
        <f aca="false">IF($M396=0,"",OPERATIONS!$D96)</f>
        <v/>
      </c>
      <c r="H396" s="26" t="str">
        <f aca="false">IF($G396="","",IFERROR(INDEX(LOT_EXTE,MATCH($G396,LOT_KEY,0)),""))</f>
        <v/>
      </c>
      <c r="I396" s="26" t="str">
        <f aca="false">IF($M396=0,"",OPERATIONS!$F96)</f>
        <v/>
      </c>
      <c r="J396" s="26" t="str">
        <f aca="false">IF($I396="","",IFERROR(INDEX(EMPL_CLASSE,MATCH($I396,EMPL_KEY,0)),""))</f>
        <v/>
      </c>
      <c r="K396" s="26" t="str">
        <f aca="false">IF($M396=0,"",OPERATIONS!$K96)</f>
        <v/>
      </c>
      <c r="L396" s="26" t="str">
        <f aca="false">IF($G396="","",IF(IFERROR(INDEX(LOT_ETAT,MATCH($G396,LOT_KEY,0)),"")="","",INDEX(LOT_ETAT,MATCH($G396,LOT_KEY,0))))</f>
        <v/>
      </c>
      <c r="M396" s="73" t="n">
        <f aca="false">IF(OR(OPERATIONS!$O96=0,OPERATIONS!$C96="CONSOMMATION"),0,OPERATIONS!$G96)</f>
        <v>0</v>
      </c>
      <c r="N396" s="73" t="n">
        <f aca="false">IF($M396=0,0,OPERATIONS!$R96*$M396)</f>
        <v>0</v>
      </c>
      <c r="O396" s="26" t="str">
        <f aca="false">IF($M396=0,"",OPERATIONS!$Q96)</f>
        <v/>
      </c>
      <c r="P396" s="26" t="str">
        <f aca="false">IF($G396="","",IF($G396=R_LOT,COUNTIF($G$5:$G396,R_LOT),""))</f>
        <v/>
      </c>
    </row>
    <row r="397" customFormat="false" ht="15" hidden="false" customHeight="false" outlineLevel="0" collapsed="false">
      <c r="A397" s="28" t="str">
        <f aca="false">IF($M397=0,"",ROW()-4)</f>
        <v/>
      </c>
      <c r="B397" s="26" t="str">
        <f aca="false">IF($M397=0,"","OPERATIONS")</f>
        <v/>
      </c>
      <c r="C397" s="26" t="str">
        <f aca="false">IF($M397=0,"",OPERATIONS!$A97)</f>
        <v/>
      </c>
      <c r="D397" s="31" t="str">
        <f aca="false">IF($M397=0,"",OPERATIONS!$B97)</f>
        <v/>
      </c>
      <c r="E397" s="26" t="str">
        <f aca="false">IF($M397=0,"",IF($M397&lt;0,"SORTIE","ENTREE"))</f>
        <v/>
      </c>
      <c r="F397" s="26" t="str">
        <f aca="false">IF($M397=0,"",OPERATIONS!$C97)</f>
        <v/>
      </c>
      <c r="G397" s="26" t="str">
        <f aca="false">IF($M397=0,"",OPERATIONS!$D97)</f>
        <v/>
      </c>
      <c r="H397" s="26" t="str">
        <f aca="false">IF($G397="","",IFERROR(INDEX(LOT_EXTE,MATCH($G397,LOT_KEY,0)),""))</f>
        <v/>
      </c>
      <c r="I397" s="26" t="str">
        <f aca="false">IF($M397=0,"",OPERATIONS!$F97)</f>
        <v/>
      </c>
      <c r="J397" s="26" t="str">
        <f aca="false">IF($I397="","",IFERROR(INDEX(EMPL_CLASSE,MATCH($I397,EMPL_KEY,0)),""))</f>
        <v/>
      </c>
      <c r="K397" s="26" t="str">
        <f aca="false">IF($M397=0,"",OPERATIONS!$K97)</f>
        <v/>
      </c>
      <c r="L397" s="26" t="str">
        <f aca="false">IF($G397="","",IF(IFERROR(INDEX(LOT_ETAT,MATCH($G397,LOT_KEY,0)),"")="","",INDEX(LOT_ETAT,MATCH($G397,LOT_KEY,0))))</f>
        <v/>
      </c>
      <c r="M397" s="73" t="n">
        <f aca="false">IF(OR(OPERATIONS!$O97=0,OPERATIONS!$C97="CONSOMMATION"),0,OPERATIONS!$G97)</f>
        <v>0</v>
      </c>
      <c r="N397" s="73" t="n">
        <f aca="false">IF($M397=0,0,OPERATIONS!$R97*$M397)</f>
        <v>0</v>
      </c>
      <c r="O397" s="26" t="str">
        <f aca="false">IF($M397=0,"",OPERATIONS!$Q97)</f>
        <v/>
      </c>
      <c r="P397" s="26" t="str">
        <f aca="false">IF($G397="","",IF($G397=R_LOT,COUNTIF($G$5:$G397,R_LOT),""))</f>
        <v/>
      </c>
    </row>
    <row r="398" customFormat="false" ht="15" hidden="false" customHeight="false" outlineLevel="0" collapsed="false">
      <c r="A398" s="28" t="str">
        <f aca="false">IF($M398=0,"",ROW()-4)</f>
        <v/>
      </c>
      <c r="B398" s="26" t="str">
        <f aca="false">IF($M398=0,"","OPERATIONS")</f>
        <v/>
      </c>
      <c r="C398" s="26" t="str">
        <f aca="false">IF($M398=0,"",OPERATIONS!$A98)</f>
        <v/>
      </c>
      <c r="D398" s="31" t="str">
        <f aca="false">IF($M398=0,"",OPERATIONS!$B98)</f>
        <v/>
      </c>
      <c r="E398" s="26" t="str">
        <f aca="false">IF($M398=0,"",IF($M398&lt;0,"SORTIE","ENTREE"))</f>
        <v/>
      </c>
      <c r="F398" s="26" t="str">
        <f aca="false">IF($M398=0,"",OPERATIONS!$C98)</f>
        <v/>
      </c>
      <c r="G398" s="26" t="str">
        <f aca="false">IF($M398=0,"",OPERATIONS!$D98)</f>
        <v/>
      </c>
      <c r="H398" s="26" t="str">
        <f aca="false">IF($G398="","",IFERROR(INDEX(LOT_EXTE,MATCH($G398,LOT_KEY,0)),""))</f>
        <v/>
      </c>
      <c r="I398" s="26" t="str">
        <f aca="false">IF($M398=0,"",OPERATIONS!$F98)</f>
        <v/>
      </c>
      <c r="J398" s="26" t="str">
        <f aca="false">IF($I398="","",IFERROR(INDEX(EMPL_CLASSE,MATCH($I398,EMPL_KEY,0)),""))</f>
        <v/>
      </c>
      <c r="K398" s="26" t="str">
        <f aca="false">IF($M398=0,"",OPERATIONS!$K98)</f>
        <v/>
      </c>
      <c r="L398" s="26" t="str">
        <f aca="false">IF($G398="","",IF(IFERROR(INDEX(LOT_ETAT,MATCH($G398,LOT_KEY,0)),"")="","",INDEX(LOT_ETAT,MATCH($G398,LOT_KEY,0))))</f>
        <v/>
      </c>
      <c r="M398" s="73" t="n">
        <f aca="false">IF(OR(OPERATIONS!$O98=0,OPERATIONS!$C98="CONSOMMATION"),0,OPERATIONS!$G98)</f>
        <v>0</v>
      </c>
      <c r="N398" s="73" t="n">
        <f aca="false">IF($M398=0,0,OPERATIONS!$R98*$M398)</f>
        <v>0</v>
      </c>
      <c r="O398" s="26" t="str">
        <f aca="false">IF($M398=0,"",OPERATIONS!$Q98)</f>
        <v/>
      </c>
      <c r="P398" s="26" t="str">
        <f aca="false">IF($G398="","",IF($G398=R_LOT,COUNTIF($G$5:$G398,R_LOT),""))</f>
        <v/>
      </c>
    </row>
    <row r="399" customFormat="false" ht="15" hidden="false" customHeight="false" outlineLevel="0" collapsed="false">
      <c r="A399" s="28" t="str">
        <f aca="false">IF($M399=0,"",ROW()-4)</f>
        <v/>
      </c>
      <c r="B399" s="26" t="str">
        <f aca="false">IF($M399=0,"","OPERATIONS")</f>
        <v/>
      </c>
      <c r="C399" s="26" t="str">
        <f aca="false">IF($M399=0,"",OPERATIONS!$A99)</f>
        <v/>
      </c>
      <c r="D399" s="31" t="str">
        <f aca="false">IF($M399=0,"",OPERATIONS!$B99)</f>
        <v/>
      </c>
      <c r="E399" s="26" t="str">
        <f aca="false">IF($M399=0,"",IF($M399&lt;0,"SORTIE","ENTREE"))</f>
        <v/>
      </c>
      <c r="F399" s="26" t="str">
        <f aca="false">IF($M399=0,"",OPERATIONS!$C99)</f>
        <v/>
      </c>
      <c r="G399" s="26" t="str">
        <f aca="false">IF($M399=0,"",OPERATIONS!$D99)</f>
        <v/>
      </c>
      <c r="H399" s="26" t="str">
        <f aca="false">IF($G399="","",IFERROR(INDEX(LOT_EXTE,MATCH($G399,LOT_KEY,0)),""))</f>
        <v/>
      </c>
      <c r="I399" s="26" t="str">
        <f aca="false">IF($M399=0,"",OPERATIONS!$F99)</f>
        <v/>
      </c>
      <c r="J399" s="26" t="str">
        <f aca="false">IF($I399="","",IFERROR(INDEX(EMPL_CLASSE,MATCH($I399,EMPL_KEY,0)),""))</f>
        <v/>
      </c>
      <c r="K399" s="26" t="str">
        <f aca="false">IF($M399=0,"",OPERATIONS!$K99)</f>
        <v/>
      </c>
      <c r="L399" s="26" t="str">
        <f aca="false">IF($G399="","",IF(IFERROR(INDEX(LOT_ETAT,MATCH($G399,LOT_KEY,0)),"")="","",INDEX(LOT_ETAT,MATCH($G399,LOT_KEY,0))))</f>
        <v/>
      </c>
      <c r="M399" s="73" t="n">
        <f aca="false">IF(OR(OPERATIONS!$O99=0,OPERATIONS!$C99="CONSOMMATION"),0,OPERATIONS!$G99)</f>
        <v>0</v>
      </c>
      <c r="N399" s="73" t="n">
        <f aca="false">IF($M399=0,0,OPERATIONS!$R99*$M399)</f>
        <v>0</v>
      </c>
      <c r="O399" s="26" t="str">
        <f aca="false">IF($M399=0,"",OPERATIONS!$Q99)</f>
        <v/>
      </c>
      <c r="P399" s="26" t="str">
        <f aca="false">IF($G399="","",IF($G399=R_LOT,COUNTIF($G$5:$G399,R_LOT),""))</f>
        <v/>
      </c>
    </row>
    <row r="400" customFormat="false" ht="15" hidden="false" customHeight="false" outlineLevel="0" collapsed="false">
      <c r="A400" s="28" t="str">
        <f aca="false">IF($M400=0,"",ROW()-4)</f>
        <v/>
      </c>
      <c r="B400" s="26" t="str">
        <f aca="false">IF($M400=0,"","OPERATIONS")</f>
        <v/>
      </c>
      <c r="C400" s="26" t="str">
        <f aca="false">IF($M400=0,"",OPERATIONS!$A100)</f>
        <v/>
      </c>
      <c r="D400" s="31" t="str">
        <f aca="false">IF($M400=0,"",OPERATIONS!$B100)</f>
        <v/>
      </c>
      <c r="E400" s="26" t="str">
        <f aca="false">IF($M400=0,"",IF($M400&lt;0,"SORTIE","ENTREE"))</f>
        <v/>
      </c>
      <c r="F400" s="26" t="str">
        <f aca="false">IF($M400=0,"",OPERATIONS!$C100)</f>
        <v/>
      </c>
      <c r="G400" s="26" t="str">
        <f aca="false">IF($M400=0,"",OPERATIONS!$D100)</f>
        <v/>
      </c>
      <c r="H400" s="26" t="str">
        <f aca="false">IF($G400="","",IFERROR(INDEX(LOT_EXTE,MATCH($G400,LOT_KEY,0)),""))</f>
        <v/>
      </c>
      <c r="I400" s="26" t="str">
        <f aca="false">IF($M400=0,"",OPERATIONS!$F100)</f>
        <v/>
      </c>
      <c r="J400" s="26" t="str">
        <f aca="false">IF($I400="","",IFERROR(INDEX(EMPL_CLASSE,MATCH($I400,EMPL_KEY,0)),""))</f>
        <v/>
      </c>
      <c r="K400" s="26" t="str">
        <f aca="false">IF($M400=0,"",OPERATIONS!$K100)</f>
        <v/>
      </c>
      <c r="L400" s="26" t="str">
        <f aca="false">IF($G400="","",IF(IFERROR(INDEX(LOT_ETAT,MATCH($G400,LOT_KEY,0)),"")="","",INDEX(LOT_ETAT,MATCH($G400,LOT_KEY,0))))</f>
        <v/>
      </c>
      <c r="M400" s="73" t="n">
        <f aca="false">IF(OR(OPERATIONS!$O100=0,OPERATIONS!$C100="CONSOMMATION"),0,OPERATIONS!$G100)</f>
        <v>0</v>
      </c>
      <c r="N400" s="73" t="n">
        <f aca="false">IF($M400=0,0,OPERATIONS!$R100*$M400)</f>
        <v>0</v>
      </c>
      <c r="O400" s="26" t="str">
        <f aca="false">IF($M400=0,"",OPERATIONS!$Q100)</f>
        <v/>
      </c>
      <c r="P400" s="26" t="str">
        <f aca="false">IF($G400="","",IF($G400=R_LOT,COUNTIF($G$5:$G400,R_LOT),""))</f>
        <v/>
      </c>
    </row>
    <row r="401" customFormat="false" ht="15" hidden="false" customHeight="false" outlineLevel="0" collapsed="false">
      <c r="A401" s="28" t="str">
        <f aca="false">IF($M401=0,"",ROW()-4)</f>
        <v/>
      </c>
      <c r="B401" s="26" t="str">
        <f aca="false">IF($M401=0,"","OPERATIONS")</f>
        <v/>
      </c>
      <c r="C401" s="26" t="str">
        <f aca="false">IF($M401=0,"",OPERATIONS!$A101)</f>
        <v/>
      </c>
      <c r="D401" s="31" t="str">
        <f aca="false">IF($M401=0,"",OPERATIONS!$B101)</f>
        <v/>
      </c>
      <c r="E401" s="26" t="str">
        <f aca="false">IF($M401=0,"",IF($M401&lt;0,"SORTIE","ENTREE"))</f>
        <v/>
      </c>
      <c r="F401" s="26" t="str">
        <f aca="false">IF($M401=0,"",OPERATIONS!$C101)</f>
        <v/>
      </c>
      <c r="G401" s="26" t="str">
        <f aca="false">IF($M401=0,"",OPERATIONS!$D101)</f>
        <v/>
      </c>
      <c r="H401" s="26" t="str">
        <f aca="false">IF($G401="","",IFERROR(INDEX(LOT_EXTE,MATCH($G401,LOT_KEY,0)),""))</f>
        <v/>
      </c>
      <c r="I401" s="26" t="str">
        <f aca="false">IF($M401=0,"",OPERATIONS!$F101)</f>
        <v/>
      </c>
      <c r="J401" s="26" t="str">
        <f aca="false">IF($I401="","",IFERROR(INDEX(EMPL_CLASSE,MATCH($I401,EMPL_KEY,0)),""))</f>
        <v/>
      </c>
      <c r="K401" s="26" t="str">
        <f aca="false">IF($M401=0,"",OPERATIONS!$K101)</f>
        <v/>
      </c>
      <c r="L401" s="26" t="str">
        <f aca="false">IF($G401="","",IF(IFERROR(INDEX(LOT_ETAT,MATCH($G401,LOT_KEY,0)),"")="","",INDEX(LOT_ETAT,MATCH($G401,LOT_KEY,0))))</f>
        <v/>
      </c>
      <c r="M401" s="73" t="n">
        <f aca="false">IF(OR(OPERATIONS!$O101=0,OPERATIONS!$C101="CONSOMMATION"),0,OPERATIONS!$G101)</f>
        <v>0</v>
      </c>
      <c r="N401" s="73" t="n">
        <f aca="false">IF($M401=0,0,OPERATIONS!$R101*$M401)</f>
        <v>0</v>
      </c>
      <c r="O401" s="26" t="str">
        <f aca="false">IF($M401=0,"",OPERATIONS!$Q101)</f>
        <v/>
      </c>
      <c r="P401" s="26" t="str">
        <f aca="false">IF($G401="","",IF($G401=R_LOT,COUNTIF($G$5:$G401,R_LOT),""))</f>
        <v/>
      </c>
    </row>
    <row r="402" customFormat="false" ht="15" hidden="false" customHeight="false" outlineLevel="0" collapsed="false">
      <c r="A402" s="28" t="str">
        <f aca="false">IF($M402=0,"",ROW()-4)</f>
        <v/>
      </c>
      <c r="B402" s="26" t="str">
        <f aca="false">IF($M402=0,"","OPERATIONS")</f>
        <v/>
      </c>
      <c r="C402" s="26" t="str">
        <f aca="false">IF($M402=0,"",OPERATIONS!$A102)</f>
        <v/>
      </c>
      <c r="D402" s="31" t="str">
        <f aca="false">IF($M402=0,"",OPERATIONS!$B102)</f>
        <v/>
      </c>
      <c r="E402" s="26" t="str">
        <f aca="false">IF($M402=0,"",IF($M402&lt;0,"SORTIE","ENTREE"))</f>
        <v/>
      </c>
      <c r="F402" s="26" t="str">
        <f aca="false">IF($M402=0,"",OPERATIONS!$C102)</f>
        <v/>
      </c>
      <c r="G402" s="26" t="str">
        <f aca="false">IF($M402=0,"",OPERATIONS!$D102)</f>
        <v/>
      </c>
      <c r="H402" s="26" t="str">
        <f aca="false">IF($G402="","",IFERROR(INDEX(LOT_EXTE,MATCH($G402,LOT_KEY,0)),""))</f>
        <v/>
      </c>
      <c r="I402" s="26" t="str">
        <f aca="false">IF($M402=0,"",OPERATIONS!$F102)</f>
        <v/>
      </c>
      <c r="J402" s="26" t="str">
        <f aca="false">IF($I402="","",IFERROR(INDEX(EMPL_CLASSE,MATCH($I402,EMPL_KEY,0)),""))</f>
        <v/>
      </c>
      <c r="K402" s="26" t="str">
        <f aca="false">IF($M402=0,"",OPERATIONS!$K102)</f>
        <v/>
      </c>
      <c r="L402" s="26" t="str">
        <f aca="false">IF($G402="","",IF(IFERROR(INDEX(LOT_ETAT,MATCH($G402,LOT_KEY,0)),"")="","",INDEX(LOT_ETAT,MATCH($G402,LOT_KEY,0))))</f>
        <v/>
      </c>
      <c r="M402" s="73" t="n">
        <f aca="false">IF(OR(OPERATIONS!$O102=0,OPERATIONS!$C102="CONSOMMATION"),0,OPERATIONS!$G102)</f>
        <v>0</v>
      </c>
      <c r="N402" s="73" t="n">
        <f aca="false">IF($M402=0,0,OPERATIONS!$R102*$M402)</f>
        <v>0</v>
      </c>
      <c r="O402" s="26" t="str">
        <f aca="false">IF($M402=0,"",OPERATIONS!$Q102)</f>
        <v/>
      </c>
      <c r="P402" s="26" t="str">
        <f aca="false">IF($G402="","",IF($G402=R_LOT,COUNTIF($G$5:$G402,R_LOT),""))</f>
        <v/>
      </c>
    </row>
    <row r="403" customFormat="false" ht="15" hidden="false" customHeight="false" outlineLevel="0" collapsed="false">
      <c r="A403" s="28" t="str">
        <f aca="false">IF($M403=0,"",ROW()-4)</f>
        <v/>
      </c>
      <c r="B403" s="26" t="str">
        <f aca="false">IF($M403=0,"","OPERATIONS")</f>
        <v/>
      </c>
      <c r="C403" s="26" t="str">
        <f aca="false">IF($M403=0,"",OPERATIONS!$A103)</f>
        <v/>
      </c>
      <c r="D403" s="31" t="str">
        <f aca="false">IF($M403=0,"",OPERATIONS!$B103)</f>
        <v/>
      </c>
      <c r="E403" s="26" t="str">
        <f aca="false">IF($M403=0,"",IF($M403&lt;0,"SORTIE","ENTREE"))</f>
        <v/>
      </c>
      <c r="F403" s="26" t="str">
        <f aca="false">IF($M403=0,"",OPERATIONS!$C103)</f>
        <v/>
      </c>
      <c r="G403" s="26" t="str">
        <f aca="false">IF($M403=0,"",OPERATIONS!$D103)</f>
        <v/>
      </c>
      <c r="H403" s="26" t="str">
        <f aca="false">IF($G403="","",IFERROR(INDEX(LOT_EXTE,MATCH($G403,LOT_KEY,0)),""))</f>
        <v/>
      </c>
      <c r="I403" s="26" t="str">
        <f aca="false">IF($M403=0,"",OPERATIONS!$F103)</f>
        <v/>
      </c>
      <c r="J403" s="26" t="str">
        <f aca="false">IF($I403="","",IFERROR(INDEX(EMPL_CLASSE,MATCH($I403,EMPL_KEY,0)),""))</f>
        <v/>
      </c>
      <c r="K403" s="26" t="str">
        <f aca="false">IF($M403=0,"",OPERATIONS!$K103)</f>
        <v/>
      </c>
      <c r="L403" s="26" t="str">
        <f aca="false">IF($G403="","",IF(IFERROR(INDEX(LOT_ETAT,MATCH($G403,LOT_KEY,0)),"")="","",INDEX(LOT_ETAT,MATCH($G403,LOT_KEY,0))))</f>
        <v/>
      </c>
      <c r="M403" s="73" t="n">
        <f aca="false">IF(OR(OPERATIONS!$O103=0,OPERATIONS!$C103="CONSOMMATION"),0,OPERATIONS!$G103)</f>
        <v>0</v>
      </c>
      <c r="N403" s="73" t="n">
        <f aca="false">IF($M403=0,0,OPERATIONS!$R103*$M403)</f>
        <v>0</v>
      </c>
      <c r="O403" s="26" t="str">
        <f aca="false">IF($M403=0,"",OPERATIONS!$Q103)</f>
        <v/>
      </c>
      <c r="P403" s="26" t="str">
        <f aca="false">IF($G403="","",IF($G403=R_LOT,COUNTIF($G$5:$G403,R_LOT),""))</f>
        <v/>
      </c>
    </row>
    <row r="404" customFormat="false" ht="15" hidden="false" customHeight="false" outlineLevel="0" collapsed="false">
      <c r="A404" s="28" t="str">
        <f aca="false">IF($M404=0,"",ROW()-4)</f>
        <v/>
      </c>
      <c r="B404" s="26" t="str">
        <f aca="false">IF($M404=0,"","OPERATIONS")</f>
        <v/>
      </c>
      <c r="C404" s="26" t="str">
        <f aca="false">IF($M404=0,"",OPERATIONS!$A104)</f>
        <v/>
      </c>
      <c r="D404" s="31" t="str">
        <f aca="false">IF($M404=0,"",OPERATIONS!$B104)</f>
        <v/>
      </c>
      <c r="E404" s="26" t="str">
        <f aca="false">IF($M404=0,"",IF($M404&lt;0,"SORTIE","ENTREE"))</f>
        <v/>
      </c>
      <c r="F404" s="26" t="str">
        <f aca="false">IF($M404=0,"",OPERATIONS!$C104)</f>
        <v/>
      </c>
      <c r="G404" s="26" t="str">
        <f aca="false">IF($M404=0,"",OPERATIONS!$D104)</f>
        <v/>
      </c>
      <c r="H404" s="26" t="str">
        <f aca="false">IF($G404="","",IFERROR(INDEX(LOT_EXTE,MATCH($G404,LOT_KEY,0)),""))</f>
        <v/>
      </c>
      <c r="I404" s="26" t="str">
        <f aca="false">IF($M404=0,"",OPERATIONS!$F104)</f>
        <v/>
      </c>
      <c r="J404" s="26" t="str">
        <f aca="false">IF($I404="","",IFERROR(INDEX(EMPL_CLASSE,MATCH($I404,EMPL_KEY,0)),""))</f>
        <v/>
      </c>
      <c r="K404" s="26" t="str">
        <f aca="false">IF($M404=0,"",OPERATIONS!$K104)</f>
        <v/>
      </c>
      <c r="L404" s="26" t="str">
        <f aca="false">IF($G404="","",IF(IFERROR(INDEX(LOT_ETAT,MATCH($G404,LOT_KEY,0)),"")="","",INDEX(LOT_ETAT,MATCH($G404,LOT_KEY,0))))</f>
        <v/>
      </c>
      <c r="M404" s="73" t="n">
        <f aca="false">IF(OR(OPERATIONS!$O104=0,OPERATIONS!$C104="CONSOMMATION"),0,OPERATIONS!$G104)</f>
        <v>0</v>
      </c>
      <c r="N404" s="73" t="n">
        <f aca="false">IF($M404=0,0,OPERATIONS!$R104*$M404)</f>
        <v>0</v>
      </c>
      <c r="O404" s="26" t="str">
        <f aca="false">IF($M404=0,"",OPERATIONS!$Q104)</f>
        <v/>
      </c>
      <c r="P404" s="26" t="str">
        <f aca="false">IF($G404="","",IF($G404=R_LOT,COUNTIF($G$5:$G404,R_LOT),""))</f>
        <v/>
      </c>
    </row>
    <row r="405" customFormat="false" ht="15" hidden="false" customHeight="false" outlineLevel="0" collapsed="false">
      <c r="A405" s="28" t="str">
        <f aca="false">IF($M405=0,"",ROW()-4)</f>
        <v/>
      </c>
      <c r="B405" s="26" t="str">
        <f aca="false">IF($M405=0,"","OPERATIONS")</f>
        <v/>
      </c>
      <c r="C405" s="26" t="str">
        <f aca="false">IF($M405=0,"",OPERATIONS!$A105)</f>
        <v/>
      </c>
      <c r="D405" s="31" t="str">
        <f aca="false">IF($M405=0,"",OPERATIONS!$B105)</f>
        <v/>
      </c>
      <c r="E405" s="26" t="str">
        <f aca="false">IF($M405=0,"",IF($M405&lt;0,"SORTIE","ENTREE"))</f>
        <v/>
      </c>
      <c r="F405" s="26" t="str">
        <f aca="false">IF($M405=0,"",OPERATIONS!$C105)</f>
        <v/>
      </c>
      <c r="G405" s="26" t="str">
        <f aca="false">IF($M405=0,"",OPERATIONS!$D105)</f>
        <v/>
      </c>
      <c r="H405" s="26" t="str">
        <f aca="false">IF($G405="","",IFERROR(INDEX(LOT_EXTE,MATCH($G405,LOT_KEY,0)),""))</f>
        <v/>
      </c>
      <c r="I405" s="26" t="str">
        <f aca="false">IF($M405=0,"",OPERATIONS!$F105)</f>
        <v/>
      </c>
      <c r="J405" s="26" t="str">
        <f aca="false">IF($I405="","",IFERROR(INDEX(EMPL_CLASSE,MATCH($I405,EMPL_KEY,0)),""))</f>
        <v/>
      </c>
      <c r="K405" s="26" t="str">
        <f aca="false">IF($M405=0,"",OPERATIONS!$K105)</f>
        <v/>
      </c>
      <c r="L405" s="26" t="str">
        <f aca="false">IF($G405="","",IF(IFERROR(INDEX(LOT_ETAT,MATCH($G405,LOT_KEY,0)),"")="","",INDEX(LOT_ETAT,MATCH($G405,LOT_KEY,0))))</f>
        <v/>
      </c>
      <c r="M405" s="73" t="n">
        <f aca="false">IF(OR(OPERATIONS!$O105=0,OPERATIONS!$C105="CONSOMMATION"),0,OPERATIONS!$G105)</f>
        <v>0</v>
      </c>
      <c r="N405" s="73" t="n">
        <f aca="false">IF($M405=0,0,OPERATIONS!$R105*$M405)</f>
        <v>0</v>
      </c>
      <c r="O405" s="26" t="str">
        <f aca="false">IF($M405=0,"",OPERATIONS!$Q105)</f>
        <v/>
      </c>
      <c r="P405" s="26" t="str">
        <f aca="false">IF($G405="","",IF($G405=R_LOT,COUNTIF($G$5:$G405,R_LOT),""))</f>
        <v/>
      </c>
    </row>
    <row r="406" customFormat="false" ht="15" hidden="false" customHeight="false" outlineLevel="0" collapsed="false">
      <c r="A406" s="28" t="str">
        <f aca="false">IF($M406=0,"",ROW()-4)</f>
        <v/>
      </c>
      <c r="B406" s="26" t="str">
        <f aca="false">IF($M406=0,"","OPERATIONS")</f>
        <v/>
      </c>
      <c r="C406" s="26" t="str">
        <f aca="false">IF($M406=0,"",OPERATIONS!$A106)</f>
        <v/>
      </c>
      <c r="D406" s="31" t="str">
        <f aca="false">IF($M406=0,"",OPERATIONS!$B106)</f>
        <v/>
      </c>
      <c r="E406" s="26" t="str">
        <f aca="false">IF($M406=0,"",IF($M406&lt;0,"SORTIE","ENTREE"))</f>
        <v/>
      </c>
      <c r="F406" s="26" t="str">
        <f aca="false">IF($M406=0,"",OPERATIONS!$C106)</f>
        <v/>
      </c>
      <c r="G406" s="26" t="str">
        <f aca="false">IF($M406=0,"",OPERATIONS!$D106)</f>
        <v/>
      </c>
      <c r="H406" s="26" t="str">
        <f aca="false">IF($G406="","",IFERROR(INDEX(LOT_EXTE,MATCH($G406,LOT_KEY,0)),""))</f>
        <v/>
      </c>
      <c r="I406" s="26" t="str">
        <f aca="false">IF($M406=0,"",OPERATIONS!$F106)</f>
        <v/>
      </c>
      <c r="J406" s="26" t="str">
        <f aca="false">IF($I406="","",IFERROR(INDEX(EMPL_CLASSE,MATCH($I406,EMPL_KEY,0)),""))</f>
        <v/>
      </c>
      <c r="K406" s="26" t="str">
        <f aca="false">IF($M406=0,"",OPERATIONS!$K106)</f>
        <v/>
      </c>
      <c r="L406" s="26" t="str">
        <f aca="false">IF($G406="","",IF(IFERROR(INDEX(LOT_ETAT,MATCH($G406,LOT_KEY,0)),"")="","",INDEX(LOT_ETAT,MATCH($G406,LOT_KEY,0))))</f>
        <v/>
      </c>
      <c r="M406" s="73" t="n">
        <f aca="false">IF(OR(OPERATIONS!$O106=0,OPERATIONS!$C106="CONSOMMATION"),0,OPERATIONS!$G106)</f>
        <v>0</v>
      </c>
      <c r="N406" s="73" t="n">
        <f aca="false">IF($M406=0,0,OPERATIONS!$R106*$M406)</f>
        <v>0</v>
      </c>
      <c r="O406" s="26" t="str">
        <f aca="false">IF($M406=0,"",OPERATIONS!$Q106)</f>
        <v/>
      </c>
      <c r="P406" s="26" t="str">
        <f aca="false">IF($G406="","",IF($G406=R_LOT,COUNTIF($G$5:$G406,R_LOT),""))</f>
        <v/>
      </c>
    </row>
    <row r="407" customFormat="false" ht="15" hidden="false" customHeight="false" outlineLevel="0" collapsed="false">
      <c r="A407" s="28" t="str">
        <f aca="false">IF($M407=0,"",ROW()-4)</f>
        <v/>
      </c>
      <c r="B407" s="26" t="str">
        <f aca="false">IF($M407=0,"","OPERATIONS")</f>
        <v/>
      </c>
      <c r="C407" s="26" t="str">
        <f aca="false">IF($M407=0,"",OPERATIONS!$A107)</f>
        <v/>
      </c>
      <c r="D407" s="31" t="str">
        <f aca="false">IF($M407=0,"",OPERATIONS!$B107)</f>
        <v/>
      </c>
      <c r="E407" s="26" t="str">
        <f aca="false">IF($M407=0,"",IF($M407&lt;0,"SORTIE","ENTREE"))</f>
        <v/>
      </c>
      <c r="F407" s="26" t="str">
        <f aca="false">IF($M407=0,"",OPERATIONS!$C107)</f>
        <v/>
      </c>
      <c r="G407" s="26" t="str">
        <f aca="false">IF($M407=0,"",OPERATIONS!$D107)</f>
        <v/>
      </c>
      <c r="H407" s="26" t="str">
        <f aca="false">IF($G407="","",IFERROR(INDEX(LOT_EXTE,MATCH($G407,LOT_KEY,0)),""))</f>
        <v/>
      </c>
      <c r="I407" s="26" t="str">
        <f aca="false">IF($M407=0,"",OPERATIONS!$F107)</f>
        <v/>
      </c>
      <c r="J407" s="26" t="str">
        <f aca="false">IF($I407="","",IFERROR(INDEX(EMPL_CLASSE,MATCH($I407,EMPL_KEY,0)),""))</f>
        <v/>
      </c>
      <c r="K407" s="26" t="str">
        <f aca="false">IF($M407=0,"",OPERATIONS!$K107)</f>
        <v/>
      </c>
      <c r="L407" s="26" t="str">
        <f aca="false">IF($G407="","",IF(IFERROR(INDEX(LOT_ETAT,MATCH($G407,LOT_KEY,0)),"")="","",INDEX(LOT_ETAT,MATCH($G407,LOT_KEY,0))))</f>
        <v/>
      </c>
      <c r="M407" s="73" t="n">
        <f aca="false">IF(OR(OPERATIONS!$O107=0,OPERATIONS!$C107="CONSOMMATION"),0,OPERATIONS!$G107)</f>
        <v>0</v>
      </c>
      <c r="N407" s="73" t="n">
        <f aca="false">IF($M407=0,0,OPERATIONS!$R107*$M407)</f>
        <v>0</v>
      </c>
      <c r="O407" s="26" t="str">
        <f aca="false">IF($M407=0,"",OPERATIONS!$Q107)</f>
        <v/>
      </c>
      <c r="P407" s="26" t="str">
        <f aca="false">IF($G407="","",IF($G407=R_LOT,COUNTIF($G$5:$G407,R_LOT),""))</f>
        <v/>
      </c>
    </row>
    <row r="408" customFormat="false" ht="15" hidden="false" customHeight="false" outlineLevel="0" collapsed="false">
      <c r="A408" s="28" t="str">
        <f aca="false">IF($M408=0,"",ROW()-4)</f>
        <v/>
      </c>
      <c r="B408" s="26" t="str">
        <f aca="false">IF($M408=0,"","OPERATIONS")</f>
        <v/>
      </c>
      <c r="C408" s="26" t="str">
        <f aca="false">IF($M408=0,"",OPERATIONS!$A108)</f>
        <v/>
      </c>
      <c r="D408" s="31" t="str">
        <f aca="false">IF($M408=0,"",OPERATIONS!$B108)</f>
        <v/>
      </c>
      <c r="E408" s="26" t="str">
        <f aca="false">IF($M408=0,"",IF($M408&lt;0,"SORTIE","ENTREE"))</f>
        <v/>
      </c>
      <c r="F408" s="26" t="str">
        <f aca="false">IF($M408=0,"",OPERATIONS!$C108)</f>
        <v/>
      </c>
      <c r="G408" s="26" t="str">
        <f aca="false">IF($M408=0,"",OPERATIONS!$D108)</f>
        <v/>
      </c>
      <c r="H408" s="26" t="str">
        <f aca="false">IF($G408="","",IFERROR(INDEX(LOT_EXTE,MATCH($G408,LOT_KEY,0)),""))</f>
        <v/>
      </c>
      <c r="I408" s="26" t="str">
        <f aca="false">IF($M408=0,"",OPERATIONS!$F108)</f>
        <v/>
      </c>
      <c r="J408" s="26" t="str">
        <f aca="false">IF($I408="","",IFERROR(INDEX(EMPL_CLASSE,MATCH($I408,EMPL_KEY,0)),""))</f>
        <v/>
      </c>
      <c r="K408" s="26" t="str">
        <f aca="false">IF($M408=0,"",OPERATIONS!$K108)</f>
        <v/>
      </c>
      <c r="L408" s="26" t="str">
        <f aca="false">IF($G408="","",IF(IFERROR(INDEX(LOT_ETAT,MATCH($G408,LOT_KEY,0)),"")="","",INDEX(LOT_ETAT,MATCH($G408,LOT_KEY,0))))</f>
        <v/>
      </c>
      <c r="M408" s="73" t="n">
        <f aca="false">IF(OR(OPERATIONS!$O108=0,OPERATIONS!$C108="CONSOMMATION"),0,OPERATIONS!$G108)</f>
        <v>0</v>
      </c>
      <c r="N408" s="73" t="n">
        <f aca="false">IF($M408=0,0,OPERATIONS!$R108*$M408)</f>
        <v>0</v>
      </c>
      <c r="O408" s="26" t="str">
        <f aca="false">IF($M408=0,"",OPERATIONS!$Q108)</f>
        <v/>
      </c>
      <c r="P408" s="26" t="str">
        <f aca="false">IF($G408="","",IF($G408=R_LOT,COUNTIF($G$5:$G408,R_LOT),""))</f>
        <v/>
      </c>
    </row>
    <row r="409" customFormat="false" ht="15" hidden="false" customHeight="false" outlineLevel="0" collapsed="false">
      <c r="A409" s="28" t="str">
        <f aca="false">IF($M409=0,"",ROW()-4)</f>
        <v/>
      </c>
      <c r="B409" s="26" t="str">
        <f aca="false">IF($M409=0,"","OPERATIONS")</f>
        <v/>
      </c>
      <c r="C409" s="26" t="str">
        <f aca="false">IF($M409=0,"",OPERATIONS!$A109)</f>
        <v/>
      </c>
      <c r="D409" s="31" t="str">
        <f aca="false">IF($M409=0,"",OPERATIONS!$B109)</f>
        <v/>
      </c>
      <c r="E409" s="26" t="str">
        <f aca="false">IF($M409=0,"",IF($M409&lt;0,"SORTIE","ENTREE"))</f>
        <v/>
      </c>
      <c r="F409" s="26" t="str">
        <f aca="false">IF($M409=0,"",OPERATIONS!$C109)</f>
        <v/>
      </c>
      <c r="G409" s="26" t="str">
        <f aca="false">IF($M409=0,"",OPERATIONS!$D109)</f>
        <v/>
      </c>
      <c r="H409" s="26" t="str">
        <f aca="false">IF($G409="","",IFERROR(INDEX(LOT_EXTE,MATCH($G409,LOT_KEY,0)),""))</f>
        <v/>
      </c>
      <c r="I409" s="26" t="str">
        <f aca="false">IF($M409=0,"",OPERATIONS!$F109)</f>
        <v/>
      </c>
      <c r="J409" s="26" t="str">
        <f aca="false">IF($I409="","",IFERROR(INDEX(EMPL_CLASSE,MATCH($I409,EMPL_KEY,0)),""))</f>
        <v/>
      </c>
      <c r="K409" s="26" t="str">
        <f aca="false">IF($M409=0,"",OPERATIONS!$K109)</f>
        <v/>
      </c>
      <c r="L409" s="26" t="str">
        <f aca="false">IF($G409="","",IF(IFERROR(INDEX(LOT_ETAT,MATCH($G409,LOT_KEY,0)),"")="","",INDEX(LOT_ETAT,MATCH($G409,LOT_KEY,0))))</f>
        <v/>
      </c>
      <c r="M409" s="73" t="n">
        <f aca="false">IF(OR(OPERATIONS!$O109=0,OPERATIONS!$C109="CONSOMMATION"),0,OPERATIONS!$G109)</f>
        <v>0</v>
      </c>
      <c r="N409" s="73" t="n">
        <f aca="false">IF($M409=0,0,OPERATIONS!$R109*$M409)</f>
        <v>0</v>
      </c>
      <c r="O409" s="26" t="str">
        <f aca="false">IF($M409=0,"",OPERATIONS!$Q109)</f>
        <v/>
      </c>
      <c r="P409" s="26" t="str">
        <f aca="false">IF($G409="","",IF($G409=R_LOT,COUNTIF($G$5:$G409,R_LOT),""))</f>
        <v/>
      </c>
    </row>
    <row r="410" customFormat="false" ht="15" hidden="false" customHeight="false" outlineLevel="0" collapsed="false">
      <c r="A410" s="28" t="str">
        <f aca="false">IF($M410=0,"",ROW()-4)</f>
        <v/>
      </c>
      <c r="B410" s="26" t="str">
        <f aca="false">IF($M410=0,"","OPERATIONS")</f>
        <v/>
      </c>
      <c r="C410" s="26" t="str">
        <f aca="false">IF($M410=0,"",OPERATIONS!$A110)</f>
        <v/>
      </c>
      <c r="D410" s="31" t="str">
        <f aca="false">IF($M410=0,"",OPERATIONS!$B110)</f>
        <v/>
      </c>
      <c r="E410" s="26" t="str">
        <f aca="false">IF($M410=0,"",IF($M410&lt;0,"SORTIE","ENTREE"))</f>
        <v/>
      </c>
      <c r="F410" s="26" t="str">
        <f aca="false">IF($M410=0,"",OPERATIONS!$C110)</f>
        <v/>
      </c>
      <c r="G410" s="26" t="str">
        <f aca="false">IF($M410=0,"",OPERATIONS!$D110)</f>
        <v/>
      </c>
      <c r="H410" s="26" t="str">
        <f aca="false">IF($G410="","",IFERROR(INDEX(LOT_EXTE,MATCH($G410,LOT_KEY,0)),""))</f>
        <v/>
      </c>
      <c r="I410" s="26" t="str">
        <f aca="false">IF($M410=0,"",OPERATIONS!$F110)</f>
        <v/>
      </c>
      <c r="J410" s="26" t="str">
        <f aca="false">IF($I410="","",IFERROR(INDEX(EMPL_CLASSE,MATCH($I410,EMPL_KEY,0)),""))</f>
        <v/>
      </c>
      <c r="K410" s="26" t="str">
        <f aca="false">IF($M410=0,"",OPERATIONS!$K110)</f>
        <v/>
      </c>
      <c r="L410" s="26" t="str">
        <f aca="false">IF($G410="","",IF(IFERROR(INDEX(LOT_ETAT,MATCH($G410,LOT_KEY,0)),"")="","",INDEX(LOT_ETAT,MATCH($G410,LOT_KEY,0))))</f>
        <v/>
      </c>
      <c r="M410" s="73" t="n">
        <f aca="false">IF(OR(OPERATIONS!$O110=0,OPERATIONS!$C110="CONSOMMATION"),0,OPERATIONS!$G110)</f>
        <v>0</v>
      </c>
      <c r="N410" s="73" t="n">
        <f aca="false">IF($M410=0,0,OPERATIONS!$R110*$M410)</f>
        <v>0</v>
      </c>
      <c r="O410" s="26" t="str">
        <f aca="false">IF($M410=0,"",OPERATIONS!$Q110)</f>
        <v/>
      </c>
      <c r="P410" s="26" t="str">
        <f aca="false">IF($G410="","",IF($G410=R_LOT,COUNTIF($G$5:$G410,R_LOT),""))</f>
        <v/>
      </c>
    </row>
    <row r="411" customFormat="false" ht="15" hidden="false" customHeight="false" outlineLevel="0" collapsed="false">
      <c r="A411" s="28" t="str">
        <f aca="false">IF($M411=0,"",ROW()-4)</f>
        <v/>
      </c>
      <c r="B411" s="26" t="str">
        <f aca="false">IF($M411=0,"","OPERATIONS")</f>
        <v/>
      </c>
      <c r="C411" s="26" t="str">
        <f aca="false">IF($M411=0,"",OPERATIONS!$A111)</f>
        <v/>
      </c>
      <c r="D411" s="31" t="str">
        <f aca="false">IF($M411=0,"",OPERATIONS!$B111)</f>
        <v/>
      </c>
      <c r="E411" s="26" t="str">
        <f aca="false">IF($M411=0,"",IF($M411&lt;0,"SORTIE","ENTREE"))</f>
        <v/>
      </c>
      <c r="F411" s="26" t="str">
        <f aca="false">IF($M411=0,"",OPERATIONS!$C111)</f>
        <v/>
      </c>
      <c r="G411" s="26" t="str">
        <f aca="false">IF($M411=0,"",OPERATIONS!$D111)</f>
        <v/>
      </c>
      <c r="H411" s="26" t="str">
        <f aca="false">IF($G411="","",IFERROR(INDEX(LOT_EXTE,MATCH($G411,LOT_KEY,0)),""))</f>
        <v/>
      </c>
      <c r="I411" s="26" t="str">
        <f aca="false">IF($M411=0,"",OPERATIONS!$F111)</f>
        <v/>
      </c>
      <c r="J411" s="26" t="str">
        <f aca="false">IF($I411="","",IFERROR(INDEX(EMPL_CLASSE,MATCH($I411,EMPL_KEY,0)),""))</f>
        <v/>
      </c>
      <c r="K411" s="26" t="str">
        <f aca="false">IF($M411=0,"",OPERATIONS!$K111)</f>
        <v/>
      </c>
      <c r="L411" s="26" t="str">
        <f aca="false">IF($G411="","",IF(IFERROR(INDEX(LOT_ETAT,MATCH($G411,LOT_KEY,0)),"")="","",INDEX(LOT_ETAT,MATCH($G411,LOT_KEY,0))))</f>
        <v/>
      </c>
      <c r="M411" s="73" t="n">
        <f aca="false">IF(OR(OPERATIONS!$O111=0,OPERATIONS!$C111="CONSOMMATION"),0,OPERATIONS!$G111)</f>
        <v>0</v>
      </c>
      <c r="N411" s="73" t="n">
        <f aca="false">IF($M411=0,0,OPERATIONS!$R111*$M411)</f>
        <v>0</v>
      </c>
      <c r="O411" s="26" t="str">
        <f aca="false">IF($M411=0,"",OPERATIONS!$Q111)</f>
        <v/>
      </c>
      <c r="P411" s="26" t="str">
        <f aca="false">IF($G411="","",IF($G411=R_LOT,COUNTIF($G$5:$G411,R_LOT),""))</f>
        <v/>
      </c>
    </row>
    <row r="412" customFormat="false" ht="15" hidden="false" customHeight="false" outlineLevel="0" collapsed="false">
      <c r="A412" s="28" t="str">
        <f aca="false">IF($M412=0,"",ROW()-4)</f>
        <v/>
      </c>
      <c r="B412" s="26" t="str">
        <f aca="false">IF($M412=0,"","OPERATIONS")</f>
        <v/>
      </c>
      <c r="C412" s="26" t="str">
        <f aca="false">IF($M412=0,"",OPERATIONS!$A112)</f>
        <v/>
      </c>
      <c r="D412" s="31" t="str">
        <f aca="false">IF($M412=0,"",OPERATIONS!$B112)</f>
        <v/>
      </c>
      <c r="E412" s="26" t="str">
        <f aca="false">IF($M412=0,"",IF($M412&lt;0,"SORTIE","ENTREE"))</f>
        <v/>
      </c>
      <c r="F412" s="26" t="str">
        <f aca="false">IF($M412=0,"",OPERATIONS!$C112)</f>
        <v/>
      </c>
      <c r="G412" s="26" t="str">
        <f aca="false">IF($M412=0,"",OPERATIONS!$D112)</f>
        <v/>
      </c>
      <c r="H412" s="26" t="str">
        <f aca="false">IF($G412="","",IFERROR(INDEX(LOT_EXTE,MATCH($G412,LOT_KEY,0)),""))</f>
        <v/>
      </c>
      <c r="I412" s="26" t="str">
        <f aca="false">IF($M412=0,"",OPERATIONS!$F112)</f>
        <v/>
      </c>
      <c r="J412" s="26" t="str">
        <f aca="false">IF($I412="","",IFERROR(INDEX(EMPL_CLASSE,MATCH($I412,EMPL_KEY,0)),""))</f>
        <v/>
      </c>
      <c r="K412" s="26" t="str">
        <f aca="false">IF($M412=0,"",OPERATIONS!$K112)</f>
        <v/>
      </c>
      <c r="L412" s="26" t="str">
        <f aca="false">IF($G412="","",IF(IFERROR(INDEX(LOT_ETAT,MATCH($G412,LOT_KEY,0)),"")="","",INDEX(LOT_ETAT,MATCH($G412,LOT_KEY,0))))</f>
        <v/>
      </c>
      <c r="M412" s="73" t="n">
        <f aca="false">IF(OR(OPERATIONS!$O112=0,OPERATIONS!$C112="CONSOMMATION"),0,OPERATIONS!$G112)</f>
        <v>0</v>
      </c>
      <c r="N412" s="73" t="n">
        <f aca="false">IF($M412=0,0,OPERATIONS!$R112*$M412)</f>
        <v>0</v>
      </c>
      <c r="O412" s="26" t="str">
        <f aca="false">IF($M412=0,"",OPERATIONS!$Q112)</f>
        <v/>
      </c>
      <c r="P412" s="26" t="str">
        <f aca="false">IF($G412="","",IF($G412=R_LOT,COUNTIF($G$5:$G412,R_LOT),""))</f>
        <v/>
      </c>
    </row>
    <row r="413" customFormat="false" ht="15" hidden="false" customHeight="false" outlineLevel="0" collapsed="false">
      <c r="A413" s="28" t="str">
        <f aca="false">IF($M413=0,"",ROW()-4)</f>
        <v/>
      </c>
      <c r="B413" s="26" t="str">
        <f aca="false">IF($M413=0,"","OPERATIONS")</f>
        <v/>
      </c>
      <c r="C413" s="26" t="str">
        <f aca="false">IF($M413=0,"",OPERATIONS!$A113)</f>
        <v/>
      </c>
      <c r="D413" s="31" t="str">
        <f aca="false">IF($M413=0,"",OPERATIONS!$B113)</f>
        <v/>
      </c>
      <c r="E413" s="26" t="str">
        <f aca="false">IF($M413=0,"",IF($M413&lt;0,"SORTIE","ENTREE"))</f>
        <v/>
      </c>
      <c r="F413" s="26" t="str">
        <f aca="false">IF($M413=0,"",OPERATIONS!$C113)</f>
        <v/>
      </c>
      <c r="G413" s="26" t="str">
        <f aca="false">IF($M413=0,"",OPERATIONS!$D113)</f>
        <v/>
      </c>
      <c r="H413" s="26" t="str">
        <f aca="false">IF($G413="","",IFERROR(INDEX(LOT_EXTE,MATCH($G413,LOT_KEY,0)),""))</f>
        <v/>
      </c>
      <c r="I413" s="26" t="str">
        <f aca="false">IF($M413=0,"",OPERATIONS!$F113)</f>
        <v/>
      </c>
      <c r="J413" s="26" t="str">
        <f aca="false">IF($I413="","",IFERROR(INDEX(EMPL_CLASSE,MATCH($I413,EMPL_KEY,0)),""))</f>
        <v/>
      </c>
      <c r="K413" s="26" t="str">
        <f aca="false">IF($M413=0,"",OPERATIONS!$K113)</f>
        <v/>
      </c>
      <c r="L413" s="26" t="str">
        <f aca="false">IF($G413="","",IF(IFERROR(INDEX(LOT_ETAT,MATCH($G413,LOT_KEY,0)),"")="","",INDEX(LOT_ETAT,MATCH($G413,LOT_KEY,0))))</f>
        <v/>
      </c>
      <c r="M413" s="73" t="n">
        <f aca="false">IF(OR(OPERATIONS!$O113=0,OPERATIONS!$C113="CONSOMMATION"),0,OPERATIONS!$G113)</f>
        <v>0</v>
      </c>
      <c r="N413" s="73" t="n">
        <f aca="false">IF($M413=0,0,OPERATIONS!$R113*$M413)</f>
        <v>0</v>
      </c>
      <c r="O413" s="26" t="str">
        <f aca="false">IF($M413=0,"",OPERATIONS!$Q113)</f>
        <v/>
      </c>
      <c r="P413" s="26" t="str">
        <f aca="false">IF($G413="","",IF($G413=R_LOT,COUNTIF($G$5:$G413,R_LOT),""))</f>
        <v/>
      </c>
    </row>
    <row r="414" customFormat="false" ht="15" hidden="false" customHeight="false" outlineLevel="0" collapsed="false">
      <c r="A414" s="28" t="str">
        <f aca="false">IF($M414=0,"",ROW()-4)</f>
        <v/>
      </c>
      <c r="B414" s="26" t="str">
        <f aca="false">IF($M414=0,"","OPERATIONS")</f>
        <v/>
      </c>
      <c r="C414" s="26" t="str">
        <f aca="false">IF($M414=0,"",OPERATIONS!$A114)</f>
        <v/>
      </c>
      <c r="D414" s="31" t="str">
        <f aca="false">IF($M414=0,"",OPERATIONS!$B114)</f>
        <v/>
      </c>
      <c r="E414" s="26" t="str">
        <f aca="false">IF($M414=0,"",IF($M414&lt;0,"SORTIE","ENTREE"))</f>
        <v/>
      </c>
      <c r="F414" s="26" t="str">
        <f aca="false">IF($M414=0,"",OPERATIONS!$C114)</f>
        <v/>
      </c>
      <c r="G414" s="26" t="str">
        <f aca="false">IF($M414=0,"",OPERATIONS!$D114)</f>
        <v/>
      </c>
      <c r="H414" s="26" t="str">
        <f aca="false">IF($G414="","",IFERROR(INDEX(LOT_EXTE,MATCH($G414,LOT_KEY,0)),""))</f>
        <v/>
      </c>
      <c r="I414" s="26" t="str">
        <f aca="false">IF($M414=0,"",OPERATIONS!$F114)</f>
        <v/>
      </c>
      <c r="J414" s="26" t="str">
        <f aca="false">IF($I414="","",IFERROR(INDEX(EMPL_CLASSE,MATCH($I414,EMPL_KEY,0)),""))</f>
        <v/>
      </c>
      <c r="K414" s="26" t="str">
        <f aca="false">IF($M414=0,"",OPERATIONS!$K114)</f>
        <v/>
      </c>
      <c r="L414" s="26" t="str">
        <f aca="false">IF($G414="","",IF(IFERROR(INDEX(LOT_ETAT,MATCH($G414,LOT_KEY,0)),"")="","",INDEX(LOT_ETAT,MATCH($G414,LOT_KEY,0))))</f>
        <v/>
      </c>
      <c r="M414" s="73" t="n">
        <f aca="false">IF(OR(OPERATIONS!$O114=0,OPERATIONS!$C114="CONSOMMATION"),0,OPERATIONS!$G114)</f>
        <v>0</v>
      </c>
      <c r="N414" s="73" t="n">
        <f aca="false">IF($M414=0,0,OPERATIONS!$R114*$M414)</f>
        <v>0</v>
      </c>
      <c r="O414" s="26" t="str">
        <f aca="false">IF($M414=0,"",OPERATIONS!$Q114)</f>
        <v/>
      </c>
      <c r="P414" s="26" t="str">
        <f aca="false">IF($G414="","",IF($G414=R_LOT,COUNTIF($G$5:$G414,R_LOT),""))</f>
        <v/>
      </c>
    </row>
    <row r="415" customFormat="false" ht="15" hidden="false" customHeight="false" outlineLevel="0" collapsed="false">
      <c r="A415" s="28" t="str">
        <f aca="false">IF($M415=0,"",ROW()-4)</f>
        <v/>
      </c>
      <c r="B415" s="26" t="str">
        <f aca="false">IF($M415=0,"","OPERATIONS")</f>
        <v/>
      </c>
      <c r="C415" s="26" t="str">
        <f aca="false">IF($M415=0,"",OPERATIONS!$A115)</f>
        <v/>
      </c>
      <c r="D415" s="31" t="str">
        <f aca="false">IF($M415=0,"",OPERATIONS!$B115)</f>
        <v/>
      </c>
      <c r="E415" s="26" t="str">
        <f aca="false">IF($M415=0,"",IF($M415&lt;0,"SORTIE","ENTREE"))</f>
        <v/>
      </c>
      <c r="F415" s="26" t="str">
        <f aca="false">IF($M415=0,"",OPERATIONS!$C115)</f>
        <v/>
      </c>
      <c r="G415" s="26" t="str">
        <f aca="false">IF($M415=0,"",OPERATIONS!$D115)</f>
        <v/>
      </c>
      <c r="H415" s="26" t="str">
        <f aca="false">IF($G415="","",IFERROR(INDEX(LOT_EXTE,MATCH($G415,LOT_KEY,0)),""))</f>
        <v/>
      </c>
      <c r="I415" s="26" t="str">
        <f aca="false">IF($M415=0,"",OPERATIONS!$F115)</f>
        <v/>
      </c>
      <c r="J415" s="26" t="str">
        <f aca="false">IF($I415="","",IFERROR(INDEX(EMPL_CLASSE,MATCH($I415,EMPL_KEY,0)),""))</f>
        <v/>
      </c>
      <c r="K415" s="26" t="str">
        <f aca="false">IF($M415=0,"",OPERATIONS!$K115)</f>
        <v/>
      </c>
      <c r="L415" s="26" t="str">
        <f aca="false">IF($G415="","",IF(IFERROR(INDEX(LOT_ETAT,MATCH($G415,LOT_KEY,0)),"")="","",INDEX(LOT_ETAT,MATCH($G415,LOT_KEY,0))))</f>
        <v/>
      </c>
      <c r="M415" s="73" t="n">
        <f aca="false">IF(OR(OPERATIONS!$O115=0,OPERATIONS!$C115="CONSOMMATION"),0,OPERATIONS!$G115)</f>
        <v>0</v>
      </c>
      <c r="N415" s="73" t="n">
        <f aca="false">IF($M415=0,0,OPERATIONS!$R115*$M415)</f>
        <v>0</v>
      </c>
      <c r="O415" s="26" t="str">
        <f aca="false">IF($M415=0,"",OPERATIONS!$Q115)</f>
        <v/>
      </c>
      <c r="P415" s="26" t="str">
        <f aca="false">IF($G415="","",IF($G415=R_LOT,COUNTIF($G$5:$G415,R_LOT),""))</f>
        <v/>
      </c>
    </row>
    <row r="416" customFormat="false" ht="15" hidden="false" customHeight="false" outlineLevel="0" collapsed="false">
      <c r="A416" s="28" t="str">
        <f aca="false">IF($M416=0,"",ROW()-4)</f>
        <v/>
      </c>
      <c r="B416" s="26" t="str">
        <f aca="false">IF($M416=0,"","OPERATIONS")</f>
        <v/>
      </c>
      <c r="C416" s="26" t="str">
        <f aca="false">IF($M416=0,"",OPERATIONS!$A116)</f>
        <v/>
      </c>
      <c r="D416" s="31" t="str">
        <f aca="false">IF($M416=0,"",OPERATIONS!$B116)</f>
        <v/>
      </c>
      <c r="E416" s="26" t="str">
        <f aca="false">IF($M416=0,"",IF($M416&lt;0,"SORTIE","ENTREE"))</f>
        <v/>
      </c>
      <c r="F416" s="26" t="str">
        <f aca="false">IF($M416=0,"",OPERATIONS!$C116)</f>
        <v/>
      </c>
      <c r="G416" s="26" t="str">
        <f aca="false">IF($M416=0,"",OPERATIONS!$D116)</f>
        <v/>
      </c>
      <c r="H416" s="26" t="str">
        <f aca="false">IF($G416="","",IFERROR(INDEX(LOT_EXTE,MATCH($G416,LOT_KEY,0)),""))</f>
        <v/>
      </c>
      <c r="I416" s="26" t="str">
        <f aca="false">IF($M416=0,"",OPERATIONS!$F116)</f>
        <v/>
      </c>
      <c r="J416" s="26" t="str">
        <f aca="false">IF($I416="","",IFERROR(INDEX(EMPL_CLASSE,MATCH($I416,EMPL_KEY,0)),""))</f>
        <v/>
      </c>
      <c r="K416" s="26" t="str">
        <f aca="false">IF($M416=0,"",OPERATIONS!$K116)</f>
        <v/>
      </c>
      <c r="L416" s="26" t="str">
        <f aca="false">IF($G416="","",IF(IFERROR(INDEX(LOT_ETAT,MATCH($G416,LOT_KEY,0)),"")="","",INDEX(LOT_ETAT,MATCH($G416,LOT_KEY,0))))</f>
        <v/>
      </c>
      <c r="M416" s="73" t="n">
        <f aca="false">IF(OR(OPERATIONS!$O116=0,OPERATIONS!$C116="CONSOMMATION"),0,OPERATIONS!$G116)</f>
        <v>0</v>
      </c>
      <c r="N416" s="73" t="n">
        <f aca="false">IF($M416=0,0,OPERATIONS!$R116*$M416)</f>
        <v>0</v>
      </c>
      <c r="O416" s="26" t="str">
        <f aca="false">IF($M416=0,"",OPERATIONS!$Q116)</f>
        <v/>
      </c>
      <c r="P416" s="26" t="str">
        <f aca="false">IF($G416="","",IF($G416=R_LOT,COUNTIF($G$5:$G416,R_LOT),""))</f>
        <v/>
      </c>
    </row>
    <row r="417" customFormat="false" ht="15" hidden="false" customHeight="false" outlineLevel="0" collapsed="false">
      <c r="A417" s="28" t="str">
        <f aca="false">IF($M417=0,"",ROW()-4)</f>
        <v/>
      </c>
      <c r="B417" s="26" t="str">
        <f aca="false">IF($M417=0,"","OPERATIONS")</f>
        <v/>
      </c>
      <c r="C417" s="26" t="str">
        <f aca="false">IF($M417=0,"",OPERATIONS!$A117)</f>
        <v/>
      </c>
      <c r="D417" s="31" t="str">
        <f aca="false">IF($M417=0,"",OPERATIONS!$B117)</f>
        <v/>
      </c>
      <c r="E417" s="26" t="str">
        <f aca="false">IF($M417=0,"",IF($M417&lt;0,"SORTIE","ENTREE"))</f>
        <v/>
      </c>
      <c r="F417" s="26" t="str">
        <f aca="false">IF($M417=0,"",OPERATIONS!$C117)</f>
        <v/>
      </c>
      <c r="G417" s="26" t="str">
        <f aca="false">IF($M417=0,"",OPERATIONS!$D117)</f>
        <v/>
      </c>
      <c r="H417" s="26" t="str">
        <f aca="false">IF($G417="","",IFERROR(INDEX(LOT_EXTE,MATCH($G417,LOT_KEY,0)),""))</f>
        <v/>
      </c>
      <c r="I417" s="26" t="str">
        <f aca="false">IF($M417=0,"",OPERATIONS!$F117)</f>
        <v/>
      </c>
      <c r="J417" s="26" t="str">
        <f aca="false">IF($I417="","",IFERROR(INDEX(EMPL_CLASSE,MATCH($I417,EMPL_KEY,0)),""))</f>
        <v/>
      </c>
      <c r="K417" s="26" t="str">
        <f aca="false">IF($M417=0,"",OPERATIONS!$K117)</f>
        <v/>
      </c>
      <c r="L417" s="26" t="str">
        <f aca="false">IF($G417="","",IF(IFERROR(INDEX(LOT_ETAT,MATCH($G417,LOT_KEY,0)),"")="","",INDEX(LOT_ETAT,MATCH($G417,LOT_KEY,0))))</f>
        <v/>
      </c>
      <c r="M417" s="73" t="n">
        <f aca="false">IF(OR(OPERATIONS!$O117=0,OPERATIONS!$C117="CONSOMMATION"),0,OPERATIONS!$G117)</f>
        <v>0</v>
      </c>
      <c r="N417" s="73" t="n">
        <f aca="false">IF($M417=0,0,OPERATIONS!$R117*$M417)</f>
        <v>0</v>
      </c>
      <c r="O417" s="26" t="str">
        <f aca="false">IF($M417=0,"",OPERATIONS!$Q117)</f>
        <v/>
      </c>
      <c r="P417" s="26" t="str">
        <f aca="false">IF($G417="","",IF($G417=R_LOT,COUNTIF($G$5:$G417,R_LOT),""))</f>
        <v/>
      </c>
    </row>
    <row r="418" customFormat="false" ht="15" hidden="false" customHeight="false" outlineLevel="0" collapsed="false">
      <c r="A418" s="28" t="str">
        <f aca="false">IF($M418=0,"",ROW()-4)</f>
        <v/>
      </c>
      <c r="B418" s="26" t="str">
        <f aca="false">IF($M418=0,"","OPERATIONS")</f>
        <v/>
      </c>
      <c r="C418" s="26" t="str">
        <f aca="false">IF($M418=0,"",OPERATIONS!$A118)</f>
        <v/>
      </c>
      <c r="D418" s="31" t="str">
        <f aca="false">IF($M418=0,"",OPERATIONS!$B118)</f>
        <v/>
      </c>
      <c r="E418" s="26" t="str">
        <f aca="false">IF($M418=0,"",IF($M418&lt;0,"SORTIE","ENTREE"))</f>
        <v/>
      </c>
      <c r="F418" s="26" t="str">
        <f aca="false">IF($M418=0,"",OPERATIONS!$C118)</f>
        <v/>
      </c>
      <c r="G418" s="26" t="str">
        <f aca="false">IF($M418=0,"",OPERATIONS!$D118)</f>
        <v/>
      </c>
      <c r="H418" s="26" t="str">
        <f aca="false">IF($G418="","",IFERROR(INDEX(LOT_EXTE,MATCH($G418,LOT_KEY,0)),""))</f>
        <v/>
      </c>
      <c r="I418" s="26" t="str">
        <f aca="false">IF($M418=0,"",OPERATIONS!$F118)</f>
        <v/>
      </c>
      <c r="J418" s="26" t="str">
        <f aca="false">IF($I418="","",IFERROR(INDEX(EMPL_CLASSE,MATCH($I418,EMPL_KEY,0)),""))</f>
        <v/>
      </c>
      <c r="K418" s="26" t="str">
        <f aca="false">IF($M418=0,"",OPERATIONS!$K118)</f>
        <v/>
      </c>
      <c r="L418" s="26" t="str">
        <f aca="false">IF($G418="","",IF(IFERROR(INDEX(LOT_ETAT,MATCH($G418,LOT_KEY,0)),"")="","",INDEX(LOT_ETAT,MATCH($G418,LOT_KEY,0))))</f>
        <v/>
      </c>
      <c r="M418" s="73" t="n">
        <f aca="false">IF(OR(OPERATIONS!$O118=0,OPERATIONS!$C118="CONSOMMATION"),0,OPERATIONS!$G118)</f>
        <v>0</v>
      </c>
      <c r="N418" s="73" t="n">
        <f aca="false">IF($M418=0,0,OPERATIONS!$R118*$M418)</f>
        <v>0</v>
      </c>
      <c r="O418" s="26" t="str">
        <f aca="false">IF($M418=0,"",OPERATIONS!$Q118)</f>
        <v/>
      </c>
      <c r="P418" s="26" t="str">
        <f aca="false">IF($G418="","",IF($G418=R_LOT,COUNTIF($G$5:$G418,R_LOT),""))</f>
        <v/>
      </c>
    </row>
    <row r="419" customFormat="false" ht="15" hidden="false" customHeight="false" outlineLevel="0" collapsed="false">
      <c r="A419" s="28" t="str">
        <f aca="false">IF($M419=0,"",ROW()-4)</f>
        <v/>
      </c>
      <c r="B419" s="26" t="str">
        <f aca="false">IF($M419=0,"","OPERATIONS")</f>
        <v/>
      </c>
      <c r="C419" s="26" t="str">
        <f aca="false">IF($M419=0,"",OPERATIONS!$A119)</f>
        <v/>
      </c>
      <c r="D419" s="31" t="str">
        <f aca="false">IF($M419=0,"",OPERATIONS!$B119)</f>
        <v/>
      </c>
      <c r="E419" s="26" t="str">
        <f aca="false">IF($M419=0,"",IF($M419&lt;0,"SORTIE","ENTREE"))</f>
        <v/>
      </c>
      <c r="F419" s="26" t="str">
        <f aca="false">IF($M419=0,"",OPERATIONS!$C119)</f>
        <v/>
      </c>
      <c r="G419" s="26" t="str">
        <f aca="false">IF($M419=0,"",OPERATIONS!$D119)</f>
        <v/>
      </c>
      <c r="H419" s="26" t="str">
        <f aca="false">IF($G419="","",IFERROR(INDEX(LOT_EXTE,MATCH($G419,LOT_KEY,0)),""))</f>
        <v/>
      </c>
      <c r="I419" s="26" t="str">
        <f aca="false">IF($M419=0,"",OPERATIONS!$F119)</f>
        <v/>
      </c>
      <c r="J419" s="26" t="str">
        <f aca="false">IF($I419="","",IFERROR(INDEX(EMPL_CLASSE,MATCH($I419,EMPL_KEY,0)),""))</f>
        <v/>
      </c>
      <c r="K419" s="26" t="str">
        <f aca="false">IF($M419=0,"",OPERATIONS!$K119)</f>
        <v/>
      </c>
      <c r="L419" s="26" t="str">
        <f aca="false">IF($G419="","",IF(IFERROR(INDEX(LOT_ETAT,MATCH($G419,LOT_KEY,0)),"")="","",INDEX(LOT_ETAT,MATCH($G419,LOT_KEY,0))))</f>
        <v/>
      </c>
      <c r="M419" s="73" t="n">
        <f aca="false">IF(OR(OPERATIONS!$O119=0,OPERATIONS!$C119="CONSOMMATION"),0,OPERATIONS!$G119)</f>
        <v>0</v>
      </c>
      <c r="N419" s="73" t="n">
        <f aca="false">IF($M419=0,0,OPERATIONS!$R119*$M419)</f>
        <v>0</v>
      </c>
      <c r="O419" s="26" t="str">
        <f aca="false">IF($M419=0,"",OPERATIONS!$Q119)</f>
        <v/>
      </c>
      <c r="P419" s="26" t="str">
        <f aca="false">IF($G419="","",IF($G419=R_LOT,COUNTIF($G$5:$G419,R_LOT),""))</f>
        <v/>
      </c>
    </row>
    <row r="420" customFormat="false" ht="15" hidden="false" customHeight="false" outlineLevel="0" collapsed="false">
      <c r="A420" s="28" t="str">
        <f aca="false">IF($M420=0,"",ROW()-4)</f>
        <v/>
      </c>
      <c r="B420" s="26" t="str">
        <f aca="false">IF($M420=0,"","OPERATIONS")</f>
        <v/>
      </c>
      <c r="C420" s="26" t="str">
        <f aca="false">IF($M420=0,"",OPERATIONS!$A120)</f>
        <v/>
      </c>
      <c r="D420" s="31" t="str">
        <f aca="false">IF($M420=0,"",OPERATIONS!$B120)</f>
        <v/>
      </c>
      <c r="E420" s="26" t="str">
        <f aca="false">IF($M420=0,"",IF($M420&lt;0,"SORTIE","ENTREE"))</f>
        <v/>
      </c>
      <c r="F420" s="26" t="str">
        <f aca="false">IF($M420=0,"",OPERATIONS!$C120)</f>
        <v/>
      </c>
      <c r="G420" s="26" t="str">
        <f aca="false">IF($M420=0,"",OPERATIONS!$D120)</f>
        <v/>
      </c>
      <c r="H420" s="26" t="str">
        <f aca="false">IF($G420="","",IFERROR(INDEX(LOT_EXTE,MATCH($G420,LOT_KEY,0)),""))</f>
        <v/>
      </c>
      <c r="I420" s="26" t="str">
        <f aca="false">IF($M420=0,"",OPERATIONS!$F120)</f>
        <v/>
      </c>
      <c r="J420" s="26" t="str">
        <f aca="false">IF($I420="","",IFERROR(INDEX(EMPL_CLASSE,MATCH($I420,EMPL_KEY,0)),""))</f>
        <v/>
      </c>
      <c r="K420" s="26" t="str">
        <f aca="false">IF($M420=0,"",OPERATIONS!$K120)</f>
        <v/>
      </c>
      <c r="L420" s="26" t="str">
        <f aca="false">IF($G420="","",IF(IFERROR(INDEX(LOT_ETAT,MATCH($G420,LOT_KEY,0)),"")="","",INDEX(LOT_ETAT,MATCH($G420,LOT_KEY,0))))</f>
        <v/>
      </c>
      <c r="M420" s="73" t="n">
        <f aca="false">IF(OR(OPERATIONS!$O120=0,OPERATIONS!$C120="CONSOMMATION"),0,OPERATIONS!$G120)</f>
        <v>0</v>
      </c>
      <c r="N420" s="73" t="n">
        <f aca="false">IF($M420=0,0,OPERATIONS!$R120*$M420)</f>
        <v>0</v>
      </c>
      <c r="O420" s="26" t="str">
        <f aca="false">IF($M420=0,"",OPERATIONS!$Q120)</f>
        <v/>
      </c>
      <c r="P420" s="26" t="str">
        <f aca="false">IF($G420="","",IF($G420=R_LOT,COUNTIF($G$5:$G420,R_LOT),""))</f>
        <v/>
      </c>
    </row>
    <row r="421" customFormat="false" ht="15" hidden="false" customHeight="false" outlineLevel="0" collapsed="false">
      <c r="A421" s="28" t="str">
        <f aca="false">IF($M421=0,"",ROW()-4)</f>
        <v/>
      </c>
      <c r="B421" s="26" t="str">
        <f aca="false">IF($M421=0,"","OPERATIONS")</f>
        <v/>
      </c>
      <c r="C421" s="26" t="str">
        <f aca="false">IF($M421=0,"",OPERATIONS!$A121)</f>
        <v/>
      </c>
      <c r="D421" s="31" t="str">
        <f aca="false">IF($M421=0,"",OPERATIONS!$B121)</f>
        <v/>
      </c>
      <c r="E421" s="26" t="str">
        <f aca="false">IF($M421=0,"",IF($M421&lt;0,"SORTIE","ENTREE"))</f>
        <v/>
      </c>
      <c r="F421" s="26" t="str">
        <f aca="false">IF($M421=0,"",OPERATIONS!$C121)</f>
        <v/>
      </c>
      <c r="G421" s="26" t="str">
        <f aca="false">IF($M421=0,"",OPERATIONS!$D121)</f>
        <v/>
      </c>
      <c r="H421" s="26" t="str">
        <f aca="false">IF($G421="","",IFERROR(INDEX(LOT_EXTE,MATCH($G421,LOT_KEY,0)),""))</f>
        <v/>
      </c>
      <c r="I421" s="26" t="str">
        <f aca="false">IF($M421=0,"",OPERATIONS!$F121)</f>
        <v/>
      </c>
      <c r="J421" s="26" t="str">
        <f aca="false">IF($I421="","",IFERROR(INDEX(EMPL_CLASSE,MATCH($I421,EMPL_KEY,0)),""))</f>
        <v/>
      </c>
      <c r="K421" s="26" t="str">
        <f aca="false">IF($M421=0,"",OPERATIONS!$K121)</f>
        <v/>
      </c>
      <c r="L421" s="26" t="str">
        <f aca="false">IF($G421="","",IF(IFERROR(INDEX(LOT_ETAT,MATCH($G421,LOT_KEY,0)),"")="","",INDEX(LOT_ETAT,MATCH($G421,LOT_KEY,0))))</f>
        <v/>
      </c>
      <c r="M421" s="73" t="n">
        <f aca="false">IF(OR(OPERATIONS!$O121=0,OPERATIONS!$C121="CONSOMMATION"),0,OPERATIONS!$G121)</f>
        <v>0</v>
      </c>
      <c r="N421" s="73" t="n">
        <f aca="false">IF($M421=0,0,OPERATIONS!$R121*$M421)</f>
        <v>0</v>
      </c>
      <c r="O421" s="26" t="str">
        <f aca="false">IF($M421=0,"",OPERATIONS!$Q121)</f>
        <v/>
      </c>
      <c r="P421" s="26" t="str">
        <f aca="false">IF($G421="","",IF($G421=R_LOT,COUNTIF($G$5:$G421,R_LOT),""))</f>
        <v/>
      </c>
    </row>
    <row r="422" customFormat="false" ht="15" hidden="false" customHeight="false" outlineLevel="0" collapsed="false">
      <c r="A422" s="28" t="str">
        <f aca="false">IF($M422=0,"",ROW()-4)</f>
        <v/>
      </c>
      <c r="B422" s="26" t="str">
        <f aca="false">IF($M422=0,"","OPERATIONS")</f>
        <v/>
      </c>
      <c r="C422" s="26" t="str">
        <f aca="false">IF($M422=0,"",OPERATIONS!$A122)</f>
        <v/>
      </c>
      <c r="D422" s="31" t="str">
        <f aca="false">IF($M422=0,"",OPERATIONS!$B122)</f>
        <v/>
      </c>
      <c r="E422" s="26" t="str">
        <f aca="false">IF($M422=0,"",IF($M422&lt;0,"SORTIE","ENTREE"))</f>
        <v/>
      </c>
      <c r="F422" s="26" t="str">
        <f aca="false">IF($M422=0,"",OPERATIONS!$C122)</f>
        <v/>
      </c>
      <c r="G422" s="26" t="str">
        <f aca="false">IF($M422=0,"",OPERATIONS!$D122)</f>
        <v/>
      </c>
      <c r="H422" s="26" t="str">
        <f aca="false">IF($G422="","",IFERROR(INDEX(LOT_EXTE,MATCH($G422,LOT_KEY,0)),""))</f>
        <v/>
      </c>
      <c r="I422" s="26" t="str">
        <f aca="false">IF($M422=0,"",OPERATIONS!$F122)</f>
        <v/>
      </c>
      <c r="J422" s="26" t="str">
        <f aca="false">IF($I422="","",IFERROR(INDEX(EMPL_CLASSE,MATCH($I422,EMPL_KEY,0)),""))</f>
        <v/>
      </c>
      <c r="K422" s="26" t="str">
        <f aca="false">IF($M422=0,"",OPERATIONS!$K122)</f>
        <v/>
      </c>
      <c r="L422" s="26" t="str">
        <f aca="false">IF($G422="","",IF(IFERROR(INDEX(LOT_ETAT,MATCH($G422,LOT_KEY,0)),"")="","",INDEX(LOT_ETAT,MATCH($G422,LOT_KEY,0))))</f>
        <v/>
      </c>
      <c r="M422" s="73" t="n">
        <f aca="false">IF(OR(OPERATIONS!$O122=0,OPERATIONS!$C122="CONSOMMATION"),0,OPERATIONS!$G122)</f>
        <v>0</v>
      </c>
      <c r="N422" s="73" t="n">
        <f aca="false">IF($M422=0,0,OPERATIONS!$R122*$M422)</f>
        <v>0</v>
      </c>
      <c r="O422" s="26" t="str">
        <f aca="false">IF($M422=0,"",OPERATIONS!$Q122)</f>
        <v/>
      </c>
      <c r="P422" s="26" t="str">
        <f aca="false">IF($G422="","",IF($G422=R_LOT,COUNTIF($G$5:$G422,R_LOT),""))</f>
        <v/>
      </c>
    </row>
    <row r="423" customFormat="false" ht="15" hidden="false" customHeight="false" outlineLevel="0" collapsed="false">
      <c r="A423" s="28" t="str">
        <f aca="false">IF($M423=0,"",ROW()-4)</f>
        <v/>
      </c>
      <c r="B423" s="26" t="str">
        <f aca="false">IF($M423=0,"","OPERATIONS")</f>
        <v/>
      </c>
      <c r="C423" s="26" t="str">
        <f aca="false">IF($M423=0,"",OPERATIONS!$A123)</f>
        <v/>
      </c>
      <c r="D423" s="31" t="str">
        <f aca="false">IF($M423=0,"",OPERATIONS!$B123)</f>
        <v/>
      </c>
      <c r="E423" s="26" t="str">
        <f aca="false">IF($M423=0,"",IF($M423&lt;0,"SORTIE","ENTREE"))</f>
        <v/>
      </c>
      <c r="F423" s="26" t="str">
        <f aca="false">IF($M423=0,"",OPERATIONS!$C123)</f>
        <v/>
      </c>
      <c r="G423" s="26" t="str">
        <f aca="false">IF($M423=0,"",OPERATIONS!$D123)</f>
        <v/>
      </c>
      <c r="H423" s="26" t="str">
        <f aca="false">IF($G423="","",IFERROR(INDEX(LOT_EXTE,MATCH($G423,LOT_KEY,0)),""))</f>
        <v/>
      </c>
      <c r="I423" s="26" t="str">
        <f aca="false">IF($M423=0,"",OPERATIONS!$F123)</f>
        <v/>
      </c>
      <c r="J423" s="26" t="str">
        <f aca="false">IF($I423="","",IFERROR(INDEX(EMPL_CLASSE,MATCH($I423,EMPL_KEY,0)),""))</f>
        <v/>
      </c>
      <c r="K423" s="26" t="str">
        <f aca="false">IF($M423=0,"",OPERATIONS!$K123)</f>
        <v/>
      </c>
      <c r="L423" s="26" t="str">
        <f aca="false">IF($G423="","",IF(IFERROR(INDEX(LOT_ETAT,MATCH($G423,LOT_KEY,0)),"")="","",INDEX(LOT_ETAT,MATCH($G423,LOT_KEY,0))))</f>
        <v/>
      </c>
      <c r="M423" s="73" t="n">
        <f aca="false">IF(OR(OPERATIONS!$O123=0,OPERATIONS!$C123="CONSOMMATION"),0,OPERATIONS!$G123)</f>
        <v>0</v>
      </c>
      <c r="N423" s="73" t="n">
        <f aca="false">IF($M423=0,0,OPERATIONS!$R123*$M423)</f>
        <v>0</v>
      </c>
      <c r="O423" s="26" t="str">
        <f aca="false">IF($M423=0,"",OPERATIONS!$Q123)</f>
        <v/>
      </c>
      <c r="P423" s="26" t="str">
        <f aca="false">IF($G423="","",IF($G423=R_LOT,COUNTIF($G$5:$G423,R_LOT),""))</f>
        <v/>
      </c>
    </row>
    <row r="424" customFormat="false" ht="15" hidden="false" customHeight="false" outlineLevel="0" collapsed="false">
      <c r="A424" s="28" t="str">
        <f aca="false">IF($M424=0,"",ROW()-4)</f>
        <v/>
      </c>
      <c r="B424" s="26" t="str">
        <f aca="false">IF($M424=0,"","OPERATIONS")</f>
        <v/>
      </c>
      <c r="C424" s="26" t="str">
        <f aca="false">IF($M424=0,"",OPERATIONS!$A124)</f>
        <v/>
      </c>
      <c r="D424" s="31" t="str">
        <f aca="false">IF($M424=0,"",OPERATIONS!$B124)</f>
        <v/>
      </c>
      <c r="E424" s="26" t="str">
        <f aca="false">IF($M424=0,"",IF($M424&lt;0,"SORTIE","ENTREE"))</f>
        <v/>
      </c>
      <c r="F424" s="26" t="str">
        <f aca="false">IF($M424=0,"",OPERATIONS!$C124)</f>
        <v/>
      </c>
      <c r="G424" s="26" t="str">
        <f aca="false">IF($M424=0,"",OPERATIONS!$D124)</f>
        <v/>
      </c>
      <c r="H424" s="26" t="str">
        <f aca="false">IF($G424="","",IFERROR(INDEX(LOT_EXTE,MATCH($G424,LOT_KEY,0)),""))</f>
        <v/>
      </c>
      <c r="I424" s="26" t="str">
        <f aca="false">IF($M424=0,"",OPERATIONS!$F124)</f>
        <v/>
      </c>
      <c r="J424" s="26" t="str">
        <f aca="false">IF($I424="","",IFERROR(INDEX(EMPL_CLASSE,MATCH($I424,EMPL_KEY,0)),""))</f>
        <v/>
      </c>
      <c r="K424" s="26" t="str">
        <f aca="false">IF($M424=0,"",OPERATIONS!$K124)</f>
        <v/>
      </c>
      <c r="L424" s="26" t="str">
        <f aca="false">IF($G424="","",IF(IFERROR(INDEX(LOT_ETAT,MATCH($G424,LOT_KEY,0)),"")="","",INDEX(LOT_ETAT,MATCH($G424,LOT_KEY,0))))</f>
        <v/>
      </c>
      <c r="M424" s="73" t="n">
        <f aca="false">IF(OR(OPERATIONS!$O124=0,OPERATIONS!$C124="CONSOMMATION"),0,OPERATIONS!$G124)</f>
        <v>0</v>
      </c>
      <c r="N424" s="73" t="n">
        <f aca="false">IF($M424=0,0,OPERATIONS!$R124*$M424)</f>
        <v>0</v>
      </c>
      <c r="O424" s="26" t="str">
        <f aca="false">IF($M424=0,"",OPERATIONS!$Q124)</f>
        <v/>
      </c>
      <c r="P424" s="26" t="str">
        <f aca="false">IF($G424="","",IF($G424=R_LOT,COUNTIF($G$5:$G424,R_LOT),""))</f>
        <v/>
      </c>
    </row>
    <row r="425" customFormat="false" ht="15" hidden="false" customHeight="false" outlineLevel="0" collapsed="false">
      <c r="A425" s="28" t="str">
        <f aca="false">IF($M425=0,"",ROW()-4)</f>
        <v/>
      </c>
      <c r="B425" s="26" t="str">
        <f aca="false">IF($M425=0,"","OPERATIONS")</f>
        <v/>
      </c>
      <c r="C425" s="26" t="str">
        <f aca="false">IF($M425=0,"",OPERATIONS!$A125)</f>
        <v/>
      </c>
      <c r="D425" s="31" t="str">
        <f aca="false">IF($M425=0,"",OPERATIONS!$B125)</f>
        <v/>
      </c>
      <c r="E425" s="26" t="str">
        <f aca="false">IF($M425=0,"",IF($M425&lt;0,"SORTIE","ENTREE"))</f>
        <v/>
      </c>
      <c r="F425" s="26" t="str">
        <f aca="false">IF($M425=0,"",OPERATIONS!$C125)</f>
        <v/>
      </c>
      <c r="G425" s="26" t="str">
        <f aca="false">IF($M425=0,"",OPERATIONS!$D125)</f>
        <v/>
      </c>
      <c r="H425" s="26" t="str">
        <f aca="false">IF($G425="","",IFERROR(INDEX(LOT_EXTE,MATCH($G425,LOT_KEY,0)),""))</f>
        <v/>
      </c>
      <c r="I425" s="26" t="str">
        <f aca="false">IF($M425=0,"",OPERATIONS!$F125)</f>
        <v/>
      </c>
      <c r="J425" s="26" t="str">
        <f aca="false">IF($I425="","",IFERROR(INDEX(EMPL_CLASSE,MATCH($I425,EMPL_KEY,0)),""))</f>
        <v/>
      </c>
      <c r="K425" s="26" t="str">
        <f aca="false">IF($M425=0,"",OPERATIONS!$K125)</f>
        <v/>
      </c>
      <c r="L425" s="26" t="str">
        <f aca="false">IF($G425="","",IF(IFERROR(INDEX(LOT_ETAT,MATCH($G425,LOT_KEY,0)),"")="","",INDEX(LOT_ETAT,MATCH($G425,LOT_KEY,0))))</f>
        <v/>
      </c>
      <c r="M425" s="73" t="n">
        <f aca="false">IF(OR(OPERATIONS!$O125=0,OPERATIONS!$C125="CONSOMMATION"),0,OPERATIONS!$G125)</f>
        <v>0</v>
      </c>
      <c r="N425" s="73" t="n">
        <f aca="false">IF($M425=0,0,OPERATIONS!$R125*$M425)</f>
        <v>0</v>
      </c>
      <c r="O425" s="26" t="str">
        <f aca="false">IF($M425=0,"",OPERATIONS!$Q125)</f>
        <v/>
      </c>
      <c r="P425" s="26" t="str">
        <f aca="false">IF($G425="","",IF($G425=R_LOT,COUNTIF($G$5:$G425,R_LOT),""))</f>
        <v/>
      </c>
    </row>
    <row r="426" customFormat="false" ht="15" hidden="false" customHeight="false" outlineLevel="0" collapsed="false">
      <c r="A426" s="28" t="str">
        <f aca="false">IF($M426=0,"",ROW()-4)</f>
        <v/>
      </c>
      <c r="B426" s="26" t="str">
        <f aca="false">IF($M426=0,"","OPERATIONS")</f>
        <v/>
      </c>
      <c r="C426" s="26" t="str">
        <f aca="false">IF($M426=0,"",OPERATIONS!$A126)</f>
        <v/>
      </c>
      <c r="D426" s="31" t="str">
        <f aca="false">IF($M426=0,"",OPERATIONS!$B126)</f>
        <v/>
      </c>
      <c r="E426" s="26" t="str">
        <f aca="false">IF($M426=0,"",IF($M426&lt;0,"SORTIE","ENTREE"))</f>
        <v/>
      </c>
      <c r="F426" s="26" t="str">
        <f aca="false">IF($M426=0,"",OPERATIONS!$C126)</f>
        <v/>
      </c>
      <c r="G426" s="26" t="str">
        <f aca="false">IF($M426=0,"",OPERATIONS!$D126)</f>
        <v/>
      </c>
      <c r="H426" s="26" t="str">
        <f aca="false">IF($G426="","",IFERROR(INDEX(LOT_EXTE,MATCH($G426,LOT_KEY,0)),""))</f>
        <v/>
      </c>
      <c r="I426" s="26" t="str">
        <f aca="false">IF($M426=0,"",OPERATIONS!$F126)</f>
        <v/>
      </c>
      <c r="J426" s="26" t="str">
        <f aca="false">IF($I426="","",IFERROR(INDEX(EMPL_CLASSE,MATCH($I426,EMPL_KEY,0)),""))</f>
        <v/>
      </c>
      <c r="K426" s="26" t="str">
        <f aca="false">IF($M426=0,"",OPERATIONS!$K126)</f>
        <v/>
      </c>
      <c r="L426" s="26" t="str">
        <f aca="false">IF($G426="","",IF(IFERROR(INDEX(LOT_ETAT,MATCH($G426,LOT_KEY,0)),"")="","",INDEX(LOT_ETAT,MATCH($G426,LOT_KEY,0))))</f>
        <v/>
      </c>
      <c r="M426" s="73" t="n">
        <f aca="false">IF(OR(OPERATIONS!$O126=0,OPERATIONS!$C126="CONSOMMATION"),0,OPERATIONS!$G126)</f>
        <v>0</v>
      </c>
      <c r="N426" s="73" t="n">
        <f aca="false">IF($M426=0,0,OPERATIONS!$R126*$M426)</f>
        <v>0</v>
      </c>
      <c r="O426" s="26" t="str">
        <f aca="false">IF($M426=0,"",OPERATIONS!$Q126)</f>
        <v/>
      </c>
      <c r="P426" s="26" t="str">
        <f aca="false">IF($G426="","",IF($G426=R_LOT,COUNTIF($G$5:$G426,R_LOT),""))</f>
        <v/>
      </c>
    </row>
    <row r="427" customFormat="false" ht="15" hidden="false" customHeight="false" outlineLevel="0" collapsed="false">
      <c r="A427" s="28" t="str">
        <f aca="false">IF($M427=0,"",ROW()-4)</f>
        <v/>
      </c>
      <c r="B427" s="26" t="str">
        <f aca="false">IF($M427=0,"","OPERATIONS")</f>
        <v/>
      </c>
      <c r="C427" s="26" t="str">
        <f aca="false">IF($M427=0,"",OPERATIONS!$A127)</f>
        <v/>
      </c>
      <c r="D427" s="31" t="str">
        <f aca="false">IF($M427=0,"",OPERATIONS!$B127)</f>
        <v/>
      </c>
      <c r="E427" s="26" t="str">
        <f aca="false">IF($M427=0,"",IF($M427&lt;0,"SORTIE","ENTREE"))</f>
        <v/>
      </c>
      <c r="F427" s="26" t="str">
        <f aca="false">IF($M427=0,"",OPERATIONS!$C127)</f>
        <v/>
      </c>
      <c r="G427" s="26" t="str">
        <f aca="false">IF($M427=0,"",OPERATIONS!$D127)</f>
        <v/>
      </c>
      <c r="H427" s="26" t="str">
        <f aca="false">IF($G427="","",IFERROR(INDEX(LOT_EXTE,MATCH($G427,LOT_KEY,0)),""))</f>
        <v/>
      </c>
      <c r="I427" s="26" t="str">
        <f aca="false">IF($M427=0,"",OPERATIONS!$F127)</f>
        <v/>
      </c>
      <c r="J427" s="26" t="str">
        <f aca="false">IF($I427="","",IFERROR(INDEX(EMPL_CLASSE,MATCH($I427,EMPL_KEY,0)),""))</f>
        <v/>
      </c>
      <c r="K427" s="26" t="str">
        <f aca="false">IF($M427=0,"",OPERATIONS!$K127)</f>
        <v/>
      </c>
      <c r="L427" s="26" t="str">
        <f aca="false">IF($G427="","",IF(IFERROR(INDEX(LOT_ETAT,MATCH($G427,LOT_KEY,0)),"")="","",INDEX(LOT_ETAT,MATCH($G427,LOT_KEY,0))))</f>
        <v/>
      </c>
      <c r="M427" s="73" t="n">
        <f aca="false">IF(OR(OPERATIONS!$O127=0,OPERATIONS!$C127="CONSOMMATION"),0,OPERATIONS!$G127)</f>
        <v>0</v>
      </c>
      <c r="N427" s="73" t="n">
        <f aca="false">IF($M427=0,0,OPERATIONS!$R127*$M427)</f>
        <v>0</v>
      </c>
      <c r="O427" s="26" t="str">
        <f aca="false">IF($M427=0,"",OPERATIONS!$Q127)</f>
        <v/>
      </c>
      <c r="P427" s="26" t="str">
        <f aca="false">IF($G427="","",IF($G427=R_LOT,COUNTIF($G$5:$G427,R_LOT),""))</f>
        <v/>
      </c>
    </row>
    <row r="428" customFormat="false" ht="15" hidden="false" customHeight="false" outlineLevel="0" collapsed="false">
      <c r="A428" s="28" t="str">
        <f aca="false">IF($M428=0,"",ROW()-4)</f>
        <v/>
      </c>
      <c r="B428" s="26" t="str">
        <f aca="false">IF($M428=0,"","OPERATIONS")</f>
        <v/>
      </c>
      <c r="C428" s="26" t="str">
        <f aca="false">IF($M428=0,"",OPERATIONS!$A128)</f>
        <v/>
      </c>
      <c r="D428" s="31" t="str">
        <f aca="false">IF($M428=0,"",OPERATIONS!$B128)</f>
        <v/>
      </c>
      <c r="E428" s="26" t="str">
        <f aca="false">IF($M428=0,"",IF($M428&lt;0,"SORTIE","ENTREE"))</f>
        <v/>
      </c>
      <c r="F428" s="26" t="str">
        <f aca="false">IF($M428=0,"",OPERATIONS!$C128)</f>
        <v/>
      </c>
      <c r="G428" s="26" t="str">
        <f aca="false">IF($M428=0,"",OPERATIONS!$D128)</f>
        <v/>
      </c>
      <c r="H428" s="26" t="str">
        <f aca="false">IF($G428="","",IFERROR(INDEX(LOT_EXTE,MATCH($G428,LOT_KEY,0)),""))</f>
        <v/>
      </c>
      <c r="I428" s="26" t="str">
        <f aca="false">IF($M428=0,"",OPERATIONS!$F128)</f>
        <v/>
      </c>
      <c r="J428" s="26" t="str">
        <f aca="false">IF($I428="","",IFERROR(INDEX(EMPL_CLASSE,MATCH($I428,EMPL_KEY,0)),""))</f>
        <v/>
      </c>
      <c r="K428" s="26" t="str">
        <f aca="false">IF($M428=0,"",OPERATIONS!$K128)</f>
        <v/>
      </c>
      <c r="L428" s="26" t="str">
        <f aca="false">IF($G428="","",IF(IFERROR(INDEX(LOT_ETAT,MATCH($G428,LOT_KEY,0)),"")="","",INDEX(LOT_ETAT,MATCH($G428,LOT_KEY,0))))</f>
        <v/>
      </c>
      <c r="M428" s="73" t="n">
        <f aca="false">IF(OR(OPERATIONS!$O128=0,OPERATIONS!$C128="CONSOMMATION"),0,OPERATIONS!$G128)</f>
        <v>0</v>
      </c>
      <c r="N428" s="73" t="n">
        <f aca="false">IF($M428=0,0,OPERATIONS!$R128*$M428)</f>
        <v>0</v>
      </c>
      <c r="O428" s="26" t="str">
        <f aca="false">IF($M428=0,"",OPERATIONS!$Q128)</f>
        <v/>
      </c>
      <c r="P428" s="26" t="str">
        <f aca="false">IF($G428="","",IF($G428=R_LOT,COUNTIF($G$5:$G428,R_LOT),""))</f>
        <v/>
      </c>
    </row>
    <row r="429" customFormat="false" ht="15" hidden="false" customHeight="false" outlineLevel="0" collapsed="false">
      <c r="A429" s="28" t="str">
        <f aca="false">IF($M429=0,"",ROW()-4)</f>
        <v/>
      </c>
      <c r="B429" s="26" t="str">
        <f aca="false">IF($M429=0,"","OPERATIONS")</f>
        <v/>
      </c>
      <c r="C429" s="26" t="str">
        <f aca="false">IF($M429=0,"",OPERATIONS!$A129)</f>
        <v/>
      </c>
      <c r="D429" s="31" t="str">
        <f aca="false">IF($M429=0,"",OPERATIONS!$B129)</f>
        <v/>
      </c>
      <c r="E429" s="26" t="str">
        <f aca="false">IF($M429=0,"",IF($M429&lt;0,"SORTIE","ENTREE"))</f>
        <v/>
      </c>
      <c r="F429" s="26" t="str">
        <f aca="false">IF($M429=0,"",OPERATIONS!$C129)</f>
        <v/>
      </c>
      <c r="G429" s="26" t="str">
        <f aca="false">IF($M429=0,"",OPERATIONS!$D129)</f>
        <v/>
      </c>
      <c r="H429" s="26" t="str">
        <f aca="false">IF($G429="","",IFERROR(INDEX(LOT_EXTE,MATCH($G429,LOT_KEY,0)),""))</f>
        <v/>
      </c>
      <c r="I429" s="26" t="str">
        <f aca="false">IF($M429=0,"",OPERATIONS!$F129)</f>
        <v/>
      </c>
      <c r="J429" s="26" t="str">
        <f aca="false">IF($I429="","",IFERROR(INDEX(EMPL_CLASSE,MATCH($I429,EMPL_KEY,0)),""))</f>
        <v/>
      </c>
      <c r="K429" s="26" t="str">
        <f aca="false">IF($M429=0,"",OPERATIONS!$K129)</f>
        <v/>
      </c>
      <c r="L429" s="26" t="str">
        <f aca="false">IF($G429="","",IF(IFERROR(INDEX(LOT_ETAT,MATCH($G429,LOT_KEY,0)),"")="","",INDEX(LOT_ETAT,MATCH($G429,LOT_KEY,0))))</f>
        <v/>
      </c>
      <c r="M429" s="73" t="n">
        <f aca="false">IF(OR(OPERATIONS!$O129=0,OPERATIONS!$C129="CONSOMMATION"),0,OPERATIONS!$G129)</f>
        <v>0</v>
      </c>
      <c r="N429" s="73" t="n">
        <f aca="false">IF($M429=0,0,OPERATIONS!$R129*$M429)</f>
        <v>0</v>
      </c>
      <c r="O429" s="26" t="str">
        <f aca="false">IF($M429=0,"",OPERATIONS!$Q129)</f>
        <v/>
      </c>
      <c r="P429" s="26" t="str">
        <f aca="false">IF($G429="","",IF($G429=R_LOT,COUNTIF($G$5:$G429,R_LOT),""))</f>
        <v/>
      </c>
    </row>
    <row r="430" customFormat="false" ht="15" hidden="false" customHeight="false" outlineLevel="0" collapsed="false">
      <c r="A430" s="28" t="str">
        <f aca="false">IF($M430=0,"",ROW()-4)</f>
        <v/>
      </c>
      <c r="B430" s="26" t="str">
        <f aca="false">IF($M430=0,"","OPERATIONS")</f>
        <v/>
      </c>
      <c r="C430" s="26" t="str">
        <f aca="false">IF($M430=0,"",OPERATIONS!$A130)</f>
        <v/>
      </c>
      <c r="D430" s="31" t="str">
        <f aca="false">IF($M430=0,"",OPERATIONS!$B130)</f>
        <v/>
      </c>
      <c r="E430" s="26" t="str">
        <f aca="false">IF($M430=0,"",IF($M430&lt;0,"SORTIE","ENTREE"))</f>
        <v/>
      </c>
      <c r="F430" s="26" t="str">
        <f aca="false">IF($M430=0,"",OPERATIONS!$C130)</f>
        <v/>
      </c>
      <c r="G430" s="26" t="str">
        <f aca="false">IF($M430=0,"",OPERATIONS!$D130)</f>
        <v/>
      </c>
      <c r="H430" s="26" t="str">
        <f aca="false">IF($G430="","",IFERROR(INDEX(LOT_EXTE,MATCH($G430,LOT_KEY,0)),""))</f>
        <v/>
      </c>
      <c r="I430" s="26" t="str">
        <f aca="false">IF($M430=0,"",OPERATIONS!$F130)</f>
        <v/>
      </c>
      <c r="J430" s="26" t="str">
        <f aca="false">IF($I430="","",IFERROR(INDEX(EMPL_CLASSE,MATCH($I430,EMPL_KEY,0)),""))</f>
        <v/>
      </c>
      <c r="K430" s="26" t="str">
        <f aca="false">IF($M430=0,"",OPERATIONS!$K130)</f>
        <v/>
      </c>
      <c r="L430" s="26" t="str">
        <f aca="false">IF($G430="","",IF(IFERROR(INDEX(LOT_ETAT,MATCH($G430,LOT_KEY,0)),"")="","",INDEX(LOT_ETAT,MATCH($G430,LOT_KEY,0))))</f>
        <v/>
      </c>
      <c r="M430" s="73" t="n">
        <f aca="false">IF(OR(OPERATIONS!$O130=0,OPERATIONS!$C130="CONSOMMATION"),0,OPERATIONS!$G130)</f>
        <v>0</v>
      </c>
      <c r="N430" s="73" t="n">
        <f aca="false">IF($M430=0,0,OPERATIONS!$R130*$M430)</f>
        <v>0</v>
      </c>
      <c r="O430" s="26" t="str">
        <f aca="false">IF($M430=0,"",OPERATIONS!$Q130)</f>
        <v/>
      </c>
      <c r="P430" s="26" t="str">
        <f aca="false">IF($G430="","",IF($G430=R_LOT,COUNTIF($G$5:$G430,R_LOT),""))</f>
        <v/>
      </c>
    </row>
    <row r="431" customFormat="false" ht="15" hidden="false" customHeight="false" outlineLevel="0" collapsed="false">
      <c r="A431" s="28" t="str">
        <f aca="false">IF($M431=0,"",ROW()-4)</f>
        <v/>
      </c>
      <c r="B431" s="26" t="str">
        <f aca="false">IF($M431=0,"","OPERATIONS")</f>
        <v/>
      </c>
      <c r="C431" s="26" t="str">
        <f aca="false">IF($M431=0,"",OPERATIONS!$A131)</f>
        <v/>
      </c>
      <c r="D431" s="31" t="str">
        <f aca="false">IF($M431=0,"",OPERATIONS!$B131)</f>
        <v/>
      </c>
      <c r="E431" s="26" t="str">
        <f aca="false">IF($M431=0,"",IF($M431&lt;0,"SORTIE","ENTREE"))</f>
        <v/>
      </c>
      <c r="F431" s="26" t="str">
        <f aca="false">IF($M431=0,"",OPERATIONS!$C131)</f>
        <v/>
      </c>
      <c r="G431" s="26" t="str">
        <f aca="false">IF($M431=0,"",OPERATIONS!$D131)</f>
        <v/>
      </c>
      <c r="H431" s="26" t="str">
        <f aca="false">IF($G431="","",IFERROR(INDEX(LOT_EXTE,MATCH($G431,LOT_KEY,0)),""))</f>
        <v/>
      </c>
      <c r="I431" s="26" t="str">
        <f aca="false">IF($M431=0,"",OPERATIONS!$F131)</f>
        <v/>
      </c>
      <c r="J431" s="26" t="str">
        <f aca="false">IF($I431="","",IFERROR(INDEX(EMPL_CLASSE,MATCH($I431,EMPL_KEY,0)),""))</f>
        <v/>
      </c>
      <c r="K431" s="26" t="str">
        <f aca="false">IF($M431=0,"",OPERATIONS!$K131)</f>
        <v/>
      </c>
      <c r="L431" s="26" t="str">
        <f aca="false">IF($G431="","",IF(IFERROR(INDEX(LOT_ETAT,MATCH($G431,LOT_KEY,0)),"")="","",INDEX(LOT_ETAT,MATCH($G431,LOT_KEY,0))))</f>
        <v/>
      </c>
      <c r="M431" s="73" t="n">
        <f aca="false">IF(OR(OPERATIONS!$O131=0,OPERATIONS!$C131="CONSOMMATION"),0,OPERATIONS!$G131)</f>
        <v>0</v>
      </c>
      <c r="N431" s="73" t="n">
        <f aca="false">IF($M431=0,0,OPERATIONS!$R131*$M431)</f>
        <v>0</v>
      </c>
      <c r="O431" s="26" t="str">
        <f aca="false">IF($M431=0,"",OPERATIONS!$Q131)</f>
        <v/>
      </c>
      <c r="P431" s="26" t="str">
        <f aca="false">IF($G431="","",IF($G431=R_LOT,COUNTIF($G$5:$G431,R_LOT),""))</f>
        <v/>
      </c>
    </row>
    <row r="432" customFormat="false" ht="15" hidden="false" customHeight="false" outlineLevel="0" collapsed="false">
      <c r="A432" s="28" t="str">
        <f aca="false">IF($M432=0,"",ROW()-4)</f>
        <v/>
      </c>
      <c r="B432" s="26" t="str">
        <f aca="false">IF($M432=0,"","OPERATIONS")</f>
        <v/>
      </c>
      <c r="C432" s="26" t="str">
        <f aca="false">IF($M432=0,"",OPERATIONS!$A132)</f>
        <v/>
      </c>
      <c r="D432" s="31" t="str">
        <f aca="false">IF($M432=0,"",OPERATIONS!$B132)</f>
        <v/>
      </c>
      <c r="E432" s="26" t="str">
        <f aca="false">IF($M432=0,"",IF($M432&lt;0,"SORTIE","ENTREE"))</f>
        <v/>
      </c>
      <c r="F432" s="26" t="str">
        <f aca="false">IF($M432=0,"",OPERATIONS!$C132)</f>
        <v/>
      </c>
      <c r="G432" s="26" t="str">
        <f aca="false">IF($M432=0,"",OPERATIONS!$D132)</f>
        <v/>
      </c>
      <c r="H432" s="26" t="str">
        <f aca="false">IF($G432="","",IFERROR(INDEX(LOT_EXTE,MATCH($G432,LOT_KEY,0)),""))</f>
        <v/>
      </c>
      <c r="I432" s="26" t="str">
        <f aca="false">IF($M432=0,"",OPERATIONS!$F132)</f>
        <v/>
      </c>
      <c r="J432" s="26" t="str">
        <f aca="false">IF($I432="","",IFERROR(INDEX(EMPL_CLASSE,MATCH($I432,EMPL_KEY,0)),""))</f>
        <v/>
      </c>
      <c r="K432" s="26" t="str">
        <f aca="false">IF($M432=0,"",OPERATIONS!$K132)</f>
        <v/>
      </c>
      <c r="L432" s="26" t="str">
        <f aca="false">IF($G432="","",IF(IFERROR(INDEX(LOT_ETAT,MATCH($G432,LOT_KEY,0)),"")="","",INDEX(LOT_ETAT,MATCH($G432,LOT_KEY,0))))</f>
        <v/>
      </c>
      <c r="M432" s="73" t="n">
        <f aca="false">IF(OR(OPERATIONS!$O132=0,OPERATIONS!$C132="CONSOMMATION"),0,OPERATIONS!$G132)</f>
        <v>0</v>
      </c>
      <c r="N432" s="73" t="n">
        <f aca="false">IF($M432=0,0,OPERATIONS!$R132*$M432)</f>
        <v>0</v>
      </c>
      <c r="O432" s="26" t="str">
        <f aca="false">IF($M432=0,"",OPERATIONS!$Q132)</f>
        <v/>
      </c>
      <c r="P432" s="26" t="str">
        <f aca="false">IF($G432="","",IF($G432=R_LOT,COUNTIF($G$5:$G432,R_LOT),""))</f>
        <v/>
      </c>
    </row>
    <row r="433" customFormat="false" ht="15" hidden="false" customHeight="false" outlineLevel="0" collapsed="false">
      <c r="A433" s="28" t="str">
        <f aca="false">IF($M433=0,"",ROW()-4)</f>
        <v/>
      </c>
      <c r="B433" s="26" t="str">
        <f aca="false">IF($M433=0,"","OPERATIONS")</f>
        <v/>
      </c>
      <c r="C433" s="26" t="str">
        <f aca="false">IF($M433=0,"",OPERATIONS!$A133)</f>
        <v/>
      </c>
      <c r="D433" s="31" t="str">
        <f aca="false">IF($M433=0,"",OPERATIONS!$B133)</f>
        <v/>
      </c>
      <c r="E433" s="26" t="str">
        <f aca="false">IF($M433=0,"",IF($M433&lt;0,"SORTIE","ENTREE"))</f>
        <v/>
      </c>
      <c r="F433" s="26" t="str">
        <f aca="false">IF($M433=0,"",OPERATIONS!$C133)</f>
        <v/>
      </c>
      <c r="G433" s="26" t="str">
        <f aca="false">IF($M433=0,"",OPERATIONS!$D133)</f>
        <v/>
      </c>
      <c r="H433" s="26" t="str">
        <f aca="false">IF($G433="","",IFERROR(INDEX(LOT_EXTE,MATCH($G433,LOT_KEY,0)),""))</f>
        <v/>
      </c>
      <c r="I433" s="26" t="str">
        <f aca="false">IF($M433=0,"",OPERATIONS!$F133)</f>
        <v/>
      </c>
      <c r="J433" s="26" t="str">
        <f aca="false">IF($I433="","",IFERROR(INDEX(EMPL_CLASSE,MATCH($I433,EMPL_KEY,0)),""))</f>
        <v/>
      </c>
      <c r="K433" s="26" t="str">
        <f aca="false">IF($M433=0,"",OPERATIONS!$K133)</f>
        <v/>
      </c>
      <c r="L433" s="26" t="str">
        <f aca="false">IF($G433="","",IF(IFERROR(INDEX(LOT_ETAT,MATCH($G433,LOT_KEY,0)),"")="","",INDEX(LOT_ETAT,MATCH($G433,LOT_KEY,0))))</f>
        <v/>
      </c>
      <c r="M433" s="73" t="n">
        <f aca="false">IF(OR(OPERATIONS!$O133=0,OPERATIONS!$C133="CONSOMMATION"),0,OPERATIONS!$G133)</f>
        <v>0</v>
      </c>
      <c r="N433" s="73" t="n">
        <f aca="false">IF($M433=0,0,OPERATIONS!$R133*$M433)</f>
        <v>0</v>
      </c>
      <c r="O433" s="26" t="str">
        <f aca="false">IF($M433=0,"",OPERATIONS!$Q133)</f>
        <v/>
      </c>
      <c r="P433" s="26" t="str">
        <f aca="false">IF($G433="","",IF($G433=R_LOT,COUNTIF($G$5:$G433,R_LOT),""))</f>
        <v/>
      </c>
    </row>
    <row r="434" customFormat="false" ht="15" hidden="false" customHeight="false" outlineLevel="0" collapsed="false">
      <c r="A434" s="28" t="str">
        <f aca="false">IF($M434=0,"",ROW()-4)</f>
        <v/>
      </c>
      <c r="B434" s="26" t="str">
        <f aca="false">IF($M434=0,"","OPERATIONS")</f>
        <v/>
      </c>
      <c r="C434" s="26" t="str">
        <f aca="false">IF($M434=0,"",OPERATIONS!$A134)</f>
        <v/>
      </c>
      <c r="D434" s="31" t="str">
        <f aca="false">IF($M434=0,"",OPERATIONS!$B134)</f>
        <v/>
      </c>
      <c r="E434" s="26" t="str">
        <f aca="false">IF($M434=0,"",IF($M434&lt;0,"SORTIE","ENTREE"))</f>
        <v/>
      </c>
      <c r="F434" s="26" t="str">
        <f aca="false">IF($M434=0,"",OPERATIONS!$C134)</f>
        <v/>
      </c>
      <c r="G434" s="26" t="str">
        <f aca="false">IF($M434=0,"",OPERATIONS!$D134)</f>
        <v/>
      </c>
      <c r="H434" s="26" t="str">
        <f aca="false">IF($G434="","",IFERROR(INDEX(LOT_EXTE,MATCH($G434,LOT_KEY,0)),""))</f>
        <v/>
      </c>
      <c r="I434" s="26" t="str">
        <f aca="false">IF($M434=0,"",OPERATIONS!$F134)</f>
        <v/>
      </c>
      <c r="J434" s="26" t="str">
        <f aca="false">IF($I434="","",IFERROR(INDEX(EMPL_CLASSE,MATCH($I434,EMPL_KEY,0)),""))</f>
        <v/>
      </c>
      <c r="K434" s="26" t="str">
        <f aca="false">IF($M434=0,"",OPERATIONS!$K134)</f>
        <v/>
      </c>
      <c r="L434" s="26" t="str">
        <f aca="false">IF($G434="","",IF(IFERROR(INDEX(LOT_ETAT,MATCH($G434,LOT_KEY,0)),"")="","",INDEX(LOT_ETAT,MATCH($G434,LOT_KEY,0))))</f>
        <v/>
      </c>
      <c r="M434" s="73" t="n">
        <f aca="false">IF(OR(OPERATIONS!$O134=0,OPERATIONS!$C134="CONSOMMATION"),0,OPERATIONS!$G134)</f>
        <v>0</v>
      </c>
      <c r="N434" s="73" t="n">
        <f aca="false">IF($M434=0,0,OPERATIONS!$R134*$M434)</f>
        <v>0</v>
      </c>
      <c r="O434" s="26" t="str">
        <f aca="false">IF($M434=0,"",OPERATIONS!$Q134)</f>
        <v/>
      </c>
      <c r="P434" s="26" t="str">
        <f aca="false">IF($G434="","",IF($G434=R_LOT,COUNTIF($G$5:$G434,R_LOT),""))</f>
        <v/>
      </c>
    </row>
    <row r="435" customFormat="false" ht="15" hidden="false" customHeight="false" outlineLevel="0" collapsed="false">
      <c r="A435" s="28" t="str">
        <f aca="false">IF($M435=0,"",ROW()-4)</f>
        <v/>
      </c>
      <c r="B435" s="26" t="str">
        <f aca="false">IF($M435=0,"","OPERATIONS")</f>
        <v/>
      </c>
      <c r="C435" s="26" t="str">
        <f aca="false">IF($M435=0,"",OPERATIONS!$A135)</f>
        <v/>
      </c>
      <c r="D435" s="31" t="str">
        <f aca="false">IF($M435=0,"",OPERATIONS!$B135)</f>
        <v/>
      </c>
      <c r="E435" s="26" t="str">
        <f aca="false">IF($M435=0,"",IF($M435&lt;0,"SORTIE","ENTREE"))</f>
        <v/>
      </c>
      <c r="F435" s="26" t="str">
        <f aca="false">IF($M435=0,"",OPERATIONS!$C135)</f>
        <v/>
      </c>
      <c r="G435" s="26" t="str">
        <f aca="false">IF($M435=0,"",OPERATIONS!$D135)</f>
        <v/>
      </c>
      <c r="H435" s="26" t="str">
        <f aca="false">IF($G435="","",IFERROR(INDEX(LOT_EXTE,MATCH($G435,LOT_KEY,0)),""))</f>
        <v/>
      </c>
      <c r="I435" s="26" t="str">
        <f aca="false">IF($M435=0,"",OPERATIONS!$F135)</f>
        <v/>
      </c>
      <c r="J435" s="26" t="str">
        <f aca="false">IF($I435="","",IFERROR(INDEX(EMPL_CLASSE,MATCH($I435,EMPL_KEY,0)),""))</f>
        <v/>
      </c>
      <c r="K435" s="26" t="str">
        <f aca="false">IF($M435=0,"",OPERATIONS!$K135)</f>
        <v/>
      </c>
      <c r="L435" s="26" t="str">
        <f aca="false">IF($G435="","",IF(IFERROR(INDEX(LOT_ETAT,MATCH($G435,LOT_KEY,0)),"")="","",INDEX(LOT_ETAT,MATCH($G435,LOT_KEY,0))))</f>
        <v/>
      </c>
      <c r="M435" s="73" t="n">
        <f aca="false">IF(OR(OPERATIONS!$O135=0,OPERATIONS!$C135="CONSOMMATION"),0,OPERATIONS!$G135)</f>
        <v>0</v>
      </c>
      <c r="N435" s="73" t="n">
        <f aca="false">IF($M435=0,0,OPERATIONS!$R135*$M435)</f>
        <v>0</v>
      </c>
      <c r="O435" s="26" t="str">
        <f aca="false">IF($M435=0,"",OPERATIONS!$Q135)</f>
        <v/>
      </c>
      <c r="P435" s="26" t="str">
        <f aca="false">IF($G435="","",IF($G435=R_LOT,COUNTIF($G$5:$G435,R_LOT),""))</f>
        <v/>
      </c>
    </row>
    <row r="436" customFormat="false" ht="15" hidden="false" customHeight="false" outlineLevel="0" collapsed="false">
      <c r="A436" s="28" t="str">
        <f aca="false">IF($M436=0,"",ROW()-4)</f>
        <v/>
      </c>
      <c r="B436" s="26" t="str">
        <f aca="false">IF($M436=0,"","OPERATIONS")</f>
        <v/>
      </c>
      <c r="C436" s="26" t="str">
        <f aca="false">IF($M436=0,"",OPERATIONS!$A136)</f>
        <v/>
      </c>
      <c r="D436" s="31" t="str">
        <f aca="false">IF($M436=0,"",OPERATIONS!$B136)</f>
        <v/>
      </c>
      <c r="E436" s="26" t="str">
        <f aca="false">IF($M436=0,"",IF($M436&lt;0,"SORTIE","ENTREE"))</f>
        <v/>
      </c>
      <c r="F436" s="26" t="str">
        <f aca="false">IF($M436=0,"",OPERATIONS!$C136)</f>
        <v/>
      </c>
      <c r="G436" s="26" t="str">
        <f aca="false">IF($M436=0,"",OPERATIONS!$D136)</f>
        <v/>
      </c>
      <c r="H436" s="26" t="str">
        <f aca="false">IF($G436="","",IFERROR(INDEX(LOT_EXTE,MATCH($G436,LOT_KEY,0)),""))</f>
        <v/>
      </c>
      <c r="I436" s="26" t="str">
        <f aca="false">IF($M436=0,"",OPERATIONS!$F136)</f>
        <v/>
      </c>
      <c r="J436" s="26" t="str">
        <f aca="false">IF($I436="","",IFERROR(INDEX(EMPL_CLASSE,MATCH($I436,EMPL_KEY,0)),""))</f>
        <v/>
      </c>
      <c r="K436" s="26" t="str">
        <f aca="false">IF($M436=0,"",OPERATIONS!$K136)</f>
        <v/>
      </c>
      <c r="L436" s="26" t="str">
        <f aca="false">IF($G436="","",IF(IFERROR(INDEX(LOT_ETAT,MATCH($G436,LOT_KEY,0)),"")="","",INDEX(LOT_ETAT,MATCH($G436,LOT_KEY,0))))</f>
        <v/>
      </c>
      <c r="M436" s="73" t="n">
        <f aca="false">IF(OR(OPERATIONS!$O136=0,OPERATIONS!$C136="CONSOMMATION"),0,OPERATIONS!$G136)</f>
        <v>0</v>
      </c>
      <c r="N436" s="73" t="n">
        <f aca="false">IF($M436=0,0,OPERATIONS!$R136*$M436)</f>
        <v>0</v>
      </c>
      <c r="O436" s="26" t="str">
        <f aca="false">IF($M436=0,"",OPERATIONS!$Q136)</f>
        <v/>
      </c>
      <c r="P436" s="26" t="str">
        <f aca="false">IF($G436="","",IF($G436=R_LOT,COUNTIF($G$5:$G436,R_LOT),""))</f>
        <v/>
      </c>
    </row>
    <row r="437" customFormat="false" ht="15" hidden="false" customHeight="false" outlineLevel="0" collapsed="false">
      <c r="A437" s="28" t="str">
        <f aca="false">IF($M437=0,"",ROW()-4)</f>
        <v/>
      </c>
      <c r="B437" s="26" t="str">
        <f aca="false">IF($M437=0,"","OPERATIONS")</f>
        <v/>
      </c>
      <c r="C437" s="26" t="str">
        <f aca="false">IF($M437=0,"",OPERATIONS!$A137)</f>
        <v/>
      </c>
      <c r="D437" s="31" t="str">
        <f aca="false">IF($M437=0,"",OPERATIONS!$B137)</f>
        <v/>
      </c>
      <c r="E437" s="26" t="str">
        <f aca="false">IF($M437=0,"",IF($M437&lt;0,"SORTIE","ENTREE"))</f>
        <v/>
      </c>
      <c r="F437" s="26" t="str">
        <f aca="false">IF($M437=0,"",OPERATIONS!$C137)</f>
        <v/>
      </c>
      <c r="G437" s="26" t="str">
        <f aca="false">IF($M437=0,"",OPERATIONS!$D137)</f>
        <v/>
      </c>
      <c r="H437" s="26" t="str">
        <f aca="false">IF($G437="","",IFERROR(INDEX(LOT_EXTE,MATCH($G437,LOT_KEY,0)),""))</f>
        <v/>
      </c>
      <c r="I437" s="26" t="str">
        <f aca="false">IF($M437=0,"",OPERATIONS!$F137)</f>
        <v/>
      </c>
      <c r="J437" s="26" t="str">
        <f aca="false">IF($I437="","",IFERROR(INDEX(EMPL_CLASSE,MATCH($I437,EMPL_KEY,0)),""))</f>
        <v/>
      </c>
      <c r="K437" s="26" t="str">
        <f aca="false">IF($M437=0,"",OPERATIONS!$K137)</f>
        <v/>
      </c>
      <c r="L437" s="26" t="str">
        <f aca="false">IF($G437="","",IF(IFERROR(INDEX(LOT_ETAT,MATCH($G437,LOT_KEY,0)),"")="","",INDEX(LOT_ETAT,MATCH($G437,LOT_KEY,0))))</f>
        <v/>
      </c>
      <c r="M437" s="73" t="n">
        <f aca="false">IF(OR(OPERATIONS!$O137=0,OPERATIONS!$C137="CONSOMMATION"),0,OPERATIONS!$G137)</f>
        <v>0</v>
      </c>
      <c r="N437" s="73" t="n">
        <f aca="false">IF($M437=0,0,OPERATIONS!$R137*$M437)</f>
        <v>0</v>
      </c>
      <c r="O437" s="26" t="str">
        <f aca="false">IF($M437=0,"",OPERATIONS!$Q137)</f>
        <v/>
      </c>
      <c r="P437" s="26" t="str">
        <f aca="false">IF($G437="","",IF($G437=R_LOT,COUNTIF($G$5:$G437,R_LOT),""))</f>
        <v/>
      </c>
    </row>
    <row r="438" customFormat="false" ht="15" hidden="false" customHeight="false" outlineLevel="0" collapsed="false">
      <c r="A438" s="28" t="str">
        <f aca="false">IF($M438=0,"",ROW()-4)</f>
        <v/>
      </c>
      <c r="B438" s="26" t="str">
        <f aca="false">IF($M438=0,"","OPERATIONS")</f>
        <v/>
      </c>
      <c r="C438" s="26" t="str">
        <f aca="false">IF($M438=0,"",OPERATIONS!$A138)</f>
        <v/>
      </c>
      <c r="D438" s="31" t="str">
        <f aca="false">IF($M438=0,"",OPERATIONS!$B138)</f>
        <v/>
      </c>
      <c r="E438" s="26" t="str">
        <f aca="false">IF($M438=0,"",IF($M438&lt;0,"SORTIE","ENTREE"))</f>
        <v/>
      </c>
      <c r="F438" s="26" t="str">
        <f aca="false">IF($M438=0,"",OPERATIONS!$C138)</f>
        <v/>
      </c>
      <c r="G438" s="26" t="str">
        <f aca="false">IF($M438=0,"",OPERATIONS!$D138)</f>
        <v/>
      </c>
      <c r="H438" s="26" t="str">
        <f aca="false">IF($G438="","",IFERROR(INDEX(LOT_EXTE,MATCH($G438,LOT_KEY,0)),""))</f>
        <v/>
      </c>
      <c r="I438" s="26" t="str">
        <f aca="false">IF($M438=0,"",OPERATIONS!$F138)</f>
        <v/>
      </c>
      <c r="J438" s="26" t="str">
        <f aca="false">IF($I438="","",IFERROR(INDEX(EMPL_CLASSE,MATCH($I438,EMPL_KEY,0)),""))</f>
        <v/>
      </c>
      <c r="K438" s="26" t="str">
        <f aca="false">IF($M438=0,"",OPERATIONS!$K138)</f>
        <v/>
      </c>
      <c r="L438" s="26" t="str">
        <f aca="false">IF($G438="","",IF(IFERROR(INDEX(LOT_ETAT,MATCH($G438,LOT_KEY,0)),"")="","",INDEX(LOT_ETAT,MATCH($G438,LOT_KEY,0))))</f>
        <v/>
      </c>
      <c r="M438" s="73" t="n">
        <f aca="false">IF(OR(OPERATIONS!$O138=0,OPERATIONS!$C138="CONSOMMATION"),0,OPERATIONS!$G138)</f>
        <v>0</v>
      </c>
      <c r="N438" s="73" t="n">
        <f aca="false">IF($M438=0,0,OPERATIONS!$R138*$M438)</f>
        <v>0</v>
      </c>
      <c r="O438" s="26" t="str">
        <f aca="false">IF($M438=0,"",OPERATIONS!$Q138)</f>
        <v/>
      </c>
      <c r="P438" s="26" t="str">
        <f aca="false">IF($G438="","",IF($G438=R_LOT,COUNTIF($G$5:$G438,R_LOT),""))</f>
        <v/>
      </c>
    </row>
    <row r="439" customFormat="false" ht="15" hidden="false" customHeight="false" outlineLevel="0" collapsed="false">
      <c r="A439" s="28" t="str">
        <f aca="false">IF($M439=0,"",ROW()-4)</f>
        <v/>
      </c>
      <c r="B439" s="26" t="str">
        <f aca="false">IF($M439=0,"","OPERATIONS")</f>
        <v/>
      </c>
      <c r="C439" s="26" t="str">
        <f aca="false">IF($M439=0,"",OPERATIONS!$A139)</f>
        <v/>
      </c>
      <c r="D439" s="31" t="str">
        <f aca="false">IF($M439=0,"",OPERATIONS!$B139)</f>
        <v/>
      </c>
      <c r="E439" s="26" t="str">
        <f aca="false">IF($M439=0,"",IF($M439&lt;0,"SORTIE","ENTREE"))</f>
        <v/>
      </c>
      <c r="F439" s="26" t="str">
        <f aca="false">IF($M439=0,"",OPERATIONS!$C139)</f>
        <v/>
      </c>
      <c r="G439" s="26" t="str">
        <f aca="false">IF($M439=0,"",OPERATIONS!$D139)</f>
        <v/>
      </c>
      <c r="H439" s="26" t="str">
        <f aca="false">IF($G439="","",IFERROR(INDEX(LOT_EXTE,MATCH($G439,LOT_KEY,0)),""))</f>
        <v/>
      </c>
      <c r="I439" s="26" t="str">
        <f aca="false">IF($M439=0,"",OPERATIONS!$F139)</f>
        <v/>
      </c>
      <c r="J439" s="26" t="str">
        <f aca="false">IF($I439="","",IFERROR(INDEX(EMPL_CLASSE,MATCH($I439,EMPL_KEY,0)),""))</f>
        <v/>
      </c>
      <c r="K439" s="26" t="str">
        <f aca="false">IF($M439=0,"",OPERATIONS!$K139)</f>
        <v/>
      </c>
      <c r="L439" s="26" t="str">
        <f aca="false">IF($G439="","",IF(IFERROR(INDEX(LOT_ETAT,MATCH($G439,LOT_KEY,0)),"")="","",INDEX(LOT_ETAT,MATCH($G439,LOT_KEY,0))))</f>
        <v/>
      </c>
      <c r="M439" s="73" t="n">
        <f aca="false">IF(OR(OPERATIONS!$O139=0,OPERATIONS!$C139="CONSOMMATION"),0,OPERATIONS!$G139)</f>
        <v>0</v>
      </c>
      <c r="N439" s="73" t="n">
        <f aca="false">IF($M439=0,0,OPERATIONS!$R139*$M439)</f>
        <v>0</v>
      </c>
      <c r="O439" s="26" t="str">
        <f aca="false">IF($M439=0,"",OPERATIONS!$Q139)</f>
        <v/>
      </c>
      <c r="P439" s="26" t="str">
        <f aca="false">IF($G439="","",IF($G439=R_LOT,COUNTIF($G$5:$G439,R_LOT),""))</f>
        <v/>
      </c>
    </row>
    <row r="440" customFormat="false" ht="15" hidden="false" customHeight="false" outlineLevel="0" collapsed="false">
      <c r="A440" s="28" t="str">
        <f aca="false">IF($M440=0,"",ROW()-4)</f>
        <v/>
      </c>
      <c r="B440" s="26" t="str">
        <f aca="false">IF($M440=0,"","OPERATIONS")</f>
        <v/>
      </c>
      <c r="C440" s="26" t="str">
        <f aca="false">IF($M440=0,"",OPERATIONS!$A140)</f>
        <v/>
      </c>
      <c r="D440" s="31" t="str">
        <f aca="false">IF($M440=0,"",OPERATIONS!$B140)</f>
        <v/>
      </c>
      <c r="E440" s="26" t="str">
        <f aca="false">IF($M440=0,"",IF($M440&lt;0,"SORTIE","ENTREE"))</f>
        <v/>
      </c>
      <c r="F440" s="26" t="str">
        <f aca="false">IF($M440=0,"",OPERATIONS!$C140)</f>
        <v/>
      </c>
      <c r="G440" s="26" t="str">
        <f aca="false">IF($M440=0,"",OPERATIONS!$D140)</f>
        <v/>
      </c>
      <c r="H440" s="26" t="str">
        <f aca="false">IF($G440="","",IFERROR(INDEX(LOT_EXTE,MATCH($G440,LOT_KEY,0)),""))</f>
        <v/>
      </c>
      <c r="I440" s="26" t="str">
        <f aca="false">IF($M440=0,"",OPERATIONS!$F140)</f>
        <v/>
      </c>
      <c r="J440" s="26" t="str">
        <f aca="false">IF($I440="","",IFERROR(INDEX(EMPL_CLASSE,MATCH($I440,EMPL_KEY,0)),""))</f>
        <v/>
      </c>
      <c r="K440" s="26" t="str">
        <f aca="false">IF($M440=0,"",OPERATIONS!$K140)</f>
        <v/>
      </c>
      <c r="L440" s="26" t="str">
        <f aca="false">IF($G440="","",IF(IFERROR(INDEX(LOT_ETAT,MATCH($G440,LOT_KEY,0)),"")="","",INDEX(LOT_ETAT,MATCH($G440,LOT_KEY,0))))</f>
        <v/>
      </c>
      <c r="M440" s="73" t="n">
        <f aca="false">IF(OR(OPERATIONS!$O140=0,OPERATIONS!$C140="CONSOMMATION"),0,OPERATIONS!$G140)</f>
        <v>0</v>
      </c>
      <c r="N440" s="73" t="n">
        <f aca="false">IF($M440=0,0,OPERATIONS!$R140*$M440)</f>
        <v>0</v>
      </c>
      <c r="O440" s="26" t="str">
        <f aca="false">IF($M440=0,"",OPERATIONS!$Q140)</f>
        <v/>
      </c>
      <c r="P440" s="26" t="str">
        <f aca="false">IF($G440="","",IF($G440=R_LOT,COUNTIF($G$5:$G440,R_LOT),""))</f>
        <v/>
      </c>
    </row>
    <row r="441" customFormat="false" ht="15" hidden="false" customHeight="false" outlineLevel="0" collapsed="false">
      <c r="A441" s="28" t="str">
        <f aca="false">IF($M441=0,"",ROW()-4)</f>
        <v/>
      </c>
      <c r="B441" s="26" t="str">
        <f aca="false">IF($M441=0,"","OPERATIONS")</f>
        <v/>
      </c>
      <c r="C441" s="26" t="str">
        <f aca="false">IF($M441=0,"",OPERATIONS!$A141)</f>
        <v/>
      </c>
      <c r="D441" s="31" t="str">
        <f aca="false">IF($M441=0,"",OPERATIONS!$B141)</f>
        <v/>
      </c>
      <c r="E441" s="26" t="str">
        <f aca="false">IF($M441=0,"",IF($M441&lt;0,"SORTIE","ENTREE"))</f>
        <v/>
      </c>
      <c r="F441" s="26" t="str">
        <f aca="false">IF($M441=0,"",OPERATIONS!$C141)</f>
        <v/>
      </c>
      <c r="G441" s="26" t="str">
        <f aca="false">IF($M441=0,"",OPERATIONS!$D141)</f>
        <v/>
      </c>
      <c r="H441" s="26" t="str">
        <f aca="false">IF($G441="","",IFERROR(INDEX(LOT_EXTE,MATCH($G441,LOT_KEY,0)),""))</f>
        <v/>
      </c>
      <c r="I441" s="26" t="str">
        <f aca="false">IF($M441=0,"",OPERATIONS!$F141)</f>
        <v/>
      </c>
      <c r="J441" s="26" t="str">
        <f aca="false">IF($I441="","",IFERROR(INDEX(EMPL_CLASSE,MATCH($I441,EMPL_KEY,0)),""))</f>
        <v/>
      </c>
      <c r="K441" s="26" t="str">
        <f aca="false">IF($M441=0,"",OPERATIONS!$K141)</f>
        <v/>
      </c>
      <c r="L441" s="26" t="str">
        <f aca="false">IF($G441="","",IF(IFERROR(INDEX(LOT_ETAT,MATCH($G441,LOT_KEY,0)),"")="","",INDEX(LOT_ETAT,MATCH($G441,LOT_KEY,0))))</f>
        <v/>
      </c>
      <c r="M441" s="73" t="n">
        <f aca="false">IF(OR(OPERATIONS!$O141=0,OPERATIONS!$C141="CONSOMMATION"),0,OPERATIONS!$G141)</f>
        <v>0</v>
      </c>
      <c r="N441" s="73" t="n">
        <f aca="false">IF($M441=0,0,OPERATIONS!$R141*$M441)</f>
        <v>0</v>
      </c>
      <c r="O441" s="26" t="str">
        <f aca="false">IF($M441=0,"",OPERATIONS!$Q141)</f>
        <v/>
      </c>
      <c r="P441" s="26" t="str">
        <f aca="false">IF($G441="","",IF($G441=R_LOT,COUNTIF($G$5:$G441,R_LOT),""))</f>
        <v/>
      </c>
    </row>
    <row r="442" customFormat="false" ht="15" hidden="false" customHeight="false" outlineLevel="0" collapsed="false">
      <c r="A442" s="28" t="str">
        <f aca="false">IF($M442=0,"",ROW()-4)</f>
        <v/>
      </c>
      <c r="B442" s="26" t="str">
        <f aca="false">IF($M442=0,"","OPERATIONS")</f>
        <v/>
      </c>
      <c r="C442" s="26" t="str">
        <f aca="false">IF($M442=0,"",OPERATIONS!$A142)</f>
        <v/>
      </c>
      <c r="D442" s="31" t="str">
        <f aca="false">IF($M442=0,"",OPERATIONS!$B142)</f>
        <v/>
      </c>
      <c r="E442" s="26" t="str">
        <f aca="false">IF($M442=0,"",IF($M442&lt;0,"SORTIE","ENTREE"))</f>
        <v/>
      </c>
      <c r="F442" s="26" t="str">
        <f aca="false">IF($M442=0,"",OPERATIONS!$C142)</f>
        <v/>
      </c>
      <c r="G442" s="26" t="str">
        <f aca="false">IF($M442=0,"",OPERATIONS!$D142)</f>
        <v/>
      </c>
      <c r="H442" s="26" t="str">
        <f aca="false">IF($G442="","",IFERROR(INDEX(LOT_EXTE,MATCH($G442,LOT_KEY,0)),""))</f>
        <v/>
      </c>
      <c r="I442" s="26" t="str">
        <f aca="false">IF($M442=0,"",OPERATIONS!$F142)</f>
        <v/>
      </c>
      <c r="J442" s="26" t="str">
        <f aca="false">IF($I442="","",IFERROR(INDEX(EMPL_CLASSE,MATCH($I442,EMPL_KEY,0)),""))</f>
        <v/>
      </c>
      <c r="K442" s="26" t="str">
        <f aca="false">IF($M442=0,"",OPERATIONS!$K142)</f>
        <v/>
      </c>
      <c r="L442" s="26" t="str">
        <f aca="false">IF($G442="","",IF(IFERROR(INDEX(LOT_ETAT,MATCH($G442,LOT_KEY,0)),"")="","",INDEX(LOT_ETAT,MATCH($G442,LOT_KEY,0))))</f>
        <v/>
      </c>
      <c r="M442" s="73" t="n">
        <f aca="false">IF(OR(OPERATIONS!$O142=0,OPERATIONS!$C142="CONSOMMATION"),0,OPERATIONS!$G142)</f>
        <v>0</v>
      </c>
      <c r="N442" s="73" t="n">
        <f aca="false">IF($M442=0,0,OPERATIONS!$R142*$M442)</f>
        <v>0</v>
      </c>
      <c r="O442" s="26" t="str">
        <f aca="false">IF($M442=0,"",OPERATIONS!$Q142)</f>
        <v/>
      </c>
      <c r="P442" s="26" t="str">
        <f aca="false">IF($G442="","",IF($G442=R_LOT,COUNTIF($G$5:$G442,R_LOT),""))</f>
        <v/>
      </c>
    </row>
    <row r="443" customFormat="false" ht="15" hidden="false" customHeight="false" outlineLevel="0" collapsed="false">
      <c r="A443" s="28" t="str">
        <f aca="false">IF($M443=0,"",ROW()-4)</f>
        <v/>
      </c>
      <c r="B443" s="26" t="str">
        <f aca="false">IF($M443=0,"","OPERATIONS")</f>
        <v/>
      </c>
      <c r="C443" s="26" t="str">
        <f aca="false">IF($M443=0,"",OPERATIONS!$A143)</f>
        <v/>
      </c>
      <c r="D443" s="31" t="str">
        <f aca="false">IF($M443=0,"",OPERATIONS!$B143)</f>
        <v/>
      </c>
      <c r="E443" s="26" t="str">
        <f aca="false">IF($M443=0,"",IF($M443&lt;0,"SORTIE","ENTREE"))</f>
        <v/>
      </c>
      <c r="F443" s="26" t="str">
        <f aca="false">IF($M443=0,"",OPERATIONS!$C143)</f>
        <v/>
      </c>
      <c r="G443" s="26" t="str">
        <f aca="false">IF($M443=0,"",OPERATIONS!$D143)</f>
        <v/>
      </c>
      <c r="H443" s="26" t="str">
        <f aca="false">IF($G443="","",IFERROR(INDEX(LOT_EXTE,MATCH($G443,LOT_KEY,0)),""))</f>
        <v/>
      </c>
      <c r="I443" s="26" t="str">
        <f aca="false">IF($M443=0,"",OPERATIONS!$F143)</f>
        <v/>
      </c>
      <c r="J443" s="26" t="str">
        <f aca="false">IF($I443="","",IFERROR(INDEX(EMPL_CLASSE,MATCH($I443,EMPL_KEY,0)),""))</f>
        <v/>
      </c>
      <c r="K443" s="26" t="str">
        <f aca="false">IF($M443=0,"",OPERATIONS!$K143)</f>
        <v/>
      </c>
      <c r="L443" s="26" t="str">
        <f aca="false">IF($G443="","",IF(IFERROR(INDEX(LOT_ETAT,MATCH($G443,LOT_KEY,0)),"")="","",INDEX(LOT_ETAT,MATCH($G443,LOT_KEY,0))))</f>
        <v/>
      </c>
      <c r="M443" s="73" t="n">
        <f aca="false">IF(OR(OPERATIONS!$O143=0,OPERATIONS!$C143="CONSOMMATION"),0,OPERATIONS!$G143)</f>
        <v>0</v>
      </c>
      <c r="N443" s="73" t="n">
        <f aca="false">IF($M443=0,0,OPERATIONS!$R143*$M443)</f>
        <v>0</v>
      </c>
      <c r="O443" s="26" t="str">
        <f aca="false">IF($M443=0,"",OPERATIONS!$Q143)</f>
        <v/>
      </c>
      <c r="P443" s="26" t="str">
        <f aca="false">IF($G443="","",IF($G443=R_LOT,COUNTIF($G$5:$G443,R_LOT),""))</f>
        <v/>
      </c>
    </row>
    <row r="444" customFormat="false" ht="15" hidden="false" customHeight="false" outlineLevel="0" collapsed="false">
      <c r="A444" s="28" t="str">
        <f aca="false">IF($M444=0,"",ROW()-4)</f>
        <v/>
      </c>
      <c r="B444" s="26" t="str">
        <f aca="false">IF($M444=0,"","OPERATIONS")</f>
        <v/>
      </c>
      <c r="C444" s="26" t="str">
        <f aca="false">IF($M444=0,"",OPERATIONS!$A144)</f>
        <v/>
      </c>
      <c r="D444" s="31" t="str">
        <f aca="false">IF($M444=0,"",OPERATIONS!$B144)</f>
        <v/>
      </c>
      <c r="E444" s="26" t="str">
        <f aca="false">IF($M444=0,"",IF($M444&lt;0,"SORTIE","ENTREE"))</f>
        <v/>
      </c>
      <c r="F444" s="26" t="str">
        <f aca="false">IF($M444=0,"",OPERATIONS!$C144)</f>
        <v/>
      </c>
      <c r="G444" s="26" t="str">
        <f aca="false">IF($M444=0,"",OPERATIONS!$D144)</f>
        <v/>
      </c>
      <c r="H444" s="26" t="str">
        <f aca="false">IF($G444="","",IFERROR(INDEX(LOT_EXTE,MATCH($G444,LOT_KEY,0)),""))</f>
        <v/>
      </c>
      <c r="I444" s="26" t="str">
        <f aca="false">IF($M444=0,"",OPERATIONS!$F144)</f>
        <v/>
      </c>
      <c r="J444" s="26" t="str">
        <f aca="false">IF($I444="","",IFERROR(INDEX(EMPL_CLASSE,MATCH($I444,EMPL_KEY,0)),""))</f>
        <v/>
      </c>
      <c r="K444" s="26" t="str">
        <f aca="false">IF($M444=0,"",OPERATIONS!$K144)</f>
        <v/>
      </c>
      <c r="L444" s="26" t="str">
        <f aca="false">IF($G444="","",IF(IFERROR(INDEX(LOT_ETAT,MATCH($G444,LOT_KEY,0)),"")="","",INDEX(LOT_ETAT,MATCH($G444,LOT_KEY,0))))</f>
        <v/>
      </c>
      <c r="M444" s="73" t="n">
        <f aca="false">IF(OR(OPERATIONS!$O144=0,OPERATIONS!$C144="CONSOMMATION"),0,OPERATIONS!$G144)</f>
        <v>0</v>
      </c>
      <c r="N444" s="73" t="n">
        <f aca="false">IF($M444=0,0,OPERATIONS!$R144*$M444)</f>
        <v>0</v>
      </c>
      <c r="O444" s="26" t="str">
        <f aca="false">IF($M444=0,"",OPERATIONS!$Q144)</f>
        <v/>
      </c>
      <c r="P444" s="26" t="str">
        <f aca="false">IF($G444="","",IF($G444=R_LOT,COUNTIF($G$5:$G444,R_LOT),""))</f>
        <v/>
      </c>
    </row>
    <row r="445" customFormat="false" ht="15" hidden="false" customHeight="false" outlineLevel="0" collapsed="false">
      <c r="A445" s="28" t="str">
        <f aca="false">IF($M445=0,"",ROW()-4)</f>
        <v/>
      </c>
      <c r="B445" s="26" t="str">
        <f aca="false">IF($M445=0,"","OPERATIONS")</f>
        <v/>
      </c>
      <c r="C445" s="26" t="str">
        <f aca="false">IF($M445=0,"",OPERATIONS!$A145)</f>
        <v/>
      </c>
      <c r="D445" s="31" t="str">
        <f aca="false">IF($M445=0,"",OPERATIONS!$B145)</f>
        <v/>
      </c>
      <c r="E445" s="26" t="str">
        <f aca="false">IF($M445=0,"",IF($M445&lt;0,"SORTIE","ENTREE"))</f>
        <v/>
      </c>
      <c r="F445" s="26" t="str">
        <f aca="false">IF($M445=0,"",OPERATIONS!$C145)</f>
        <v/>
      </c>
      <c r="G445" s="26" t="str">
        <f aca="false">IF($M445=0,"",OPERATIONS!$D145)</f>
        <v/>
      </c>
      <c r="H445" s="26" t="str">
        <f aca="false">IF($G445="","",IFERROR(INDEX(LOT_EXTE,MATCH($G445,LOT_KEY,0)),""))</f>
        <v/>
      </c>
      <c r="I445" s="26" t="str">
        <f aca="false">IF($M445=0,"",OPERATIONS!$F145)</f>
        <v/>
      </c>
      <c r="J445" s="26" t="str">
        <f aca="false">IF($I445="","",IFERROR(INDEX(EMPL_CLASSE,MATCH($I445,EMPL_KEY,0)),""))</f>
        <v/>
      </c>
      <c r="K445" s="26" t="str">
        <f aca="false">IF($M445=0,"",OPERATIONS!$K145)</f>
        <v/>
      </c>
      <c r="L445" s="26" t="str">
        <f aca="false">IF($G445="","",IF(IFERROR(INDEX(LOT_ETAT,MATCH($G445,LOT_KEY,0)),"")="","",INDEX(LOT_ETAT,MATCH($G445,LOT_KEY,0))))</f>
        <v/>
      </c>
      <c r="M445" s="73" t="n">
        <f aca="false">IF(OR(OPERATIONS!$O145=0,OPERATIONS!$C145="CONSOMMATION"),0,OPERATIONS!$G145)</f>
        <v>0</v>
      </c>
      <c r="N445" s="73" t="n">
        <f aca="false">IF($M445=0,0,OPERATIONS!$R145*$M445)</f>
        <v>0</v>
      </c>
      <c r="O445" s="26" t="str">
        <f aca="false">IF($M445=0,"",OPERATIONS!$Q145)</f>
        <v/>
      </c>
      <c r="P445" s="26" t="str">
        <f aca="false">IF($G445="","",IF($G445=R_LOT,COUNTIF($G$5:$G445,R_LOT),""))</f>
        <v/>
      </c>
    </row>
    <row r="446" customFormat="false" ht="15" hidden="false" customHeight="false" outlineLevel="0" collapsed="false">
      <c r="A446" s="28" t="str">
        <f aca="false">IF($M446=0,"",ROW()-4)</f>
        <v/>
      </c>
      <c r="B446" s="26" t="str">
        <f aca="false">IF($M446=0,"","OPERATIONS")</f>
        <v/>
      </c>
      <c r="C446" s="26" t="str">
        <f aca="false">IF($M446=0,"",OPERATIONS!$A146)</f>
        <v/>
      </c>
      <c r="D446" s="31" t="str">
        <f aca="false">IF($M446=0,"",OPERATIONS!$B146)</f>
        <v/>
      </c>
      <c r="E446" s="26" t="str">
        <f aca="false">IF($M446=0,"",IF($M446&lt;0,"SORTIE","ENTREE"))</f>
        <v/>
      </c>
      <c r="F446" s="26" t="str">
        <f aca="false">IF($M446=0,"",OPERATIONS!$C146)</f>
        <v/>
      </c>
      <c r="G446" s="26" t="str">
        <f aca="false">IF($M446=0,"",OPERATIONS!$D146)</f>
        <v/>
      </c>
      <c r="H446" s="26" t="str">
        <f aca="false">IF($G446="","",IFERROR(INDEX(LOT_EXTE,MATCH($G446,LOT_KEY,0)),""))</f>
        <v/>
      </c>
      <c r="I446" s="26" t="str">
        <f aca="false">IF($M446=0,"",OPERATIONS!$F146)</f>
        <v/>
      </c>
      <c r="J446" s="26" t="str">
        <f aca="false">IF($I446="","",IFERROR(INDEX(EMPL_CLASSE,MATCH($I446,EMPL_KEY,0)),""))</f>
        <v/>
      </c>
      <c r="K446" s="26" t="str">
        <f aca="false">IF($M446=0,"",OPERATIONS!$K146)</f>
        <v/>
      </c>
      <c r="L446" s="26" t="str">
        <f aca="false">IF($G446="","",IF(IFERROR(INDEX(LOT_ETAT,MATCH($G446,LOT_KEY,0)),"")="","",INDEX(LOT_ETAT,MATCH($G446,LOT_KEY,0))))</f>
        <v/>
      </c>
      <c r="M446" s="73" t="n">
        <f aca="false">IF(OR(OPERATIONS!$O146=0,OPERATIONS!$C146="CONSOMMATION"),0,OPERATIONS!$G146)</f>
        <v>0</v>
      </c>
      <c r="N446" s="73" t="n">
        <f aca="false">IF($M446=0,0,OPERATIONS!$R146*$M446)</f>
        <v>0</v>
      </c>
      <c r="O446" s="26" t="str">
        <f aca="false">IF($M446=0,"",OPERATIONS!$Q146)</f>
        <v/>
      </c>
      <c r="P446" s="26" t="str">
        <f aca="false">IF($G446="","",IF($G446=R_LOT,COUNTIF($G$5:$G446,R_LOT),""))</f>
        <v/>
      </c>
    </row>
    <row r="447" customFormat="false" ht="15" hidden="false" customHeight="false" outlineLevel="0" collapsed="false">
      <c r="A447" s="28" t="str">
        <f aca="false">IF($M447=0,"",ROW()-4)</f>
        <v/>
      </c>
      <c r="B447" s="26" t="str">
        <f aca="false">IF($M447=0,"","OPERATIONS")</f>
        <v/>
      </c>
      <c r="C447" s="26" t="str">
        <f aca="false">IF($M447=0,"",OPERATIONS!$A147)</f>
        <v/>
      </c>
      <c r="D447" s="31" t="str">
        <f aca="false">IF($M447=0,"",OPERATIONS!$B147)</f>
        <v/>
      </c>
      <c r="E447" s="26" t="str">
        <f aca="false">IF($M447=0,"",IF($M447&lt;0,"SORTIE","ENTREE"))</f>
        <v/>
      </c>
      <c r="F447" s="26" t="str">
        <f aca="false">IF($M447=0,"",OPERATIONS!$C147)</f>
        <v/>
      </c>
      <c r="G447" s="26" t="str">
        <f aca="false">IF($M447=0,"",OPERATIONS!$D147)</f>
        <v/>
      </c>
      <c r="H447" s="26" t="str">
        <f aca="false">IF($G447="","",IFERROR(INDEX(LOT_EXTE,MATCH($G447,LOT_KEY,0)),""))</f>
        <v/>
      </c>
      <c r="I447" s="26" t="str">
        <f aca="false">IF($M447=0,"",OPERATIONS!$F147)</f>
        <v/>
      </c>
      <c r="J447" s="26" t="str">
        <f aca="false">IF($I447="","",IFERROR(INDEX(EMPL_CLASSE,MATCH($I447,EMPL_KEY,0)),""))</f>
        <v/>
      </c>
      <c r="K447" s="26" t="str">
        <f aca="false">IF($M447=0,"",OPERATIONS!$K147)</f>
        <v/>
      </c>
      <c r="L447" s="26" t="str">
        <f aca="false">IF($G447="","",IF(IFERROR(INDEX(LOT_ETAT,MATCH($G447,LOT_KEY,0)),"")="","",INDEX(LOT_ETAT,MATCH($G447,LOT_KEY,0))))</f>
        <v/>
      </c>
      <c r="M447" s="73" t="n">
        <f aca="false">IF(OR(OPERATIONS!$O147=0,OPERATIONS!$C147="CONSOMMATION"),0,OPERATIONS!$G147)</f>
        <v>0</v>
      </c>
      <c r="N447" s="73" t="n">
        <f aca="false">IF($M447=0,0,OPERATIONS!$R147*$M447)</f>
        <v>0</v>
      </c>
      <c r="O447" s="26" t="str">
        <f aca="false">IF($M447=0,"",OPERATIONS!$Q147)</f>
        <v/>
      </c>
      <c r="P447" s="26" t="str">
        <f aca="false">IF($G447="","",IF($G447=R_LOT,COUNTIF($G$5:$G447,R_LOT),""))</f>
        <v/>
      </c>
    </row>
    <row r="448" customFormat="false" ht="15" hidden="false" customHeight="false" outlineLevel="0" collapsed="false">
      <c r="A448" s="28" t="str">
        <f aca="false">IF($M448=0,"",ROW()-4)</f>
        <v/>
      </c>
      <c r="B448" s="26" t="str">
        <f aca="false">IF($M448=0,"","OPERATIONS")</f>
        <v/>
      </c>
      <c r="C448" s="26" t="str">
        <f aca="false">IF($M448=0,"",OPERATIONS!$A148)</f>
        <v/>
      </c>
      <c r="D448" s="31" t="str">
        <f aca="false">IF($M448=0,"",OPERATIONS!$B148)</f>
        <v/>
      </c>
      <c r="E448" s="26" t="str">
        <f aca="false">IF($M448=0,"",IF($M448&lt;0,"SORTIE","ENTREE"))</f>
        <v/>
      </c>
      <c r="F448" s="26" t="str">
        <f aca="false">IF($M448=0,"",OPERATIONS!$C148)</f>
        <v/>
      </c>
      <c r="G448" s="26" t="str">
        <f aca="false">IF($M448=0,"",OPERATIONS!$D148)</f>
        <v/>
      </c>
      <c r="H448" s="26" t="str">
        <f aca="false">IF($G448="","",IFERROR(INDEX(LOT_EXTE,MATCH($G448,LOT_KEY,0)),""))</f>
        <v/>
      </c>
      <c r="I448" s="26" t="str">
        <f aca="false">IF($M448=0,"",OPERATIONS!$F148)</f>
        <v/>
      </c>
      <c r="J448" s="26" t="str">
        <f aca="false">IF($I448="","",IFERROR(INDEX(EMPL_CLASSE,MATCH($I448,EMPL_KEY,0)),""))</f>
        <v/>
      </c>
      <c r="K448" s="26" t="str">
        <f aca="false">IF($M448=0,"",OPERATIONS!$K148)</f>
        <v/>
      </c>
      <c r="L448" s="26" t="str">
        <f aca="false">IF($G448="","",IF(IFERROR(INDEX(LOT_ETAT,MATCH($G448,LOT_KEY,0)),"")="","",INDEX(LOT_ETAT,MATCH($G448,LOT_KEY,0))))</f>
        <v/>
      </c>
      <c r="M448" s="73" t="n">
        <f aca="false">IF(OR(OPERATIONS!$O148=0,OPERATIONS!$C148="CONSOMMATION"),0,OPERATIONS!$G148)</f>
        <v>0</v>
      </c>
      <c r="N448" s="73" t="n">
        <f aca="false">IF($M448=0,0,OPERATIONS!$R148*$M448)</f>
        <v>0</v>
      </c>
      <c r="O448" s="26" t="str">
        <f aca="false">IF($M448=0,"",OPERATIONS!$Q148)</f>
        <v/>
      </c>
      <c r="P448" s="26" t="str">
        <f aca="false">IF($G448="","",IF($G448=R_LOT,COUNTIF($G$5:$G448,R_LOT),""))</f>
        <v/>
      </c>
    </row>
    <row r="449" customFormat="false" ht="15" hidden="false" customHeight="false" outlineLevel="0" collapsed="false">
      <c r="A449" s="28" t="str">
        <f aca="false">IF($M449=0,"",ROW()-4)</f>
        <v/>
      </c>
      <c r="B449" s="26" t="str">
        <f aca="false">IF($M449=0,"","OPERATIONS")</f>
        <v/>
      </c>
      <c r="C449" s="26" t="str">
        <f aca="false">IF($M449=0,"",OPERATIONS!$A149)</f>
        <v/>
      </c>
      <c r="D449" s="31" t="str">
        <f aca="false">IF($M449=0,"",OPERATIONS!$B149)</f>
        <v/>
      </c>
      <c r="E449" s="26" t="str">
        <f aca="false">IF($M449=0,"",IF($M449&lt;0,"SORTIE","ENTREE"))</f>
        <v/>
      </c>
      <c r="F449" s="26" t="str">
        <f aca="false">IF($M449=0,"",OPERATIONS!$C149)</f>
        <v/>
      </c>
      <c r="G449" s="26" t="str">
        <f aca="false">IF($M449=0,"",OPERATIONS!$D149)</f>
        <v/>
      </c>
      <c r="H449" s="26" t="str">
        <f aca="false">IF($G449="","",IFERROR(INDEX(LOT_EXTE,MATCH($G449,LOT_KEY,0)),""))</f>
        <v/>
      </c>
      <c r="I449" s="26" t="str">
        <f aca="false">IF($M449=0,"",OPERATIONS!$F149)</f>
        <v/>
      </c>
      <c r="J449" s="26" t="str">
        <f aca="false">IF($I449="","",IFERROR(INDEX(EMPL_CLASSE,MATCH($I449,EMPL_KEY,0)),""))</f>
        <v/>
      </c>
      <c r="K449" s="26" t="str">
        <f aca="false">IF($M449=0,"",OPERATIONS!$K149)</f>
        <v/>
      </c>
      <c r="L449" s="26" t="str">
        <f aca="false">IF($G449="","",IF(IFERROR(INDEX(LOT_ETAT,MATCH($G449,LOT_KEY,0)),"")="","",INDEX(LOT_ETAT,MATCH($G449,LOT_KEY,0))))</f>
        <v/>
      </c>
      <c r="M449" s="73" t="n">
        <f aca="false">IF(OR(OPERATIONS!$O149=0,OPERATIONS!$C149="CONSOMMATION"),0,OPERATIONS!$G149)</f>
        <v>0</v>
      </c>
      <c r="N449" s="73" t="n">
        <f aca="false">IF($M449=0,0,OPERATIONS!$R149*$M449)</f>
        <v>0</v>
      </c>
      <c r="O449" s="26" t="str">
        <f aca="false">IF($M449=0,"",OPERATIONS!$Q149)</f>
        <v/>
      </c>
      <c r="P449" s="26" t="str">
        <f aca="false">IF($G449="","",IF($G449=R_LOT,COUNTIF($G$5:$G449,R_LOT),""))</f>
        <v/>
      </c>
    </row>
    <row r="450" customFormat="false" ht="15" hidden="false" customHeight="false" outlineLevel="0" collapsed="false">
      <c r="A450" s="28" t="str">
        <f aca="false">IF($M450=0,"",ROW()-4)</f>
        <v/>
      </c>
      <c r="B450" s="26" t="str">
        <f aca="false">IF($M450=0,"","OPERATIONS")</f>
        <v/>
      </c>
      <c r="C450" s="26" t="str">
        <f aca="false">IF($M450=0,"",OPERATIONS!$A150)</f>
        <v/>
      </c>
      <c r="D450" s="31" t="str">
        <f aca="false">IF($M450=0,"",OPERATIONS!$B150)</f>
        <v/>
      </c>
      <c r="E450" s="26" t="str">
        <f aca="false">IF($M450=0,"",IF($M450&lt;0,"SORTIE","ENTREE"))</f>
        <v/>
      </c>
      <c r="F450" s="26" t="str">
        <f aca="false">IF($M450=0,"",OPERATIONS!$C150)</f>
        <v/>
      </c>
      <c r="G450" s="26" t="str">
        <f aca="false">IF($M450=0,"",OPERATIONS!$D150)</f>
        <v/>
      </c>
      <c r="H450" s="26" t="str">
        <f aca="false">IF($G450="","",IFERROR(INDEX(LOT_EXTE,MATCH($G450,LOT_KEY,0)),""))</f>
        <v/>
      </c>
      <c r="I450" s="26" t="str">
        <f aca="false">IF($M450=0,"",OPERATIONS!$F150)</f>
        <v/>
      </c>
      <c r="J450" s="26" t="str">
        <f aca="false">IF($I450="","",IFERROR(INDEX(EMPL_CLASSE,MATCH($I450,EMPL_KEY,0)),""))</f>
        <v/>
      </c>
      <c r="K450" s="26" t="str">
        <f aca="false">IF($M450=0,"",OPERATIONS!$K150)</f>
        <v/>
      </c>
      <c r="L450" s="26" t="str">
        <f aca="false">IF($G450="","",IF(IFERROR(INDEX(LOT_ETAT,MATCH($G450,LOT_KEY,0)),"")="","",INDEX(LOT_ETAT,MATCH($G450,LOT_KEY,0))))</f>
        <v/>
      </c>
      <c r="M450" s="73" t="n">
        <f aca="false">IF(OR(OPERATIONS!$O150=0,OPERATIONS!$C150="CONSOMMATION"),0,OPERATIONS!$G150)</f>
        <v>0</v>
      </c>
      <c r="N450" s="73" t="n">
        <f aca="false">IF($M450=0,0,OPERATIONS!$R150*$M450)</f>
        <v>0</v>
      </c>
      <c r="O450" s="26" t="str">
        <f aca="false">IF($M450=0,"",OPERATIONS!$Q150)</f>
        <v/>
      </c>
      <c r="P450" s="26" t="str">
        <f aca="false">IF($G450="","",IF($G450=R_LOT,COUNTIF($G$5:$G450,R_LOT),""))</f>
        <v/>
      </c>
    </row>
    <row r="451" customFormat="false" ht="15" hidden="false" customHeight="false" outlineLevel="0" collapsed="false">
      <c r="A451" s="28" t="str">
        <f aca="false">IF($M451=0,"",ROW()-4)</f>
        <v/>
      </c>
      <c r="B451" s="26" t="str">
        <f aca="false">IF($M451=0,"","OPERATIONS")</f>
        <v/>
      </c>
      <c r="C451" s="26" t="str">
        <f aca="false">IF($M451=0,"",OPERATIONS!$A151)</f>
        <v/>
      </c>
      <c r="D451" s="31" t="str">
        <f aca="false">IF($M451=0,"",OPERATIONS!$B151)</f>
        <v/>
      </c>
      <c r="E451" s="26" t="str">
        <f aca="false">IF($M451=0,"",IF($M451&lt;0,"SORTIE","ENTREE"))</f>
        <v/>
      </c>
      <c r="F451" s="26" t="str">
        <f aca="false">IF($M451=0,"",OPERATIONS!$C151)</f>
        <v/>
      </c>
      <c r="G451" s="26" t="str">
        <f aca="false">IF($M451=0,"",OPERATIONS!$D151)</f>
        <v/>
      </c>
      <c r="H451" s="26" t="str">
        <f aca="false">IF($G451="","",IFERROR(INDEX(LOT_EXTE,MATCH($G451,LOT_KEY,0)),""))</f>
        <v/>
      </c>
      <c r="I451" s="26" t="str">
        <f aca="false">IF($M451=0,"",OPERATIONS!$F151)</f>
        <v/>
      </c>
      <c r="J451" s="26" t="str">
        <f aca="false">IF($I451="","",IFERROR(INDEX(EMPL_CLASSE,MATCH($I451,EMPL_KEY,0)),""))</f>
        <v/>
      </c>
      <c r="K451" s="26" t="str">
        <f aca="false">IF($M451=0,"",OPERATIONS!$K151)</f>
        <v/>
      </c>
      <c r="L451" s="26" t="str">
        <f aca="false">IF($G451="","",IF(IFERROR(INDEX(LOT_ETAT,MATCH($G451,LOT_KEY,0)),"")="","",INDEX(LOT_ETAT,MATCH($G451,LOT_KEY,0))))</f>
        <v/>
      </c>
      <c r="M451" s="73" t="n">
        <f aca="false">IF(OR(OPERATIONS!$O151=0,OPERATIONS!$C151="CONSOMMATION"),0,OPERATIONS!$G151)</f>
        <v>0</v>
      </c>
      <c r="N451" s="73" t="n">
        <f aca="false">IF($M451=0,0,OPERATIONS!$R151*$M451)</f>
        <v>0</v>
      </c>
      <c r="O451" s="26" t="str">
        <f aca="false">IF($M451=0,"",OPERATIONS!$Q151)</f>
        <v/>
      </c>
      <c r="P451" s="26" t="str">
        <f aca="false">IF($G451="","",IF($G451=R_LOT,COUNTIF($G$5:$G451,R_LOT),""))</f>
        <v/>
      </c>
    </row>
    <row r="452" customFormat="false" ht="15" hidden="false" customHeight="false" outlineLevel="0" collapsed="false">
      <c r="A452" s="28" t="str">
        <f aca="false">IF($M452=0,"",ROW()-4)</f>
        <v/>
      </c>
      <c r="B452" s="26" t="str">
        <f aca="false">IF($M452=0,"","OPERATIONS")</f>
        <v/>
      </c>
      <c r="C452" s="26" t="str">
        <f aca="false">IF($M452=0,"",OPERATIONS!$A152)</f>
        <v/>
      </c>
      <c r="D452" s="31" t="str">
        <f aca="false">IF($M452=0,"",OPERATIONS!$B152)</f>
        <v/>
      </c>
      <c r="E452" s="26" t="str">
        <f aca="false">IF($M452=0,"",IF($M452&lt;0,"SORTIE","ENTREE"))</f>
        <v/>
      </c>
      <c r="F452" s="26" t="str">
        <f aca="false">IF($M452=0,"",OPERATIONS!$C152)</f>
        <v/>
      </c>
      <c r="G452" s="26" t="str">
        <f aca="false">IF($M452=0,"",OPERATIONS!$D152)</f>
        <v/>
      </c>
      <c r="H452" s="26" t="str">
        <f aca="false">IF($G452="","",IFERROR(INDEX(LOT_EXTE,MATCH($G452,LOT_KEY,0)),""))</f>
        <v/>
      </c>
      <c r="I452" s="26" t="str">
        <f aca="false">IF($M452=0,"",OPERATIONS!$F152)</f>
        <v/>
      </c>
      <c r="J452" s="26" t="str">
        <f aca="false">IF($I452="","",IFERROR(INDEX(EMPL_CLASSE,MATCH($I452,EMPL_KEY,0)),""))</f>
        <v/>
      </c>
      <c r="K452" s="26" t="str">
        <f aca="false">IF($M452=0,"",OPERATIONS!$K152)</f>
        <v/>
      </c>
      <c r="L452" s="26" t="str">
        <f aca="false">IF($G452="","",IF(IFERROR(INDEX(LOT_ETAT,MATCH($G452,LOT_KEY,0)),"")="","",INDEX(LOT_ETAT,MATCH($G452,LOT_KEY,0))))</f>
        <v/>
      </c>
      <c r="M452" s="73" t="n">
        <f aca="false">IF(OR(OPERATIONS!$O152=0,OPERATIONS!$C152="CONSOMMATION"),0,OPERATIONS!$G152)</f>
        <v>0</v>
      </c>
      <c r="N452" s="73" t="n">
        <f aca="false">IF($M452=0,0,OPERATIONS!$R152*$M452)</f>
        <v>0</v>
      </c>
      <c r="O452" s="26" t="str">
        <f aca="false">IF($M452=0,"",OPERATIONS!$Q152)</f>
        <v/>
      </c>
      <c r="P452" s="26" t="str">
        <f aca="false">IF($G452="","",IF($G452=R_LOT,COUNTIF($G$5:$G452,R_LOT),""))</f>
        <v/>
      </c>
    </row>
    <row r="453" customFormat="false" ht="15" hidden="false" customHeight="false" outlineLevel="0" collapsed="false">
      <c r="A453" s="28" t="str">
        <f aca="false">IF($M453=0,"",ROW()-4)</f>
        <v/>
      </c>
      <c r="B453" s="26" t="str">
        <f aca="false">IF($M453=0,"","OPERATIONS")</f>
        <v/>
      </c>
      <c r="C453" s="26" t="str">
        <f aca="false">IF($M453=0,"",OPERATIONS!$A153)</f>
        <v/>
      </c>
      <c r="D453" s="31" t="str">
        <f aca="false">IF($M453=0,"",OPERATIONS!$B153)</f>
        <v/>
      </c>
      <c r="E453" s="26" t="str">
        <f aca="false">IF($M453=0,"",IF($M453&lt;0,"SORTIE","ENTREE"))</f>
        <v/>
      </c>
      <c r="F453" s="26" t="str">
        <f aca="false">IF($M453=0,"",OPERATIONS!$C153)</f>
        <v/>
      </c>
      <c r="G453" s="26" t="str">
        <f aca="false">IF($M453=0,"",OPERATIONS!$D153)</f>
        <v/>
      </c>
      <c r="H453" s="26" t="str">
        <f aca="false">IF($G453="","",IFERROR(INDEX(LOT_EXTE,MATCH($G453,LOT_KEY,0)),""))</f>
        <v/>
      </c>
      <c r="I453" s="26" t="str">
        <f aca="false">IF($M453=0,"",OPERATIONS!$F153)</f>
        <v/>
      </c>
      <c r="J453" s="26" t="str">
        <f aca="false">IF($I453="","",IFERROR(INDEX(EMPL_CLASSE,MATCH($I453,EMPL_KEY,0)),""))</f>
        <v/>
      </c>
      <c r="K453" s="26" t="str">
        <f aca="false">IF($M453=0,"",OPERATIONS!$K153)</f>
        <v/>
      </c>
      <c r="L453" s="26" t="str">
        <f aca="false">IF($G453="","",IF(IFERROR(INDEX(LOT_ETAT,MATCH($G453,LOT_KEY,0)),"")="","",INDEX(LOT_ETAT,MATCH($G453,LOT_KEY,0))))</f>
        <v/>
      </c>
      <c r="M453" s="73" t="n">
        <f aca="false">IF(OR(OPERATIONS!$O153=0,OPERATIONS!$C153="CONSOMMATION"),0,OPERATIONS!$G153)</f>
        <v>0</v>
      </c>
      <c r="N453" s="73" t="n">
        <f aca="false">IF($M453=0,0,OPERATIONS!$R153*$M453)</f>
        <v>0</v>
      </c>
      <c r="O453" s="26" t="str">
        <f aca="false">IF($M453=0,"",OPERATIONS!$Q153)</f>
        <v/>
      </c>
      <c r="P453" s="26" t="str">
        <f aca="false">IF($G453="","",IF($G453=R_LOT,COUNTIF($G$5:$G453,R_LOT),""))</f>
        <v/>
      </c>
    </row>
    <row r="454" customFormat="false" ht="15" hidden="false" customHeight="false" outlineLevel="0" collapsed="false">
      <c r="A454" s="28" t="str">
        <f aca="false">IF($M454=0,"",ROW()-4)</f>
        <v/>
      </c>
      <c r="B454" s="26" t="str">
        <f aca="false">IF($M454=0,"","OPERATIONS")</f>
        <v/>
      </c>
      <c r="C454" s="26" t="str">
        <f aca="false">IF($M454=0,"",OPERATIONS!$A154)</f>
        <v/>
      </c>
      <c r="D454" s="31" t="str">
        <f aca="false">IF($M454=0,"",OPERATIONS!$B154)</f>
        <v/>
      </c>
      <c r="E454" s="26" t="str">
        <f aca="false">IF($M454=0,"",IF($M454&lt;0,"SORTIE","ENTREE"))</f>
        <v/>
      </c>
      <c r="F454" s="26" t="str">
        <f aca="false">IF($M454=0,"",OPERATIONS!$C154)</f>
        <v/>
      </c>
      <c r="G454" s="26" t="str">
        <f aca="false">IF($M454=0,"",OPERATIONS!$D154)</f>
        <v/>
      </c>
      <c r="H454" s="26" t="str">
        <f aca="false">IF($G454="","",IFERROR(INDEX(LOT_EXTE,MATCH($G454,LOT_KEY,0)),""))</f>
        <v/>
      </c>
      <c r="I454" s="26" t="str">
        <f aca="false">IF($M454=0,"",OPERATIONS!$F154)</f>
        <v/>
      </c>
      <c r="J454" s="26" t="str">
        <f aca="false">IF($I454="","",IFERROR(INDEX(EMPL_CLASSE,MATCH($I454,EMPL_KEY,0)),""))</f>
        <v/>
      </c>
      <c r="K454" s="26" t="str">
        <f aca="false">IF($M454=0,"",OPERATIONS!$K154)</f>
        <v/>
      </c>
      <c r="L454" s="26" t="str">
        <f aca="false">IF($G454="","",IF(IFERROR(INDEX(LOT_ETAT,MATCH($G454,LOT_KEY,0)),"")="","",INDEX(LOT_ETAT,MATCH($G454,LOT_KEY,0))))</f>
        <v/>
      </c>
      <c r="M454" s="73" t="n">
        <f aca="false">IF(OR(OPERATIONS!$O154=0,OPERATIONS!$C154="CONSOMMATION"),0,OPERATIONS!$G154)</f>
        <v>0</v>
      </c>
      <c r="N454" s="73" t="n">
        <f aca="false">IF($M454=0,0,OPERATIONS!$R154*$M454)</f>
        <v>0</v>
      </c>
      <c r="O454" s="26" t="str">
        <f aca="false">IF($M454=0,"",OPERATIONS!$Q154)</f>
        <v/>
      </c>
      <c r="P454" s="26" t="str">
        <f aca="false">IF($G454="","",IF($G454=R_LOT,COUNTIF($G$5:$G454,R_LOT),""))</f>
        <v/>
      </c>
    </row>
    <row r="455" customFormat="false" ht="15" hidden="false" customHeight="false" outlineLevel="0" collapsed="false">
      <c r="A455" s="28" t="str">
        <f aca="false">IF($M455=0,"",ROW()-4)</f>
        <v/>
      </c>
      <c r="B455" s="26" t="str">
        <f aca="false">IF($M455=0,"","OPERATIONS")</f>
        <v/>
      </c>
      <c r="C455" s="26" t="str">
        <f aca="false">IF($M455=0,"",OPERATIONS!$A155)</f>
        <v/>
      </c>
      <c r="D455" s="31" t="str">
        <f aca="false">IF($M455=0,"",OPERATIONS!$B155)</f>
        <v/>
      </c>
      <c r="E455" s="26" t="str">
        <f aca="false">IF($M455=0,"",IF($M455&lt;0,"SORTIE","ENTREE"))</f>
        <v/>
      </c>
      <c r="F455" s="26" t="str">
        <f aca="false">IF($M455=0,"",OPERATIONS!$C155)</f>
        <v/>
      </c>
      <c r="G455" s="26" t="str">
        <f aca="false">IF($M455=0,"",OPERATIONS!$D155)</f>
        <v/>
      </c>
      <c r="H455" s="26" t="str">
        <f aca="false">IF($G455="","",IFERROR(INDEX(LOT_EXTE,MATCH($G455,LOT_KEY,0)),""))</f>
        <v/>
      </c>
      <c r="I455" s="26" t="str">
        <f aca="false">IF($M455=0,"",OPERATIONS!$F155)</f>
        <v/>
      </c>
      <c r="J455" s="26" t="str">
        <f aca="false">IF($I455="","",IFERROR(INDEX(EMPL_CLASSE,MATCH($I455,EMPL_KEY,0)),""))</f>
        <v/>
      </c>
      <c r="K455" s="26" t="str">
        <f aca="false">IF($M455=0,"",OPERATIONS!$K155)</f>
        <v/>
      </c>
      <c r="L455" s="26" t="str">
        <f aca="false">IF($G455="","",IF(IFERROR(INDEX(LOT_ETAT,MATCH($G455,LOT_KEY,0)),"")="","",INDEX(LOT_ETAT,MATCH($G455,LOT_KEY,0))))</f>
        <v/>
      </c>
      <c r="M455" s="73" t="n">
        <f aca="false">IF(OR(OPERATIONS!$O155=0,OPERATIONS!$C155="CONSOMMATION"),0,OPERATIONS!$G155)</f>
        <v>0</v>
      </c>
      <c r="N455" s="73" t="n">
        <f aca="false">IF($M455=0,0,OPERATIONS!$R155*$M455)</f>
        <v>0</v>
      </c>
      <c r="O455" s="26" t="str">
        <f aca="false">IF($M455=0,"",OPERATIONS!$Q155)</f>
        <v/>
      </c>
      <c r="P455" s="26" t="str">
        <f aca="false">IF($G455="","",IF($G455=R_LOT,COUNTIF($G$5:$G455,R_LOT),""))</f>
        <v/>
      </c>
    </row>
    <row r="456" customFormat="false" ht="15" hidden="false" customHeight="false" outlineLevel="0" collapsed="false">
      <c r="A456" s="28" t="str">
        <f aca="false">IF($M456=0,"",ROW()-4)</f>
        <v/>
      </c>
      <c r="B456" s="26" t="str">
        <f aca="false">IF($M456=0,"","OPERATIONS")</f>
        <v/>
      </c>
      <c r="C456" s="26" t="str">
        <f aca="false">IF($M456=0,"",OPERATIONS!$A156)</f>
        <v/>
      </c>
      <c r="D456" s="31" t="str">
        <f aca="false">IF($M456=0,"",OPERATIONS!$B156)</f>
        <v/>
      </c>
      <c r="E456" s="26" t="str">
        <f aca="false">IF($M456=0,"",IF($M456&lt;0,"SORTIE","ENTREE"))</f>
        <v/>
      </c>
      <c r="F456" s="26" t="str">
        <f aca="false">IF($M456=0,"",OPERATIONS!$C156)</f>
        <v/>
      </c>
      <c r="G456" s="26" t="str">
        <f aca="false">IF($M456=0,"",OPERATIONS!$D156)</f>
        <v/>
      </c>
      <c r="H456" s="26" t="str">
        <f aca="false">IF($G456="","",IFERROR(INDEX(LOT_EXTE,MATCH($G456,LOT_KEY,0)),""))</f>
        <v/>
      </c>
      <c r="I456" s="26" t="str">
        <f aca="false">IF($M456=0,"",OPERATIONS!$F156)</f>
        <v/>
      </c>
      <c r="J456" s="26" t="str">
        <f aca="false">IF($I456="","",IFERROR(INDEX(EMPL_CLASSE,MATCH($I456,EMPL_KEY,0)),""))</f>
        <v/>
      </c>
      <c r="K456" s="26" t="str">
        <f aca="false">IF($M456=0,"",OPERATIONS!$K156)</f>
        <v/>
      </c>
      <c r="L456" s="26" t="str">
        <f aca="false">IF($G456="","",IF(IFERROR(INDEX(LOT_ETAT,MATCH($G456,LOT_KEY,0)),"")="","",INDEX(LOT_ETAT,MATCH($G456,LOT_KEY,0))))</f>
        <v/>
      </c>
      <c r="M456" s="73" t="n">
        <f aca="false">IF(OR(OPERATIONS!$O156=0,OPERATIONS!$C156="CONSOMMATION"),0,OPERATIONS!$G156)</f>
        <v>0</v>
      </c>
      <c r="N456" s="73" t="n">
        <f aca="false">IF($M456=0,0,OPERATIONS!$R156*$M456)</f>
        <v>0</v>
      </c>
      <c r="O456" s="26" t="str">
        <f aca="false">IF($M456=0,"",OPERATIONS!$Q156)</f>
        <v/>
      </c>
      <c r="P456" s="26" t="str">
        <f aca="false">IF($G456="","",IF($G456=R_LOT,COUNTIF($G$5:$G456,R_LOT),""))</f>
        <v/>
      </c>
    </row>
    <row r="457" customFormat="false" ht="15" hidden="false" customHeight="false" outlineLevel="0" collapsed="false">
      <c r="A457" s="28" t="str">
        <f aca="false">IF($M457=0,"",ROW()-4)</f>
        <v/>
      </c>
      <c r="B457" s="26" t="str">
        <f aca="false">IF($M457=0,"","OPERATIONS")</f>
        <v/>
      </c>
      <c r="C457" s="26" t="str">
        <f aca="false">IF($M457=0,"",OPERATIONS!$A157)</f>
        <v/>
      </c>
      <c r="D457" s="31" t="str">
        <f aca="false">IF($M457=0,"",OPERATIONS!$B157)</f>
        <v/>
      </c>
      <c r="E457" s="26" t="str">
        <f aca="false">IF($M457=0,"",IF($M457&lt;0,"SORTIE","ENTREE"))</f>
        <v/>
      </c>
      <c r="F457" s="26" t="str">
        <f aca="false">IF($M457=0,"",OPERATIONS!$C157)</f>
        <v/>
      </c>
      <c r="G457" s="26" t="str">
        <f aca="false">IF($M457=0,"",OPERATIONS!$D157)</f>
        <v/>
      </c>
      <c r="H457" s="26" t="str">
        <f aca="false">IF($G457="","",IFERROR(INDEX(LOT_EXTE,MATCH($G457,LOT_KEY,0)),""))</f>
        <v/>
      </c>
      <c r="I457" s="26" t="str">
        <f aca="false">IF($M457=0,"",OPERATIONS!$F157)</f>
        <v/>
      </c>
      <c r="J457" s="26" t="str">
        <f aca="false">IF($I457="","",IFERROR(INDEX(EMPL_CLASSE,MATCH($I457,EMPL_KEY,0)),""))</f>
        <v/>
      </c>
      <c r="K457" s="26" t="str">
        <f aca="false">IF($M457=0,"",OPERATIONS!$K157)</f>
        <v/>
      </c>
      <c r="L457" s="26" t="str">
        <f aca="false">IF($G457="","",IF(IFERROR(INDEX(LOT_ETAT,MATCH($G457,LOT_KEY,0)),"")="","",INDEX(LOT_ETAT,MATCH($G457,LOT_KEY,0))))</f>
        <v/>
      </c>
      <c r="M457" s="73" t="n">
        <f aca="false">IF(OR(OPERATIONS!$O157=0,OPERATIONS!$C157="CONSOMMATION"),0,OPERATIONS!$G157)</f>
        <v>0</v>
      </c>
      <c r="N457" s="73" t="n">
        <f aca="false">IF($M457=0,0,OPERATIONS!$R157*$M457)</f>
        <v>0</v>
      </c>
      <c r="O457" s="26" t="str">
        <f aca="false">IF($M457=0,"",OPERATIONS!$Q157)</f>
        <v/>
      </c>
      <c r="P457" s="26" t="str">
        <f aca="false">IF($G457="","",IF($G457=R_LOT,COUNTIF($G$5:$G457,R_LOT),""))</f>
        <v/>
      </c>
    </row>
    <row r="458" customFormat="false" ht="15" hidden="false" customHeight="false" outlineLevel="0" collapsed="false">
      <c r="A458" s="28" t="str">
        <f aca="false">IF($M458=0,"",ROW()-4)</f>
        <v/>
      </c>
      <c r="B458" s="26" t="str">
        <f aca="false">IF($M458=0,"","OPERATIONS")</f>
        <v/>
      </c>
      <c r="C458" s="26" t="str">
        <f aca="false">IF($M458=0,"",OPERATIONS!$A158)</f>
        <v/>
      </c>
      <c r="D458" s="31" t="str">
        <f aca="false">IF($M458=0,"",OPERATIONS!$B158)</f>
        <v/>
      </c>
      <c r="E458" s="26" t="str">
        <f aca="false">IF($M458=0,"",IF($M458&lt;0,"SORTIE","ENTREE"))</f>
        <v/>
      </c>
      <c r="F458" s="26" t="str">
        <f aca="false">IF($M458=0,"",OPERATIONS!$C158)</f>
        <v/>
      </c>
      <c r="G458" s="26" t="str">
        <f aca="false">IF($M458=0,"",OPERATIONS!$D158)</f>
        <v/>
      </c>
      <c r="H458" s="26" t="str">
        <f aca="false">IF($G458="","",IFERROR(INDEX(LOT_EXTE,MATCH($G458,LOT_KEY,0)),""))</f>
        <v/>
      </c>
      <c r="I458" s="26" t="str">
        <f aca="false">IF($M458=0,"",OPERATIONS!$F158)</f>
        <v/>
      </c>
      <c r="J458" s="26" t="str">
        <f aca="false">IF($I458="","",IFERROR(INDEX(EMPL_CLASSE,MATCH($I458,EMPL_KEY,0)),""))</f>
        <v/>
      </c>
      <c r="K458" s="26" t="str">
        <f aca="false">IF($M458=0,"",OPERATIONS!$K158)</f>
        <v/>
      </c>
      <c r="L458" s="26" t="str">
        <f aca="false">IF($G458="","",IF(IFERROR(INDEX(LOT_ETAT,MATCH($G458,LOT_KEY,0)),"")="","",INDEX(LOT_ETAT,MATCH($G458,LOT_KEY,0))))</f>
        <v/>
      </c>
      <c r="M458" s="73" t="n">
        <f aca="false">IF(OR(OPERATIONS!$O158=0,OPERATIONS!$C158="CONSOMMATION"),0,OPERATIONS!$G158)</f>
        <v>0</v>
      </c>
      <c r="N458" s="73" t="n">
        <f aca="false">IF($M458=0,0,OPERATIONS!$R158*$M458)</f>
        <v>0</v>
      </c>
      <c r="O458" s="26" t="str">
        <f aca="false">IF($M458=0,"",OPERATIONS!$Q158)</f>
        <v/>
      </c>
      <c r="P458" s="26" t="str">
        <f aca="false">IF($G458="","",IF($G458=R_LOT,COUNTIF($G$5:$G458,R_LOT),""))</f>
        <v/>
      </c>
    </row>
    <row r="459" customFormat="false" ht="15" hidden="false" customHeight="false" outlineLevel="0" collapsed="false">
      <c r="A459" s="28" t="str">
        <f aca="false">IF($M459=0,"",ROW()-4)</f>
        <v/>
      </c>
      <c r="B459" s="26" t="str">
        <f aca="false">IF($M459=0,"","OPERATIONS")</f>
        <v/>
      </c>
      <c r="C459" s="26" t="str">
        <f aca="false">IF($M459=0,"",OPERATIONS!$A159)</f>
        <v/>
      </c>
      <c r="D459" s="31" t="str">
        <f aca="false">IF($M459=0,"",OPERATIONS!$B159)</f>
        <v/>
      </c>
      <c r="E459" s="26" t="str">
        <f aca="false">IF($M459=0,"",IF($M459&lt;0,"SORTIE","ENTREE"))</f>
        <v/>
      </c>
      <c r="F459" s="26" t="str">
        <f aca="false">IF($M459=0,"",OPERATIONS!$C159)</f>
        <v/>
      </c>
      <c r="G459" s="26" t="str">
        <f aca="false">IF($M459=0,"",OPERATIONS!$D159)</f>
        <v/>
      </c>
      <c r="H459" s="26" t="str">
        <f aca="false">IF($G459="","",IFERROR(INDEX(LOT_EXTE,MATCH($G459,LOT_KEY,0)),""))</f>
        <v/>
      </c>
      <c r="I459" s="26" t="str">
        <f aca="false">IF($M459=0,"",OPERATIONS!$F159)</f>
        <v/>
      </c>
      <c r="J459" s="26" t="str">
        <f aca="false">IF($I459="","",IFERROR(INDEX(EMPL_CLASSE,MATCH($I459,EMPL_KEY,0)),""))</f>
        <v/>
      </c>
      <c r="K459" s="26" t="str">
        <f aca="false">IF($M459=0,"",OPERATIONS!$K159)</f>
        <v/>
      </c>
      <c r="L459" s="26" t="str">
        <f aca="false">IF($G459="","",IF(IFERROR(INDEX(LOT_ETAT,MATCH($G459,LOT_KEY,0)),"")="","",INDEX(LOT_ETAT,MATCH($G459,LOT_KEY,0))))</f>
        <v/>
      </c>
      <c r="M459" s="73" t="n">
        <f aca="false">IF(OR(OPERATIONS!$O159=0,OPERATIONS!$C159="CONSOMMATION"),0,OPERATIONS!$G159)</f>
        <v>0</v>
      </c>
      <c r="N459" s="73" t="n">
        <f aca="false">IF($M459=0,0,OPERATIONS!$R159*$M459)</f>
        <v>0</v>
      </c>
      <c r="O459" s="26" t="str">
        <f aca="false">IF($M459=0,"",OPERATIONS!$Q159)</f>
        <v/>
      </c>
      <c r="P459" s="26" t="str">
        <f aca="false">IF($G459="","",IF($G459=R_LOT,COUNTIF($G$5:$G459,R_LOT),""))</f>
        <v/>
      </c>
    </row>
    <row r="460" customFormat="false" ht="15" hidden="false" customHeight="false" outlineLevel="0" collapsed="false">
      <c r="A460" s="28" t="str">
        <f aca="false">IF($M460=0,"",ROW()-4)</f>
        <v/>
      </c>
      <c r="B460" s="26" t="str">
        <f aca="false">IF($M460=0,"","OPERATIONS")</f>
        <v/>
      </c>
      <c r="C460" s="26" t="str">
        <f aca="false">IF($M460=0,"",OPERATIONS!$A160)</f>
        <v/>
      </c>
      <c r="D460" s="31" t="str">
        <f aca="false">IF($M460=0,"",OPERATIONS!$B160)</f>
        <v/>
      </c>
      <c r="E460" s="26" t="str">
        <f aca="false">IF($M460=0,"",IF($M460&lt;0,"SORTIE","ENTREE"))</f>
        <v/>
      </c>
      <c r="F460" s="26" t="str">
        <f aca="false">IF($M460=0,"",OPERATIONS!$C160)</f>
        <v/>
      </c>
      <c r="G460" s="26" t="str">
        <f aca="false">IF($M460=0,"",OPERATIONS!$D160)</f>
        <v/>
      </c>
      <c r="H460" s="26" t="str">
        <f aca="false">IF($G460="","",IFERROR(INDEX(LOT_EXTE,MATCH($G460,LOT_KEY,0)),""))</f>
        <v/>
      </c>
      <c r="I460" s="26" t="str">
        <f aca="false">IF($M460=0,"",OPERATIONS!$F160)</f>
        <v/>
      </c>
      <c r="J460" s="26" t="str">
        <f aca="false">IF($I460="","",IFERROR(INDEX(EMPL_CLASSE,MATCH($I460,EMPL_KEY,0)),""))</f>
        <v/>
      </c>
      <c r="K460" s="26" t="str">
        <f aca="false">IF($M460=0,"",OPERATIONS!$K160)</f>
        <v/>
      </c>
      <c r="L460" s="26" t="str">
        <f aca="false">IF($G460="","",IF(IFERROR(INDEX(LOT_ETAT,MATCH($G460,LOT_KEY,0)),"")="","",INDEX(LOT_ETAT,MATCH($G460,LOT_KEY,0))))</f>
        <v/>
      </c>
      <c r="M460" s="73" t="n">
        <f aca="false">IF(OR(OPERATIONS!$O160=0,OPERATIONS!$C160="CONSOMMATION"),0,OPERATIONS!$G160)</f>
        <v>0</v>
      </c>
      <c r="N460" s="73" t="n">
        <f aca="false">IF($M460=0,0,OPERATIONS!$R160*$M460)</f>
        <v>0</v>
      </c>
      <c r="O460" s="26" t="str">
        <f aca="false">IF($M460=0,"",OPERATIONS!$Q160)</f>
        <v/>
      </c>
      <c r="P460" s="26" t="str">
        <f aca="false">IF($G460="","",IF($G460=R_LOT,COUNTIF($G$5:$G460,R_LOT),""))</f>
        <v/>
      </c>
    </row>
    <row r="461" customFormat="false" ht="15" hidden="false" customHeight="false" outlineLevel="0" collapsed="false">
      <c r="A461" s="28" t="str">
        <f aca="false">IF($M461=0,"",ROW()-4)</f>
        <v/>
      </c>
      <c r="B461" s="26" t="str">
        <f aca="false">IF($M461=0,"","OPERATIONS")</f>
        <v/>
      </c>
      <c r="C461" s="26" t="str">
        <f aca="false">IF($M461=0,"",OPERATIONS!$A161)</f>
        <v/>
      </c>
      <c r="D461" s="31" t="str">
        <f aca="false">IF($M461=0,"",OPERATIONS!$B161)</f>
        <v/>
      </c>
      <c r="E461" s="26" t="str">
        <f aca="false">IF($M461=0,"",IF($M461&lt;0,"SORTIE","ENTREE"))</f>
        <v/>
      </c>
      <c r="F461" s="26" t="str">
        <f aca="false">IF($M461=0,"",OPERATIONS!$C161)</f>
        <v/>
      </c>
      <c r="G461" s="26" t="str">
        <f aca="false">IF($M461=0,"",OPERATIONS!$D161)</f>
        <v/>
      </c>
      <c r="H461" s="26" t="str">
        <f aca="false">IF($G461="","",IFERROR(INDEX(LOT_EXTE,MATCH($G461,LOT_KEY,0)),""))</f>
        <v/>
      </c>
      <c r="I461" s="26" t="str">
        <f aca="false">IF($M461=0,"",OPERATIONS!$F161)</f>
        <v/>
      </c>
      <c r="J461" s="26" t="str">
        <f aca="false">IF($I461="","",IFERROR(INDEX(EMPL_CLASSE,MATCH($I461,EMPL_KEY,0)),""))</f>
        <v/>
      </c>
      <c r="K461" s="26" t="str">
        <f aca="false">IF($M461=0,"",OPERATIONS!$K161)</f>
        <v/>
      </c>
      <c r="L461" s="26" t="str">
        <f aca="false">IF($G461="","",IF(IFERROR(INDEX(LOT_ETAT,MATCH($G461,LOT_KEY,0)),"")="","",INDEX(LOT_ETAT,MATCH($G461,LOT_KEY,0))))</f>
        <v/>
      </c>
      <c r="M461" s="73" t="n">
        <f aca="false">IF(OR(OPERATIONS!$O161=0,OPERATIONS!$C161="CONSOMMATION"),0,OPERATIONS!$G161)</f>
        <v>0</v>
      </c>
      <c r="N461" s="73" t="n">
        <f aca="false">IF($M461=0,0,OPERATIONS!$R161*$M461)</f>
        <v>0</v>
      </c>
      <c r="O461" s="26" t="str">
        <f aca="false">IF($M461=0,"",OPERATIONS!$Q161)</f>
        <v/>
      </c>
      <c r="P461" s="26" t="str">
        <f aca="false">IF($G461="","",IF($G461=R_LOT,COUNTIF($G$5:$G461,R_LOT),""))</f>
        <v/>
      </c>
    </row>
    <row r="462" customFormat="false" ht="15" hidden="false" customHeight="false" outlineLevel="0" collapsed="false">
      <c r="A462" s="28" t="str">
        <f aca="false">IF($M462=0,"",ROW()-4)</f>
        <v/>
      </c>
      <c r="B462" s="26" t="str">
        <f aca="false">IF($M462=0,"","OPERATIONS")</f>
        <v/>
      </c>
      <c r="C462" s="26" t="str">
        <f aca="false">IF($M462=0,"",OPERATIONS!$A162)</f>
        <v/>
      </c>
      <c r="D462" s="31" t="str">
        <f aca="false">IF($M462=0,"",OPERATIONS!$B162)</f>
        <v/>
      </c>
      <c r="E462" s="26" t="str">
        <f aca="false">IF($M462=0,"",IF($M462&lt;0,"SORTIE","ENTREE"))</f>
        <v/>
      </c>
      <c r="F462" s="26" t="str">
        <f aca="false">IF($M462=0,"",OPERATIONS!$C162)</f>
        <v/>
      </c>
      <c r="G462" s="26" t="str">
        <f aca="false">IF($M462=0,"",OPERATIONS!$D162)</f>
        <v/>
      </c>
      <c r="H462" s="26" t="str">
        <f aca="false">IF($G462="","",IFERROR(INDEX(LOT_EXTE,MATCH($G462,LOT_KEY,0)),""))</f>
        <v/>
      </c>
      <c r="I462" s="26" t="str">
        <f aca="false">IF($M462=0,"",OPERATIONS!$F162)</f>
        <v/>
      </c>
      <c r="J462" s="26" t="str">
        <f aca="false">IF($I462="","",IFERROR(INDEX(EMPL_CLASSE,MATCH($I462,EMPL_KEY,0)),""))</f>
        <v/>
      </c>
      <c r="K462" s="26" t="str">
        <f aca="false">IF($M462=0,"",OPERATIONS!$K162)</f>
        <v/>
      </c>
      <c r="L462" s="26" t="str">
        <f aca="false">IF($G462="","",IF(IFERROR(INDEX(LOT_ETAT,MATCH($G462,LOT_KEY,0)),"")="","",INDEX(LOT_ETAT,MATCH($G462,LOT_KEY,0))))</f>
        <v/>
      </c>
      <c r="M462" s="73" t="n">
        <f aca="false">IF(OR(OPERATIONS!$O162=0,OPERATIONS!$C162="CONSOMMATION"),0,OPERATIONS!$G162)</f>
        <v>0</v>
      </c>
      <c r="N462" s="73" t="n">
        <f aca="false">IF($M462=0,0,OPERATIONS!$R162*$M462)</f>
        <v>0</v>
      </c>
      <c r="O462" s="26" t="str">
        <f aca="false">IF($M462=0,"",OPERATIONS!$Q162)</f>
        <v/>
      </c>
      <c r="P462" s="26" t="str">
        <f aca="false">IF($G462="","",IF($G462=R_LOT,COUNTIF($G$5:$G462,R_LOT),""))</f>
        <v/>
      </c>
    </row>
    <row r="463" customFormat="false" ht="15" hidden="false" customHeight="false" outlineLevel="0" collapsed="false">
      <c r="A463" s="28" t="str">
        <f aca="false">IF($M463=0,"",ROW()-4)</f>
        <v/>
      </c>
      <c r="B463" s="26" t="str">
        <f aca="false">IF($M463=0,"","OPERATIONS")</f>
        <v/>
      </c>
      <c r="C463" s="26" t="str">
        <f aca="false">IF($M463=0,"",OPERATIONS!$A163)</f>
        <v/>
      </c>
      <c r="D463" s="31" t="str">
        <f aca="false">IF($M463=0,"",OPERATIONS!$B163)</f>
        <v/>
      </c>
      <c r="E463" s="26" t="str">
        <f aca="false">IF($M463=0,"",IF($M463&lt;0,"SORTIE","ENTREE"))</f>
        <v/>
      </c>
      <c r="F463" s="26" t="str">
        <f aca="false">IF($M463=0,"",OPERATIONS!$C163)</f>
        <v/>
      </c>
      <c r="G463" s="26" t="str">
        <f aca="false">IF($M463=0,"",OPERATIONS!$D163)</f>
        <v/>
      </c>
      <c r="H463" s="26" t="str">
        <f aca="false">IF($G463="","",IFERROR(INDEX(LOT_EXTE,MATCH($G463,LOT_KEY,0)),""))</f>
        <v/>
      </c>
      <c r="I463" s="26" t="str">
        <f aca="false">IF($M463=0,"",OPERATIONS!$F163)</f>
        <v/>
      </c>
      <c r="J463" s="26" t="str">
        <f aca="false">IF($I463="","",IFERROR(INDEX(EMPL_CLASSE,MATCH($I463,EMPL_KEY,0)),""))</f>
        <v/>
      </c>
      <c r="K463" s="26" t="str">
        <f aca="false">IF($M463=0,"",OPERATIONS!$K163)</f>
        <v/>
      </c>
      <c r="L463" s="26" t="str">
        <f aca="false">IF($G463="","",IF(IFERROR(INDEX(LOT_ETAT,MATCH($G463,LOT_KEY,0)),"")="","",INDEX(LOT_ETAT,MATCH($G463,LOT_KEY,0))))</f>
        <v/>
      </c>
      <c r="M463" s="73" t="n">
        <f aca="false">IF(OR(OPERATIONS!$O163=0,OPERATIONS!$C163="CONSOMMATION"),0,OPERATIONS!$G163)</f>
        <v>0</v>
      </c>
      <c r="N463" s="73" t="n">
        <f aca="false">IF($M463=0,0,OPERATIONS!$R163*$M463)</f>
        <v>0</v>
      </c>
      <c r="O463" s="26" t="str">
        <f aca="false">IF($M463=0,"",OPERATIONS!$Q163)</f>
        <v/>
      </c>
      <c r="P463" s="26" t="str">
        <f aca="false">IF($G463="","",IF($G463=R_LOT,COUNTIF($G$5:$G463,R_LOT),""))</f>
        <v/>
      </c>
    </row>
    <row r="464" customFormat="false" ht="15" hidden="false" customHeight="false" outlineLevel="0" collapsed="false">
      <c r="A464" s="28" t="str">
        <f aca="false">IF($M464=0,"",ROW()-4)</f>
        <v/>
      </c>
      <c r="B464" s="26" t="str">
        <f aca="false">IF($M464=0,"","OPERATIONS")</f>
        <v/>
      </c>
      <c r="C464" s="26" t="str">
        <f aca="false">IF($M464=0,"",OPERATIONS!$A164)</f>
        <v/>
      </c>
      <c r="D464" s="31" t="str">
        <f aca="false">IF($M464=0,"",OPERATIONS!$B164)</f>
        <v/>
      </c>
      <c r="E464" s="26" t="str">
        <f aca="false">IF($M464=0,"",IF($M464&lt;0,"SORTIE","ENTREE"))</f>
        <v/>
      </c>
      <c r="F464" s="26" t="str">
        <f aca="false">IF($M464=0,"",OPERATIONS!$C164)</f>
        <v/>
      </c>
      <c r="G464" s="26" t="str">
        <f aca="false">IF($M464=0,"",OPERATIONS!$D164)</f>
        <v/>
      </c>
      <c r="H464" s="26" t="str">
        <f aca="false">IF($G464="","",IFERROR(INDEX(LOT_EXTE,MATCH($G464,LOT_KEY,0)),""))</f>
        <v/>
      </c>
      <c r="I464" s="26" t="str">
        <f aca="false">IF($M464=0,"",OPERATIONS!$F164)</f>
        <v/>
      </c>
      <c r="J464" s="26" t="str">
        <f aca="false">IF($I464="","",IFERROR(INDEX(EMPL_CLASSE,MATCH($I464,EMPL_KEY,0)),""))</f>
        <v/>
      </c>
      <c r="K464" s="26" t="str">
        <f aca="false">IF($M464=0,"",OPERATIONS!$K164)</f>
        <v/>
      </c>
      <c r="L464" s="26" t="str">
        <f aca="false">IF($G464="","",IF(IFERROR(INDEX(LOT_ETAT,MATCH($G464,LOT_KEY,0)),"")="","",INDEX(LOT_ETAT,MATCH($G464,LOT_KEY,0))))</f>
        <v/>
      </c>
      <c r="M464" s="73" t="n">
        <f aca="false">IF(OR(OPERATIONS!$O164=0,OPERATIONS!$C164="CONSOMMATION"),0,OPERATIONS!$G164)</f>
        <v>0</v>
      </c>
      <c r="N464" s="73" t="n">
        <f aca="false">IF($M464=0,0,OPERATIONS!$R164*$M464)</f>
        <v>0</v>
      </c>
      <c r="O464" s="26" t="str">
        <f aca="false">IF($M464=0,"",OPERATIONS!$Q164)</f>
        <v/>
      </c>
      <c r="P464" s="26" t="str">
        <f aca="false">IF($G464="","",IF($G464=R_LOT,COUNTIF($G$5:$G464,R_LOT),""))</f>
        <v/>
      </c>
    </row>
    <row r="465" customFormat="false" ht="15" hidden="false" customHeight="false" outlineLevel="0" collapsed="false">
      <c r="A465" s="28" t="str">
        <f aca="false">IF($M465=0,"",ROW()-4)</f>
        <v/>
      </c>
      <c r="B465" s="26" t="str">
        <f aca="false">IF($M465=0,"","OPERATIONS")</f>
        <v/>
      </c>
      <c r="C465" s="26" t="str">
        <f aca="false">IF($M465=0,"",OPERATIONS!$A165)</f>
        <v/>
      </c>
      <c r="D465" s="31" t="str">
        <f aca="false">IF($M465=0,"",OPERATIONS!$B165)</f>
        <v/>
      </c>
      <c r="E465" s="26" t="str">
        <f aca="false">IF($M465=0,"",IF($M465&lt;0,"SORTIE","ENTREE"))</f>
        <v/>
      </c>
      <c r="F465" s="26" t="str">
        <f aca="false">IF($M465=0,"",OPERATIONS!$C165)</f>
        <v/>
      </c>
      <c r="G465" s="26" t="str">
        <f aca="false">IF($M465=0,"",OPERATIONS!$D165)</f>
        <v/>
      </c>
      <c r="H465" s="26" t="str">
        <f aca="false">IF($G465="","",IFERROR(INDEX(LOT_EXTE,MATCH($G465,LOT_KEY,0)),""))</f>
        <v/>
      </c>
      <c r="I465" s="26" t="str">
        <f aca="false">IF($M465=0,"",OPERATIONS!$F165)</f>
        <v/>
      </c>
      <c r="J465" s="26" t="str">
        <f aca="false">IF($I465="","",IFERROR(INDEX(EMPL_CLASSE,MATCH($I465,EMPL_KEY,0)),""))</f>
        <v/>
      </c>
      <c r="K465" s="26" t="str">
        <f aca="false">IF($M465=0,"",OPERATIONS!$K165)</f>
        <v/>
      </c>
      <c r="L465" s="26" t="str">
        <f aca="false">IF($G465="","",IF(IFERROR(INDEX(LOT_ETAT,MATCH($G465,LOT_KEY,0)),"")="","",INDEX(LOT_ETAT,MATCH($G465,LOT_KEY,0))))</f>
        <v/>
      </c>
      <c r="M465" s="73" t="n">
        <f aca="false">IF(OR(OPERATIONS!$O165=0,OPERATIONS!$C165="CONSOMMATION"),0,OPERATIONS!$G165)</f>
        <v>0</v>
      </c>
      <c r="N465" s="73" t="n">
        <f aca="false">IF($M465=0,0,OPERATIONS!$R165*$M465)</f>
        <v>0</v>
      </c>
      <c r="O465" s="26" t="str">
        <f aca="false">IF($M465=0,"",OPERATIONS!$Q165)</f>
        <v/>
      </c>
      <c r="P465" s="26" t="str">
        <f aca="false">IF($G465="","",IF($G465=R_LOT,COUNTIF($G$5:$G465,R_LOT),""))</f>
        <v/>
      </c>
    </row>
    <row r="466" customFormat="false" ht="15" hidden="false" customHeight="false" outlineLevel="0" collapsed="false">
      <c r="A466" s="28" t="str">
        <f aca="false">IF($M466=0,"",ROW()-4)</f>
        <v/>
      </c>
      <c r="B466" s="26" t="str">
        <f aca="false">IF($M466=0,"","OPERATIONS")</f>
        <v/>
      </c>
      <c r="C466" s="26" t="str">
        <f aca="false">IF($M466=0,"",OPERATIONS!$A166)</f>
        <v/>
      </c>
      <c r="D466" s="31" t="str">
        <f aca="false">IF($M466=0,"",OPERATIONS!$B166)</f>
        <v/>
      </c>
      <c r="E466" s="26" t="str">
        <f aca="false">IF($M466=0,"",IF($M466&lt;0,"SORTIE","ENTREE"))</f>
        <v/>
      </c>
      <c r="F466" s="26" t="str">
        <f aca="false">IF($M466=0,"",OPERATIONS!$C166)</f>
        <v/>
      </c>
      <c r="G466" s="26" t="str">
        <f aca="false">IF($M466=0,"",OPERATIONS!$D166)</f>
        <v/>
      </c>
      <c r="H466" s="26" t="str">
        <f aca="false">IF($G466="","",IFERROR(INDEX(LOT_EXTE,MATCH($G466,LOT_KEY,0)),""))</f>
        <v/>
      </c>
      <c r="I466" s="26" t="str">
        <f aca="false">IF($M466=0,"",OPERATIONS!$F166)</f>
        <v/>
      </c>
      <c r="J466" s="26" t="str">
        <f aca="false">IF($I466="","",IFERROR(INDEX(EMPL_CLASSE,MATCH($I466,EMPL_KEY,0)),""))</f>
        <v/>
      </c>
      <c r="K466" s="26" t="str">
        <f aca="false">IF($M466=0,"",OPERATIONS!$K166)</f>
        <v/>
      </c>
      <c r="L466" s="26" t="str">
        <f aca="false">IF($G466="","",IF(IFERROR(INDEX(LOT_ETAT,MATCH($G466,LOT_KEY,0)),"")="","",INDEX(LOT_ETAT,MATCH($G466,LOT_KEY,0))))</f>
        <v/>
      </c>
      <c r="M466" s="73" t="n">
        <f aca="false">IF(OR(OPERATIONS!$O166=0,OPERATIONS!$C166="CONSOMMATION"),0,OPERATIONS!$G166)</f>
        <v>0</v>
      </c>
      <c r="N466" s="73" t="n">
        <f aca="false">IF($M466=0,0,OPERATIONS!$R166*$M466)</f>
        <v>0</v>
      </c>
      <c r="O466" s="26" t="str">
        <f aca="false">IF($M466=0,"",OPERATIONS!$Q166)</f>
        <v/>
      </c>
      <c r="P466" s="26" t="str">
        <f aca="false">IF($G466="","",IF($G466=R_LOT,COUNTIF($G$5:$G466,R_LOT),""))</f>
        <v/>
      </c>
    </row>
    <row r="467" customFormat="false" ht="15" hidden="false" customHeight="false" outlineLevel="0" collapsed="false">
      <c r="A467" s="28" t="str">
        <f aca="false">IF($M467=0,"",ROW()-4)</f>
        <v/>
      </c>
      <c r="B467" s="26" t="str">
        <f aca="false">IF($M467=0,"","OPERATIONS")</f>
        <v/>
      </c>
      <c r="C467" s="26" t="str">
        <f aca="false">IF($M467=0,"",OPERATIONS!$A167)</f>
        <v/>
      </c>
      <c r="D467" s="31" t="str">
        <f aca="false">IF($M467=0,"",OPERATIONS!$B167)</f>
        <v/>
      </c>
      <c r="E467" s="26" t="str">
        <f aca="false">IF($M467=0,"",IF($M467&lt;0,"SORTIE","ENTREE"))</f>
        <v/>
      </c>
      <c r="F467" s="26" t="str">
        <f aca="false">IF($M467=0,"",OPERATIONS!$C167)</f>
        <v/>
      </c>
      <c r="G467" s="26" t="str">
        <f aca="false">IF($M467=0,"",OPERATIONS!$D167)</f>
        <v/>
      </c>
      <c r="H467" s="26" t="str">
        <f aca="false">IF($G467="","",IFERROR(INDEX(LOT_EXTE,MATCH($G467,LOT_KEY,0)),""))</f>
        <v/>
      </c>
      <c r="I467" s="26" t="str">
        <f aca="false">IF($M467=0,"",OPERATIONS!$F167)</f>
        <v/>
      </c>
      <c r="J467" s="26" t="str">
        <f aca="false">IF($I467="","",IFERROR(INDEX(EMPL_CLASSE,MATCH($I467,EMPL_KEY,0)),""))</f>
        <v/>
      </c>
      <c r="K467" s="26" t="str">
        <f aca="false">IF($M467=0,"",OPERATIONS!$K167)</f>
        <v/>
      </c>
      <c r="L467" s="26" t="str">
        <f aca="false">IF($G467="","",IF(IFERROR(INDEX(LOT_ETAT,MATCH($G467,LOT_KEY,0)),"")="","",INDEX(LOT_ETAT,MATCH($G467,LOT_KEY,0))))</f>
        <v/>
      </c>
      <c r="M467" s="73" t="n">
        <f aca="false">IF(OR(OPERATIONS!$O167=0,OPERATIONS!$C167="CONSOMMATION"),0,OPERATIONS!$G167)</f>
        <v>0</v>
      </c>
      <c r="N467" s="73" t="n">
        <f aca="false">IF($M467=0,0,OPERATIONS!$R167*$M467)</f>
        <v>0</v>
      </c>
      <c r="O467" s="26" t="str">
        <f aca="false">IF($M467=0,"",OPERATIONS!$Q167)</f>
        <v/>
      </c>
      <c r="P467" s="26" t="str">
        <f aca="false">IF($G467="","",IF($G467=R_LOT,COUNTIF($G$5:$G467,R_LOT),""))</f>
        <v/>
      </c>
    </row>
    <row r="468" customFormat="false" ht="15" hidden="false" customHeight="false" outlineLevel="0" collapsed="false">
      <c r="A468" s="28" t="str">
        <f aca="false">IF($M468=0,"",ROW()-4)</f>
        <v/>
      </c>
      <c r="B468" s="26" t="str">
        <f aca="false">IF($M468=0,"","OPERATIONS")</f>
        <v/>
      </c>
      <c r="C468" s="26" t="str">
        <f aca="false">IF($M468=0,"",OPERATIONS!$A168)</f>
        <v/>
      </c>
      <c r="D468" s="31" t="str">
        <f aca="false">IF($M468=0,"",OPERATIONS!$B168)</f>
        <v/>
      </c>
      <c r="E468" s="26" t="str">
        <f aca="false">IF($M468=0,"",IF($M468&lt;0,"SORTIE","ENTREE"))</f>
        <v/>
      </c>
      <c r="F468" s="26" t="str">
        <f aca="false">IF($M468=0,"",OPERATIONS!$C168)</f>
        <v/>
      </c>
      <c r="G468" s="26" t="str">
        <f aca="false">IF($M468=0,"",OPERATIONS!$D168)</f>
        <v/>
      </c>
      <c r="H468" s="26" t="str">
        <f aca="false">IF($G468="","",IFERROR(INDEX(LOT_EXTE,MATCH($G468,LOT_KEY,0)),""))</f>
        <v/>
      </c>
      <c r="I468" s="26" t="str">
        <f aca="false">IF($M468=0,"",OPERATIONS!$F168)</f>
        <v/>
      </c>
      <c r="J468" s="26" t="str">
        <f aca="false">IF($I468="","",IFERROR(INDEX(EMPL_CLASSE,MATCH($I468,EMPL_KEY,0)),""))</f>
        <v/>
      </c>
      <c r="K468" s="26" t="str">
        <f aca="false">IF($M468=0,"",OPERATIONS!$K168)</f>
        <v/>
      </c>
      <c r="L468" s="26" t="str">
        <f aca="false">IF($G468="","",IF(IFERROR(INDEX(LOT_ETAT,MATCH($G468,LOT_KEY,0)),"")="","",INDEX(LOT_ETAT,MATCH($G468,LOT_KEY,0))))</f>
        <v/>
      </c>
      <c r="M468" s="73" t="n">
        <f aca="false">IF(OR(OPERATIONS!$O168=0,OPERATIONS!$C168="CONSOMMATION"),0,OPERATIONS!$G168)</f>
        <v>0</v>
      </c>
      <c r="N468" s="73" t="n">
        <f aca="false">IF($M468=0,0,OPERATIONS!$R168*$M468)</f>
        <v>0</v>
      </c>
      <c r="O468" s="26" t="str">
        <f aca="false">IF($M468=0,"",OPERATIONS!$Q168)</f>
        <v/>
      </c>
      <c r="P468" s="26" t="str">
        <f aca="false">IF($G468="","",IF($G468=R_LOT,COUNTIF($G$5:$G468,R_LOT),""))</f>
        <v/>
      </c>
    </row>
    <row r="469" customFormat="false" ht="15" hidden="false" customHeight="false" outlineLevel="0" collapsed="false">
      <c r="A469" s="28" t="str">
        <f aca="false">IF($M469=0,"",ROW()-4)</f>
        <v/>
      </c>
      <c r="B469" s="26" t="str">
        <f aca="false">IF($M469=0,"","OPERATIONS")</f>
        <v/>
      </c>
      <c r="C469" s="26" t="str">
        <f aca="false">IF($M469=0,"",OPERATIONS!$A169)</f>
        <v/>
      </c>
      <c r="D469" s="31" t="str">
        <f aca="false">IF($M469=0,"",OPERATIONS!$B169)</f>
        <v/>
      </c>
      <c r="E469" s="26" t="str">
        <f aca="false">IF($M469=0,"",IF($M469&lt;0,"SORTIE","ENTREE"))</f>
        <v/>
      </c>
      <c r="F469" s="26" t="str">
        <f aca="false">IF($M469=0,"",OPERATIONS!$C169)</f>
        <v/>
      </c>
      <c r="G469" s="26" t="str">
        <f aca="false">IF($M469=0,"",OPERATIONS!$D169)</f>
        <v/>
      </c>
      <c r="H469" s="26" t="str">
        <f aca="false">IF($G469="","",IFERROR(INDEX(LOT_EXTE,MATCH($G469,LOT_KEY,0)),""))</f>
        <v/>
      </c>
      <c r="I469" s="26" t="str">
        <f aca="false">IF($M469=0,"",OPERATIONS!$F169)</f>
        <v/>
      </c>
      <c r="J469" s="26" t="str">
        <f aca="false">IF($I469="","",IFERROR(INDEX(EMPL_CLASSE,MATCH($I469,EMPL_KEY,0)),""))</f>
        <v/>
      </c>
      <c r="K469" s="26" t="str">
        <f aca="false">IF($M469=0,"",OPERATIONS!$K169)</f>
        <v/>
      </c>
      <c r="L469" s="26" t="str">
        <f aca="false">IF($G469="","",IF(IFERROR(INDEX(LOT_ETAT,MATCH($G469,LOT_KEY,0)),"")="","",INDEX(LOT_ETAT,MATCH($G469,LOT_KEY,0))))</f>
        <v/>
      </c>
      <c r="M469" s="73" t="n">
        <f aca="false">IF(OR(OPERATIONS!$O169=0,OPERATIONS!$C169="CONSOMMATION"),0,OPERATIONS!$G169)</f>
        <v>0</v>
      </c>
      <c r="N469" s="73" t="n">
        <f aca="false">IF($M469=0,0,OPERATIONS!$R169*$M469)</f>
        <v>0</v>
      </c>
      <c r="O469" s="26" t="str">
        <f aca="false">IF($M469=0,"",OPERATIONS!$Q169)</f>
        <v/>
      </c>
      <c r="P469" s="26" t="str">
        <f aca="false">IF($G469="","",IF($G469=R_LOT,COUNTIF($G$5:$G469,R_LOT),""))</f>
        <v/>
      </c>
    </row>
    <row r="470" customFormat="false" ht="15" hidden="false" customHeight="false" outlineLevel="0" collapsed="false">
      <c r="A470" s="28" t="str">
        <f aca="false">IF($M470=0,"",ROW()-4)</f>
        <v/>
      </c>
      <c r="B470" s="26" t="str">
        <f aca="false">IF($M470=0,"","OPERATIONS")</f>
        <v/>
      </c>
      <c r="C470" s="26" t="str">
        <f aca="false">IF($M470=0,"",OPERATIONS!$A170)</f>
        <v/>
      </c>
      <c r="D470" s="31" t="str">
        <f aca="false">IF($M470=0,"",OPERATIONS!$B170)</f>
        <v/>
      </c>
      <c r="E470" s="26" t="str">
        <f aca="false">IF($M470=0,"",IF($M470&lt;0,"SORTIE","ENTREE"))</f>
        <v/>
      </c>
      <c r="F470" s="26" t="str">
        <f aca="false">IF($M470=0,"",OPERATIONS!$C170)</f>
        <v/>
      </c>
      <c r="G470" s="26" t="str">
        <f aca="false">IF($M470=0,"",OPERATIONS!$D170)</f>
        <v/>
      </c>
      <c r="H470" s="26" t="str">
        <f aca="false">IF($G470="","",IFERROR(INDEX(LOT_EXTE,MATCH($G470,LOT_KEY,0)),""))</f>
        <v/>
      </c>
      <c r="I470" s="26" t="str">
        <f aca="false">IF($M470=0,"",OPERATIONS!$F170)</f>
        <v/>
      </c>
      <c r="J470" s="26" t="str">
        <f aca="false">IF($I470="","",IFERROR(INDEX(EMPL_CLASSE,MATCH($I470,EMPL_KEY,0)),""))</f>
        <v/>
      </c>
      <c r="K470" s="26" t="str">
        <f aca="false">IF($M470=0,"",OPERATIONS!$K170)</f>
        <v/>
      </c>
      <c r="L470" s="26" t="str">
        <f aca="false">IF($G470="","",IF(IFERROR(INDEX(LOT_ETAT,MATCH($G470,LOT_KEY,0)),"")="","",INDEX(LOT_ETAT,MATCH($G470,LOT_KEY,0))))</f>
        <v/>
      </c>
      <c r="M470" s="73" t="n">
        <f aca="false">IF(OR(OPERATIONS!$O170=0,OPERATIONS!$C170="CONSOMMATION"),0,OPERATIONS!$G170)</f>
        <v>0</v>
      </c>
      <c r="N470" s="73" t="n">
        <f aca="false">IF($M470=0,0,OPERATIONS!$R170*$M470)</f>
        <v>0</v>
      </c>
      <c r="O470" s="26" t="str">
        <f aca="false">IF($M470=0,"",OPERATIONS!$Q170)</f>
        <v/>
      </c>
      <c r="P470" s="26" t="str">
        <f aca="false">IF($G470="","",IF($G470=R_LOT,COUNTIF($G$5:$G470,R_LOT),""))</f>
        <v/>
      </c>
    </row>
    <row r="471" customFormat="false" ht="15" hidden="false" customHeight="false" outlineLevel="0" collapsed="false">
      <c r="A471" s="28" t="str">
        <f aca="false">IF($M471=0,"",ROW()-4)</f>
        <v/>
      </c>
      <c r="B471" s="26" t="str">
        <f aca="false">IF($M471=0,"","OPERATIONS")</f>
        <v/>
      </c>
      <c r="C471" s="26" t="str">
        <f aca="false">IF($M471=0,"",OPERATIONS!$A171)</f>
        <v/>
      </c>
      <c r="D471" s="31" t="str">
        <f aca="false">IF($M471=0,"",OPERATIONS!$B171)</f>
        <v/>
      </c>
      <c r="E471" s="26" t="str">
        <f aca="false">IF($M471=0,"",IF($M471&lt;0,"SORTIE","ENTREE"))</f>
        <v/>
      </c>
      <c r="F471" s="26" t="str">
        <f aca="false">IF($M471=0,"",OPERATIONS!$C171)</f>
        <v/>
      </c>
      <c r="G471" s="26" t="str">
        <f aca="false">IF($M471=0,"",OPERATIONS!$D171)</f>
        <v/>
      </c>
      <c r="H471" s="26" t="str">
        <f aca="false">IF($G471="","",IFERROR(INDEX(LOT_EXTE,MATCH($G471,LOT_KEY,0)),""))</f>
        <v/>
      </c>
      <c r="I471" s="26" t="str">
        <f aca="false">IF($M471=0,"",OPERATIONS!$F171)</f>
        <v/>
      </c>
      <c r="J471" s="26" t="str">
        <f aca="false">IF($I471="","",IFERROR(INDEX(EMPL_CLASSE,MATCH($I471,EMPL_KEY,0)),""))</f>
        <v/>
      </c>
      <c r="K471" s="26" t="str">
        <f aca="false">IF($M471=0,"",OPERATIONS!$K171)</f>
        <v/>
      </c>
      <c r="L471" s="26" t="str">
        <f aca="false">IF($G471="","",IF(IFERROR(INDEX(LOT_ETAT,MATCH($G471,LOT_KEY,0)),"")="","",INDEX(LOT_ETAT,MATCH($G471,LOT_KEY,0))))</f>
        <v/>
      </c>
      <c r="M471" s="73" t="n">
        <f aca="false">IF(OR(OPERATIONS!$O171=0,OPERATIONS!$C171="CONSOMMATION"),0,OPERATIONS!$G171)</f>
        <v>0</v>
      </c>
      <c r="N471" s="73" t="n">
        <f aca="false">IF($M471=0,0,OPERATIONS!$R171*$M471)</f>
        <v>0</v>
      </c>
      <c r="O471" s="26" t="str">
        <f aca="false">IF($M471=0,"",OPERATIONS!$Q171)</f>
        <v/>
      </c>
      <c r="P471" s="26" t="str">
        <f aca="false">IF($G471="","",IF($G471=R_LOT,COUNTIF($G$5:$G471,R_LOT),""))</f>
        <v/>
      </c>
    </row>
    <row r="472" customFormat="false" ht="15" hidden="false" customHeight="false" outlineLevel="0" collapsed="false">
      <c r="A472" s="28" t="str">
        <f aca="false">IF($M472=0,"",ROW()-4)</f>
        <v/>
      </c>
      <c r="B472" s="26" t="str">
        <f aca="false">IF($M472=0,"","OPERATIONS")</f>
        <v/>
      </c>
      <c r="C472" s="26" t="str">
        <f aca="false">IF($M472=0,"",OPERATIONS!$A172)</f>
        <v/>
      </c>
      <c r="D472" s="31" t="str">
        <f aca="false">IF($M472=0,"",OPERATIONS!$B172)</f>
        <v/>
      </c>
      <c r="E472" s="26" t="str">
        <f aca="false">IF($M472=0,"",IF($M472&lt;0,"SORTIE","ENTREE"))</f>
        <v/>
      </c>
      <c r="F472" s="26" t="str">
        <f aca="false">IF($M472=0,"",OPERATIONS!$C172)</f>
        <v/>
      </c>
      <c r="G472" s="26" t="str">
        <f aca="false">IF($M472=0,"",OPERATIONS!$D172)</f>
        <v/>
      </c>
      <c r="H472" s="26" t="str">
        <f aca="false">IF($G472="","",IFERROR(INDEX(LOT_EXTE,MATCH($G472,LOT_KEY,0)),""))</f>
        <v/>
      </c>
      <c r="I472" s="26" t="str">
        <f aca="false">IF($M472=0,"",OPERATIONS!$F172)</f>
        <v/>
      </c>
      <c r="J472" s="26" t="str">
        <f aca="false">IF($I472="","",IFERROR(INDEX(EMPL_CLASSE,MATCH($I472,EMPL_KEY,0)),""))</f>
        <v/>
      </c>
      <c r="K472" s="26" t="str">
        <f aca="false">IF($M472=0,"",OPERATIONS!$K172)</f>
        <v/>
      </c>
      <c r="L472" s="26" t="str">
        <f aca="false">IF($G472="","",IF(IFERROR(INDEX(LOT_ETAT,MATCH($G472,LOT_KEY,0)),"")="","",INDEX(LOT_ETAT,MATCH($G472,LOT_KEY,0))))</f>
        <v/>
      </c>
      <c r="M472" s="73" t="n">
        <f aca="false">IF(OR(OPERATIONS!$O172=0,OPERATIONS!$C172="CONSOMMATION"),0,OPERATIONS!$G172)</f>
        <v>0</v>
      </c>
      <c r="N472" s="73" t="n">
        <f aca="false">IF($M472=0,0,OPERATIONS!$R172*$M472)</f>
        <v>0</v>
      </c>
      <c r="O472" s="26" t="str">
        <f aca="false">IF($M472=0,"",OPERATIONS!$Q172)</f>
        <v/>
      </c>
      <c r="P472" s="26" t="str">
        <f aca="false">IF($G472="","",IF($G472=R_LOT,COUNTIF($G$5:$G472,R_LOT),""))</f>
        <v/>
      </c>
    </row>
    <row r="473" customFormat="false" ht="15" hidden="false" customHeight="false" outlineLevel="0" collapsed="false">
      <c r="A473" s="28" t="str">
        <f aca="false">IF($M473=0,"",ROW()-4)</f>
        <v/>
      </c>
      <c r="B473" s="26" t="str">
        <f aca="false">IF($M473=0,"","OPERATIONS")</f>
        <v/>
      </c>
      <c r="C473" s="26" t="str">
        <f aca="false">IF($M473=0,"",OPERATIONS!$A173)</f>
        <v/>
      </c>
      <c r="D473" s="31" t="str">
        <f aca="false">IF($M473=0,"",OPERATIONS!$B173)</f>
        <v/>
      </c>
      <c r="E473" s="26" t="str">
        <f aca="false">IF($M473=0,"",IF($M473&lt;0,"SORTIE","ENTREE"))</f>
        <v/>
      </c>
      <c r="F473" s="26" t="str">
        <f aca="false">IF($M473=0,"",OPERATIONS!$C173)</f>
        <v/>
      </c>
      <c r="G473" s="26" t="str">
        <f aca="false">IF($M473=0,"",OPERATIONS!$D173)</f>
        <v/>
      </c>
      <c r="H473" s="26" t="str">
        <f aca="false">IF($G473="","",IFERROR(INDEX(LOT_EXTE,MATCH($G473,LOT_KEY,0)),""))</f>
        <v/>
      </c>
      <c r="I473" s="26" t="str">
        <f aca="false">IF($M473=0,"",OPERATIONS!$F173)</f>
        <v/>
      </c>
      <c r="J473" s="26" t="str">
        <f aca="false">IF($I473="","",IFERROR(INDEX(EMPL_CLASSE,MATCH($I473,EMPL_KEY,0)),""))</f>
        <v/>
      </c>
      <c r="K473" s="26" t="str">
        <f aca="false">IF($M473=0,"",OPERATIONS!$K173)</f>
        <v/>
      </c>
      <c r="L473" s="26" t="str">
        <f aca="false">IF($G473="","",IF(IFERROR(INDEX(LOT_ETAT,MATCH($G473,LOT_KEY,0)),"")="","",INDEX(LOT_ETAT,MATCH($G473,LOT_KEY,0))))</f>
        <v/>
      </c>
      <c r="M473" s="73" t="n">
        <f aca="false">IF(OR(OPERATIONS!$O173=0,OPERATIONS!$C173="CONSOMMATION"),0,OPERATIONS!$G173)</f>
        <v>0</v>
      </c>
      <c r="N473" s="73" t="n">
        <f aca="false">IF($M473=0,0,OPERATIONS!$R173*$M473)</f>
        <v>0</v>
      </c>
      <c r="O473" s="26" t="str">
        <f aca="false">IF($M473=0,"",OPERATIONS!$Q173)</f>
        <v/>
      </c>
      <c r="P473" s="26" t="str">
        <f aca="false">IF($G473="","",IF($G473=R_LOT,COUNTIF($G$5:$G473,R_LOT),""))</f>
        <v/>
      </c>
    </row>
    <row r="474" customFormat="false" ht="15" hidden="false" customHeight="false" outlineLevel="0" collapsed="false">
      <c r="A474" s="28" t="str">
        <f aca="false">IF($M474=0,"",ROW()-4)</f>
        <v/>
      </c>
      <c r="B474" s="26" t="str">
        <f aca="false">IF($M474=0,"","OPERATIONS")</f>
        <v/>
      </c>
      <c r="C474" s="26" t="str">
        <f aca="false">IF($M474=0,"",OPERATIONS!$A174)</f>
        <v/>
      </c>
      <c r="D474" s="31" t="str">
        <f aca="false">IF($M474=0,"",OPERATIONS!$B174)</f>
        <v/>
      </c>
      <c r="E474" s="26" t="str">
        <f aca="false">IF($M474=0,"",IF($M474&lt;0,"SORTIE","ENTREE"))</f>
        <v/>
      </c>
      <c r="F474" s="26" t="str">
        <f aca="false">IF($M474=0,"",OPERATIONS!$C174)</f>
        <v/>
      </c>
      <c r="G474" s="26" t="str">
        <f aca="false">IF($M474=0,"",OPERATIONS!$D174)</f>
        <v/>
      </c>
      <c r="H474" s="26" t="str">
        <f aca="false">IF($G474="","",IFERROR(INDEX(LOT_EXTE,MATCH($G474,LOT_KEY,0)),""))</f>
        <v/>
      </c>
      <c r="I474" s="26" t="str">
        <f aca="false">IF($M474=0,"",OPERATIONS!$F174)</f>
        <v/>
      </c>
      <c r="J474" s="26" t="str">
        <f aca="false">IF($I474="","",IFERROR(INDEX(EMPL_CLASSE,MATCH($I474,EMPL_KEY,0)),""))</f>
        <v/>
      </c>
      <c r="K474" s="26" t="str">
        <f aca="false">IF($M474=0,"",OPERATIONS!$K174)</f>
        <v/>
      </c>
      <c r="L474" s="26" t="str">
        <f aca="false">IF($G474="","",IF(IFERROR(INDEX(LOT_ETAT,MATCH($G474,LOT_KEY,0)),"")="","",INDEX(LOT_ETAT,MATCH($G474,LOT_KEY,0))))</f>
        <v/>
      </c>
      <c r="M474" s="73" t="n">
        <f aca="false">IF(OR(OPERATIONS!$O174=0,OPERATIONS!$C174="CONSOMMATION"),0,OPERATIONS!$G174)</f>
        <v>0</v>
      </c>
      <c r="N474" s="73" t="n">
        <f aca="false">IF($M474=0,0,OPERATIONS!$R174*$M474)</f>
        <v>0</v>
      </c>
      <c r="O474" s="26" t="str">
        <f aca="false">IF($M474=0,"",OPERATIONS!$Q174)</f>
        <v/>
      </c>
      <c r="P474" s="26" t="str">
        <f aca="false">IF($G474="","",IF($G474=R_LOT,COUNTIF($G$5:$G474,R_LOT),""))</f>
        <v/>
      </c>
    </row>
    <row r="475" customFormat="false" ht="15" hidden="false" customHeight="false" outlineLevel="0" collapsed="false">
      <c r="A475" s="28" t="str">
        <f aca="false">IF($M475=0,"",ROW()-4)</f>
        <v/>
      </c>
      <c r="B475" s="26" t="str">
        <f aca="false">IF($M475=0,"","OPERATIONS")</f>
        <v/>
      </c>
      <c r="C475" s="26" t="str">
        <f aca="false">IF($M475=0,"",OPERATIONS!$A175)</f>
        <v/>
      </c>
      <c r="D475" s="31" t="str">
        <f aca="false">IF($M475=0,"",OPERATIONS!$B175)</f>
        <v/>
      </c>
      <c r="E475" s="26" t="str">
        <f aca="false">IF($M475=0,"",IF($M475&lt;0,"SORTIE","ENTREE"))</f>
        <v/>
      </c>
      <c r="F475" s="26" t="str">
        <f aca="false">IF($M475=0,"",OPERATIONS!$C175)</f>
        <v/>
      </c>
      <c r="G475" s="26" t="str">
        <f aca="false">IF($M475=0,"",OPERATIONS!$D175)</f>
        <v/>
      </c>
      <c r="H475" s="26" t="str">
        <f aca="false">IF($G475="","",IFERROR(INDEX(LOT_EXTE,MATCH($G475,LOT_KEY,0)),""))</f>
        <v/>
      </c>
      <c r="I475" s="26" t="str">
        <f aca="false">IF($M475=0,"",OPERATIONS!$F175)</f>
        <v/>
      </c>
      <c r="J475" s="26" t="str">
        <f aca="false">IF($I475="","",IFERROR(INDEX(EMPL_CLASSE,MATCH($I475,EMPL_KEY,0)),""))</f>
        <v/>
      </c>
      <c r="K475" s="26" t="str">
        <f aca="false">IF($M475=0,"",OPERATIONS!$K175)</f>
        <v/>
      </c>
      <c r="L475" s="26" t="str">
        <f aca="false">IF($G475="","",IF(IFERROR(INDEX(LOT_ETAT,MATCH($G475,LOT_KEY,0)),"")="","",INDEX(LOT_ETAT,MATCH($G475,LOT_KEY,0))))</f>
        <v/>
      </c>
      <c r="M475" s="73" t="n">
        <f aca="false">IF(OR(OPERATIONS!$O175=0,OPERATIONS!$C175="CONSOMMATION"),0,OPERATIONS!$G175)</f>
        <v>0</v>
      </c>
      <c r="N475" s="73" t="n">
        <f aca="false">IF($M475=0,0,OPERATIONS!$R175*$M475)</f>
        <v>0</v>
      </c>
      <c r="O475" s="26" t="str">
        <f aca="false">IF($M475=0,"",OPERATIONS!$Q175)</f>
        <v/>
      </c>
      <c r="P475" s="26" t="str">
        <f aca="false">IF($G475="","",IF($G475=R_LOT,COUNTIF($G$5:$G475,R_LOT),""))</f>
        <v/>
      </c>
    </row>
    <row r="476" customFormat="false" ht="15" hidden="false" customHeight="false" outlineLevel="0" collapsed="false">
      <c r="A476" s="28" t="str">
        <f aca="false">IF($M476=0,"",ROW()-4)</f>
        <v/>
      </c>
      <c r="B476" s="26" t="str">
        <f aca="false">IF($M476=0,"","OPERATIONS")</f>
        <v/>
      </c>
      <c r="C476" s="26" t="str">
        <f aca="false">IF($M476=0,"",OPERATIONS!$A176)</f>
        <v/>
      </c>
      <c r="D476" s="31" t="str">
        <f aca="false">IF($M476=0,"",OPERATIONS!$B176)</f>
        <v/>
      </c>
      <c r="E476" s="26" t="str">
        <f aca="false">IF($M476=0,"",IF($M476&lt;0,"SORTIE","ENTREE"))</f>
        <v/>
      </c>
      <c r="F476" s="26" t="str">
        <f aca="false">IF($M476=0,"",OPERATIONS!$C176)</f>
        <v/>
      </c>
      <c r="G476" s="26" t="str">
        <f aca="false">IF($M476=0,"",OPERATIONS!$D176)</f>
        <v/>
      </c>
      <c r="H476" s="26" t="str">
        <f aca="false">IF($G476="","",IFERROR(INDEX(LOT_EXTE,MATCH($G476,LOT_KEY,0)),""))</f>
        <v/>
      </c>
      <c r="I476" s="26" t="str">
        <f aca="false">IF($M476=0,"",OPERATIONS!$F176)</f>
        <v/>
      </c>
      <c r="J476" s="26" t="str">
        <f aca="false">IF($I476="","",IFERROR(INDEX(EMPL_CLASSE,MATCH($I476,EMPL_KEY,0)),""))</f>
        <v/>
      </c>
      <c r="K476" s="26" t="str">
        <f aca="false">IF($M476=0,"",OPERATIONS!$K176)</f>
        <v/>
      </c>
      <c r="L476" s="26" t="str">
        <f aca="false">IF($G476="","",IF(IFERROR(INDEX(LOT_ETAT,MATCH($G476,LOT_KEY,0)),"")="","",INDEX(LOT_ETAT,MATCH($G476,LOT_KEY,0))))</f>
        <v/>
      </c>
      <c r="M476" s="73" t="n">
        <f aca="false">IF(OR(OPERATIONS!$O176=0,OPERATIONS!$C176="CONSOMMATION"),0,OPERATIONS!$G176)</f>
        <v>0</v>
      </c>
      <c r="N476" s="73" t="n">
        <f aca="false">IF($M476=0,0,OPERATIONS!$R176*$M476)</f>
        <v>0</v>
      </c>
      <c r="O476" s="26" t="str">
        <f aca="false">IF($M476=0,"",OPERATIONS!$Q176)</f>
        <v/>
      </c>
      <c r="P476" s="26" t="str">
        <f aca="false">IF($G476="","",IF($G476=R_LOT,COUNTIF($G$5:$G476,R_LOT),""))</f>
        <v/>
      </c>
    </row>
    <row r="477" customFormat="false" ht="15" hidden="false" customHeight="false" outlineLevel="0" collapsed="false">
      <c r="A477" s="28" t="str">
        <f aca="false">IF($M477=0,"",ROW()-4)</f>
        <v/>
      </c>
      <c r="B477" s="26" t="str">
        <f aca="false">IF($M477=0,"","OPERATIONS")</f>
        <v/>
      </c>
      <c r="C477" s="26" t="str">
        <f aca="false">IF($M477=0,"",OPERATIONS!$A177)</f>
        <v/>
      </c>
      <c r="D477" s="31" t="str">
        <f aca="false">IF($M477=0,"",OPERATIONS!$B177)</f>
        <v/>
      </c>
      <c r="E477" s="26" t="str">
        <f aca="false">IF($M477=0,"",IF($M477&lt;0,"SORTIE","ENTREE"))</f>
        <v/>
      </c>
      <c r="F477" s="26" t="str">
        <f aca="false">IF($M477=0,"",OPERATIONS!$C177)</f>
        <v/>
      </c>
      <c r="G477" s="26" t="str">
        <f aca="false">IF($M477=0,"",OPERATIONS!$D177)</f>
        <v/>
      </c>
      <c r="H477" s="26" t="str">
        <f aca="false">IF($G477="","",IFERROR(INDEX(LOT_EXTE,MATCH($G477,LOT_KEY,0)),""))</f>
        <v/>
      </c>
      <c r="I477" s="26" t="str">
        <f aca="false">IF($M477=0,"",OPERATIONS!$F177)</f>
        <v/>
      </c>
      <c r="J477" s="26" t="str">
        <f aca="false">IF($I477="","",IFERROR(INDEX(EMPL_CLASSE,MATCH($I477,EMPL_KEY,0)),""))</f>
        <v/>
      </c>
      <c r="K477" s="26" t="str">
        <f aca="false">IF($M477=0,"",OPERATIONS!$K177)</f>
        <v/>
      </c>
      <c r="L477" s="26" t="str">
        <f aca="false">IF($G477="","",IF(IFERROR(INDEX(LOT_ETAT,MATCH($G477,LOT_KEY,0)),"")="","",INDEX(LOT_ETAT,MATCH($G477,LOT_KEY,0))))</f>
        <v/>
      </c>
      <c r="M477" s="73" t="n">
        <f aca="false">IF(OR(OPERATIONS!$O177=0,OPERATIONS!$C177="CONSOMMATION"),0,OPERATIONS!$G177)</f>
        <v>0</v>
      </c>
      <c r="N477" s="73" t="n">
        <f aca="false">IF($M477=0,0,OPERATIONS!$R177*$M477)</f>
        <v>0</v>
      </c>
      <c r="O477" s="26" t="str">
        <f aca="false">IF($M477=0,"",OPERATIONS!$Q177)</f>
        <v/>
      </c>
      <c r="P477" s="26" t="str">
        <f aca="false">IF($G477="","",IF($G477=R_LOT,COUNTIF($G$5:$G477,R_LOT),""))</f>
        <v/>
      </c>
    </row>
    <row r="478" customFormat="false" ht="15" hidden="false" customHeight="false" outlineLevel="0" collapsed="false">
      <c r="A478" s="28" t="str">
        <f aca="false">IF($M478=0,"",ROW()-4)</f>
        <v/>
      </c>
      <c r="B478" s="26" t="str">
        <f aca="false">IF($M478=0,"","OPERATIONS")</f>
        <v/>
      </c>
      <c r="C478" s="26" t="str">
        <f aca="false">IF($M478=0,"",OPERATIONS!$A178)</f>
        <v/>
      </c>
      <c r="D478" s="31" t="str">
        <f aca="false">IF($M478=0,"",OPERATIONS!$B178)</f>
        <v/>
      </c>
      <c r="E478" s="26" t="str">
        <f aca="false">IF($M478=0,"",IF($M478&lt;0,"SORTIE","ENTREE"))</f>
        <v/>
      </c>
      <c r="F478" s="26" t="str">
        <f aca="false">IF($M478=0,"",OPERATIONS!$C178)</f>
        <v/>
      </c>
      <c r="G478" s="26" t="str">
        <f aca="false">IF($M478=0,"",OPERATIONS!$D178)</f>
        <v/>
      </c>
      <c r="H478" s="26" t="str">
        <f aca="false">IF($G478="","",IFERROR(INDEX(LOT_EXTE,MATCH($G478,LOT_KEY,0)),""))</f>
        <v/>
      </c>
      <c r="I478" s="26" t="str">
        <f aca="false">IF($M478=0,"",OPERATIONS!$F178)</f>
        <v/>
      </c>
      <c r="J478" s="26" t="str">
        <f aca="false">IF($I478="","",IFERROR(INDEX(EMPL_CLASSE,MATCH($I478,EMPL_KEY,0)),""))</f>
        <v/>
      </c>
      <c r="K478" s="26" t="str">
        <f aca="false">IF($M478=0,"",OPERATIONS!$K178)</f>
        <v/>
      </c>
      <c r="L478" s="26" t="str">
        <f aca="false">IF($G478="","",IF(IFERROR(INDEX(LOT_ETAT,MATCH($G478,LOT_KEY,0)),"")="","",INDEX(LOT_ETAT,MATCH($G478,LOT_KEY,0))))</f>
        <v/>
      </c>
      <c r="M478" s="73" t="n">
        <f aca="false">IF(OR(OPERATIONS!$O178=0,OPERATIONS!$C178="CONSOMMATION"),0,OPERATIONS!$G178)</f>
        <v>0</v>
      </c>
      <c r="N478" s="73" t="n">
        <f aca="false">IF($M478=0,0,OPERATIONS!$R178*$M478)</f>
        <v>0</v>
      </c>
      <c r="O478" s="26" t="str">
        <f aca="false">IF($M478=0,"",OPERATIONS!$Q178)</f>
        <v/>
      </c>
      <c r="P478" s="26" t="str">
        <f aca="false">IF($G478="","",IF($G478=R_LOT,COUNTIF($G$5:$G478,R_LOT),""))</f>
        <v/>
      </c>
    </row>
    <row r="479" customFormat="false" ht="15" hidden="false" customHeight="false" outlineLevel="0" collapsed="false">
      <c r="A479" s="28" t="str">
        <f aca="false">IF($M479=0,"",ROW()-4)</f>
        <v/>
      </c>
      <c r="B479" s="26" t="str">
        <f aca="false">IF($M479=0,"","OPERATIONS")</f>
        <v/>
      </c>
      <c r="C479" s="26" t="str">
        <f aca="false">IF($M479=0,"",OPERATIONS!$A179)</f>
        <v/>
      </c>
      <c r="D479" s="31" t="str">
        <f aca="false">IF($M479=0,"",OPERATIONS!$B179)</f>
        <v/>
      </c>
      <c r="E479" s="26" t="str">
        <f aca="false">IF($M479=0,"",IF($M479&lt;0,"SORTIE","ENTREE"))</f>
        <v/>
      </c>
      <c r="F479" s="26" t="str">
        <f aca="false">IF($M479=0,"",OPERATIONS!$C179)</f>
        <v/>
      </c>
      <c r="G479" s="26" t="str">
        <f aca="false">IF($M479=0,"",OPERATIONS!$D179)</f>
        <v/>
      </c>
      <c r="H479" s="26" t="str">
        <f aca="false">IF($G479="","",IFERROR(INDEX(LOT_EXTE,MATCH($G479,LOT_KEY,0)),""))</f>
        <v/>
      </c>
      <c r="I479" s="26" t="str">
        <f aca="false">IF($M479=0,"",OPERATIONS!$F179)</f>
        <v/>
      </c>
      <c r="J479" s="26" t="str">
        <f aca="false">IF($I479="","",IFERROR(INDEX(EMPL_CLASSE,MATCH($I479,EMPL_KEY,0)),""))</f>
        <v/>
      </c>
      <c r="K479" s="26" t="str">
        <f aca="false">IF($M479=0,"",OPERATIONS!$K179)</f>
        <v/>
      </c>
      <c r="L479" s="26" t="str">
        <f aca="false">IF($G479="","",IF(IFERROR(INDEX(LOT_ETAT,MATCH($G479,LOT_KEY,0)),"")="","",INDEX(LOT_ETAT,MATCH($G479,LOT_KEY,0))))</f>
        <v/>
      </c>
      <c r="M479" s="73" t="n">
        <f aca="false">IF(OR(OPERATIONS!$O179=0,OPERATIONS!$C179="CONSOMMATION"),0,OPERATIONS!$G179)</f>
        <v>0</v>
      </c>
      <c r="N479" s="73" t="n">
        <f aca="false">IF($M479=0,0,OPERATIONS!$R179*$M479)</f>
        <v>0</v>
      </c>
      <c r="O479" s="26" t="str">
        <f aca="false">IF($M479=0,"",OPERATIONS!$Q179)</f>
        <v/>
      </c>
      <c r="P479" s="26" t="str">
        <f aca="false">IF($G479="","",IF($G479=R_LOT,COUNTIF($G$5:$G479,R_LOT),""))</f>
        <v/>
      </c>
    </row>
    <row r="480" customFormat="false" ht="15" hidden="false" customHeight="false" outlineLevel="0" collapsed="false">
      <c r="A480" s="28" t="str">
        <f aca="false">IF($M480=0,"",ROW()-4)</f>
        <v/>
      </c>
      <c r="B480" s="26" t="str">
        <f aca="false">IF($M480=0,"","OPERATIONS")</f>
        <v/>
      </c>
      <c r="C480" s="26" t="str">
        <f aca="false">IF($M480=0,"",OPERATIONS!$A180)</f>
        <v/>
      </c>
      <c r="D480" s="31" t="str">
        <f aca="false">IF($M480=0,"",OPERATIONS!$B180)</f>
        <v/>
      </c>
      <c r="E480" s="26" t="str">
        <f aca="false">IF($M480=0,"",IF($M480&lt;0,"SORTIE","ENTREE"))</f>
        <v/>
      </c>
      <c r="F480" s="26" t="str">
        <f aca="false">IF($M480=0,"",OPERATIONS!$C180)</f>
        <v/>
      </c>
      <c r="G480" s="26" t="str">
        <f aca="false">IF($M480=0,"",OPERATIONS!$D180)</f>
        <v/>
      </c>
      <c r="H480" s="26" t="str">
        <f aca="false">IF($G480="","",IFERROR(INDEX(LOT_EXTE,MATCH($G480,LOT_KEY,0)),""))</f>
        <v/>
      </c>
      <c r="I480" s="26" t="str">
        <f aca="false">IF($M480=0,"",OPERATIONS!$F180)</f>
        <v/>
      </c>
      <c r="J480" s="26" t="str">
        <f aca="false">IF($I480="","",IFERROR(INDEX(EMPL_CLASSE,MATCH($I480,EMPL_KEY,0)),""))</f>
        <v/>
      </c>
      <c r="K480" s="26" t="str">
        <f aca="false">IF($M480=0,"",OPERATIONS!$K180)</f>
        <v/>
      </c>
      <c r="L480" s="26" t="str">
        <f aca="false">IF($G480="","",IF(IFERROR(INDEX(LOT_ETAT,MATCH($G480,LOT_KEY,0)),"")="","",INDEX(LOT_ETAT,MATCH($G480,LOT_KEY,0))))</f>
        <v/>
      </c>
      <c r="M480" s="73" t="n">
        <f aca="false">IF(OR(OPERATIONS!$O180=0,OPERATIONS!$C180="CONSOMMATION"),0,OPERATIONS!$G180)</f>
        <v>0</v>
      </c>
      <c r="N480" s="73" t="n">
        <f aca="false">IF($M480=0,0,OPERATIONS!$R180*$M480)</f>
        <v>0</v>
      </c>
      <c r="O480" s="26" t="str">
        <f aca="false">IF($M480=0,"",OPERATIONS!$Q180)</f>
        <v/>
      </c>
      <c r="P480" s="26" t="str">
        <f aca="false">IF($G480="","",IF($G480=R_LOT,COUNTIF($G$5:$G480,R_LOT),""))</f>
        <v/>
      </c>
    </row>
    <row r="481" customFormat="false" ht="15" hidden="false" customHeight="false" outlineLevel="0" collapsed="false">
      <c r="A481" s="28" t="str">
        <f aca="false">IF($M481=0,"",ROW()-4)</f>
        <v/>
      </c>
      <c r="B481" s="26" t="str">
        <f aca="false">IF($M481=0,"","OPERATIONS")</f>
        <v/>
      </c>
      <c r="C481" s="26" t="str">
        <f aca="false">IF($M481=0,"",OPERATIONS!$A181)</f>
        <v/>
      </c>
      <c r="D481" s="31" t="str">
        <f aca="false">IF($M481=0,"",OPERATIONS!$B181)</f>
        <v/>
      </c>
      <c r="E481" s="26" t="str">
        <f aca="false">IF($M481=0,"",IF($M481&lt;0,"SORTIE","ENTREE"))</f>
        <v/>
      </c>
      <c r="F481" s="26" t="str">
        <f aca="false">IF($M481=0,"",OPERATIONS!$C181)</f>
        <v/>
      </c>
      <c r="G481" s="26" t="str">
        <f aca="false">IF($M481=0,"",OPERATIONS!$D181)</f>
        <v/>
      </c>
      <c r="H481" s="26" t="str">
        <f aca="false">IF($G481="","",IFERROR(INDEX(LOT_EXTE,MATCH($G481,LOT_KEY,0)),""))</f>
        <v/>
      </c>
      <c r="I481" s="26" t="str">
        <f aca="false">IF($M481=0,"",OPERATIONS!$F181)</f>
        <v/>
      </c>
      <c r="J481" s="26" t="str">
        <f aca="false">IF($I481="","",IFERROR(INDEX(EMPL_CLASSE,MATCH($I481,EMPL_KEY,0)),""))</f>
        <v/>
      </c>
      <c r="K481" s="26" t="str">
        <f aca="false">IF($M481=0,"",OPERATIONS!$K181)</f>
        <v/>
      </c>
      <c r="L481" s="26" t="str">
        <f aca="false">IF($G481="","",IF(IFERROR(INDEX(LOT_ETAT,MATCH($G481,LOT_KEY,0)),"")="","",INDEX(LOT_ETAT,MATCH($G481,LOT_KEY,0))))</f>
        <v/>
      </c>
      <c r="M481" s="73" t="n">
        <f aca="false">IF(OR(OPERATIONS!$O181=0,OPERATIONS!$C181="CONSOMMATION"),0,OPERATIONS!$G181)</f>
        <v>0</v>
      </c>
      <c r="N481" s="73" t="n">
        <f aca="false">IF($M481=0,0,OPERATIONS!$R181*$M481)</f>
        <v>0</v>
      </c>
      <c r="O481" s="26" t="str">
        <f aca="false">IF($M481=0,"",OPERATIONS!$Q181)</f>
        <v/>
      </c>
      <c r="P481" s="26" t="str">
        <f aca="false">IF($G481="","",IF($G481=R_LOT,COUNTIF($G$5:$G481,R_LOT),""))</f>
        <v/>
      </c>
    </row>
    <row r="482" customFormat="false" ht="15" hidden="false" customHeight="false" outlineLevel="0" collapsed="false">
      <c r="A482" s="28" t="str">
        <f aca="false">IF($M482=0,"",ROW()-4)</f>
        <v/>
      </c>
      <c r="B482" s="26" t="str">
        <f aca="false">IF($M482=0,"","OPERATIONS")</f>
        <v/>
      </c>
      <c r="C482" s="26" t="str">
        <f aca="false">IF($M482=0,"",OPERATIONS!$A182)</f>
        <v/>
      </c>
      <c r="D482" s="31" t="str">
        <f aca="false">IF($M482=0,"",OPERATIONS!$B182)</f>
        <v/>
      </c>
      <c r="E482" s="26" t="str">
        <f aca="false">IF($M482=0,"",IF($M482&lt;0,"SORTIE","ENTREE"))</f>
        <v/>
      </c>
      <c r="F482" s="26" t="str">
        <f aca="false">IF($M482=0,"",OPERATIONS!$C182)</f>
        <v/>
      </c>
      <c r="G482" s="26" t="str">
        <f aca="false">IF($M482=0,"",OPERATIONS!$D182)</f>
        <v/>
      </c>
      <c r="H482" s="26" t="str">
        <f aca="false">IF($G482="","",IFERROR(INDEX(LOT_EXTE,MATCH($G482,LOT_KEY,0)),""))</f>
        <v/>
      </c>
      <c r="I482" s="26" t="str">
        <f aca="false">IF($M482=0,"",OPERATIONS!$F182)</f>
        <v/>
      </c>
      <c r="J482" s="26" t="str">
        <f aca="false">IF($I482="","",IFERROR(INDEX(EMPL_CLASSE,MATCH($I482,EMPL_KEY,0)),""))</f>
        <v/>
      </c>
      <c r="K482" s="26" t="str">
        <f aca="false">IF($M482=0,"",OPERATIONS!$K182)</f>
        <v/>
      </c>
      <c r="L482" s="26" t="str">
        <f aca="false">IF($G482="","",IF(IFERROR(INDEX(LOT_ETAT,MATCH($G482,LOT_KEY,0)),"")="","",INDEX(LOT_ETAT,MATCH($G482,LOT_KEY,0))))</f>
        <v/>
      </c>
      <c r="M482" s="73" t="n">
        <f aca="false">IF(OR(OPERATIONS!$O182=0,OPERATIONS!$C182="CONSOMMATION"),0,OPERATIONS!$G182)</f>
        <v>0</v>
      </c>
      <c r="N482" s="73" t="n">
        <f aca="false">IF($M482=0,0,OPERATIONS!$R182*$M482)</f>
        <v>0</v>
      </c>
      <c r="O482" s="26" t="str">
        <f aca="false">IF($M482=0,"",OPERATIONS!$Q182)</f>
        <v/>
      </c>
      <c r="P482" s="26" t="str">
        <f aca="false">IF($G482="","",IF($G482=R_LOT,COUNTIF($G$5:$G482,R_LOT),""))</f>
        <v/>
      </c>
    </row>
    <row r="483" customFormat="false" ht="15" hidden="false" customHeight="false" outlineLevel="0" collapsed="false">
      <c r="A483" s="28" t="str">
        <f aca="false">IF($M483=0,"",ROW()-4)</f>
        <v/>
      </c>
      <c r="B483" s="26" t="str">
        <f aca="false">IF($M483=0,"","OPERATIONS")</f>
        <v/>
      </c>
      <c r="C483" s="26" t="str">
        <f aca="false">IF($M483=0,"",OPERATIONS!$A183)</f>
        <v/>
      </c>
      <c r="D483" s="31" t="str">
        <f aca="false">IF($M483=0,"",OPERATIONS!$B183)</f>
        <v/>
      </c>
      <c r="E483" s="26" t="str">
        <f aca="false">IF($M483=0,"",IF($M483&lt;0,"SORTIE","ENTREE"))</f>
        <v/>
      </c>
      <c r="F483" s="26" t="str">
        <f aca="false">IF($M483=0,"",OPERATIONS!$C183)</f>
        <v/>
      </c>
      <c r="G483" s="26" t="str">
        <f aca="false">IF($M483=0,"",OPERATIONS!$D183)</f>
        <v/>
      </c>
      <c r="H483" s="26" t="str">
        <f aca="false">IF($G483="","",IFERROR(INDEX(LOT_EXTE,MATCH($G483,LOT_KEY,0)),""))</f>
        <v/>
      </c>
      <c r="I483" s="26" t="str">
        <f aca="false">IF($M483=0,"",OPERATIONS!$F183)</f>
        <v/>
      </c>
      <c r="J483" s="26" t="str">
        <f aca="false">IF($I483="","",IFERROR(INDEX(EMPL_CLASSE,MATCH($I483,EMPL_KEY,0)),""))</f>
        <v/>
      </c>
      <c r="K483" s="26" t="str">
        <f aca="false">IF($M483=0,"",OPERATIONS!$K183)</f>
        <v/>
      </c>
      <c r="L483" s="26" t="str">
        <f aca="false">IF($G483="","",IF(IFERROR(INDEX(LOT_ETAT,MATCH($G483,LOT_KEY,0)),"")="","",INDEX(LOT_ETAT,MATCH($G483,LOT_KEY,0))))</f>
        <v/>
      </c>
      <c r="M483" s="73" t="n">
        <f aca="false">IF(OR(OPERATIONS!$O183=0,OPERATIONS!$C183="CONSOMMATION"),0,OPERATIONS!$G183)</f>
        <v>0</v>
      </c>
      <c r="N483" s="73" t="n">
        <f aca="false">IF($M483=0,0,OPERATIONS!$R183*$M483)</f>
        <v>0</v>
      </c>
      <c r="O483" s="26" t="str">
        <f aca="false">IF($M483=0,"",OPERATIONS!$Q183)</f>
        <v/>
      </c>
      <c r="P483" s="26" t="str">
        <f aca="false">IF($G483="","",IF($G483=R_LOT,COUNTIF($G$5:$G483,R_LOT),""))</f>
        <v/>
      </c>
    </row>
    <row r="484" customFormat="false" ht="15" hidden="false" customHeight="false" outlineLevel="0" collapsed="false">
      <c r="A484" s="28" t="str">
        <f aca="false">IF($M484=0,"",ROW()-4)</f>
        <v/>
      </c>
      <c r="B484" s="26" t="str">
        <f aca="false">IF($M484=0,"","OPERATIONS")</f>
        <v/>
      </c>
      <c r="C484" s="26" t="str">
        <f aca="false">IF($M484=0,"",OPERATIONS!$A184)</f>
        <v/>
      </c>
      <c r="D484" s="31" t="str">
        <f aca="false">IF($M484=0,"",OPERATIONS!$B184)</f>
        <v/>
      </c>
      <c r="E484" s="26" t="str">
        <f aca="false">IF($M484=0,"",IF($M484&lt;0,"SORTIE","ENTREE"))</f>
        <v/>
      </c>
      <c r="F484" s="26" t="str">
        <f aca="false">IF($M484=0,"",OPERATIONS!$C184)</f>
        <v/>
      </c>
      <c r="G484" s="26" t="str">
        <f aca="false">IF($M484=0,"",OPERATIONS!$D184)</f>
        <v/>
      </c>
      <c r="H484" s="26" t="str">
        <f aca="false">IF($G484="","",IFERROR(INDEX(LOT_EXTE,MATCH($G484,LOT_KEY,0)),""))</f>
        <v/>
      </c>
      <c r="I484" s="26" t="str">
        <f aca="false">IF($M484=0,"",OPERATIONS!$F184)</f>
        <v/>
      </c>
      <c r="J484" s="26" t="str">
        <f aca="false">IF($I484="","",IFERROR(INDEX(EMPL_CLASSE,MATCH($I484,EMPL_KEY,0)),""))</f>
        <v/>
      </c>
      <c r="K484" s="26" t="str">
        <f aca="false">IF($M484=0,"",OPERATIONS!$K184)</f>
        <v/>
      </c>
      <c r="L484" s="26" t="str">
        <f aca="false">IF($G484="","",IF(IFERROR(INDEX(LOT_ETAT,MATCH($G484,LOT_KEY,0)),"")="","",INDEX(LOT_ETAT,MATCH($G484,LOT_KEY,0))))</f>
        <v/>
      </c>
      <c r="M484" s="73" t="n">
        <f aca="false">IF(OR(OPERATIONS!$O184=0,OPERATIONS!$C184="CONSOMMATION"),0,OPERATIONS!$G184)</f>
        <v>0</v>
      </c>
      <c r="N484" s="73" t="n">
        <f aca="false">IF($M484=0,0,OPERATIONS!$R184*$M484)</f>
        <v>0</v>
      </c>
      <c r="O484" s="26" t="str">
        <f aca="false">IF($M484=0,"",OPERATIONS!$Q184)</f>
        <v/>
      </c>
      <c r="P484" s="26" t="str">
        <f aca="false">IF($G484="","",IF($G484=R_LOT,COUNTIF($G$5:$G484,R_LOT),""))</f>
        <v/>
      </c>
    </row>
    <row r="485" customFormat="false" ht="15" hidden="false" customHeight="false" outlineLevel="0" collapsed="false">
      <c r="A485" s="28" t="str">
        <f aca="false">IF($M485=0,"",ROW()-4)</f>
        <v/>
      </c>
      <c r="B485" s="26" t="str">
        <f aca="false">IF($M485=0,"","OPERATIONS")</f>
        <v/>
      </c>
      <c r="C485" s="26" t="str">
        <f aca="false">IF($M485=0,"",OPERATIONS!$A185)</f>
        <v/>
      </c>
      <c r="D485" s="31" t="str">
        <f aca="false">IF($M485=0,"",OPERATIONS!$B185)</f>
        <v/>
      </c>
      <c r="E485" s="26" t="str">
        <f aca="false">IF($M485=0,"",IF($M485&lt;0,"SORTIE","ENTREE"))</f>
        <v/>
      </c>
      <c r="F485" s="26" t="str">
        <f aca="false">IF($M485=0,"",OPERATIONS!$C185)</f>
        <v/>
      </c>
      <c r="G485" s="26" t="str">
        <f aca="false">IF($M485=0,"",OPERATIONS!$D185)</f>
        <v/>
      </c>
      <c r="H485" s="26" t="str">
        <f aca="false">IF($G485="","",IFERROR(INDEX(LOT_EXTE,MATCH($G485,LOT_KEY,0)),""))</f>
        <v/>
      </c>
      <c r="I485" s="26" t="str">
        <f aca="false">IF($M485=0,"",OPERATIONS!$F185)</f>
        <v/>
      </c>
      <c r="J485" s="26" t="str">
        <f aca="false">IF($I485="","",IFERROR(INDEX(EMPL_CLASSE,MATCH($I485,EMPL_KEY,0)),""))</f>
        <v/>
      </c>
      <c r="K485" s="26" t="str">
        <f aca="false">IF($M485=0,"",OPERATIONS!$K185)</f>
        <v/>
      </c>
      <c r="L485" s="26" t="str">
        <f aca="false">IF($G485="","",IF(IFERROR(INDEX(LOT_ETAT,MATCH($G485,LOT_KEY,0)),"")="","",INDEX(LOT_ETAT,MATCH($G485,LOT_KEY,0))))</f>
        <v/>
      </c>
      <c r="M485" s="73" t="n">
        <f aca="false">IF(OR(OPERATIONS!$O185=0,OPERATIONS!$C185="CONSOMMATION"),0,OPERATIONS!$G185)</f>
        <v>0</v>
      </c>
      <c r="N485" s="73" t="n">
        <f aca="false">IF($M485=0,0,OPERATIONS!$R185*$M485)</f>
        <v>0</v>
      </c>
      <c r="O485" s="26" t="str">
        <f aca="false">IF($M485=0,"",OPERATIONS!$Q185)</f>
        <v/>
      </c>
      <c r="P485" s="26" t="str">
        <f aca="false">IF($G485="","",IF($G485=R_LOT,COUNTIF($G$5:$G485,R_LOT),""))</f>
        <v/>
      </c>
    </row>
    <row r="486" customFormat="false" ht="15" hidden="false" customHeight="false" outlineLevel="0" collapsed="false">
      <c r="A486" s="28" t="str">
        <f aca="false">IF($M486=0,"",ROW()-4)</f>
        <v/>
      </c>
      <c r="B486" s="26" t="str">
        <f aca="false">IF($M486=0,"","OPERATIONS")</f>
        <v/>
      </c>
      <c r="C486" s="26" t="str">
        <f aca="false">IF($M486=0,"",OPERATIONS!$A186)</f>
        <v/>
      </c>
      <c r="D486" s="31" t="str">
        <f aca="false">IF($M486=0,"",OPERATIONS!$B186)</f>
        <v/>
      </c>
      <c r="E486" s="26" t="str">
        <f aca="false">IF($M486=0,"",IF($M486&lt;0,"SORTIE","ENTREE"))</f>
        <v/>
      </c>
      <c r="F486" s="26" t="str">
        <f aca="false">IF($M486=0,"",OPERATIONS!$C186)</f>
        <v/>
      </c>
      <c r="G486" s="26" t="str">
        <f aca="false">IF($M486=0,"",OPERATIONS!$D186)</f>
        <v/>
      </c>
      <c r="H486" s="26" t="str">
        <f aca="false">IF($G486="","",IFERROR(INDEX(LOT_EXTE,MATCH($G486,LOT_KEY,0)),""))</f>
        <v/>
      </c>
      <c r="I486" s="26" t="str">
        <f aca="false">IF($M486=0,"",OPERATIONS!$F186)</f>
        <v/>
      </c>
      <c r="J486" s="26" t="str">
        <f aca="false">IF($I486="","",IFERROR(INDEX(EMPL_CLASSE,MATCH($I486,EMPL_KEY,0)),""))</f>
        <v/>
      </c>
      <c r="K486" s="26" t="str">
        <f aca="false">IF($M486=0,"",OPERATIONS!$K186)</f>
        <v/>
      </c>
      <c r="L486" s="26" t="str">
        <f aca="false">IF($G486="","",IF(IFERROR(INDEX(LOT_ETAT,MATCH($G486,LOT_KEY,0)),"")="","",INDEX(LOT_ETAT,MATCH($G486,LOT_KEY,0))))</f>
        <v/>
      </c>
      <c r="M486" s="73" t="n">
        <f aca="false">IF(OR(OPERATIONS!$O186=0,OPERATIONS!$C186="CONSOMMATION"),0,OPERATIONS!$G186)</f>
        <v>0</v>
      </c>
      <c r="N486" s="73" t="n">
        <f aca="false">IF($M486=0,0,OPERATIONS!$R186*$M486)</f>
        <v>0</v>
      </c>
      <c r="O486" s="26" t="str">
        <f aca="false">IF($M486=0,"",OPERATIONS!$Q186)</f>
        <v/>
      </c>
      <c r="P486" s="26" t="str">
        <f aca="false">IF($G486="","",IF($G486=R_LOT,COUNTIF($G$5:$G486,R_LOT),""))</f>
        <v/>
      </c>
    </row>
    <row r="487" customFormat="false" ht="15" hidden="false" customHeight="false" outlineLevel="0" collapsed="false">
      <c r="A487" s="28" t="str">
        <f aca="false">IF($M487=0,"",ROW()-4)</f>
        <v/>
      </c>
      <c r="B487" s="26" t="str">
        <f aca="false">IF($M487=0,"","OPERATIONS")</f>
        <v/>
      </c>
      <c r="C487" s="26" t="str">
        <f aca="false">IF($M487=0,"",OPERATIONS!$A187)</f>
        <v/>
      </c>
      <c r="D487" s="31" t="str">
        <f aca="false">IF($M487=0,"",OPERATIONS!$B187)</f>
        <v/>
      </c>
      <c r="E487" s="26" t="str">
        <f aca="false">IF($M487=0,"",IF($M487&lt;0,"SORTIE","ENTREE"))</f>
        <v/>
      </c>
      <c r="F487" s="26" t="str">
        <f aca="false">IF($M487=0,"",OPERATIONS!$C187)</f>
        <v/>
      </c>
      <c r="G487" s="26" t="str">
        <f aca="false">IF($M487=0,"",OPERATIONS!$D187)</f>
        <v/>
      </c>
      <c r="H487" s="26" t="str">
        <f aca="false">IF($G487="","",IFERROR(INDEX(LOT_EXTE,MATCH($G487,LOT_KEY,0)),""))</f>
        <v/>
      </c>
      <c r="I487" s="26" t="str">
        <f aca="false">IF($M487=0,"",OPERATIONS!$F187)</f>
        <v/>
      </c>
      <c r="J487" s="26" t="str">
        <f aca="false">IF($I487="","",IFERROR(INDEX(EMPL_CLASSE,MATCH($I487,EMPL_KEY,0)),""))</f>
        <v/>
      </c>
      <c r="K487" s="26" t="str">
        <f aca="false">IF($M487=0,"",OPERATIONS!$K187)</f>
        <v/>
      </c>
      <c r="L487" s="26" t="str">
        <f aca="false">IF($G487="","",IF(IFERROR(INDEX(LOT_ETAT,MATCH($G487,LOT_KEY,0)),"")="","",INDEX(LOT_ETAT,MATCH($G487,LOT_KEY,0))))</f>
        <v/>
      </c>
      <c r="M487" s="73" t="n">
        <f aca="false">IF(OR(OPERATIONS!$O187=0,OPERATIONS!$C187="CONSOMMATION"),0,OPERATIONS!$G187)</f>
        <v>0</v>
      </c>
      <c r="N487" s="73" t="n">
        <f aca="false">IF($M487=0,0,OPERATIONS!$R187*$M487)</f>
        <v>0</v>
      </c>
      <c r="O487" s="26" t="str">
        <f aca="false">IF($M487=0,"",OPERATIONS!$Q187)</f>
        <v/>
      </c>
      <c r="P487" s="26" t="str">
        <f aca="false">IF($G487="","",IF($G487=R_LOT,COUNTIF($G$5:$G487,R_LOT),""))</f>
        <v/>
      </c>
    </row>
    <row r="488" customFormat="false" ht="15" hidden="false" customHeight="false" outlineLevel="0" collapsed="false">
      <c r="A488" s="28" t="str">
        <f aca="false">IF($M488=0,"",ROW()-4)</f>
        <v/>
      </c>
      <c r="B488" s="26" t="str">
        <f aca="false">IF($M488=0,"","OPERATIONS")</f>
        <v/>
      </c>
      <c r="C488" s="26" t="str">
        <f aca="false">IF($M488=0,"",OPERATIONS!$A188)</f>
        <v/>
      </c>
      <c r="D488" s="31" t="str">
        <f aca="false">IF($M488=0,"",OPERATIONS!$B188)</f>
        <v/>
      </c>
      <c r="E488" s="26" t="str">
        <f aca="false">IF($M488=0,"",IF($M488&lt;0,"SORTIE","ENTREE"))</f>
        <v/>
      </c>
      <c r="F488" s="26" t="str">
        <f aca="false">IF($M488=0,"",OPERATIONS!$C188)</f>
        <v/>
      </c>
      <c r="G488" s="26" t="str">
        <f aca="false">IF($M488=0,"",OPERATIONS!$D188)</f>
        <v/>
      </c>
      <c r="H488" s="26" t="str">
        <f aca="false">IF($G488="","",IFERROR(INDEX(LOT_EXTE,MATCH($G488,LOT_KEY,0)),""))</f>
        <v/>
      </c>
      <c r="I488" s="26" t="str">
        <f aca="false">IF($M488=0,"",OPERATIONS!$F188)</f>
        <v/>
      </c>
      <c r="J488" s="26" t="str">
        <f aca="false">IF($I488="","",IFERROR(INDEX(EMPL_CLASSE,MATCH($I488,EMPL_KEY,0)),""))</f>
        <v/>
      </c>
      <c r="K488" s="26" t="str">
        <f aca="false">IF($M488=0,"",OPERATIONS!$K188)</f>
        <v/>
      </c>
      <c r="L488" s="26" t="str">
        <f aca="false">IF($G488="","",IF(IFERROR(INDEX(LOT_ETAT,MATCH($G488,LOT_KEY,0)),"")="","",INDEX(LOT_ETAT,MATCH($G488,LOT_KEY,0))))</f>
        <v/>
      </c>
      <c r="M488" s="73" t="n">
        <f aca="false">IF(OR(OPERATIONS!$O188=0,OPERATIONS!$C188="CONSOMMATION"),0,OPERATIONS!$G188)</f>
        <v>0</v>
      </c>
      <c r="N488" s="73" t="n">
        <f aca="false">IF($M488=0,0,OPERATIONS!$R188*$M488)</f>
        <v>0</v>
      </c>
      <c r="O488" s="26" t="str">
        <f aca="false">IF($M488=0,"",OPERATIONS!$Q188)</f>
        <v/>
      </c>
      <c r="P488" s="26" t="str">
        <f aca="false">IF($G488="","",IF($G488=R_LOT,COUNTIF($G$5:$G488,R_LOT),""))</f>
        <v/>
      </c>
    </row>
    <row r="489" customFormat="false" ht="15" hidden="false" customHeight="false" outlineLevel="0" collapsed="false">
      <c r="A489" s="28" t="str">
        <f aca="false">IF($M489=0,"",ROW()-4)</f>
        <v/>
      </c>
      <c r="B489" s="26" t="str">
        <f aca="false">IF($M489=0,"","OPERATIONS")</f>
        <v/>
      </c>
      <c r="C489" s="26" t="str">
        <f aca="false">IF($M489=0,"",OPERATIONS!$A189)</f>
        <v/>
      </c>
      <c r="D489" s="31" t="str">
        <f aca="false">IF($M489=0,"",OPERATIONS!$B189)</f>
        <v/>
      </c>
      <c r="E489" s="26" t="str">
        <f aca="false">IF($M489=0,"",IF($M489&lt;0,"SORTIE","ENTREE"))</f>
        <v/>
      </c>
      <c r="F489" s="26" t="str">
        <f aca="false">IF($M489=0,"",OPERATIONS!$C189)</f>
        <v/>
      </c>
      <c r="G489" s="26" t="str">
        <f aca="false">IF($M489=0,"",OPERATIONS!$D189)</f>
        <v/>
      </c>
      <c r="H489" s="26" t="str">
        <f aca="false">IF($G489="","",IFERROR(INDEX(LOT_EXTE,MATCH($G489,LOT_KEY,0)),""))</f>
        <v/>
      </c>
      <c r="I489" s="26" t="str">
        <f aca="false">IF($M489=0,"",OPERATIONS!$F189)</f>
        <v/>
      </c>
      <c r="J489" s="26" t="str">
        <f aca="false">IF($I489="","",IFERROR(INDEX(EMPL_CLASSE,MATCH($I489,EMPL_KEY,0)),""))</f>
        <v/>
      </c>
      <c r="K489" s="26" t="str">
        <f aca="false">IF($M489=0,"",OPERATIONS!$K189)</f>
        <v/>
      </c>
      <c r="L489" s="26" t="str">
        <f aca="false">IF($G489="","",IF(IFERROR(INDEX(LOT_ETAT,MATCH($G489,LOT_KEY,0)),"")="","",INDEX(LOT_ETAT,MATCH($G489,LOT_KEY,0))))</f>
        <v/>
      </c>
      <c r="M489" s="73" t="n">
        <f aca="false">IF(OR(OPERATIONS!$O189=0,OPERATIONS!$C189="CONSOMMATION"),0,OPERATIONS!$G189)</f>
        <v>0</v>
      </c>
      <c r="N489" s="73" t="n">
        <f aca="false">IF($M489=0,0,OPERATIONS!$R189*$M489)</f>
        <v>0</v>
      </c>
      <c r="O489" s="26" t="str">
        <f aca="false">IF($M489=0,"",OPERATIONS!$Q189)</f>
        <v/>
      </c>
      <c r="P489" s="26" t="str">
        <f aca="false">IF($G489="","",IF($G489=R_LOT,COUNTIF($G$5:$G489,R_LOT),""))</f>
        <v/>
      </c>
    </row>
    <row r="490" customFormat="false" ht="15" hidden="false" customHeight="false" outlineLevel="0" collapsed="false">
      <c r="A490" s="28" t="str">
        <f aca="false">IF($M490=0,"",ROW()-4)</f>
        <v/>
      </c>
      <c r="B490" s="26" t="str">
        <f aca="false">IF($M490=0,"","OPERATIONS")</f>
        <v/>
      </c>
      <c r="C490" s="26" t="str">
        <f aca="false">IF($M490=0,"",OPERATIONS!$A190)</f>
        <v/>
      </c>
      <c r="D490" s="31" t="str">
        <f aca="false">IF($M490=0,"",OPERATIONS!$B190)</f>
        <v/>
      </c>
      <c r="E490" s="26" t="str">
        <f aca="false">IF($M490=0,"",IF($M490&lt;0,"SORTIE","ENTREE"))</f>
        <v/>
      </c>
      <c r="F490" s="26" t="str">
        <f aca="false">IF($M490=0,"",OPERATIONS!$C190)</f>
        <v/>
      </c>
      <c r="G490" s="26" t="str">
        <f aca="false">IF($M490=0,"",OPERATIONS!$D190)</f>
        <v/>
      </c>
      <c r="H490" s="26" t="str">
        <f aca="false">IF($G490="","",IFERROR(INDEX(LOT_EXTE,MATCH($G490,LOT_KEY,0)),""))</f>
        <v/>
      </c>
      <c r="I490" s="26" t="str">
        <f aca="false">IF($M490=0,"",OPERATIONS!$F190)</f>
        <v/>
      </c>
      <c r="J490" s="26" t="str">
        <f aca="false">IF($I490="","",IFERROR(INDEX(EMPL_CLASSE,MATCH($I490,EMPL_KEY,0)),""))</f>
        <v/>
      </c>
      <c r="K490" s="26" t="str">
        <f aca="false">IF($M490=0,"",OPERATIONS!$K190)</f>
        <v/>
      </c>
      <c r="L490" s="26" t="str">
        <f aca="false">IF($G490="","",IF(IFERROR(INDEX(LOT_ETAT,MATCH($G490,LOT_KEY,0)),"")="","",INDEX(LOT_ETAT,MATCH($G490,LOT_KEY,0))))</f>
        <v/>
      </c>
      <c r="M490" s="73" t="n">
        <f aca="false">IF(OR(OPERATIONS!$O190=0,OPERATIONS!$C190="CONSOMMATION"),0,OPERATIONS!$G190)</f>
        <v>0</v>
      </c>
      <c r="N490" s="73" t="n">
        <f aca="false">IF($M490=0,0,OPERATIONS!$R190*$M490)</f>
        <v>0</v>
      </c>
      <c r="O490" s="26" t="str">
        <f aca="false">IF($M490=0,"",OPERATIONS!$Q190)</f>
        <v/>
      </c>
      <c r="P490" s="26" t="str">
        <f aca="false">IF($G490="","",IF($G490=R_LOT,COUNTIF($G$5:$G490,R_LOT),""))</f>
        <v/>
      </c>
    </row>
    <row r="491" customFormat="false" ht="15" hidden="false" customHeight="false" outlineLevel="0" collapsed="false">
      <c r="A491" s="28" t="str">
        <f aca="false">IF($M491=0,"",ROW()-4)</f>
        <v/>
      </c>
      <c r="B491" s="26" t="str">
        <f aca="false">IF($M491=0,"","OPERATIONS")</f>
        <v/>
      </c>
      <c r="C491" s="26" t="str">
        <f aca="false">IF($M491=0,"",OPERATIONS!$A191)</f>
        <v/>
      </c>
      <c r="D491" s="31" t="str">
        <f aca="false">IF($M491=0,"",OPERATIONS!$B191)</f>
        <v/>
      </c>
      <c r="E491" s="26" t="str">
        <f aca="false">IF($M491=0,"",IF($M491&lt;0,"SORTIE","ENTREE"))</f>
        <v/>
      </c>
      <c r="F491" s="26" t="str">
        <f aca="false">IF($M491=0,"",OPERATIONS!$C191)</f>
        <v/>
      </c>
      <c r="G491" s="26" t="str">
        <f aca="false">IF($M491=0,"",OPERATIONS!$D191)</f>
        <v/>
      </c>
      <c r="H491" s="26" t="str">
        <f aca="false">IF($G491="","",IFERROR(INDEX(LOT_EXTE,MATCH($G491,LOT_KEY,0)),""))</f>
        <v/>
      </c>
      <c r="I491" s="26" t="str">
        <f aca="false">IF($M491=0,"",OPERATIONS!$F191)</f>
        <v/>
      </c>
      <c r="J491" s="26" t="str">
        <f aca="false">IF($I491="","",IFERROR(INDEX(EMPL_CLASSE,MATCH($I491,EMPL_KEY,0)),""))</f>
        <v/>
      </c>
      <c r="K491" s="26" t="str">
        <f aca="false">IF($M491=0,"",OPERATIONS!$K191)</f>
        <v/>
      </c>
      <c r="L491" s="26" t="str">
        <f aca="false">IF($G491="","",IF(IFERROR(INDEX(LOT_ETAT,MATCH($G491,LOT_KEY,0)),"")="","",INDEX(LOT_ETAT,MATCH($G491,LOT_KEY,0))))</f>
        <v/>
      </c>
      <c r="M491" s="73" t="n">
        <f aca="false">IF(OR(OPERATIONS!$O191=0,OPERATIONS!$C191="CONSOMMATION"),0,OPERATIONS!$G191)</f>
        <v>0</v>
      </c>
      <c r="N491" s="73" t="n">
        <f aca="false">IF($M491=0,0,OPERATIONS!$R191*$M491)</f>
        <v>0</v>
      </c>
      <c r="O491" s="26" t="str">
        <f aca="false">IF($M491=0,"",OPERATIONS!$Q191)</f>
        <v/>
      </c>
      <c r="P491" s="26" t="str">
        <f aca="false">IF($G491="","",IF($G491=R_LOT,COUNTIF($G$5:$G491,R_LOT),""))</f>
        <v/>
      </c>
    </row>
    <row r="492" customFormat="false" ht="15" hidden="false" customHeight="false" outlineLevel="0" collapsed="false">
      <c r="A492" s="28" t="str">
        <f aca="false">IF($M492=0,"",ROW()-4)</f>
        <v/>
      </c>
      <c r="B492" s="26" t="str">
        <f aca="false">IF($M492=0,"","OPERATIONS")</f>
        <v/>
      </c>
      <c r="C492" s="26" t="str">
        <f aca="false">IF($M492=0,"",OPERATIONS!$A192)</f>
        <v/>
      </c>
      <c r="D492" s="31" t="str">
        <f aca="false">IF($M492=0,"",OPERATIONS!$B192)</f>
        <v/>
      </c>
      <c r="E492" s="26" t="str">
        <f aca="false">IF($M492=0,"",IF($M492&lt;0,"SORTIE","ENTREE"))</f>
        <v/>
      </c>
      <c r="F492" s="26" t="str">
        <f aca="false">IF($M492=0,"",OPERATIONS!$C192)</f>
        <v/>
      </c>
      <c r="G492" s="26" t="str">
        <f aca="false">IF($M492=0,"",OPERATIONS!$D192)</f>
        <v/>
      </c>
      <c r="H492" s="26" t="str">
        <f aca="false">IF($G492="","",IFERROR(INDEX(LOT_EXTE,MATCH($G492,LOT_KEY,0)),""))</f>
        <v/>
      </c>
      <c r="I492" s="26" t="str">
        <f aca="false">IF($M492=0,"",OPERATIONS!$F192)</f>
        <v/>
      </c>
      <c r="J492" s="26" t="str">
        <f aca="false">IF($I492="","",IFERROR(INDEX(EMPL_CLASSE,MATCH($I492,EMPL_KEY,0)),""))</f>
        <v/>
      </c>
      <c r="K492" s="26" t="str">
        <f aca="false">IF($M492=0,"",OPERATIONS!$K192)</f>
        <v/>
      </c>
      <c r="L492" s="26" t="str">
        <f aca="false">IF($G492="","",IF(IFERROR(INDEX(LOT_ETAT,MATCH($G492,LOT_KEY,0)),"")="","",INDEX(LOT_ETAT,MATCH($G492,LOT_KEY,0))))</f>
        <v/>
      </c>
      <c r="M492" s="73" t="n">
        <f aca="false">IF(OR(OPERATIONS!$O192=0,OPERATIONS!$C192="CONSOMMATION"),0,OPERATIONS!$G192)</f>
        <v>0</v>
      </c>
      <c r="N492" s="73" t="n">
        <f aca="false">IF($M492=0,0,OPERATIONS!$R192*$M492)</f>
        <v>0</v>
      </c>
      <c r="O492" s="26" t="str">
        <f aca="false">IF($M492=0,"",OPERATIONS!$Q192)</f>
        <v/>
      </c>
      <c r="P492" s="26" t="str">
        <f aca="false">IF($G492="","",IF($G492=R_LOT,COUNTIF($G$5:$G492,R_LOT),""))</f>
        <v/>
      </c>
    </row>
    <row r="493" customFormat="false" ht="15" hidden="false" customHeight="false" outlineLevel="0" collapsed="false">
      <c r="A493" s="28" t="str">
        <f aca="false">IF($M493=0,"",ROW()-4)</f>
        <v/>
      </c>
      <c r="B493" s="26" t="str">
        <f aca="false">IF($M493=0,"","OPERATIONS")</f>
        <v/>
      </c>
      <c r="C493" s="26" t="str">
        <f aca="false">IF($M493=0,"",OPERATIONS!$A193)</f>
        <v/>
      </c>
      <c r="D493" s="31" t="str">
        <f aca="false">IF($M493=0,"",OPERATIONS!$B193)</f>
        <v/>
      </c>
      <c r="E493" s="26" t="str">
        <f aca="false">IF($M493=0,"",IF($M493&lt;0,"SORTIE","ENTREE"))</f>
        <v/>
      </c>
      <c r="F493" s="26" t="str">
        <f aca="false">IF($M493=0,"",OPERATIONS!$C193)</f>
        <v/>
      </c>
      <c r="G493" s="26" t="str">
        <f aca="false">IF($M493=0,"",OPERATIONS!$D193)</f>
        <v/>
      </c>
      <c r="H493" s="26" t="str">
        <f aca="false">IF($G493="","",IFERROR(INDEX(LOT_EXTE,MATCH($G493,LOT_KEY,0)),""))</f>
        <v/>
      </c>
      <c r="I493" s="26" t="str">
        <f aca="false">IF($M493=0,"",OPERATIONS!$F193)</f>
        <v/>
      </c>
      <c r="J493" s="26" t="str">
        <f aca="false">IF($I493="","",IFERROR(INDEX(EMPL_CLASSE,MATCH($I493,EMPL_KEY,0)),""))</f>
        <v/>
      </c>
      <c r="K493" s="26" t="str">
        <f aca="false">IF($M493=0,"",OPERATIONS!$K193)</f>
        <v/>
      </c>
      <c r="L493" s="26" t="str">
        <f aca="false">IF($G493="","",IF(IFERROR(INDEX(LOT_ETAT,MATCH($G493,LOT_KEY,0)),"")="","",INDEX(LOT_ETAT,MATCH($G493,LOT_KEY,0))))</f>
        <v/>
      </c>
      <c r="M493" s="73" t="n">
        <f aca="false">IF(OR(OPERATIONS!$O193=0,OPERATIONS!$C193="CONSOMMATION"),0,OPERATIONS!$G193)</f>
        <v>0</v>
      </c>
      <c r="N493" s="73" t="n">
        <f aca="false">IF($M493=0,0,OPERATIONS!$R193*$M493)</f>
        <v>0</v>
      </c>
      <c r="O493" s="26" t="str">
        <f aca="false">IF($M493=0,"",OPERATIONS!$Q193)</f>
        <v/>
      </c>
      <c r="P493" s="26" t="str">
        <f aca="false">IF($G493="","",IF($G493=R_LOT,COUNTIF($G$5:$G493,R_LOT),""))</f>
        <v/>
      </c>
    </row>
    <row r="494" customFormat="false" ht="15" hidden="false" customHeight="false" outlineLevel="0" collapsed="false">
      <c r="A494" s="28" t="str">
        <f aca="false">IF($M494=0,"",ROW()-4)</f>
        <v/>
      </c>
      <c r="B494" s="26" t="str">
        <f aca="false">IF($M494=0,"","OPERATIONS")</f>
        <v/>
      </c>
      <c r="C494" s="26" t="str">
        <f aca="false">IF($M494=0,"",OPERATIONS!$A194)</f>
        <v/>
      </c>
      <c r="D494" s="31" t="str">
        <f aca="false">IF($M494=0,"",OPERATIONS!$B194)</f>
        <v/>
      </c>
      <c r="E494" s="26" t="str">
        <f aca="false">IF($M494=0,"",IF($M494&lt;0,"SORTIE","ENTREE"))</f>
        <v/>
      </c>
      <c r="F494" s="26" t="str">
        <f aca="false">IF($M494=0,"",OPERATIONS!$C194)</f>
        <v/>
      </c>
      <c r="G494" s="26" t="str">
        <f aca="false">IF($M494=0,"",OPERATIONS!$D194)</f>
        <v/>
      </c>
      <c r="H494" s="26" t="str">
        <f aca="false">IF($G494="","",IFERROR(INDEX(LOT_EXTE,MATCH($G494,LOT_KEY,0)),""))</f>
        <v/>
      </c>
      <c r="I494" s="26" t="str">
        <f aca="false">IF($M494=0,"",OPERATIONS!$F194)</f>
        <v/>
      </c>
      <c r="J494" s="26" t="str">
        <f aca="false">IF($I494="","",IFERROR(INDEX(EMPL_CLASSE,MATCH($I494,EMPL_KEY,0)),""))</f>
        <v/>
      </c>
      <c r="K494" s="26" t="str">
        <f aca="false">IF($M494=0,"",OPERATIONS!$K194)</f>
        <v/>
      </c>
      <c r="L494" s="26" t="str">
        <f aca="false">IF($G494="","",IF(IFERROR(INDEX(LOT_ETAT,MATCH($G494,LOT_KEY,0)),"")="","",INDEX(LOT_ETAT,MATCH($G494,LOT_KEY,0))))</f>
        <v/>
      </c>
      <c r="M494" s="73" t="n">
        <f aca="false">IF(OR(OPERATIONS!$O194=0,OPERATIONS!$C194="CONSOMMATION"),0,OPERATIONS!$G194)</f>
        <v>0</v>
      </c>
      <c r="N494" s="73" t="n">
        <f aca="false">IF($M494=0,0,OPERATIONS!$R194*$M494)</f>
        <v>0</v>
      </c>
      <c r="O494" s="26" t="str">
        <f aca="false">IF($M494=0,"",OPERATIONS!$Q194)</f>
        <v/>
      </c>
      <c r="P494" s="26" t="str">
        <f aca="false">IF($G494="","",IF($G494=R_LOT,COUNTIF($G$5:$G494,R_LOT),""))</f>
        <v/>
      </c>
    </row>
    <row r="495" customFormat="false" ht="15" hidden="false" customHeight="false" outlineLevel="0" collapsed="false">
      <c r="A495" s="28" t="str">
        <f aca="false">IF($M495=0,"",ROW()-4)</f>
        <v/>
      </c>
      <c r="B495" s="26" t="str">
        <f aca="false">IF($M495=0,"","OPERATIONS")</f>
        <v/>
      </c>
      <c r="C495" s="26" t="str">
        <f aca="false">IF($M495=0,"",OPERATIONS!$A195)</f>
        <v/>
      </c>
      <c r="D495" s="31" t="str">
        <f aca="false">IF($M495=0,"",OPERATIONS!$B195)</f>
        <v/>
      </c>
      <c r="E495" s="26" t="str">
        <f aca="false">IF($M495=0,"",IF($M495&lt;0,"SORTIE","ENTREE"))</f>
        <v/>
      </c>
      <c r="F495" s="26" t="str">
        <f aca="false">IF($M495=0,"",OPERATIONS!$C195)</f>
        <v/>
      </c>
      <c r="G495" s="26" t="str">
        <f aca="false">IF($M495=0,"",OPERATIONS!$D195)</f>
        <v/>
      </c>
      <c r="H495" s="26" t="str">
        <f aca="false">IF($G495="","",IFERROR(INDEX(LOT_EXTE,MATCH($G495,LOT_KEY,0)),""))</f>
        <v/>
      </c>
      <c r="I495" s="26" t="str">
        <f aca="false">IF($M495=0,"",OPERATIONS!$F195)</f>
        <v/>
      </c>
      <c r="J495" s="26" t="str">
        <f aca="false">IF($I495="","",IFERROR(INDEX(EMPL_CLASSE,MATCH($I495,EMPL_KEY,0)),""))</f>
        <v/>
      </c>
      <c r="K495" s="26" t="str">
        <f aca="false">IF($M495=0,"",OPERATIONS!$K195)</f>
        <v/>
      </c>
      <c r="L495" s="26" t="str">
        <f aca="false">IF($G495="","",IF(IFERROR(INDEX(LOT_ETAT,MATCH($G495,LOT_KEY,0)),"")="","",INDEX(LOT_ETAT,MATCH($G495,LOT_KEY,0))))</f>
        <v/>
      </c>
      <c r="M495" s="73" t="n">
        <f aca="false">IF(OR(OPERATIONS!$O195=0,OPERATIONS!$C195="CONSOMMATION"),0,OPERATIONS!$G195)</f>
        <v>0</v>
      </c>
      <c r="N495" s="73" t="n">
        <f aca="false">IF($M495=0,0,OPERATIONS!$R195*$M495)</f>
        <v>0</v>
      </c>
      <c r="O495" s="26" t="str">
        <f aca="false">IF($M495=0,"",OPERATIONS!$Q195)</f>
        <v/>
      </c>
      <c r="P495" s="26" t="str">
        <f aca="false">IF($G495="","",IF($G495=R_LOT,COUNTIF($G$5:$G495,R_LOT),""))</f>
        <v/>
      </c>
    </row>
    <row r="496" customFormat="false" ht="15" hidden="false" customHeight="false" outlineLevel="0" collapsed="false">
      <c r="A496" s="28" t="str">
        <f aca="false">IF($M496=0,"",ROW()-4)</f>
        <v/>
      </c>
      <c r="B496" s="26" t="str">
        <f aca="false">IF($M496=0,"","OPERATIONS")</f>
        <v/>
      </c>
      <c r="C496" s="26" t="str">
        <f aca="false">IF($M496=0,"",OPERATIONS!$A196)</f>
        <v/>
      </c>
      <c r="D496" s="31" t="str">
        <f aca="false">IF($M496=0,"",OPERATIONS!$B196)</f>
        <v/>
      </c>
      <c r="E496" s="26" t="str">
        <f aca="false">IF($M496=0,"",IF($M496&lt;0,"SORTIE","ENTREE"))</f>
        <v/>
      </c>
      <c r="F496" s="26" t="str">
        <f aca="false">IF($M496=0,"",OPERATIONS!$C196)</f>
        <v/>
      </c>
      <c r="G496" s="26" t="str">
        <f aca="false">IF($M496=0,"",OPERATIONS!$D196)</f>
        <v/>
      </c>
      <c r="H496" s="26" t="str">
        <f aca="false">IF($G496="","",IFERROR(INDEX(LOT_EXTE,MATCH($G496,LOT_KEY,0)),""))</f>
        <v/>
      </c>
      <c r="I496" s="26" t="str">
        <f aca="false">IF($M496=0,"",OPERATIONS!$F196)</f>
        <v/>
      </c>
      <c r="J496" s="26" t="str">
        <f aca="false">IF($I496="","",IFERROR(INDEX(EMPL_CLASSE,MATCH($I496,EMPL_KEY,0)),""))</f>
        <v/>
      </c>
      <c r="K496" s="26" t="str">
        <f aca="false">IF($M496=0,"",OPERATIONS!$K196)</f>
        <v/>
      </c>
      <c r="L496" s="26" t="str">
        <f aca="false">IF($G496="","",IF(IFERROR(INDEX(LOT_ETAT,MATCH($G496,LOT_KEY,0)),"")="","",INDEX(LOT_ETAT,MATCH($G496,LOT_KEY,0))))</f>
        <v/>
      </c>
      <c r="M496" s="73" t="n">
        <f aca="false">IF(OR(OPERATIONS!$O196=0,OPERATIONS!$C196="CONSOMMATION"),0,OPERATIONS!$G196)</f>
        <v>0</v>
      </c>
      <c r="N496" s="73" t="n">
        <f aca="false">IF($M496=0,0,OPERATIONS!$R196*$M496)</f>
        <v>0</v>
      </c>
      <c r="O496" s="26" t="str">
        <f aca="false">IF($M496=0,"",OPERATIONS!$Q196)</f>
        <v/>
      </c>
      <c r="P496" s="26" t="str">
        <f aca="false">IF($G496="","",IF($G496=R_LOT,COUNTIF($G$5:$G496,R_LOT),""))</f>
        <v/>
      </c>
    </row>
    <row r="497" customFormat="false" ht="15" hidden="false" customHeight="false" outlineLevel="0" collapsed="false">
      <c r="A497" s="28" t="str">
        <f aca="false">IF($M497=0,"",ROW()-4)</f>
        <v/>
      </c>
      <c r="B497" s="26" t="str">
        <f aca="false">IF($M497=0,"","OPERATIONS")</f>
        <v/>
      </c>
      <c r="C497" s="26" t="str">
        <f aca="false">IF($M497=0,"",OPERATIONS!$A197)</f>
        <v/>
      </c>
      <c r="D497" s="31" t="str">
        <f aca="false">IF($M497=0,"",OPERATIONS!$B197)</f>
        <v/>
      </c>
      <c r="E497" s="26" t="str">
        <f aca="false">IF($M497=0,"",IF($M497&lt;0,"SORTIE","ENTREE"))</f>
        <v/>
      </c>
      <c r="F497" s="26" t="str">
        <f aca="false">IF($M497=0,"",OPERATIONS!$C197)</f>
        <v/>
      </c>
      <c r="G497" s="26" t="str">
        <f aca="false">IF($M497=0,"",OPERATIONS!$D197)</f>
        <v/>
      </c>
      <c r="H497" s="26" t="str">
        <f aca="false">IF($G497="","",IFERROR(INDEX(LOT_EXTE,MATCH($G497,LOT_KEY,0)),""))</f>
        <v/>
      </c>
      <c r="I497" s="26" t="str">
        <f aca="false">IF($M497=0,"",OPERATIONS!$F197)</f>
        <v/>
      </c>
      <c r="J497" s="26" t="str">
        <f aca="false">IF($I497="","",IFERROR(INDEX(EMPL_CLASSE,MATCH($I497,EMPL_KEY,0)),""))</f>
        <v/>
      </c>
      <c r="K497" s="26" t="str">
        <f aca="false">IF($M497=0,"",OPERATIONS!$K197)</f>
        <v/>
      </c>
      <c r="L497" s="26" t="str">
        <f aca="false">IF($G497="","",IF(IFERROR(INDEX(LOT_ETAT,MATCH($G497,LOT_KEY,0)),"")="","",INDEX(LOT_ETAT,MATCH($G497,LOT_KEY,0))))</f>
        <v/>
      </c>
      <c r="M497" s="73" t="n">
        <f aca="false">IF(OR(OPERATIONS!$O197=0,OPERATIONS!$C197="CONSOMMATION"),0,OPERATIONS!$G197)</f>
        <v>0</v>
      </c>
      <c r="N497" s="73" t="n">
        <f aca="false">IF($M497=0,0,OPERATIONS!$R197*$M497)</f>
        <v>0</v>
      </c>
      <c r="O497" s="26" t="str">
        <f aca="false">IF($M497=0,"",OPERATIONS!$Q197)</f>
        <v/>
      </c>
      <c r="P497" s="26" t="str">
        <f aca="false">IF($G497="","",IF($G497=R_LOT,COUNTIF($G$5:$G497,R_LOT),""))</f>
        <v/>
      </c>
    </row>
    <row r="498" customFormat="false" ht="15" hidden="false" customHeight="false" outlineLevel="0" collapsed="false">
      <c r="A498" s="28" t="str">
        <f aca="false">IF($M498=0,"",ROW()-4)</f>
        <v/>
      </c>
      <c r="B498" s="26" t="str">
        <f aca="false">IF($M498=0,"","OPERATIONS")</f>
        <v/>
      </c>
      <c r="C498" s="26" t="str">
        <f aca="false">IF($M498=0,"",OPERATIONS!$A198)</f>
        <v/>
      </c>
      <c r="D498" s="31" t="str">
        <f aca="false">IF($M498=0,"",OPERATIONS!$B198)</f>
        <v/>
      </c>
      <c r="E498" s="26" t="str">
        <f aca="false">IF($M498=0,"",IF($M498&lt;0,"SORTIE","ENTREE"))</f>
        <v/>
      </c>
      <c r="F498" s="26" t="str">
        <f aca="false">IF($M498=0,"",OPERATIONS!$C198)</f>
        <v/>
      </c>
      <c r="G498" s="26" t="str">
        <f aca="false">IF($M498=0,"",OPERATIONS!$D198)</f>
        <v/>
      </c>
      <c r="H498" s="26" t="str">
        <f aca="false">IF($G498="","",IFERROR(INDEX(LOT_EXTE,MATCH($G498,LOT_KEY,0)),""))</f>
        <v/>
      </c>
      <c r="I498" s="26" t="str">
        <f aca="false">IF($M498=0,"",OPERATIONS!$F198)</f>
        <v/>
      </c>
      <c r="J498" s="26" t="str">
        <f aca="false">IF($I498="","",IFERROR(INDEX(EMPL_CLASSE,MATCH($I498,EMPL_KEY,0)),""))</f>
        <v/>
      </c>
      <c r="K498" s="26" t="str">
        <f aca="false">IF($M498=0,"",OPERATIONS!$K198)</f>
        <v/>
      </c>
      <c r="L498" s="26" t="str">
        <f aca="false">IF($G498="","",IF(IFERROR(INDEX(LOT_ETAT,MATCH($G498,LOT_KEY,0)),"")="","",INDEX(LOT_ETAT,MATCH($G498,LOT_KEY,0))))</f>
        <v/>
      </c>
      <c r="M498" s="73" t="n">
        <f aca="false">IF(OR(OPERATIONS!$O198=0,OPERATIONS!$C198="CONSOMMATION"),0,OPERATIONS!$G198)</f>
        <v>0</v>
      </c>
      <c r="N498" s="73" t="n">
        <f aca="false">IF($M498=0,0,OPERATIONS!$R198*$M498)</f>
        <v>0</v>
      </c>
      <c r="O498" s="26" t="str">
        <f aca="false">IF($M498=0,"",OPERATIONS!$Q198)</f>
        <v/>
      </c>
      <c r="P498" s="26" t="str">
        <f aca="false">IF($G498="","",IF($G498=R_LOT,COUNTIF($G$5:$G498,R_LOT),""))</f>
        <v/>
      </c>
    </row>
    <row r="499" customFormat="false" ht="15" hidden="false" customHeight="false" outlineLevel="0" collapsed="false">
      <c r="A499" s="28" t="str">
        <f aca="false">IF($M499=0,"",ROW()-4)</f>
        <v/>
      </c>
      <c r="B499" s="26" t="str">
        <f aca="false">IF($M499=0,"","OPERATIONS")</f>
        <v/>
      </c>
      <c r="C499" s="26" t="str">
        <f aca="false">IF($M499=0,"",OPERATIONS!$A199)</f>
        <v/>
      </c>
      <c r="D499" s="31" t="str">
        <f aca="false">IF($M499=0,"",OPERATIONS!$B199)</f>
        <v/>
      </c>
      <c r="E499" s="26" t="str">
        <f aca="false">IF($M499=0,"",IF($M499&lt;0,"SORTIE","ENTREE"))</f>
        <v/>
      </c>
      <c r="F499" s="26" t="str">
        <f aca="false">IF($M499=0,"",OPERATIONS!$C199)</f>
        <v/>
      </c>
      <c r="G499" s="26" t="str">
        <f aca="false">IF($M499=0,"",OPERATIONS!$D199)</f>
        <v/>
      </c>
      <c r="H499" s="26" t="str">
        <f aca="false">IF($G499="","",IFERROR(INDEX(LOT_EXTE,MATCH($G499,LOT_KEY,0)),""))</f>
        <v/>
      </c>
      <c r="I499" s="26" t="str">
        <f aca="false">IF($M499=0,"",OPERATIONS!$F199)</f>
        <v/>
      </c>
      <c r="J499" s="26" t="str">
        <f aca="false">IF($I499="","",IFERROR(INDEX(EMPL_CLASSE,MATCH($I499,EMPL_KEY,0)),""))</f>
        <v/>
      </c>
      <c r="K499" s="26" t="str">
        <f aca="false">IF($M499=0,"",OPERATIONS!$K199)</f>
        <v/>
      </c>
      <c r="L499" s="26" t="str">
        <f aca="false">IF($G499="","",IF(IFERROR(INDEX(LOT_ETAT,MATCH($G499,LOT_KEY,0)),"")="","",INDEX(LOT_ETAT,MATCH($G499,LOT_KEY,0))))</f>
        <v/>
      </c>
      <c r="M499" s="73" t="n">
        <f aca="false">IF(OR(OPERATIONS!$O199=0,OPERATIONS!$C199="CONSOMMATION"),0,OPERATIONS!$G199)</f>
        <v>0</v>
      </c>
      <c r="N499" s="73" t="n">
        <f aca="false">IF($M499=0,0,OPERATIONS!$R199*$M499)</f>
        <v>0</v>
      </c>
      <c r="O499" s="26" t="str">
        <f aca="false">IF($M499=0,"",OPERATIONS!$Q199)</f>
        <v/>
      </c>
      <c r="P499" s="26" t="str">
        <f aca="false">IF($G499="","",IF($G499=R_LOT,COUNTIF($G$5:$G499,R_LOT),""))</f>
        <v/>
      </c>
    </row>
    <row r="500" customFormat="false" ht="15" hidden="false" customHeight="false" outlineLevel="0" collapsed="false">
      <c r="A500" s="28" t="str">
        <f aca="false">IF($M500=0,"",ROW()-4)</f>
        <v/>
      </c>
      <c r="B500" s="26" t="str">
        <f aca="false">IF($M500=0,"","OPERATIONS")</f>
        <v/>
      </c>
      <c r="C500" s="26" t="str">
        <f aca="false">IF($M500=0,"",OPERATIONS!$A200)</f>
        <v/>
      </c>
      <c r="D500" s="31" t="str">
        <f aca="false">IF($M500=0,"",OPERATIONS!$B200)</f>
        <v/>
      </c>
      <c r="E500" s="26" t="str">
        <f aca="false">IF($M500=0,"",IF($M500&lt;0,"SORTIE","ENTREE"))</f>
        <v/>
      </c>
      <c r="F500" s="26" t="str">
        <f aca="false">IF($M500=0,"",OPERATIONS!$C200)</f>
        <v/>
      </c>
      <c r="G500" s="26" t="str">
        <f aca="false">IF($M500=0,"",OPERATIONS!$D200)</f>
        <v/>
      </c>
      <c r="H500" s="26" t="str">
        <f aca="false">IF($G500="","",IFERROR(INDEX(LOT_EXTE,MATCH($G500,LOT_KEY,0)),""))</f>
        <v/>
      </c>
      <c r="I500" s="26" t="str">
        <f aca="false">IF($M500=0,"",OPERATIONS!$F200)</f>
        <v/>
      </c>
      <c r="J500" s="26" t="str">
        <f aca="false">IF($I500="","",IFERROR(INDEX(EMPL_CLASSE,MATCH($I500,EMPL_KEY,0)),""))</f>
        <v/>
      </c>
      <c r="K500" s="26" t="str">
        <f aca="false">IF($M500=0,"",OPERATIONS!$K200)</f>
        <v/>
      </c>
      <c r="L500" s="26" t="str">
        <f aca="false">IF($G500="","",IF(IFERROR(INDEX(LOT_ETAT,MATCH($G500,LOT_KEY,0)),"")="","",INDEX(LOT_ETAT,MATCH($G500,LOT_KEY,0))))</f>
        <v/>
      </c>
      <c r="M500" s="73" t="n">
        <f aca="false">IF(OR(OPERATIONS!$O200=0,OPERATIONS!$C200="CONSOMMATION"),0,OPERATIONS!$G200)</f>
        <v>0</v>
      </c>
      <c r="N500" s="73" t="n">
        <f aca="false">IF($M500=0,0,OPERATIONS!$R200*$M500)</f>
        <v>0</v>
      </c>
      <c r="O500" s="26" t="str">
        <f aca="false">IF($M500=0,"",OPERATIONS!$Q200)</f>
        <v/>
      </c>
      <c r="P500" s="26" t="str">
        <f aca="false">IF($G500="","",IF($G500=R_LOT,COUNTIF($G$5:$G500,R_LOT),""))</f>
        <v/>
      </c>
    </row>
    <row r="501" customFormat="false" ht="15" hidden="false" customHeight="false" outlineLevel="0" collapsed="false">
      <c r="A501" s="28" t="str">
        <f aca="false">IF($M501=0,"",ROW()-4)</f>
        <v/>
      </c>
      <c r="B501" s="26" t="str">
        <f aca="false">IF($M501=0,"","OPERATIONS")</f>
        <v/>
      </c>
      <c r="C501" s="26" t="str">
        <f aca="false">IF($M501=0,"",OPERATIONS!$A201)</f>
        <v/>
      </c>
      <c r="D501" s="31" t="str">
        <f aca="false">IF($M501=0,"",OPERATIONS!$B201)</f>
        <v/>
      </c>
      <c r="E501" s="26" t="str">
        <f aca="false">IF($M501=0,"",IF($M501&lt;0,"SORTIE","ENTREE"))</f>
        <v/>
      </c>
      <c r="F501" s="26" t="str">
        <f aca="false">IF($M501=0,"",OPERATIONS!$C201)</f>
        <v/>
      </c>
      <c r="G501" s="26" t="str">
        <f aca="false">IF($M501=0,"",OPERATIONS!$D201)</f>
        <v/>
      </c>
      <c r="H501" s="26" t="str">
        <f aca="false">IF($G501="","",IFERROR(INDEX(LOT_EXTE,MATCH($G501,LOT_KEY,0)),""))</f>
        <v/>
      </c>
      <c r="I501" s="26" t="str">
        <f aca="false">IF($M501=0,"",OPERATIONS!$F201)</f>
        <v/>
      </c>
      <c r="J501" s="26" t="str">
        <f aca="false">IF($I501="","",IFERROR(INDEX(EMPL_CLASSE,MATCH($I501,EMPL_KEY,0)),""))</f>
        <v/>
      </c>
      <c r="K501" s="26" t="str">
        <f aca="false">IF($M501=0,"",OPERATIONS!$K201)</f>
        <v/>
      </c>
      <c r="L501" s="26" t="str">
        <f aca="false">IF($G501="","",IF(IFERROR(INDEX(LOT_ETAT,MATCH($G501,LOT_KEY,0)),"")="","",INDEX(LOT_ETAT,MATCH($G501,LOT_KEY,0))))</f>
        <v/>
      </c>
      <c r="M501" s="73" t="n">
        <f aca="false">IF(OR(OPERATIONS!$O201=0,OPERATIONS!$C201="CONSOMMATION"),0,OPERATIONS!$G201)</f>
        <v>0</v>
      </c>
      <c r="N501" s="73" t="n">
        <f aca="false">IF($M501=0,0,OPERATIONS!$R201*$M501)</f>
        <v>0</v>
      </c>
      <c r="O501" s="26" t="str">
        <f aca="false">IF($M501=0,"",OPERATIONS!$Q201)</f>
        <v/>
      </c>
      <c r="P501" s="26" t="str">
        <f aca="false">IF($G501="","",IF($G501=R_LOT,COUNTIF($G$5:$G501,R_LOT),""))</f>
        <v/>
      </c>
    </row>
    <row r="502" customFormat="false" ht="15" hidden="false" customHeight="false" outlineLevel="0" collapsed="false">
      <c r="A502" s="28" t="str">
        <f aca="false">IF($M502=0,"",ROW()-4)</f>
        <v/>
      </c>
      <c r="B502" s="26" t="str">
        <f aca="false">IF($M502=0,"","OPERATIONS")</f>
        <v/>
      </c>
      <c r="C502" s="26" t="str">
        <f aca="false">IF($M502=0,"",OPERATIONS!$A202)</f>
        <v/>
      </c>
      <c r="D502" s="31" t="str">
        <f aca="false">IF($M502=0,"",OPERATIONS!$B202)</f>
        <v/>
      </c>
      <c r="E502" s="26" t="str">
        <f aca="false">IF($M502=0,"",IF($M502&lt;0,"SORTIE","ENTREE"))</f>
        <v/>
      </c>
      <c r="F502" s="26" t="str">
        <f aca="false">IF($M502=0,"",OPERATIONS!$C202)</f>
        <v/>
      </c>
      <c r="G502" s="26" t="str">
        <f aca="false">IF($M502=0,"",OPERATIONS!$D202)</f>
        <v/>
      </c>
      <c r="H502" s="26" t="str">
        <f aca="false">IF($G502="","",IFERROR(INDEX(LOT_EXTE,MATCH($G502,LOT_KEY,0)),""))</f>
        <v/>
      </c>
      <c r="I502" s="26" t="str">
        <f aca="false">IF($M502=0,"",OPERATIONS!$F202)</f>
        <v/>
      </c>
      <c r="J502" s="26" t="str">
        <f aca="false">IF($I502="","",IFERROR(INDEX(EMPL_CLASSE,MATCH($I502,EMPL_KEY,0)),""))</f>
        <v/>
      </c>
      <c r="K502" s="26" t="str">
        <f aca="false">IF($M502=0,"",OPERATIONS!$K202)</f>
        <v/>
      </c>
      <c r="L502" s="26" t="str">
        <f aca="false">IF($G502="","",IF(IFERROR(INDEX(LOT_ETAT,MATCH($G502,LOT_KEY,0)),"")="","",INDEX(LOT_ETAT,MATCH($G502,LOT_KEY,0))))</f>
        <v/>
      </c>
      <c r="M502" s="73" t="n">
        <f aca="false">IF(OR(OPERATIONS!$O202=0,OPERATIONS!$C202="CONSOMMATION"),0,OPERATIONS!$G202)</f>
        <v>0</v>
      </c>
      <c r="N502" s="73" t="n">
        <f aca="false">IF($M502=0,0,OPERATIONS!$R202*$M502)</f>
        <v>0</v>
      </c>
      <c r="O502" s="26" t="str">
        <f aca="false">IF($M502=0,"",OPERATIONS!$Q202)</f>
        <v/>
      </c>
      <c r="P502" s="26" t="str">
        <f aca="false">IF($G502="","",IF($G502=R_LOT,COUNTIF($G$5:$G502,R_LOT),""))</f>
        <v/>
      </c>
    </row>
    <row r="503" customFormat="false" ht="15" hidden="false" customHeight="false" outlineLevel="0" collapsed="false">
      <c r="A503" s="28" t="str">
        <f aca="false">IF($M503=0,"",ROW()-4)</f>
        <v/>
      </c>
      <c r="B503" s="26" t="str">
        <f aca="false">IF($M503=0,"","OPERATIONS")</f>
        <v/>
      </c>
      <c r="C503" s="26" t="str">
        <f aca="false">IF($M503=0,"",OPERATIONS!$A203)</f>
        <v/>
      </c>
      <c r="D503" s="31" t="str">
        <f aca="false">IF($M503=0,"",OPERATIONS!$B203)</f>
        <v/>
      </c>
      <c r="E503" s="26" t="str">
        <f aca="false">IF($M503=0,"",IF($M503&lt;0,"SORTIE","ENTREE"))</f>
        <v/>
      </c>
      <c r="F503" s="26" t="str">
        <f aca="false">IF($M503=0,"",OPERATIONS!$C203)</f>
        <v/>
      </c>
      <c r="G503" s="26" t="str">
        <f aca="false">IF($M503=0,"",OPERATIONS!$D203)</f>
        <v/>
      </c>
      <c r="H503" s="26" t="str">
        <f aca="false">IF($G503="","",IFERROR(INDEX(LOT_EXTE,MATCH($G503,LOT_KEY,0)),""))</f>
        <v/>
      </c>
      <c r="I503" s="26" t="str">
        <f aca="false">IF($M503=0,"",OPERATIONS!$F203)</f>
        <v/>
      </c>
      <c r="J503" s="26" t="str">
        <f aca="false">IF($I503="","",IFERROR(INDEX(EMPL_CLASSE,MATCH($I503,EMPL_KEY,0)),""))</f>
        <v/>
      </c>
      <c r="K503" s="26" t="str">
        <f aca="false">IF($M503=0,"",OPERATIONS!$K203)</f>
        <v/>
      </c>
      <c r="L503" s="26" t="str">
        <f aca="false">IF($G503="","",IF(IFERROR(INDEX(LOT_ETAT,MATCH($G503,LOT_KEY,0)),"")="","",INDEX(LOT_ETAT,MATCH($G503,LOT_KEY,0))))</f>
        <v/>
      </c>
      <c r="M503" s="73" t="n">
        <f aca="false">IF(OR(OPERATIONS!$O203=0,OPERATIONS!$C203="CONSOMMATION"),0,OPERATIONS!$G203)</f>
        <v>0</v>
      </c>
      <c r="N503" s="73" t="n">
        <f aca="false">IF($M503=0,0,OPERATIONS!$R203*$M503)</f>
        <v>0</v>
      </c>
      <c r="O503" s="26" t="str">
        <f aca="false">IF($M503=0,"",OPERATIONS!$Q203)</f>
        <v/>
      </c>
      <c r="P503" s="26" t="str">
        <f aca="false">IF($G503="","",IF($G503=R_LOT,COUNTIF($G$5:$G503,R_LOT),""))</f>
        <v/>
      </c>
    </row>
    <row r="504" customFormat="false" ht="15" hidden="false" customHeight="false" outlineLevel="0" collapsed="false">
      <c r="A504" s="28" t="str">
        <f aca="false">IF($M504=0,"",ROW()-4)</f>
        <v/>
      </c>
      <c r="B504" s="26" t="str">
        <f aca="false">IF($M504=0,"","OPERATIONS")</f>
        <v/>
      </c>
      <c r="C504" s="26" t="str">
        <f aca="false">IF($M504=0,"",OPERATIONS!$A204)</f>
        <v/>
      </c>
      <c r="D504" s="31" t="str">
        <f aca="false">IF($M504=0,"",OPERATIONS!$B204)</f>
        <v/>
      </c>
      <c r="E504" s="26" t="str">
        <f aca="false">IF($M504=0,"",IF($M504&lt;0,"SORTIE","ENTREE"))</f>
        <v/>
      </c>
      <c r="F504" s="26" t="str">
        <f aca="false">IF($M504=0,"",OPERATIONS!$C204)</f>
        <v/>
      </c>
      <c r="G504" s="26" t="str">
        <f aca="false">IF($M504=0,"",OPERATIONS!$D204)</f>
        <v/>
      </c>
      <c r="H504" s="26" t="str">
        <f aca="false">IF($G504="","",IFERROR(INDEX(LOT_EXTE,MATCH($G504,LOT_KEY,0)),""))</f>
        <v/>
      </c>
      <c r="I504" s="26" t="str">
        <f aca="false">IF($M504=0,"",OPERATIONS!$F204)</f>
        <v/>
      </c>
      <c r="J504" s="26" t="str">
        <f aca="false">IF($I504="","",IFERROR(INDEX(EMPL_CLASSE,MATCH($I504,EMPL_KEY,0)),""))</f>
        <v/>
      </c>
      <c r="K504" s="26" t="str">
        <f aca="false">IF($M504=0,"",OPERATIONS!$K204)</f>
        <v/>
      </c>
      <c r="L504" s="26" t="str">
        <f aca="false">IF($G504="","",IF(IFERROR(INDEX(LOT_ETAT,MATCH($G504,LOT_KEY,0)),"")="","",INDEX(LOT_ETAT,MATCH($G504,LOT_KEY,0))))</f>
        <v/>
      </c>
      <c r="M504" s="73" t="n">
        <f aca="false">IF(OR(OPERATIONS!$O204=0,OPERATIONS!$C204="CONSOMMATION"),0,OPERATIONS!$G204)</f>
        <v>0</v>
      </c>
      <c r="N504" s="73" t="n">
        <f aca="false">IF($M504=0,0,OPERATIONS!$R204*$M504)</f>
        <v>0</v>
      </c>
      <c r="O504" s="26" t="str">
        <f aca="false">IF($M504=0,"",OPERATIONS!$Q204)</f>
        <v/>
      </c>
      <c r="P504" s="26" t="str">
        <f aca="false">IF($G504="","",IF($G504=R_LOT,COUNTIF($G$5:$G504,R_LOT),""))</f>
        <v/>
      </c>
    </row>
    <row r="505" customFormat="false" ht="15" hidden="false" customHeight="false" outlineLevel="0" collapsed="false">
      <c r="A505" s="28" t="str">
        <f aca="false">IF($M505=0,"",ROW()-4)</f>
        <v/>
      </c>
      <c r="B505" s="26" t="str">
        <f aca="false">IF($M505=0,"","OPERATIONS")</f>
        <v/>
      </c>
      <c r="C505" s="26" t="str">
        <f aca="false">IF($M505=0,"",OPERATIONS!$A205)</f>
        <v/>
      </c>
      <c r="D505" s="31" t="str">
        <f aca="false">IF($M505=0,"",OPERATIONS!$B205)</f>
        <v/>
      </c>
      <c r="E505" s="26" t="str">
        <f aca="false">IF($M505=0,"",IF($M505&lt;0,"SORTIE","ENTREE"))</f>
        <v/>
      </c>
      <c r="F505" s="26" t="str">
        <f aca="false">IF($M505=0,"",OPERATIONS!$C205)</f>
        <v/>
      </c>
      <c r="G505" s="26" t="str">
        <f aca="false">IF($M505=0,"",OPERATIONS!$D205)</f>
        <v/>
      </c>
      <c r="H505" s="26" t="str">
        <f aca="false">IF($G505="","",IFERROR(INDEX(LOT_EXTE,MATCH($G505,LOT_KEY,0)),""))</f>
        <v/>
      </c>
      <c r="I505" s="26" t="str">
        <f aca="false">IF($M505=0,"",OPERATIONS!$F205)</f>
        <v/>
      </c>
      <c r="J505" s="26" t="str">
        <f aca="false">IF($I505="","",IFERROR(INDEX(EMPL_CLASSE,MATCH($I505,EMPL_KEY,0)),""))</f>
        <v/>
      </c>
      <c r="K505" s="26" t="str">
        <f aca="false">IF($M505=0,"",OPERATIONS!$K205)</f>
        <v/>
      </c>
      <c r="L505" s="26" t="str">
        <f aca="false">IF($G505="","",IF(IFERROR(INDEX(LOT_ETAT,MATCH($G505,LOT_KEY,0)),"")="","",INDEX(LOT_ETAT,MATCH($G505,LOT_KEY,0))))</f>
        <v/>
      </c>
      <c r="M505" s="73" t="n">
        <f aca="false">IF(OR(OPERATIONS!$O205=0,OPERATIONS!$C205="CONSOMMATION"),0,OPERATIONS!$G205)</f>
        <v>0</v>
      </c>
      <c r="N505" s="73" t="n">
        <f aca="false">IF($M505=0,0,OPERATIONS!$R205*$M505)</f>
        <v>0</v>
      </c>
      <c r="O505" s="26" t="str">
        <f aca="false">IF($M505=0,"",OPERATIONS!$Q205)</f>
        <v/>
      </c>
      <c r="P505" s="26" t="str">
        <f aca="false">IF($G505="","",IF($G505=R_LOT,COUNTIF($G$5:$G505,R_LOT),""))</f>
        <v/>
      </c>
    </row>
    <row r="506" customFormat="false" ht="15" hidden="false" customHeight="false" outlineLevel="0" collapsed="false">
      <c r="A506" s="28" t="str">
        <f aca="false">IF($M506=0,"",ROW()-4)</f>
        <v/>
      </c>
      <c r="B506" s="26" t="str">
        <f aca="false">IF($M506=0,"","OPERATIONS")</f>
        <v/>
      </c>
      <c r="C506" s="26" t="str">
        <f aca="false">IF($M506=0,"",OPERATIONS!$A206)</f>
        <v/>
      </c>
      <c r="D506" s="31" t="str">
        <f aca="false">IF($M506=0,"",OPERATIONS!$B206)</f>
        <v/>
      </c>
      <c r="E506" s="26" t="str">
        <f aca="false">IF($M506=0,"",IF($M506&lt;0,"SORTIE","ENTREE"))</f>
        <v/>
      </c>
      <c r="F506" s="26" t="str">
        <f aca="false">IF($M506=0,"",OPERATIONS!$C206)</f>
        <v/>
      </c>
      <c r="G506" s="26" t="str">
        <f aca="false">IF($M506=0,"",OPERATIONS!$D206)</f>
        <v/>
      </c>
      <c r="H506" s="26" t="str">
        <f aca="false">IF($G506="","",IFERROR(INDEX(LOT_EXTE,MATCH($G506,LOT_KEY,0)),""))</f>
        <v/>
      </c>
      <c r="I506" s="26" t="str">
        <f aca="false">IF($M506=0,"",OPERATIONS!$F206)</f>
        <v/>
      </c>
      <c r="J506" s="26" t="str">
        <f aca="false">IF($I506="","",IFERROR(INDEX(EMPL_CLASSE,MATCH($I506,EMPL_KEY,0)),""))</f>
        <v/>
      </c>
      <c r="K506" s="26" t="str">
        <f aca="false">IF($M506=0,"",OPERATIONS!$K206)</f>
        <v/>
      </c>
      <c r="L506" s="26" t="str">
        <f aca="false">IF($G506="","",IF(IFERROR(INDEX(LOT_ETAT,MATCH($G506,LOT_KEY,0)),"")="","",INDEX(LOT_ETAT,MATCH($G506,LOT_KEY,0))))</f>
        <v/>
      </c>
      <c r="M506" s="73" t="n">
        <f aca="false">IF(OR(OPERATIONS!$O206=0,OPERATIONS!$C206="CONSOMMATION"),0,OPERATIONS!$G206)</f>
        <v>0</v>
      </c>
      <c r="N506" s="73" t="n">
        <f aca="false">IF($M506=0,0,OPERATIONS!$R206*$M506)</f>
        <v>0</v>
      </c>
      <c r="O506" s="26" t="str">
        <f aca="false">IF($M506=0,"",OPERATIONS!$Q206)</f>
        <v/>
      </c>
      <c r="P506" s="26" t="str">
        <f aca="false">IF($G506="","",IF($G506=R_LOT,COUNTIF($G$5:$G506,R_LOT),""))</f>
        <v/>
      </c>
    </row>
    <row r="507" customFormat="false" ht="15" hidden="false" customHeight="false" outlineLevel="0" collapsed="false">
      <c r="A507" s="28" t="str">
        <f aca="false">IF($M507=0,"",ROW()-4)</f>
        <v/>
      </c>
      <c r="B507" s="26" t="str">
        <f aca="false">IF($M507=0,"","OPERATIONS")</f>
        <v/>
      </c>
      <c r="C507" s="26" t="str">
        <f aca="false">IF($M507=0,"",OPERATIONS!$A207)</f>
        <v/>
      </c>
      <c r="D507" s="31" t="str">
        <f aca="false">IF($M507=0,"",OPERATIONS!$B207)</f>
        <v/>
      </c>
      <c r="E507" s="26" t="str">
        <f aca="false">IF($M507=0,"",IF($M507&lt;0,"SORTIE","ENTREE"))</f>
        <v/>
      </c>
      <c r="F507" s="26" t="str">
        <f aca="false">IF($M507=0,"",OPERATIONS!$C207)</f>
        <v/>
      </c>
      <c r="G507" s="26" t="str">
        <f aca="false">IF($M507=0,"",OPERATIONS!$D207)</f>
        <v/>
      </c>
      <c r="H507" s="26" t="str">
        <f aca="false">IF($G507="","",IFERROR(INDEX(LOT_EXTE,MATCH($G507,LOT_KEY,0)),""))</f>
        <v/>
      </c>
      <c r="I507" s="26" t="str">
        <f aca="false">IF($M507=0,"",OPERATIONS!$F207)</f>
        <v/>
      </c>
      <c r="J507" s="26" t="str">
        <f aca="false">IF($I507="","",IFERROR(INDEX(EMPL_CLASSE,MATCH($I507,EMPL_KEY,0)),""))</f>
        <v/>
      </c>
      <c r="K507" s="26" t="str">
        <f aca="false">IF($M507=0,"",OPERATIONS!$K207)</f>
        <v/>
      </c>
      <c r="L507" s="26" t="str">
        <f aca="false">IF($G507="","",IF(IFERROR(INDEX(LOT_ETAT,MATCH($G507,LOT_KEY,0)),"")="","",INDEX(LOT_ETAT,MATCH($G507,LOT_KEY,0))))</f>
        <v/>
      </c>
      <c r="M507" s="73" t="n">
        <f aca="false">IF(OR(OPERATIONS!$O207=0,OPERATIONS!$C207="CONSOMMATION"),0,OPERATIONS!$G207)</f>
        <v>0</v>
      </c>
      <c r="N507" s="73" t="n">
        <f aca="false">IF($M507=0,0,OPERATIONS!$R207*$M507)</f>
        <v>0</v>
      </c>
      <c r="O507" s="26" t="str">
        <f aca="false">IF($M507=0,"",OPERATIONS!$Q207)</f>
        <v/>
      </c>
      <c r="P507" s="26" t="str">
        <f aca="false">IF($G507="","",IF($G507=R_LOT,COUNTIF($G$5:$G507,R_LOT),""))</f>
        <v/>
      </c>
    </row>
    <row r="508" customFormat="false" ht="15" hidden="false" customHeight="false" outlineLevel="0" collapsed="false">
      <c r="A508" s="28" t="str">
        <f aca="false">IF($M508=0,"",ROW()-4)</f>
        <v/>
      </c>
      <c r="B508" s="26" t="str">
        <f aca="false">IF($M508=0,"","OPERATIONS")</f>
        <v/>
      </c>
      <c r="C508" s="26" t="str">
        <f aca="false">IF($M508=0,"",OPERATIONS!$A208)</f>
        <v/>
      </c>
      <c r="D508" s="31" t="str">
        <f aca="false">IF($M508=0,"",OPERATIONS!$B208)</f>
        <v/>
      </c>
      <c r="E508" s="26" t="str">
        <f aca="false">IF($M508=0,"",IF($M508&lt;0,"SORTIE","ENTREE"))</f>
        <v/>
      </c>
      <c r="F508" s="26" t="str">
        <f aca="false">IF($M508=0,"",OPERATIONS!$C208)</f>
        <v/>
      </c>
      <c r="G508" s="26" t="str">
        <f aca="false">IF($M508=0,"",OPERATIONS!$D208)</f>
        <v/>
      </c>
      <c r="H508" s="26" t="str">
        <f aca="false">IF($G508="","",IFERROR(INDEX(LOT_EXTE,MATCH($G508,LOT_KEY,0)),""))</f>
        <v/>
      </c>
      <c r="I508" s="26" t="str">
        <f aca="false">IF($M508=0,"",OPERATIONS!$F208)</f>
        <v/>
      </c>
      <c r="J508" s="26" t="str">
        <f aca="false">IF($I508="","",IFERROR(INDEX(EMPL_CLASSE,MATCH($I508,EMPL_KEY,0)),""))</f>
        <v/>
      </c>
      <c r="K508" s="26" t="str">
        <f aca="false">IF($M508=0,"",OPERATIONS!$K208)</f>
        <v/>
      </c>
      <c r="L508" s="26" t="str">
        <f aca="false">IF($G508="","",IF(IFERROR(INDEX(LOT_ETAT,MATCH($G508,LOT_KEY,0)),"")="","",INDEX(LOT_ETAT,MATCH($G508,LOT_KEY,0))))</f>
        <v/>
      </c>
      <c r="M508" s="73" t="n">
        <f aca="false">IF(OR(OPERATIONS!$O208=0,OPERATIONS!$C208="CONSOMMATION"),0,OPERATIONS!$G208)</f>
        <v>0</v>
      </c>
      <c r="N508" s="73" t="n">
        <f aca="false">IF($M508=0,0,OPERATIONS!$R208*$M508)</f>
        <v>0</v>
      </c>
      <c r="O508" s="26" t="str">
        <f aca="false">IF($M508=0,"",OPERATIONS!$Q208)</f>
        <v/>
      </c>
      <c r="P508" s="26" t="str">
        <f aca="false">IF($G508="","",IF($G508=R_LOT,COUNTIF($G$5:$G508,R_LOT),""))</f>
        <v/>
      </c>
    </row>
    <row r="509" customFormat="false" ht="15" hidden="false" customHeight="false" outlineLevel="0" collapsed="false">
      <c r="A509" s="28" t="str">
        <f aca="false">IF($M509=0,"",ROW()-4)</f>
        <v/>
      </c>
      <c r="B509" s="26" t="str">
        <f aca="false">IF($M509=0,"","OPERATIONS")</f>
        <v/>
      </c>
      <c r="C509" s="26" t="str">
        <f aca="false">IF($M509=0,"",OPERATIONS!$A209)</f>
        <v/>
      </c>
      <c r="D509" s="31" t="str">
        <f aca="false">IF($M509=0,"",OPERATIONS!$B209)</f>
        <v/>
      </c>
      <c r="E509" s="26" t="str">
        <f aca="false">IF($M509=0,"",IF($M509&lt;0,"SORTIE","ENTREE"))</f>
        <v/>
      </c>
      <c r="F509" s="26" t="str">
        <f aca="false">IF($M509=0,"",OPERATIONS!$C209)</f>
        <v/>
      </c>
      <c r="G509" s="26" t="str">
        <f aca="false">IF($M509=0,"",OPERATIONS!$D209)</f>
        <v/>
      </c>
      <c r="H509" s="26" t="str">
        <f aca="false">IF($G509="","",IFERROR(INDEX(LOT_EXTE,MATCH($G509,LOT_KEY,0)),""))</f>
        <v/>
      </c>
      <c r="I509" s="26" t="str">
        <f aca="false">IF($M509=0,"",OPERATIONS!$F209)</f>
        <v/>
      </c>
      <c r="J509" s="26" t="str">
        <f aca="false">IF($I509="","",IFERROR(INDEX(EMPL_CLASSE,MATCH($I509,EMPL_KEY,0)),""))</f>
        <v/>
      </c>
      <c r="K509" s="26" t="str">
        <f aca="false">IF($M509=0,"",OPERATIONS!$K209)</f>
        <v/>
      </c>
      <c r="L509" s="26" t="str">
        <f aca="false">IF($G509="","",IF(IFERROR(INDEX(LOT_ETAT,MATCH($G509,LOT_KEY,0)),"")="","",INDEX(LOT_ETAT,MATCH($G509,LOT_KEY,0))))</f>
        <v/>
      </c>
      <c r="M509" s="73" t="n">
        <f aca="false">IF(OR(OPERATIONS!$O209=0,OPERATIONS!$C209="CONSOMMATION"),0,OPERATIONS!$G209)</f>
        <v>0</v>
      </c>
      <c r="N509" s="73" t="n">
        <f aca="false">IF($M509=0,0,OPERATIONS!$R209*$M509)</f>
        <v>0</v>
      </c>
      <c r="O509" s="26" t="str">
        <f aca="false">IF($M509=0,"",OPERATIONS!$Q209)</f>
        <v/>
      </c>
      <c r="P509" s="26" t="str">
        <f aca="false">IF($G509="","",IF($G509=R_LOT,COUNTIF($G$5:$G509,R_LOT),""))</f>
        <v/>
      </c>
    </row>
    <row r="510" customFormat="false" ht="15" hidden="false" customHeight="false" outlineLevel="0" collapsed="false">
      <c r="A510" s="28" t="str">
        <f aca="false">IF($M510=0,"",ROW()-4)</f>
        <v/>
      </c>
      <c r="B510" s="26" t="str">
        <f aca="false">IF($M510=0,"","OPERATIONS")</f>
        <v/>
      </c>
      <c r="C510" s="26" t="str">
        <f aca="false">IF($M510=0,"",OPERATIONS!$A210)</f>
        <v/>
      </c>
      <c r="D510" s="31" t="str">
        <f aca="false">IF($M510=0,"",OPERATIONS!$B210)</f>
        <v/>
      </c>
      <c r="E510" s="26" t="str">
        <f aca="false">IF($M510=0,"",IF($M510&lt;0,"SORTIE","ENTREE"))</f>
        <v/>
      </c>
      <c r="F510" s="26" t="str">
        <f aca="false">IF($M510=0,"",OPERATIONS!$C210)</f>
        <v/>
      </c>
      <c r="G510" s="26" t="str">
        <f aca="false">IF($M510=0,"",OPERATIONS!$D210)</f>
        <v/>
      </c>
      <c r="H510" s="26" t="str">
        <f aca="false">IF($G510="","",IFERROR(INDEX(LOT_EXTE,MATCH($G510,LOT_KEY,0)),""))</f>
        <v/>
      </c>
      <c r="I510" s="26" t="str">
        <f aca="false">IF($M510=0,"",OPERATIONS!$F210)</f>
        <v/>
      </c>
      <c r="J510" s="26" t="str">
        <f aca="false">IF($I510="","",IFERROR(INDEX(EMPL_CLASSE,MATCH($I510,EMPL_KEY,0)),""))</f>
        <v/>
      </c>
      <c r="K510" s="26" t="str">
        <f aca="false">IF($M510=0,"",OPERATIONS!$K210)</f>
        <v/>
      </c>
      <c r="L510" s="26" t="str">
        <f aca="false">IF($G510="","",IF(IFERROR(INDEX(LOT_ETAT,MATCH($G510,LOT_KEY,0)),"")="","",INDEX(LOT_ETAT,MATCH($G510,LOT_KEY,0))))</f>
        <v/>
      </c>
      <c r="M510" s="73" t="n">
        <f aca="false">IF(OR(OPERATIONS!$O210=0,OPERATIONS!$C210="CONSOMMATION"),0,OPERATIONS!$G210)</f>
        <v>0</v>
      </c>
      <c r="N510" s="73" t="n">
        <f aca="false">IF($M510=0,0,OPERATIONS!$R210*$M510)</f>
        <v>0</v>
      </c>
      <c r="O510" s="26" t="str">
        <f aca="false">IF($M510=0,"",OPERATIONS!$Q210)</f>
        <v/>
      </c>
      <c r="P510" s="26" t="str">
        <f aca="false">IF($G510="","",IF($G510=R_LOT,COUNTIF($G$5:$G510,R_LOT),""))</f>
        <v/>
      </c>
    </row>
    <row r="511" customFormat="false" ht="15" hidden="false" customHeight="false" outlineLevel="0" collapsed="false">
      <c r="A511" s="28" t="str">
        <f aca="false">IF($M511=0,"",ROW()-4)</f>
        <v/>
      </c>
      <c r="B511" s="26" t="str">
        <f aca="false">IF($M511=0,"","OPERATIONS")</f>
        <v/>
      </c>
      <c r="C511" s="26" t="str">
        <f aca="false">IF($M511=0,"",OPERATIONS!$A211)</f>
        <v/>
      </c>
      <c r="D511" s="31" t="str">
        <f aca="false">IF($M511=0,"",OPERATIONS!$B211)</f>
        <v/>
      </c>
      <c r="E511" s="26" t="str">
        <f aca="false">IF($M511=0,"",IF($M511&lt;0,"SORTIE","ENTREE"))</f>
        <v/>
      </c>
      <c r="F511" s="26" t="str">
        <f aca="false">IF($M511=0,"",OPERATIONS!$C211)</f>
        <v/>
      </c>
      <c r="G511" s="26" t="str">
        <f aca="false">IF($M511=0,"",OPERATIONS!$D211)</f>
        <v/>
      </c>
      <c r="H511" s="26" t="str">
        <f aca="false">IF($G511="","",IFERROR(INDEX(LOT_EXTE,MATCH($G511,LOT_KEY,0)),""))</f>
        <v/>
      </c>
      <c r="I511" s="26" t="str">
        <f aca="false">IF($M511=0,"",OPERATIONS!$F211)</f>
        <v/>
      </c>
      <c r="J511" s="26" t="str">
        <f aca="false">IF($I511="","",IFERROR(INDEX(EMPL_CLASSE,MATCH($I511,EMPL_KEY,0)),""))</f>
        <v/>
      </c>
      <c r="K511" s="26" t="str">
        <f aca="false">IF($M511=0,"",OPERATIONS!$K211)</f>
        <v/>
      </c>
      <c r="L511" s="26" t="str">
        <f aca="false">IF($G511="","",IF(IFERROR(INDEX(LOT_ETAT,MATCH($G511,LOT_KEY,0)),"")="","",INDEX(LOT_ETAT,MATCH($G511,LOT_KEY,0))))</f>
        <v/>
      </c>
      <c r="M511" s="73" t="n">
        <f aca="false">IF(OR(OPERATIONS!$O211=0,OPERATIONS!$C211="CONSOMMATION"),0,OPERATIONS!$G211)</f>
        <v>0</v>
      </c>
      <c r="N511" s="73" t="n">
        <f aca="false">IF($M511=0,0,OPERATIONS!$R211*$M511)</f>
        <v>0</v>
      </c>
      <c r="O511" s="26" t="str">
        <f aca="false">IF($M511=0,"",OPERATIONS!$Q211)</f>
        <v/>
      </c>
      <c r="P511" s="26" t="str">
        <f aca="false">IF($G511="","",IF($G511=R_LOT,COUNTIF($G$5:$G511,R_LOT),""))</f>
        <v/>
      </c>
    </row>
    <row r="512" customFormat="false" ht="15" hidden="false" customHeight="false" outlineLevel="0" collapsed="false">
      <c r="A512" s="28" t="str">
        <f aca="false">IF($M512=0,"",ROW()-4)</f>
        <v/>
      </c>
      <c r="B512" s="26" t="str">
        <f aca="false">IF($M512=0,"","OPERATIONS")</f>
        <v/>
      </c>
      <c r="C512" s="26" t="str">
        <f aca="false">IF($M512=0,"",OPERATIONS!$A212)</f>
        <v/>
      </c>
      <c r="D512" s="31" t="str">
        <f aca="false">IF($M512=0,"",OPERATIONS!$B212)</f>
        <v/>
      </c>
      <c r="E512" s="26" t="str">
        <f aca="false">IF($M512=0,"",IF($M512&lt;0,"SORTIE","ENTREE"))</f>
        <v/>
      </c>
      <c r="F512" s="26" t="str">
        <f aca="false">IF($M512=0,"",OPERATIONS!$C212)</f>
        <v/>
      </c>
      <c r="G512" s="26" t="str">
        <f aca="false">IF($M512=0,"",OPERATIONS!$D212)</f>
        <v/>
      </c>
      <c r="H512" s="26" t="str">
        <f aca="false">IF($G512="","",IFERROR(INDEX(LOT_EXTE,MATCH($G512,LOT_KEY,0)),""))</f>
        <v/>
      </c>
      <c r="I512" s="26" t="str">
        <f aca="false">IF($M512=0,"",OPERATIONS!$F212)</f>
        <v/>
      </c>
      <c r="J512" s="26" t="str">
        <f aca="false">IF($I512="","",IFERROR(INDEX(EMPL_CLASSE,MATCH($I512,EMPL_KEY,0)),""))</f>
        <v/>
      </c>
      <c r="K512" s="26" t="str">
        <f aca="false">IF($M512=0,"",OPERATIONS!$K212)</f>
        <v/>
      </c>
      <c r="L512" s="26" t="str">
        <f aca="false">IF($G512="","",IF(IFERROR(INDEX(LOT_ETAT,MATCH($G512,LOT_KEY,0)),"")="","",INDEX(LOT_ETAT,MATCH($G512,LOT_KEY,0))))</f>
        <v/>
      </c>
      <c r="M512" s="73" t="n">
        <f aca="false">IF(OR(OPERATIONS!$O212=0,OPERATIONS!$C212="CONSOMMATION"),0,OPERATIONS!$G212)</f>
        <v>0</v>
      </c>
      <c r="N512" s="73" t="n">
        <f aca="false">IF($M512=0,0,OPERATIONS!$R212*$M512)</f>
        <v>0</v>
      </c>
      <c r="O512" s="26" t="str">
        <f aca="false">IF($M512=0,"",OPERATIONS!$Q212)</f>
        <v/>
      </c>
      <c r="P512" s="26" t="str">
        <f aca="false">IF($G512="","",IF($G512=R_LOT,COUNTIF($G$5:$G512,R_LOT),""))</f>
        <v/>
      </c>
    </row>
    <row r="513" customFormat="false" ht="15" hidden="false" customHeight="false" outlineLevel="0" collapsed="false">
      <c r="A513" s="28" t="str">
        <f aca="false">IF($M513=0,"",ROW()-4)</f>
        <v/>
      </c>
      <c r="B513" s="26" t="str">
        <f aca="false">IF($M513=0,"","OPERATIONS")</f>
        <v/>
      </c>
      <c r="C513" s="26" t="str">
        <f aca="false">IF($M513=0,"",OPERATIONS!$A213)</f>
        <v/>
      </c>
      <c r="D513" s="31" t="str">
        <f aca="false">IF($M513=0,"",OPERATIONS!$B213)</f>
        <v/>
      </c>
      <c r="E513" s="26" t="str">
        <f aca="false">IF($M513=0,"",IF($M513&lt;0,"SORTIE","ENTREE"))</f>
        <v/>
      </c>
      <c r="F513" s="26" t="str">
        <f aca="false">IF($M513=0,"",OPERATIONS!$C213)</f>
        <v/>
      </c>
      <c r="G513" s="26" t="str">
        <f aca="false">IF($M513=0,"",OPERATIONS!$D213)</f>
        <v/>
      </c>
      <c r="H513" s="26" t="str">
        <f aca="false">IF($G513="","",IFERROR(INDEX(LOT_EXTE,MATCH($G513,LOT_KEY,0)),""))</f>
        <v/>
      </c>
      <c r="I513" s="26" t="str">
        <f aca="false">IF($M513=0,"",OPERATIONS!$F213)</f>
        <v/>
      </c>
      <c r="J513" s="26" t="str">
        <f aca="false">IF($I513="","",IFERROR(INDEX(EMPL_CLASSE,MATCH($I513,EMPL_KEY,0)),""))</f>
        <v/>
      </c>
      <c r="K513" s="26" t="str">
        <f aca="false">IF($M513=0,"",OPERATIONS!$K213)</f>
        <v/>
      </c>
      <c r="L513" s="26" t="str">
        <f aca="false">IF($G513="","",IF(IFERROR(INDEX(LOT_ETAT,MATCH($G513,LOT_KEY,0)),"")="","",INDEX(LOT_ETAT,MATCH($G513,LOT_KEY,0))))</f>
        <v/>
      </c>
      <c r="M513" s="73" t="n">
        <f aca="false">IF(OR(OPERATIONS!$O213=0,OPERATIONS!$C213="CONSOMMATION"),0,OPERATIONS!$G213)</f>
        <v>0</v>
      </c>
      <c r="N513" s="73" t="n">
        <f aca="false">IF($M513=0,0,OPERATIONS!$R213*$M513)</f>
        <v>0</v>
      </c>
      <c r="O513" s="26" t="str">
        <f aca="false">IF($M513=0,"",OPERATIONS!$Q213)</f>
        <v/>
      </c>
      <c r="P513" s="26" t="str">
        <f aca="false">IF($G513="","",IF($G513=R_LOT,COUNTIF($G$5:$G513,R_LOT),""))</f>
        <v/>
      </c>
    </row>
    <row r="514" customFormat="false" ht="15" hidden="false" customHeight="false" outlineLevel="0" collapsed="false">
      <c r="A514" s="28" t="str">
        <f aca="false">IF($M514=0,"",ROW()-4)</f>
        <v/>
      </c>
      <c r="B514" s="26" t="str">
        <f aca="false">IF($M514=0,"","OPERATIONS")</f>
        <v/>
      </c>
      <c r="C514" s="26" t="str">
        <f aca="false">IF($M514=0,"",OPERATIONS!$A214)</f>
        <v/>
      </c>
      <c r="D514" s="31" t="str">
        <f aca="false">IF($M514=0,"",OPERATIONS!$B214)</f>
        <v/>
      </c>
      <c r="E514" s="26" t="str">
        <f aca="false">IF($M514=0,"",IF($M514&lt;0,"SORTIE","ENTREE"))</f>
        <v/>
      </c>
      <c r="F514" s="26" t="str">
        <f aca="false">IF($M514=0,"",OPERATIONS!$C214)</f>
        <v/>
      </c>
      <c r="G514" s="26" t="str">
        <f aca="false">IF($M514=0,"",OPERATIONS!$D214)</f>
        <v/>
      </c>
      <c r="H514" s="26" t="str">
        <f aca="false">IF($G514="","",IFERROR(INDEX(LOT_EXTE,MATCH($G514,LOT_KEY,0)),""))</f>
        <v/>
      </c>
      <c r="I514" s="26" t="str">
        <f aca="false">IF($M514=0,"",OPERATIONS!$F214)</f>
        <v/>
      </c>
      <c r="J514" s="26" t="str">
        <f aca="false">IF($I514="","",IFERROR(INDEX(EMPL_CLASSE,MATCH($I514,EMPL_KEY,0)),""))</f>
        <v/>
      </c>
      <c r="K514" s="26" t="str">
        <f aca="false">IF($M514=0,"",OPERATIONS!$K214)</f>
        <v/>
      </c>
      <c r="L514" s="26" t="str">
        <f aca="false">IF($G514="","",IF(IFERROR(INDEX(LOT_ETAT,MATCH($G514,LOT_KEY,0)),"")="","",INDEX(LOT_ETAT,MATCH($G514,LOT_KEY,0))))</f>
        <v/>
      </c>
      <c r="M514" s="73" t="n">
        <f aca="false">IF(OR(OPERATIONS!$O214=0,OPERATIONS!$C214="CONSOMMATION"),0,OPERATIONS!$G214)</f>
        <v>0</v>
      </c>
      <c r="N514" s="73" t="n">
        <f aca="false">IF($M514=0,0,OPERATIONS!$R214*$M514)</f>
        <v>0</v>
      </c>
      <c r="O514" s="26" t="str">
        <f aca="false">IF($M514=0,"",OPERATIONS!$Q214)</f>
        <v/>
      </c>
      <c r="P514" s="26" t="str">
        <f aca="false">IF($G514="","",IF($G514=R_LOT,COUNTIF($G$5:$G514,R_LOT),""))</f>
        <v/>
      </c>
    </row>
    <row r="515" customFormat="false" ht="15" hidden="false" customHeight="false" outlineLevel="0" collapsed="false">
      <c r="A515" s="28" t="str">
        <f aca="false">IF($M515=0,"",ROW()-4)</f>
        <v/>
      </c>
      <c r="B515" s="26" t="str">
        <f aca="false">IF($M515=0,"","OPERATIONS")</f>
        <v/>
      </c>
      <c r="C515" s="26" t="str">
        <f aca="false">IF($M515=0,"",OPERATIONS!$A215)</f>
        <v/>
      </c>
      <c r="D515" s="31" t="str">
        <f aca="false">IF($M515=0,"",OPERATIONS!$B215)</f>
        <v/>
      </c>
      <c r="E515" s="26" t="str">
        <f aca="false">IF($M515=0,"",IF($M515&lt;0,"SORTIE","ENTREE"))</f>
        <v/>
      </c>
      <c r="F515" s="26" t="str">
        <f aca="false">IF($M515=0,"",OPERATIONS!$C215)</f>
        <v/>
      </c>
      <c r="G515" s="26" t="str">
        <f aca="false">IF($M515=0,"",OPERATIONS!$D215)</f>
        <v/>
      </c>
      <c r="H515" s="26" t="str">
        <f aca="false">IF($G515="","",IFERROR(INDEX(LOT_EXTE,MATCH($G515,LOT_KEY,0)),""))</f>
        <v/>
      </c>
      <c r="I515" s="26" t="str">
        <f aca="false">IF($M515=0,"",OPERATIONS!$F215)</f>
        <v/>
      </c>
      <c r="J515" s="26" t="str">
        <f aca="false">IF($I515="","",IFERROR(INDEX(EMPL_CLASSE,MATCH($I515,EMPL_KEY,0)),""))</f>
        <v/>
      </c>
      <c r="K515" s="26" t="str">
        <f aca="false">IF($M515=0,"",OPERATIONS!$K215)</f>
        <v/>
      </c>
      <c r="L515" s="26" t="str">
        <f aca="false">IF($G515="","",IF(IFERROR(INDEX(LOT_ETAT,MATCH($G515,LOT_KEY,0)),"")="","",INDEX(LOT_ETAT,MATCH($G515,LOT_KEY,0))))</f>
        <v/>
      </c>
      <c r="M515" s="73" t="n">
        <f aca="false">IF(OR(OPERATIONS!$O215=0,OPERATIONS!$C215="CONSOMMATION"),0,OPERATIONS!$G215)</f>
        <v>0</v>
      </c>
      <c r="N515" s="73" t="n">
        <f aca="false">IF($M515=0,0,OPERATIONS!$R215*$M515)</f>
        <v>0</v>
      </c>
      <c r="O515" s="26" t="str">
        <f aca="false">IF($M515=0,"",OPERATIONS!$Q215)</f>
        <v/>
      </c>
      <c r="P515" s="26" t="str">
        <f aca="false">IF($G515="","",IF($G515=R_LOT,COUNTIF($G$5:$G515,R_LOT),""))</f>
        <v/>
      </c>
    </row>
    <row r="516" customFormat="false" ht="15" hidden="false" customHeight="false" outlineLevel="0" collapsed="false">
      <c r="A516" s="28" t="str">
        <f aca="false">IF($M516=0,"",ROW()-4)</f>
        <v/>
      </c>
      <c r="B516" s="26" t="str">
        <f aca="false">IF($M516=0,"","OPERATIONS")</f>
        <v/>
      </c>
      <c r="C516" s="26" t="str">
        <f aca="false">IF($M516=0,"",OPERATIONS!$A216)</f>
        <v/>
      </c>
      <c r="D516" s="31" t="str">
        <f aca="false">IF($M516=0,"",OPERATIONS!$B216)</f>
        <v/>
      </c>
      <c r="E516" s="26" t="str">
        <f aca="false">IF($M516=0,"",IF($M516&lt;0,"SORTIE","ENTREE"))</f>
        <v/>
      </c>
      <c r="F516" s="26" t="str">
        <f aca="false">IF($M516=0,"",OPERATIONS!$C216)</f>
        <v/>
      </c>
      <c r="G516" s="26" t="str">
        <f aca="false">IF($M516=0,"",OPERATIONS!$D216)</f>
        <v/>
      </c>
      <c r="H516" s="26" t="str">
        <f aca="false">IF($G516="","",IFERROR(INDEX(LOT_EXTE,MATCH($G516,LOT_KEY,0)),""))</f>
        <v/>
      </c>
      <c r="I516" s="26" t="str">
        <f aca="false">IF($M516=0,"",OPERATIONS!$F216)</f>
        <v/>
      </c>
      <c r="J516" s="26" t="str">
        <f aca="false">IF($I516="","",IFERROR(INDEX(EMPL_CLASSE,MATCH($I516,EMPL_KEY,0)),""))</f>
        <v/>
      </c>
      <c r="K516" s="26" t="str">
        <f aca="false">IF($M516=0,"",OPERATIONS!$K216)</f>
        <v/>
      </c>
      <c r="L516" s="26" t="str">
        <f aca="false">IF($G516="","",IF(IFERROR(INDEX(LOT_ETAT,MATCH($G516,LOT_KEY,0)),"")="","",INDEX(LOT_ETAT,MATCH($G516,LOT_KEY,0))))</f>
        <v/>
      </c>
      <c r="M516" s="73" t="n">
        <f aca="false">IF(OR(OPERATIONS!$O216=0,OPERATIONS!$C216="CONSOMMATION"),0,OPERATIONS!$G216)</f>
        <v>0</v>
      </c>
      <c r="N516" s="73" t="n">
        <f aca="false">IF($M516=0,0,OPERATIONS!$R216*$M516)</f>
        <v>0</v>
      </c>
      <c r="O516" s="26" t="str">
        <f aca="false">IF($M516=0,"",OPERATIONS!$Q216)</f>
        <v/>
      </c>
      <c r="P516" s="26" t="str">
        <f aca="false">IF($G516="","",IF($G516=R_LOT,COUNTIF($G$5:$G516,R_LOT),""))</f>
        <v/>
      </c>
    </row>
    <row r="517" customFormat="false" ht="15" hidden="false" customHeight="false" outlineLevel="0" collapsed="false">
      <c r="A517" s="28" t="str">
        <f aca="false">IF($M517=0,"",ROW()-4)</f>
        <v/>
      </c>
      <c r="B517" s="26" t="str">
        <f aca="false">IF($M517=0,"","OPERATIONS")</f>
        <v/>
      </c>
      <c r="C517" s="26" t="str">
        <f aca="false">IF($M517=0,"",OPERATIONS!$A217)</f>
        <v/>
      </c>
      <c r="D517" s="31" t="str">
        <f aca="false">IF($M517=0,"",OPERATIONS!$B217)</f>
        <v/>
      </c>
      <c r="E517" s="26" t="str">
        <f aca="false">IF($M517=0,"",IF($M517&lt;0,"SORTIE","ENTREE"))</f>
        <v/>
      </c>
      <c r="F517" s="26" t="str">
        <f aca="false">IF($M517=0,"",OPERATIONS!$C217)</f>
        <v/>
      </c>
      <c r="G517" s="26" t="str">
        <f aca="false">IF($M517=0,"",OPERATIONS!$D217)</f>
        <v/>
      </c>
      <c r="H517" s="26" t="str">
        <f aca="false">IF($G517="","",IFERROR(INDEX(LOT_EXTE,MATCH($G517,LOT_KEY,0)),""))</f>
        <v/>
      </c>
      <c r="I517" s="26" t="str">
        <f aca="false">IF($M517=0,"",OPERATIONS!$F217)</f>
        <v/>
      </c>
      <c r="J517" s="26" t="str">
        <f aca="false">IF($I517="","",IFERROR(INDEX(EMPL_CLASSE,MATCH($I517,EMPL_KEY,0)),""))</f>
        <v/>
      </c>
      <c r="K517" s="26" t="str">
        <f aca="false">IF($M517=0,"",OPERATIONS!$K217)</f>
        <v/>
      </c>
      <c r="L517" s="26" t="str">
        <f aca="false">IF($G517="","",IF(IFERROR(INDEX(LOT_ETAT,MATCH($G517,LOT_KEY,0)),"")="","",INDEX(LOT_ETAT,MATCH($G517,LOT_KEY,0))))</f>
        <v/>
      </c>
      <c r="M517" s="73" t="n">
        <f aca="false">IF(OR(OPERATIONS!$O217=0,OPERATIONS!$C217="CONSOMMATION"),0,OPERATIONS!$G217)</f>
        <v>0</v>
      </c>
      <c r="N517" s="73" t="n">
        <f aca="false">IF($M517=0,0,OPERATIONS!$R217*$M517)</f>
        <v>0</v>
      </c>
      <c r="O517" s="26" t="str">
        <f aca="false">IF($M517=0,"",OPERATIONS!$Q217)</f>
        <v/>
      </c>
      <c r="P517" s="26" t="str">
        <f aca="false">IF($G517="","",IF($G517=R_LOT,COUNTIF($G$5:$G517,R_LOT),""))</f>
        <v/>
      </c>
    </row>
    <row r="518" customFormat="false" ht="15" hidden="false" customHeight="false" outlineLevel="0" collapsed="false">
      <c r="A518" s="28" t="str">
        <f aca="false">IF($M518=0,"",ROW()-4)</f>
        <v/>
      </c>
      <c r="B518" s="26" t="str">
        <f aca="false">IF($M518=0,"","OPERATIONS")</f>
        <v/>
      </c>
      <c r="C518" s="26" t="str">
        <f aca="false">IF($M518=0,"",OPERATIONS!$A218)</f>
        <v/>
      </c>
      <c r="D518" s="31" t="str">
        <f aca="false">IF($M518=0,"",OPERATIONS!$B218)</f>
        <v/>
      </c>
      <c r="E518" s="26" t="str">
        <f aca="false">IF($M518=0,"",IF($M518&lt;0,"SORTIE","ENTREE"))</f>
        <v/>
      </c>
      <c r="F518" s="26" t="str">
        <f aca="false">IF($M518=0,"",OPERATIONS!$C218)</f>
        <v/>
      </c>
      <c r="G518" s="26" t="str">
        <f aca="false">IF($M518=0,"",OPERATIONS!$D218)</f>
        <v/>
      </c>
      <c r="H518" s="26" t="str">
        <f aca="false">IF($G518="","",IFERROR(INDEX(LOT_EXTE,MATCH($G518,LOT_KEY,0)),""))</f>
        <v/>
      </c>
      <c r="I518" s="26" t="str">
        <f aca="false">IF($M518=0,"",OPERATIONS!$F218)</f>
        <v/>
      </c>
      <c r="J518" s="26" t="str">
        <f aca="false">IF($I518="","",IFERROR(INDEX(EMPL_CLASSE,MATCH($I518,EMPL_KEY,0)),""))</f>
        <v/>
      </c>
      <c r="K518" s="26" t="str">
        <f aca="false">IF($M518=0,"",OPERATIONS!$K218)</f>
        <v/>
      </c>
      <c r="L518" s="26" t="str">
        <f aca="false">IF($G518="","",IF(IFERROR(INDEX(LOT_ETAT,MATCH($G518,LOT_KEY,0)),"")="","",INDEX(LOT_ETAT,MATCH($G518,LOT_KEY,0))))</f>
        <v/>
      </c>
      <c r="M518" s="73" t="n">
        <f aca="false">IF(OR(OPERATIONS!$O218=0,OPERATIONS!$C218="CONSOMMATION"),0,OPERATIONS!$G218)</f>
        <v>0</v>
      </c>
      <c r="N518" s="73" t="n">
        <f aca="false">IF($M518=0,0,OPERATIONS!$R218*$M518)</f>
        <v>0</v>
      </c>
      <c r="O518" s="26" t="str">
        <f aca="false">IF($M518=0,"",OPERATIONS!$Q218)</f>
        <v/>
      </c>
      <c r="P518" s="26" t="str">
        <f aca="false">IF($G518="","",IF($G518=R_LOT,COUNTIF($G$5:$G518,R_LOT),""))</f>
        <v/>
      </c>
    </row>
    <row r="519" customFormat="false" ht="15" hidden="false" customHeight="false" outlineLevel="0" collapsed="false">
      <c r="A519" s="28" t="str">
        <f aca="false">IF($M519=0,"",ROW()-4)</f>
        <v/>
      </c>
      <c r="B519" s="26" t="str">
        <f aca="false">IF($M519=0,"","OPERATIONS")</f>
        <v/>
      </c>
      <c r="C519" s="26" t="str">
        <f aca="false">IF($M519=0,"",OPERATIONS!$A219)</f>
        <v/>
      </c>
      <c r="D519" s="31" t="str">
        <f aca="false">IF($M519=0,"",OPERATIONS!$B219)</f>
        <v/>
      </c>
      <c r="E519" s="26" t="str">
        <f aca="false">IF($M519=0,"",IF($M519&lt;0,"SORTIE","ENTREE"))</f>
        <v/>
      </c>
      <c r="F519" s="26" t="str">
        <f aca="false">IF($M519=0,"",OPERATIONS!$C219)</f>
        <v/>
      </c>
      <c r="G519" s="26" t="str">
        <f aca="false">IF($M519=0,"",OPERATIONS!$D219)</f>
        <v/>
      </c>
      <c r="H519" s="26" t="str">
        <f aca="false">IF($G519="","",IFERROR(INDEX(LOT_EXTE,MATCH($G519,LOT_KEY,0)),""))</f>
        <v/>
      </c>
      <c r="I519" s="26" t="str">
        <f aca="false">IF($M519=0,"",OPERATIONS!$F219)</f>
        <v/>
      </c>
      <c r="J519" s="26" t="str">
        <f aca="false">IF($I519="","",IFERROR(INDEX(EMPL_CLASSE,MATCH($I519,EMPL_KEY,0)),""))</f>
        <v/>
      </c>
      <c r="K519" s="26" t="str">
        <f aca="false">IF($M519=0,"",OPERATIONS!$K219)</f>
        <v/>
      </c>
      <c r="L519" s="26" t="str">
        <f aca="false">IF($G519="","",IF(IFERROR(INDEX(LOT_ETAT,MATCH($G519,LOT_KEY,0)),"")="","",INDEX(LOT_ETAT,MATCH($G519,LOT_KEY,0))))</f>
        <v/>
      </c>
      <c r="M519" s="73" t="n">
        <f aca="false">IF(OR(OPERATIONS!$O219=0,OPERATIONS!$C219="CONSOMMATION"),0,OPERATIONS!$G219)</f>
        <v>0</v>
      </c>
      <c r="N519" s="73" t="n">
        <f aca="false">IF($M519=0,0,OPERATIONS!$R219*$M519)</f>
        <v>0</v>
      </c>
      <c r="O519" s="26" t="str">
        <f aca="false">IF($M519=0,"",OPERATIONS!$Q219)</f>
        <v/>
      </c>
      <c r="P519" s="26" t="str">
        <f aca="false">IF($G519="","",IF($G519=R_LOT,COUNTIF($G$5:$G519,R_LOT),""))</f>
        <v/>
      </c>
    </row>
    <row r="520" customFormat="false" ht="15" hidden="false" customHeight="false" outlineLevel="0" collapsed="false">
      <c r="A520" s="28" t="str">
        <f aca="false">IF($M520=0,"",ROW()-4)</f>
        <v/>
      </c>
      <c r="B520" s="26" t="str">
        <f aca="false">IF($M520=0,"","OPERATIONS")</f>
        <v/>
      </c>
      <c r="C520" s="26" t="str">
        <f aca="false">IF($M520=0,"",OPERATIONS!$A220)</f>
        <v/>
      </c>
      <c r="D520" s="31" t="str">
        <f aca="false">IF($M520=0,"",OPERATIONS!$B220)</f>
        <v/>
      </c>
      <c r="E520" s="26" t="str">
        <f aca="false">IF($M520=0,"",IF($M520&lt;0,"SORTIE","ENTREE"))</f>
        <v/>
      </c>
      <c r="F520" s="26" t="str">
        <f aca="false">IF($M520=0,"",OPERATIONS!$C220)</f>
        <v/>
      </c>
      <c r="G520" s="26" t="str">
        <f aca="false">IF($M520=0,"",OPERATIONS!$D220)</f>
        <v/>
      </c>
      <c r="H520" s="26" t="str">
        <f aca="false">IF($G520="","",IFERROR(INDEX(LOT_EXTE,MATCH($G520,LOT_KEY,0)),""))</f>
        <v/>
      </c>
      <c r="I520" s="26" t="str">
        <f aca="false">IF($M520=0,"",OPERATIONS!$F220)</f>
        <v/>
      </c>
      <c r="J520" s="26" t="str">
        <f aca="false">IF($I520="","",IFERROR(INDEX(EMPL_CLASSE,MATCH($I520,EMPL_KEY,0)),""))</f>
        <v/>
      </c>
      <c r="K520" s="26" t="str">
        <f aca="false">IF($M520=0,"",OPERATIONS!$K220)</f>
        <v/>
      </c>
      <c r="L520" s="26" t="str">
        <f aca="false">IF($G520="","",IF(IFERROR(INDEX(LOT_ETAT,MATCH($G520,LOT_KEY,0)),"")="","",INDEX(LOT_ETAT,MATCH($G520,LOT_KEY,0))))</f>
        <v/>
      </c>
      <c r="M520" s="73" t="n">
        <f aca="false">IF(OR(OPERATIONS!$O220=0,OPERATIONS!$C220="CONSOMMATION"),0,OPERATIONS!$G220)</f>
        <v>0</v>
      </c>
      <c r="N520" s="73" t="n">
        <f aca="false">IF($M520=0,0,OPERATIONS!$R220*$M520)</f>
        <v>0</v>
      </c>
      <c r="O520" s="26" t="str">
        <f aca="false">IF($M520=0,"",OPERATIONS!$Q220)</f>
        <v/>
      </c>
      <c r="P520" s="26" t="str">
        <f aca="false">IF($G520="","",IF($G520=R_LOT,COUNTIF($G$5:$G520,R_LOT),""))</f>
        <v/>
      </c>
    </row>
    <row r="521" customFormat="false" ht="15" hidden="false" customHeight="false" outlineLevel="0" collapsed="false">
      <c r="A521" s="28" t="str">
        <f aca="false">IF($M521=0,"",ROW()-4)</f>
        <v/>
      </c>
      <c r="B521" s="26" t="str">
        <f aca="false">IF($M521=0,"","OPERATIONS")</f>
        <v/>
      </c>
      <c r="C521" s="26" t="str">
        <f aca="false">IF($M521=0,"",OPERATIONS!$A221)</f>
        <v/>
      </c>
      <c r="D521" s="31" t="str">
        <f aca="false">IF($M521=0,"",OPERATIONS!$B221)</f>
        <v/>
      </c>
      <c r="E521" s="26" t="str">
        <f aca="false">IF($M521=0,"",IF($M521&lt;0,"SORTIE","ENTREE"))</f>
        <v/>
      </c>
      <c r="F521" s="26" t="str">
        <f aca="false">IF($M521=0,"",OPERATIONS!$C221)</f>
        <v/>
      </c>
      <c r="G521" s="26" t="str">
        <f aca="false">IF($M521=0,"",OPERATIONS!$D221)</f>
        <v/>
      </c>
      <c r="H521" s="26" t="str">
        <f aca="false">IF($G521="","",IFERROR(INDEX(LOT_EXTE,MATCH($G521,LOT_KEY,0)),""))</f>
        <v/>
      </c>
      <c r="I521" s="26" t="str">
        <f aca="false">IF($M521=0,"",OPERATIONS!$F221)</f>
        <v/>
      </c>
      <c r="J521" s="26" t="str">
        <f aca="false">IF($I521="","",IFERROR(INDEX(EMPL_CLASSE,MATCH($I521,EMPL_KEY,0)),""))</f>
        <v/>
      </c>
      <c r="K521" s="26" t="str">
        <f aca="false">IF($M521=0,"",OPERATIONS!$K221)</f>
        <v/>
      </c>
      <c r="L521" s="26" t="str">
        <f aca="false">IF($G521="","",IF(IFERROR(INDEX(LOT_ETAT,MATCH($G521,LOT_KEY,0)),"")="","",INDEX(LOT_ETAT,MATCH($G521,LOT_KEY,0))))</f>
        <v/>
      </c>
      <c r="M521" s="73" t="n">
        <f aca="false">IF(OR(OPERATIONS!$O221=0,OPERATIONS!$C221="CONSOMMATION"),0,OPERATIONS!$G221)</f>
        <v>0</v>
      </c>
      <c r="N521" s="73" t="n">
        <f aca="false">IF($M521=0,0,OPERATIONS!$R221*$M521)</f>
        <v>0</v>
      </c>
      <c r="O521" s="26" t="str">
        <f aca="false">IF($M521=0,"",OPERATIONS!$Q221)</f>
        <v/>
      </c>
      <c r="P521" s="26" t="str">
        <f aca="false">IF($G521="","",IF($G521=R_LOT,COUNTIF($G$5:$G521,R_LOT),""))</f>
        <v/>
      </c>
    </row>
    <row r="522" customFormat="false" ht="15" hidden="false" customHeight="false" outlineLevel="0" collapsed="false">
      <c r="A522" s="28" t="str">
        <f aca="false">IF($M522=0,"",ROW()-4)</f>
        <v/>
      </c>
      <c r="B522" s="26" t="str">
        <f aca="false">IF($M522=0,"","OPERATIONS")</f>
        <v/>
      </c>
      <c r="C522" s="26" t="str">
        <f aca="false">IF($M522=0,"",OPERATIONS!$A222)</f>
        <v/>
      </c>
      <c r="D522" s="31" t="str">
        <f aca="false">IF($M522=0,"",OPERATIONS!$B222)</f>
        <v/>
      </c>
      <c r="E522" s="26" t="str">
        <f aca="false">IF($M522=0,"",IF($M522&lt;0,"SORTIE","ENTREE"))</f>
        <v/>
      </c>
      <c r="F522" s="26" t="str">
        <f aca="false">IF($M522=0,"",OPERATIONS!$C222)</f>
        <v/>
      </c>
      <c r="G522" s="26" t="str">
        <f aca="false">IF($M522=0,"",OPERATIONS!$D222)</f>
        <v/>
      </c>
      <c r="H522" s="26" t="str">
        <f aca="false">IF($G522="","",IFERROR(INDEX(LOT_EXTE,MATCH($G522,LOT_KEY,0)),""))</f>
        <v/>
      </c>
      <c r="I522" s="26" t="str">
        <f aca="false">IF($M522=0,"",OPERATIONS!$F222)</f>
        <v/>
      </c>
      <c r="J522" s="26" t="str">
        <f aca="false">IF($I522="","",IFERROR(INDEX(EMPL_CLASSE,MATCH($I522,EMPL_KEY,0)),""))</f>
        <v/>
      </c>
      <c r="K522" s="26" t="str">
        <f aca="false">IF($M522=0,"",OPERATIONS!$K222)</f>
        <v/>
      </c>
      <c r="L522" s="26" t="str">
        <f aca="false">IF($G522="","",IF(IFERROR(INDEX(LOT_ETAT,MATCH($G522,LOT_KEY,0)),"")="","",INDEX(LOT_ETAT,MATCH($G522,LOT_KEY,0))))</f>
        <v/>
      </c>
      <c r="M522" s="73" t="n">
        <f aca="false">IF(OR(OPERATIONS!$O222=0,OPERATIONS!$C222="CONSOMMATION"),0,OPERATIONS!$G222)</f>
        <v>0</v>
      </c>
      <c r="N522" s="73" t="n">
        <f aca="false">IF($M522=0,0,OPERATIONS!$R222*$M522)</f>
        <v>0</v>
      </c>
      <c r="O522" s="26" t="str">
        <f aca="false">IF($M522=0,"",OPERATIONS!$Q222)</f>
        <v/>
      </c>
      <c r="P522" s="26" t="str">
        <f aca="false">IF($G522="","",IF($G522=R_LOT,COUNTIF($G$5:$G522,R_LOT),""))</f>
        <v/>
      </c>
    </row>
    <row r="523" customFormat="false" ht="15" hidden="false" customHeight="false" outlineLevel="0" collapsed="false">
      <c r="A523" s="28" t="str">
        <f aca="false">IF($M523=0,"",ROW()-4)</f>
        <v/>
      </c>
      <c r="B523" s="26" t="str">
        <f aca="false">IF($M523=0,"","OPERATIONS")</f>
        <v/>
      </c>
      <c r="C523" s="26" t="str">
        <f aca="false">IF($M523=0,"",OPERATIONS!$A223)</f>
        <v/>
      </c>
      <c r="D523" s="31" t="str">
        <f aca="false">IF($M523=0,"",OPERATIONS!$B223)</f>
        <v/>
      </c>
      <c r="E523" s="26" t="str">
        <f aca="false">IF($M523=0,"",IF($M523&lt;0,"SORTIE","ENTREE"))</f>
        <v/>
      </c>
      <c r="F523" s="26" t="str">
        <f aca="false">IF($M523=0,"",OPERATIONS!$C223)</f>
        <v/>
      </c>
      <c r="G523" s="26" t="str">
        <f aca="false">IF($M523=0,"",OPERATIONS!$D223)</f>
        <v/>
      </c>
      <c r="H523" s="26" t="str">
        <f aca="false">IF($G523="","",IFERROR(INDEX(LOT_EXTE,MATCH($G523,LOT_KEY,0)),""))</f>
        <v/>
      </c>
      <c r="I523" s="26" t="str">
        <f aca="false">IF($M523=0,"",OPERATIONS!$F223)</f>
        <v/>
      </c>
      <c r="J523" s="26" t="str">
        <f aca="false">IF($I523="","",IFERROR(INDEX(EMPL_CLASSE,MATCH($I523,EMPL_KEY,0)),""))</f>
        <v/>
      </c>
      <c r="K523" s="26" t="str">
        <f aca="false">IF($M523=0,"",OPERATIONS!$K223)</f>
        <v/>
      </c>
      <c r="L523" s="26" t="str">
        <f aca="false">IF($G523="","",IF(IFERROR(INDEX(LOT_ETAT,MATCH($G523,LOT_KEY,0)),"")="","",INDEX(LOT_ETAT,MATCH($G523,LOT_KEY,0))))</f>
        <v/>
      </c>
      <c r="M523" s="73" t="n">
        <f aca="false">IF(OR(OPERATIONS!$O223=0,OPERATIONS!$C223="CONSOMMATION"),0,OPERATIONS!$G223)</f>
        <v>0</v>
      </c>
      <c r="N523" s="73" t="n">
        <f aca="false">IF($M523=0,0,OPERATIONS!$R223*$M523)</f>
        <v>0</v>
      </c>
      <c r="O523" s="26" t="str">
        <f aca="false">IF($M523=0,"",OPERATIONS!$Q223)</f>
        <v/>
      </c>
      <c r="P523" s="26" t="str">
        <f aca="false">IF($G523="","",IF($G523=R_LOT,COUNTIF($G$5:$G523,R_LOT),""))</f>
        <v/>
      </c>
    </row>
    <row r="524" customFormat="false" ht="15" hidden="false" customHeight="false" outlineLevel="0" collapsed="false">
      <c r="A524" s="28" t="str">
        <f aca="false">IF($M524=0,"",ROW()-4)</f>
        <v/>
      </c>
      <c r="B524" s="26" t="str">
        <f aca="false">IF($M524=0,"","OPERATIONS")</f>
        <v/>
      </c>
      <c r="C524" s="26" t="str">
        <f aca="false">IF($M524=0,"",OPERATIONS!$A224)</f>
        <v/>
      </c>
      <c r="D524" s="31" t="str">
        <f aca="false">IF($M524=0,"",OPERATIONS!$B224)</f>
        <v/>
      </c>
      <c r="E524" s="26" t="str">
        <f aca="false">IF($M524=0,"",IF($M524&lt;0,"SORTIE","ENTREE"))</f>
        <v/>
      </c>
      <c r="F524" s="26" t="str">
        <f aca="false">IF($M524=0,"",OPERATIONS!$C224)</f>
        <v/>
      </c>
      <c r="G524" s="26" t="str">
        <f aca="false">IF($M524=0,"",OPERATIONS!$D224)</f>
        <v/>
      </c>
      <c r="H524" s="26" t="str">
        <f aca="false">IF($G524="","",IFERROR(INDEX(LOT_EXTE,MATCH($G524,LOT_KEY,0)),""))</f>
        <v/>
      </c>
      <c r="I524" s="26" t="str">
        <f aca="false">IF($M524=0,"",OPERATIONS!$F224)</f>
        <v/>
      </c>
      <c r="J524" s="26" t="str">
        <f aca="false">IF($I524="","",IFERROR(INDEX(EMPL_CLASSE,MATCH($I524,EMPL_KEY,0)),""))</f>
        <v/>
      </c>
      <c r="K524" s="26" t="str">
        <f aca="false">IF($M524=0,"",OPERATIONS!$K224)</f>
        <v/>
      </c>
      <c r="L524" s="26" t="str">
        <f aca="false">IF($G524="","",IF(IFERROR(INDEX(LOT_ETAT,MATCH($G524,LOT_KEY,0)),"")="","",INDEX(LOT_ETAT,MATCH($G524,LOT_KEY,0))))</f>
        <v/>
      </c>
      <c r="M524" s="73" t="n">
        <f aca="false">IF(OR(OPERATIONS!$O224=0,OPERATIONS!$C224="CONSOMMATION"),0,OPERATIONS!$G224)</f>
        <v>0</v>
      </c>
      <c r="N524" s="73" t="n">
        <f aca="false">IF($M524=0,0,OPERATIONS!$R224*$M524)</f>
        <v>0</v>
      </c>
      <c r="O524" s="26" t="str">
        <f aca="false">IF($M524=0,"",OPERATIONS!$Q224)</f>
        <v/>
      </c>
      <c r="P524" s="26" t="str">
        <f aca="false">IF($G524="","",IF($G524=R_LOT,COUNTIF($G$5:$G524,R_LOT),""))</f>
        <v/>
      </c>
    </row>
    <row r="525" customFormat="false" ht="15" hidden="false" customHeight="false" outlineLevel="0" collapsed="false">
      <c r="A525" s="28" t="str">
        <f aca="false">IF($M525=0,"",ROW()-4)</f>
        <v/>
      </c>
      <c r="B525" s="26" t="str">
        <f aca="false">IF($M525=0,"","OPERATIONS")</f>
        <v/>
      </c>
      <c r="C525" s="26" t="str">
        <f aca="false">IF($M525=0,"",OPERATIONS!$A225)</f>
        <v/>
      </c>
      <c r="D525" s="31" t="str">
        <f aca="false">IF($M525=0,"",OPERATIONS!$B225)</f>
        <v/>
      </c>
      <c r="E525" s="26" t="str">
        <f aca="false">IF($M525=0,"",IF($M525&lt;0,"SORTIE","ENTREE"))</f>
        <v/>
      </c>
      <c r="F525" s="26" t="str">
        <f aca="false">IF($M525=0,"",OPERATIONS!$C225)</f>
        <v/>
      </c>
      <c r="G525" s="26" t="str">
        <f aca="false">IF($M525=0,"",OPERATIONS!$D225)</f>
        <v/>
      </c>
      <c r="H525" s="26" t="str">
        <f aca="false">IF($G525="","",IFERROR(INDEX(LOT_EXTE,MATCH($G525,LOT_KEY,0)),""))</f>
        <v/>
      </c>
      <c r="I525" s="26" t="str">
        <f aca="false">IF($M525=0,"",OPERATIONS!$F225)</f>
        <v/>
      </c>
      <c r="J525" s="26" t="str">
        <f aca="false">IF($I525="","",IFERROR(INDEX(EMPL_CLASSE,MATCH($I525,EMPL_KEY,0)),""))</f>
        <v/>
      </c>
      <c r="K525" s="26" t="str">
        <f aca="false">IF($M525=0,"",OPERATIONS!$K225)</f>
        <v/>
      </c>
      <c r="L525" s="26" t="str">
        <f aca="false">IF($G525="","",IF(IFERROR(INDEX(LOT_ETAT,MATCH($G525,LOT_KEY,0)),"")="","",INDEX(LOT_ETAT,MATCH($G525,LOT_KEY,0))))</f>
        <v/>
      </c>
      <c r="M525" s="73" t="n">
        <f aca="false">IF(OR(OPERATIONS!$O225=0,OPERATIONS!$C225="CONSOMMATION"),0,OPERATIONS!$G225)</f>
        <v>0</v>
      </c>
      <c r="N525" s="73" t="n">
        <f aca="false">IF($M525=0,0,OPERATIONS!$R225*$M525)</f>
        <v>0</v>
      </c>
      <c r="O525" s="26" t="str">
        <f aca="false">IF($M525=0,"",OPERATIONS!$Q225)</f>
        <v/>
      </c>
      <c r="P525" s="26" t="str">
        <f aca="false">IF($G525="","",IF($G525=R_LOT,COUNTIF($G$5:$G525,R_LOT),""))</f>
        <v/>
      </c>
    </row>
    <row r="526" customFormat="false" ht="15" hidden="false" customHeight="false" outlineLevel="0" collapsed="false">
      <c r="A526" s="28" t="str">
        <f aca="false">IF($M526=0,"",ROW()-4)</f>
        <v/>
      </c>
      <c r="B526" s="26" t="str">
        <f aca="false">IF($M526=0,"","OPERATIONS")</f>
        <v/>
      </c>
      <c r="C526" s="26" t="str">
        <f aca="false">IF($M526=0,"",OPERATIONS!$A226)</f>
        <v/>
      </c>
      <c r="D526" s="31" t="str">
        <f aca="false">IF($M526=0,"",OPERATIONS!$B226)</f>
        <v/>
      </c>
      <c r="E526" s="26" t="str">
        <f aca="false">IF($M526=0,"",IF($M526&lt;0,"SORTIE","ENTREE"))</f>
        <v/>
      </c>
      <c r="F526" s="26" t="str">
        <f aca="false">IF($M526=0,"",OPERATIONS!$C226)</f>
        <v/>
      </c>
      <c r="G526" s="26" t="str">
        <f aca="false">IF($M526=0,"",OPERATIONS!$D226)</f>
        <v/>
      </c>
      <c r="H526" s="26" t="str">
        <f aca="false">IF($G526="","",IFERROR(INDEX(LOT_EXTE,MATCH($G526,LOT_KEY,0)),""))</f>
        <v/>
      </c>
      <c r="I526" s="26" t="str">
        <f aca="false">IF($M526=0,"",OPERATIONS!$F226)</f>
        <v/>
      </c>
      <c r="J526" s="26" t="str">
        <f aca="false">IF($I526="","",IFERROR(INDEX(EMPL_CLASSE,MATCH($I526,EMPL_KEY,0)),""))</f>
        <v/>
      </c>
      <c r="K526" s="26" t="str">
        <f aca="false">IF($M526=0,"",OPERATIONS!$K226)</f>
        <v/>
      </c>
      <c r="L526" s="26" t="str">
        <f aca="false">IF($G526="","",IF(IFERROR(INDEX(LOT_ETAT,MATCH($G526,LOT_KEY,0)),"")="","",INDEX(LOT_ETAT,MATCH($G526,LOT_KEY,0))))</f>
        <v/>
      </c>
      <c r="M526" s="73" t="n">
        <f aca="false">IF(OR(OPERATIONS!$O226=0,OPERATIONS!$C226="CONSOMMATION"),0,OPERATIONS!$G226)</f>
        <v>0</v>
      </c>
      <c r="N526" s="73" t="n">
        <f aca="false">IF($M526=0,0,OPERATIONS!$R226*$M526)</f>
        <v>0</v>
      </c>
      <c r="O526" s="26" t="str">
        <f aca="false">IF($M526=0,"",OPERATIONS!$Q226)</f>
        <v/>
      </c>
      <c r="P526" s="26" t="str">
        <f aca="false">IF($G526="","",IF($G526=R_LOT,COUNTIF($G$5:$G526,R_LOT),""))</f>
        <v/>
      </c>
    </row>
    <row r="527" customFormat="false" ht="15" hidden="false" customHeight="false" outlineLevel="0" collapsed="false">
      <c r="A527" s="28" t="str">
        <f aca="false">IF($M527=0,"",ROW()-4)</f>
        <v/>
      </c>
      <c r="B527" s="26" t="str">
        <f aca="false">IF($M527=0,"","OPERATIONS")</f>
        <v/>
      </c>
      <c r="C527" s="26" t="str">
        <f aca="false">IF($M527=0,"",OPERATIONS!$A227)</f>
        <v/>
      </c>
      <c r="D527" s="31" t="str">
        <f aca="false">IF($M527=0,"",OPERATIONS!$B227)</f>
        <v/>
      </c>
      <c r="E527" s="26" t="str">
        <f aca="false">IF($M527=0,"",IF($M527&lt;0,"SORTIE","ENTREE"))</f>
        <v/>
      </c>
      <c r="F527" s="26" t="str">
        <f aca="false">IF($M527=0,"",OPERATIONS!$C227)</f>
        <v/>
      </c>
      <c r="G527" s="26" t="str">
        <f aca="false">IF($M527=0,"",OPERATIONS!$D227)</f>
        <v/>
      </c>
      <c r="H527" s="26" t="str">
        <f aca="false">IF($G527="","",IFERROR(INDEX(LOT_EXTE,MATCH($G527,LOT_KEY,0)),""))</f>
        <v/>
      </c>
      <c r="I527" s="26" t="str">
        <f aca="false">IF($M527=0,"",OPERATIONS!$F227)</f>
        <v/>
      </c>
      <c r="J527" s="26" t="str">
        <f aca="false">IF($I527="","",IFERROR(INDEX(EMPL_CLASSE,MATCH($I527,EMPL_KEY,0)),""))</f>
        <v/>
      </c>
      <c r="K527" s="26" t="str">
        <f aca="false">IF($M527=0,"",OPERATIONS!$K227)</f>
        <v/>
      </c>
      <c r="L527" s="26" t="str">
        <f aca="false">IF($G527="","",IF(IFERROR(INDEX(LOT_ETAT,MATCH($G527,LOT_KEY,0)),"")="","",INDEX(LOT_ETAT,MATCH($G527,LOT_KEY,0))))</f>
        <v/>
      </c>
      <c r="M527" s="73" t="n">
        <f aca="false">IF(OR(OPERATIONS!$O227=0,OPERATIONS!$C227="CONSOMMATION"),0,OPERATIONS!$G227)</f>
        <v>0</v>
      </c>
      <c r="N527" s="73" t="n">
        <f aca="false">IF($M527=0,0,OPERATIONS!$R227*$M527)</f>
        <v>0</v>
      </c>
      <c r="O527" s="26" t="str">
        <f aca="false">IF($M527=0,"",OPERATIONS!$Q227)</f>
        <v/>
      </c>
      <c r="P527" s="26" t="str">
        <f aca="false">IF($G527="","",IF($G527=R_LOT,COUNTIF($G$5:$G527,R_LOT),""))</f>
        <v/>
      </c>
    </row>
    <row r="528" customFormat="false" ht="15" hidden="false" customHeight="false" outlineLevel="0" collapsed="false">
      <c r="A528" s="28" t="str">
        <f aca="false">IF($M528=0,"",ROW()-4)</f>
        <v/>
      </c>
      <c r="B528" s="26" t="str">
        <f aca="false">IF($M528=0,"","OPERATIONS")</f>
        <v/>
      </c>
      <c r="C528" s="26" t="str">
        <f aca="false">IF($M528=0,"",OPERATIONS!$A228)</f>
        <v/>
      </c>
      <c r="D528" s="31" t="str">
        <f aca="false">IF($M528=0,"",OPERATIONS!$B228)</f>
        <v/>
      </c>
      <c r="E528" s="26" t="str">
        <f aca="false">IF($M528=0,"",IF($M528&lt;0,"SORTIE","ENTREE"))</f>
        <v/>
      </c>
      <c r="F528" s="26" t="str">
        <f aca="false">IF($M528=0,"",OPERATIONS!$C228)</f>
        <v/>
      </c>
      <c r="G528" s="26" t="str">
        <f aca="false">IF($M528=0,"",OPERATIONS!$D228)</f>
        <v/>
      </c>
      <c r="H528" s="26" t="str">
        <f aca="false">IF($G528="","",IFERROR(INDEX(LOT_EXTE,MATCH($G528,LOT_KEY,0)),""))</f>
        <v/>
      </c>
      <c r="I528" s="26" t="str">
        <f aca="false">IF($M528=0,"",OPERATIONS!$F228)</f>
        <v/>
      </c>
      <c r="J528" s="26" t="str">
        <f aca="false">IF($I528="","",IFERROR(INDEX(EMPL_CLASSE,MATCH($I528,EMPL_KEY,0)),""))</f>
        <v/>
      </c>
      <c r="K528" s="26" t="str">
        <f aca="false">IF($M528=0,"",OPERATIONS!$K228)</f>
        <v/>
      </c>
      <c r="L528" s="26" t="str">
        <f aca="false">IF($G528="","",IF(IFERROR(INDEX(LOT_ETAT,MATCH($G528,LOT_KEY,0)),"")="","",INDEX(LOT_ETAT,MATCH($G528,LOT_KEY,0))))</f>
        <v/>
      </c>
      <c r="M528" s="73" t="n">
        <f aca="false">IF(OR(OPERATIONS!$O228=0,OPERATIONS!$C228="CONSOMMATION"),0,OPERATIONS!$G228)</f>
        <v>0</v>
      </c>
      <c r="N528" s="73" t="n">
        <f aca="false">IF($M528=0,0,OPERATIONS!$R228*$M528)</f>
        <v>0</v>
      </c>
      <c r="O528" s="26" t="str">
        <f aca="false">IF($M528=0,"",OPERATIONS!$Q228)</f>
        <v/>
      </c>
      <c r="P528" s="26" t="str">
        <f aca="false">IF($G528="","",IF($G528=R_LOT,COUNTIF($G$5:$G528,R_LOT),""))</f>
        <v/>
      </c>
    </row>
    <row r="529" customFormat="false" ht="15" hidden="false" customHeight="false" outlineLevel="0" collapsed="false">
      <c r="A529" s="28" t="str">
        <f aca="false">IF($M529=0,"",ROW()-4)</f>
        <v/>
      </c>
      <c r="B529" s="26" t="str">
        <f aca="false">IF($M529=0,"","OPERATIONS")</f>
        <v/>
      </c>
      <c r="C529" s="26" t="str">
        <f aca="false">IF($M529=0,"",OPERATIONS!$A229)</f>
        <v/>
      </c>
      <c r="D529" s="31" t="str">
        <f aca="false">IF($M529=0,"",OPERATIONS!$B229)</f>
        <v/>
      </c>
      <c r="E529" s="26" t="str">
        <f aca="false">IF($M529=0,"",IF($M529&lt;0,"SORTIE","ENTREE"))</f>
        <v/>
      </c>
      <c r="F529" s="26" t="str">
        <f aca="false">IF($M529=0,"",OPERATIONS!$C229)</f>
        <v/>
      </c>
      <c r="G529" s="26" t="str">
        <f aca="false">IF($M529=0,"",OPERATIONS!$D229)</f>
        <v/>
      </c>
      <c r="H529" s="26" t="str">
        <f aca="false">IF($G529="","",IFERROR(INDEX(LOT_EXTE,MATCH($G529,LOT_KEY,0)),""))</f>
        <v/>
      </c>
      <c r="I529" s="26" t="str">
        <f aca="false">IF($M529=0,"",OPERATIONS!$F229)</f>
        <v/>
      </c>
      <c r="J529" s="26" t="str">
        <f aca="false">IF($I529="","",IFERROR(INDEX(EMPL_CLASSE,MATCH($I529,EMPL_KEY,0)),""))</f>
        <v/>
      </c>
      <c r="K529" s="26" t="str">
        <f aca="false">IF($M529=0,"",OPERATIONS!$K229)</f>
        <v/>
      </c>
      <c r="L529" s="26" t="str">
        <f aca="false">IF($G529="","",IF(IFERROR(INDEX(LOT_ETAT,MATCH($G529,LOT_KEY,0)),"")="","",INDEX(LOT_ETAT,MATCH($G529,LOT_KEY,0))))</f>
        <v/>
      </c>
      <c r="M529" s="73" t="n">
        <f aca="false">IF(OR(OPERATIONS!$O229=0,OPERATIONS!$C229="CONSOMMATION"),0,OPERATIONS!$G229)</f>
        <v>0</v>
      </c>
      <c r="N529" s="73" t="n">
        <f aca="false">IF($M529=0,0,OPERATIONS!$R229*$M529)</f>
        <v>0</v>
      </c>
      <c r="O529" s="26" t="str">
        <f aca="false">IF($M529=0,"",OPERATIONS!$Q229)</f>
        <v/>
      </c>
      <c r="P529" s="26" t="str">
        <f aca="false">IF($G529="","",IF($G529=R_LOT,COUNTIF($G$5:$G529,R_LOT),""))</f>
        <v/>
      </c>
    </row>
    <row r="530" customFormat="false" ht="15" hidden="false" customHeight="false" outlineLevel="0" collapsed="false">
      <c r="A530" s="28" t="str">
        <f aca="false">IF($M530=0,"",ROW()-4)</f>
        <v/>
      </c>
      <c r="B530" s="26" t="str">
        <f aca="false">IF($M530=0,"","OPERATIONS")</f>
        <v/>
      </c>
      <c r="C530" s="26" t="str">
        <f aca="false">IF($M530=0,"",OPERATIONS!$A230)</f>
        <v/>
      </c>
      <c r="D530" s="31" t="str">
        <f aca="false">IF($M530=0,"",OPERATIONS!$B230)</f>
        <v/>
      </c>
      <c r="E530" s="26" t="str">
        <f aca="false">IF($M530=0,"",IF($M530&lt;0,"SORTIE","ENTREE"))</f>
        <v/>
      </c>
      <c r="F530" s="26" t="str">
        <f aca="false">IF($M530=0,"",OPERATIONS!$C230)</f>
        <v/>
      </c>
      <c r="G530" s="26" t="str">
        <f aca="false">IF($M530=0,"",OPERATIONS!$D230)</f>
        <v/>
      </c>
      <c r="H530" s="26" t="str">
        <f aca="false">IF($G530="","",IFERROR(INDEX(LOT_EXTE,MATCH($G530,LOT_KEY,0)),""))</f>
        <v/>
      </c>
      <c r="I530" s="26" t="str">
        <f aca="false">IF($M530=0,"",OPERATIONS!$F230)</f>
        <v/>
      </c>
      <c r="J530" s="26" t="str">
        <f aca="false">IF($I530="","",IFERROR(INDEX(EMPL_CLASSE,MATCH($I530,EMPL_KEY,0)),""))</f>
        <v/>
      </c>
      <c r="K530" s="26" t="str">
        <f aca="false">IF($M530=0,"",OPERATIONS!$K230)</f>
        <v/>
      </c>
      <c r="L530" s="26" t="str">
        <f aca="false">IF($G530="","",IF(IFERROR(INDEX(LOT_ETAT,MATCH($G530,LOT_KEY,0)),"")="","",INDEX(LOT_ETAT,MATCH($G530,LOT_KEY,0))))</f>
        <v/>
      </c>
      <c r="M530" s="73" t="n">
        <f aca="false">IF(OR(OPERATIONS!$O230=0,OPERATIONS!$C230="CONSOMMATION"),0,OPERATIONS!$G230)</f>
        <v>0</v>
      </c>
      <c r="N530" s="73" t="n">
        <f aca="false">IF($M530=0,0,OPERATIONS!$R230*$M530)</f>
        <v>0</v>
      </c>
      <c r="O530" s="26" t="str">
        <f aca="false">IF($M530=0,"",OPERATIONS!$Q230)</f>
        <v/>
      </c>
      <c r="P530" s="26" t="str">
        <f aca="false">IF($G530="","",IF($G530=R_LOT,COUNTIF($G$5:$G530,R_LOT),""))</f>
        <v/>
      </c>
    </row>
    <row r="531" customFormat="false" ht="15" hidden="false" customHeight="false" outlineLevel="0" collapsed="false">
      <c r="A531" s="28" t="str">
        <f aca="false">IF($M531=0,"",ROW()-4)</f>
        <v/>
      </c>
      <c r="B531" s="26" t="str">
        <f aca="false">IF($M531=0,"","OPERATIONS")</f>
        <v/>
      </c>
      <c r="C531" s="26" t="str">
        <f aca="false">IF($M531=0,"",OPERATIONS!$A231)</f>
        <v/>
      </c>
      <c r="D531" s="31" t="str">
        <f aca="false">IF($M531=0,"",OPERATIONS!$B231)</f>
        <v/>
      </c>
      <c r="E531" s="26" t="str">
        <f aca="false">IF($M531=0,"",IF($M531&lt;0,"SORTIE","ENTREE"))</f>
        <v/>
      </c>
      <c r="F531" s="26" t="str">
        <f aca="false">IF($M531=0,"",OPERATIONS!$C231)</f>
        <v/>
      </c>
      <c r="G531" s="26" t="str">
        <f aca="false">IF($M531=0,"",OPERATIONS!$D231)</f>
        <v/>
      </c>
      <c r="H531" s="26" t="str">
        <f aca="false">IF($G531="","",IFERROR(INDEX(LOT_EXTE,MATCH($G531,LOT_KEY,0)),""))</f>
        <v/>
      </c>
      <c r="I531" s="26" t="str">
        <f aca="false">IF($M531=0,"",OPERATIONS!$F231)</f>
        <v/>
      </c>
      <c r="J531" s="26" t="str">
        <f aca="false">IF($I531="","",IFERROR(INDEX(EMPL_CLASSE,MATCH($I531,EMPL_KEY,0)),""))</f>
        <v/>
      </c>
      <c r="K531" s="26" t="str">
        <f aca="false">IF($M531=0,"",OPERATIONS!$K231)</f>
        <v/>
      </c>
      <c r="L531" s="26" t="str">
        <f aca="false">IF($G531="","",IF(IFERROR(INDEX(LOT_ETAT,MATCH($G531,LOT_KEY,0)),"")="","",INDEX(LOT_ETAT,MATCH($G531,LOT_KEY,0))))</f>
        <v/>
      </c>
      <c r="M531" s="73" t="n">
        <f aca="false">IF(OR(OPERATIONS!$O231=0,OPERATIONS!$C231="CONSOMMATION"),0,OPERATIONS!$G231)</f>
        <v>0</v>
      </c>
      <c r="N531" s="73" t="n">
        <f aca="false">IF($M531=0,0,OPERATIONS!$R231*$M531)</f>
        <v>0</v>
      </c>
      <c r="O531" s="26" t="str">
        <f aca="false">IF($M531=0,"",OPERATIONS!$Q231)</f>
        <v/>
      </c>
      <c r="P531" s="26" t="str">
        <f aca="false">IF($G531="","",IF($G531=R_LOT,COUNTIF($G$5:$G531,R_LOT),""))</f>
        <v/>
      </c>
    </row>
    <row r="532" customFormat="false" ht="15" hidden="false" customHeight="false" outlineLevel="0" collapsed="false">
      <c r="A532" s="28" t="str">
        <f aca="false">IF($M532=0,"",ROW()-4)</f>
        <v/>
      </c>
      <c r="B532" s="26" t="str">
        <f aca="false">IF($M532=0,"","OPERATIONS")</f>
        <v/>
      </c>
      <c r="C532" s="26" t="str">
        <f aca="false">IF($M532=0,"",OPERATIONS!$A232)</f>
        <v/>
      </c>
      <c r="D532" s="31" t="str">
        <f aca="false">IF($M532=0,"",OPERATIONS!$B232)</f>
        <v/>
      </c>
      <c r="E532" s="26" t="str">
        <f aca="false">IF($M532=0,"",IF($M532&lt;0,"SORTIE","ENTREE"))</f>
        <v/>
      </c>
      <c r="F532" s="26" t="str">
        <f aca="false">IF($M532=0,"",OPERATIONS!$C232)</f>
        <v/>
      </c>
      <c r="G532" s="26" t="str">
        <f aca="false">IF($M532=0,"",OPERATIONS!$D232)</f>
        <v/>
      </c>
      <c r="H532" s="26" t="str">
        <f aca="false">IF($G532="","",IFERROR(INDEX(LOT_EXTE,MATCH($G532,LOT_KEY,0)),""))</f>
        <v/>
      </c>
      <c r="I532" s="26" t="str">
        <f aca="false">IF($M532=0,"",OPERATIONS!$F232)</f>
        <v/>
      </c>
      <c r="J532" s="26" t="str">
        <f aca="false">IF($I532="","",IFERROR(INDEX(EMPL_CLASSE,MATCH($I532,EMPL_KEY,0)),""))</f>
        <v/>
      </c>
      <c r="K532" s="26" t="str">
        <f aca="false">IF($M532=0,"",OPERATIONS!$K232)</f>
        <v/>
      </c>
      <c r="L532" s="26" t="str">
        <f aca="false">IF($G532="","",IF(IFERROR(INDEX(LOT_ETAT,MATCH($G532,LOT_KEY,0)),"")="","",INDEX(LOT_ETAT,MATCH($G532,LOT_KEY,0))))</f>
        <v/>
      </c>
      <c r="M532" s="73" t="n">
        <f aca="false">IF(OR(OPERATIONS!$O232=0,OPERATIONS!$C232="CONSOMMATION"),0,OPERATIONS!$G232)</f>
        <v>0</v>
      </c>
      <c r="N532" s="73" t="n">
        <f aca="false">IF($M532=0,0,OPERATIONS!$R232*$M532)</f>
        <v>0</v>
      </c>
      <c r="O532" s="26" t="str">
        <f aca="false">IF($M532=0,"",OPERATIONS!$Q232)</f>
        <v/>
      </c>
      <c r="P532" s="26" t="str">
        <f aca="false">IF($G532="","",IF($G532=R_LOT,COUNTIF($G$5:$G532,R_LOT),""))</f>
        <v/>
      </c>
    </row>
    <row r="533" customFormat="false" ht="15" hidden="false" customHeight="false" outlineLevel="0" collapsed="false">
      <c r="A533" s="28" t="str">
        <f aca="false">IF($M533=0,"",ROW()-4)</f>
        <v/>
      </c>
      <c r="B533" s="26" t="str">
        <f aca="false">IF($M533=0,"","OPERATIONS")</f>
        <v/>
      </c>
      <c r="C533" s="26" t="str">
        <f aca="false">IF($M533=0,"",OPERATIONS!$A233)</f>
        <v/>
      </c>
      <c r="D533" s="31" t="str">
        <f aca="false">IF($M533=0,"",OPERATIONS!$B233)</f>
        <v/>
      </c>
      <c r="E533" s="26" t="str">
        <f aca="false">IF($M533=0,"",IF($M533&lt;0,"SORTIE","ENTREE"))</f>
        <v/>
      </c>
      <c r="F533" s="26" t="str">
        <f aca="false">IF($M533=0,"",OPERATIONS!$C233)</f>
        <v/>
      </c>
      <c r="G533" s="26" t="str">
        <f aca="false">IF($M533=0,"",OPERATIONS!$D233)</f>
        <v/>
      </c>
      <c r="H533" s="26" t="str">
        <f aca="false">IF($G533="","",IFERROR(INDEX(LOT_EXTE,MATCH($G533,LOT_KEY,0)),""))</f>
        <v/>
      </c>
      <c r="I533" s="26" t="str">
        <f aca="false">IF($M533=0,"",OPERATIONS!$F233)</f>
        <v/>
      </c>
      <c r="J533" s="26" t="str">
        <f aca="false">IF($I533="","",IFERROR(INDEX(EMPL_CLASSE,MATCH($I533,EMPL_KEY,0)),""))</f>
        <v/>
      </c>
      <c r="K533" s="26" t="str">
        <f aca="false">IF($M533=0,"",OPERATIONS!$K233)</f>
        <v/>
      </c>
      <c r="L533" s="26" t="str">
        <f aca="false">IF($G533="","",IF(IFERROR(INDEX(LOT_ETAT,MATCH($G533,LOT_KEY,0)),"")="","",INDEX(LOT_ETAT,MATCH($G533,LOT_KEY,0))))</f>
        <v/>
      </c>
      <c r="M533" s="73" t="n">
        <f aca="false">IF(OR(OPERATIONS!$O233=0,OPERATIONS!$C233="CONSOMMATION"),0,OPERATIONS!$G233)</f>
        <v>0</v>
      </c>
      <c r="N533" s="73" t="n">
        <f aca="false">IF($M533=0,0,OPERATIONS!$R233*$M533)</f>
        <v>0</v>
      </c>
      <c r="O533" s="26" t="str">
        <f aca="false">IF($M533=0,"",OPERATIONS!$Q233)</f>
        <v/>
      </c>
      <c r="P533" s="26" t="str">
        <f aca="false">IF($G533="","",IF($G533=R_LOT,COUNTIF($G$5:$G533,R_LOT),""))</f>
        <v/>
      </c>
    </row>
    <row r="534" customFormat="false" ht="15" hidden="false" customHeight="false" outlineLevel="0" collapsed="false">
      <c r="A534" s="28" t="str">
        <f aca="false">IF($M534=0,"",ROW()-4)</f>
        <v/>
      </c>
      <c r="B534" s="26" t="str">
        <f aca="false">IF($M534=0,"","OPERATIONS")</f>
        <v/>
      </c>
      <c r="C534" s="26" t="str">
        <f aca="false">IF($M534=0,"",OPERATIONS!$A234)</f>
        <v/>
      </c>
      <c r="D534" s="31" t="str">
        <f aca="false">IF($M534=0,"",OPERATIONS!$B234)</f>
        <v/>
      </c>
      <c r="E534" s="26" t="str">
        <f aca="false">IF($M534=0,"",IF($M534&lt;0,"SORTIE","ENTREE"))</f>
        <v/>
      </c>
      <c r="F534" s="26" t="str">
        <f aca="false">IF($M534=0,"",OPERATIONS!$C234)</f>
        <v/>
      </c>
      <c r="G534" s="26" t="str">
        <f aca="false">IF($M534=0,"",OPERATIONS!$D234)</f>
        <v/>
      </c>
      <c r="H534" s="26" t="str">
        <f aca="false">IF($G534="","",IFERROR(INDEX(LOT_EXTE,MATCH($G534,LOT_KEY,0)),""))</f>
        <v/>
      </c>
      <c r="I534" s="26" t="str">
        <f aca="false">IF($M534=0,"",OPERATIONS!$F234)</f>
        <v/>
      </c>
      <c r="J534" s="26" t="str">
        <f aca="false">IF($I534="","",IFERROR(INDEX(EMPL_CLASSE,MATCH($I534,EMPL_KEY,0)),""))</f>
        <v/>
      </c>
      <c r="K534" s="26" t="str">
        <f aca="false">IF($M534=0,"",OPERATIONS!$K234)</f>
        <v/>
      </c>
      <c r="L534" s="26" t="str">
        <f aca="false">IF($G534="","",IF(IFERROR(INDEX(LOT_ETAT,MATCH($G534,LOT_KEY,0)),"")="","",INDEX(LOT_ETAT,MATCH($G534,LOT_KEY,0))))</f>
        <v/>
      </c>
      <c r="M534" s="73" t="n">
        <f aca="false">IF(OR(OPERATIONS!$O234=0,OPERATIONS!$C234="CONSOMMATION"),0,OPERATIONS!$G234)</f>
        <v>0</v>
      </c>
      <c r="N534" s="73" t="n">
        <f aca="false">IF($M534=0,0,OPERATIONS!$R234*$M534)</f>
        <v>0</v>
      </c>
      <c r="O534" s="26" t="str">
        <f aca="false">IF($M534=0,"",OPERATIONS!$Q234)</f>
        <v/>
      </c>
      <c r="P534" s="26" t="str">
        <f aca="false">IF($G534="","",IF($G534=R_LOT,COUNTIF($G$5:$G534,R_LOT),""))</f>
        <v/>
      </c>
    </row>
    <row r="535" customFormat="false" ht="15" hidden="false" customHeight="false" outlineLevel="0" collapsed="false">
      <c r="A535" s="28" t="str">
        <f aca="false">IF($M535=0,"",ROW()-4)</f>
        <v/>
      </c>
      <c r="B535" s="26" t="str">
        <f aca="false">IF($M535=0,"","OPERATIONS")</f>
        <v/>
      </c>
      <c r="C535" s="26" t="str">
        <f aca="false">IF($M535=0,"",OPERATIONS!$A235)</f>
        <v/>
      </c>
      <c r="D535" s="31" t="str">
        <f aca="false">IF($M535=0,"",OPERATIONS!$B235)</f>
        <v/>
      </c>
      <c r="E535" s="26" t="str">
        <f aca="false">IF($M535=0,"",IF($M535&lt;0,"SORTIE","ENTREE"))</f>
        <v/>
      </c>
      <c r="F535" s="26" t="str">
        <f aca="false">IF($M535=0,"",OPERATIONS!$C235)</f>
        <v/>
      </c>
      <c r="G535" s="26" t="str">
        <f aca="false">IF($M535=0,"",OPERATIONS!$D235)</f>
        <v/>
      </c>
      <c r="H535" s="26" t="str">
        <f aca="false">IF($G535="","",IFERROR(INDEX(LOT_EXTE,MATCH($G535,LOT_KEY,0)),""))</f>
        <v/>
      </c>
      <c r="I535" s="26" t="str">
        <f aca="false">IF($M535=0,"",OPERATIONS!$F235)</f>
        <v/>
      </c>
      <c r="J535" s="26" t="str">
        <f aca="false">IF($I535="","",IFERROR(INDEX(EMPL_CLASSE,MATCH($I535,EMPL_KEY,0)),""))</f>
        <v/>
      </c>
      <c r="K535" s="26" t="str">
        <f aca="false">IF($M535=0,"",OPERATIONS!$K235)</f>
        <v/>
      </c>
      <c r="L535" s="26" t="str">
        <f aca="false">IF($G535="","",IF(IFERROR(INDEX(LOT_ETAT,MATCH($G535,LOT_KEY,0)),"")="","",INDEX(LOT_ETAT,MATCH($G535,LOT_KEY,0))))</f>
        <v/>
      </c>
      <c r="M535" s="73" t="n">
        <f aca="false">IF(OR(OPERATIONS!$O235=0,OPERATIONS!$C235="CONSOMMATION"),0,OPERATIONS!$G235)</f>
        <v>0</v>
      </c>
      <c r="N535" s="73" t="n">
        <f aca="false">IF($M535=0,0,OPERATIONS!$R235*$M535)</f>
        <v>0</v>
      </c>
      <c r="O535" s="26" t="str">
        <f aca="false">IF($M535=0,"",OPERATIONS!$Q235)</f>
        <v/>
      </c>
      <c r="P535" s="26" t="str">
        <f aca="false">IF($G535="","",IF($G535=R_LOT,COUNTIF($G$5:$G535,R_LOT),""))</f>
        <v/>
      </c>
    </row>
    <row r="536" customFormat="false" ht="15" hidden="false" customHeight="false" outlineLevel="0" collapsed="false">
      <c r="A536" s="28" t="str">
        <f aca="false">IF($M536=0,"",ROW()-4)</f>
        <v/>
      </c>
      <c r="B536" s="26" t="str">
        <f aca="false">IF($M536=0,"","OPERATIONS")</f>
        <v/>
      </c>
      <c r="C536" s="26" t="str">
        <f aca="false">IF($M536=0,"",OPERATIONS!$A236)</f>
        <v/>
      </c>
      <c r="D536" s="31" t="str">
        <f aca="false">IF($M536=0,"",OPERATIONS!$B236)</f>
        <v/>
      </c>
      <c r="E536" s="26" t="str">
        <f aca="false">IF($M536=0,"",IF($M536&lt;0,"SORTIE","ENTREE"))</f>
        <v/>
      </c>
      <c r="F536" s="26" t="str">
        <f aca="false">IF($M536=0,"",OPERATIONS!$C236)</f>
        <v/>
      </c>
      <c r="G536" s="26" t="str">
        <f aca="false">IF($M536=0,"",OPERATIONS!$D236)</f>
        <v/>
      </c>
      <c r="H536" s="26" t="str">
        <f aca="false">IF($G536="","",IFERROR(INDEX(LOT_EXTE,MATCH($G536,LOT_KEY,0)),""))</f>
        <v/>
      </c>
      <c r="I536" s="26" t="str">
        <f aca="false">IF($M536=0,"",OPERATIONS!$F236)</f>
        <v/>
      </c>
      <c r="J536" s="26" t="str">
        <f aca="false">IF($I536="","",IFERROR(INDEX(EMPL_CLASSE,MATCH($I536,EMPL_KEY,0)),""))</f>
        <v/>
      </c>
      <c r="K536" s="26" t="str">
        <f aca="false">IF($M536=0,"",OPERATIONS!$K236)</f>
        <v/>
      </c>
      <c r="L536" s="26" t="str">
        <f aca="false">IF($G536="","",IF(IFERROR(INDEX(LOT_ETAT,MATCH($G536,LOT_KEY,0)),"")="","",INDEX(LOT_ETAT,MATCH($G536,LOT_KEY,0))))</f>
        <v/>
      </c>
      <c r="M536" s="73" t="n">
        <f aca="false">IF(OR(OPERATIONS!$O236=0,OPERATIONS!$C236="CONSOMMATION"),0,OPERATIONS!$G236)</f>
        <v>0</v>
      </c>
      <c r="N536" s="73" t="n">
        <f aca="false">IF($M536=0,0,OPERATIONS!$R236*$M536)</f>
        <v>0</v>
      </c>
      <c r="O536" s="26" t="str">
        <f aca="false">IF($M536=0,"",OPERATIONS!$Q236)</f>
        <v/>
      </c>
      <c r="P536" s="26" t="str">
        <f aca="false">IF($G536="","",IF($G536=R_LOT,COUNTIF($G$5:$G536,R_LOT),""))</f>
        <v/>
      </c>
    </row>
    <row r="537" customFormat="false" ht="15" hidden="false" customHeight="false" outlineLevel="0" collapsed="false">
      <c r="A537" s="28" t="str">
        <f aca="false">IF($M537=0,"",ROW()-4)</f>
        <v/>
      </c>
      <c r="B537" s="26" t="str">
        <f aca="false">IF($M537=0,"","OPERATIONS")</f>
        <v/>
      </c>
      <c r="C537" s="26" t="str">
        <f aca="false">IF($M537=0,"",OPERATIONS!$A237)</f>
        <v/>
      </c>
      <c r="D537" s="31" t="str">
        <f aca="false">IF($M537=0,"",OPERATIONS!$B237)</f>
        <v/>
      </c>
      <c r="E537" s="26" t="str">
        <f aca="false">IF($M537=0,"",IF($M537&lt;0,"SORTIE","ENTREE"))</f>
        <v/>
      </c>
      <c r="F537" s="26" t="str">
        <f aca="false">IF($M537=0,"",OPERATIONS!$C237)</f>
        <v/>
      </c>
      <c r="G537" s="26" t="str">
        <f aca="false">IF($M537=0,"",OPERATIONS!$D237)</f>
        <v/>
      </c>
      <c r="H537" s="26" t="str">
        <f aca="false">IF($G537="","",IFERROR(INDEX(LOT_EXTE,MATCH($G537,LOT_KEY,0)),""))</f>
        <v/>
      </c>
      <c r="I537" s="26" t="str">
        <f aca="false">IF($M537=0,"",OPERATIONS!$F237)</f>
        <v/>
      </c>
      <c r="J537" s="26" t="str">
        <f aca="false">IF($I537="","",IFERROR(INDEX(EMPL_CLASSE,MATCH($I537,EMPL_KEY,0)),""))</f>
        <v/>
      </c>
      <c r="K537" s="26" t="str">
        <f aca="false">IF($M537=0,"",OPERATIONS!$K237)</f>
        <v/>
      </c>
      <c r="L537" s="26" t="str">
        <f aca="false">IF($G537="","",IF(IFERROR(INDEX(LOT_ETAT,MATCH($G537,LOT_KEY,0)),"")="","",INDEX(LOT_ETAT,MATCH($G537,LOT_KEY,0))))</f>
        <v/>
      </c>
      <c r="M537" s="73" t="n">
        <f aca="false">IF(OR(OPERATIONS!$O237=0,OPERATIONS!$C237="CONSOMMATION"),0,OPERATIONS!$G237)</f>
        <v>0</v>
      </c>
      <c r="N537" s="73" t="n">
        <f aca="false">IF($M537=0,0,OPERATIONS!$R237*$M537)</f>
        <v>0</v>
      </c>
      <c r="O537" s="26" t="str">
        <f aca="false">IF($M537=0,"",OPERATIONS!$Q237)</f>
        <v/>
      </c>
      <c r="P537" s="26" t="str">
        <f aca="false">IF($G537="","",IF($G537=R_LOT,COUNTIF($G$5:$G537,R_LOT),""))</f>
        <v/>
      </c>
    </row>
    <row r="538" customFormat="false" ht="15" hidden="false" customHeight="false" outlineLevel="0" collapsed="false">
      <c r="A538" s="28" t="str">
        <f aca="false">IF($M538=0,"",ROW()-4)</f>
        <v/>
      </c>
      <c r="B538" s="26" t="str">
        <f aca="false">IF($M538=0,"","OPERATIONS")</f>
        <v/>
      </c>
      <c r="C538" s="26" t="str">
        <f aca="false">IF($M538=0,"",OPERATIONS!$A238)</f>
        <v/>
      </c>
      <c r="D538" s="31" t="str">
        <f aca="false">IF($M538=0,"",OPERATIONS!$B238)</f>
        <v/>
      </c>
      <c r="E538" s="26" t="str">
        <f aca="false">IF($M538=0,"",IF($M538&lt;0,"SORTIE","ENTREE"))</f>
        <v/>
      </c>
      <c r="F538" s="26" t="str">
        <f aca="false">IF($M538=0,"",OPERATIONS!$C238)</f>
        <v/>
      </c>
      <c r="G538" s="26" t="str">
        <f aca="false">IF($M538=0,"",OPERATIONS!$D238)</f>
        <v/>
      </c>
      <c r="H538" s="26" t="str">
        <f aca="false">IF($G538="","",IFERROR(INDEX(LOT_EXTE,MATCH($G538,LOT_KEY,0)),""))</f>
        <v/>
      </c>
      <c r="I538" s="26" t="str">
        <f aca="false">IF($M538=0,"",OPERATIONS!$F238)</f>
        <v/>
      </c>
      <c r="J538" s="26" t="str">
        <f aca="false">IF($I538="","",IFERROR(INDEX(EMPL_CLASSE,MATCH($I538,EMPL_KEY,0)),""))</f>
        <v/>
      </c>
      <c r="K538" s="26" t="str">
        <f aca="false">IF($M538=0,"",OPERATIONS!$K238)</f>
        <v/>
      </c>
      <c r="L538" s="26" t="str">
        <f aca="false">IF($G538="","",IF(IFERROR(INDEX(LOT_ETAT,MATCH($G538,LOT_KEY,0)),"")="","",INDEX(LOT_ETAT,MATCH($G538,LOT_KEY,0))))</f>
        <v/>
      </c>
      <c r="M538" s="73" t="n">
        <f aca="false">IF(OR(OPERATIONS!$O238=0,OPERATIONS!$C238="CONSOMMATION"),0,OPERATIONS!$G238)</f>
        <v>0</v>
      </c>
      <c r="N538" s="73" t="n">
        <f aca="false">IF($M538=0,0,OPERATIONS!$R238*$M538)</f>
        <v>0</v>
      </c>
      <c r="O538" s="26" t="str">
        <f aca="false">IF($M538=0,"",OPERATIONS!$Q238)</f>
        <v/>
      </c>
      <c r="P538" s="26" t="str">
        <f aca="false">IF($G538="","",IF($G538=R_LOT,COUNTIF($G$5:$G538,R_LOT),""))</f>
        <v/>
      </c>
    </row>
    <row r="539" customFormat="false" ht="15" hidden="false" customHeight="false" outlineLevel="0" collapsed="false">
      <c r="A539" s="28" t="str">
        <f aca="false">IF($M539=0,"",ROW()-4)</f>
        <v/>
      </c>
      <c r="B539" s="26" t="str">
        <f aca="false">IF($M539=0,"","OPERATIONS")</f>
        <v/>
      </c>
      <c r="C539" s="26" t="str">
        <f aca="false">IF($M539=0,"",OPERATIONS!$A239)</f>
        <v/>
      </c>
      <c r="D539" s="31" t="str">
        <f aca="false">IF($M539=0,"",OPERATIONS!$B239)</f>
        <v/>
      </c>
      <c r="E539" s="26" t="str">
        <f aca="false">IF($M539=0,"",IF($M539&lt;0,"SORTIE","ENTREE"))</f>
        <v/>
      </c>
      <c r="F539" s="26" t="str">
        <f aca="false">IF($M539=0,"",OPERATIONS!$C239)</f>
        <v/>
      </c>
      <c r="G539" s="26" t="str">
        <f aca="false">IF($M539=0,"",OPERATIONS!$D239)</f>
        <v/>
      </c>
      <c r="H539" s="26" t="str">
        <f aca="false">IF($G539="","",IFERROR(INDEX(LOT_EXTE,MATCH($G539,LOT_KEY,0)),""))</f>
        <v/>
      </c>
      <c r="I539" s="26" t="str">
        <f aca="false">IF($M539=0,"",OPERATIONS!$F239)</f>
        <v/>
      </c>
      <c r="J539" s="26" t="str">
        <f aca="false">IF($I539="","",IFERROR(INDEX(EMPL_CLASSE,MATCH($I539,EMPL_KEY,0)),""))</f>
        <v/>
      </c>
      <c r="K539" s="26" t="str">
        <f aca="false">IF($M539=0,"",OPERATIONS!$K239)</f>
        <v/>
      </c>
      <c r="L539" s="26" t="str">
        <f aca="false">IF($G539="","",IF(IFERROR(INDEX(LOT_ETAT,MATCH($G539,LOT_KEY,0)),"")="","",INDEX(LOT_ETAT,MATCH($G539,LOT_KEY,0))))</f>
        <v/>
      </c>
      <c r="M539" s="73" t="n">
        <f aca="false">IF(OR(OPERATIONS!$O239=0,OPERATIONS!$C239="CONSOMMATION"),0,OPERATIONS!$G239)</f>
        <v>0</v>
      </c>
      <c r="N539" s="73" t="n">
        <f aca="false">IF($M539=0,0,OPERATIONS!$R239*$M539)</f>
        <v>0</v>
      </c>
      <c r="O539" s="26" t="str">
        <f aca="false">IF($M539=0,"",OPERATIONS!$Q239)</f>
        <v/>
      </c>
      <c r="P539" s="26" t="str">
        <f aca="false">IF($G539="","",IF($G539=R_LOT,COUNTIF($G$5:$G539,R_LOT),""))</f>
        <v/>
      </c>
    </row>
    <row r="540" customFormat="false" ht="15" hidden="false" customHeight="false" outlineLevel="0" collapsed="false">
      <c r="A540" s="28" t="str">
        <f aca="false">IF($M540=0,"",ROW()-4)</f>
        <v/>
      </c>
      <c r="B540" s="26" t="str">
        <f aca="false">IF($M540=0,"","OPERATIONS")</f>
        <v/>
      </c>
      <c r="C540" s="26" t="str">
        <f aca="false">IF($M540=0,"",OPERATIONS!$A240)</f>
        <v/>
      </c>
      <c r="D540" s="31" t="str">
        <f aca="false">IF($M540=0,"",OPERATIONS!$B240)</f>
        <v/>
      </c>
      <c r="E540" s="26" t="str">
        <f aca="false">IF($M540=0,"",IF($M540&lt;0,"SORTIE","ENTREE"))</f>
        <v/>
      </c>
      <c r="F540" s="26" t="str">
        <f aca="false">IF($M540=0,"",OPERATIONS!$C240)</f>
        <v/>
      </c>
      <c r="G540" s="26" t="str">
        <f aca="false">IF($M540=0,"",OPERATIONS!$D240)</f>
        <v/>
      </c>
      <c r="H540" s="26" t="str">
        <f aca="false">IF($G540="","",IFERROR(INDEX(LOT_EXTE,MATCH($G540,LOT_KEY,0)),""))</f>
        <v/>
      </c>
      <c r="I540" s="26" t="str">
        <f aca="false">IF($M540=0,"",OPERATIONS!$F240)</f>
        <v/>
      </c>
      <c r="J540" s="26" t="str">
        <f aca="false">IF($I540="","",IFERROR(INDEX(EMPL_CLASSE,MATCH($I540,EMPL_KEY,0)),""))</f>
        <v/>
      </c>
      <c r="K540" s="26" t="str">
        <f aca="false">IF($M540=0,"",OPERATIONS!$K240)</f>
        <v/>
      </c>
      <c r="L540" s="26" t="str">
        <f aca="false">IF($G540="","",IF(IFERROR(INDEX(LOT_ETAT,MATCH($G540,LOT_KEY,0)),"")="","",INDEX(LOT_ETAT,MATCH($G540,LOT_KEY,0))))</f>
        <v/>
      </c>
      <c r="M540" s="73" t="n">
        <f aca="false">IF(OR(OPERATIONS!$O240=0,OPERATIONS!$C240="CONSOMMATION"),0,OPERATIONS!$G240)</f>
        <v>0</v>
      </c>
      <c r="N540" s="73" t="n">
        <f aca="false">IF($M540=0,0,OPERATIONS!$R240*$M540)</f>
        <v>0</v>
      </c>
      <c r="O540" s="26" t="str">
        <f aca="false">IF($M540=0,"",OPERATIONS!$Q240)</f>
        <v/>
      </c>
      <c r="P540" s="26" t="str">
        <f aca="false">IF($G540="","",IF($G540=R_LOT,COUNTIF($G$5:$G540,R_LOT),""))</f>
        <v/>
      </c>
    </row>
    <row r="541" customFormat="false" ht="15" hidden="false" customHeight="false" outlineLevel="0" collapsed="false">
      <c r="A541" s="28" t="str">
        <f aca="false">IF($M541=0,"",ROW()-4)</f>
        <v/>
      </c>
      <c r="B541" s="26" t="str">
        <f aca="false">IF($M541=0,"","OPERATIONS")</f>
        <v/>
      </c>
      <c r="C541" s="26" t="str">
        <f aca="false">IF($M541=0,"",OPERATIONS!$A241)</f>
        <v/>
      </c>
      <c r="D541" s="31" t="str">
        <f aca="false">IF($M541=0,"",OPERATIONS!$B241)</f>
        <v/>
      </c>
      <c r="E541" s="26" t="str">
        <f aca="false">IF($M541=0,"",IF($M541&lt;0,"SORTIE","ENTREE"))</f>
        <v/>
      </c>
      <c r="F541" s="26" t="str">
        <f aca="false">IF($M541=0,"",OPERATIONS!$C241)</f>
        <v/>
      </c>
      <c r="G541" s="26" t="str">
        <f aca="false">IF($M541=0,"",OPERATIONS!$D241)</f>
        <v/>
      </c>
      <c r="H541" s="26" t="str">
        <f aca="false">IF($G541="","",IFERROR(INDEX(LOT_EXTE,MATCH($G541,LOT_KEY,0)),""))</f>
        <v/>
      </c>
      <c r="I541" s="26" t="str">
        <f aca="false">IF($M541=0,"",OPERATIONS!$F241)</f>
        <v/>
      </c>
      <c r="J541" s="26" t="str">
        <f aca="false">IF($I541="","",IFERROR(INDEX(EMPL_CLASSE,MATCH($I541,EMPL_KEY,0)),""))</f>
        <v/>
      </c>
      <c r="K541" s="26" t="str">
        <f aca="false">IF($M541=0,"",OPERATIONS!$K241)</f>
        <v/>
      </c>
      <c r="L541" s="26" t="str">
        <f aca="false">IF($G541="","",IF(IFERROR(INDEX(LOT_ETAT,MATCH($G541,LOT_KEY,0)),"")="","",INDEX(LOT_ETAT,MATCH($G541,LOT_KEY,0))))</f>
        <v/>
      </c>
      <c r="M541" s="73" t="n">
        <f aca="false">IF(OR(OPERATIONS!$O241=0,OPERATIONS!$C241="CONSOMMATION"),0,OPERATIONS!$G241)</f>
        <v>0</v>
      </c>
      <c r="N541" s="73" t="n">
        <f aca="false">IF($M541=0,0,OPERATIONS!$R241*$M541)</f>
        <v>0</v>
      </c>
      <c r="O541" s="26" t="str">
        <f aca="false">IF($M541=0,"",OPERATIONS!$Q241)</f>
        <v/>
      </c>
      <c r="P541" s="26" t="str">
        <f aca="false">IF($G541="","",IF($G541=R_LOT,COUNTIF($G$5:$G541,R_LOT),""))</f>
        <v/>
      </c>
    </row>
    <row r="542" customFormat="false" ht="15" hidden="false" customHeight="false" outlineLevel="0" collapsed="false">
      <c r="A542" s="28" t="str">
        <f aca="false">IF($M542=0,"",ROW()-4)</f>
        <v/>
      </c>
      <c r="B542" s="26" t="str">
        <f aca="false">IF($M542=0,"","OPERATIONS")</f>
        <v/>
      </c>
      <c r="C542" s="26" t="str">
        <f aca="false">IF($M542=0,"",OPERATIONS!$A242)</f>
        <v/>
      </c>
      <c r="D542" s="31" t="str">
        <f aca="false">IF($M542=0,"",OPERATIONS!$B242)</f>
        <v/>
      </c>
      <c r="E542" s="26" t="str">
        <f aca="false">IF($M542=0,"",IF($M542&lt;0,"SORTIE","ENTREE"))</f>
        <v/>
      </c>
      <c r="F542" s="26" t="str">
        <f aca="false">IF($M542=0,"",OPERATIONS!$C242)</f>
        <v/>
      </c>
      <c r="G542" s="26" t="str">
        <f aca="false">IF($M542=0,"",OPERATIONS!$D242)</f>
        <v/>
      </c>
      <c r="H542" s="26" t="str">
        <f aca="false">IF($G542="","",IFERROR(INDEX(LOT_EXTE,MATCH($G542,LOT_KEY,0)),""))</f>
        <v/>
      </c>
      <c r="I542" s="26" t="str">
        <f aca="false">IF($M542=0,"",OPERATIONS!$F242)</f>
        <v/>
      </c>
      <c r="J542" s="26" t="str">
        <f aca="false">IF($I542="","",IFERROR(INDEX(EMPL_CLASSE,MATCH($I542,EMPL_KEY,0)),""))</f>
        <v/>
      </c>
      <c r="K542" s="26" t="str">
        <f aca="false">IF($M542=0,"",OPERATIONS!$K242)</f>
        <v/>
      </c>
      <c r="L542" s="26" t="str">
        <f aca="false">IF($G542="","",IF(IFERROR(INDEX(LOT_ETAT,MATCH($G542,LOT_KEY,0)),"")="","",INDEX(LOT_ETAT,MATCH($G542,LOT_KEY,0))))</f>
        <v/>
      </c>
      <c r="M542" s="73" t="n">
        <f aca="false">IF(OR(OPERATIONS!$O242=0,OPERATIONS!$C242="CONSOMMATION"),0,OPERATIONS!$G242)</f>
        <v>0</v>
      </c>
      <c r="N542" s="73" t="n">
        <f aca="false">IF($M542=0,0,OPERATIONS!$R242*$M542)</f>
        <v>0</v>
      </c>
      <c r="O542" s="26" t="str">
        <f aca="false">IF($M542=0,"",OPERATIONS!$Q242)</f>
        <v/>
      </c>
      <c r="P542" s="26" t="str">
        <f aca="false">IF($G542="","",IF($G542=R_LOT,COUNTIF($G$5:$G542,R_LOT),""))</f>
        <v/>
      </c>
    </row>
    <row r="543" customFormat="false" ht="15" hidden="false" customHeight="false" outlineLevel="0" collapsed="false">
      <c r="A543" s="28" t="str">
        <f aca="false">IF($M543=0,"",ROW()-4)</f>
        <v/>
      </c>
      <c r="B543" s="26" t="str">
        <f aca="false">IF($M543=0,"","OPERATIONS")</f>
        <v/>
      </c>
      <c r="C543" s="26" t="str">
        <f aca="false">IF($M543=0,"",OPERATIONS!$A243)</f>
        <v/>
      </c>
      <c r="D543" s="31" t="str">
        <f aca="false">IF($M543=0,"",OPERATIONS!$B243)</f>
        <v/>
      </c>
      <c r="E543" s="26" t="str">
        <f aca="false">IF($M543=0,"",IF($M543&lt;0,"SORTIE","ENTREE"))</f>
        <v/>
      </c>
      <c r="F543" s="26" t="str">
        <f aca="false">IF($M543=0,"",OPERATIONS!$C243)</f>
        <v/>
      </c>
      <c r="G543" s="26" t="str">
        <f aca="false">IF($M543=0,"",OPERATIONS!$D243)</f>
        <v/>
      </c>
      <c r="H543" s="26" t="str">
        <f aca="false">IF($G543="","",IFERROR(INDEX(LOT_EXTE,MATCH($G543,LOT_KEY,0)),""))</f>
        <v/>
      </c>
      <c r="I543" s="26" t="str">
        <f aca="false">IF($M543=0,"",OPERATIONS!$F243)</f>
        <v/>
      </c>
      <c r="J543" s="26" t="str">
        <f aca="false">IF($I543="","",IFERROR(INDEX(EMPL_CLASSE,MATCH($I543,EMPL_KEY,0)),""))</f>
        <v/>
      </c>
      <c r="K543" s="26" t="str">
        <f aca="false">IF($M543=0,"",OPERATIONS!$K243)</f>
        <v/>
      </c>
      <c r="L543" s="26" t="str">
        <f aca="false">IF($G543="","",IF(IFERROR(INDEX(LOT_ETAT,MATCH($G543,LOT_KEY,0)),"")="","",INDEX(LOT_ETAT,MATCH($G543,LOT_KEY,0))))</f>
        <v/>
      </c>
      <c r="M543" s="73" t="n">
        <f aca="false">IF(OR(OPERATIONS!$O243=0,OPERATIONS!$C243="CONSOMMATION"),0,OPERATIONS!$G243)</f>
        <v>0</v>
      </c>
      <c r="N543" s="73" t="n">
        <f aca="false">IF($M543=0,0,OPERATIONS!$R243*$M543)</f>
        <v>0</v>
      </c>
      <c r="O543" s="26" t="str">
        <f aca="false">IF($M543=0,"",OPERATIONS!$Q243)</f>
        <v/>
      </c>
      <c r="P543" s="26" t="str">
        <f aca="false">IF($G543="","",IF($G543=R_LOT,COUNTIF($G$5:$G543,R_LOT),""))</f>
        <v/>
      </c>
    </row>
    <row r="544" customFormat="false" ht="15" hidden="false" customHeight="false" outlineLevel="0" collapsed="false">
      <c r="A544" s="28" t="str">
        <f aca="false">IF($M544=0,"",ROW()-4)</f>
        <v/>
      </c>
      <c r="B544" s="26" t="str">
        <f aca="false">IF($M544=0,"","OPERATIONS")</f>
        <v/>
      </c>
      <c r="C544" s="26" t="str">
        <f aca="false">IF($M544=0,"",OPERATIONS!$A244)</f>
        <v/>
      </c>
      <c r="D544" s="31" t="str">
        <f aca="false">IF($M544=0,"",OPERATIONS!$B244)</f>
        <v/>
      </c>
      <c r="E544" s="26" t="str">
        <f aca="false">IF($M544=0,"",IF($M544&lt;0,"SORTIE","ENTREE"))</f>
        <v/>
      </c>
      <c r="F544" s="26" t="str">
        <f aca="false">IF($M544=0,"",OPERATIONS!$C244)</f>
        <v/>
      </c>
      <c r="G544" s="26" t="str">
        <f aca="false">IF($M544=0,"",OPERATIONS!$D244)</f>
        <v/>
      </c>
      <c r="H544" s="26" t="str">
        <f aca="false">IF($G544="","",IFERROR(INDEX(LOT_EXTE,MATCH($G544,LOT_KEY,0)),""))</f>
        <v/>
      </c>
      <c r="I544" s="26" t="str">
        <f aca="false">IF($M544=0,"",OPERATIONS!$F244)</f>
        <v/>
      </c>
      <c r="J544" s="26" t="str">
        <f aca="false">IF($I544="","",IFERROR(INDEX(EMPL_CLASSE,MATCH($I544,EMPL_KEY,0)),""))</f>
        <v/>
      </c>
      <c r="K544" s="26" t="str">
        <f aca="false">IF($M544=0,"",OPERATIONS!$K244)</f>
        <v/>
      </c>
      <c r="L544" s="26" t="str">
        <f aca="false">IF($G544="","",IF(IFERROR(INDEX(LOT_ETAT,MATCH($G544,LOT_KEY,0)),"")="","",INDEX(LOT_ETAT,MATCH($G544,LOT_KEY,0))))</f>
        <v/>
      </c>
      <c r="M544" s="73" t="n">
        <f aca="false">IF(OR(OPERATIONS!$O244=0,OPERATIONS!$C244="CONSOMMATION"),0,OPERATIONS!$G244)</f>
        <v>0</v>
      </c>
      <c r="N544" s="73" t="n">
        <f aca="false">IF($M544=0,0,OPERATIONS!$R244*$M544)</f>
        <v>0</v>
      </c>
      <c r="O544" s="26" t="str">
        <f aca="false">IF($M544=0,"",OPERATIONS!$Q244)</f>
        <v/>
      </c>
      <c r="P544" s="26" t="str">
        <f aca="false">IF($G544="","",IF($G544=R_LOT,COUNTIF($G$5:$G544,R_LOT),""))</f>
        <v/>
      </c>
    </row>
    <row r="545" customFormat="false" ht="15" hidden="false" customHeight="false" outlineLevel="0" collapsed="false">
      <c r="A545" s="28" t="str">
        <f aca="false">IF($M545=0,"",ROW()-4)</f>
        <v/>
      </c>
      <c r="B545" s="26" t="str">
        <f aca="false">IF($M545=0,"","OPERATIONS")</f>
        <v/>
      </c>
      <c r="C545" s="26" t="str">
        <f aca="false">IF($M545=0,"",OPERATIONS!$A245)</f>
        <v/>
      </c>
      <c r="D545" s="31" t="str">
        <f aca="false">IF($M545=0,"",OPERATIONS!$B245)</f>
        <v/>
      </c>
      <c r="E545" s="26" t="str">
        <f aca="false">IF($M545=0,"",IF($M545&lt;0,"SORTIE","ENTREE"))</f>
        <v/>
      </c>
      <c r="F545" s="26" t="str">
        <f aca="false">IF($M545=0,"",OPERATIONS!$C245)</f>
        <v/>
      </c>
      <c r="G545" s="26" t="str">
        <f aca="false">IF($M545=0,"",OPERATIONS!$D245)</f>
        <v/>
      </c>
      <c r="H545" s="26" t="str">
        <f aca="false">IF($G545="","",IFERROR(INDEX(LOT_EXTE,MATCH($G545,LOT_KEY,0)),""))</f>
        <v/>
      </c>
      <c r="I545" s="26" t="str">
        <f aca="false">IF($M545=0,"",OPERATIONS!$F245)</f>
        <v/>
      </c>
      <c r="J545" s="26" t="str">
        <f aca="false">IF($I545="","",IFERROR(INDEX(EMPL_CLASSE,MATCH($I545,EMPL_KEY,0)),""))</f>
        <v/>
      </c>
      <c r="K545" s="26" t="str">
        <f aca="false">IF($M545=0,"",OPERATIONS!$K245)</f>
        <v/>
      </c>
      <c r="L545" s="26" t="str">
        <f aca="false">IF($G545="","",IF(IFERROR(INDEX(LOT_ETAT,MATCH($G545,LOT_KEY,0)),"")="","",INDEX(LOT_ETAT,MATCH($G545,LOT_KEY,0))))</f>
        <v/>
      </c>
      <c r="M545" s="73" t="n">
        <f aca="false">IF(OR(OPERATIONS!$O245=0,OPERATIONS!$C245="CONSOMMATION"),0,OPERATIONS!$G245)</f>
        <v>0</v>
      </c>
      <c r="N545" s="73" t="n">
        <f aca="false">IF($M545=0,0,OPERATIONS!$R245*$M545)</f>
        <v>0</v>
      </c>
      <c r="O545" s="26" t="str">
        <f aca="false">IF($M545=0,"",OPERATIONS!$Q245)</f>
        <v/>
      </c>
      <c r="P545" s="26" t="str">
        <f aca="false">IF($G545="","",IF($G545=R_LOT,COUNTIF($G$5:$G545,R_LOT),""))</f>
        <v/>
      </c>
    </row>
    <row r="546" customFormat="false" ht="15" hidden="false" customHeight="false" outlineLevel="0" collapsed="false">
      <c r="A546" s="28" t="str">
        <f aca="false">IF($M546=0,"",ROW()-4)</f>
        <v/>
      </c>
      <c r="B546" s="26" t="str">
        <f aca="false">IF($M546=0,"","OPERATIONS")</f>
        <v/>
      </c>
      <c r="C546" s="26" t="str">
        <f aca="false">IF($M546=0,"",OPERATIONS!$A246)</f>
        <v/>
      </c>
      <c r="D546" s="31" t="str">
        <f aca="false">IF($M546=0,"",OPERATIONS!$B246)</f>
        <v/>
      </c>
      <c r="E546" s="26" t="str">
        <f aca="false">IF($M546=0,"",IF($M546&lt;0,"SORTIE","ENTREE"))</f>
        <v/>
      </c>
      <c r="F546" s="26" t="str">
        <f aca="false">IF($M546=0,"",OPERATIONS!$C246)</f>
        <v/>
      </c>
      <c r="G546" s="26" t="str">
        <f aca="false">IF($M546=0,"",OPERATIONS!$D246)</f>
        <v/>
      </c>
      <c r="H546" s="26" t="str">
        <f aca="false">IF($G546="","",IFERROR(INDEX(LOT_EXTE,MATCH($G546,LOT_KEY,0)),""))</f>
        <v/>
      </c>
      <c r="I546" s="26" t="str">
        <f aca="false">IF($M546=0,"",OPERATIONS!$F246)</f>
        <v/>
      </c>
      <c r="J546" s="26" t="str">
        <f aca="false">IF($I546="","",IFERROR(INDEX(EMPL_CLASSE,MATCH($I546,EMPL_KEY,0)),""))</f>
        <v/>
      </c>
      <c r="K546" s="26" t="str">
        <f aca="false">IF($M546=0,"",OPERATIONS!$K246)</f>
        <v/>
      </c>
      <c r="L546" s="26" t="str">
        <f aca="false">IF($G546="","",IF(IFERROR(INDEX(LOT_ETAT,MATCH($G546,LOT_KEY,0)),"")="","",INDEX(LOT_ETAT,MATCH($G546,LOT_KEY,0))))</f>
        <v/>
      </c>
      <c r="M546" s="73" t="n">
        <f aca="false">IF(OR(OPERATIONS!$O246=0,OPERATIONS!$C246="CONSOMMATION"),0,OPERATIONS!$G246)</f>
        <v>0</v>
      </c>
      <c r="N546" s="73" t="n">
        <f aca="false">IF($M546=0,0,OPERATIONS!$R246*$M546)</f>
        <v>0</v>
      </c>
      <c r="O546" s="26" t="str">
        <f aca="false">IF($M546=0,"",OPERATIONS!$Q246)</f>
        <v/>
      </c>
      <c r="P546" s="26" t="str">
        <f aca="false">IF($G546="","",IF($G546=R_LOT,COUNTIF($G$5:$G546,R_LOT),""))</f>
        <v/>
      </c>
    </row>
    <row r="547" customFormat="false" ht="15" hidden="false" customHeight="false" outlineLevel="0" collapsed="false">
      <c r="A547" s="28" t="str">
        <f aca="false">IF($M547=0,"",ROW()-4)</f>
        <v/>
      </c>
      <c r="B547" s="26" t="str">
        <f aca="false">IF($M547=0,"","OPERATIONS")</f>
        <v/>
      </c>
      <c r="C547" s="26" t="str">
        <f aca="false">IF($M547=0,"",OPERATIONS!$A247)</f>
        <v/>
      </c>
      <c r="D547" s="31" t="str">
        <f aca="false">IF($M547=0,"",OPERATIONS!$B247)</f>
        <v/>
      </c>
      <c r="E547" s="26" t="str">
        <f aca="false">IF($M547=0,"",IF($M547&lt;0,"SORTIE","ENTREE"))</f>
        <v/>
      </c>
      <c r="F547" s="26" t="str">
        <f aca="false">IF($M547=0,"",OPERATIONS!$C247)</f>
        <v/>
      </c>
      <c r="G547" s="26" t="str">
        <f aca="false">IF($M547=0,"",OPERATIONS!$D247)</f>
        <v/>
      </c>
      <c r="H547" s="26" t="str">
        <f aca="false">IF($G547="","",IFERROR(INDEX(LOT_EXTE,MATCH($G547,LOT_KEY,0)),""))</f>
        <v/>
      </c>
      <c r="I547" s="26" t="str">
        <f aca="false">IF($M547=0,"",OPERATIONS!$F247)</f>
        <v/>
      </c>
      <c r="J547" s="26" t="str">
        <f aca="false">IF($I547="","",IFERROR(INDEX(EMPL_CLASSE,MATCH($I547,EMPL_KEY,0)),""))</f>
        <v/>
      </c>
      <c r="K547" s="26" t="str">
        <f aca="false">IF($M547=0,"",OPERATIONS!$K247)</f>
        <v/>
      </c>
      <c r="L547" s="26" t="str">
        <f aca="false">IF($G547="","",IF(IFERROR(INDEX(LOT_ETAT,MATCH($G547,LOT_KEY,0)),"")="","",INDEX(LOT_ETAT,MATCH($G547,LOT_KEY,0))))</f>
        <v/>
      </c>
      <c r="M547" s="73" t="n">
        <f aca="false">IF(OR(OPERATIONS!$O247=0,OPERATIONS!$C247="CONSOMMATION"),0,OPERATIONS!$G247)</f>
        <v>0</v>
      </c>
      <c r="N547" s="73" t="n">
        <f aca="false">IF($M547=0,0,OPERATIONS!$R247*$M547)</f>
        <v>0</v>
      </c>
      <c r="O547" s="26" t="str">
        <f aca="false">IF($M547=0,"",OPERATIONS!$Q247)</f>
        <v/>
      </c>
      <c r="P547" s="26" t="str">
        <f aca="false">IF($G547="","",IF($G547=R_LOT,COUNTIF($G$5:$G547,R_LOT),""))</f>
        <v/>
      </c>
    </row>
    <row r="548" customFormat="false" ht="15" hidden="false" customHeight="false" outlineLevel="0" collapsed="false">
      <c r="A548" s="28" t="str">
        <f aca="false">IF($M548=0,"",ROW()-4)</f>
        <v/>
      </c>
      <c r="B548" s="26" t="str">
        <f aca="false">IF($M548=0,"","OPERATIONS")</f>
        <v/>
      </c>
      <c r="C548" s="26" t="str">
        <f aca="false">IF($M548=0,"",OPERATIONS!$A248)</f>
        <v/>
      </c>
      <c r="D548" s="31" t="str">
        <f aca="false">IF($M548=0,"",OPERATIONS!$B248)</f>
        <v/>
      </c>
      <c r="E548" s="26" t="str">
        <f aca="false">IF($M548=0,"",IF($M548&lt;0,"SORTIE","ENTREE"))</f>
        <v/>
      </c>
      <c r="F548" s="26" t="str">
        <f aca="false">IF($M548=0,"",OPERATIONS!$C248)</f>
        <v/>
      </c>
      <c r="G548" s="26" t="str">
        <f aca="false">IF($M548=0,"",OPERATIONS!$D248)</f>
        <v/>
      </c>
      <c r="H548" s="26" t="str">
        <f aca="false">IF($G548="","",IFERROR(INDEX(LOT_EXTE,MATCH($G548,LOT_KEY,0)),""))</f>
        <v/>
      </c>
      <c r="I548" s="26" t="str">
        <f aca="false">IF($M548=0,"",OPERATIONS!$F248)</f>
        <v/>
      </c>
      <c r="J548" s="26" t="str">
        <f aca="false">IF($I548="","",IFERROR(INDEX(EMPL_CLASSE,MATCH($I548,EMPL_KEY,0)),""))</f>
        <v/>
      </c>
      <c r="K548" s="26" t="str">
        <f aca="false">IF($M548=0,"",OPERATIONS!$K248)</f>
        <v/>
      </c>
      <c r="L548" s="26" t="str">
        <f aca="false">IF($G548="","",IF(IFERROR(INDEX(LOT_ETAT,MATCH($G548,LOT_KEY,0)),"")="","",INDEX(LOT_ETAT,MATCH($G548,LOT_KEY,0))))</f>
        <v/>
      </c>
      <c r="M548" s="73" t="n">
        <f aca="false">IF(OR(OPERATIONS!$O248=0,OPERATIONS!$C248="CONSOMMATION"),0,OPERATIONS!$G248)</f>
        <v>0</v>
      </c>
      <c r="N548" s="73" t="n">
        <f aca="false">IF($M548=0,0,OPERATIONS!$R248*$M548)</f>
        <v>0</v>
      </c>
      <c r="O548" s="26" t="str">
        <f aca="false">IF($M548=0,"",OPERATIONS!$Q248)</f>
        <v/>
      </c>
      <c r="P548" s="26" t="str">
        <f aca="false">IF($G548="","",IF($G548=R_LOT,COUNTIF($G$5:$G548,R_LOT),""))</f>
        <v/>
      </c>
    </row>
    <row r="549" customFormat="false" ht="15" hidden="false" customHeight="false" outlineLevel="0" collapsed="false">
      <c r="A549" s="28" t="str">
        <f aca="false">IF($M549=0,"",ROW()-4)</f>
        <v/>
      </c>
      <c r="B549" s="26" t="str">
        <f aca="false">IF($M549=0,"","OPERATIONS")</f>
        <v/>
      </c>
      <c r="C549" s="26" t="str">
        <f aca="false">IF($M549=0,"",OPERATIONS!$A249)</f>
        <v/>
      </c>
      <c r="D549" s="31" t="str">
        <f aca="false">IF($M549=0,"",OPERATIONS!$B249)</f>
        <v/>
      </c>
      <c r="E549" s="26" t="str">
        <f aca="false">IF($M549=0,"",IF($M549&lt;0,"SORTIE","ENTREE"))</f>
        <v/>
      </c>
      <c r="F549" s="26" t="str">
        <f aca="false">IF($M549=0,"",OPERATIONS!$C249)</f>
        <v/>
      </c>
      <c r="G549" s="26" t="str">
        <f aca="false">IF($M549=0,"",OPERATIONS!$D249)</f>
        <v/>
      </c>
      <c r="H549" s="26" t="str">
        <f aca="false">IF($G549="","",IFERROR(INDEX(LOT_EXTE,MATCH($G549,LOT_KEY,0)),""))</f>
        <v/>
      </c>
      <c r="I549" s="26" t="str">
        <f aca="false">IF($M549=0,"",OPERATIONS!$F249)</f>
        <v/>
      </c>
      <c r="J549" s="26" t="str">
        <f aca="false">IF($I549="","",IFERROR(INDEX(EMPL_CLASSE,MATCH($I549,EMPL_KEY,0)),""))</f>
        <v/>
      </c>
      <c r="K549" s="26" t="str">
        <f aca="false">IF($M549=0,"",OPERATIONS!$K249)</f>
        <v/>
      </c>
      <c r="L549" s="26" t="str">
        <f aca="false">IF($G549="","",IF(IFERROR(INDEX(LOT_ETAT,MATCH($G549,LOT_KEY,0)),"")="","",INDEX(LOT_ETAT,MATCH($G549,LOT_KEY,0))))</f>
        <v/>
      </c>
      <c r="M549" s="73" t="n">
        <f aca="false">IF(OR(OPERATIONS!$O249=0,OPERATIONS!$C249="CONSOMMATION"),0,OPERATIONS!$G249)</f>
        <v>0</v>
      </c>
      <c r="N549" s="73" t="n">
        <f aca="false">IF($M549=0,0,OPERATIONS!$R249*$M549)</f>
        <v>0</v>
      </c>
      <c r="O549" s="26" t="str">
        <f aca="false">IF($M549=0,"",OPERATIONS!$Q249)</f>
        <v/>
      </c>
      <c r="P549" s="26" t="str">
        <f aca="false">IF($G549="","",IF($G549=R_LOT,COUNTIF($G$5:$G549,R_LOT),""))</f>
        <v/>
      </c>
    </row>
    <row r="550" customFormat="false" ht="15" hidden="false" customHeight="false" outlineLevel="0" collapsed="false">
      <c r="A550" s="28" t="str">
        <f aca="false">IF($M550=0,"",ROW()-4)</f>
        <v/>
      </c>
      <c r="B550" s="26" t="str">
        <f aca="false">IF($M550=0,"","OPERATIONS")</f>
        <v/>
      </c>
      <c r="C550" s="26" t="str">
        <f aca="false">IF($M550=0,"",OPERATIONS!$A250)</f>
        <v/>
      </c>
      <c r="D550" s="31" t="str">
        <f aca="false">IF($M550=0,"",OPERATIONS!$B250)</f>
        <v/>
      </c>
      <c r="E550" s="26" t="str">
        <f aca="false">IF($M550=0,"",IF($M550&lt;0,"SORTIE","ENTREE"))</f>
        <v/>
      </c>
      <c r="F550" s="26" t="str">
        <f aca="false">IF($M550=0,"",OPERATIONS!$C250)</f>
        <v/>
      </c>
      <c r="G550" s="26" t="str">
        <f aca="false">IF($M550=0,"",OPERATIONS!$D250)</f>
        <v/>
      </c>
      <c r="H550" s="26" t="str">
        <f aca="false">IF($G550="","",IFERROR(INDEX(LOT_EXTE,MATCH($G550,LOT_KEY,0)),""))</f>
        <v/>
      </c>
      <c r="I550" s="26" t="str">
        <f aca="false">IF($M550=0,"",OPERATIONS!$F250)</f>
        <v/>
      </c>
      <c r="J550" s="26" t="str">
        <f aca="false">IF($I550="","",IFERROR(INDEX(EMPL_CLASSE,MATCH($I550,EMPL_KEY,0)),""))</f>
        <v/>
      </c>
      <c r="K550" s="26" t="str">
        <f aca="false">IF($M550=0,"",OPERATIONS!$K250)</f>
        <v/>
      </c>
      <c r="L550" s="26" t="str">
        <f aca="false">IF($G550="","",IF(IFERROR(INDEX(LOT_ETAT,MATCH($G550,LOT_KEY,0)),"")="","",INDEX(LOT_ETAT,MATCH($G550,LOT_KEY,0))))</f>
        <v/>
      </c>
      <c r="M550" s="73" t="n">
        <f aca="false">IF(OR(OPERATIONS!$O250=0,OPERATIONS!$C250="CONSOMMATION"),0,OPERATIONS!$G250)</f>
        <v>0</v>
      </c>
      <c r="N550" s="73" t="n">
        <f aca="false">IF($M550=0,0,OPERATIONS!$R250*$M550)</f>
        <v>0</v>
      </c>
      <c r="O550" s="26" t="str">
        <f aca="false">IF($M550=0,"",OPERATIONS!$Q250)</f>
        <v/>
      </c>
      <c r="P550" s="26" t="str">
        <f aca="false">IF($G550="","",IF($G550=R_LOT,COUNTIF($G$5:$G550,R_LOT),""))</f>
        <v/>
      </c>
    </row>
    <row r="551" customFormat="false" ht="15" hidden="false" customHeight="false" outlineLevel="0" collapsed="false">
      <c r="A551" s="28" t="str">
        <f aca="false">IF($M551=0,"",ROW()-4)</f>
        <v/>
      </c>
      <c r="B551" s="26" t="str">
        <f aca="false">IF($M551=0,"","OPERATIONS")</f>
        <v/>
      </c>
      <c r="C551" s="26" t="str">
        <f aca="false">IF($M551=0,"",OPERATIONS!$A251)</f>
        <v/>
      </c>
      <c r="D551" s="31" t="str">
        <f aca="false">IF($M551=0,"",OPERATIONS!$B251)</f>
        <v/>
      </c>
      <c r="E551" s="26" t="str">
        <f aca="false">IF($M551=0,"",IF($M551&lt;0,"SORTIE","ENTREE"))</f>
        <v/>
      </c>
      <c r="F551" s="26" t="str">
        <f aca="false">IF($M551=0,"",OPERATIONS!$C251)</f>
        <v/>
      </c>
      <c r="G551" s="26" t="str">
        <f aca="false">IF($M551=0,"",OPERATIONS!$D251)</f>
        <v/>
      </c>
      <c r="H551" s="26" t="str">
        <f aca="false">IF($G551="","",IFERROR(INDEX(LOT_EXTE,MATCH($G551,LOT_KEY,0)),""))</f>
        <v/>
      </c>
      <c r="I551" s="26" t="str">
        <f aca="false">IF($M551=0,"",OPERATIONS!$F251)</f>
        <v/>
      </c>
      <c r="J551" s="26" t="str">
        <f aca="false">IF($I551="","",IFERROR(INDEX(EMPL_CLASSE,MATCH($I551,EMPL_KEY,0)),""))</f>
        <v/>
      </c>
      <c r="K551" s="26" t="str">
        <f aca="false">IF($M551=0,"",OPERATIONS!$K251)</f>
        <v/>
      </c>
      <c r="L551" s="26" t="str">
        <f aca="false">IF($G551="","",IF(IFERROR(INDEX(LOT_ETAT,MATCH($G551,LOT_KEY,0)),"")="","",INDEX(LOT_ETAT,MATCH($G551,LOT_KEY,0))))</f>
        <v/>
      </c>
      <c r="M551" s="73" t="n">
        <f aca="false">IF(OR(OPERATIONS!$O251=0,OPERATIONS!$C251="CONSOMMATION"),0,OPERATIONS!$G251)</f>
        <v>0</v>
      </c>
      <c r="N551" s="73" t="n">
        <f aca="false">IF($M551=0,0,OPERATIONS!$R251*$M551)</f>
        <v>0</v>
      </c>
      <c r="O551" s="26" t="str">
        <f aca="false">IF($M551=0,"",OPERATIONS!$Q251)</f>
        <v/>
      </c>
      <c r="P551" s="26" t="str">
        <f aca="false">IF($G551="","",IF($G551=R_LOT,COUNTIF($G$5:$G551,R_LOT),""))</f>
        <v/>
      </c>
    </row>
    <row r="552" customFormat="false" ht="15" hidden="false" customHeight="false" outlineLevel="0" collapsed="false">
      <c r="A552" s="28" t="str">
        <f aca="false">IF($M552=0,"",ROW()-4)</f>
        <v/>
      </c>
      <c r="B552" s="26" t="str">
        <f aca="false">IF($M552=0,"","OPERATIONS")</f>
        <v/>
      </c>
      <c r="C552" s="26" t="str">
        <f aca="false">IF($M552=0,"",OPERATIONS!$A252)</f>
        <v/>
      </c>
      <c r="D552" s="31" t="str">
        <f aca="false">IF($M552=0,"",OPERATIONS!$B252)</f>
        <v/>
      </c>
      <c r="E552" s="26" t="str">
        <f aca="false">IF($M552=0,"",IF($M552&lt;0,"SORTIE","ENTREE"))</f>
        <v/>
      </c>
      <c r="F552" s="26" t="str">
        <f aca="false">IF($M552=0,"",OPERATIONS!$C252)</f>
        <v/>
      </c>
      <c r="G552" s="26" t="str">
        <f aca="false">IF($M552=0,"",OPERATIONS!$D252)</f>
        <v/>
      </c>
      <c r="H552" s="26" t="str">
        <f aca="false">IF($G552="","",IFERROR(INDEX(LOT_EXTE,MATCH($G552,LOT_KEY,0)),""))</f>
        <v/>
      </c>
      <c r="I552" s="26" t="str">
        <f aca="false">IF($M552=0,"",OPERATIONS!$F252)</f>
        <v/>
      </c>
      <c r="J552" s="26" t="str">
        <f aca="false">IF($I552="","",IFERROR(INDEX(EMPL_CLASSE,MATCH($I552,EMPL_KEY,0)),""))</f>
        <v/>
      </c>
      <c r="K552" s="26" t="str">
        <f aca="false">IF($M552=0,"",OPERATIONS!$K252)</f>
        <v/>
      </c>
      <c r="L552" s="26" t="str">
        <f aca="false">IF($G552="","",IF(IFERROR(INDEX(LOT_ETAT,MATCH($G552,LOT_KEY,0)),"")="","",INDEX(LOT_ETAT,MATCH($G552,LOT_KEY,0))))</f>
        <v/>
      </c>
      <c r="M552" s="73" t="n">
        <f aca="false">IF(OR(OPERATIONS!$O252=0,OPERATIONS!$C252="CONSOMMATION"),0,OPERATIONS!$G252)</f>
        <v>0</v>
      </c>
      <c r="N552" s="73" t="n">
        <f aca="false">IF($M552=0,0,OPERATIONS!$R252*$M552)</f>
        <v>0</v>
      </c>
      <c r="O552" s="26" t="str">
        <f aca="false">IF($M552=0,"",OPERATIONS!$Q252)</f>
        <v/>
      </c>
      <c r="P552" s="26" t="str">
        <f aca="false">IF($G552="","",IF($G552=R_LOT,COUNTIF($G$5:$G552,R_LOT),""))</f>
        <v/>
      </c>
    </row>
    <row r="553" customFormat="false" ht="15" hidden="false" customHeight="false" outlineLevel="0" collapsed="false">
      <c r="A553" s="28" t="str">
        <f aca="false">IF($M553=0,"",ROW()-4)</f>
        <v/>
      </c>
      <c r="B553" s="26" t="str">
        <f aca="false">IF($M553=0,"","OPERATIONS")</f>
        <v/>
      </c>
      <c r="C553" s="26" t="str">
        <f aca="false">IF($M553=0,"",OPERATIONS!$A253)</f>
        <v/>
      </c>
      <c r="D553" s="31" t="str">
        <f aca="false">IF($M553=0,"",OPERATIONS!$B253)</f>
        <v/>
      </c>
      <c r="E553" s="26" t="str">
        <f aca="false">IF($M553=0,"",IF($M553&lt;0,"SORTIE","ENTREE"))</f>
        <v/>
      </c>
      <c r="F553" s="26" t="str">
        <f aca="false">IF($M553=0,"",OPERATIONS!$C253)</f>
        <v/>
      </c>
      <c r="G553" s="26" t="str">
        <f aca="false">IF($M553=0,"",OPERATIONS!$D253)</f>
        <v/>
      </c>
      <c r="H553" s="26" t="str">
        <f aca="false">IF($G553="","",IFERROR(INDEX(LOT_EXTE,MATCH($G553,LOT_KEY,0)),""))</f>
        <v/>
      </c>
      <c r="I553" s="26" t="str">
        <f aca="false">IF($M553=0,"",OPERATIONS!$F253)</f>
        <v/>
      </c>
      <c r="J553" s="26" t="str">
        <f aca="false">IF($I553="","",IFERROR(INDEX(EMPL_CLASSE,MATCH($I553,EMPL_KEY,0)),""))</f>
        <v/>
      </c>
      <c r="K553" s="26" t="str">
        <f aca="false">IF($M553=0,"",OPERATIONS!$K253)</f>
        <v/>
      </c>
      <c r="L553" s="26" t="str">
        <f aca="false">IF($G553="","",IF(IFERROR(INDEX(LOT_ETAT,MATCH($G553,LOT_KEY,0)),"")="","",INDEX(LOT_ETAT,MATCH($G553,LOT_KEY,0))))</f>
        <v/>
      </c>
      <c r="M553" s="73" t="n">
        <f aca="false">IF(OR(OPERATIONS!$O253=0,OPERATIONS!$C253="CONSOMMATION"),0,OPERATIONS!$G253)</f>
        <v>0</v>
      </c>
      <c r="N553" s="73" t="n">
        <f aca="false">IF($M553=0,0,OPERATIONS!$R253*$M553)</f>
        <v>0</v>
      </c>
      <c r="O553" s="26" t="str">
        <f aca="false">IF($M553=0,"",OPERATIONS!$Q253)</f>
        <v/>
      </c>
      <c r="P553" s="26" t="str">
        <f aca="false">IF($G553="","",IF($G553=R_LOT,COUNTIF($G$5:$G553,R_LOT),""))</f>
        <v/>
      </c>
    </row>
    <row r="554" customFormat="false" ht="15" hidden="false" customHeight="false" outlineLevel="0" collapsed="false">
      <c r="A554" s="28" t="str">
        <f aca="false">IF($M554=0,"",ROW()-4)</f>
        <v/>
      </c>
      <c r="B554" s="26" t="str">
        <f aca="false">IF($M554=0,"","OPERATIONS")</f>
        <v/>
      </c>
      <c r="C554" s="26" t="str">
        <f aca="false">IF($M554=0,"",OPERATIONS!$A254)</f>
        <v/>
      </c>
      <c r="D554" s="31" t="str">
        <f aca="false">IF($M554=0,"",OPERATIONS!$B254)</f>
        <v/>
      </c>
      <c r="E554" s="26" t="str">
        <f aca="false">IF($M554=0,"",IF($M554&lt;0,"SORTIE","ENTREE"))</f>
        <v/>
      </c>
      <c r="F554" s="26" t="str">
        <f aca="false">IF($M554=0,"",OPERATIONS!$C254)</f>
        <v/>
      </c>
      <c r="G554" s="26" t="str">
        <f aca="false">IF($M554=0,"",OPERATIONS!$D254)</f>
        <v/>
      </c>
      <c r="H554" s="26" t="str">
        <f aca="false">IF($G554="","",IFERROR(INDEX(LOT_EXTE,MATCH($G554,LOT_KEY,0)),""))</f>
        <v/>
      </c>
      <c r="I554" s="26" t="str">
        <f aca="false">IF($M554=0,"",OPERATIONS!$F254)</f>
        <v/>
      </c>
      <c r="J554" s="26" t="str">
        <f aca="false">IF($I554="","",IFERROR(INDEX(EMPL_CLASSE,MATCH($I554,EMPL_KEY,0)),""))</f>
        <v/>
      </c>
      <c r="K554" s="26" t="str">
        <f aca="false">IF($M554=0,"",OPERATIONS!$K254)</f>
        <v/>
      </c>
      <c r="L554" s="26" t="str">
        <f aca="false">IF($G554="","",IF(IFERROR(INDEX(LOT_ETAT,MATCH($G554,LOT_KEY,0)),"")="","",INDEX(LOT_ETAT,MATCH($G554,LOT_KEY,0))))</f>
        <v/>
      </c>
      <c r="M554" s="73" t="n">
        <f aca="false">IF(OR(OPERATIONS!$O254=0,OPERATIONS!$C254="CONSOMMATION"),0,OPERATIONS!$G254)</f>
        <v>0</v>
      </c>
      <c r="N554" s="73" t="n">
        <f aca="false">IF($M554=0,0,OPERATIONS!$R254*$M554)</f>
        <v>0</v>
      </c>
      <c r="O554" s="26" t="str">
        <f aca="false">IF($M554=0,"",OPERATIONS!$Q254)</f>
        <v/>
      </c>
      <c r="P554" s="26" t="str">
        <f aca="false">IF($G554="","",IF($G554=R_LOT,COUNTIF($G$5:$G554,R_LOT),""))</f>
        <v/>
      </c>
    </row>
    <row r="555" customFormat="false" ht="15" hidden="false" customHeight="false" outlineLevel="0" collapsed="false">
      <c r="A555" s="28" t="str">
        <f aca="false">IF($M555=0,"",ROW()-4)</f>
        <v/>
      </c>
      <c r="B555" s="26" t="str">
        <f aca="false">IF($M555=0,"","OPERATIONS")</f>
        <v/>
      </c>
      <c r="C555" s="26" t="str">
        <f aca="false">IF($M555=0,"",OPERATIONS!$A255)</f>
        <v/>
      </c>
      <c r="D555" s="31" t="str">
        <f aca="false">IF($M555=0,"",OPERATIONS!$B255)</f>
        <v/>
      </c>
      <c r="E555" s="26" t="str">
        <f aca="false">IF($M555=0,"",IF($M555&lt;0,"SORTIE","ENTREE"))</f>
        <v/>
      </c>
      <c r="F555" s="26" t="str">
        <f aca="false">IF($M555=0,"",OPERATIONS!$C255)</f>
        <v/>
      </c>
      <c r="G555" s="26" t="str">
        <f aca="false">IF($M555=0,"",OPERATIONS!$D255)</f>
        <v/>
      </c>
      <c r="H555" s="26" t="str">
        <f aca="false">IF($G555="","",IFERROR(INDEX(LOT_EXTE,MATCH($G555,LOT_KEY,0)),""))</f>
        <v/>
      </c>
      <c r="I555" s="26" t="str">
        <f aca="false">IF($M555=0,"",OPERATIONS!$F255)</f>
        <v/>
      </c>
      <c r="J555" s="26" t="str">
        <f aca="false">IF($I555="","",IFERROR(INDEX(EMPL_CLASSE,MATCH($I555,EMPL_KEY,0)),""))</f>
        <v/>
      </c>
      <c r="K555" s="26" t="str">
        <f aca="false">IF($M555=0,"",OPERATIONS!$K255)</f>
        <v/>
      </c>
      <c r="L555" s="26" t="str">
        <f aca="false">IF($G555="","",IF(IFERROR(INDEX(LOT_ETAT,MATCH($G555,LOT_KEY,0)),"")="","",INDEX(LOT_ETAT,MATCH($G555,LOT_KEY,0))))</f>
        <v/>
      </c>
      <c r="M555" s="73" t="n">
        <f aca="false">IF(OR(OPERATIONS!$O255=0,OPERATIONS!$C255="CONSOMMATION"),0,OPERATIONS!$G255)</f>
        <v>0</v>
      </c>
      <c r="N555" s="73" t="n">
        <f aca="false">IF($M555=0,0,OPERATIONS!$R255*$M555)</f>
        <v>0</v>
      </c>
      <c r="O555" s="26" t="str">
        <f aca="false">IF($M555=0,"",OPERATIONS!$Q255)</f>
        <v/>
      </c>
      <c r="P555" s="26" t="str">
        <f aca="false">IF($G555="","",IF($G555=R_LOT,COUNTIF($G$5:$G555,R_LOT),""))</f>
        <v/>
      </c>
    </row>
    <row r="556" customFormat="false" ht="15" hidden="false" customHeight="false" outlineLevel="0" collapsed="false">
      <c r="A556" s="28" t="str">
        <f aca="false">IF($M556=0,"",ROW()-4)</f>
        <v/>
      </c>
      <c r="B556" s="26" t="str">
        <f aca="false">IF($M556=0,"","OPERATIONS")</f>
        <v/>
      </c>
      <c r="C556" s="26" t="str">
        <f aca="false">IF($M556=0,"",OPERATIONS!$A256)</f>
        <v/>
      </c>
      <c r="D556" s="31" t="str">
        <f aca="false">IF($M556=0,"",OPERATIONS!$B256)</f>
        <v/>
      </c>
      <c r="E556" s="26" t="str">
        <f aca="false">IF($M556=0,"",IF($M556&lt;0,"SORTIE","ENTREE"))</f>
        <v/>
      </c>
      <c r="F556" s="26" t="str">
        <f aca="false">IF($M556=0,"",OPERATIONS!$C256)</f>
        <v/>
      </c>
      <c r="G556" s="26" t="str">
        <f aca="false">IF($M556=0,"",OPERATIONS!$D256)</f>
        <v/>
      </c>
      <c r="H556" s="26" t="str">
        <f aca="false">IF($G556="","",IFERROR(INDEX(LOT_EXTE,MATCH($G556,LOT_KEY,0)),""))</f>
        <v/>
      </c>
      <c r="I556" s="26" t="str">
        <f aca="false">IF($M556=0,"",OPERATIONS!$F256)</f>
        <v/>
      </c>
      <c r="J556" s="26" t="str">
        <f aca="false">IF($I556="","",IFERROR(INDEX(EMPL_CLASSE,MATCH($I556,EMPL_KEY,0)),""))</f>
        <v/>
      </c>
      <c r="K556" s="26" t="str">
        <f aca="false">IF($M556=0,"",OPERATIONS!$K256)</f>
        <v/>
      </c>
      <c r="L556" s="26" t="str">
        <f aca="false">IF($G556="","",IF(IFERROR(INDEX(LOT_ETAT,MATCH($G556,LOT_KEY,0)),"")="","",INDEX(LOT_ETAT,MATCH($G556,LOT_KEY,0))))</f>
        <v/>
      </c>
      <c r="M556" s="73" t="n">
        <f aca="false">IF(OR(OPERATIONS!$O256=0,OPERATIONS!$C256="CONSOMMATION"),0,OPERATIONS!$G256)</f>
        <v>0</v>
      </c>
      <c r="N556" s="73" t="n">
        <f aca="false">IF($M556=0,0,OPERATIONS!$R256*$M556)</f>
        <v>0</v>
      </c>
      <c r="O556" s="26" t="str">
        <f aca="false">IF($M556=0,"",OPERATIONS!$Q256)</f>
        <v/>
      </c>
      <c r="P556" s="26" t="str">
        <f aca="false">IF($G556="","",IF($G556=R_LOT,COUNTIF($G$5:$G556,R_LOT),""))</f>
        <v/>
      </c>
    </row>
    <row r="557" customFormat="false" ht="15" hidden="false" customHeight="false" outlineLevel="0" collapsed="false">
      <c r="A557" s="28" t="str">
        <f aca="false">IF($M557=0,"",ROW()-4)</f>
        <v/>
      </c>
      <c r="B557" s="26" t="str">
        <f aca="false">IF($M557=0,"","OPERATIONS")</f>
        <v/>
      </c>
      <c r="C557" s="26" t="str">
        <f aca="false">IF($M557=0,"",OPERATIONS!$A257)</f>
        <v/>
      </c>
      <c r="D557" s="31" t="str">
        <f aca="false">IF($M557=0,"",OPERATIONS!$B257)</f>
        <v/>
      </c>
      <c r="E557" s="26" t="str">
        <f aca="false">IF($M557=0,"",IF($M557&lt;0,"SORTIE","ENTREE"))</f>
        <v/>
      </c>
      <c r="F557" s="26" t="str">
        <f aca="false">IF($M557=0,"",OPERATIONS!$C257)</f>
        <v/>
      </c>
      <c r="G557" s="26" t="str">
        <f aca="false">IF($M557=0,"",OPERATIONS!$D257)</f>
        <v/>
      </c>
      <c r="H557" s="26" t="str">
        <f aca="false">IF($G557="","",IFERROR(INDEX(LOT_EXTE,MATCH($G557,LOT_KEY,0)),""))</f>
        <v/>
      </c>
      <c r="I557" s="26" t="str">
        <f aca="false">IF($M557=0,"",OPERATIONS!$F257)</f>
        <v/>
      </c>
      <c r="J557" s="26" t="str">
        <f aca="false">IF($I557="","",IFERROR(INDEX(EMPL_CLASSE,MATCH($I557,EMPL_KEY,0)),""))</f>
        <v/>
      </c>
      <c r="K557" s="26" t="str">
        <f aca="false">IF($M557=0,"",OPERATIONS!$K257)</f>
        <v/>
      </c>
      <c r="L557" s="26" t="str">
        <f aca="false">IF($G557="","",IF(IFERROR(INDEX(LOT_ETAT,MATCH($G557,LOT_KEY,0)),"")="","",INDEX(LOT_ETAT,MATCH($G557,LOT_KEY,0))))</f>
        <v/>
      </c>
      <c r="M557" s="73" t="n">
        <f aca="false">IF(OR(OPERATIONS!$O257=0,OPERATIONS!$C257="CONSOMMATION"),0,OPERATIONS!$G257)</f>
        <v>0</v>
      </c>
      <c r="N557" s="73" t="n">
        <f aca="false">IF($M557=0,0,OPERATIONS!$R257*$M557)</f>
        <v>0</v>
      </c>
      <c r="O557" s="26" t="str">
        <f aca="false">IF($M557=0,"",OPERATIONS!$Q257)</f>
        <v/>
      </c>
      <c r="P557" s="26" t="str">
        <f aca="false">IF($G557="","",IF($G557=R_LOT,COUNTIF($G$5:$G557,R_LOT),""))</f>
        <v/>
      </c>
    </row>
    <row r="558" customFormat="false" ht="15" hidden="false" customHeight="false" outlineLevel="0" collapsed="false">
      <c r="A558" s="28" t="str">
        <f aca="false">IF($M558=0,"",ROW()-4)</f>
        <v/>
      </c>
      <c r="B558" s="26" t="str">
        <f aca="false">IF($M558=0,"","OPERATIONS")</f>
        <v/>
      </c>
      <c r="C558" s="26" t="str">
        <f aca="false">IF($M558=0,"",OPERATIONS!$A258)</f>
        <v/>
      </c>
      <c r="D558" s="31" t="str">
        <f aca="false">IF($M558=0,"",OPERATIONS!$B258)</f>
        <v/>
      </c>
      <c r="E558" s="26" t="str">
        <f aca="false">IF($M558=0,"",IF($M558&lt;0,"SORTIE","ENTREE"))</f>
        <v/>
      </c>
      <c r="F558" s="26" t="str">
        <f aca="false">IF($M558=0,"",OPERATIONS!$C258)</f>
        <v/>
      </c>
      <c r="G558" s="26" t="str">
        <f aca="false">IF($M558=0,"",OPERATIONS!$D258)</f>
        <v/>
      </c>
      <c r="H558" s="26" t="str">
        <f aca="false">IF($G558="","",IFERROR(INDEX(LOT_EXTE,MATCH($G558,LOT_KEY,0)),""))</f>
        <v/>
      </c>
      <c r="I558" s="26" t="str">
        <f aca="false">IF($M558=0,"",OPERATIONS!$F258)</f>
        <v/>
      </c>
      <c r="J558" s="26" t="str">
        <f aca="false">IF($I558="","",IFERROR(INDEX(EMPL_CLASSE,MATCH($I558,EMPL_KEY,0)),""))</f>
        <v/>
      </c>
      <c r="K558" s="26" t="str">
        <f aca="false">IF($M558=0,"",OPERATIONS!$K258)</f>
        <v/>
      </c>
      <c r="L558" s="26" t="str">
        <f aca="false">IF($G558="","",IF(IFERROR(INDEX(LOT_ETAT,MATCH($G558,LOT_KEY,0)),"")="","",INDEX(LOT_ETAT,MATCH($G558,LOT_KEY,0))))</f>
        <v/>
      </c>
      <c r="M558" s="73" t="n">
        <f aca="false">IF(OR(OPERATIONS!$O258=0,OPERATIONS!$C258="CONSOMMATION"),0,OPERATIONS!$G258)</f>
        <v>0</v>
      </c>
      <c r="N558" s="73" t="n">
        <f aca="false">IF($M558=0,0,OPERATIONS!$R258*$M558)</f>
        <v>0</v>
      </c>
      <c r="O558" s="26" t="str">
        <f aca="false">IF($M558=0,"",OPERATIONS!$Q258)</f>
        <v/>
      </c>
      <c r="P558" s="26" t="str">
        <f aca="false">IF($G558="","",IF($G558=R_LOT,COUNTIF($G$5:$G558,R_LOT),""))</f>
        <v/>
      </c>
    </row>
    <row r="559" customFormat="false" ht="15" hidden="false" customHeight="false" outlineLevel="0" collapsed="false">
      <c r="A559" s="28" t="str">
        <f aca="false">IF($M559=0,"",ROW()-4)</f>
        <v/>
      </c>
      <c r="B559" s="26" t="str">
        <f aca="false">IF($M559=0,"","OPERATIONS")</f>
        <v/>
      </c>
      <c r="C559" s="26" t="str">
        <f aca="false">IF($M559=0,"",OPERATIONS!$A259)</f>
        <v/>
      </c>
      <c r="D559" s="31" t="str">
        <f aca="false">IF($M559=0,"",OPERATIONS!$B259)</f>
        <v/>
      </c>
      <c r="E559" s="26" t="str">
        <f aca="false">IF($M559=0,"",IF($M559&lt;0,"SORTIE","ENTREE"))</f>
        <v/>
      </c>
      <c r="F559" s="26" t="str">
        <f aca="false">IF($M559=0,"",OPERATIONS!$C259)</f>
        <v/>
      </c>
      <c r="G559" s="26" t="str">
        <f aca="false">IF($M559=0,"",OPERATIONS!$D259)</f>
        <v/>
      </c>
      <c r="H559" s="26" t="str">
        <f aca="false">IF($G559="","",IFERROR(INDEX(LOT_EXTE,MATCH($G559,LOT_KEY,0)),""))</f>
        <v/>
      </c>
      <c r="I559" s="26" t="str">
        <f aca="false">IF($M559=0,"",OPERATIONS!$F259)</f>
        <v/>
      </c>
      <c r="J559" s="26" t="str">
        <f aca="false">IF($I559="","",IFERROR(INDEX(EMPL_CLASSE,MATCH($I559,EMPL_KEY,0)),""))</f>
        <v/>
      </c>
      <c r="K559" s="26" t="str">
        <f aca="false">IF($M559=0,"",OPERATIONS!$K259)</f>
        <v/>
      </c>
      <c r="L559" s="26" t="str">
        <f aca="false">IF($G559="","",IF(IFERROR(INDEX(LOT_ETAT,MATCH($G559,LOT_KEY,0)),"")="","",INDEX(LOT_ETAT,MATCH($G559,LOT_KEY,0))))</f>
        <v/>
      </c>
      <c r="M559" s="73" t="n">
        <f aca="false">IF(OR(OPERATIONS!$O259=0,OPERATIONS!$C259="CONSOMMATION"),0,OPERATIONS!$G259)</f>
        <v>0</v>
      </c>
      <c r="N559" s="73" t="n">
        <f aca="false">IF($M559=0,0,OPERATIONS!$R259*$M559)</f>
        <v>0</v>
      </c>
      <c r="O559" s="26" t="str">
        <f aca="false">IF($M559=0,"",OPERATIONS!$Q259)</f>
        <v/>
      </c>
      <c r="P559" s="26" t="str">
        <f aca="false">IF($G559="","",IF($G559=R_LOT,COUNTIF($G$5:$G559,R_LOT),""))</f>
        <v/>
      </c>
    </row>
    <row r="560" customFormat="false" ht="15" hidden="false" customHeight="false" outlineLevel="0" collapsed="false">
      <c r="A560" s="28" t="str">
        <f aca="false">IF($M560=0,"",ROW()-4)</f>
        <v/>
      </c>
      <c r="B560" s="26" t="str">
        <f aca="false">IF($M560=0,"","OPERATIONS")</f>
        <v/>
      </c>
      <c r="C560" s="26" t="str">
        <f aca="false">IF($M560=0,"",OPERATIONS!$A260)</f>
        <v/>
      </c>
      <c r="D560" s="31" t="str">
        <f aca="false">IF($M560=0,"",OPERATIONS!$B260)</f>
        <v/>
      </c>
      <c r="E560" s="26" t="str">
        <f aca="false">IF($M560=0,"",IF($M560&lt;0,"SORTIE","ENTREE"))</f>
        <v/>
      </c>
      <c r="F560" s="26" t="str">
        <f aca="false">IF($M560=0,"",OPERATIONS!$C260)</f>
        <v/>
      </c>
      <c r="G560" s="26" t="str">
        <f aca="false">IF($M560=0,"",OPERATIONS!$D260)</f>
        <v/>
      </c>
      <c r="H560" s="26" t="str">
        <f aca="false">IF($G560="","",IFERROR(INDEX(LOT_EXTE,MATCH($G560,LOT_KEY,0)),""))</f>
        <v/>
      </c>
      <c r="I560" s="26" t="str">
        <f aca="false">IF($M560=0,"",OPERATIONS!$F260)</f>
        <v/>
      </c>
      <c r="J560" s="26" t="str">
        <f aca="false">IF($I560="","",IFERROR(INDEX(EMPL_CLASSE,MATCH($I560,EMPL_KEY,0)),""))</f>
        <v/>
      </c>
      <c r="K560" s="26" t="str">
        <f aca="false">IF($M560=0,"",OPERATIONS!$K260)</f>
        <v/>
      </c>
      <c r="L560" s="26" t="str">
        <f aca="false">IF($G560="","",IF(IFERROR(INDEX(LOT_ETAT,MATCH($G560,LOT_KEY,0)),"")="","",INDEX(LOT_ETAT,MATCH($G560,LOT_KEY,0))))</f>
        <v/>
      </c>
      <c r="M560" s="73" t="n">
        <f aca="false">IF(OR(OPERATIONS!$O260=0,OPERATIONS!$C260="CONSOMMATION"),0,OPERATIONS!$G260)</f>
        <v>0</v>
      </c>
      <c r="N560" s="73" t="n">
        <f aca="false">IF($M560=0,0,OPERATIONS!$R260*$M560)</f>
        <v>0</v>
      </c>
      <c r="O560" s="26" t="str">
        <f aca="false">IF($M560=0,"",OPERATIONS!$Q260)</f>
        <v/>
      </c>
      <c r="P560" s="26" t="str">
        <f aca="false">IF($G560="","",IF($G560=R_LOT,COUNTIF($G$5:$G560,R_LOT),""))</f>
        <v/>
      </c>
    </row>
    <row r="561" customFormat="false" ht="15" hidden="false" customHeight="false" outlineLevel="0" collapsed="false">
      <c r="A561" s="28" t="str">
        <f aca="false">IF($M561=0,"",ROW()-4)</f>
        <v/>
      </c>
      <c r="B561" s="26" t="str">
        <f aca="false">IF($M561=0,"","OPERATIONS")</f>
        <v/>
      </c>
      <c r="C561" s="26" t="str">
        <f aca="false">IF($M561=0,"",OPERATIONS!$A261)</f>
        <v/>
      </c>
      <c r="D561" s="31" t="str">
        <f aca="false">IF($M561=0,"",OPERATIONS!$B261)</f>
        <v/>
      </c>
      <c r="E561" s="26" t="str">
        <f aca="false">IF($M561=0,"",IF($M561&lt;0,"SORTIE","ENTREE"))</f>
        <v/>
      </c>
      <c r="F561" s="26" t="str">
        <f aca="false">IF($M561=0,"",OPERATIONS!$C261)</f>
        <v/>
      </c>
      <c r="G561" s="26" t="str">
        <f aca="false">IF($M561=0,"",OPERATIONS!$D261)</f>
        <v/>
      </c>
      <c r="H561" s="26" t="str">
        <f aca="false">IF($G561="","",IFERROR(INDEX(LOT_EXTE,MATCH($G561,LOT_KEY,0)),""))</f>
        <v/>
      </c>
      <c r="I561" s="26" t="str">
        <f aca="false">IF($M561=0,"",OPERATIONS!$F261)</f>
        <v/>
      </c>
      <c r="J561" s="26" t="str">
        <f aca="false">IF($I561="","",IFERROR(INDEX(EMPL_CLASSE,MATCH($I561,EMPL_KEY,0)),""))</f>
        <v/>
      </c>
      <c r="K561" s="26" t="str">
        <f aca="false">IF($M561=0,"",OPERATIONS!$K261)</f>
        <v/>
      </c>
      <c r="L561" s="26" t="str">
        <f aca="false">IF($G561="","",IF(IFERROR(INDEX(LOT_ETAT,MATCH($G561,LOT_KEY,0)),"")="","",INDEX(LOT_ETAT,MATCH($G561,LOT_KEY,0))))</f>
        <v/>
      </c>
      <c r="M561" s="73" t="n">
        <f aca="false">IF(OR(OPERATIONS!$O261=0,OPERATIONS!$C261="CONSOMMATION"),0,OPERATIONS!$G261)</f>
        <v>0</v>
      </c>
      <c r="N561" s="73" t="n">
        <f aca="false">IF($M561=0,0,OPERATIONS!$R261*$M561)</f>
        <v>0</v>
      </c>
      <c r="O561" s="26" t="str">
        <f aca="false">IF($M561=0,"",OPERATIONS!$Q261)</f>
        <v/>
      </c>
      <c r="P561" s="26" t="str">
        <f aca="false">IF($G561="","",IF($G561=R_LOT,COUNTIF($G$5:$G561,R_LOT),""))</f>
        <v/>
      </c>
    </row>
    <row r="562" customFormat="false" ht="15" hidden="false" customHeight="false" outlineLevel="0" collapsed="false">
      <c r="A562" s="28" t="str">
        <f aca="false">IF($M562=0,"",ROW()-4)</f>
        <v/>
      </c>
      <c r="B562" s="26" t="str">
        <f aca="false">IF($M562=0,"","OPERATIONS")</f>
        <v/>
      </c>
      <c r="C562" s="26" t="str">
        <f aca="false">IF($M562=0,"",OPERATIONS!$A262)</f>
        <v/>
      </c>
      <c r="D562" s="31" t="str">
        <f aca="false">IF($M562=0,"",OPERATIONS!$B262)</f>
        <v/>
      </c>
      <c r="E562" s="26" t="str">
        <f aca="false">IF($M562=0,"",IF($M562&lt;0,"SORTIE","ENTREE"))</f>
        <v/>
      </c>
      <c r="F562" s="26" t="str">
        <f aca="false">IF($M562=0,"",OPERATIONS!$C262)</f>
        <v/>
      </c>
      <c r="G562" s="26" t="str">
        <f aca="false">IF($M562=0,"",OPERATIONS!$D262)</f>
        <v/>
      </c>
      <c r="H562" s="26" t="str">
        <f aca="false">IF($G562="","",IFERROR(INDEX(LOT_EXTE,MATCH($G562,LOT_KEY,0)),""))</f>
        <v/>
      </c>
      <c r="I562" s="26" t="str">
        <f aca="false">IF($M562=0,"",OPERATIONS!$F262)</f>
        <v/>
      </c>
      <c r="J562" s="26" t="str">
        <f aca="false">IF($I562="","",IFERROR(INDEX(EMPL_CLASSE,MATCH($I562,EMPL_KEY,0)),""))</f>
        <v/>
      </c>
      <c r="K562" s="26" t="str">
        <f aca="false">IF($M562=0,"",OPERATIONS!$K262)</f>
        <v/>
      </c>
      <c r="L562" s="26" t="str">
        <f aca="false">IF($G562="","",IF(IFERROR(INDEX(LOT_ETAT,MATCH($G562,LOT_KEY,0)),"")="","",INDEX(LOT_ETAT,MATCH($G562,LOT_KEY,0))))</f>
        <v/>
      </c>
      <c r="M562" s="73" t="n">
        <f aca="false">IF(OR(OPERATIONS!$O262=0,OPERATIONS!$C262="CONSOMMATION"),0,OPERATIONS!$G262)</f>
        <v>0</v>
      </c>
      <c r="N562" s="73" t="n">
        <f aca="false">IF($M562=0,0,OPERATIONS!$R262*$M562)</f>
        <v>0</v>
      </c>
      <c r="O562" s="26" t="str">
        <f aca="false">IF($M562=0,"",OPERATIONS!$Q262)</f>
        <v/>
      </c>
      <c r="P562" s="26" t="str">
        <f aca="false">IF($G562="","",IF($G562=R_LOT,COUNTIF($G$5:$G562,R_LOT),""))</f>
        <v/>
      </c>
    </row>
    <row r="563" customFormat="false" ht="15" hidden="false" customHeight="false" outlineLevel="0" collapsed="false">
      <c r="A563" s="28" t="str">
        <f aca="false">IF($M563=0,"",ROW()-4)</f>
        <v/>
      </c>
      <c r="B563" s="26" t="str">
        <f aca="false">IF($M563=0,"","OPERATIONS")</f>
        <v/>
      </c>
      <c r="C563" s="26" t="str">
        <f aca="false">IF($M563=0,"",OPERATIONS!$A263)</f>
        <v/>
      </c>
      <c r="D563" s="31" t="str">
        <f aca="false">IF($M563=0,"",OPERATIONS!$B263)</f>
        <v/>
      </c>
      <c r="E563" s="26" t="str">
        <f aca="false">IF($M563=0,"",IF($M563&lt;0,"SORTIE","ENTREE"))</f>
        <v/>
      </c>
      <c r="F563" s="26" t="str">
        <f aca="false">IF($M563=0,"",OPERATIONS!$C263)</f>
        <v/>
      </c>
      <c r="G563" s="26" t="str">
        <f aca="false">IF($M563=0,"",OPERATIONS!$D263)</f>
        <v/>
      </c>
      <c r="H563" s="26" t="str">
        <f aca="false">IF($G563="","",IFERROR(INDEX(LOT_EXTE,MATCH($G563,LOT_KEY,0)),""))</f>
        <v/>
      </c>
      <c r="I563" s="26" t="str">
        <f aca="false">IF($M563=0,"",OPERATIONS!$F263)</f>
        <v/>
      </c>
      <c r="J563" s="26" t="str">
        <f aca="false">IF($I563="","",IFERROR(INDEX(EMPL_CLASSE,MATCH($I563,EMPL_KEY,0)),""))</f>
        <v/>
      </c>
      <c r="K563" s="26" t="str">
        <f aca="false">IF($M563=0,"",OPERATIONS!$K263)</f>
        <v/>
      </c>
      <c r="L563" s="26" t="str">
        <f aca="false">IF($G563="","",IF(IFERROR(INDEX(LOT_ETAT,MATCH($G563,LOT_KEY,0)),"")="","",INDEX(LOT_ETAT,MATCH($G563,LOT_KEY,0))))</f>
        <v/>
      </c>
      <c r="M563" s="73" t="n">
        <f aca="false">IF(OR(OPERATIONS!$O263=0,OPERATIONS!$C263="CONSOMMATION"),0,OPERATIONS!$G263)</f>
        <v>0</v>
      </c>
      <c r="N563" s="73" t="n">
        <f aca="false">IF($M563=0,0,OPERATIONS!$R263*$M563)</f>
        <v>0</v>
      </c>
      <c r="O563" s="26" t="str">
        <f aca="false">IF($M563=0,"",OPERATIONS!$Q263)</f>
        <v/>
      </c>
      <c r="P563" s="26" t="str">
        <f aca="false">IF($G563="","",IF($G563=R_LOT,COUNTIF($G$5:$G563,R_LOT),""))</f>
        <v/>
      </c>
    </row>
    <row r="564" customFormat="false" ht="15" hidden="false" customHeight="false" outlineLevel="0" collapsed="false">
      <c r="A564" s="28" t="str">
        <f aca="false">IF($M564=0,"",ROW()-4)</f>
        <v/>
      </c>
      <c r="B564" s="26" t="str">
        <f aca="false">IF($M564=0,"","OPERATIONS")</f>
        <v/>
      </c>
      <c r="C564" s="26" t="str">
        <f aca="false">IF($M564=0,"",OPERATIONS!$A264)</f>
        <v/>
      </c>
      <c r="D564" s="31" t="str">
        <f aca="false">IF($M564=0,"",OPERATIONS!$B264)</f>
        <v/>
      </c>
      <c r="E564" s="26" t="str">
        <f aca="false">IF($M564=0,"",IF($M564&lt;0,"SORTIE","ENTREE"))</f>
        <v/>
      </c>
      <c r="F564" s="26" t="str">
        <f aca="false">IF($M564=0,"",OPERATIONS!$C264)</f>
        <v/>
      </c>
      <c r="G564" s="26" t="str">
        <f aca="false">IF($M564=0,"",OPERATIONS!$D264)</f>
        <v/>
      </c>
      <c r="H564" s="26" t="str">
        <f aca="false">IF($G564="","",IFERROR(INDEX(LOT_EXTE,MATCH($G564,LOT_KEY,0)),""))</f>
        <v/>
      </c>
      <c r="I564" s="26" t="str">
        <f aca="false">IF($M564=0,"",OPERATIONS!$F264)</f>
        <v/>
      </c>
      <c r="J564" s="26" t="str">
        <f aca="false">IF($I564="","",IFERROR(INDEX(EMPL_CLASSE,MATCH($I564,EMPL_KEY,0)),""))</f>
        <v/>
      </c>
      <c r="K564" s="26" t="str">
        <f aca="false">IF($M564=0,"",OPERATIONS!$K264)</f>
        <v/>
      </c>
      <c r="L564" s="26" t="str">
        <f aca="false">IF($G564="","",IF(IFERROR(INDEX(LOT_ETAT,MATCH($G564,LOT_KEY,0)),"")="","",INDEX(LOT_ETAT,MATCH($G564,LOT_KEY,0))))</f>
        <v/>
      </c>
      <c r="M564" s="73" t="n">
        <f aca="false">IF(OR(OPERATIONS!$O264=0,OPERATIONS!$C264="CONSOMMATION"),0,OPERATIONS!$G264)</f>
        <v>0</v>
      </c>
      <c r="N564" s="73" t="n">
        <f aca="false">IF($M564=0,0,OPERATIONS!$R264*$M564)</f>
        <v>0</v>
      </c>
      <c r="O564" s="26" t="str">
        <f aca="false">IF($M564=0,"",OPERATIONS!$Q264)</f>
        <v/>
      </c>
      <c r="P564" s="26" t="str">
        <f aca="false">IF($G564="","",IF($G564=R_LOT,COUNTIF($G$5:$G564,R_LOT),""))</f>
        <v/>
      </c>
    </row>
    <row r="565" customFormat="false" ht="15" hidden="false" customHeight="false" outlineLevel="0" collapsed="false">
      <c r="A565" s="28" t="str">
        <f aca="false">IF($M565=0,"",ROW()-4)</f>
        <v/>
      </c>
      <c r="B565" s="26" t="str">
        <f aca="false">IF($M565=0,"","OPERATIONS")</f>
        <v/>
      </c>
      <c r="C565" s="26" t="str">
        <f aca="false">IF($M565=0,"",OPERATIONS!$A265)</f>
        <v/>
      </c>
      <c r="D565" s="31" t="str">
        <f aca="false">IF($M565=0,"",OPERATIONS!$B265)</f>
        <v/>
      </c>
      <c r="E565" s="26" t="str">
        <f aca="false">IF($M565=0,"",IF($M565&lt;0,"SORTIE","ENTREE"))</f>
        <v/>
      </c>
      <c r="F565" s="26" t="str">
        <f aca="false">IF($M565=0,"",OPERATIONS!$C265)</f>
        <v/>
      </c>
      <c r="G565" s="26" t="str">
        <f aca="false">IF($M565=0,"",OPERATIONS!$D265)</f>
        <v/>
      </c>
      <c r="H565" s="26" t="str">
        <f aca="false">IF($G565="","",IFERROR(INDEX(LOT_EXTE,MATCH($G565,LOT_KEY,0)),""))</f>
        <v/>
      </c>
      <c r="I565" s="26" t="str">
        <f aca="false">IF($M565=0,"",OPERATIONS!$F265)</f>
        <v/>
      </c>
      <c r="J565" s="26" t="str">
        <f aca="false">IF($I565="","",IFERROR(INDEX(EMPL_CLASSE,MATCH($I565,EMPL_KEY,0)),""))</f>
        <v/>
      </c>
      <c r="K565" s="26" t="str">
        <f aca="false">IF($M565=0,"",OPERATIONS!$K265)</f>
        <v/>
      </c>
      <c r="L565" s="26" t="str">
        <f aca="false">IF($G565="","",IF(IFERROR(INDEX(LOT_ETAT,MATCH($G565,LOT_KEY,0)),"")="","",INDEX(LOT_ETAT,MATCH($G565,LOT_KEY,0))))</f>
        <v/>
      </c>
      <c r="M565" s="73" t="n">
        <f aca="false">IF(OR(OPERATIONS!$O265=0,OPERATIONS!$C265="CONSOMMATION"),0,OPERATIONS!$G265)</f>
        <v>0</v>
      </c>
      <c r="N565" s="73" t="n">
        <f aca="false">IF($M565=0,0,OPERATIONS!$R265*$M565)</f>
        <v>0</v>
      </c>
      <c r="O565" s="26" t="str">
        <f aca="false">IF($M565=0,"",OPERATIONS!$Q265)</f>
        <v/>
      </c>
      <c r="P565" s="26" t="str">
        <f aca="false">IF($G565="","",IF($G565=R_LOT,COUNTIF($G$5:$G565,R_LOT),""))</f>
        <v/>
      </c>
    </row>
    <row r="566" customFormat="false" ht="15" hidden="false" customHeight="false" outlineLevel="0" collapsed="false">
      <c r="A566" s="28" t="str">
        <f aca="false">IF($M566=0,"",ROW()-4)</f>
        <v/>
      </c>
      <c r="B566" s="26" t="str">
        <f aca="false">IF($M566=0,"","OPERATIONS")</f>
        <v/>
      </c>
      <c r="C566" s="26" t="str">
        <f aca="false">IF($M566=0,"",OPERATIONS!$A266)</f>
        <v/>
      </c>
      <c r="D566" s="31" t="str">
        <f aca="false">IF($M566=0,"",OPERATIONS!$B266)</f>
        <v/>
      </c>
      <c r="E566" s="26" t="str">
        <f aca="false">IF($M566=0,"",IF($M566&lt;0,"SORTIE","ENTREE"))</f>
        <v/>
      </c>
      <c r="F566" s="26" t="str">
        <f aca="false">IF($M566=0,"",OPERATIONS!$C266)</f>
        <v/>
      </c>
      <c r="G566" s="26" t="str">
        <f aca="false">IF($M566=0,"",OPERATIONS!$D266)</f>
        <v/>
      </c>
      <c r="H566" s="26" t="str">
        <f aca="false">IF($G566="","",IFERROR(INDEX(LOT_EXTE,MATCH($G566,LOT_KEY,0)),""))</f>
        <v/>
      </c>
      <c r="I566" s="26" t="str">
        <f aca="false">IF($M566=0,"",OPERATIONS!$F266)</f>
        <v/>
      </c>
      <c r="J566" s="26" t="str">
        <f aca="false">IF($I566="","",IFERROR(INDEX(EMPL_CLASSE,MATCH($I566,EMPL_KEY,0)),""))</f>
        <v/>
      </c>
      <c r="K566" s="26" t="str">
        <f aca="false">IF($M566=0,"",OPERATIONS!$K266)</f>
        <v/>
      </c>
      <c r="L566" s="26" t="str">
        <f aca="false">IF($G566="","",IF(IFERROR(INDEX(LOT_ETAT,MATCH($G566,LOT_KEY,0)),"")="","",INDEX(LOT_ETAT,MATCH($G566,LOT_KEY,0))))</f>
        <v/>
      </c>
      <c r="M566" s="73" t="n">
        <f aca="false">IF(OR(OPERATIONS!$O266=0,OPERATIONS!$C266="CONSOMMATION"),0,OPERATIONS!$G266)</f>
        <v>0</v>
      </c>
      <c r="N566" s="73" t="n">
        <f aca="false">IF($M566=0,0,OPERATIONS!$R266*$M566)</f>
        <v>0</v>
      </c>
      <c r="O566" s="26" t="str">
        <f aca="false">IF($M566=0,"",OPERATIONS!$Q266)</f>
        <v/>
      </c>
      <c r="P566" s="26" t="str">
        <f aca="false">IF($G566="","",IF($G566=R_LOT,COUNTIF($G$5:$G566,R_LOT),""))</f>
        <v/>
      </c>
    </row>
    <row r="567" customFormat="false" ht="15" hidden="false" customHeight="false" outlineLevel="0" collapsed="false">
      <c r="A567" s="28" t="str">
        <f aca="false">IF($M567=0,"",ROW()-4)</f>
        <v/>
      </c>
      <c r="B567" s="26" t="str">
        <f aca="false">IF($M567=0,"","OPERATIONS")</f>
        <v/>
      </c>
      <c r="C567" s="26" t="str">
        <f aca="false">IF($M567=0,"",OPERATIONS!$A267)</f>
        <v/>
      </c>
      <c r="D567" s="31" t="str">
        <f aca="false">IF($M567=0,"",OPERATIONS!$B267)</f>
        <v/>
      </c>
      <c r="E567" s="26" t="str">
        <f aca="false">IF($M567=0,"",IF($M567&lt;0,"SORTIE","ENTREE"))</f>
        <v/>
      </c>
      <c r="F567" s="26" t="str">
        <f aca="false">IF($M567=0,"",OPERATIONS!$C267)</f>
        <v/>
      </c>
      <c r="G567" s="26" t="str">
        <f aca="false">IF($M567=0,"",OPERATIONS!$D267)</f>
        <v/>
      </c>
      <c r="H567" s="26" t="str">
        <f aca="false">IF($G567="","",IFERROR(INDEX(LOT_EXTE,MATCH($G567,LOT_KEY,0)),""))</f>
        <v/>
      </c>
      <c r="I567" s="26" t="str">
        <f aca="false">IF($M567=0,"",OPERATIONS!$F267)</f>
        <v/>
      </c>
      <c r="J567" s="26" t="str">
        <f aca="false">IF($I567="","",IFERROR(INDEX(EMPL_CLASSE,MATCH($I567,EMPL_KEY,0)),""))</f>
        <v/>
      </c>
      <c r="K567" s="26" t="str">
        <f aca="false">IF($M567=0,"",OPERATIONS!$K267)</f>
        <v/>
      </c>
      <c r="L567" s="26" t="str">
        <f aca="false">IF($G567="","",IF(IFERROR(INDEX(LOT_ETAT,MATCH($G567,LOT_KEY,0)),"")="","",INDEX(LOT_ETAT,MATCH($G567,LOT_KEY,0))))</f>
        <v/>
      </c>
      <c r="M567" s="73" t="n">
        <f aca="false">IF(OR(OPERATIONS!$O267=0,OPERATIONS!$C267="CONSOMMATION"),0,OPERATIONS!$G267)</f>
        <v>0</v>
      </c>
      <c r="N567" s="73" t="n">
        <f aca="false">IF($M567=0,0,OPERATIONS!$R267*$M567)</f>
        <v>0</v>
      </c>
      <c r="O567" s="26" t="str">
        <f aca="false">IF($M567=0,"",OPERATIONS!$Q267)</f>
        <v/>
      </c>
      <c r="P567" s="26" t="str">
        <f aca="false">IF($G567="","",IF($G567=R_LOT,COUNTIF($G$5:$G567,R_LOT),""))</f>
        <v/>
      </c>
    </row>
    <row r="568" customFormat="false" ht="15" hidden="false" customHeight="false" outlineLevel="0" collapsed="false">
      <c r="A568" s="28" t="str">
        <f aca="false">IF($M568=0,"",ROW()-4)</f>
        <v/>
      </c>
      <c r="B568" s="26" t="str">
        <f aca="false">IF($M568=0,"","OPERATIONS")</f>
        <v/>
      </c>
      <c r="C568" s="26" t="str">
        <f aca="false">IF($M568=0,"",OPERATIONS!$A268)</f>
        <v/>
      </c>
      <c r="D568" s="31" t="str">
        <f aca="false">IF($M568=0,"",OPERATIONS!$B268)</f>
        <v/>
      </c>
      <c r="E568" s="26" t="str">
        <f aca="false">IF($M568=0,"",IF($M568&lt;0,"SORTIE","ENTREE"))</f>
        <v/>
      </c>
      <c r="F568" s="26" t="str">
        <f aca="false">IF($M568=0,"",OPERATIONS!$C268)</f>
        <v/>
      </c>
      <c r="G568" s="26" t="str">
        <f aca="false">IF($M568=0,"",OPERATIONS!$D268)</f>
        <v/>
      </c>
      <c r="H568" s="26" t="str">
        <f aca="false">IF($G568="","",IFERROR(INDEX(LOT_EXTE,MATCH($G568,LOT_KEY,0)),""))</f>
        <v/>
      </c>
      <c r="I568" s="26" t="str">
        <f aca="false">IF($M568=0,"",OPERATIONS!$F268)</f>
        <v/>
      </c>
      <c r="J568" s="26" t="str">
        <f aca="false">IF($I568="","",IFERROR(INDEX(EMPL_CLASSE,MATCH($I568,EMPL_KEY,0)),""))</f>
        <v/>
      </c>
      <c r="K568" s="26" t="str">
        <f aca="false">IF($M568=0,"",OPERATIONS!$K268)</f>
        <v/>
      </c>
      <c r="L568" s="26" t="str">
        <f aca="false">IF($G568="","",IF(IFERROR(INDEX(LOT_ETAT,MATCH($G568,LOT_KEY,0)),"")="","",INDEX(LOT_ETAT,MATCH($G568,LOT_KEY,0))))</f>
        <v/>
      </c>
      <c r="M568" s="73" t="n">
        <f aca="false">IF(OR(OPERATIONS!$O268=0,OPERATIONS!$C268="CONSOMMATION"),0,OPERATIONS!$G268)</f>
        <v>0</v>
      </c>
      <c r="N568" s="73" t="n">
        <f aca="false">IF($M568=0,0,OPERATIONS!$R268*$M568)</f>
        <v>0</v>
      </c>
      <c r="O568" s="26" t="str">
        <f aca="false">IF($M568=0,"",OPERATIONS!$Q268)</f>
        <v/>
      </c>
      <c r="P568" s="26" t="str">
        <f aca="false">IF($G568="","",IF($G568=R_LOT,COUNTIF($G$5:$G568,R_LOT),""))</f>
        <v/>
      </c>
    </row>
    <row r="569" customFormat="false" ht="15" hidden="false" customHeight="false" outlineLevel="0" collapsed="false">
      <c r="A569" s="28" t="str">
        <f aca="false">IF($M569=0,"",ROW()-4)</f>
        <v/>
      </c>
      <c r="B569" s="26" t="str">
        <f aca="false">IF($M569=0,"","OPERATIONS")</f>
        <v/>
      </c>
      <c r="C569" s="26" t="str">
        <f aca="false">IF($M569=0,"",OPERATIONS!$A269)</f>
        <v/>
      </c>
      <c r="D569" s="31" t="str">
        <f aca="false">IF($M569=0,"",OPERATIONS!$B269)</f>
        <v/>
      </c>
      <c r="E569" s="26" t="str">
        <f aca="false">IF($M569=0,"",IF($M569&lt;0,"SORTIE","ENTREE"))</f>
        <v/>
      </c>
      <c r="F569" s="26" t="str">
        <f aca="false">IF($M569=0,"",OPERATIONS!$C269)</f>
        <v/>
      </c>
      <c r="G569" s="26" t="str">
        <f aca="false">IF($M569=0,"",OPERATIONS!$D269)</f>
        <v/>
      </c>
      <c r="H569" s="26" t="str">
        <f aca="false">IF($G569="","",IFERROR(INDEX(LOT_EXTE,MATCH($G569,LOT_KEY,0)),""))</f>
        <v/>
      </c>
      <c r="I569" s="26" t="str">
        <f aca="false">IF($M569=0,"",OPERATIONS!$F269)</f>
        <v/>
      </c>
      <c r="J569" s="26" t="str">
        <f aca="false">IF($I569="","",IFERROR(INDEX(EMPL_CLASSE,MATCH($I569,EMPL_KEY,0)),""))</f>
        <v/>
      </c>
      <c r="K569" s="26" t="str">
        <f aca="false">IF($M569=0,"",OPERATIONS!$K269)</f>
        <v/>
      </c>
      <c r="L569" s="26" t="str">
        <f aca="false">IF($G569="","",IF(IFERROR(INDEX(LOT_ETAT,MATCH($G569,LOT_KEY,0)),"")="","",INDEX(LOT_ETAT,MATCH($G569,LOT_KEY,0))))</f>
        <v/>
      </c>
      <c r="M569" s="73" t="n">
        <f aca="false">IF(OR(OPERATIONS!$O269=0,OPERATIONS!$C269="CONSOMMATION"),0,OPERATIONS!$G269)</f>
        <v>0</v>
      </c>
      <c r="N569" s="73" t="n">
        <f aca="false">IF($M569=0,0,OPERATIONS!$R269*$M569)</f>
        <v>0</v>
      </c>
      <c r="O569" s="26" t="str">
        <f aca="false">IF($M569=0,"",OPERATIONS!$Q269)</f>
        <v/>
      </c>
      <c r="P569" s="26" t="str">
        <f aca="false">IF($G569="","",IF($G569=R_LOT,COUNTIF($G$5:$G569,R_LOT),""))</f>
        <v/>
      </c>
    </row>
    <row r="570" customFormat="false" ht="15" hidden="false" customHeight="false" outlineLevel="0" collapsed="false">
      <c r="A570" s="28" t="str">
        <f aca="false">IF($M570=0,"",ROW()-4)</f>
        <v/>
      </c>
      <c r="B570" s="26" t="str">
        <f aca="false">IF($M570=0,"","OPERATIONS")</f>
        <v/>
      </c>
      <c r="C570" s="26" t="str">
        <f aca="false">IF($M570=0,"",OPERATIONS!$A270)</f>
        <v/>
      </c>
      <c r="D570" s="31" t="str">
        <f aca="false">IF($M570=0,"",OPERATIONS!$B270)</f>
        <v/>
      </c>
      <c r="E570" s="26" t="str">
        <f aca="false">IF($M570=0,"",IF($M570&lt;0,"SORTIE","ENTREE"))</f>
        <v/>
      </c>
      <c r="F570" s="26" t="str">
        <f aca="false">IF($M570=0,"",OPERATIONS!$C270)</f>
        <v/>
      </c>
      <c r="G570" s="26" t="str">
        <f aca="false">IF($M570=0,"",OPERATIONS!$D270)</f>
        <v/>
      </c>
      <c r="H570" s="26" t="str">
        <f aca="false">IF($G570="","",IFERROR(INDEX(LOT_EXTE,MATCH($G570,LOT_KEY,0)),""))</f>
        <v/>
      </c>
      <c r="I570" s="26" t="str">
        <f aca="false">IF($M570=0,"",OPERATIONS!$F270)</f>
        <v/>
      </c>
      <c r="J570" s="26" t="str">
        <f aca="false">IF($I570="","",IFERROR(INDEX(EMPL_CLASSE,MATCH($I570,EMPL_KEY,0)),""))</f>
        <v/>
      </c>
      <c r="K570" s="26" t="str">
        <f aca="false">IF($M570=0,"",OPERATIONS!$K270)</f>
        <v/>
      </c>
      <c r="L570" s="26" t="str">
        <f aca="false">IF($G570="","",IF(IFERROR(INDEX(LOT_ETAT,MATCH($G570,LOT_KEY,0)),"")="","",INDEX(LOT_ETAT,MATCH($G570,LOT_KEY,0))))</f>
        <v/>
      </c>
      <c r="M570" s="73" t="n">
        <f aca="false">IF(OR(OPERATIONS!$O270=0,OPERATIONS!$C270="CONSOMMATION"),0,OPERATIONS!$G270)</f>
        <v>0</v>
      </c>
      <c r="N570" s="73" t="n">
        <f aca="false">IF($M570=0,0,OPERATIONS!$R270*$M570)</f>
        <v>0</v>
      </c>
      <c r="O570" s="26" t="str">
        <f aca="false">IF($M570=0,"",OPERATIONS!$Q270)</f>
        <v/>
      </c>
      <c r="P570" s="26" t="str">
        <f aca="false">IF($G570="","",IF($G570=R_LOT,COUNTIF($G$5:$G570,R_LOT),""))</f>
        <v/>
      </c>
    </row>
    <row r="571" customFormat="false" ht="15" hidden="false" customHeight="false" outlineLevel="0" collapsed="false">
      <c r="A571" s="28" t="str">
        <f aca="false">IF($M571=0,"",ROW()-4)</f>
        <v/>
      </c>
      <c r="B571" s="26" t="str">
        <f aca="false">IF($M571=0,"","OPERATIONS")</f>
        <v/>
      </c>
      <c r="C571" s="26" t="str">
        <f aca="false">IF($M571=0,"",OPERATIONS!$A271)</f>
        <v/>
      </c>
      <c r="D571" s="31" t="str">
        <f aca="false">IF($M571=0,"",OPERATIONS!$B271)</f>
        <v/>
      </c>
      <c r="E571" s="26" t="str">
        <f aca="false">IF($M571=0,"",IF($M571&lt;0,"SORTIE","ENTREE"))</f>
        <v/>
      </c>
      <c r="F571" s="26" t="str">
        <f aca="false">IF($M571=0,"",OPERATIONS!$C271)</f>
        <v/>
      </c>
      <c r="G571" s="26" t="str">
        <f aca="false">IF($M571=0,"",OPERATIONS!$D271)</f>
        <v/>
      </c>
      <c r="H571" s="26" t="str">
        <f aca="false">IF($G571="","",IFERROR(INDEX(LOT_EXTE,MATCH($G571,LOT_KEY,0)),""))</f>
        <v/>
      </c>
      <c r="I571" s="26" t="str">
        <f aca="false">IF($M571=0,"",OPERATIONS!$F271)</f>
        <v/>
      </c>
      <c r="J571" s="26" t="str">
        <f aca="false">IF($I571="","",IFERROR(INDEX(EMPL_CLASSE,MATCH($I571,EMPL_KEY,0)),""))</f>
        <v/>
      </c>
      <c r="K571" s="26" t="str">
        <f aca="false">IF($M571=0,"",OPERATIONS!$K271)</f>
        <v/>
      </c>
      <c r="L571" s="26" t="str">
        <f aca="false">IF($G571="","",IF(IFERROR(INDEX(LOT_ETAT,MATCH($G571,LOT_KEY,0)),"")="","",INDEX(LOT_ETAT,MATCH($G571,LOT_KEY,0))))</f>
        <v/>
      </c>
      <c r="M571" s="73" t="n">
        <f aca="false">IF(OR(OPERATIONS!$O271=0,OPERATIONS!$C271="CONSOMMATION"),0,OPERATIONS!$G271)</f>
        <v>0</v>
      </c>
      <c r="N571" s="73" t="n">
        <f aca="false">IF($M571=0,0,OPERATIONS!$R271*$M571)</f>
        <v>0</v>
      </c>
      <c r="O571" s="26" t="str">
        <f aca="false">IF($M571=0,"",OPERATIONS!$Q271)</f>
        <v/>
      </c>
      <c r="P571" s="26" t="str">
        <f aca="false">IF($G571="","",IF($G571=R_LOT,COUNTIF($G$5:$G571,R_LOT),""))</f>
        <v/>
      </c>
    </row>
    <row r="572" customFormat="false" ht="15" hidden="false" customHeight="false" outlineLevel="0" collapsed="false">
      <c r="A572" s="28" t="str">
        <f aca="false">IF($M572=0,"",ROW()-4)</f>
        <v/>
      </c>
      <c r="B572" s="26" t="str">
        <f aca="false">IF($M572=0,"","OPERATIONS")</f>
        <v/>
      </c>
      <c r="C572" s="26" t="str">
        <f aca="false">IF($M572=0,"",OPERATIONS!$A272)</f>
        <v/>
      </c>
      <c r="D572" s="31" t="str">
        <f aca="false">IF($M572=0,"",OPERATIONS!$B272)</f>
        <v/>
      </c>
      <c r="E572" s="26" t="str">
        <f aca="false">IF($M572=0,"",IF($M572&lt;0,"SORTIE","ENTREE"))</f>
        <v/>
      </c>
      <c r="F572" s="26" t="str">
        <f aca="false">IF($M572=0,"",OPERATIONS!$C272)</f>
        <v/>
      </c>
      <c r="G572" s="26" t="str">
        <f aca="false">IF($M572=0,"",OPERATIONS!$D272)</f>
        <v/>
      </c>
      <c r="H572" s="26" t="str">
        <f aca="false">IF($G572="","",IFERROR(INDEX(LOT_EXTE,MATCH($G572,LOT_KEY,0)),""))</f>
        <v/>
      </c>
      <c r="I572" s="26" t="str">
        <f aca="false">IF($M572=0,"",OPERATIONS!$F272)</f>
        <v/>
      </c>
      <c r="J572" s="26" t="str">
        <f aca="false">IF($I572="","",IFERROR(INDEX(EMPL_CLASSE,MATCH($I572,EMPL_KEY,0)),""))</f>
        <v/>
      </c>
      <c r="K572" s="26" t="str">
        <f aca="false">IF($M572=0,"",OPERATIONS!$K272)</f>
        <v/>
      </c>
      <c r="L572" s="26" t="str">
        <f aca="false">IF($G572="","",IF(IFERROR(INDEX(LOT_ETAT,MATCH($G572,LOT_KEY,0)),"")="","",INDEX(LOT_ETAT,MATCH($G572,LOT_KEY,0))))</f>
        <v/>
      </c>
      <c r="M572" s="73" t="n">
        <f aca="false">IF(OR(OPERATIONS!$O272=0,OPERATIONS!$C272="CONSOMMATION"),0,OPERATIONS!$G272)</f>
        <v>0</v>
      </c>
      <c r="N572" s="73" t="n">
        <f aca="false">IF($M572=0,0,OPERATIONS!$R272*$M572)</f>
        <v>0</v>
      </c>
      <c r="O572" s="26" t="str">
        <f aca="false">IF($M572=0,"",OPERATIONS!$Q272)</f>
        <v/>
      </c>
      <c r="P572" s="26" t="str">
        <f aca="false">IF($G572="","",IF($G572=R_LOT,COUNTIF($G$5:$G572,R_LOT),""))</f>
        <v/>
      </c>
    </row>
    <row r="573" customFormat="false" ht="15" hidden="false" customHeight="false" outlineLevel="0" collapsed="false">
      <c r="A573" s="28" t="str">
        <f aca="false">IF($M573=0,"",ROW()-4)</f>
        <v/>
      </c>
      <c r="B573" s="26" t="str">
        <f aca="false">IF($M573=0,"","OPERATIONS")</f>
        <v/>
      </c>
      <c r="C573" s="26" t="str">
        <f aca="false">IF($M573=0,"",OPERATIONS!$A273)</f>
        <v/>
      </c>
      <c r="D573" s="31" t="str">
        <f aca="false">IF($M573=0,"",OPERATIONS!$B273)</f>
        <v/>
      </c>
      <c r="E573" s="26" t="str">
        <f aca="false">IF($M573=0,"",IF($M573&lt;0,"SORTIE","ENTREE"))</f>
        <v/>
      </c>
      <c r="F573" s="26" t="str">
        <f aca="false">IF($M573=0,"",OPERATIONS!$C273)</f>
        <v/>
      </c>
      <c r="G573" s="26" t="str">
        <f aca="false">IF($M573=0,"",OPERATIONS!$D273)</f>
        <v/>
      </c>
      <c r="H573" s="26" t="str">
        <f aca="false">IF($G573="","",IFERROR(INDEX(LOT_EXTE,MATCH($G573,LOT_KEY,0)),""))</f>
        <v/>
      </c>
      <c r="I573" s="26" t="str">
        <f aca="false">IF($M573=0,"",OPERATIONS!$F273)</f>
        <v/>
      </c>
      <c r="J573" s="26" t="str">
        <f aca="false">IF($I573="","",IFERROR(INDEX(EMPL_CLASSE,MATCH($I573,EMPL_KEY,0)),""))</f>
        <v/>
      </c>
      <c r="K573" s="26" t="str">
        <f aca="false">IF($M573=0,"",OPERATIONS!$K273)</f>
        <v/>
      </c>
      <c r="L573" s="26" t="str">
        <f aca="false">IF($G573="","",IF(IFERROR(INDEX(LOT_ETAT,MATCH($G573,LOT_KEY,0)),"")="","",INDEX(LOT_ETAT,MATCH($G573,LOT_KEY,0))))</f>
        <v/>
      </c>
      <c r="M573" s="73" t="n">
        <f aca="false">IF(OR(OPERATIONS!$O273=0,OPERATIONS!$C273="CONSOMMATION"),0,OPERATIONS!$G273)</f>
        <v>0</v>
      </c>
      <c r="N573" s="73" t="n">
        <f aca="false">IF($M573=0,0,OPERATIONS!$R273*$M573)</f>
        <v>0</v>
      </c>
      <c r="O573" s="26" t="str">
        <f aca="false">IF($M573=0,"",OPERATIONS!$Q273)</f>
        <v/>
      </c>
      <c r="P573" s="26" t="str">
        <f aca="false">IF($G573="","",IF($G573=R_LOT,COUNTIF($G$5:$G573,R_LOT),""))</f>
        <v/>
      </c>
    </row>
    <row r="574" customFormat="false" ht="15" hidden="false" customHeight="false" outlineLevel="0" collapsed="false">
      <c r="A574" s="28" t="str">
        <f aca="false">IF($M574=0,"",ROW()-4)</f>
        <v/>
      </c>
      <c r="B574" s="26" t="str">
        <f aca="false">IF($M574=0,"","OPERATIONS")</f>
        <v/>
      </c>
      <c r="C574" s="26" t="str">
        <f aca="false">IF($M574=0,"",OPERATIONS!$A274)</f>
        <v/>
      </c>
      <c r="D574" s="31" t="str">
        <f aca="false">IF($M574=0,"",OPERATIONS!$B274)</f>
        <v/>
      </c>
      <c r="E574" s="26" t="str">
        <f aca="false">IF($M574=0,"",IF($M574&lt;0,"SORTIE","ENTREE"))</f>
        <v/>
      </c>
      <c r="F574" s="26" t="str">
        <f aca="false">IF($M574=0,"",OPERATIONS!$C274)</f>
        <v/>
      </c>
      <c r="G574" s="26" t="str">
        <f aca="false">IF($M574=0,"",OPERATIONS!$D274)</f>
        <v/>
      </c>
      <c r="H574" s="26" t="str">
        <f aca="false">IF($G574="","",IFERROR(INDEX(LOT_EXTE,MATCH($G574,LOT_KEY,0)),""))</f>
        <v/>
      </c>
      <c r="I574" s="26" t="str">
        <f aca="false">IF($M574=0,"",OPERATIONS!$F274)</f>
        <v/>
      </c>
      <c r="J574" s="26" t="str">
        <f aca="false">IF($I574="","",IFERROR(INDEX(EMPL_CLASSE,MATCH($I574,EMPL_KEY,0)),""))</f>
        <v/>
      </c>
      <c r="K574" s="26" t="str">
        <f aca="false">IF($M574=0,"",OPERATIONS!$K274)</f>
        <v/>
      </c>
      <c r="L574" s="26" t="str">
        <f aca="false">IF($G574="","",IF(IFERROR(INDEX(LOT_ETAT,MATCH($G574,LOT_KEY,0)),"")="","",INDEX(LOT_ETAT,MATCH($G574,LOT_KEY,0))))</f>
        <v/>
      </c>
      <c r="M574" s="73" t="n">
        <f aca="false">IF(OR(OPERATIONS!$O274=0,OPERATIONS!$C274="CONSOMMATION"),0,OPERATIONS!$G274)</f>
        <v>0</v>
      </c>
      <c r="N574" s="73" t="n">
        <f aca="false">IF($M574=0,0,OPERATIONS!$R274*$M574)</f>
        <v>0</v>
      </c>
      <c r="O574" s="26" t="str">
        <f aca="false">IF($M574=0,"",OPERATIONS!$Q274)</f>
        <v/>
      </c>
      <c r="P574" s="26" t="str">
        <f aca="false">IF($G574="","",IF($G574=R_LOT,COUNTIF($G$5:$G574,R_LOT),""))</f>
        <v/>
      </c>
    </row>
    <row r="575" customFormat="false" ht="15" hidden="false" customHeight="false" outlineLevel="0" collapsed="false">
      <c r="A575" s="28" t="str">
        <f aca="false">IF($M575=0,"",ROW()-4)</f>
        <v/>
      </c>
      <c r="B575" s="26" t="str">
        <f aca="false">IF($M575=0,"","OPERATIONS")</f>
        <v/>
      </c>
      <c r="C575" s="26" t="str">
        <f aca="false">IF($M575=0,"",OPERATIONS!$A275)</f>
        <v/>
      </c>
      <c r="D575" s="31" t="str">
        <f aca="false">IF($M575=0,"",OPERATIONS!$B275)</f>
        <v/>
      </c>
      <c r="E575" s="26" t="str">
        <f aca="false">IF($M575=0,"",IF($M575&lt;0,"SORTIE","ENTREE"))</f>
        <v/>
      </c>
      <c r="F575" s="26" t="str">
        <f aca="false">IF($M575=0,"",OPERATIONS!$C275)</f>
        <v/>
      </c>
      <c r="G575" s="26" t="str">
        <f aca="false">IF($M575=0,"",OPERATIONS!$D275)</f>
        <v/>
      </c>
      <c r="H575" s="26" t="str">
        <f aca="false">IF($G575="","",IFERROR(INDEX(LOT_EXTE,MATCH($G575,LOT_KEY,0)),""))</f>
        <v/>
      </c>
      <c r="I575" s="26" t="str">
        <f aca="false">IF($M575=0,"",OPERATIONS!$F275)</f>
        <v/>
      </c>
      <c r="J575" s="26" t="str">
        <f aca="false">IF($I575="","",IFERROR(INDEX(EMPL_CLASSE,MATCH($I575,EMPL_KEY,0)),""))</f>
        <v/>
      </c>
      <c r="K575" s="26" t="str">
        <f aca="false">IF($M575=0,"",OPERATIONS!$K275)</f>
        <v/>
      </c>
      <c r="L575" s="26" t="str">
        <f aca="false">IF($G575="","",IF(IFERROR(INDEX(LOT_ETAT,MATCH($G575,LOT_KEY,0)),"")="","",INDEX(LOT_ETAT,MATCH($G575,LOT_KEY,0))))</f>
        <v/>
      </c>
      <c r="M575" s="73" t="n">
        <f aca="false">IF(OR(OPERATIONS!$O275=0,OPERATIONS!$C275="CONSOMMATION"),0,OPERATIONS!$G275)</f>
        <v>0</v>
      </c>
      <c r="N575" s="73" t="n">
        <f aca="false">IF($M575=0,0,OPERATIONS!$R275*$M575)</f>
        <v>0</v>
      </c>
      <c r="O575" s="26" t="str">
        <f aca="false">IF($M575=0,"",OPERATIONS!$Q275)</f>
        <v/>
      </c>
      <c r="P575" s="26" t="str">
        <f aca="false">IF($G575="","",IF($G575=R_LOT,COUNTIF($G$5:$G575,R_LOT),""))</f>
        <v/>
      </c>
    </row>
    <row r="576" customFormat="false" ht="15" hidden="false" customHeight="false" outlineLevel="0" collapsed="false">
      <c r="A576" s="28" t="str">
        <f aca="false">IF($M576=0,"",ROW()-4)</f>
        <v/>
      </c>
      <c r="B576" s="26" t="str">
        <f aca="false">IF($M576=0,"","OPERATIONS")</f>
        <v/>
      </c>
      <c r="C576" s="26" t="str">
        <f aca="false">IF($M576=0,"",OPERATIONS!$A276)</f>
        <v/>
      </c>
      <c r="D576" s="31" t="str">
        <f aca="false">IF($M576=0,"",OPERATIONS!$B276)</f>
        <v/>
      </c>
      <c r="E576" s="26" t="str">
        <f aca="false">IF($M576=0,"",IF($M576&lt;0,"SORTIE","ENTREE"))</f>
        <v/>
      </c>
      <c r="F576" s="26" t="str">
        <f aca="false">IF($M576=0,"",OPERATIONS!$C276)</f>
        <v/>
      </c>
      <c r="G576" s="26" t="str">
        <f aca="false">IF($M576=0,"",OPERATIONS!$D276)</f>
        <v/>
      </c>
      <c r="H576" s="26" t="str">
        <f aca="false">IF($G576="","",IFERROR(INDEX(LOT_EXTE,MATCH($G576,LOT_KEY,0)),""))</f>
        <v/>
      </c>
      <c r="I576" s="26" t="str">
        <f aca="false">IF($M576=0,"",OPERATIONS!$F276)</f>
        <v/>
      </c>
      <c r="J576" s="26" t="str">
        <f aca="false">IF($I576="","",IFERROR(INDEX(EMPL_CLASSE,MATCH($I576,EMPL_KEY,0)),""))</f>
        <v/>
      </c>
      <c r="K576" s="26" t="str">
        <f aca="false">IF($M576=0,"",OPERATIONS!$K276)</f>
        <v/>
      </c>
      <c r="L576" s="26" t="str">
        <f aca="false">IF($G576="","",IF(IFERROR(INDEX(LOT_ETAT,MATCH($G576,LOT_KEY,0)),"")="","",INDEX(LOT_ETAT,MATCH($G576,LOT_KEY,0))))</f>
        <v/>
      </c>
      <c r="M576" s="73" t="n">
        <f aca="false">IF(OR(OPERATIONS!$O276=0,OPERATIONS!$C276="CONSOMMATION"),0,OPERATIONS!$G276)</f>
        <v>0</v>
      </c>
      <c r="N576" s="73" t="n">
        <f aca="false">IF($M576=0,0,OPERATIONS!$R276*$M576)</f>
        <v>0</v>
      </c>
      <c r="O576" s="26" t="str">
        <f aca="false">IF($M576=0,"",OPERATIONS!$Q276)</f>
        <v/>
      </c>
      <c r="P576" s="26" t="str">
        <f aca="false">IF($G576="","",IF($G576=R_LOT,COUNTIF($G$5:$G576,R_LOT),""))</f>
        <v/>
      </c>
    </row>
    <row r="577" customFormat="false" ht="15" hidden="false" customHeight="false" outlineLevel="0" collapsed="false">
      <c r="A577" s="28" t="str">
        <f aca="false">IF($M577=0,"",ROW()-4)</f>
        <v/>
      </c>
      <c r="B577" s="26" t="str">
        <f aca="false">IF($M577=0,"","OPERATIONS")</f>
        <v/>
      </c>
      <c r="C577" s="26" t="str">
        <f aca="false">IF($M577=0,"",OPERATIONS!$A277)</f>
        <v/>
      </c>
      <c r="D577" s="31" t="str">
        <f aca="false">IF($M577=0,"",OPERATIONS!$B277)</f>
        <v/>
      </c>
      <c r="E577" s="26" t="str">
        <f aca="false">IF($M577=0,"",IF($M577&lt;0,"SORTIE","ENTREE"))</f>
        <v/>
      </c>
      <c r="F577" s="26" t="str">
        <f aca="false">IF($M577=0,"",OPERATIONS!$C277)</f>
        <v/>
      </c>
      <c r="G577" s="26" t="str">
        <f aca="false">IF($M577=0,"",OPERATIONS!$D277)</f>
        <v/>
      </c>
      <c r="H577" s="26" t="str">
        <f aca="false">IF($G577="","",IFERROR(INDEX(LOT_EXTE,MATCH($G577,LOT_KEY,0)),""))</f>
        <v/>
      </c>
      <c r="I577" s="26" t="str">
        <f aca="false">IF($M577=0,"",OPERATIONS!$F277)</f>
        <v/>
      </c>
      <c r="J577" s="26" t="str">
        <f aca="false">IF($I577="","",IFERROR(INDEX(EMPL_CLASSE,MATCH($I577,EMPL_KEY,0)),""))</f>
        <v/>
      </c>
      <c r="K577" s="26" t="str">
        <f aca="false">IF($M577=0,"",OPERATIONS!$K277)</f>
        <v/>
      </c>
      <c r="L577" s="26" t="str">
        <f aca="false">IF($G577="","",IF(IFERROR(INDEX(LOT_ETAT,MATCH($G577,LOT_KEY,0)),"")="","",INDEX(LOT_ETAT,MATCH($G577,LOT_KEY,0))))</f>
        <v/>
      </c>
      <c r="M577" s="73" t="n">
        <f aca="false">IF(OR(OPERATIONS!$O277=0,OPERATIONS!$C277="CONSOMMATION"),0,OPERATIONS!$G277)</f>
        <v>0</v>
      </c>
      <c r="N577" s="73" t="n">
        <f aca="false">IF($M577=0,0,OPERATIONS!$R277*$M577)</f>
        <v>0</v>
      </c>
      <c r="O577" s="26" t="str">
        <f aca="false">IF($M577=0,"",OPERATIONS!$Q277)</f>
        <v/>
      </c>
      <c r="P577" s="26" t="str">
        <f aca="false">IF($G577="","",IF($G577=R_LOT,COUNTIF($G$5:$G577,R_LOT),""))</f>
        <v/>
      </c>
    </row>
    <row r="578" customFormat="false" ht="15" hidden="false" customHeight="false" outlineLevel="0" collapsed="false">
      <c r="A578" s="28" t="str">
        <f aca="false">IF($M578=0,"",ROW()-4)</f>
        <v/>
      </c>
      <c r="B578" s="26" t="str">
        <f aca="false">IF($M578=0,"","OPERATIONS")</f>
        <v/>
      </c>
      <c r="C578" s="26" t="str">
        <f aca="false">IF($M578=0,"",OPERATIONS!$A278)</f>
        <v/>
      </c>
      <c r="D578" s="31" t="str">
        <f aca="false">IF($M578=0,"",OPERATIONS!$B278)</f>
        <v/>
      </c>
      <c r="E578" s="26" t="str">
        <f aca="false">IF($M578=0,"",IF($M578&lt;0,"SORTIE","ENTREE"))</f>
        <v/>
      </c>
      <c r="F578" s="26" t="str">
        <f aca="false">IF($M578=0,"",OPERATIONS!$C278)</f>
        <v/>
      </c>
      <c r="G578" s="26" t="str">
        <f aca="false">IF($M578=0,"",OPERATIONS!$D278)</f>
        <v/>
      </c>
      <c r="H578" s="26" t="str">
        <f aca="false">IF($G578="","",IFERROR(INDEX(LOT_EXTE,MATCH($G578,LOT_KEY,0)),""))</f>
        <v/>
      </c>
      <c r="I578" s="26" t="str">
        <f aca="false">IF($M578=0,"",OPERATIONS!$F278)</f>
        <v/>
      </c>
      <c r="J578" s="26" t="str">
        <f aca="false">IF($I578="","",IFERROR(INDEX(EMPL_CLASSE,MATCH($I578,EMPL_KEY,0)),""))</f>
        <v/>
      </c>
      <c r="K578" s="26" t="str">
        <f aca="false">IF($M578=0,"",OPERATIONS!$K278)</f>
        <v/>
      </c>
      <c r="L578" s="26" t="str">
        <f aca="false">IF($G578="","",IF(IFERROR(INDEX(LOT_ETAT,MATCH($G578,LOT_KEY,0)),"")="","",INDEX(LOT_ETAT,MATCH($G578,LOT_KEY,0))))</f>
        <v/>
      </c>
      <c r="M578" s="73" t="n">
        <f aca="false">IF(OR(OPERATIONS!$O278=0,OPERATIONS!$C278="CONSOMMATION"),0,OPERATIONS!$G278)</f>
        <v>0</v>
      </c>
      <c r="N578" s="73" t="n">
        <f aca="false">IF($M578=0,0,OPERATIONS!$R278*$M578)</f>
        <v>0</v>
      </c>
      <c r="O578" s="26" t="str">
        <f aca="false">IF($M578=0,"",OPERATIONS!$Q278)</f>
        <v/>
      </c>
      <c r="P578" s="26" t="str">
        <f aca="false">IF($G578="","",IF($G578=R_LOT,COUNTIF($G$5:$G578,R_LOT),""))</f>
        <v/>
      </c>
    </row>
    <row r="579" customFormat="false" ht="15" hidden="false" customHeight="false" outlineLevel="0" collapsed="false">
      <c r="A579" s="28" t="str">
        <f aca="false">IF($M579=0,"",ROW()-4)</f>
        <v/>
      </c>
      <c r="B579" s="26" t="str">
        <f aca="false">IF($M579=0,"","OPERATIONS")</f>
        <v/>
      </c>
      <c r="C579" s="26" t="str">
        <f aca="false">IF($M579=0,"",OPERATIONS!$A279)</f>
        <v/>
      </c>
      <c r="D579" s="31" t="str">
        <f aca="false">IF($M579=0,"",OPERATIONS!$B279)</f>
        <v/>
      </c>
      <c r="E579" s="26" t="str">
        <f aca="false">IF($M579=0,"",IF($M579&lt;0,"SORTIE","ENTREE"))</f>
        <v/>
      </c>
      <c r="F579" s="26" t="str">
        <f aca="false">IF($M579=0,"",OPERATIONS!$C279)</f>
        <v/>
      </c>
      <c r="G579" s="26" t="str">
        <f aca="false">IF($M579=0,"",OPERATIONS!$D279)</f>
        <v/>
      </c>
      <c r="H579" s="26" t="str">
        <f aca="false">IF($G579="","",IFERROR(INDEX(LOT_EXTE,MATCH($G579,LOT_KEY,0)),""))</f>
        <v/>
      </c>
      <c r="I579" s="26" t="str">
        <f aca="false">IF($M579=0,"",OPERATIONS!$F279)</f>
        <v/>
      </c>
      <c r="J579" s="26" t="str">
        <f aca="false">IF($I579="","",IFERROR(INDEX(EMPL_CLASSE,MATCH($I579,EMPL_KEY,0)),""))</f>
        <v/>
      </c>
      <c r="K579" s="26" t="str">
        <f aca="false">IF($M579=0,"",OPERATIONS!$K279)</f>
        <v/>
      </c>
      <c r="L579" s="26" t="str">
        <f aca="false">IF($G579="","",IF(IFERROR(INDEX(LOT_ETAT,MATCH($G579,LOT_KEY,0)),"")="","",INDEX(LOT_ETAT,MATCH($G579,LOT_KEY,0))))</f>
        <v/>
      </c>
      <c r="M579" s="73" t="n">
        <f aca="false">IF(OR(OPERATIONS!$O279=0,OPERATIONS!$C279="CONSOMMATION"),0,OPERATIONS!$G279)</f>
        <v>0</v>
      </c>
      <c r="N579" s="73" t="n">
        <f aca="false">IF($M579=0,0,OPERATIONS!$R279*$M579)</f>
        <v>0</v>
      </c>
      <c r="O579" s="26" t="str">
        <f aca="false">IF($M579=0,"",OPERATIONS!$Q279)</f>
        <v/>
      </c>
      <c r="P579" s="26" t="str">
        <f aca="false">IF($G579="","",IF($G579=R_LOT,COUNTIF($G$5:$G579,R_LOT),""))</f>
        <v/>
      </c>
    </row>
    <row r="580" customFormat="false" ht="15" hidden="false" customHeight="false" outlineLevel="0" collapsed="false">
      <c r="A580" s="28" t="str">
        <f aca="false">IF($M580=0,"",ROW()-4)</f>
        <v/>
      </c>
      <c r="B580" s="26" t="str">
        <f aca="false">IF($M580=0,"","OPERATIONS")</f>
        <v/>
      </c>
      <c r="C580" s="26" t="str">
        <f aca="false">IF($M580=0,"",OPERATIONS!$A280)</f>
        <v/>
      </c>
      <c r="D580" s="31" t="str">
        <f aca="false">IF($M580=0,"",OPERATIONS!$B280)</f>
        <v/>
      </c>
      <c r="E580" s="26" t="str">
        <f aca="false">IF($M580=0,"",IF($M580&lt;0,"SORTIE","ENTREE"))</f>
        <v/>
      </c>
      <c r="F580" s="26" t="str">
        <f aca="false">IF($M580=0,"",OPERATIONS!$C280)</f>
        <v/>
      </c>
      <c r="G580" s="26" t="str">
        <f aca="false">IF($M580=0,"",OPERATIONS!$D280)</f>
        <v/>
      </c>
      <c r="H580" s="26" t="str">
        <f aca="false">IF($G580="","",IFERROR(INDEX(LOT_EXTE,MATCH($G580,LOT_KEY,0)),""))</f>
        <v/>
      </c>
      <c r="I580" s="26" t="str">
        <f aca="false">IF($M580=0,"",OPERATIONS!$F280)</f>
        <v/>
      </c>
      <c r="J580" s="26" t="str">
        <f aca="false">IF($I580="","",IFERROR(INDEX(EMPL_CLASSE,MATCH($I580,EMPL_KEY,0)),""))</f>
        <v/>
      </c>
      <c r="K580" s="26" t="str">
        <f aca="false">IF($M580=0,"",OPERATIONS!$K280)</f>
        <v/>
      </c>
      <c r="L580" s="26" t="str">
        <f aca="false">IF($G580="","",IF(IFERROR(INDEX(LOT_ETAT,MATCH($G580,LOT_KEY,0)),"")="","",INDEX(LOT_ETAT,MATCH($G580,LOT_KEY,0))))</f>
        <v/>
      </c>
      <c r="M580" s="73" t="n">
        <f aca="false">IF(OR(OPERATIONS!$O280=0,OPERATIONS!$C280="CONSOMMATION"),0,OPERATIONS!$G280)</f>
        <v>0</v>
      </c>
      <c r="N580" s="73" t="n">
        <f aca="false">IF($M580=0,0,OPERATIONS!$R280*$M580)</f>
        <v>0</v>
      </c>
      <c r="O580" s="26" t="str">
        <f aca="false">IF($M580=0,"",OPERATIONS!$Q280)</f>
        <v/>
      </c>
      <c r="P580" s="26" t="str">
        <f aca="false">IF($G580="","",IF($G580=R_LOT,COUNTIF($G$5:$G580,R_LOT),""))</f>
        <v/>
      </c>
    </row>
    <row r="581" customFormat="false" ht="15" hidden="false" customHeight="false" outlineLevel="0" collapsed="false">
      <c r="A581" s="28" t="str">
        <f aca="false">IF($M581=0,"",ROW()-4)</f>
        <v/>
      </c>
      <c r="B581" s="26" t="str">
        <f aca="false">IF($M581=0,"","OPERATIONS")</f>
        <v/>
      </c>
      <c r="C581" s="26" t="str">
        <f aca="false">IF($M581=0,"",OPERATIONS!$A281)</f>
        <v/>
      </c>
      <c r="D581" s="31" t="str">
        <f aca="false">IF($M581=0,"",OPERATIONS!$B281)</f>
        <v/>
      </c>
      <c r="E581" s="26" t="str">
        <f aca="false">IF($M581=0,"",IF($M581&lt;0,"SORTIE","ENTREE"))</f>
        <v/>
      </c>
      <c r="F581" s="26" t="str">
        <f aca="false">IF($M581=0,"",OPERATIONS!$C281)</f>
        <v/>
      </c>
      <c r="G581" s="26" t="str">
        <f aca="false">IF($M581=0,"",OPERATIONS!$D281)</f>
        <v/>
      </c>
      <c r="H581" s="26" t="str">
        <f aca="false">IF($G581="","",IFERROR(INDEX(LOT_EXTE,MATCH($G581,LOT_KEY,0)),""))</f>
        <v/>
      </c>
      <c r="I581" s="26" t="str">
        <f aca="false">IF($M581=0,"",OPERATIONS!$F281)</f>
        <v/>
      </c>
      <c r="J581" s="26" t="str">
        <f aca="false">IF($I581="","",IFERROR(INDEX(EMPL_CLASSE,MATCH($I581,EMPL_KEY,0)),""))</f>
        <v/>
      </c>
      <c r="K581" s="26" t="str">
        <f aca="false">IF($M581=0,"",OPERATIONS!$K281)</f>
        <v/>
      </c>
      <c r="L581" s="26" t="str">
        <f aca="false">IF($G581="","",IF(IFERROR(INDEX(LOT_ETAT,MATCH($G581,LOT_KEY,0)),"")="","",INDEX(LOT_ETAT,MATCH($G581,LOT_KEY,0))))</f>
        <v/>
      </c>
      <c r="M581" s="73" t="n">
        <f aca="false">IF(OR(OPERATIONS!$O281=0,OPERATIONS!$C281="CONSOMMATION"),0,OPERATIONS!$G281)</f>
        <v>0</v>
      </c>
      <c r="N581" s="73" t="n">
        <f aca="false">IF($M581=0,0,OPERATIONS!$R281*$M581)</f>
        <v>0</v>
      </c>
      <c r="O581" s="26" t="str">
        <f aca="false">IF($M581=0,"",OPERATIONS!$Q281)</f>
        <v/>
      </c>
      <c r="P581" s="26" t="str">
        <f aca="false">IF($G581="","",IF($G581=R_LOT,COUNTIF($G$5:$G581,R_LOT),""))</f>
        <v/>
      </c>
    </row>
    <row r="582" customFormat="false" ht="15" hidden="false" customHeight="false" outlineLevel="0" collapsed="false">
      <c r="A582" s="28" t="str">
        <f aca="false">IF($M582=0,"",ROW()-4)</f>
        <v/>
      </c>
      <c r="B582" s="26" t="str">
        <f aca="false">IF($M582=0,"","OPERATIONS")</f>
        <v/>
      </c>
      <c r="C582" s="26" t="str">
        <f aca="false">IF($M582=0,"",OPERATIONS!$A282)</f>
        <v/>
      </c>
      <c r="D582" s="31" t="str">
        <f aca="false">IF($M582=0,"",OPERATIONS!$B282)</f>
        <v/>
      </c>
      <c r="E582" s="26" t="str">
        <f aca="false">IF($M582=0,"",IF($M582&lt;0,"SORTIE","ENTREE"))</f>
        <v/>
      </c>
      <c r="F582" s="26" t="str">
        <f aca="false">IF($M582=0,"",OPERATIONS!$C282)</f>
        <v/>
      </c>
      <c r="G582" s="26" t="str">
        <f aca="false">IF($M582=0,"",OPERATIONS!$D282)</f>
        <v/>
      </c>
      <c r="H582" s="26" t="str">
        <f aca="false">IF($G582="","",IFERROR(INDEX(LOT_EXTE,MATCH($G582,LOT_KEY,0)),""))</f>
        <v/>
      </c>
      <c r="I582" s="26" t="str">
        <f aca="false">IF($M582=0,"",OPERATIONS!$F282)</f>
        <v/>
      </c>
      <c r="J582" s="26" t="str">
        <f aca="false">IF($I582="","",IFERROR(INDEX(EMPL_CLASSE,MATCH($I582,EMPL_KEY,0)),""))</f>
        <v/>
      </c>
      <c r="K582" s="26" t="str">
        <f aca="false">IF($M582=0,"",OPERATIONS!$K282)</f>
        <v/>
      </c>
      <c r="L582" s="26" t="str">
        <f aca="false">IF($G582="","",IF(IFERROR(INDEX(LOT_ETAT,MATCH($G582,LOT_KEY,0)),"")="","",INDEX(LOT_ETAT,MATCH($G582,LOT_KEY,0))))</f>
        <v/>
      </c>
      <c r="M582" s="73" t="n">
        <f aca="false">IF(OR(OPERATIONS!$O282=0,OPERATIONS!$C282="CONSOMMATION"),0,OPERATIONS!$G282)</f>
        <v>0</v>
      </c>
      <c r="N582" s="73" t="n">
        <f aca="false">IF($M582=0,0,OPERATIONS!$R282*$M582)</f>
        <v>0</v>
      </c>
      <c r="O582" s="26" t="str">
        <f aca="false">IF($M582=0,"",OPERATIONS!$Q282)</f>
        <v/>
      </c>
      <c r="P582" s="26" t="str">
        <f aca="false">IF($G582="","",IF($G582=R_LOT,COUNTIF($G$5:$G582,R_LOT),""))</f>
        <v/>
      </c>
    </row>
    <row r="583" customFormat="false" ht="15" hidden="false" customHeight="false" outlineLevel="0" collapsed="false">
      <c r="A583" s="28" t="str">
        <f aca="false">IF($M583=0,"",ROW()-4)</f>
        <v/>
      </c>
      <c r="B583" s="26" t="str">
        <f aca="false">IF($M583=0,"","OPERATIONS")</f>
        <v/>
      </c>
      <c r="C583" s="26" t="str">
        <f aca="false">IF($M583=0,"",OPERATIONS!$A283)</f>
        <v/>
      </c>
      <c r="D583" s="31" t="str">
        <f aca="false">IF($M583=0,"",OPERATIONS!$B283)</f>
        <v/>
      </c>
      <c r="E583" s="26" t="str">
        <f aca="false">IF($M583=0,"",IF($M583&lt;0,"SORTIE","ENTREE"))</f>
        <v/>
      </c>
      <c r="F583" s="26" t="str">
        <f aca="false">IF($M583=0,"",OPERATIONS!$C283)</f>
        <v/>
      </c>
      <c r="G583" s="26" t="str">
        <f aca="false">IF($M583=0,"",OPERATIONS!$D283)</f>
        <v/>
      </c>
      <c r="H583" s="26" t="str">
        <f aca="false">IF($G583="","",IFERROR(INDEX(LOT_EXTE,MATCH($G583,LOT_KEY,0)),""))</f>
        <v/>
      </c>
      <c r="I583" s="26" t="str">
        <f aca="false">IF($M583=0,"",OPERATIONS!$F283)</f>
        <v/>
      </c>
      <c r="J583" s="26" t="str">
        <f aca="false">IF($I583="","",IFERROR(INDEX(EMPL_CLASSE,MATCH($I583,EMPL_KEY,0)),""))</f>
        <v/>
      </c>
      <c r="K583" s="26" t="str">
        <f aca="false">IF($M583=0,"",OPERATIONS!$K283)</f>
        <v/>
      </c>
      <c r="L583" s="26" t="str">
        <f aca="false">IF($G583="","",IF(IFERROR(INDEX(LOT_ETAT,MATCH($G583,LOT_KEY,0)),"")="","",INDEX(LOT_ETAT,MATCH($G583,LOT_KEY,0))))</f>
        <v/>
      </c>
      <c r="M583" s="73" t="n">
        <f aca="false">IF(OR(OPERATIONS!$O283=0,OPERATIONS!$C283="CONSOMMATION"),0,OPERATIONS!$G283)</f>
        <v>0</v>
      </c>
      <c r="N583" s="73" t="n">
        <f aca="false">IF($M583=0,0,OPERATIONS!$R283*$M583)</f>
        <v>0</v>
      </c>
      <c r="O583" s="26" t="str">
        <f aca="false">IF($M583=0,"",OPERATIONS!$Q283)</f>
        <v/>
      </c>
      <c r="P583" s="26" t="str">
        <f aca="false">IF($G583="","",IF($G583=R_LOT,COUNTIF($G$5:$G583,R_LOT),""))</f>
        <v/>
      </c>
    </row>
    <row r="584" customFormat="false" ht="15" hidden="false" customHeight="false" outlineLevel="0" collapsed="false">
      <c r="A584" s="28" t="str">
        <f aca="false">IF($M584=0,"",ROW()-4)</f>
        <v/>
      </c>
      <c r="B584" s="26" t="str">
        <f aca="false">IF($M584=0,"","OPERATIONS")</f>
        <v/>
      </c>
      <c r="C584" s="26" t="str">
        <f aca="false">IF($M584=0,"",OPERATIONS!$A284)</f>
        <v/>
      </c>
      <c r="D584" s="31" t="str">
        <f aca="false">IF($M584=0,"",OPERATIONS!$B284)</f>
        <v/>
      </c>
      <c r="E584" s="26" t="str">
        <f aca="false">IF($M584=0,"",IF($M584&lt;0,"SORTIE","ENTREE"))</f>
        <v/>
      </c>
      <c r="F584" s="26" t="str">
        <f aca="false">IF($M584=0,"",OPERATIONS!$C284)</f>
        <v/>
      </c>
      <c r="G584" s="26" t="str">
        <f aca="false">IF($M584=0,"",OPERATIONS!$D284)</f>
        <v/>
      </c>
      <c r="H584" s="26" t="str">
        <f aca="false">IF($G584="","",IFERROR(INDEX(LOT_EXTE,MATCH($G584,LOT_KEY,0)),""))</f>
        <v/>
      </c>
      <c r="I584" s="26" t="str">
        <f aca="false">IF($M584=0,"",OPERATIONS!$F284)</f>
        <v/>
      </c>
      <c r="J584" s="26" t="str">
        <f aca="false">IF($I584="","",IFERROR(INDEX(EMPL_CLASSE,MATCH($I584,EMPL_KEY,0)),""))</f>
        <v/>
      </c>
      <c r="K584" s="26" t="str">
        <f aca="false">IF($M584=0,"",OPERATIONS!$K284)</f>
        <v/>
      </c>
      <c r="L584" s="26" t="str">
        <f aca="false">IF($G584="","",IF(IFERROR(INDEX(LOT_ETAT,MATCH($G584,LOT_KEY,0)),"")="","",INDEX(LOT_ETAT,MATCH($G584,LOT_KEY,0))))</f>
        <v/>
      </c>
      <c r="M584" s="73" t="n">
        <f aca="false">IF(OR(OPERATIONS!$O284=0,OPERATIONS!$C284="CONSOMMATION"),0,OPERATIONS!$G284)</f>
        <v>0</v>
      </c>
      <c r="N584" s="73" t="n">
        <f aca="false">IF($M584=0,0,OPERATIONS!$R284*$M584)</f>
        <v>0</v>
      </c>
      <c r="O584" s="26" t="str">
        <f aca="false">IF($M584=0,"",OPERATIONS!$Q284)</f>
        <v/>
      </c>
      <c r="P584" s="26" t="str">
        <f aca="false">IF($G584="","",IF($G584=R_LOT,COUNTIF($G$5:$G584,R_LOT),""))</f>
        <v/>
      </c>
    </row>
    <row r="585" customFormat="false" ht="15" hidden="false" customHeight="false" outlineLevel="0" collapsed="false">
      <c r="A585" s="28" t="str">
        <f aca="false">IF($M585=0,"",ROW()-4)</f>
        <v/>
      </c>
      <c r="B585" s="26" t="str">
        <f aca="false">IF($M585=0,"","OPERATIONS")</f>
        <v/>
      </c>
      <c r="C585" s="26" t="str">
        <f aca="false">IF($M585=0,"",OPERATIONS!$A285)</f>
        <v/>
      </c>
      <c r="D585" s="31" t="str">
        <f aca="false">IF($M585=0,"",OPERATIONS!$B285)</f>
        <v/>
      </c>
      <c r="E585" s="26" t="str">
        <f aca="false">IF($M585=0,"",IF($M585&lt;0,"SORTIE","ENTREE"))</f>
        <v/>
      </c>
      <c r="F585" s="26" t="str">
        <f aca="false">IF($M585=0,"",OPERATIONS!$C285)</f>
        <v/>
      </c>
      <c r="G585" s="26" t="str">
        <f aca="false">IF($M585=0,"",OPERATIONS!$D285)</f>
        <v/>
      </c>
      <c r="H585" s="26" t="str">
        <f aca="false">IF($G585="","",IFERROR(INDEX(LOT_EXTE,MATCH($G585,LOT_KEY,0)),""))</f>
        <v/>
      </c>
      <c r="I585" s="26" t="str">
        <f aca="false">IF($M585=0,"",OPERATIONS!$F285)</f>
        <v/>
      </c>
      <c r="J585" s="26" t="str">
        <f aca="false">IF($I585="","",IFERROR(INDEX(EMPL_CLASSE,MATCH($I585,EMPL_KEY,0)),""))</f>
        <v/>
      </c>
      <c r="K585" s="26" t="str">
        <f aca="false">IF($M585=0,"",OPERATIONS!$K285)</f>
        <v/>
      </c>
      <c r="L585" s="26" t="str">
        <f aca="false">IF($G585="","",IF(IFERROR(INDEX(LOT_ETAT,MATCH($G585,LOT_KEY,0)),"")="","",INDEX(LOT_ETAT,MATCH($G585,LOT_KEY,0))))</f>
        <v/>
      </c>
      <c r="M585" s="73" t="n">
        <f aca="false">IF(OR(OPERATIONS!$O285=0,OPERATIONS!$C285="CONSOMMATION"),0,OPERATIONS!$G285)</f>
        <v>0</v>
      </c>
      <c r="N585" s="73" t="n">
        <f aca="false">IF($M585=0,0,OPERATIONS!$R285*$M585)</f>
        <v>0</v>
      </c>
      <c r="O585" s="26" t="str">
        <f aca="false">IF($M585=0,"",OPERATIONS!$Q285)</f>
        <v/>
      </c>
      <c r="P585" s="26" t="str">
        <f aca="false">IF($G585="","",IF($G585=R_LOT,COUNTIF($G$5:$G585,R_LOT),""))</f>
        <v/>
      </c>
    </row>
    <row r="586" customFormat="false" ht="15" hidden="false" customHeight="false" outlineLevel="0" collapsed="false">
      <c r="A586" s="28" t="str">
        <f aca="false">IF($M586=0,"",ROW()-4)</f>
        <v/>
      </c>
      <c r="B586" s="26" t="str">
        <f aca="false">IF($M586=0,"","OPERATIONS")</f>
        <v/>
      </c>
      <c r="C586" s="26" t="str">
        <f aca="false">IF($M586=0,"",OPERATIONS!$A286)</f>
        <v/>
      </c>
      <c r="D586" s="31" t="str">
        <f aca="false">IF($M586=0,"",OPERATIONS!$B286)</f>
        <v/>
      </c>
      <c r="E586" s="26" t="str">
        <f aca="false">IF($M586=0,"",IF($M586&lt;0,"SORTIE","ENTREE"))</f>
        <v/>
      </c>
      <c r="F586" s="26" t="str">
        <f aca="false">IF($M586=0,"",OPERATIONS!$C286)</f>
        <v/>
      </c>
      <c r="G586" s="26" t="str">
        <f aca="false">IF($M586=0,"",OPERATIONS!$D286)</f>
        <v/>
      </c>
      <c r="H586" s="26" t="str">
        <f aca="false">IF($G586="","",IFERROR(INDEX(LOT_EXTE,MATCH($G586,LOT_KEY,0)),""))</f>
        <v/>
      </c>
      <c r="I586" s="26" t="str">
        <f aca="false">IF($M586=0,"",OPERATIONS!$F286)</f>
        <v/>
      </c>
      <c r="J586" s="26" t="str">
        <f aca="false">IF($I586="","",IFERROR(INDEX(EMPL_CLASSE,MATCH($I586,EMPL_KEY,0)),""))</f>
        <v/>
      </c>
      <c r="K586" s="26" t="str">
        <f aca="false">IF($M586=0,"",OPERATIONS!$K286)</f>
        <v/>
      </c>
      <c r="L586" s="26" t="str">
        <f aca="false">IF($G586="","",IF(IFERROR(INDEX(LOT_ETAT,MATCH($G586,LOT_KEY,0)),"")="","",INDEX(LOT_ETAT,MATCH($G586,LOT_KEY,0))))</f>
        <v/>
      </c>
      <c r="M586" s="73" t="n">
        <f aca="false">IF(OR(OPERATIONS!$O286=0,OPERATIONS!$C286="CONSOMMATION"),0,OPERATIONS!$G286)</f>
        <v>0</v>
      </c>
      <c r="N586" s="73" t="n">
        <f aca="false">IF($M586=0,0,OPERATIONS!$R286*$M586)</f>
        <v>0</v>
      </c>
      <c r="O586" s="26" t="str">
        <f aca="false">IF($M586=0,"",OPERATIONS!$Q286)</f>
        <v/>
      </c>
      <c r="P586" s="26" t="str">
        <f aca="false">IF($G586="","",IF($G586=R_LOT,COUNTIF($G$5:$G586,R_LOT),""))</f>
        <v/>
      </c>
    </row>
    <row r="587" customFormat="false" ht="15" hidden="false" customHeight="false" outlineLevel="0" collapsed="false">
      <c r="A587" s="28" t="str">
        <f aca="false">IF($M587=0,"",ROW()-4)</f>
        <v/>
      </c>
      <c r="B587" s="26" t="str">
        <f aca="false">IF($M587=0,"","OPERATIONS")</f>
        <v/>
      </c>
      <c r="C587" s="26" t="str">
        <f aca="false">IF($M587=0,"",OPERATIONS!$A287)</f>
        <v/>
      </c>
      <c r="D587" s="31" t="str">
        <f aca="false">IF($M587=0,"",OPERATIONS!$B287)</f>
        <v/>
      </c>
      <c r="E587" s="26" t="str">
        <f aca="false">IF($M587=0,"",IF($M587&lt;0,"SORTIE","ENTREE"))</f>
        <v/>
      </c>
      <c r="F587" s="26" t="str">
        <f aca="false">IF($M587=0,"",OPERATIONS!$C287)</f>
        <v/>
      </c>
      <c r="G587" s="26" t="str">
        <f aca="false">IF($M587=0,"",OPERATIONS!$D287)</f>
        <v/>
      </c>
      <c r="H587" s="26" t="str">
        <f aca="false">IF($G587="","",IFERROR(INDEX(LOT_EXTE,MATCH($G587,LOT_KEY,0)),""))</f>
        <v/>
      </c>
      <c r="I587" s="26" t="str">
        <f aca="false">IF($M587=0,"",OPERATIONS!$F287)</f>
        <v/>
      </c>
      <c r="J587" s="26" t="str">
        <f aca="false">IF($I587="","",IFERROR(INDEX(EMPL_CLASSE,MATCH($I587,EMPL_KEY,0)),""))</f>
        <v/>
      </c>
      <c r="K587" s="26" t="str">
        <f aca="false">IF($M587=0,"",OPERATIONS!$K287)</f>
        <v/>
      </c>
      <c r="L587" s="26" t="str">
        <f aca="false">IF($G587="","",IF(IFERROR(INDEX(LOT_ETAT,MATCH($G587,LOT_KEY,0)),"")="","",INDEX(LOT_ETAT,MATCH($G587,LOT_KEY,0))))</f>
        <v/>
      </c>
      <c r="M587" s="73" t="n">
        <f aca="false">IF(OR(OPERATIONS!$O287=0,OPERATIONS!$C287="CONSOMMATION"),0,OPERATIONS!$G287)</f>
        <v>0</v>
      </c>
      <c r="N587" s="73" t="n">
        <f aca="false">IF($M587=0,0,OPERATIONS!$R287*$M587)</f>
        <v>0</v>
      </c>
      <c r="O587" s="26" t="str">
        <f aca="false">IF($M587=0,"",OPERATIONS!$Q287)</f>
        <v/>
      </c>
      <c r="P587" s="26" t="str">
        <f aca="false">IF($G587="","",IF($G587=R_LOT,COUNTIF($G$5:$G587,R_LOT),""))</f>
        <v/>
      </c>
    </row>
    <row r="588" customFormat="false" ht="15" hidden="false" customHeight="false" outlineLevel="0" collapsed="false">
      <c r="A588" s="28" t="str">
        <f aca="false">IF($M588=0,"",ROW()-4)</f>
        <v/>
      </c>
      <c r="B588" s="26" t="str">
        <f aca="false">IF($M588=0,"","OPERATIONS")</f>
        <v/>
      </c>
      <c r="C588" s="26" t="str">
        <f aca="false">IF($M588=0,"",OPERATIONS!$A288)</f>
        <v/>
      </c>
      <c r="D588" s="31" t="str">
        <f aca="false">IF($M588=0,"",OPERATIONS!$B288)</f>
        <v/>
      </c>
      <c r="E588" s="26" t="str">
        <f aca="false">IF($M588=0,"",IF($M588&lt;0,"SORTIE","ENTREE"))</f>
        <v/>
      </c>
      <c r="F588" s="26" t="str">
        <f aca="false">IF($M588=0,"",OPERATIONS!$C288)</f>
        <v/>
      </c>
      <c r="G588" s="26" t="str">
        <f aca="false">IF($M588=0,"",OPERATIONS!$D288)</f>
        <v/>
      </c>
      <c r="H588" s="26" t="str">
        <f aca="false">IF($G588="","",IFERROR(INDEX(LOT_EXTE,MATCH($G588,LOT_KEY,0)),""))</f>
        <v/>
      </c>
      <c r="I588" s="26" t="str">
        <f aca="false">IF($M588=0,"",OPERATIONS!$F288)</f>
        <v/>
      </c>
      <c r="J588" s="26" t="str">
        <f aca="false">IF($I588="","",IFERROR(INDEX(EMPL_CLASSE,MATCH($I588,EMPL_KEY,0)),""))</f>
        <v/>
      </c>
      <c r="K588" s="26" t="str">
        <f aca="false">IF($M588=0,"",OPERATIONS!$K288)</f>
        <v/>
      </c>
      <c r="L588" s="26" t="str">
        <f aca="false">IF($G588="","",IF(IFERROR(INDEX(LOT_ETAT,MATCH($G588,LOT_KEY,0)),"")="","",INDEX(LOT_ETAT,MATCH($G588,LOT_KEY,0))))</f>
        <v/>
      </c>
      <c r="M588" s="73" t="n">
        <f aca="false">IF(OR(OPERATIONS!$O288=0,OPERATIONS!$C288="CONSOMMATION"),0,OPERATIONS!$G288)</f>
        <v>0</v>
      </c>
      <c r="N588" s="73" t="n">
        <f aca="false">IF($M588=0,0,OPERATIONS!$R288*$M588)</f>
        <v>0</v>
      </c>
      <c r="O588" s="26" t="str">
        <f aca="false">IF($M588=0,"",OPERATIONS!$Q288)</f>
        <v/>
      </c>
      <c r="P588" s="26" t="str">
        <f aca="false">IF($G588="","",IF($G588=R_LOT,COUNTIF($G$5:$G588,R_LOT),""))</f>
        <v/>
      </c>
    </row>
    <row r="589" customFormat="false" ht="15" hidden="false" customHeight="false" outlineLevel="0" collapsed="false">
      <c r="A589" s="28" t="str">
        <f aca="false">IF($M589=0,"",ROW()-4)</f>
        <v/>
      </c>
      <c r="B589" s="26" t="str">
        <f aca="false">IF($M589=0,"","OPERATIONS")</f>
        <v/>
      </c>
      <c r="C589" s="26" t="str">
        <f aca="false">IF($M589=0,"",OPERATIONS!$A289)</f>
        <v/>
      </c>
      <c r="D589" s="31" t="str">
        <f aca="false">IF($M589=0,"",OPERATIONS!$B289)</f>
        <v/>
      </c>
      <c r="E589" s="26" t="str">
        <f aca="false">IF($M589=0,"",IF($M589&lt;0,"SORTIE","ENTREE"))</f>
        <v/>
      </c>
      <c r="F589" s="26" t="str">
        <f aca="false">IF($M589=0,"",OPERATIONS!$C289)</f>
        <v/>
      </c>
      <c r="G589" s="26" t="str">
        <f aca="false">IF($M589=0,"",OPERATIONS!$D289)</f>
        <v/>
      </c>
      <c r="H589" s="26" t="str">
        <f aca="false">IF($G589="","",IFERROR(INDEX(LOT_EXTE,MATCH($G589,LOT_KEY,0)),""))</f>
        <v/>
      </c>
      <c r="I589" s="26" t="str">
        <f aca="false">IF($M589=0,"",OPERATIONS!$F289)</f>
        <v/>
      </c>
      <c r="J589" s="26" t="str">
        <f aca="false">IF($I589="","",IFERROR(INDEX(EMPL_CLASSE,MATCH($I589,EMPL_KEY,0)),""))</f>
        <v/>
      </c>
      <c r="K589" s="26" t="str">
        <f aca="false">IF($M589=0,"",OPERATIONS!$K289)</f>
        <v/>
      </c>
      <c r="L589" s="26" t="str">
        <f aca="false">IF($G589="","",IF(IFERROR(INDEX(LOT_ETAT,MATCH($G589,LOT_KEY,0)),"")="","",INDEX(LOT_ETAT,MATCH($G589,LOT_KEY,0))))</f>
        <v/>
      </c>
      <c r="M589" s="73" t="n">
        <f aca="false">IF(OR(OPERATIONS!$O289=0,OPERATIONS!$C289="CONSOMMATION"),0,OPERATIONS!$G289)</f>
        <v>0</v>
      </c>
      <c r="N589" s="73" t="n">
        <f aca="false">IF($M589=0,0,OPERATIONS!$R289*$M589)</f>
        <v>0</v>
      </c>
      <c r="O589" s="26" t="str">
        <f aca="false">IF($M589=0,"",OPERATIONS!$Q289)</f>
        <v/>
      </c>
      <c r="P589" s="26" t="str">
        <f aca="false">IF($G589="","",IF($G589=R_LOT,COUNTIF($G$5:$G589,R_LOT),""))</f>
        <v/>
      </c>
    </row>
    <row r="590" customFormat="false" ht="15" hidden="false" customHeight="false" outlineLevel="0" collapsed="false">
      <c r="A590" s="28" t="str">
        <f aca="false">IF($M590=0,"",ROW()-4)</f>
        <v/>
      </c>
      <c r="B590" s="26" t="str">
        <f aca="false">IF($M590=0,"","OPERATIONS")</f>
        <v/>
      </c>
      <c r="C590" s="26" t="str">
        <f aca="false">IF($M590=0,"",OPERATIONS!$A290)</f>
        <v/>
      </c>
      <c r="D590" s="31" t="str">
        <f aca="false">IF($M590=0,"",OPERATIONS!$B290)</f>
        <v/>
      </c>
      <c r="E590" s="26" t="str">
        <f aca="false">IF($M590=0,"",IF($M590&lt;0,"SORTIE","ENTREE"))</f>
        <v/>
      </c>
      <c r="F590" s="26" t="str">
        <f aca="false">IF($M590=0,"",OPERATIONS!$C290)</f>
        <v/>
      </c>
      <c r="G590" s="26" t="str">
        <f aca="false">IF($M590=0,"",OPERATIONS!$D290)</f>
        <v/>
      </c>
      <c r="H590" s="26" t="str">
        <f aca="false">IF($G590="","",IFERROR(INDEX(LOT_EXTE,MATCH($G590,LOT_KEY,0)),""))</f>
        <v/>
      </c>
      <c r="I590" s="26" t="str">
        <f aca="false">IF($M590=0,"",OPERATIONS!$F290)</f>
        <v/>
      </c>
      <c r="J590" s="26" t="str">
        <f aca="false">IF($I590="","",IFERROR(INDEX(EMPL_CLASSE,MATCH($I590,EMPL_KEY,0)),""))</f>
        <v/>
      </c>
      <c r="K590" s="26" t="str">
        <f aca="false">IF($M590=0,"",OPERATIONS!$K290)</f>
        <v/>
      </c>
      <c r="L590" s="26" t="str">
        <f aca="false">IF($G590="","",IF(IFERROR(INDEX(LOT_ETAT,MATCH($G590,LOT_KEY,0)),"")="","",INDEX(LOT_ETAT,MATCH($G590,LOT_KEY,0))))</f>
        <v/>
      </c>
      <c r="M590" s="73" t="n">
        <f aca="false">IF(OR(OPERATIONS!$O290=0,OPERATIONS!$C290="CONSOMMATION"),0,OPERATIONS!$G290)</f>
        <v>0</v>
      </c>
      <c r="N590" s="73" t="n">
        <f aca="false">IF($M590=0,0,OPERATIONS!$R290*$M590)</f>
        <v>0</v>
      </c>
      <c r="O590" s="26" t="str">
        <f aca="false">IF($M590=0,"",OPERATIONS!$Q290)</f>
        <v/>
      </c>
      <c r="P590" s="26" t="str">
        <f aca="false">IF($G590="","",IF($G590=R_LOT,COUNTIF($G$5:$G590,R_LOT),""))</f>
        <v/>
      </c>
    </row>
    <row r="591" customFormat="false" ht="15" hidden="false" customHeight="false" outlineLevel="0" collapsed="false">
      <c r="A591" s="28" t="str">
        <f aca="false">IF($M591=0,"",ROW()-4)</f>
        <v/>
      </c>
      <c r="B591" s="26" t="str">
        <f aca="false">IF($M591=0,"","OPERATIONS")</f>
        <v/>
      </c>
      <c r="C591" s="26" t="str">
        <f aca="false">IF($M591=0,"",OPERATIONS!$A291)</f>
        <v/>
      </c>
      <c r="D591" s="31" t="str">
        <f aca="false">IF($M591=0,"",OPERATIONS!$B291)</f>
        <v/>
      </c>
      <c r="E591" s="26" t="str">
        <f aca="false">IF($M591=0,"",IF($M591&lt;0,"SORTIE","ENTREE"))</f>
        <v/>
      </c>
      <c r="F591" s="26" t="str">
        <f aca="false">IF($M591=0,"",OPERATIONS!$C291)</f>
        <v/>
      </c>
      <c r="G591" s="26" t="str">
        <f aca="false">IF($M591=0,"",OPERATIONS!$D291)</f>
        <v/>
      </c>
      <c r="H591" s="26" t="str">
        <f aca="false">IF($G591="","",IFERROR(INDEX(LOT_EXTE,MATCH($G591,LOT_KEY,0)),""))</f>
        <v/>
      </c>
      <c r="I591" s="26" t="str">
        <f aca="false">IF($M591=0,"",OPERATIONS!$F291)</f>
        <v/>
      </c>
      <c r="J591" s="26" t="str">
        <f aca="false">IF($I591="","",IFERROR(INDEX(EMPL_CLASSE,MATCH($I591,EMPL_KEY,0)),""))</f>
        <v/>
      </c>
      <c r="K591" s="26" t="str">
        <f aca="false">IF($M591=0,"",OPERATIONS!$K291)</f>
        <v/>
      </c>
      <c r="L591" s="26" t="str">
        <f aca="false">IF($G591="","",IF(IFERROR(INDEX(LOT_ETAT,MATCH($G591,LOT_KEY,0)),"")="","",INDEX(LOT_ETAT,MATCH($G591,LOT_KEY,0))))</f>
        <v/>
      </c>
      <c r="M591" s="73" t="n">
        <f aca="false">IF(OR(OPERATIONS!$O291=0,OPERATIONS!$C291="CONSOMMATION"),0,OPERATIONS!$G291)</f>
        <v>0</v>
      </c>
      <c r="N591" s="73" t="n">
        <f aca="false">IF($M591=0,0,OPERATIONS!$R291*$M591)</f>
        <v>0</v>
      </c>
      <c r="O591" s="26" t="str">
        <f aca="false">IF($M591=0,"",OPERATIONS!$Q291)</f>
        <v/>
      </c>
      <c r="P591" s="26" t="str">
        <f aca="false">IF($G591="","",IF($G591=R_LOT,COUNTIF($G$5:$G591,R_LOT),""))</f>
        <v/>
      </c>
    </row>
    <row r="592" customFormat="false" ht="15" hidden="false" customHeight="false" outlineLevel="0" collapsed="false">
      <c r="A592" s="28" t="str">
        <f aca="false">IF($M592=0,"",ROW()-4)</f>
        <v/>
      </c>
      <c r="B592" s="26" t="str">
        <f aca="false">IF($M592=0,"","OPERATIONS")</f>
        <v/>
      </c>
      <c r="C592" s="26" t="str">
        <f aca="false">IF($M592=0,"",OPERATIONS!$A292)</f>
        <v/>
      </c>
      <c r="D592" s="31" t="str">
        <f aca="false">IF($M592=0,"",OPERATIONS!$B292)</f>
        <v/>
      </c>
      <c r="E592" s="26" t="str">
        <f aca="false">IF($M592=0,"",IF($M592&lt;0,"SORTIE","ENTREE"))</f>
        <v/>
      </c>
      <c r="F592" s="26" t="str">
        <f aca="false">IF($M592=0,"",OPERATIONS!$C292)</f>
        <v/>
      </c>
      <c r="G592" s="26" t="str">
        <f aca="false">IF($M592=0,"",OPERATIONS!$D292)</f>
        <v/>
      </c>
      <c r="H592" s="26" t="str">
        <f aca="false">IF($G592="","",IFERROR(INDEX(LOT_EXTE,MATCH($G592,LOT_KEY,0)),""))</f>
        <v/>
      </c>
      <c r="I592" s="26" t="str">
        <f aca="false">IF($M592=0,"",OPERATIONS!$F292)</f>
        <v/>
      </c>
      <c r="J592" s="26" t="str">
        <f aca="false">IF($I592="","",IFERROR(INDEX(EMPL_CLASSE,MATCH($I592,EMPL_KEY,0)),""))</f>
        <v/>
      </c>
      <c r="K592" s="26" t="str">
        <f aca="false">IF($M592=0,"",OPERATIONS!$K292)</f>
        <v/>
      </c>
      <c r="L592" s="26" t="str">
        <f aca="false">IF($G592="","",IF(IFERROR(INDEX(LOT_ETAT,MATCH($G592,LOT_KEY,0)),"")="","",INDEX(LOT_ETAT,MATCH($G592,LOT_KEY,0))))</f>
        <v/>
      </c>
      <c r="M592" s="73" t="n">
        <f aca="false">IF(OR(OPERATIONS!$O292=0,OPERATIONS!$C292="CONSOMMATION"),0,OPERATIONS!$G292)</f>
        <v>0</v>
      </c>
      <c r="N592" s="73" t="n">
        <f aca="false">IF($M592=0,0,OPERATIONS!$R292*$M592)</f>
        <v>0</v>
      </c>
      <c r="O592" s="26" t="str">
        <f aca="false">IF($M592=0,"",OPERATIONS!$Q292)</f>
        <v/>
      </c>
      <c r="P592" s="26" t="str">
        <f aca="false">IF($G592="","",IF($G592=R_LOT,COUNTIF($G$5:$G592,R_LOT),""))</f>
        <v/>
      </c>
    </row>
    <row r="593" customFormat="false" ht="15" hidden="false" customHeight="false" outlineLevel="0" collapsed="false">
      <c r="A593" s="28" t="str">
        <f aca="false">IF($M593=0,"",ROW()-4)</f>
        <v/>
      </c>
      <c r="B593" s="26" t="str">
        <f aca="false">IF($M593=0,"","OPERATIONS")</f>
        <v/>
      </c>
      <c r="C593" s="26" t="str">
        <f aca="false">IF($M593=0,"",OPERATIONS!$A293)</f>
        <v/>
      </c>
      <c r="D593" s="31" t="str">
        <f aca="false">IF($M593=0,"",OPERATIONS!$B293)</f>
        <v/>
      </c>
      <c r="E593" s="26" t="str">
        <f aca="false">IF($M593=0,"",IF($M593&lt;0,"SORTIE","ENTREE"))</f>
        <v/>
      </c>
      <c r="F593" s="26" t="str">
        <f aca="false">IF($M593=0,"",OPERATIONS!$C293)</f>
        <v/>
      </c>
      <c r="G593" s="26" t="str">
        <f aca="false">IF($M593=0,"",OPERATIONS!$D293)</f>
        <v/>
      </c>
      <c r="H593" s="26" t="str">
        <f aca="false">IF($G593="","",IFERROR(INDEX(LOT_EXTE,MATCH($G593,LOT_KEY,0)),""))</f>
        <v/>
      </c>
      <c r="I593" s="26" t="str">
        <f aca="false">IF($M593=0,"",OPERATIONS!$F293)</f>
        <v/>
      </c>
      <c r="J593" s="26" t="str">
        <f aca="false">IF($I593="","",IFERROR(INDEX(EMPL_CLASSE,MATCH($I593,EMPL_KEY,0)),""))</f>
        <v/>
      </c>
      <c r="K593" s="26" t="str">
        <f aca="false">IF($M593=0,"",OPERATIONS!$K293)</f>
        <v/>
      </c>
      <c r="L593" s="26" t="str">
        <f aca="false">IF($G593="","",IF(IFERROR(INDEX(LOT_ETAT,MATCH($G593,LOT_KEY,0)),"")="","",INDEX(LOT_ETAT,MATCH($G593,LOT_KEY,0))))</f>
        <v/>
      </c>
      <c r="M593" s="73" t="n">
        <f aca="false">IF(OR(OPERATIONS!$O293=0,OPERATIONS!$C293="CONSOMMATION"),0,OPERATIONS!$G293)</f>
        <v>0</v>
      </c>
      <c r="N593" s="73" t="n">
        <f aca="false">IF($M593=0,0,OPERATIONS!$R293*$M593)</f>
        <v>0</v>
      </c>
      <c r="O593" s="26" t="str">
        <f aca="false">IF($M593=0,"",OPERATIONS!$Q293)</f>
        <v/>
      </c>
      <c r="P593" s="26" t="str">
        <f aca="false">IF($G593="","",IF($G593=R_LOT,COUNTIF($G$5:$G593,R_LOT),""))</f>
        <v/>
      </c>
    </row>
    <row r="594" customFormat="false" ht="15" hidden="false" customHeight="false" outlineLevel="0" collapsed="false">
      <c r="A594" s="28" t="str">
        <f aca="false">IF($M594=0,"",ROW()-4)</f>
        <v/>
      </c>
      <c r="B594" s="26" t="str">
        <f aca="false">IF($M594=0,"","OPERATIONS")</f>
        <v/>
      </c>
      <c r="C594" s="26" t="str">
        <f aca="false">IF($M594=0,"",OPERATIONS!$A294)</f>
        <v/>
      </c>
      <c r="D594" s="31" t="str">
        <f aca="false">IF($M594=0,"",OPERATIONS!$B294)</f>
        <v/>
      </c>
      <c r="E594" s="26" t="str">
        <f aca="false">IF($M594=0,"",IF($M594&lt;0,"SORTIE","ENTREE"))</f>
        <v/>
      </c>
      <c r="F594" s="26" t="str">
        <f aca="false">IF($M594=0,"",OPERATIONS!$C294)</f>
        <v/>
      </c>
      <c r="G594" s="26" t="str">
        <f aca="false">IF($M594=0,"",OPERATIONS!$D294)</f>
        <v/>
      </c>
      <c r="H594" s="26" t="str">
        <f aca="false">IF($G594="","",IFERROR(INDEX(LOT_EXTE,MATCH($G594,LOT_KEY,0)),""))</f>
        <v/>
      </c>
      <c r="I594" s="26" t="str">
        <f aca="false">IF($M594=0,"",OPERATIONS!$F294)</f>
        <v/>
      </c>
      <c r="J594" s="26" t="str">
        <f aca="false">IF($I594="","",IFERROR(INDEX(EMPL_CLASSE,MATCH($I594,EMPL_KEY,0)),""))</f>
        <v/>
      </c>
      <c r="K594" s="26" t="str">
        <f aca="false">IF($M594=0,"",OPERATIONS!$K294)</f>
        <v/>
      </c>
      <c r="L594" s="26" t="str">
        <f aca="false">IF($G594="","",IF(IFERROR(INDEX(LOT_ETAT,MATCH($G594,LOT_KEY,0)),"")="","",INDEX(LOT_ETAT,MATCH($G594,LOT_KEY,0))))</f>
        <v/>
      </c>
      <c r="M594" s="73" t="n">
        <f aca="false">IF(OR(OPERATIONS!$O294=0,OPERATIONS!$C294="CONSOMMATION"),0,OPERATIONS!$G294)</f>
        <v>0</v>
      </c>
      <c r="N594" s="73" t="n">
        <f aca="false">IF($M594=0,0,OPERATIONS!$R294*$M594)</f>
        <v>0</v>
      </c>
      <c r="O594" s="26" t="str">
        <f aca="false">IF($M594=0,"",OPERATIONS!$Q294)</f>
        <v/>
      </c>
      <c r="P594" s="26" t="str">
        <f aca="false">IF($G594="","",IF($G594=R_LOT,COUNTIF($G$5:$G594,R_LOT),""))</f>
        <v/>
      </c>
    </row>
    <row r="595" customFormat="false" ht="15" hidden="false" customHeight="false" outlineLevel="0" collapsed="false">
      <c r="A595" s="28" t="str">
        <f aca="false">IF($M595=0,"",ROW()-4)</f>
        <v/>
      </c>
      <c r="B595" s="26" t="str">
        <f aca="false">IF($M595=0,"","OPERATIONS")</f>
        <v/>
      </c>
      <c r="C595" s="26" t="str">
        <f aca="false">IF($M595=0,"",OPERATIONS!$A295)</f>
        <v/>
      </c>
      <c r="D595" s="31" t="str">
        <f aca="false">IF($M595=0,"",OPERATIONS!$B295)</f>
        <v/>
      </c>
      <c r="E595" s="26" t="str">
        <f aca="false">IF($M595=0,"",IF($M595&lt;0,"SORTIE","ENTREE"))</f>
        <v/>
      </c>
      <c r="F595" s="26" t="str">
        <f aca="false">IF($M595=0,"",OPERATIONS!$C295)</f>
        <v/>
      </c>
      <c r="G595" s="26" t="str">
        <f aca="false">IF($M595=0,"",OPERATIONS!$D295)</f>
        <v/>
      </c>
      <c r="H595" s="26" t="str">
        <f aca="false">IF($G595="","",IFERROR(INDEX(LOT_EXTE,MATCH($G595,LOT_KEY,0)),""))</f>
        <v/>
      </c>
      <c r="I595" s="26" t="str">
        <f aca="false">IF($M595=0,"",OPERATIONS!$F295)</f>
        <v/>
      </c>
      <c r="J595" s="26" t="str">
        <f aca="false">IF($I595="","",IFERROR(INDEX(EMPL_CLASSE,MATCH($I595,EMPL_KEY,0)),""))</f>
        <v/>
      </c>
      <c r="K595" s="26" t="str">
        <f aca="false">IF($M595=0,"",OPERATIONS!$K295)</f>
        <v/>
      </c>
      <c r="L595" s="26" t="str">
        <f aca="false">IF($G595="","",IF(IFERROR(INDEX(LOT_ETAT,MATCH($G595,LOT_KEY,0)),"")="","",INDEX(LOT_ETAT,MATCH($G595,LOT_KEY,0))))</f>
        <v/>
      </c>
      <c r="M595" s="73" t="n">
        <f aca="false">IF(OR(OPERATIONS!$O295=0,OPERATIONS!$C295="CONSOMMATION"),0,OPERATIONS!$G295)</f>
        <v>0</v>
      </c>
      <c r="N595" s="73" t="n">
        <f aca="false">IF($M595=0,0,OPERATIONS!$R295*$M595)</f>
        <v>0</v>
      </c>
      <c r="O595" s="26" t="str">
        <f aca="false">IF($M595=0,"",OPERATIONS!$Q295)</f>
        <v/>
      </c>
      <c r="P595" s="26" t="str">
        <f aca="false">IF($G595="","",IF($G595=R_LOT,COUNTIF($G$5:$G595,R_LOT),""))</f>
        <v/>
      </c>
    </row>
    <row r="596" customFormat="false" ht="15" hidden="false" customHeight="false" outlineLevel="0" collapsed="false">
      <c r="A596" s="28" t="str">
        <f aca="false">IF($M596=0,"",ROW()-4)</f>
        <v/>
      </c>
      <c r="B596" s="26" t="str">
        <f aca="false">IF($M596=0,"","OPERATIONS")</f>
        <v/>
      </c>
      <c r="C596" s="26" t="str">
        <f aca="false">IF($M596=0,"",OPERATIONS!$A296)</f>
        <v/>
      </c>
      <c r="D596" s="31" t="str">
        <f aca="false">IF($M596=0,"",OPERATIONS!$B296)</f>
        <v/>
      </c>
      <c r="E596" s="26" t="str">
        <f aca="false">IF($M596=0,"",IF($M596&lt;0,"SORTIE","ENTREE"))</f>
        <v/>
      </c>
      <c r="F596" s="26" t="str">
        <f aca="false">IF($M596=0,"",OPERATIONS!$C296)</f>
        <v/>
      </c>
      <c r="G596" s="26" t="str">
        <f aca="false">IF($M596=0,"",OPERATIONS!$D296)</f>
        <v/>
      </c>
      <c r="H596" s="26" t="str">
        <f aca="false">IF($G596="","",IFERROR(INDEX(LOT_EXTE,MATCH($G596,LOT_KEY,0)),""))</f>
        <v/>
      </c>
      <c r="I596" s="26" t="str">
        <f aca="false">IF($M596=0,"",OPERATIONS!$F296)</f>
        <v/>
      </c>
      <c r="J596" s="26" t="str">
        <f aca="false">IF($I596="","",IFERROR(INDEX(EMPL_CLASSE,MATCH($I596,EMPL_KEY,0)),""))</f>
        <v/>
      </c>
      <c r="K596" s="26" t="str">
        <f aca="false">IF($M596=0,"",OPERATIONS!$K296)</f>
        <v/>
      </c>
      <c r="L596" s="26" t="str">
        <f aca="false">IF($G596="","",IF(IFERROR(INDEX(LOT_ETAT,MATCH($G596,LOT_KEY,0)),"")="","",INDEX(LOT_ETAT,MATCH($G596,LOT_KEY,0))))</f>
        <v/>
      </c>
      <c r="M596" s="73" t="n">
        <f aca="false">IF(OR(OPERATIONS!$O296=0,OPERATIONS!$C296="CONSOMMATION"),0,OPERATIONS!$G296)</f>
        <v>0</v>
      </c>
      <c r="N596" s="73" t="n">
        <f aca="false">IF($M596=0,0,OPERATIONS!$R296*$M596)</f>
        <v>0</v>
      </c>
      <c r="O596" s="26" t="str">
        <f aca="false">IF($M596=0,"",OPERATIONS!$Q296)</f>
        <v/>
      </c>
      <c r="P596" s="26" t="str">
        <f aca="false">IF($G596="","",IF($G596=R_LOT,COUNTIF($G$5:$G596,R_LOT),""))</f>
        <v/>
      </c>
    </row>
    <row r="597" customFormat="false" ht="15" hidden="false" customHeight="false" outlineLevel="0" collapsed="false">
      <c r="A597" s="28" t="str">
        <f aca="false">IF($M597=0,"",ROW()-4)</f>
        <v/>
      </c>
      <c r="B597" s="26" t="str">
        <f aca="false">IF($M597=0,"","OPERATIONS")</f>
        <v/>
      </c>
      <c r="C597" s="26" t="str">
        <f aca="false">IF($M597=0,"",OPERATIONS!$A297)</f>
        <v/>
      </c>
      <c r="D597" s="31" t="str">
        <f aca="false">IF($M597=0,"",OPERATIONS!$B297)</f>
        <v/>
      </c>
      <c r="E597" s="26" t="str">
        <f aca="false">IF($M597=0,"",IF($M597&lt;0,"SORTIE","ENTREE"))</f>
        <v/>
      </c>
      <c r="F597" s="26" t="str">
        <f aca="false">IF($M597=0,"",OPERATIONS!$C297)</f>
        <v/>
      </c>
      <c r="G597" s="26" t="str">
        <f aca="false">IF($M597=0,"",OPERATIONS!$D297)</f>
        <v/>
      </c>
      <c r="H597" s="26" t="str">
        <f aca="false">IF($G597="","",IFERROR(INDEX(LOT_EXTE,MATCH($G597,LOT_KEY,0)),""))</f>
        <v/>
      </c>
      <c r="I597" s="26" t="str">
        <f aca="false">IF($M597=0,"",OPERATIONS!$F297)</f>
        <v/>
      </c>
      <c r="J597" s="26" t="str">
        <f aca="false">IF($I597="","",IFERROR(INDEX(EMPL_CLASSE,MATCH($I597,EMPL_KEY,0)),""))</f>
        <v/>
      </c>
      <c r="K597" s="26" t="str">
        <f aca="false">IF($M597=0,"",OPERATIONS!$K297)</f>
        <v/>
      </c>
      <c r="L597" s="26" t="str">
        <f aca="false">IF($G597="","",IF(IFERROR(INDEX(LOT_ETAT,MATCH($G597,LOT_KEY,0)),"")="","",INDEX(LOT_ETAT,MATCH($G597,LOT_KEY,0))))</f>
        <v/>
      </c>
      <c r="M597" s="73" t="n">
        <f aca="false">IF(OR(OPERATIONS!$O297=0,OPERATIONS!$C297="CONSOMMATION"),0,OPERATIONS!$G297)</f>
        <v>0</v>
      </c>
      <c r="N597" s="73" t="n">
        <f aca="false">IF($M597=0,0,OPERATIONS!$R297*$M597)</f>
        <v>0</v>
      </c>
      <c r="O597" s="26" t="str">
        <f aca="false">IF($M597=0,"",OPERATIONS!$Q297)</f>
        <v/>
      </c>
      <c r="P597" s="26" t="str">
        <f aca="false">IF($G597="","",IF($G597=R_LOT,COUNTIF($G$5:$G597,R_LOT),""))</f>
        <v/>
      </c>
    </row>
    <row r="598" customFormat="false" ht="15" hidden="false" customHeight="false" outlineLevel="0" collapsed="false">
      <c r="A598" s="28" t="str">
        <f aca="false">IF($M598=0,"",ROW()-4)</f>
        <v/>
      </c>
      <c r="B598" s="26" t="str">
        <f aca="false">IF($M598=0,"","OPERATIONS")</f>
        <v/>
      </c>
      <c r="C598" s="26" t="str">
        <f aca="false">IF($M598=0,"",OPERATIONS!$A298)</f>
        <v/>
      </c>
      <c r="D598" s="31" t="str">
        <f aca="false">IF($M598=0,"",OPERATIONS!$B298)</f>
        <v/>
      </c>
      <c r="E598" s="26" t="str">
        <f aca="false">IF($M598=0,"",IF($M598&lt;0,"SORTIE","ENTREE"))</f>
        <v/>
      </c>
      <c r="F598" s="26" t="str">
        <f aca="false">IF($M598=0,"",OPERATIONS!$C298)</f>
        <v/>
      </c>
      <c r="G598" s="26" t="str">
        <f aca="false">IF($M598=0,"",OPERATIONS!$D298)</f>
        <v/>
      </c>
      <c r="H598" s="26" t="str">
        <f aca="false">IF($G598="","",IFERROR(INDEX(LOT_EXTE,MATCH($G598,LOT_KEY,0)),""))</f>
        <v/>
      </c>
      <c r="I598" s="26" t="str">
        <f aca="false">IF($M598=0,"",OPERATIONS!$F298)</f>
        <v/>
      </c>
      <c r="J598" s="26" t="str">
        <f aca="false">IF($I598="","",IFERROR(INDEX(EMPL_CLASSE,MATCH($I598,EMPL_KEY,0)),""))</f>
        <v/>
      </c>
      <c r="K598" s="26" t="str">
        <f aca="false">IF($M598=0,"",OPERATIONS!$K298)</f>
        <v/>
      </c>
      <c r="L598" s="26" t="str">
        <f aca="false">IF($G598="","",IF(IFERROR(INDEX(LOT_ETAT,MATCH($G598,LOT_KEY,0)),"")="","",INDEX(LOT_ETAT,MATCH($G598,LOT_KEY,0))))</f>
        <v/>
      </c>
      <c r="M598" s="73" t="n">
        <f aca="false">IF(OR(OPERATIONS!$O298=0,OPERATIONS!$C298="CONSOMMATION"),0,OPERATIONS!$G298)</f>
        <v>0</v>
      </c>
      <c r="N598" s="73" t="n">
        <f aca="false">IF($M598=0,0,OPERATIONS!$R298*$M598)</f>
        <v>0</v>
      </c>
      <c r="O598" s="26" t="str">
        <f aca="false">IF($M598=0,"",OPERATIONS!$Q298)</f>
        <v/>
      </c>
      <c r="P598" s="26" t="str">
        <f aca="false">IF($G598="","",IF($G598=R_LOT,COUNTIF($G$5:$G598,R_LOT),""))</f>
        <v/>
      </c>
    </row>
    <row r="599" customFormat="false" ht="15" hidden="false" customHeight="false" outlineLevel="0" collapsed="false">
      <c r="A599" s="28" t="str">
        <f aca="false">IF($M599=0,"",ROW()-4)</f>
        <v/>
      </c>
      <c r="B599" s="26" t="str">
        <f aca="false">IF($M599=0,"","OPERATIONS")</f>
        <v/>
      </c>
      <c r="C599" s="26" t="str">
        <f aca="false">IF($M599=0,"",OPERATIONS!$A299)</f>
        <v/>
      </c>
      <c r="D599" s="31" t="str">
        <f aca="false">IF($M599=0,"",OPERATIONS!$B299)</f>
        <v/>
      </c>
      <c r="E599" s="26" t="str">
        <f aca="false">IF($M599=0,"",IF($M599&lt;0,"SORTIE","ENTREE"))</f>
        <v/>
      </c>
      <c r="F599" s="26" t="str">
        <f aca="false">IF($M599=0,"",OPERATIONS!$C299)</f>
        <v/>
      </c>
      <c r="G599" s="26" t="str">
        <f aca="false">IF($M599=0,"",OPERATIONS!$D299)</f>
        <v/>
      </c>
      <c r="H599" s="26" t="str">
        <f aca="false">IF($G599="","",IFERROR(INDEX(LOT_EXTE,MATCH($G599,LOT_KEY,0)),""))</f>
        <v/>
      </c>
      <c r="I599" s="26" t="str">
        <f aca="false">IF($M599=0,"",OPERATIONS!$F299)</f>
        <v/>
      </c>
      <c r="J599" s="26" t="str">
        <f aca="false">IF($I599="","",IFERROR(INDEX(EMPL_CLASSE,MATCH($I599,EMPL_KEY,0)),""))</f>
        <v/>
      </c>
      <c r="K599" s="26" t="str">
        <f aca="false">IF($M599=0,"",OPERATIONS!$K299)</f>
        <v/>
      </c>
      <c r="L599" s="26" t="str">
        <f aca="false">IF($G599="","",IF(IFERROR(INDEX(LOT_ETAT,MATCH($G599,LOT_KEY,0)),"")="","",INDEX(LOT_ETAT,MATCH($G599,LOT_KEY,0))))</f>
        <v/>
      </c>
      <c r="M599" s="73" t="n">
        <f aca="false">IF(OR(OPERATIONS!$O299=0,OPERATIONS!$C299="CONSOMMATION"),0,OPERATIONS!$G299)</f>
        <v>0</v>
      </c>
      <c r="N599" s="73" t="n">
        <f aca="false">IF($M599=0,0,OPERATIONS!$R299*$M599)</f>
        <v>0</v>
      </c>
      <c r="O599" s="26" t="str">
        <f aca="false">IF($M599=0,"",OPERATIONS!$Q299)</f>
        <v/>
      </c>
      <c r="P599" s="26" t="str">
        <f aca="false">IF($G599="","",IF($G599=R_LOT,COUNTIF($G$5:$G599,R_LOT),""))</f>
        <v/>
      </c>
    </row>
    <row r="600" customFormat="false" ht="15" hidden="false" customHeight="false" outlineLevel="0" collapsed="false">
      <c r="A600" s="28" t="str">
        <f aca="false">IF($M600=0,"",ROW()-4)</f>
        <v/>
      </c>
      <c r="B600" s="26" t="str">
        <f aca="false">IF($M600=0,"","OPERATIONS")</f>
        <v/>
      </c>
      <c r="C600" s="26" t="str">
        <f aca="false">IF($M600=0,"",OPERATIONS!$A300)</f>
        <v/>
      </c>
      <c r="D600" s="31" t="str">
        <f aca="false">IF($M600=0,"",OPERATIONS!$B300)</f>
        <v/>
      </c>
      <c r="E600" s="26" t="str">
        <f aca="false">IF($M600=0,"",IF($M600&lt;0,"SORTIE","ENTREE"))</f>
        <v/>
      </c>
      <c r="F600" s="26" t="str">
        <f aca="false">IF($M600=0,"",OPERATIONS!$C300)</f>
        <v/>
      </c>
      <c r="G600" s="26" t="str">
        <f aca="false">IF($M600=0,"",OPERATIONS!$D300)</f>
        <v/>
      </c>
      <c r="H600" s="26" t="str">
        <f aca="false">IF($G600="","",IFERROR(INDEX(LOT_EXTE,MATCH($G600,LOT_KEY,0)),""))</f>
        <v/>
      </c>
      <c r="I600" s="26" t="str">
        <f aca="false">IF($M600=0,"",OPERATIONS!$F300)</f>
        <v/>
      </c>
      <c r="J600" s="26" t="str">
        <f aca="false">IF($I600="","",IFERROR(INDEX(EMPL_CLASSE,MATCH($I600,EMPL_KEY,0)),""))</f>
        <v/>
      </c>
      <c r="K600" s="26" t="str">
        <f aca="false">IF($M600=0,"",OPERATIONS!$K300)</f>
        <v/>
      </c>
      <c r="L600" s="26" t="str">
        <f aca="false">IF($G600="","",IF(IFERROR(INDEX(LOT_ETAT,MATCH($G600,LOT_KEY,0)),"")="","",INDEX(LOT_ETAT,MATCH($G600,LOT_KEY,0))))</f>
        <v/>
      </c>
      <c r="M600" s="73" t="n">
        <f aca="false">IF(OR(OPERATIONS!$O300=0,OPERATIONS!$C300="CONSOMMATION"),0,OPERATIONS!$G300)</f>
        <v>0</v>
      </c>
      <c r="N600" s="73" t="n">
        <f aca="false">IF($M600=0,0,OPERATIONS!$R300*$M600)</f>
        <v>0</v>
      </c>
      <c r="O600" s="26" t="str">
        <f aca="false">IF($M600=0,"",OPERATIONS!$Q300)</f>
        <v/>
      </c>
      <c r="P600" s="26" t="str">
        <f aca="false">IF($G600="","",IF($G600=R_LOT,COUNTIF($G$5:$G600,R_LOT),""))</f>
        <v/>
      </c>
    </row>
    <row r="601" customFormat="false" ht="15" hidden="false" customHeight="false" outlineLevel="0" collapsed="false">
      <c r="A601" s="28" t="str">
        <f aca="false">IF($M601=0,"",ROW()-4)</f>
        <v/>
      </c>
      <c r="B601" s="26" t="str">
        <f aca="false">IF($M601=0,"","OPERATIONS")</f>
        <v/>
      </c>
      <c r="C601" s="26" t="str">
        <f aca="false">IF($M601=0,"",OPERATIONS!$A301)</f>
        <v/>
      </c>
      <c r="D601" s="31" t="str">
        <f aca="false">IF($M601=0,"",OPERATIONS!$B301)</f>
        <v/>
      </c>
      <c r="E601" s="26" t="str">
        <f aca="false">IF($M601=0,"",IF($M601&lt;0,"SORTIE","ENTREE"))</f>
        <v/>
      </c>
      <c r="F601" s="26" t="str">
        <f aca="false">IF($M601=0,"",OPERATIONS!$C301)</f>
        <v/>
      </c>
      <c r="G601" s="26" t="str">
        <f aca="false">IF($M601=0,"",OPERATIONS!$D301)</f>
        <v/>
      </c>
      <c r="H601" s="26" t="str">
        <f aca="false">IF($G601="","",IFERROR(INDEX(LOT_EXTE,MATCH($G601,LOT_KEY,0)),""))</f>
        <v/>
      </c>
      <c r="I601" s="26" t="str">
        <f aca="false">IF($M601=0,"",OPERATIONS!$F301)</f>
        <v/>
      </c>
      <c r="J601" s="26" t="str">
        <f aca="false">IF($I601="","",IFERROR(INDEX(EMPL_CLASSE,MATCH($I601,EMPL_KEY,0)),""))</f>
        <v/>
      </c>
      <c r="K601" s="26" t="str">
        <f aca="false">IF($M601=0,"",OPERATIONS!$K301)</f>
        <v/>
      </c>
      <c r="L601" s="26" t="str">
        <f aca="false">IF($G601="","",IF(IFERROR(INDEX(LOT_ETAT,MATCH($G601,LOT_KEY,0)),"")="","",INDEX(LOT_ETAT,MATCH($G601,LOT_KEY,0))))</f>
        <v/>
      </c>
      <c r="M601" s="73" t="n">
        <f aca="false">IF(OR(OPERATIONS!$O301=0,OPERATIONS!$C301="CONSOMMATION"),0,OPERATIONS!$G301)</f>
        <v>0</v>
      </c>
      <c r="N601" s="73" t="n">
        <f aca="false">IF($M601=0,0,OPERATIONS!$R301*$M601)</f>
        <v>0</v>
      </c>
      <c r="O601" s="26" t="str">
        <f aca="false">IF($M601=0,"",OPERATIONS!$Q301)</f>
        <v/>
      </c>
      <c r="P601" s="26" t="str">
        <f aca="false">IF($G601="","",IF($G601=R_LOT,COUNTIF($G$5:$G601,R_LOT),""))</f>
        <v/>
      </c>
    </row>
    <row r="602" customFormat="false" ht="15" hidden="false" customHeight="false" outlineLevel="0" collapsed="false">
      <c r="A602" s="28" t="str">
        <f aca="false">IF($M602=0,"",ROW()-4)</f>
        <v/>
      </c>
      <c r="B602" s="26" t="str">
        <f aca="false">IF($M602=0,"","OPERATIONS")</f>
        <v/>
      </c>
      <c r="C602" s="26" t="str">
        <f aca="false">IF($M602=0,"",OPERATIONS!$A302)</f>
        <v/>
      </c>
      <c r="D602" s="31" t="str">
        <f aca="false">IF($M602=0,"",OPERATIONS!$B302)</f>
        <v/>
      </c>
      <c r="E602" s="26" t="str">
        <f aca="false">IF($M602=0,"",IF($M602&lt;0,"SORTIE","ENTREE"))</f>
        <v/>
      </c>
      <c r="F602" s="26" t="str">
        <f aca="false">IF($M602=0,"",OPERATIONS!$C302)</f>
        <v/>
      </c>
      <c r="G602" s="26" t="str">
        <f aca="false">IF($M602=0,"",OPERATIONS!$D302)</f>
        <v/>
      </c>
      <c r="H602" s="26" t="str">
        <f aca="false">IF($G602="","",IFERROR(INDEX(LOT_EXTE,MATCH($G602,LOT_KEY,0)),""))</f>
        <v/>
      </c>
      <c r="I602" s="26" t="str">
        <f aca="false">IF($M602=0,"",OPERATIONS!$F302)</f>
        <v/>
      </c>
      <c r="J602" s="26" t="str">
        <f aca="false">IF($I602="","",IFERROR(INDEX(EMPL_CLASSE,MATCH($I602,EMPL_KEY,0)),""))</f>
        <v/>
      </c>
      <c r="K602" s="26" t="str">
        <f aca="false">IF($M602=0,"",OPERATIONS!$K302)</f>
        <v/>
      </c>
      <c r="L602" s="26" t="str">
        <f aca="false">IF($G602="","",IF(IFERROR(INDEX(LOT_ETAT,MATCH($G602,LOT_KEY,0)),"")="","",INDEX(LOT_ETAT,MATCH($G602,LOT_KEY,0))))</f>
        <v/>
      </c>
      <c r="M602" s="73" t="n">
        <f aca="false">IF(OR(OPERATIONS!$O302=0,OPERATIONS!$C302="CONSOMMATION"),0,OPERATIONS!$G302)</f>
        <v>0</v>
      </c>
      <c r="N602" s="73" t="n">
        <f aca="false">IF($M602=0,0,OPERATIONS!$R302*$M602)</f>
        <v>0</v>
      </c>
      <c r="O602" s="26" t="str">
        <f aca="false">IF($M602=0,"",OPERATIONS!$Q302)</f>
        <v/>
      </c>
      <c r="P602" s="26" t="str">
        <f aca="false">IF($G602="","",IF($G602=R_LOT,COUNTIF($G$5:$G602,R_LOT),""))</f>
        <v/>
      </c>
    </row>
    <row r="603" customFormat="false" ht="15" hidden="false" customHeight="false" outlineLevel="0" collapsed="false">
      <c r="A603" s="28" t="str">
        <f aca="false">IF($M603=0,"",ROW()-4)</f>
        <v/>
      </c>
      <c r="B603" s="26" t="str">
        <f aca="false">IF($M603=0,"","OPERATIONS")</f>
        <v/>
      </c>
      <c r="C603" s="26" t="str">
        <f aca="false">IF($M603=0,"",OPERATIONS!$A303)</f>
        <v/>
      </c>
      <c r="D603" s="31" t="str">
        <f aca="false">IF($M603=0,"",OPERATIONS!$B303)</f>
        <v/>
      </c>
      <c r="E603" s="26" t="str">
        <f aca="false">IF($M603=0,"",IF($M603&lt;0,"SORTIE","ENTREE"))</f>
        <v/>
      </c>
      <c r="F603" s="26" t="str">
        <f aca="false">IF($M603=0,"",OPERATIONS!$C303)</f>
        <v/>
      </c>
      <c r="G603" s="26" t="str">
        <f aca="false">IF($M603=0,"",OPERATIONS!$D303)</f>
        <v/>
      </c>
      <c r="H603" s="26" t="str">
        <f aca="false">IF($G603="","",IFERROR(INDEX(LOT_EXTE,MATCH($G603,LOT_KEY,0)),""))</f>
        <v/>
      </c>
      <c r="I603" s="26" t="str">
        <f aca="false">IF($M603=0,"",OPERATIONS!$F303)</f>
        <v/>
      </c>
      <c r="J603" s="26" t="str">
        <f aca="false">IF($I603="","",IFERROR(INDEX(EMPL_CLASSE,MATCH($I603,EMPL_KEY,0)),""))</f>
        <v/>
      </c>
      <c r="K603" s="26" t="str">
        <f aca="false">IF($M603=0,"",OPERATIONS!$K303)</f>
        <v/>
      </c>
      <c r="L603" s="26" t="str">
        <f aca="false">IF($G603="","",IF(IFERROR(INDEX(LOT_ETAT,MATCH($G603,LOT_KEY,0)),"")="","",INDEX(LOT_ETAT,MATCH($G603,LOT_KEY,0))))</f>
        <v/>
      </c>
      <c r="M603" s="73" t="n">
        <f aca="false">IF(OR(OPERATIONS!$O303=0,OPERATIONS!$C303="CONSOMMATION"),0,OPERATIONS!$G303)</f>
        <v>0</v>
      </c>
      <c r="N603" s="73" t="n">
        <f aca="false">IF($M603=0,0,OPERATIONS!$R303*$M603)</f>
        <v>0</v>
      </c>
      <c r="O603" s="26" t="str">
        <f aca="false">IF($M603=0,"",OPERATIONS!$Q303)</f>
        <v/>
      </c>
      <c r="P603" s="26" t="str">
        <f aca="false">IF($G603="","",IF($G603=R_LOT,COUNTIF($G$5:$G603,R_LOT),""))</f>
        <v/>
      </c>
    </row>
    <row r="604" customFormat="false" ht="15" hidden="false" customHeight="false" outlineLevel="0" collapsed="false">
      <c r="A604" s="28" t="str">
        <f aca="false">IF($M604=0,"",ROW()-4)</f>
        <v/>
      </c>
      <c r="B604" s="26" t="str">
        <f aca="false">IF($M604=0,"","OPERATIONS")</f>
        <v/>
      </c>
      <c r="C604" s="26" t="str">
        <f aca="false">IF($M604=0,"",OPERATIONS!$A304)</f>
        <v/>
      </c>
      <c r="D604" s="31" t="str">
        <f aca="false">IF($M604=0,"",OPERATIONS!$B304)</f>
        <v/>
      </c>
      <c r="E604" s="26" t="str">
        <f aca="false">IF($M604=0,"",IF($M604&lt;0,"SORTIE","ENTREE"))</f>
        <v/>
      </c>
      <c r="F604" s="26" t="str">
        <f aca="false">IF($M604=0,"",OPERATIONS!$C304)</f>
        <v/>
      </c>
      <c r="G604" s="26" t="str">
        <f aca="false">IF($M604=0,"",OPERATIONS!$D304)</f>
        <v/>
      </c>
      <c r="H604" s="26" t="str">
        <f aca="false">IF($G604="","",IFERROR(INDEX(LOT_EXTE,MATCH($G604,LOT_KEY,0)),""))</f>
        <v/>
      </c>
      <c r="I604" s="26" t="str">
        <f aca="false">IF($M604=0,"",OPERATIONS!$F304)</f>
        <v/>
      </c>
      <c r="J604" s="26" t="str">
        <f aca="false">IF($I604="","",IFERROR(INDEX(EMPL_CLASSE,MATCH($I604,EMPL_KEY,0)),""))</f>
        <v/>
      </c>
      <c r="K604" s="26" t="str">
        <f aca="false">IF($M604=0,"",OPERATIONS!$K304)</f>
        <v/>
      </c>
      <c r="L604" s="26" t="str">
        <f aca="false">IF($G604="","",IF(IFERROR(INDEX(LOT_ETAT,MATCH($G604,LOT_KEY,0)),"")="","",INDEX(LOT_ETAT,MATCH($G604,LOT_KEY,0))))</f>
        <v/>
      </c>
      <c r="M604" s="73" t="n">
        <f aca="false">IF(OR(OPERATIONS!$O304=0,OPERATIONS!$C304="CONSOMMATION"),0,OPERATIONS!$G304)</f>
        <v>0</v>
      </c>
      <c r="N604" s="73" t="n">
        <f aca="false">IF($M604=0,0,OPERATIONS!$R304*$M604)</f>
        <v>0</v>
      </c>
      <c r="O604" s="26" t="str">
        <f aca="false">IF($M604=0,"",OPERATIONS!$Q304)</f>
        <v/>
      </c>
      <c r="P604" s="26" t="str">
        <f aca="false">IF($G604="","",IF($G604=R_LOT,COUNTIF($G$5:$G604,R_LOT),""))</f>
        <v/>
      </c>
    </row>
    <row r="605" customFormat="false" ht="15" hidden="false" customHeight="false" outlineLevel="0" collapsed="false">
      <c r="A605" s="28" t="n">
        <f aca="false">IF($M605=0,"",ROW()-4)</f>
        <v>601</v>
      </c>
      <c r="B605" s="26" t="str">
        <f aca="false">IF($M605=0,"","SOUS-TRAITANCE")</f>
        <v>SOUS-TRAITANCE</v>
      </c>
      <c r="C605" s="26" t="str">
        <f aca="false">IF($M605=0,"",SOUS_TRAITANCE!$A5)</f>
        <v>ST-001</v>
      </c>
      <c r="D605" s="31" t="n">
        <f aca="false">IF($M605=0,"",SOUS_TRAITANCE!$B5)</f>
        <v>46246</v>
      </c>
      <c r="E605" s="26" t="str">
        <f aca="false">IF($M605=0,"","SORTIE")</f>
        <v>SORTIE</v>
      </c>
      <c r="F605" s="26" t="str">
        <f aca="false">IF($M605=0,"","ENVOI SOUS-TRAITANCE")</f>
        <v>ENVOI SOUS-TRAITANCE</v>
      </c>
      <c r="G605" s="26" t="str">
        <f aca="false">IF($M605=0,"",SOUS_TRAITANCE!$E5)</f>
        <v>255</v>
      </c>
      <c r="H605" s="26" t="str">
        <f aca="false">IF($G605="","",IFERROR(INDEX(LOT_EXTE,MATCH($G605,LOT_KEY,0)),""))</f>
        <v>L-EXT-255</v>
      </c>
      <c r="I605" s="26" t="str">
        <f aca="false">IF($M605=0,"",SOUS_TRAITANCE!$F5)</f>
        <v>OCEAMIC 2</v>
      </c>
      <c r="J605" s="26" t="str">
        <f aca="false">IF($I605="","",IFERROR(INDEX(EMPL_CLASSE,MATCH($I605,EMPL_KEY,0)),""))</f>
        <v>INTERNE</v>
      </c>
      <c r="K605" s="26" t="str">
        <f aca="false">IF($M605=0,"",SOUS_TRAITANCE!$P5)</f>
        <v>Sardine</v>
      </c>
      <c r="L605" s="26" t="str">
        <f aca="false">IF($G605="","",IF(IFERROR(INDEX(LOT_ETAT,MATCH($G605,LOT_KEY,0)),"")="","",INDEX(LOT_ETAT,MATCH($G605,LOT_KEY,0))))</f>
        <v>ENTIER</v>
      </c>
      <c r="M605" s="73" t="n">
        <f aca="false">IF(OR(SOUS_TRAITANCE!$R5=0,SOUS_TRAITANCE!$D5&lt;&gt;"STOCK EXISTANT"),0,-SOUS_TRAITANCE!$G5)</f>
        <v>-500</v>
      </c>
      <c r="N605" s="73" t="n">
        <f aca="false">IF($M605=0,0,SOUS_TRAITANCE!$Y5*$M605)</f>
        <v>-500</v>
      </c>
      <c r="O605" s="26" t="str">
        <f aca="false">IF($M605=0,"",SOUS_TRAITANCE!$X5)</f>
        <v>A JUSTIFIER</v>
      </c>
      <c r="P605" s="26" t="n">
        <f aca="false">IF($G605="","",IF($G605=R_LOT,COUNTIF($G$5:$G605,R_LOT),""))</f>
        <v>2</v>
      </c>
    </row>
    <row r="606" customFormat="false" ht="15" hidden="false" customHeight="false" outlineLevel="0" collapsed="false">
      <c r="A606" s="28" t="str">
        <f aca="false">IF($M606=0,"",ROW()-4)</f>
        <v/>
      </c>
      <c r="B606" s="26" t="str">
        <f aca="false">IF($M606=0,"","SOUS-TRAITANCE")</f>
        <v/>
      </c>
      <c r="C606" s="26" t="str">
        <f aca="false">IF($M606=0,"",SOUS_TRAITANCE!$A6)</f>
        <v/>
      </c>
      <c r="D606" s="31" t="str">
        <f aca="false">IF($M606=0,"",SOUS_TRAITANCE!$B6)</f>
        <v/>
      </c>
      <c r="E606" s="26" t="str">
        <f aca="false">IF($M606=0,"","SORTIE")</f>
        <v/>
      </c>
      <c r="F606" s="26" t="str">
        <f aca="false">IF($M606=0,"","ENVOI SOUS-TRAITANCE")</f>
        <v/>
      </c>
      <c r="G606" s="26" t="str">
        <f aca="false">IF($M606=0,"",SOUS_TRAITANCE!$E6)</f>
        <v/>
      </c>
      <c r="H606" s="26" t="str">
        <f aca="false">IF($G606="","",IFERROR(INDEX(LOT_EXTE,MATCH($G606,LOT_KEY,0)),""))</f>
        <v/>
      </c>
      <c r="I606" s="26" t="str">
        <f aca="false">IF($M606=0,"",SOUS_TRAITANCE!$F6)</f>
        <v/>
      </c>
      <c r="J606" s="26" t="str">
        <f aca="false">IF($I606="","",IFERROR(INDEX(EMPL_CLASSE,MATCH($I606,EMPL_KEY,0)),""))</f>
        <v/>
      </c>
      <c r="K606" s="26" t="str">
        <f aca="false">IF($M606=0,"",SOUS_TRAITANCE!$P6)</f>
        <v/>
      </c>
      <c r="L606" s="26" t="str">
        <f aca="false">IF($G606="","",IF(IFERROR(INDEX(LOT_ETAT,MATCH($G606,LOT_KEY,0)),"")="","",INDEX(LOT_ETAT,MATCH($G606,LOT_KEY,0))))</f>
        <v/>
      </c>
      <c r="M606" s="73" t="n">
        <f aca="false">IF(OR(SOUS_TRAITANCE!$R6=0,SOUS_TRAITANCE!$D6&lt;&gt;"STOCK EXISTANT"),0,-SOUS_TRAITANCE!$G6)</f>
        <v>0</v>
      </c>
      <c r="N606" s="73" t="n">
        <f aca="false">IF($M606=0,0,SOUS_TRAITANCE!$Y6*$M606)</f>
        <v>0</v>
      </c>
      <c r="O606" s="26" t="str">
        <f aca="false">IF($M606=0,"",SOUS_TRAITANCE!$X6)</f>
        <v/>
      </c>
      <c r="P606" s="26" t="str">
        <f aca="false">IF($G606="","",IF($G606=R_LOT,COUNTIF($G$5:$G606,R_LOT),""))</f>
        <v/>
      </c>
    </row>
    <row r="607" customFormat="false" ht="15" hidden="false" customHeight="false" outlineLevel="0" collapsed="false">
      <c r="A607" s="28" t="n">
        <f aca="false">IF($M607=0,"",ROW()-4)</f>
        <v>603</v>
      </c>
      <c r="B607" s="26" t="str">
        <f aca="false">IF($M607=0,"","SOUS-TRAITANCE")</f>
        <v>SOUS-TRAITANCE</v>
      </c>
      <c r="C607" s="26" t="str">
        <f aca="false">IF($M607=0,"",SOUS_TRAITANCE!$A7)</f>
        <v>ST-003</v>
      </c>
      <c r="D607" s="31" t="n">
        <f aca="false">IF($M607=0,"",SOUS_TRAITANCE!$B7)</f>
        <v>46249</v>
      </c>
      <c r="E607" s="26" t="str">
        <f aca="false">IF($M607=0,"","SORTIE")</f>
        <v>SORTIE</v>
      </c>
      <c r="F607" s="26" t="str">
        <f aca="false">IF($M607=0,"","ENVOI SOUS-TRAITANCE")</f>
        <v>ENVOI SOUS-TRAITANCE</v>
      </c>
      <c r="G607" s="26" t="str">
        <f aca="false">IF($M607=0,"",SOUS_TRAITANCE!$E7)</f>
        <v>301</v>
      </c>
      <c r="H607" s="26" t="str">
        <f aca="false">IF($G607="","",IFERROR(INDEX(LOT_EXTE,MATCH($G607,LOT_KEY,0)),""))</f>
        <v>L-EXT-301</v>
      </c>
      <c r="I607" s="26" t="str">
        <f aca="false">IF($M607=0,"",SOUS_TRAITANCE!$F7)</f>
        <v>OCEAMIC 2</v>
      </c>
      <c r="J607" s="26" t="str">
        <f aca="false">IF($I607="","",IFERROR(INDEX(EMPL_CLASSE,MATCH($I607,EMPL_KEY,0)),""))</f>
        <v>INTERNE</v>
      </c>
      <c r="K607" s="26" t="str">
        <f aca="false">IF($M607=0,"",SOUS_TRAITANCE!$P7)</f>
        <v>Maquereau</v>
      </c>
      <c r="L607" s="26" t="str">
        <f aca="false">IF($G607="","",IF(IFERROR(INDEX(LOT_ETAT,MATCH($G607,LOT_KEY,0)),"")="","",INDEX(LOT_ETAT,MATCH($G607,LOT_KEY,0))))</f>
        <v>ENTIER</v>
      </c>
      <c r="M607" s="73" t="n">
        <f aca="false">IF(OR(SOUS_TRAITANCE!$R7=0,SOUS_TRAITANCE!$D7&lt;&gt;"STOCK EXISTANT"),0,-SOUS_TRAITANCE!$G7)</f>
        <v>-200</v>
      </c>
      <c r="N607" s="73" t="n">
        <f aca="false">IF($M607=0,0,SOUS_TRAITANCE!$Y7*$M607)</f>
        <v>-200</v>
      </c>
      <c r="O607" s="26" t="str">
        <f aca="false">IF($M607=0,"",SOUS_TRAITANCE!$X7)</f>
        <v>EN COURS</v>
      </c>
      <c r="P607" s="26" t="str">
        <f aca="false">IF($G607="","",IF($G607=R_LOT,COUNTIF($G$5:$G607,R_LOT),""))</f>
        <v/>
      </c>
    </row>
    <row r="608" customFormat="false" ht="15" hidden="false" customHeight="false" outlineLevel="0" collapsed="false">
      <c r="A608" s="28" t="str">
        <f aca="false">IF($M608=0,"",ROW()-4)</f>
        <v/>
      </c>
      <c r="B608" s="26" t="str">
        <f aca="false">IF($M608=0,"","SOUS-TRAITANCE")</f>
        <v/>
      </c>
      <c r="C608" s="26" t="str">
        <f aca="false">IF($M608=0,"",SOUS_TRAITANCE!$A8)</f>
        <v/>
      </c>
      <c r="D608" s="31" t="str">
        <f aca="false">IF($M608=0,"",SOUS_TRAITANCE!$B8)</f>
        <v/>
      </c>
      <c r="E608" s="26" t="str">
        <f aca="false">IF($M608=0,"","SORTIE")</f>
        <v/>
      </c>
      <c r="F608" s="26" t="str">
        <f aca="false">IF($M608=0,"","ENVOI SOUS-TRAITANCE")</f>
        <v/>
      </c>
      <c r="G608" s="26" t="str">
        <f aca="false">IF($M608=0,"",SOUS_TRAITANCE!$E8)</f>
        <v/>
      </c>
      <c r="H608" s="26" t="str">
        <f aca="false">IF($G608="","",IFERROR(INDEX(LOT_EXTE,MATCH($G608,LOT_KEY,0)),""))</f>
        <v/>
      </c>
      <c r="I608" s="26" t="str">
        <f aca="false">IF($M608=0,"",SOUS_TRAITANCE!$F8)</f>
        <v/>
      </c>
      <c r="J608" s="26" t="str">
        <f aca="false">IF($I608="","",IFERROR(INDEX(EMPL_CLASSE,MATCH($I608,EMPL_KEY,0)),""))</f>
        <v/>
      </c>
      <c r="K608" s="26" t="str">
        <f aca="false">IF($M608=0,"",SOUS_TRAITANCE!$P8)</f>
        <v/>
      </c>
      <c r="L608" s="26" t="str">
        <f aca="false">IF($G608="","",IF(IFERROR(INDEX(LOT_ETAT,MATCH($G608,LOT_KEY,0)),"")="","",INDEX(LOT_ETAT,MATCH($G608,LOT_KEY,0))))</f>
        <v/>
      </c>
      <c r="M608" s="73" t="n">
        <f aca="false">IF(OR(SOUS_TRAITANCE!$R8=0,SOUS_TRAITANCE!$D8&lt;&gt;"STOCK EXISTANT"),0,-SOUS_TRAITANCE!$G8)</f>
        <v>0</v>
      </c>
      <c r="N608" s="73" t="n">
        <f aca="false">IF($M608=0,0,SOUS_TRAITANCE!$Y8*$M608)</f>
        <v>0</v>
      </c>
      <c r="O608" s="26" t="str">
        <f aca="false">IF($M608=0,"",SOUS_TRAITANCE!$X8)</f>
        <v/>
      </c>
      <c r="P608" s="26" t="str">
        <f aca="false">IF($G608="","",IF($G608=R_LOT,COUNTIF($G$5:$G608,R_LOT),""))</f>
        <v/>
      </c>
    </row>
    <row r="609" customFormat="false" ht="15" hidden="false" customHeight="false" outlineLevel="0" collapsed="false">
      <c r="A609" s="28" t="str">
        <f aca="false">IF($M609=0,"",ROW()-4)</f>
        <v/>
      </c>
      <c r="B609" s="26" t="str">
        <f aca="false">IF($M609=0,"","SOUS-TRAITANCE")</f>
        <v/>
      </c>
      <c r="C609" s="26" t="str">
        <f aca="false">IF($M609=0,"",SOUS_TRAITANCE!$A9)</f>
        <v/>
      </c>
      <c r="D609" s="31" t="str">
        <f aca="false">IF($M609=0,"",SOUS_TRAITANCE!$B9)</f>
        <v/>
      </c>
      <c r="E609" s="26" t="str">
        <f aca="false">IF($M609=0,"","SORTIE")</f>
        <v/>
      </c>
      <c r="F609" s="26" t="str">
        <f aca="false">IF($M609=0,"","ENVOI SOUS-TRAITANCE")</f>
        <v/>
      </c>
      <c r="G609" s="26" t="str">
        <f aca="false">IF($M609=0,"",SOUS_TRAITANCE!$E9)</f>
        <v/>
      </c>
      <c r="H609" s="26" t="str">
        <f aca="false">IF($G609="","",IFERROR(INDEX(LOT_EXTE,MATCH($G609,LOT_KEY,0)),""))</f>
        <v/>
      </c>
      <c r="I609" s="26" t="str">
        <f aca="false">IF($M609=0,"",SOUS_TRAITANCE!$F9)</f>
        <v/>
      </c>
      <c r="J609" s="26" t="str">
        <f aca="false">IF($I609="","",IFERROR(INDEX(EMPL_CLASSE,MATCH($I609,EMPL_KEY,0)),""))</f>
        <v/>
      </c>
      <c r="K609" s="26" t="str">
        <f aca="false">IF($M609=0,"",SOUS_TRAITANCE!$P9)</f>
        <v/>
      </c>
      <c r="L609" s="26" t="str">
        <f aca="false">IF($G609="","",IF(IFERROR(INDEX(LOT_ETAT,MATCH($G609,LOT_KEY,0)),"")="","",INDEX(LOT_ETAT,MATCH($G609,LOT_KEY,0))))</f>
        <v/>
      </c>
      <c r="M609" s="73" t="n">
        <f aca="false">IF(OR(SOUS_TRAITANCE!$R9=0,SOUS_TRAITANCE!$D9&lt;&gt;"STOCK EXISTANT"),0,-SOUS_TRAITANCE!$G9)</f>
        <v>0</v>
      </c>
      <c r="N609" s="73" t="n">
        <f aca="false">IF($M609=0,0,SOUS_TRAITANCE!$Y9*$M609)</f>
        <v>0</v>
      </c>
      <c r="O609" s="26" t="str">
        <f aca="false">IF($M609=0,"",SOUS_TRAITANCE!$X9)</f>
        <v/>
      </c>
      <c r="P609" s="26" t="str">
        <f aca="false">IF($G609="","",IF($G609=R_LOT,COUNTIF($G$5:$G609,R_LOT),""))</f>
        <v/>
      </c>
    </row>
    <row r="610" customFormat="false" ht="15" hidden="false" customHeight="false" outlineLevel="0" collapsed="false">
      <c r="A610" s="28" t="str">
        <f aca="false">IF($M610=0,"",ROW()-4)</f>
        <v/>
      </c>
      <c r="B610" s="26" t="str">
        <f aca="false">IF($M610=0,"","SOUS-TRAITANCE")</f>
        <v/>
      </c>
      <c r="C610" s="26" t="str">
        <f aca="false">IF($M610=0,"",SOUS_TRAITANCE!$A10)</f>
        <v/>
      </c>
      <c r="D610" s="31" t="str">
        <f aca="false">IF($M610=0,"",SOUS_TRAITANCE!$B10)</f>
        <v/>
      </c>
      <c r="E610" s="26" t="str">
        <f aca="false">IF($M610=0,"","SORTIE")</f>
        <v/>
      </c>
      <c r="F610" s="26" t="str">
        <f aca="false">IF($M610=0,"","ENVOI SOUS-TRAITANCE")</f>
        <v/>
      </c>
      <c r="G610" s="26" t="str">
        <f aca="false">IF($M610=0,"",SOUS_TRAITANCE!$E10)</f>
        <v/>
      </c>
      <c r="H610" s="26" t="str">
        <f aca="false">IF($G610="","",IFERROR(INDEX(LOT_EXTE,MATCH($G610,LOT_KEY,0)),""))</f>
        <v/>
      </c>
      <c r="I610" s="26" t="str">
        <f aca="false">IF($M610=0,"",SOUS_TRAITANCE!$F10)</f>
        <v/>
      </c>
      <c r="J610" s="26" t="str">
        <f aca="false">IF($I610="","",IFERROR(INDEX(EMPL_CLASSE,MATCH($I610,EMPL_KEY,0)),""))</f>
        <v/>
      </c>
      <c r="K610" s="26" t="str">
        <f aca="false">IF($M610=0,"",SOUS_TRAITANCE!$P10)</f>
        <v/>
      </c>
      <c r="L610" s="26" t="str">
        <f aca="false">IF($G610="","",IF(IFERROR(INDEX(LOT_ETAT,MATCH($G610,LOT_KEY,0)),"")="","",INDEX(LOT_ETAT,MATCH($G610,LOT_KEY,0))))</f>
        <v/>
      </c>
      <c r="M610" s="73" t="n">
        <f aca="false">IF(OR(SOUS_TRAITANCE!$R10=0,SOUS_TRAITANCE!$D10&lt;&gt;"STOCK EXISTANT"),0,-SOUS_TRAITANCE!$G10)</f>
        <v>0</v>
      </c>
      <c r="N610" s="73" t="n">
        <f aca="false">IF($M610=0,0,SOUS_TRAITANCE!$Y10*$M610)</f>
        <v>0</v>
      </c>
      <c r="O610" s="26" t="str">
        <f aca="false">IF($M610=0,"",SOUS_TRAITANCE!$X10)</f>
        <v/>
      </c>
      <c r="P610" s="26" t="str">
        <f aca="false">IF($G610="","",IF($G610=R_LOT,COUNTIF($G$5:$G610,R_LOT),""))</f>
        <v/>
      </c>
    </row>
    <row r="611" customFormat="false" ht="15" hidden="false" customHeight="false" outlineLevel="0" collapsed="false">
      <c r="A611" s="28" t="str">
        <f aca="false">IF($M611=0,"",ROW()-4)</f>
        <v/>
      </c>
      <c r="B611" s="26" t="str">
        <f aca="false">IF($M611=0,"","SOUS-TRAITANCE")</f>
        <v/>
      </c>
      <c r="C611" s="26" t="str">
        <f aca="false">IF($M611=0,"",SOUS_TRAITANCE!$A11)</f>
        <v/>
      </c>
      <c r="D611" s="31" t="str">
        <f aca="false">IF($M611=0,"",SOUS_TRAITANCE!$B11)</f>
        <v/>
      </c>
      <c r="E611" s="26" t="str">
        <f aca="false">IF($M611=0,"","SORTIE")</f>
        <v/>
      </c>
      <c r="F611" s="26" t="str">
        <f aca="false">IF($M611=0,"","ENVOI SOUS-TRAITANCE")</f>
        <v/>
      </c>
      <c r="G611" s="26" t="str">
        <f aca="false">IF($M611=0,"",SOUS_TRAITANCE!$E11)</f>
        <v/>
      </c>
      <c r="H611" s="26" t="str">
        <f aca="false">IF($G611="","",IFERROR(INDEX(LOT_EXTE,MATCH($G611,LOT_KEY,0)),""))</f>
        <v/>
      </c>
      <c r="I611" s="26" t="str">
        <f aca="false">IF($M611=0,"",SOUS_TRAITANCE!$F11)</f>
        <v/>
      </c>
      <c r="J611" s="26" t="str">
        <f aca="false">IF($I611="","",IFERROR(INDEX(EMPL_CLASSE,MATCH($I611,EMPL_KEY,0)),""))</f>
        <v/>
      </c>
      <c r="K611" s="26" t="str">
        <f aca="false">IF($M611=0,"",SOUS_TRAITANCE!$P11)</f>
        <v/>
      </c>
      <c r="L611" s="26" t="str">
        <f aca="false">IF($G611="","",IF(IFERROR(INDEX(LOT_ETAT,MATCH($G611,LOT_KEY,0)),"")="","",INDEX(LOT_ETAT,MATCH($G611,LOT_KEY,0))))</f>
        <v/>
      </c>
      <c r="M611" s="73" t="n">
        <f aca="false">IF(OR(SOUS_TRAITANCE!$R11=0,SOUS_TRAITANCE!$D11&lt;&gt;"STOCK EXISTANT"),0,-SOUS_TRAITANCE!$G11)</f>
        <v>0</v>
      </c>
      <c r="N611" s="73" t="n">
        <f aca="false">IF($M611=0,0,SOUS_TRAITANCE!$Y11*$M611)</f>
        <v>0</v>
      </c>
      <c r="O611" s="26" t="str">
        <f aca="false">IF($M611=0,"",SOUS_TRAITANCE!$X11)</f>
        <v/>
      </c>
      <c r="P611" s="26" t="str">
        <f aca="false">IF($G611="","",IF($G611=R_LOT,COUNTIF($G$5:$G611,R_LOT),""))</f>
        <v/>
      </c>
    </row>
    <row r="612" customFormat="false" ht="15" hidden="false" customHeight="false" outlineLevel="0" collapsed="false">
      <c r="A612" s="28" t="str">
        <f aca="false">IF($M612=0,"",ROW()-4)</f>
        <v/>
      </c>
      <c r="B612" s="26" t="str">
        <f aca="false">IF($M612=0,"","SOUS-TRAITANCE")</f>
        <v/>
      </c>
      <c r="C612" s="26" t="str">
        <f aca="false">IF($M612=0,"",SOUS_TRAITANCE!$A12)</f>
        <v/>
      </c>
      <c r="D612" s="31" t="str">
        <f aca="false">IF($M612=0,"",SOUS_TRAITANCE!$B12)</f>
        <v/>
      </c>
      <c r="E612" s="26" t="str">
        <f aca="false">IF($M612=0,"","SORTIE")</f>
        <v/>
      </c>
      <c r="F612" s="26" t="str">
        <f aca="false">IF($M612=0,"","ENVOI SOUS-TRAITANCE")</f>
        <v/>
      </c>
      <c r="G612" s="26" t="str">
        <f aca="false">IF($M612=0,"",SOUS_TRAITANCE!$E12)</f>
        <v/>
      </c>
      <c r="H612" s="26" t="str">
        <f aca="false">IF($G612="","",IFERROR(INDEX(LOT_EXTE,MATCH($G612,LOT_KEY,0)),""))</f>
        <v/>
      </c>
      <c r="I612" s="26" t="str">
        <f aca="false">IF($M612=0,"",SOUS_TRAITANCE!$F12)</f>
        <v/>
      </c>
      <c r="J612" s="26" t="str">
        <f aca="false">IF($I612="","",IFERROR(INDEX(EMPL_CLASSE,MATCH($I612,EMPL_KEY,0)),""))</f>
        <v/>
      </c>
      <c r="K612" s="26" t="str">
        <f aca="false">IF($M612=0,"",SOUS_TRAITANCE!$P12)</f>
        <v/>
      </c>
      <c r="L612" s="26" t="str">
        <f aca="false">IF($G612="","",IF(IFERROR(INDEX(LOT_ETAT,MATCH($G612,LOT_KEY,0)),"")="","",INDEX(LOT_ETAT,MATCH($G612,LOT_KEY,0))))</f>
        <v/>
      </c>
      <c r="M612" s="73" t="n">
        <f aca="false">IF(OR(SOUS_TRAITANCE!$R12=0,SOUS_TRAITANCE!$D12&lt;&gt;"STOCK EXISTANT"),0,-SOUS_TRAITANCE!$G12)</f>
        <v>0</v>
      </c>
      <c r="N612" s="73" t="n">
        <f aca="false">IF($M612=0,0,SOUS_TRAITANCE!$Y12*$M612)</f>
        <v>0</v>
      </c>
      <c r="O612" s="26" t="str">
        <f aca="false">IF($M612=0,"",SOUS_TRAITANCE!$X12)</f>
        <v/>
      </c>
      <c r="P612" s="26" t="str">
        <f aca="false">IF($G612="","",IF($G612=R_LOT,COUNTIF($G$5:$G612,R_LOT),""))</f>
        <v/>
      </c>
    </row>
    <row r="613" customFormat="false" ht="15" hidden="false" customHeight="false" outlineLevel="0" collapsed="false">
      <c r="A613" s="28" t="str">
        <f aca="false">IF($M613=0,"",ROW()-4)</f>
        <v/>
      </c>
      <c r="B613" s="26" t="str">
        <f aca="false">IF($M613=0,"","SOUS-TRAITANCE")</f>
        <v/>
      </c>
      <c r="C613" s="26" t="str">
        <f aca="false">IF($M613=0,"",SOUS_TRAITANCE!$A13)</f>
        <v/>
      </c>
      <c r="D613" s="31" t="str">
        <f aca="false">IF($M613=0,"",SOUS_TRAITANCE!$B13)</f>
        <v/>
      </c>
      <c r="E613" s="26" t="str">
        <f aca="false">IF($M613=0,"","SORTIE")</f>
        <v/>
      </c>
      <c r="F613" s="26" t="str">
        <f aca="false">IF($M613=0,"","ENVOI SOUS-TRAITANCE")</f>
        <v/>
      </c>
      <c r="G613" s="26" t="str">
        <f aca="false">IF($M613=0,"",SOUS_TRAITANCE!$E13)</f>
        <v/>
      </c>
      <c r="H613" s="26" t="str">
        <f aca="false">IF($G613="","",IFERROR(INDEX(LOT_EXTE,MATCH($G613,LOT_KEY,0)),""))</f>
        <v/>
      </c>
      <c r="I613" s="26" t="str">
        <f aca="false">IF($M613=0,"",SOUS_TRAITANCE!$F13)</f>
        <v/>
      </c>
      <c r="J613" s="26" t="str">
        <f aca="false">IF($I613="","",IFERROR(INDEX(EMPL_CLASSE,MATCH($I613,EMPL_KEY,0)),""))</f>
        <v/>
      </c>
      <c r="K613" s="26" t="str">
        <f aca="false">IF($M613=0,"",SOUS_TRAITANCE!$P13)</f>
        <v/>
      </c>
      <c r="L613" s="26" t="str">
        <f aca="false">IF($G613="","",IF(IFERROR(INDEX(LOT_ETAT,MATCH($G613,LOT_KEY,0)),"")="","",INDEX(LOT_ETAT,MATCH($G613,LOT_KEY,0))))</f>
        <v/>
      </c>
      <c r="M613" s="73" t="n">
        <f aca="false">IF(OR(SOUS_TRAITANCE!$R13=0,SOUS_TRAITANCE!$D13&lt;&gt;"STOCK EXISTANT"),0,-SOUS_TRAITANCE!$G13)</f>
        <v>0</v>
      </c>
      <c r="N613" s="73" t="n">
        <f aca="false">IF($M613=0,0,SOUS_TRAITANCE!$Y13*$M613)</f>
        <v>0</v>
      </c>
      <c r="O613" s="26" t="str">
        <f aca="false">IF($M613=0,"",SOUS_TRAITANCE!$X13)</f>
        <v/>
      </c>
      <c r="P613" s="26" t="str">
        <f aca="false">IF($G613="","",IF($G613=R_LOT,COUNTIF($G$5:$G613,R_LOT),""))</f>
        <v/>
      </c>
    </row>
    <row r="614" customFormat="false" ht="15" hidden="false" customHeight="false" outlineLevel="0" collapsed="false">
      <c r="A614" s="28" t="str">
        <f aca="false">IF($M614=0,"",ROW()-4)</f>
        <v/>
      </c>
      <c r="B614" s="26" t="str">
        <f aca="false">IF($M614=0,"","SOUS-TRAITANCE")</f>
        <v/>
      </c>
      <c r="C614" s="26" t="str">
        <f aca="false">IF($M614=0,"",SOUS_TRAITANCE!$A14)</f>
        <v/>
      </c>
      <c r="D614" s="31" t="str">
        <f aca="false">IF($M614=0,"",SOUS_TRAITANCE!$B14)</f>
        <v/>
      </c>
      <c r="E614" s="26" t="str">
        <f aca="false">IF($M614=0,"","SORTIE")</f>
        <v/>
      </c>
      <c r="F614" s="26" t="str">
        <f aca="false">IF($M614=0,"","ENVOI SOUS-TRAITANCE")</f>
        <v/>
      </c>
      <c r="G614" s="26" t="str">
        <f aca="false">IF($M614=0,"",SOUS_TRAITANCE!$E14)</f>
        <v/>
      </c>
      <c r="H614" s="26" t="str">
        <f aca="false">IF($G614="","",IFERROR(INDEX(LOT_EXTE,MATCH($G614,LOT_KEY,0)),""))</f>
        <v/>
      </c>
      <c r="I614" s="26" t="str">
        <f aca="false">IF($M614=0,"",SOUS_TRAITANCE!$F14)</f>
        <v/>
      </c>
      <c r="J614" s="26" t="str">
        <f aca="false">IF($I614="","",IFERROR(INDEX(EMPL_CLASSE,MATCH($I614,EMPL_KEY,0)),""))</f>
        <v/>
      </c>
      <c r="K614" s="26" t="str">
        <f aca="false">IF($M614=0,"",SOUS_TRAITANCE!$P14)</f>
        <v/>
      </c>
      <c r="L614" s="26" t="str">
        <f aca="false">IF($G614="","",IF(IFERROR(INDEX(LOT_ETAT,MATCH($G614,LOT_KEY,0)),"")="","",INDEX(LOT_ETAT,MATCH($G614,LOT_KEY,0))))</f>
        <v/>
      </c>
      <c r="M614" s="73" t="n">
        <f aca="false">IF(OR(SOUS_TRAITANCE!$R14=0,SOUS_TRAITANCE!$D14&lt;&gt;"STOCK EXISTANT"),0,-SOUS_TRAITANCE!$G14)</f>
        <v>0</v>
      </c>
      <c r="N614" s="73" t="n">
        <f aca="false">IF($M614=0,0,SOUS_TRAITANCE!$Y14*$M614)</f>
        <v>0</v>
      </c>
      <c r="O614" s="26" t="str">
        <f aca="false">IF($M614=0,"",SOUS_TRAITANCE!$X14)</f>
        <v/>
      </c>
      <c r="P614" s="26" t="str">
        <f aca="false">IF($G614="","",IF($G614=R_LOT,COUNTIF($G$5:$G614,R_LOT),""))</f>
        <v/>
      </c>
    </row>
    <row r="615" customFormat="false" ht="15" hidden="false" customHeight="false" outlineLevel="0" collapsed="false">
      <c r="A615" s="28" t="str">
        <f aca="false">IF($M615=0,"",ROW()-4)</f>
        <v/>
      </c>
      <c r="B615" s="26" t="str">
        <f aca="false">IF($M615=0,"","SOUS-TRAITANCE")</f>
        <v/>
      </c>
      <c r="C615" s="26" t="str">
        <f aca="false">IF($M615=0,"",SOUS_TRAITANCE!$A15)</f>
        <v/>
      </c>
      <c r="D615" s="31" t="str">
        <f aca="false">IF($M615=0,"",SOUS_TRAITANCE!$B15)</f>
        <v/>
      </c>
      <c r="E615" s="26" t="str">
        <f aca="false">IF($M615=0,"","SORTIE")</f>
        <v/>
      </c>
      <c r="F615" s="26" t="str">
        <f aca="false">IF($M615=0,"","ENVOI SOUS-TRAITANCE")</f>
        <v/>
      </c>
      <c r="G615" s="26" t="str">
        <f aca="false">IF($M615=0,"",SOUS_TRAITANCE!$E15)</f>
        <v/>
      </c>
      <c r="H615" s="26" t="str">
        <f aca="false">IF($G615="","",IFERROR(INDEX(LOT_EXTE,MATCH($G615,LOT_KEY,0)),""))</f>
        <v/>
      </c>
      <c r="I615" s="26" t="str">
        <f aca="false">IF($M615=0,"",SOUS_TRAITANCE!$F15)</f>
        <v/>
      </c>
      <c r="J615" s="26" t="str">
        <f aca="false">IF($I615="","",IFERROR(INDEX(EMPL_CLASSE,MATCH($I615,EMPL_KEY,0)),""))</f>
        <v/>
      </c>
      <c r="K615" s="26" t="str">
        <f aca="false">IF($M615=0,"",SOUS_TRAITANCE!$P15)</f>
        <v/>
      </c>
      <c r="L615" s="26" t="str">
        <f aca="false">IF($G615="","",IF(IFERROR(INDEX(LOT_ETAT,MATCH($G615,LOT_KEY,0)),"")="","",INDEX(LOT_ETAT,MATCH($G615,LOT_KEY,0))))</f>
        <v/>
      </c>
      <c r="M615" s="73" t="n">
        <f aca="false">IF(OR(SOUS_TRAITANCE!$R15=0,SOUS_TRAITANCE!$D15&lt;&gt;"STOCK EXISTANT"),0,-SOUS_TRAITANCE!$G15)</f>
        <v>0</v>
      </c>
      <c r="N615" s="73" t="n">
        <f aca="false">IF($M615=0,0,SOUS_TRAITANCE!$Y15*$M615)</f>
        <v>0</v>
      </c>
      <c r="O615" s="26" t="str">
        <f aca="false">IF($M615=0,"",SOUS_TRAITANCE!$X15)</f>
        <v/>
      </c>
      <c r="P615" s="26" t="str">
        <f aca="false">IF($G615="","",IF($G615=R_LOT,COUNTIF($G$5:$G615,R_LOT),""))</f>
        <v/>
      </c>
    </row>
    <row r="616" customFormat="false" ht="15" hidden="false" customHeight="false" outlineLevel="0" collapsed="false">
      <c r="A616" s="28" t="str">
        <f aca="false">IF($M616=0,"",ROW()-4)</f>
        <v/>
      </c>
      <c r="B616" s="26" t="str">
        <f aca="false">IF($M616=0,"","SOUS-TRAITANCE")</f>
        <v/>
      </c>
      <c r="C616" s="26" t="str">
        <f aca="false">IF($M616=0,"",SOUS_TRAITANCE!$A16)</f>
        <v/>
      </c>
      <c r="D616" s="31" t="str">
        <f aca="false">IF($M616=0,"",SOUS_TRAITANCE!$B16)</f>
        <v/>
      </c>
      <c r="E616" s="26" t="str">
        <f aca="false">IF($M616=0,"","SORTIE")</f>
        <v/>
      </c>
      <c r="F616" s="26" t="str">
        <f aca="false">IF($M616=0,"","ENVOI SOUS-TRAITANCE")</f>
        <v/>
      </c>
      <c r="G616" s="26" t="str">
        <f aca="false">IF($M616=0,"",SOUS_TRAITANCE!$E16)</f>
        <v/>
      </c>
      <c r="H616" s="26" t="str">
        <f aca="false">IF($G616="","",IFERROR(INDEX(LOT_EXTE,MATCH($G616,LOT_KEY,0)),""))</f>
        <v/>
      </c>
      <c r="I616" s="26" t="str">
        <f aca="false">IF($M616=0,"",SOUS_TRAITANCE!$F16)</f>
        <v/>
      </c>
      <c r="J616" s="26" t="str">
        <f aca="false">IF($I616="","",IFERROR(INDEX(EMPL_CLASSE,MATCH($I616,EMPL_KEY,0)),""))</f>
        <v/>
      </c>
      <c r="K616" s="26" t="str">
        <f aca="false">IF($M616=0,"",SOUS_TRAITANCE!$P16)</f>
        <v/>
      </c>
      <c r="L616" s="26" t="str">
        <f aca="false">IF($G616="","",IF(IFERROR(INDEX(LOT_ETAT,MATCH($G616,LOT_KEY,0)),"")="","",INDEX(LOT_ETAT,MATCH($G616,LOT_KEY,0))))</f>
        <v/>
      </c>
      <c r="M616" s="73" t="n">
        <f aca="false">IF(OR(SOUS_TRAITANCE!$R16=0,SOUS_TRAITANCE!$D16&lt;&gt;"STOCK EXISTANT"),0,-SOUS_TRAITANCE!$G16)</f>
        <v>0</v>
      </c>
      <c r="N616" s="73" t="n">
        <f aca="false">IF($M616=0,0,SOUS_TRAITANCE!$Y16*$M616)</f>
        <v>0</v>
      </c>
      <c r="O616" s="26" t="str">
        <f aca="false">IF($M616=0,"",SOUS_TRAITANCE!$X16)</f>
        <v/>
      </c>
      <c r="P616" s="26" t="str">
        <f aca="false">IF($G616="","",IF($G616=R_LOT,COUNTIF($G$5:$G616,R_LOT),""))</f>
        <v/>
      </c>
    </row>
    <row r="617" customFormat="false" ht="15" hidden="false" customHeight="false" outlineLevel="0" collapsed="false">
      <c r="A617" s="28" t="str">
        <f aca="false">IF($M617=0,"",ROW()-4)</f>
        <v/>
      </c>
      <c r="B617" s="26" t="str">
        <f aca="false">IF($M617=0,"","SOUS-TRAITANCE")</f>
        <v/>
      </c>
      <c r="C617" s="26" t="str">
        <f aca="false">IF($M617=0,"",SOUS_TRAITANCE!$A17)</f>
        <v/>
      </c>
      <c r="D617" s="31" t="str">
        <f aca="false">IF($M617=0,"",SOUS_TRAITANCE!$B17)</f>
        <v/>
      </c>
      <c r="E617" s="26" t="str">
        <f aca="false">IF($M617=0,"","SORTIE")</f>
        <v/>
      </c>
      <c r="F617" s="26" t="str">
        <f aca="false">IF($M617=0,"","ENVOI SOUS-TRAITANCE")</f>
        <v/>
      </c>
      <c r="G617" s="26" t="str">
        <f aca="false">IF($M617=0,"",SOUS_TRAITANCE!$E17)</f>
        <v/>
      </c>
      <c r="H617" s="26" t="str">
        <f aca="false">IF($G617="","",IFERROR(INDEX(LOT_EXTE,MATCH($G617,LOT_KEY,0)),""))</f>
        <v/>
      </c>
      <c r="I617" s="26" t="str">
        <f aca="false">IF($M617=0,"",SOUS_TRAITANCE!$F17)</f>
        <v/>
      </c>
      <c r="J617" s="26" t="str">
        <f aca="false">IF($I617="","",IFERROR(INDEX(EMPL_CLASSE,MATCH($I617,EMPL_KEY,0)),""))</f>
        <v/>
      </c>
      <c r="K617" s="26" t="str">
        <f aca="false">IF($M617=0,"",SOUS_TRAITANCE!$P17)</f>
        <v/>
      </c>
      <c r="L617" s="26" t="str">
        <f aca="false">IF($G617="","",IF(IFERROR(INDEX(LOT_ETAT,MATCH($G617,LOT_KEY,0)),"")="","",INDEX(LOT_ETAT,MATCH($G617,LOT_KEY,0))))</f>
        <v/>
      </c>
      <c r="M617" s="73" t="n">
        <f aca="false">IF(OR(SOUS_TRAITANCE!$R17=0,SOUS_TRAITANCE!$D17&lt;&gt;"STOCK EXISTANT"),0,-SOUS_TRAITANCE!$G17)</f>
        <v>0</v>
      </c>
      <c r="N617" s="73" t="n">
        <f aca="false">IF($M617=0,0,SOUS_TRAITANCE!$Y17*$M617)</f>
        <v>0</v>
      </c>
      <c r="O617" s="26" t="str">
        <f aca="false">IF($M617=0,"",SOUS_TRAITANCE!$X17)</f>
        <v/>
      </c>
      <c r="P617" s="26" t="str">
        <f aca="false">IF($G617="","",IF($G617=R_LOT,COUNTIF($G$5:$G617,R_LOT),""))</f>
        <v/>
      </c>
    </row>
    <row r="618" customFormat="false" ht="15" hidden="false" customHeight="false" outlineLevel="0" collapsed="false">
      <c r="A618" s="28" t="str">
        <f aca="false">IF($M618=0,"",ROW()-4)</f>
        <v/>
      </c>
      <c r="B618" s="26" t="str">
        <f aca="false">IF($M618=0,"","SOUS-TRAITANCE")</f>
        <v/>
      </c>
      <c r="C618" s="26" t="str">
        <f aca="false">IF($M618=0,"",SOUS_TRAITANCE!$A18)</f>
        <v/>
      </c>
      <c r="D618" s="31" t="str">
        <f aca="false">IF($M618=0,"",SOUS_TRAITANCE!$B18)</f>
        <v/>
      </c>
      <c r="E618" s="26" t="str">
        <f aca="false">IF($M618=0,"","SORTIE")</f>
        <v/>
      </c>
      <c r="F618" s="26" t="str">
        <f aca="false">IF($M618=0,"","ENVOI SOUS-TRAITANCE")</f>
        <v/>
      </c>
      <c r="G618" s="26" t="str">
        <f aca="false">IF($M618=0,"",SOUS_TRAITANCE!$E18)</f>
        <v/>
      </c>
      <c r="H618" s="26" t="str">
        <f aca="false">IF($G618="","",IFERROR(INDEX(LOT_EXTE,MATCH($G618,LOT_KEY,0)),""))</f>
        <v/>
      </c>
      <c r="I618" s="26" t="str">
        <f aca="false">IF($M618=0,"",SOUS_TRAITANCE!$F18)</f>
        <v/>
      </c>
      <c r="J618" s="26" t="str">
        <f aca="false">IF($I618="","",IFERROR(INDEX(EMPL_CLASSE,MATCH($I618,EMPL_KEY,0)),""))</f>
        <v/>
      </c>
      <c r="K618" s="26" t="str">
        <f aca="false">IF($M618=0,"",SOUS_TRAITANCE!$P18)</f>
        <v/>
      </c>
      <c r="L618" s="26" t="str">
        <f aca="false">IF($G618="","",IF(IFERROR(INDEX(LOT_ETAT,MATCH($G618,LOT_KEY,0)),"")="","",INDEX(LOT_ETAT,MATCH($G618,LOT_KEY,0))))</f>
        <v/>
      </c>
      <c r="M618" s="73" t="n">
        <f aca="false">IF(OR(SOUS_TRAITANCE!$R18=0,SOUS_TRAITANCE!$D18&lt;&gt;"STOCK EXISTANT"),0,-SOUS_TRAITANCE!$G18)</f>
        <v>0</v>
      </c>
      <c r="N618" s="73" t="n">
        <f aca="false">IF($M618=0,0,SOUS_TRAITANCE!$Y18*$M618)</f>
        <v>0</v>
      </c>
      <c r="O618" s="26" t="str">
        <f aca="false">IF($M618=0,"",SOUS_TRAITANCE!$X18)</f>
        <v/>
      </c>
      <c r="P618" s="26" t="str">
        <f aca="false">IF($G618="","",IF($G618=R_LOT,COUNTIF($G$5:$G618,R_LOT),""))</f>
        <v/>
      </c>
    </row>
    <row r="619" customFormat="false" ht="15" hidden="false" customHeight="false" outlineLevel="0" collapsed="false">
      <c r="A619" s="28" t="str">
        <f aca="false">IF($M619=0,"",ROW()-4)</f>
        <v/>
      </c>
      <c r="B619" s="26" t="str">
        <f aca="false">IF($M619=0,"","SOUS-TRAITANCE")</f>
        <v/>
      </c>
      <c r="C619" s="26" t="str">
        <f aca="false">IF($M619=0,"",SOUS_TRAITANCE!$A19)</f>
        <v/>
      </c>
      <c r="D619" s="31" t="str">
        <f aca="false">IF($M619=0,"",SOUS_TRAITANCE!$B19)</f>
        <v/>
      </c>
      <c r="E619" s="26" t="str">
        <f aca="false">IF($M619=0,"","SORTIE")</f>
        <v/>
      </c>
      <c r="F619" s="26" t="str">
        <f aca="false">IF($M619=0,"","ENVOI SOUS-TRAITANCE")</f>
        <v/>
      </c>
      <c r="G619" s="26" t="str">
        <f aca="false">IF($M619=0,"",SOUS_TRAITANCE!$E19)</f>
        <v/>
      </c>
      <c r="H619" s="26" t="str">
        <f aca="false">IF($G619="","",IFERROR(INDEX(LOT_EXTE,MATCH($G619,LOT_KEY,0)),""))</f>
        <v/>
      </c>
      <c r="I619" s="26" t="str">
        <f aca="false">IF($M619=0,"",SOUS_TRAITANCE!$F19)</f>
        <v/>
      </c>
      <c r="J619" s="26" t="str">
        <f aca="false">IF($I619="","",IFERROR(INDEX(EMPL_CLASSE,MATCH($I619,EMPL_KEY,0)),""))</f>
        <v/>
      </c>
      <c r="K619" s="26" t="str">
        <f aca="false">IF($M619=0,"",SOUS_TRAITANCE!$P19)</f>
        <v/>
      </c>
      <c r="L619" s="26" t="str">
        <f aca="false">IF($G619="","",IF(IFERROR(INDEX(LOT_ETAT,MATCH($G619,LOT_KEY,0)),"")="","",INDEX(LOT_ETAT,MATCH($G619,LOT_KEY,0))))</f>
        <v/>
      </c>
      <c r="M619" s="73" t="n">
        <f aca="false">IF(OR(SOUS_TRAITANCE!$R19=0,SOUS_TRAITANCE!$D19&lt;&gt;"STOCK EXISTANT"),0,-SOUS_TRAITANCE!$G19)</f>
        <v>0</v>
      </c>
      <c r="N619" s="73" t="n">
        <f aca="false">IF($M619=0,0,SOUS_TRAITANCE!$Y19*$M619)</f>
        <v>0</v>
      </c>
      <c r="O619" s="26" t="str">
        <f aca="false">IF($M619=0,"",SOUS_TRAITANCE!$X19)</f>
        <v/>
      </c>
      <c r="P619" s="26" t="str">
        <f aca="false">IF($G619="","",IF($G619=R_LOT,COUNTIF($G$5:$G619,R_LOT),""))</f>
        <v/>
      </c>
    </row>
    <row r="620" customFormat="false" ht="15" hidden="false" customHeight="false" outlineLevel="0" collapsed="false">
      <c r="A620" s="28" t="str">
        <f aca="false">IF($M620=0,"",ROW()-4)</f>
        <v/>
      </c>
      <c r="B620" s="26" t="str">
        <f aca="false">IF($M620=0,"","SOUS-TRAITANCE")</f>
        <v/>
      </c>
      <c r="C620" s="26" t="str">
        <f aca="false">IF($M620=0,"",SOUS_TRAITANCE!$A20)</f>
        <v/>
      </c>
      <c r="D620" s="31" t="str">
        <f aca="false">IF($M620=0,"",SOUS_TRAITANCE!$B20)</f>
        <v/>
      </c>
      <c r="E620" s="26" t="str">
        <f aca="false">IF($M620=0,"","SORTIE")</f>
        <v/>
      </c>
      <c r="F620" s="26" t="str">
        <f aca="false">IF($M620=0,"","ENVOI SOUS-TRAITANCE")</f>
        <v/>
      </c>
      <c r="G620" s="26" t="str">
        <f aca="false">IF($M620=0,"",SOUS_TRAITANCE!$E20)</f>
        <v/>
      </c>
      <c r="H620" s="26" t="str">
        <f aca="false">IF($G620="","",IFERROR(INDEX(LOT_EXTE,MATCH($G620,LOT_KEY,0)),""))</f>
        <v/>
      </c>
      <c r="I620" s="26" t="str">
        <f aca="false">IF($M620=0,"",SOUS_TRAITANCE!$F20)</f>
        <v/>
      </c>
      <c r="J620" s="26" t="str">
        <f aca="false">IF($I620="","",IFERROR(INDEX(EMPL_CLASSE,MATCH($I620,EMPL_KEY,0)),""))</f>
        <v/>
      </c>
      <c r="K620" s="26" t="str">
        <f aca="false">IF($M620=0,"",SOUS_TRAITANCE!$P20)</f>
        <v/>
      </c>
      <c r="L620" s="26" t="str">
        <f aca="false">IF($G620="","",IF(IFERROR(INDEX(LOT_ETAT,MATCH($G620,LOT_KEY,0)),"")="","",INDEX(LOT_ETAT,MATCH($G620,LOT_KEY,0))))</f>
        <v/>
      </c>
      <c r="M620" s="73" t="n">
        <f aca="false">IF(OR(SOUS_TRAITANCE!$R20=0,SOUS_TRAITANCE!$D20&lt;&gt;"STOCK EXISTANT"),0,-SOUS_TRAITANCE!$G20)</f>
        <v>0</v>
      </c>
      <c r="N620" s="73" t="n">
        <f aca="false">IF($M620=0,0,SOUS_TRAITANCE!$Y20*$M620)</f>
        <v>0</v>
      </c>
      <c r="O620" s="26" t="str">
        <f aca="false">IF($M620=0,"",SOUS_TRAITANCE!$X20)</f>
        <v/>
      </c>
      <c r="P620" s="26" t="str">
        <f aca="false">IF($G620="","",IF($G620=R_LOT,COUNTIF($G$5:$G620,R_LOT),""))</f>
        <v/>
      </c>
    </row>
    <row r="621" customFormat="false" ht="15" hidden="false" customHeight="false" outlineLevel="0" collapsed="false">
      <c r="A621" s="28" t="str">
        <f aca="false">IF($M621=0,"",ROW()-4)</f>
        <v/>
      </c>
      <c r="B621" s="26" t="str">
        <f aca="false">IF($M621=0,"","SOUS-TRAITANCE")</f>
        <v/>
      </c>
      <c r="C621" s="26" t="str">
        <f aca="false">IF($M621=0,"",SOUS_TRAITANCE!$A21)</f>
        <v/>
      </c>
      <c r="D621" s="31" t="str">
        <f aca="false">IF($M621=0,"",SOUS_TRAITANCE!$B21)</f>
        <v/>
      </c>
      <c r="E621" s="26" t="str">
        <f aca="false">IF($M621=0,"","SORTIE")</f>
        <v/>
      </c>
      <c r="F621" s="26" t="str">
        <f aca="false">IF($M621=0,"","ENVOI SOUS-TRAITANCE")</f>
        <v/>
      </c>
      <c r="G621" s="26" t="str">
        <f aca="false">IF($M621=0,"",SOUS_TRAITANCE!$E21)</f>
        <v/>
      </c>
      <c r="H621" s="26" t="str">
        <f aca="false">IF($G621="","",IFERROR(INDEX(LOT_EXTE,MATCH($G621,LOT_KEY,0)),""))</f>
        <v/>
      </c>
      <c r="I621" s="26" t="str">
        <f aca="false">IF($M621=0,"",SOUS_TRAITANCE!$F21)</f>
        <v/>
      </c>
      <c r="J621" s="26" t="str">
        <f aca="false">IF($I621="","",IFERROR(INDEX(EMPL_CLASSE,MATCH($I621,EMPL_KEY,0)),""))</f>
        <v/>
      </c>
      <c r="K621" s="26" t="str">
        <f aca="false">IF($M621=0,"",SOUS_TRAITANCE!$P21)</f>
        <v/>
      </c>
      <c r="L621" s="26" t="str">
        <f aca="false">IF($G621="","",IF(IFERROR(INDEX(LOT_ETAT,MATCH($G621,LOT_KEY,0)),"")="","",INDEX(LOT_ETAT,MATCH($G621,LOT_KEY,0))))</f>
        <v/>
      </c>
      <c r="M621" s="73" t="n">
        <f aca="false">IF(OR(SOUS_TRAITANCE!$R21=0,SOUS_TRAITANCE!$D21&lt;&gt;"STOCK EXISTANT"),0,-SOUS_TRAITANCE!$G21)</f>
        <v>0</v>
      </c>
      <c r="N621" s="73" t="n">
        <f aca="false">IF($M621=0,0,SOUS_TRAITANCE!$Y21*$M621)</f>
        <v>0</v>
      </c>
      <c r="O621" s="26" t="str">
        <f aca="false">IF($M621=0,"",SOUS_TRAITANCE!$X21)</f>
        <v/>
      </c>
      <c r="P621" s="26" t="str">
        <f aca="false">IF($G621="","",IF($G621=R_LOT,COUNTIF($G$5:$G621,R_LOT),""))</f>
        <v/>
      </c>
    </row>
    <row r="622" customFormat="false" ht="15" hidden="false" customHeight="false" outlineLevel="0" collapsed="false">
      <c r="A622" s="28" t="str">
        <f aca="false">IF($M622=0,"",ROW()-4)</f>
        <v/>
      </c>
      <c r="B622" s="26" t="str">
        <f aca="false">IF($M622=0,"","SOUS-TRAITANCE")</f>
        <v/>
      </c>
      <c r="C622" s="26" t="str">
        <f aca="false">IF($M622=0,"",SOUS_TRAITANCE!$A22)</f>
        <v/>
      </c>
      <c r="D622" s="31" t="str">
        <f aca="false">IF($M622=0,"",SOUS_TRAITANCE!$B22)</f>
        <v/>
      </c>
      <c r="E622" s="26" t="str">
        <f aca="false">IF($M622=0,"","SORTIE")</f>
        <v/>
      </c>
      <c r="F622" s="26" t="str">
        <f aca="false">IF($M622=0,"","ENVOI SOUS-TRAITANCE")</f>
        <v/>
      </c>
      <c r="G622" s="26" t="str">
        <f aca="false">IF($M622=0,"",SOUS_TRAITANCE!$E22)</f>
        <v/>
      </c>
      <c r="H622" s="26" t="str">
        <f aca="false">IF($G622="","",IFERROR(INDEX(LOT_EXTE,MATCH($G622,LOT_KEY,0)),""))</f>
        <v/>
      </c>
      <c r="I622" s="26" t="str">
        <f aca="false">IF($M622=0,"",SOUS_TRAITANCE!$F22)</f>
        <v/>
      </c>
      <c r="J622" s="26" t="str">
        <f aca="false">IF($I622="","",IFERROR(INDEX(EMPL_CLASSE,MATCH($I622,EMPL_KEY,0)),""))</f>
        <v/>
      </c>
      <c r="K622" s="26" t="str">
        <f aca="false">IF($M622=0,"",SOUS_TRAITANCE!$P22)</f>
        <v/>
      </c>
      <c r="L622" s="26" t="str">
        <f aca="false">IF($G622="","",IF(IFERROR(INDEX(LOT_ETAT,MATCH($G622,LOT_KEY,0)),"")="","",INDEX(LOT_ETAT,MATCH($G622,LOT_KEY,0))))</f>
        <v/>
      </c>
      <c r="M622" s="73" t="n">
        <f aca="false">IF(OR(SOUS_TRAITANCE!$R22=0,SOUS_TRAITANCE!$D22&lt;&gt;"STOCK EXISTANT"),0,-SOUS_TRAITANCE!$G22)</f>
        <v>0</v>
      </c>
      <c r="N622" s="73" t="n">
        <f aca="false">IF($M622=0,0,SOUS_TRAITANCE!$Y22*$M622)</f>
        <v>0</v>
      </c>
      <c r="O622" s="26" t="str">
        <f aca="false">IF($M622=0,"",SOUS_TRAITANCE!$X22)</f>
        <v/>
      </c>
      <c r="P622" s="26" t="str">
        <f aca="false">IF($G622="","",IF($G622=R_LOT,COUNTIF($G$5:$G622,R_LOT),""))</f>
        <v/>
      </c>
    </row>
    <row r="623" customFormat="false" ht="15" hidden="false" customHeight="false" outlineLevel="0" collapsed="false">
      <c r="A623" s="28" t="str">
        <f aca="false">IF($M623=0,"",ROW()-4)</f>
        <v/>
      </c>
      <c r="B623" s="26" t="str">
        <f aca="false">IF($M623=0,"","SOUS-TRAITANCE")</f>
        <v/>
      </c>
      <c r="C623" s="26" t="str">
        <f aca="false">IF($M623=0,"",SOUS_TRAITANCE!$A23)</f>
        <v/>
      </c>
      <c r="D623" s="31" t="str">
        <f aca="false">IF($M623=0,"",SOUS_TRAITANCE!$B23)</f>
        <v/>
      </c>
      <c r="E623" s="26" t="str">
        <f aca="false">IF($M623=0,"","SORTIE")</f>
        <v/>
      </c>
      <c r="F623" s="26" t="str">
        <f aca="false">IF($M623=0,"","ENVOI SOUS-TRAITANCE")</f>
        <v/>
      </c>
      <c r="G623" s="26" t="str">
        <f aca="false">IF($M623=0,"",SOUS_TRAITANCE!$E23)</f>
        <v/>
      </c>
      <c r="H623" s="26" t="str">
        <f aca="false">IF($G623="","",IFERROR(INDEX(LOT_EXTE,MATCH($G623,LOT_KEY,0)),""))</f>
        <v/>
      </c>
      <c r="I623" s="26" t="str">
        <f aca="false">IF($M623=0,"",SOUS_TRAITANCE!$F23)</f>
        <v/>
      </c>
      <c r="J623" s="26" t="str">
        <f aca="false">IF($I623="","",IFERROR(INDEX(EMPL_CLASSE,MATCH($I623,EMPL_KEY,0)),""))</f>
        <v/>
      </c>
      <c r="K623" s="26" t="str">
        <f aca="false">IF($M623=0,"",SOUS_TRAITANCE!$P23)</f>
        <v/>
      </c>
      <c r="L623" s="26" t="str">
        <f aca="false">IF($G623="","",IF(IFERROR(INDEX(LOT_ETAT,MATCH($G623,LOT_KEY,0)),"")="","",INDEX(LOT_ETAT,MATCH($G623,LOT_KEY,0))))</f>
        <v/>
      </c>
      <c r="M623" s="73" t="n">
        <f aca="false">IF(OR(SOUS_TRAITANCE!$R23=0,SOUS_TRAITANCE!$D23&lt;&gt;"STOCK EXISTANT"),0,-SOUS_TRAITANCE!$G23)</f>
        <v>0</v>
      </c>
      <c r="N623" s="73" t="n">
        <f aca="false">IF($M623=0,0,SOUS_TRAITANCE!$Y23*$M623)</f>
        <v>0</v>
      </c>
      <c r="O623" s="26" t="str">
        <f aca="false">IF($M623=0,"",SOUS_TRAITANCE!$X23)</f>
        <v/>
      </c>
      <c r="P623" s="26" t="str">
        <f aca="false">IF($G623="","",IF($G623=R_LOT,COUNTIF($G$5:$G623,R_LOT),""))</f>
        <v/>
      </c>
    </row>
    <row r="624" customFormat="false" ht="15" hidden="false" customHeight="false" outlineLevel="0" collapsed="false">
      <c r="A624" s="28" t="str">
        <f aca="false">IF($M624=0,"",ROW()-4)</f>
        <v/>
      </c>
      <c r="B624" s="26" t="str">
        <f aca="false">IF($M624=0,"","SOUS-TRAITANCE")</f>
        <v/>
      </c>
      <c r="C624" s="26" t="str">
        <f aca="false">IF($M624=0,"",SOUS_TRAITANCE!$A24)</f>
        <v/>
      </c>
      <c r="D624" s="31" t="str">
        <f aca="false">IF($M624=0,"",SOUS_TRAITANCE!$B24)</f>
        <v/>
      </c>
      <c r="E624" s="26" t="str">
        <f aca="false">IF($M624=0,"","SORTIE")</f>
        <v/>
      </c>
      <c r="F624" s="26" t="str">
        <f aca="false">IF($M624=0,"","ENVOI SOUS-TRAITANCE")</f>
        <v/>
      </c>
      <c r="G624" s="26" t="str">
        <f aca="false">IF($M624=0,"",SOUS_TRAITANCE!$E24)</f>
        <v/>
      </c>
      <c r="H624" s="26" t="str">
        <f aca="false">IF($G624="","",IFERROR(INDEX(LOT_EXTE,MATCH($G624,LOT_KEY,0)),""))</f>
        <v/>
      </c>
      <c r="I624" s="26" t="str">
        <f aca="false">IF($M624=0,"",SOUS_TRAITANCE!$F24)</f>
        <v/>
      </c>
      <c r="J624" s="26" t="str">
        <f aca="false">IF($I624="","",IFERROR(INDEX(EMPL_CLASSE,MATCH($I624,EMPL_KEY,0)),""))</f>
        <v/>
      </c>
      <c r="K624" s="26" t="str">
        <f aca="false">IF($M624=0,"",SOUS_TRAITANCE!$P24)</f>
        <v/>
      </c>
      <c r="L624" s="26" t="str">
        <f aca="false">IF($G624="","",IF(IFERROR(INDEX(LOT_ETAT,MATCH($G624,LOT_KEY,0)),"")="","",INDEX(LOT_ETAT,MATCH($G624,LOT_KEY,0))))</f>
        <v/>
      </c>
      <c r="M624" s="73" t="n">
        <f aca="false">IF(OR(SOUS_TRAITANCE!$R24=0,SOUS_TRAITANCE!$D24&lt;&gt;"STOCK EXISTANT"),0,-SOUS_TRAITANCE!$G24)</f>
        <v>0</v>
      </c>
      <c r="N624" s="73" t="n">
        <f aca="false">IF($M624=0,0,SOUS_TRAITANCE!$Y24*$M624)</f>
        <v>0</v>
      </c>
      <c r="O624" s="26" t="str">
        <f aca="false">IF($M624=0,"",SOUS_TRAITANCE!$X24)</f>
        <v/>
      </c>
      <c r="P624" s="26" t="str">
        <f aca="false">IF($G624="","",IF($G624=R_LOT,COUNTIF($G$5:$G624,R_LOT),""))</f>
        <v/>
      </c>
    </row>
    <row r="625" customFormat="false" ht="15" hidden="false" customHeight="false" outlineLevel="0" collapsed="false">
      <c r="A625" s="28" t="str">
        <f aca="false">IF($M625=0,"",ROW()-4)</f>
        <v/>
      </c>
      <c r="B625" s="26" t="str">
        <f aca="false">IF($M625=0,"","SOUS-TRAITANCE")</f>
        <v/>
      </c>
      <c r="C625" s="26" t="str">
        <f aca="false">IF($M625=0,"",SOUS_TRAITANCE!$A25)</f>
        <v/>
      </c>
      <c r="D625" s="31" t="str">
        <f aca="false">IF($M625=0,"",SOUS_TRAITANCE!$B25)</f>
        <v/>
      </c>
      <c r="E625" s="26" t="str">
        <f aca="false">IF($M625=0,"","SORTIE")</f>
        <v/>
      </c>
      <c r="F625" s="26" t="str">
        <f aca="false">IF($M625=0,"","ENVOI SOUS-TRAITANCE")</f>
        <v/>
      </c>
      <c r="G625" s="26" t="str">
        <f aca="false">IF($M625=0,"",SOUS_TRAITANCE!$E25)</f>
        <v/>
      </c>
      <c r="H625" s="26" t="str">
        <f aca="false">IF($G625="","",IFERROR(INDEX(LOT_EXTE,MATCH($G625,LOT_KEY,0)),""))</f>
        <v/>
      </c>
      <c r="I625" s="26" t="str">
        <f aca="false">IF($M625=0,"",SOUS_TRAITANCE!$F25)</f>
        <v/>
      </c>
      <c r="J625" s="26" t="str">
        <f aca="false">IF($I625="","",IFERROR(INDEX(EMPL_CLASSE,MATCH($I625,EMPL_KEY,0)),""))</f>
        <v/>
      </c>
      <c r="K625" s="26" t="str">
        <f aca="false">IF($M625=0,"",SOUS_TRAITANCE!$P25)</f>
        <v/>
      </c>
      <c r="L625" s="26" t="str">
        <f aca="false">IF($G625="","",IF(IFERROR(INDEX(LOT_ETAT,MATCH($G625,LOT_KEY,0)),"")="","",INDEX(LOT_ETAT,MATCH($G625,LOT_KEY,0))))</f>
        <v/>
      </c>
      <c r="M625" s="73" t="n">
        <f aca="false">IF(OR(SOUS_TRAITANCE!$R25=0,SOUS_TRAITANCE!$D25&lt;&gt;"STOCK EXISTANT"),0,-SOUS_TRAITANCE!$G25)</f>
        <v>0</v>
      </c>
      <c r="N625" s="73" t="n">
        <f aca="false">IF($M625=0,0,SOUS_TRAITANCE!$Y25*$M625)</f>
        <v>0</v>
      </c>
      <c r="O625" s="26" t="str">
        <f aca="false">IF($M625=0,"",SOUS_TRAITANCE!$X25)</f>
        <v/>
      </c>
      <c r="P625" s="26" t="str">
        <f aca="false">IF($G625="","",IF($G625=R_LOT,COUNTIF($G$5:$G625,R_LOT),""))</f>
        <v/>
      </c>
    </row>
    <row r="626" customFormat="false" ht="15" hidden="false" customHeight="false" outlineLevel="0" collapsed="false">
      <c r="A626" s="28" t="str">
        <f aca="false">IF($M626=0,"",ROW()-4)</f>
        <v/>
      </c>
      <c r="B626" s="26" t="str">
        <f aca="false">IF($M626=0,"","SOUS-TRAITANCE")</f>
        <v/>
      </c>
      <c r="C626" s="26" t="str">
        <f aca="false">IF($M626=0,"",SOUS_TRAITANCE!$A26)</f>
        <v/>
      </c>
      <c r="D626" s="31" t="str">
        <f aca="false">IF($M626=0,"",SOUS_TRAITANCE!$B26)</f>
        <v/>
      </c>
      <c r="E626" s="26" t="str">
        <f aca="false">IF($M626=0,"","SORTIE")</f>
        <v/>
      </c>
      <c r="F626" s="26" t="str">
        <f aca="false">IF($M626=0,"","ENVOI SOUS-TRAITANCE")</f>
        <v/>
      </c>
      <c r="G626" s="26" t="str">
        <f aca="false">IF($M626=0,"",SOUS_TRAITANCE!$E26)</f>
        <v/>
      </c>
      <c r="H626" s="26" t="str">
        <f aca="false">IF($G626="","",IFERROR(INDEX(LOT_EXTE,MATCH($G626,LOT_KEY,0)),""))</f>
        <v/>
      </c>
      <c r="I626" s="26" t="str">
        <f aca="false">IF($M626=0,"",SOUS_TRAITANCE!$F26)</f>
        <v/>
      </c>
      <c r="J626" s="26" t="str">
        <f aca="false">IF($I626="","",IFERROR(INDEX(EMPL_CLASSE,MATCH($I626,EMPL_KEY,0)),""))</f>
        <v/>
      </c>
      <c r="K626" s="26" t="str">
        <f aca="false">IF($M626=0,"",SOUS_TRAITANCE!$P26)</f>
        <v/>
      </c>
      <c r="L626" s="26" t="str">
        <f aca="false">IF($G626="","",IF(IFERROR(INDEX(LOT_ETAT,MATCH($G626,LOT_KEY,0)),"")="","",INDEX(LOT_ETAT,MATCH($G626,LOT_KEY,0))))</f>
        <v/>
      </c>
      <c r="M626" s="73" t="n">
        <f aca="false">IF(OR(SOUS_TRAITANCE!$R26=0,SOUS_TRAITANCE!$D26&lt;&gt;"STOCK EXISTANT"),0,-SOUS_TRAITANCE!$G26)</f>
        <v>0</v>
      </c>
      <c r="N626" s="73" t="n">
        <f aca="false">IF($M626=0,0,SOUS_TRAITANCE!$Y26*$M626)</f>
        <v>0</v>
      </c>
      <c r="O626" s="26" t="str">
        <f aca="false">IF($M626=0,"",SOUS_TRAITANCE!$X26)</f>
        <v/>
      </c>
      <c r="P626" s="26" t="str">
        <f aca="false">IF($G626="","",IF($G626=R_LOT,COUNTIF($G$5:$G626,R_LOT),""))</f>
        <v/>
      </c>
    </row>
    <row r="627" customFormat="false" ht="15" hidden="false" customHeight="false" outlineLevel="0" collapsed="false">
      <c r="A627" s="28" t="str">
        <f aca="false">IF($M627=0,"",ROW()-4)</f>
        <v/>
      </c>
      <c r="B627" s="26" t="str">
        <f aca="false">IF($M627=0,"","SOUS-TRAITANCE")</f>
        <v/>
      </c>
      <c r="C627" s="26" t="str">
        <f aca="false">IF($M627=0,"",SOUS_TRAITANCE!$A27)</f>
        <v/>
      </c>
      <c r="D627" s="31" t="str">
        <f aca="false">IF($M627=0,"",SOUS_TRAITANCE!$B27)</f>
        <v/>
      </c>
      <c r="E627" s="26" t="str">
        <f aca="false">IF($M627=0,"","SORTIE")</f>
        <v/>
      </c>
      <c r="F627" s="26" t="str">
        <f aca="false">IF($M627=0,"","ENVOI SOUS-TRAITANCE")</f>
        <v/>
      </c>
      <c r="G627" s="26" t="str">
        <f aca="false">IF($M627=0,"",SOUS_TRAITANCE!$E27)</f>
        <v/>
      </c>
      <c r="H627" s="26" t="str">
        <f aca="false">IF($G627="","",IFERROR(INDEX(LOT_EXTE,MATCH($G627,LOT_KEY,0)),""))</f>
        <v/>
      </c>
      <c r="I627" s="26" t="str">
        <f aca="false">IF($M627=0,"",SOUS_TRAITANCE!$F27)</f>
        <v/>
      </c>
      <c r="J627" s="26" t="str">
        <f aca="false">IF($I627="","",IFERROR(INDEX(EMPL_CLASSE,MATCH($I627,EMPL_KEY,0)),""))</f>
        <v/>
      </c>
      <c r="K627" s="26" t="str">
        <f aca="false">IF($M627=0,"",SOUS_TRAITANCE!$P27)</f>
        <v/>
      </c>
      <c r="L627" s="26" t="str">
        <f aca="false">IF($G627="","",IF(IFERROR(INDEX(LOT_ETAT,MATCH($G627,LOT_KEY,0)),"")="","",INDEX(LOT_ETAT,MATCH($G627,LOT_KEY,0))))</f>
        <v/>
      </c>
      <c r="M627" s="73" t="n">
        <f aca="false">IF(OR(SOUS_TRAITANCE!$R27=0,SOUS_TRAITANCE!$D27&lt;&gt;"STOCK EXISTANT"),0,-SOUS_TRAITANCE!$G27)</f>
        <v>0</v>
      </c>
      <c r="N627" s="73" t="n">
        <f aca="false">IF($M627=0,0,SOUS_TRAITANCE!$Y27*$M627)</f>
        <v>0</v>
      </c>
      <c r="O627" s="26" t="str">
        <f aca="false">IF($M627=0,"",SOUS_TRAITANCE!$X27)</f>
        <v/>
      </c>
      <c r="P627" s="26" t="str">
        <f aca="false">IF($G627="","",IF($G627=R_LOT,COUNTIF($G$5:$G627,R_LOT),""))</f>
        <v/>
      </c>
    </row>
    <row r="628" customFormat="false" ht="15" hidden="false" customHeight="false" outlineLevel="0" collapsed="false">
      <c r="A628" s="28" t="str">
        <f aca="false">IF($M628=0,"",ROW()-4)</f>
        <v/>
      </c>
      <c r="B628" s="26" t="str">
        <f aca="false">IF($M628=0,"","SOUS-TRAITANCE")</f>
        <v/>
      </c>
      <c r="C628" s="26" t="str">
        <f aca="false">IF($M628=0,"",SOUS_TRAITANCE!$A28)</f>
        <v/>
      </c>
      <c r="D628" s="31" t="str">
        <f aca="false">IF($M628=0,"",SOUS_TRAITANCE!$B28)</f>
        <v/>
      </c>
      <c r="E628" s="26" t="str">
        <f aca="false">IF($M628=0,"","SORTIE")</f>
        <v/>
      </c>
      <c r="F628" s="26" t="str">
        <f aca="false">IF($M628=0,"","ENVOI SOUS-TRAITANCE")</f>
        <v/>
      </c>
      <c r="G628" s="26" t="str">
        <f aca="false">IF($M628=0,"",SOUS_TRAITANCE!$E28)</f>
        <v/>
      </c>
      <c r="H628" s="26" t="str">
        <f aca="false">IF($G628="","",IFERROR(INDEX(LOT_EXTE,MATCH($G628,LOT_KEY,0)),""))</f>
        <v/>
      </c>
      <c r="I628" s="26" t="str">
        <f aca="false">IF($M628=0,"",SOUS_TRAITANCE!$F28)</f>
        <v/>
      </c>
      <c r="J628" s="26" t="str">
        <f aca="false">IF($I628="","",IFERROR(INDEX(EMPL_CLASSE,MATCH($I628,EMPL_KEY,0)),""))</f>
        <v/>
      </c>
      <c r="K628" s="26" t="str">
        <f aca="false">IF($M628=0,"",SOUS_TRAITANCE!$P28)</f>
        <v/>
      </c>
      <c r="L628" s="26" t="str">
        <f aca="false">IF($G628="","",IF(IFERROR(INDEX(LOT_ETAT,MATCH($G628,LOT_KEY,0)),"")="","",INDEX(LOT_ETAT,MATCH($G628,LOT_KEY,0))))</f>
        <v/>
      </c>
      <c r="M628" s="73" t="n">
        <f aca="false">IF(OR(SOUS_TRAITANCE!$R28=0,SOUS_TRAITANCE!$D28&lt;&gt;"STOCK EXISTANT"),0,-SOUS_TRAITANCE!$G28)</f>
        <v>0</v>
      </c>
      <c r="N628" s="73" t="n">
        <f aca="false">IF($M628=0,0,SOUS_TRAITANCE!$Y28*$M628)</f>
        <v>0</v>
      </c>
      <c r="O628" s="26" t="str">
        <f aca="false">IF($M628=0,"",SOUS_TRAITANCE!$X28)</f>
        <v/>
      </c>
      <c r="P628" s="26" t="str">
        <f aca="false">IF($G628="","",IF($G628=R_LOT,COUNTIF($G$5:$G628,R_LOT),""))</f>
        <v/>
      </c>
    </row>
    <row r="629" customFormat="false" ht="15" hidden="false" customHeight="false" outlineLevel="0" collapsed="false">
      <c r="A629" s="28" t="str">
        <f aca="false">IF($M629=0,"",ROW()-4)</f>
        <v/>
      </c>
      <c r="B629" s="26" t="str">
        <f aca="false">IF($M629=0,"","SOUS-TRAITANCE")</f>
        <v/>
      </c>
      <c r="C629" s="26" t="str">
        <f aca="false">IF($M629=0,"",SOUS_TRAITANCE!$A29)</f>
        <v/>
      </c>
      <c r="D629" s="31" t="str">
        <f aca="false">IF($M629=0,"",SOUS_TRAITANCE!$B29)</f>
        <v/>
      </c>
      <c r="E629" s="26" t="str">
        <f aca="false">IF($M629=0,"","SORTIE")</f>
        <v/>
      </c>
      <c r="F629" s="26" t="str">
        <f aca="false">IF($M629=0,"","ENVOI SOUS-TRAITANCE")</f>
        <v/>
      </c>
      <c r="G629" s="26" t="str">
        <f aca="false">IF($M629=0,"",SOUS_TRAITANCE!$E29)</f>
        <v/>
      </c>
      <c r="H629" s="26" t="str">
        <f aca="false">IF($G629="","",IFERROR(INDEX(LOT_EXTE,MATCH($G629,LOT_KEY,0)),""))</f>
        <v/>
      </c>
      <c r="I629" s="26" t="str">
        <f aca="false">IF($M629=0,"",SOUS_TRAITANCE!$F29)</f>
        <v/>
      </c>
      <c r="J629" s="26" t="str">
        <f aca="false">IF($I629="","",IFERROR(INDEX(EMPL_CLASSE,MATCH($I629,EMPL_KEY,0)),""))</f>
        <v/>
      </c>
      <c r="K629" s="26" t="str">
        <f aca="false">IF($M629=0,"",SOUS_TRAITANCE!$P29)</f>
        <v/>
      </c>
      <c r="L629" s="26" t="str">
        <f aca="false">IF($G629="","",IF(IFERROR(INDEX(LOT_ETAT,MATCH($G629,LOT_KEY,0)),"")="","",INDEX(LOT_ETAT,MATCH($G629,LOT_KEY,0))))</f>
        <v/>
      </c>
      <c r="M629" s="73" t="n">
        <f aca="false">IF(OR(SOUS_TRAITANCE!$R29=0,SOUS_TRAITANCE!$D29&lt;&gt;"STOCK EXISTANT"),0,-SOUS_TRAITANCE!$G29)</f>
        <v>0</v>
      </c>
      <c r="N629" s="73" t="n">
        <f aca="false">IF($M629=0,0,SOUS_TRAITANCE!$Y29*$M629)</f>
        <v>0</v>
      </c>
      <c r="O629" s="26" t="str">
        <f aca="false">IF($M629=0,"",SOUS_TRAITANCE!$X29)</f>
        <v/>
      </c>
      <c r="P629" s="26" t="str">
        <f aca="false">IF($G629="","",IF($G629=R_LOT,COUNTIF($G$5:$G629,R_LOT),""))</f>
        <v/>
      </c>
    </row>
    <row r="630" customFormat="false" ht="15" hidden="false" customHeight="false" outlineLevel="0" collapsed="false">
      <c r="A630" s="28" t="str">
        <f aca="false">IF($M630=0,"",ROW()-4)</f>
        <v/>
      </c>
      <c r="B630" s="26" t="str">
        <f aca="false">IF($M630=0,"","SOUS-TRAITANCE")</f>
        <v/>
      </c>
      <c r="C630" s="26" t="str">
        <f aca="false">IF($M630=0,"",SOUS_TRAITANCE!$A30)</f>
        <v/>
      </c>
      <c r="D630" s="31" t="str">
        <f aca="false">IF($M630=0,"",SOUS_TRAITANCE!$B30)</f>
        <v/>
      </c>
      <c r="E630" s="26" t="str">
        <f aca="false">IF($M630=0,"","SORTIE")</f>
        <v/>
      </c>
      <c r="F630" s="26" t="str">
        <f aca="false">IF($M630=0,"","ENVOI SOUS-TRAITANCE")</f>
        <v/>
      </c>
      <c r="G630" s="26" t="str">
        <f aca="false">IF($M630=0,"",SOUS_TRAITANCE!$E30)</f>
        <v/>
      </c>
      <c r="H630" s="26" t="str">
        <f aca="false">IF($G630="","",IFERROR(INDEX(LOT_EXTE,MATCH($G630,LOT_KEY,0)),""))</f>
        <v/>
      </c>
      <c r="I630" s="26" t="str">
        <f aca="false">IF($M630=0,"",SOUS_TRAITANCE!$F30)</f>
        <v/>
      </c>
      <c r="J630" s="26" t="str">
        <f aca="false">IF($I630="","",IFERROR(INDEX(EMPL_CLASSE,MATCH($I630,EMPL_KEY,0)),""))</f>
        <v/>
      </c>
      <c r="K630" s="26" t="str">
        <f aca="false">IF($M630=0,"",SOUS_TRAITANCE!$P30)</f>
        <v/>
      </c>
      <c r="L630" s="26" t="str">
        <f aca="false">IF($G630="","",IF(IFERROR(INDEX(LOT_ETAT,MATCH($G630,LOT_KEY,0)),"")="","",INDEX(LOT_ETAT,MATCH($G630,LOT_KEY,0))))</f>
        <v/>
      </c>
      <c r="M630" s="73" t="n">
        <f aca="false">IF(OR(SOUS_TRAITANCE!$R30=0,SOUS_TRAITANCE!$D30&lt;&gt;"STOCK EXISTANT"),0,-SOUS_TRAITANCE!$G30)</f>
        <v>0</v>
      </c>
      <c r="N630" s="73" t="n">
        <f aca="false">IF($M630=0,0,SOUS_TRAITANCE!$Y30*$M630)</f>
        <v>0</v>
      </c>
      <c r="O630" s="26" t="str">
        <f aca="false">IF($M630=0,"",SOUS_TRAITANCE!$X30)</f>
        <v/>
      </c>
      <c r="P630" s="26" t="str">
        <f aca="false">IF($G630="","",IF($G630=R_LOT,COUNTIF($G$5:$G630,R_LOT),""))</f>
        <v/>
      </c>
    </row>
    <row r="631" customFormat="false" ht="15" hidden="false" customHeight="false" outlineLevel="0" collapsed="false">
      <c r="A631" s="28" t="str">
        <f aca="false">IF($M631=0,"",ROW()-4)</f>
        <v/>
      </c>
      <c r="B631" s="26" t="str">
        <f aca="false">IF($M631=0,"","SOUS-TRAITANCE")</f>
        <v/>
      </c>
      <c r="C631" s="26" t="str">
        <f aca="false">IF($M631=0,"",SOUS_TRAITANCE!$A31)</f>
        <v/>
      </c>
      <c r="D631" s="31" t="str">
        <f aca="false">IF($M631=0,"",SOUS_TRAITANCE!$B31)</f>
        <v/>
      </c>
      <c r="E631" s="26" t="str">
        <f aca="false">IF($M631=0,"","SORTIE")</f>
        <v/>
      </c>
      <c r="F631" s="26" t="str">
        <f aca="false">IF($M631=0,"","ENVOI SOUS-TRAITANCE")</f>
        <v/>
      </c>
      <c r="G631" s="26" t="str">
        <f aca="false">IF($M631=0,"",SOUS_TRAITANCE!$E31)</f>
        <v/>
      </c>
      <c r="H631" s="26" t="str">
        <f aca="false">IF($G631="","",IFERROR(INDEX(LOT_EXTE,MATCH($G631,LOT_KEY,0)),""))</f>
        <v/>
      </c>
      <c r="I631" s="26" t="str">
        <f aca="false">IF($M631=0,"",SOUS_TRAITANCE!$F31)</f>
        <v/>
      </c>
      <c r="J631" s="26" t="str">
        <f aca="false">IF($I631="","",IFERROR(INDEX(EMPL_CLASSE,MATCH($I631,EMPL_KEY,0)),""))</f>
        <v/>
      </c>
      <c r="K631" s="26" t="str">
        <f aca="false">IF($M631=0,"",SOUS_TRAITANCE!$P31)</f>
        <v/>
      </c>
      <c r="L631" s="26" t="str">
        <f aca="false">IF($G631="","",IF(IFERROR(INDEX(LOT_ETAT,MATCH($G631,LOT_KEY,0)),"")="","",INDEX(LOT_ETAT,MATCH($G631,LOT_KEY,0))))</f>
        <v/>
      </c>
      <c r="M631" s="73" t="n">
        <f aca="false">IF(OR(SOUS_TRAITANCE!$R31=0,SOUS_TRAITANCE!$D31&lt;&gt;"STOCK EXISTANT"),0,-SOUS_TRAITANCE!$G31)</f>
        <v>0</v>
      </c>
      <c r="N631" s="73" t="n">
        <f aca="false">IF($M631=0,0,SOUS_TRAITANCE!$Y31*$M631)</f>
        <v>0</v>
      </c>
      <c r="O631" s="26" t="str">
        <f aca="false">IF($M631=0,"",SOUS_TRAITANCE!$X31)</f>
        <v/>
      </c>
      <c r="P631" s="26" t="str">
        <f aca="false">IF($G631="","",IF($G631=R_LOT,COUNTIF($G$5:$G631,R_LOT),""))</f>
        <v/>
      </c>
    </row>
    <row r="632" customFormat="false" ht="15" hidden="false" customHeight="false" outlineLevel="0" collapsed="false">
      <c r="A632" s="28" t="str">
        <f aca="false">IF($M632=0,"",ROW()-4)</f>
        <v/>
      </c>
      <c r="B632" s="26" t="str">
        <f aca="false">IF($M632=0,"","SOUS-TRAITANCE")</f>
        <v/>
      </c>
      <c r="C632" s="26" t="str">
        <f aca="false">IF($M632=0,"",SOUS_TRAITANCE!$A32)</f>
        <v/>
      </c>
      <c r="D632" s="31" t="str">
        <f aca="false">IF($M632=0,"",SOUS_TRAITANCE!$B32)</f>
        <v/>
      </c>
      <c r="E632" s="26" t="str">
        <f aca="false">IF($M632=0,"","SORTIE")</f>
        <v/>
      </c>
      <c r="F632" s="26" t="str">
        <f aca="false">IF($M632=0,"","ENVOI SOUS-TRAITANCE")</f>
        <v/>
      </c>
      <c r="G632" s="26" t="str">
        <f aca="false">IF($M632=0,"",SOUS_TRAITANCE!$E32)</f>
        <v/>
      </c>
      <c r="H632" s="26" t="str">
        <f aca="false">IF($G632="","",IFERROR(INDEX(LOT_EXTE,MATCH($G632,LOT_KEY,0)),""))</f>
        <v/>
      </c>
      <c r="I632" s="26" t="str">
        <f aca="false">IF($M632=0,"",SOUS_TRAITANCE!$F32)</f>
        <v/>
      </c>
      <c r="J632" s="26" t="str">
        <f aca="false">IF($I632="","",IFERROR(INDEX(EMPL_CLASSE,MATCH($I632,EMPL_KEY,0)),""))</f>
        <v/>
      </c>
      <c r="K632" s="26" t="str">
        <f aca="false">IF($M632=0,"",SOUS_TRAITANCE!$P32)</f>
        <v/>
      </c>
      <c r="L632" s="26" t="str">
        <f aca="false">IF($G632="","",IF(IFERROR(INDEX(LOT_ETAT,MATCH($G632,LOT_KEY,0)),"")="","",INDEX(LOT_ETAT,MATCH($G632,LOT_KEY,0))))</f>
        <v/>
      </c>
      <c r="M632" s="73" t="n">
        <f aca="false">IF(OR(SOUS_TRAITANCE!$R32=0,SOUS_TRAITANCE!$D32&lt;&gt;"STOCK EXISTANT"),0,-SOUS_TRAITANCE!$G32)</f>
        <v>0</v>
      </c>
      <c r="N632" s="73" t="n">
        <f aca="false">IF($M632=0,0,SOUS_TRAITANCE!$Y32*$M632)</f>
        <v>0</v>
      </c>
      <c r="O632" s="26" t="str">
        <f aca="false">IF($M632=0,"",SOUS_TRAITANCE!$X32)</f>
        <v/>
      </c>
      <c r="P632" s="26" t="str">
        <f aca="false">IF($G632="","",IF($G632=R_LOT,COUNTIF($G$5:$G632,R_LOT),""))</f>
        <v/>
      </c>
    </row>
    <row r="633" customFormat="false" ht="15" hidden="false" customHeight="false" outlineLevel="0" collapsed="false">
      <c r="A633" s="28" t="str">
        <f aca="false">IF($M633=0,"",ROW()-4)</f>
        <v/>
      </c>
      <c r="B633" s="26" t="str">
        <f aca="false">IF($M633=0,"","SOUS-TRAITANCE")</f>
        <v/>
      </c>
      <c r="C633" s="26" t="str">
        <f aca="false">IF($M633=0,"",SOUS_TRAITANCE!$A33)</f>
        <v/>
      </c>
      <c r="D633" s="31" t="str">
        <f aca="false">IF($M633=0,"",SOUS_TRAITANCE!$B33)</f>
        <v/>
      </c>
      <c r="E633" s="26" t="str">
        <f aca="false">IF($M633=0,"","SORTIE")</f>
        <v/>
      </c>
      <c r="F633" s="26" t="str">
        <f aca="false">IF($M633=0,"","ENVOI SOUS-TRAITANCE")</f>
        <v/>
      </c>
      <c r="G633" s="26" t="str">
        <f aca="false">IF($M633=0,"",SOUS_TRAITANCE!$E33)</f>
        <v/>
      </c>
      <c r="H633" s="26" t="str">
        <f aca="false">IF($G633="","",IFERROR(INDEX(LOT_EXTE,MATCH($G633,LOT_KEY,0)),""))</f>
        <v/>
      </c>
      <c r="I633" s="26" t="str">
        <f aca="false">IF($M633=0,"",SOUS_TRAITANCE!$F33)</f>
        <v/>
      </c>
      <c r="J633" s="26" t="str">
        <f aca="false">IF($I633="","",IFERROR(INDEX(EMPL_CLASSE,MATCH($I633,EMPL_KEY,0)),""))</f>
        <v/>
      </c>
      <c r="K633" s="26" t="str">
        <f aca="false">IF($M633=0,"",SOUS_TRAITANCE!$P33)</f>
        <v/>
      </c>
      <c r="L633" s="26" t="str">
        <f aca="false">IF($G633="","",IF(IFERROR(INDEX(LOT_ETAT,MATCH($G633,LOT_KEY,0)),"")="","",INDEX(LOT_ETAT,MATCH($G633,LOT_KEY,0))))</f>
        <v/>
      </c>
      <c r="M633" s="73" t="n">
        <f aca="false">IF(OR(SOUS_TRAITANCE!$R33=0,SOUS_TRAITANCE!$D33&lt;&gt;"STOCK EXISTANT"),0,-SOUS_TRAITANCE!$G33)</f>
        <v>0</v>
      </c>
      <c r="N633" s="73" t="n">
        <f aca="false">IF($M633=0,0,SOUS_TRAITANCE!$Y33*$M633)</f>
        <v>0</v>
      </c>
      <c r="O633" s="26" t="str">
        <f aca="false">IF($M633=0,"",SOUS_TRAITANCE!$X33)</f>
        <v/>
      </c>
      <c r="P633" s="26" t="str">
        <f aca="false">IF($G633="","",IF($G633=R_LOT,COUNTIF($G$5:$G633,R_LOT),""))</f>
        <v/>
      </c>
    </row>
    <row r="634" customFormat="false" ht="15" hidden="false" customHeight="false" outlineLevel="0" collapsed="false">
      <c r="A634" s="28" t="str">
        <f aca="false">IF($M634=0,"",ROW()-4)</f>
        <v/>
      </c>
      <c r="B634" s="26" t="str">
        <f aca="false">IF($M634=0,"","SOUS-TRAITANCE")</f>
        <v/>
      </c>
      <c r="C634" s="26" t="str">
        <f aca="false">IF($M634=0,"",SOUS_TRAITANCE!$A34)</f>
        <v/>
      </c>
      <c r="D634" s="31" t="str">
        <f aca="false">IF($M634=0,"",SOUS_TRAITANCE!$B34)</f>
        <v/>
      </c>
      <c r="E634" s="26" t="str">
        <f aca="false">IF($M634=0,"","SORTIE")</f>
        <v/>
      </c>
      <c r="F634" s="26" t="str">
        <f aca="false">IF($M634=0,"","ENVOI SOUS-TRAITANCE")</f>
        <v/>
      </c>
      <c r="G634" s="26" t="str">
        <f aca="false">IF($M634=0,"",SOUS_TRAITANCE!$E34)</f>
        <v/>
      </c>
      <c r="H634" s="26" t="str">
        <f aca="false">IF($G634="","",IFERROR(INDEX(LOT_EXTE,MATCH($G634,LOT_KEY,0)),""))</f>
        <v/>
      </c>
      <c r="I634" s="26" t="str">
        <f aca="false">IF($M634=0,"",SOUS_TRAITANCE!$F34)</f>
        <v/>
      </c>
      <c r="J634" s="26" t="str">
        <f aca="false">IF($I634="","",IFERROR(INDEX(EMPL_CLASSE,MATCH($I634,EMPL_KEY,0)),""))</f>
        <v/>
      </c>
      <c r="K634" s="26" t="str">
        <f aca="false">IF($M634=0,"",SOUS_TRAITANCE!$P34)</f>
        <v/>
      </c>
      <c r="L634" s="26" t="str">
        <f aca="false">IF($G634="","",IF(IFERROR(INDEX(LOT_ETAT,MATCH($G634,LOT_KEY,0)),"")="","",INDEX(LOT_ETAT,MATCH($G634,LOT_KEY,0))))</f>
        <v/>
      </c>
      <c r="M634" s="73" t="n">
        <f aca="false">IF(OR(SOUS_TRAITANCE!$R34=0,SOUS_TRAITANCE!$D34&lt;&gt;"STOCK EXISTANT"),0,-SOUS_TRAITANCE!$G34)</f>
        <v>0</v>
      </c>
      <c r="N634" s="73" t="n">
        <f aca="false">IF($M634=0,0,SOUS_TRAITANCE!$Y34*$M634)</f>
        <v>0</v>
      </c>
      <c r="O634" s="26" t="str">
        <f aca="false">IF($M634=0,"",SOUS_TRAITANCE!$X34)</f>
        <v/>
      </c>
      <c r="P634" s="26" t="str">
        <f aca="false">IF($G634="","",IF($G634=R_LOT,COUNTIF($G$5:$G634,R_LOT),""))</f>
        <v/>
      </c>
    </row>
    <row r="635" customFormat="false" ht="15" hidden="false" customHeight="false" outlineLevel="0" collapsed="false">
      <c r="A635" s="28" t="str">
        <f aca="false">IF($M635=0,"",ROW()-4)</f>
        <v/>
      </c>
      <c r="B635" s="26" t="str">
        <f aca="false">IF($M635=0,"","SOUS-TRAITANCE")</f>
        <v/>
      </c>
      <c r="C635" s="26" t="str">
        <f aca="false">IF($M635=0,"",SOUS_TRAITANCE!$A35)</f>
        <v/>
      </c>
      <c r="D635" s="31" t="str">
        <f aca="false">IF($M635=0,"",SOUS_TRAITANCE!$B35)</f>
        <v/>
      </c>
      <c r="E635" s="26" t="str">
        <f aca="false">IF($M635=0,"","SORTIE")</f>
        <v/>
      </c>
      <c r="F635" s="26" t="str">
        <f aca="false">IF($M635=0,"","ENVOI SOUS-TRAITANCE")</f>
        <v/>
      </c>
      <c r="G635" s="26" t="str">
        <f aca="false">IF($M635=0,"",SOUS_TRAITANCE!$E35)</f>
        <v/>
      </c>
      <c r="H635" s="26" t="str">
        <f aca="false">IF($G635="","",IFERROR(INDEX(LOT_EXTE,MATCH($G635,LOT_KEY,0)),""))</f>
        <v/>
      </c>
      <c r="I635" s="26" t="str">
        <f aca="false">IF($M635=0,"",SOUS_TRAITANCE!$F35)</f>
        <v/>
      </c>
      <c r="J635" s="26" t="str">
        <f aca="false">IF($I635="","",IFERROR(INDEX(EMPL_CLASSE,MATCH($I635,EMPL_KEY,0)),""))</f>
        <v/>
      </c>
      <c r="K635" s="26" t="str">
        <f aca="false">IF($M635=0,"",SOUS_TRAITANCE!$P35)</f>
        <v/>
      </c>
      <c r="L635" s="26" t="str">
        <f aca="false">IF($G635="","",IF(IFERROR(INDEX(LOT_ETAT,MATCH($G635,LOT_KEY,0)),"")="","",INDEX(LOT_ETAT,MATCH($G635,LOT_KEY,0))))</f>
        <v/>
      </c>
      <c r="M635" s="73" t="n">
        <f aca="false">IF(OR(SOUS_TRAITANCE!$R35=0,SOUS_TRAITANCE!$D35&lt;&gt;"STOCK EXISTANT"),0,-SOUS_TRAITANCE!$G35)</f>
        <v>0</v>
      </c>
      <c r="N635" s="73" t="n">
        <f aca="false">IF($M635=0,0,SOUS_TRAITANCE!$Y35*$M635)</f>
        <v>0</v>
      </c>
      <c r="O635" s="26" t="str">
        <f aca="false">IF($M635=0,"",SOUS_TRAITANCE!$X35)</f>
        <v/>
      </c>
      <c r="P635" s="26" t="str">
        <f aca="false">IF($G635="","",IF($G635=R_LOT,COUNTIF($G$5:$G635,R_LOT),""))</f>
        <v/>
      </c>
    </row>
    <row r="636" customFormat="false" ht="15" hidden="false" customHeight="false" outlineLevel="0" collapsed="false">
      <c r="A636" s="28" t="str">
        <f aca="false">IF($M636=0,"",ROW()-4)</f>
        <v/>
      </c>
      <c r="B636" s="26" t="str">
        <f aca="false">IF($M636=0,"","SOUS-TRAITANCE")</f>
        <v/>
      </c>
      <c r="C636" s="26" t="str">
        <f aca="false">IF($M636=0,"",SOUS_TRAITANCE!$A36)</f>
        <v/>
      </c>
      <c r="D636" s="31" t="str">
        <f aca="false">IF($M636=0,"",SOUS_TRAITANCE!$B36)</f>
        <v/>
      </c>
      <c r="E636" s="26" t="str">
        <f aca="false">IF($M636=0,"","SORTIE")</f>
        <v/>
      </c>
      <c r="F636" s="26" t="str">
        <f aca="false">IF($M636=0,"","ENVOI SOUS-TRAITANCE")</f>
        <v/>
      </c>
      <c r="G636" s="26" t="str">
        <f aca="false">IF($M636=0,"",SOUS_TRAITANCE!$E36)</f>
        <v/>
      </c>
      <c r="H636" s="26" t="str">
        <f aca="false">IF($G636="","",IFERROR(INDEX(LOT_EXTE,MATCH($G636,LOT_KEY,0)),""))</f>
        <v/>
      </c>
      <c r="I636" s="26" t="str">
        <f aca="false">IF($M636=0,"",SOUS_TRAITANCE!$F36)</f>
        <v/>
      </c>
      <c r="J636" s="26" t="str">
        <f aca="false">IF($I636="","",IFERROR(INDEX(EMPL_CLASSE,MATCH($I636,EMPL_KEY,0)),""))</f>
        <v/>
      </c>
      <c r="K636" s="26" t="str">
        <f aca="false">IF($M636=0,"",SOUS_TRAITANCE!$P36)</f>
        <v/>
      </c>
      <c r="L636" s="26" t="str">
        <f aca="false">IF($G636="","",IF(IFERROR(INDEX(LOT_ETAT,MATCH($G636,LOT_KEY,0)),"")="","",INDEX(LOT_ETAT,MATCH($G636,LOT_KEY,0))))</f>
        <v/>
      </c>
      <c r="M636" s="73" t="n">
        <f aca="false">IF(OR(SOUS_TRAITANCE!$R36=0,SOUS_TRAITANCE!$D36&lt;&gt;"STOCK EXISTANT"),0,-SOUS_TRAITANCE!$G36)</f>
        <v>0</v>
      </c>
      <c r="N636" s="73" t="n">
        <f aca="false">IF($M636=0,0,SOUS_TRAITANCE!$Y36*$M636)</f>
        <v>0</v>
      </c>
      <c r="O636" s="26" t="str">
        <f aca="false">IF($M636=0,"",SOUS_TRAITANCE!$X36)</f>
        <v/>
      </c>
      <c r="P636" s="26" t="str">
        <f aca="false">IF($G636="","",IF($G636=R_LOT,COUNTIF($G$5:$G636,R_LOT),""))</f>
        <v/>
      </c>
    </row>
    <row r="637" customFormat="false" ht="15" hidden="false" customHeight="false" outlineLevel="0" collapsed="false">
      <c r="A637" s="28" t="str">
        <f aca="false">IF($M637=0,"",ROW()-4)</f>
        <v/>
      </c>
      <c r="B637" s="26" t="str">
        <f aca="false">IF($M637=0,"","SOUS-TRAITANCE")</f>
        <v/>
      </c>
      <c r="C637" s="26" t="str">
        <f aca="false">IF($M637=0,"",SOUS_TRAITANCE!$A37)</f>
        <v/>
      </c>
      <c r="D637" s="31" t="str">
        <f aca="false">IF($M637=0,"",SOUS_TRAITANCE!$B37)</f>
        <v/>
      </c>
      <c r="E637" s="26" t="str">
        <f aca="false">IF($M637=0,"","SORTIE")</f>
        <v/>
      </c>
      <c r="F637" s="26" t="str">
        <f aca="false">IF($M637=0,"","ENVOI SOUS-TRAITANCE")</f>
        <v/>
      </c>
      <c r="G637" s="26" t="str">
        <f aca="false">IF($M637=0,"",SOUS_TRAITANCE!$E37)</f>
        <v/>
      </c>
      <c r="H637" s="26" t="str">
        <f aca="false">IF($G637="","",IFERROR(INDEX(LOT_EXTE,MATCH($G637,LOT_KEY,0)),""))</f>
        <v/>
      </c>
      <c r="I637" s="26" t="str">
        <f aca="false">IF($M637=0,"",SOUS_TRAITANCE!$F37)</f>
        <v/>
      </c>
      <c r="J637" s="26" t="str">
        <f aca="false">IF($I637="","",IFERROR(INDEX(EMPL_CLASSE,MATCH($I637,EMPL_KEY,0)),""))</f>
        <v/>
      </c>
      <c r="K637" s="26" t="str">
        <f aca="false">IF($M637=0,"",SOUS_TRAITANCE!$P37)</f>
        <v/>
      </c>
      <c r="L637" s="26" t="str">
        <f aca="false">IF($G637="","",IF(IFERROR(INDEX(LOT_ETAT,MATCH($G637,LOT_KEY,0)),"")="","",INDEX(LOT_ETAT,MATCH($G637,LOT_KEY,0))))</f>
        <v/>
      </c>
      <c r="M637" s="73" t="n">
        <f aca="false">IF(OR(SOUS_TRAITANCE!$R37=0,SOUS_TRAITANCE!$D37&lt;&gt;"STOCK EXISTANT"),0,-SOUS_TRAITANCE!$G37)</f>
        <v>0</v>
      </c>
      <c r="N637" s="73" t="n">
        <f aca="false">IF($M637=0,0,SOUS_TRAITANCE!$Y37*$M637)</f>
        <v>0</v>
      </c>
      <c r="O637" s="26" t="str">
        <f aca="false">IF($M637=0,"",SOUS_TRAITANCE!$X37)</f>
        <v/>
      </c>
      <c r="P637" s="26" t="str">
        <f aca="false">IF($G637="","",IF($G637=R_LOT,COUNTIF($G$5:$G637,R_LOT),""))</f>
        <v/>
      </c>
    </row>
    <row r="638" customFormat="false" ht="15" hidden="false" customHeight="false" outlineLevel="0" collapsed="false">
      <c r="A638" s="28" t="str">
        <f aca="false">IF($M638=0,"",ROW()-4)</f>
        <v/>
      </c>
      <c r="B638" s="26" t="str">
        <f aca="false">IF($M638=0,"","SOUS-TRAITANCE")</f>
        <v/>
      </c>
      <c r="C638" s="26" t="str">
        <f aca="false">IF($M638=0,"",SOUS_TRAITANCE!$A38)</f>
        <v/>
      </c>
      <c r="D638" s="31" t="str">
        <f aca="false">IF($M638=0,"",SOUS_TRAITANCE!$B38)</f>
        <v/>
      </c>
      <c r="E638" s="26" t="str">
        <f aca="false">IF($M638=0,"","SORTIE")</f>
        <v/>
      </c>
      <c r="F638" s="26" t="str">
        <f aca="false">IF($M638=0,"","ENVOI SOUS-TRAITANCE")</f>
        <v/>
      </c>
      <c r="G638" s="26" t="str">
        <f aca="false">IF($M638=0,"",SOUS_TRAITANCE!$E38)</f>
        <v/>
      </c>
      <c r="H638" s="26" t="str">
        <f aca="false">IF($G638="","",IFERROR(INDEX(LOT_EXTE,MATCH($G638,LOT_KEY,0)),""))</f>
        <v/>
      </c>
      <c r="I638" s="26" t="str">
        <f aca="false">IF($M638=0,"",SOUS_TRAITANCE!$F38)</f>
        <v/>
      </c>
      <c r="J638" s="26" t="str">
        <f aca="false">IF($I638="","",IFERROR(INDEX(EMPL_CLASSE,MATCH($I638,EMPL_KEY,0)),""))</f>
        <v/>
      </c>
      <c r="K638" s="26" t="str">
        <f aca="false">IF($M638=0,"",SOUS_TRAITANCE!$P38)</f>
        <v/>
      </c>
      <c r="L638" s="26" t="str">
        <f aca="false">IF($G638="","",IF(IFERROR(INDEX(LOT_ETAT,MATCH($G638,LOT_KEY,0)),"")="","",INDEX(LOT_ETAT,MATCH($G638,LOT_KEY,0))))</f>
        <v/>
      </c>
      <c r="M638" s="73" t="n">
        <f aca="false">IF(OR(SOUS_TRAITANCE!$R38=0,SOUS_TRAITANCE!$D38&lt;&gt;"STOCK EXISTANT"),0,-SOUS_TRAITANCE!$G38)</f>
        <v>0</v>
      </c>
      <c r="N638" s="73" t="n">
        <f aca="false">IF($M638=0,0,SOUS_TRAITANCE!$Y38*$M638)</f>
        <v>0</v>
      </c>
      <c r="O638" s="26" t="str">
        <f aca="false">IF($M638=0,"",SOUS_TRAITANCE!$X38)</f>
        <v/>
      </c>
      <c r="P638" s="26" t="str">
        <f aca="false">IF($G638="","",IF($G638=R_LOT,COUNTIF($G$5:$G638,R_LOT),""))</f>
        <v/>
      </c>
    </row>
    <row r="639" customFormat="false" ht="15" hidden="false" customHeight="false" outlineLevel="0" collapsed="false">
      <c r="A639" s="28" t="str">
        <f aca="false">IF($M639=0,"",ROW()-4)</f>
        <v/>
      </c>
      <c r="B639" s="26" t="str">
        <f aca="false">IF($M639=0,"","SOUS-TRAITANCE")</f>
        <v/>
      </c>
      <c r="C639" s="26" t="str">
        <f aca="false">IF($M639=0,"",SOUS_TRAITANCE!$A39)</f>
        <v/>
      </c>
      <c r="D639" s="31" t="str">
        <f aca="false">IF($M639=0,"",SOUS_TRAITANCE!$B39)</f>
        <v/>
      </c>
      <c r="E639" s="26" t="str">
        <f aca="false">IF($M639=0,"","SORTIE")</f>
        <v/>
      </c>
      <c r="F639" s="26" t="str">
        <f aca="false">IF($M639=0,"","ENVOI SOUS-TRAITANCE")</f>
        <v/>
      </c>
      <c r="G639" s="26" t="str">
        <f aca="false">IF($M639=0,"",SOUS_TRAITANCE!$E39)</f>
        <v/>
      </c>
      <c r="H639" s="26" t="str">
        <f aca="false">IF($G639="","",IFERROR(INDEX(LOT_EXTE,MATCH($G639,LOT_KEY,0)),""))</f>
        <v/>
      </c>
      <c r="I639" s="26" t="str">
        <f aca="false">IF($M639=0,"",SOUS_TRAITANCE!$F39)</f>
        <v/>
      </c>
      <c r="J639" s="26" t="str">
        <f aca="false">IF($I639="","",IFERROR(INDEX(EMPL_CLASSE,MATCH($I639,EMPL_KEY,0)),""))</f>
        <v/>
      </c>
      <c r="K639" s="26" t="str">
        <f aca="false">IF($M639=0,"",SOUS_TRAITANCE!$P39)</f>
        <v/>
      </c>
      <c r="L639" s="26" t="str">
        <f aca="false">IF($G639="","",IF(IFERROR(INDEX(LOT_ETAT,MATCH($G639,LOT_KEY,0)),"")="","",INDEX(LOT_ETAT,MATCH($G639,LOT_KEY,0))))</f>
        <v/>
      </c>
      <c r="M639" s="73" t="n">
        <f aca="false">IF(OR(SOUS_TRAITANCE!$R39=0,SOUS_TRAITANCE!$D39&lt;&gt;"STOCK EXISTANT"),0,-SOUS_TRAITANCE!$G39)</f>
        <v>0</v>
      </c>
      <c r="N639" s="73" t="n">
        <f aca="false">IF($M639=0,0,SOUS_TRAITANCE!$Y39*$M639)</f>
        <v>0</v>
      </c>
      <c r="O639" s="26" t="str">
        <f aca="false">IF($M639=0,"",SOUS_TRAITANCE!$X39)</f>
        <v/>
      </c>
      <c r="P639" s="26" t="str">
        <f aca="false">IF($G639="","",IF($G639=R_LOT,COUNTIF($G$5:$G639,R_LOT),""))</f>
        <v/>
      </c>
    </row>
    <row r="640" customFormat="false" ht="15" hidden="false" customHeight="false" outlineLevel="0" collapsed="false">
      <c r="A640" s="28" t="str">
        <f aca="false">IF($M640=0,"",ROW()-4)</f>
        <v/>
      </c>
      <c r="B640" s="26" t="str">
        <f aca="false">IF($M640=0,"","SOUS-TRAITANCE")</f>
        <v/>
      </c>
      <c r="C640" s="26" t="str">
        <f aca="false">IF($M640=0,"",SOUS_TRAITANCE!$A40)</f>
        <v/>
      </c>
      <c r="D640" s="31" t="str">
        <f aca="false">IF($M640=0,"",SOUS_TRAITANCE!$B40)</f>
        <v/>
      </c>
      <c r="E640" s="26" t="str">
        <f aca="false">IF($M640=0,"","SORTIE")</f>
        <v/>
      </c>
      <c r="F640" s="26" t="str">
        <f aca="false">IF($M640=0,"","ENVOI SOUS-TRAITANCE")</f>
        <v/>
      </c>
      <c r="G640" s="26" t="str">
        <f aca="false">IF($M640=0,"",SOUS_TRAITANCE!$E40)</f>
        <v/>
      </c>
      <c r="H640" s="26" t="str">
        <f aca="false">IF($G640="","",IFERROR(INDEX(LOT_EXTE,MATCH($G640,LOT_KEY,0)),""))</f>
        <v/>
      </c>
      <c r="I640" s="26" t="str">
        <f aca="false">IF($M640=0,"",SOUS_TRAITANCE!$F40)</f>
        <v/>
      </c>
      <c r="J640" s="26" t="str">
        <f aca="false">IF($I640="","",IFERROR(INDEX(EMPL_CLASSE,MATCH($I640,EMPL_KEY,0)),""))</f>
        <v/>
      </c>
      <c r="K640" s="26" t="str">
        <f aca="false">IF($M640=0,"",SOUS_TRAITANCE!$P40)</f>
        <v/>
      </c>
      <c r="L640" s="26" t="str">
        <f aca="false">IF($G640="","",IF(IFERROR(INDEX(LOT_ETAT,MATCH($G640,LOT_KEY,0)),"")="","",INDEX(LOT_ETAT,MATCH($G640,LOT_KEY,0))))</f>
        <v/>
      </c>
      <c r="M640" s="73" t="n">
        <f aca="false">IF(OR(SOUS_TRAITANCE!$R40=0,SOUS_TRAITANCE!$D40&lt;&gt;"STOCK EXISTANT"),0,-SOUS_TRAITANCE!$G40)</f>
        <v>0</v>
      </c>
      <c r="N640" s="73" t="n">
        <f aca="false">IF($M640=0,0,SOUS_TRAITANCE!$Y40*$M640)</f>
        <v>0</v>
      </c>
      <c r="O640" s="26" t="str">
        <f aca="false">IF($M640=0,"",SOUS_TRAITANCE!$X40)</f>
        <v/>
      </c>
      <c r="P640" s="26" t="str">
        <f aca="false">IF($G640="","",IF($G640=R_LOT,COUNTIF($G$5:$G640,R_LOT),""))</f>
        <v/>
      </c>
    </row>
    <row r="641" customFormat="false" ht="15" hidden="false" customHeight="false" outlineLevel="0" collapsed="false">
      <c r="A641" s="28" t="str">
        <f aca="false">IF($M641=0,"",ROW()-4)</f>
        <v/>
      </c>
      <c r="B641" s="26" t="str">
        <f aca="false">IF($M641=0,"","SOUS-TRAITANCE")</f>
        <v/>
      </c>
      <c r="C641" s="26" t="str">
        <f aca="false">IF($M641=0,"",SOUS_TRAITANCE!$A41)</f>
        <v/>
      </c>
      <c r="D641" s="31" t="str">
        <f aca="false">IF($M641=0,"",SOUS_TRAITANCE!$B41)</f>
        <v/>
      </c>
      <c r="E641" s="26" t="str">
        <f aca="false">IF($M641=0,"","SORTIE")</f>
        <v/>
      </c>
      <c r="F641" s="26" t="str">
        <f aca="false">IF($M641=0,"","ENVOI SOUS-TRAITANCE")</f>
        <v/>
      </c>
      <c r="G641" s="26" t="str">
        <f aca="false">IF($M641=0,"",SOUS_TRAITANCE!$E41)</f>
        <v/>
      </c>
      <c r="H641" s="26" t="str">
        <f aca="false">IF($G641="","",IFERROR(INDEX(LOT_EXTE,MATCH($G641,LOT_KEY,0)),""))</f>
        <v/>
      </c>
      <c r="I641" s="26" t="str">
        <f aca="false">IF($M641=0,"",SOUS_TRAITANCE!$F41)</f>
        <v/>
      </c>
      <c r="J641" s="26" t="str">
        <f aca="false">IF($I641="","",IFERROR(INDEX(EMPL_CLASSE,MATCH($I641,EMPL_KEY,0)),""))</f>
        <v/>
      </c>
      <c r="K641" s="26" t="str">
        <f aca="false">IF($M641=0,"",SOUS_TRAITANCE!$P41)</f>
        <v/>
      </c>
      <c r="L641" s="26" t="str">
        <f aca="false">IF($G641="","",IF(IFERROR(INDEX(LOT_ETAT,MATCH($G641,LOT_KEY,0)),"")="","",INDEX(LOT_ETAT,MATCH($G641,LOT_KEY,0))))</f>
        <v/>
      </c>
      <c r="M641" s="73" t="n">
        <f aca="false">IF(OR(SOUS_TRAITANCE!$R41=0,SOUS_TRAITANCE!$D41&lt;&gt;"STOCK EXISTANT"),0,-SOUS_TRAITANCE!$G41)</f>
        <v>0</v>
      </c>
      <c r="N641" s="73" t="n">
        <f aca="false">IF($M641=0,0,SOUS_TRAITANCE!$Y41*$M641)</f>
        <v>0</v>
      </c>
      <c r="O641" s="26" t="str">
        <f aca="false">IF($M641=0,"",SOUS_TRAITANCE!$X41)</f>
        <v/>
      </c>
      <c r="P641" s="26" t="str">
        <f aca="false">IF($G641="","",IF($G641=R_LOT,COUNTIF($G$5:$G641,R_LOT),""))</f>
        <v/>
      </c>
    </row>
    <row r="642" customFormat="false" ht="15" hidden="false" customHeight="false" outlineLevel="0" collapsed="false">
      <c r="A642" s="28" t="str">
        <f aca="false">IF($M642=0,"",ROW()-4)</f>
        <v/>
      </c>
      <c r="B642" s="26" t="str">
        <f aca="false">IF($M642=0,"","SOUS-TRAITANCE")</f>
        <v/>
      </c>
      <c r="C642" s="26" t="str">
        <f aca="false">IF($M642=0,"",SOUS_TRAITANCE!$A42)</f>
        <v/>
      </c>
      <c r="D642" s="31" t="str">
        <f aca="false">IF($M642=0,"",SOUS_TRAITANCE!$B42)</f>
        <v/>
      </c>
      <c r="E642" s="26" t="str">
        <f aca="false">IF($M642=0,"","SORTIE")</f>
        <v/>
      </c>
      <c r="F642" s="26" t="str">
        <f aca="false">IF($M642=0,"","ENVOI SOUS-TRAITANCE")</f>
        <v/>
      </c>
      <c r="G642" s="26" t="str">
        <f aca="false">IF($M642=0,"",SOUS_TRAITANCE!$E42)</f>
        <v/>
      </c>
      <c r="H642" s="26" t="str">
        <f aca="false">IF($G642="","",IFERROR(INDEX(LOT_EXTE,MATCH($G642,LOT_KEY,0)),""))</f>
        <v/>
      </c>
      <c r="I642" s="26" t="str">
        <f aca="false">IF($M642=0,"",SOUS_TRAITANCE!$F42)</f>
        <v/>
      </c>
      <c r="J642" s="26" t="str">
        <f aca="false">IF($I642="","",IFERROR(INDEX(EMPL_CLASSE,MATCH($I642,EMPL_KEY,0)),""))</f>
        <v/>
      </c>
      <c r="K642" s="26" t="str">
        <f aca="false">IF($M642=0,"",SOUS_TRAITANCE!$P42)</f>
        <v/>
      </c>
      <c r="L642" s="26" t="str">
        <f aca="false">IF($G642="","",IF(IFERROR(INDEX(LOT_ETAT,MATCH($G642,LOT_KEY,0)),"")="","",INDEX(LOT_ETAT,MATCH($G642,LOT_KEY,0))))</f>
        <v/>
      </c>
      <c r="M642" s="73" t="n">
        <f aca="false">IF(OR(SOUS_TRAITANCE!$R42=0,SOUS_TRAITANCE!$D42&lt;&gt;"STOCK EXISTANT"),0,-SOUS_TRAITANCE!$G42)</f>
        <v>0</v>
      </c>
      <c r="N642" s="73" t="n">
        <f aca="false">IF($M642=0,0,SOUS_TRAITANCE!$Y42*$M642)</f>
        <v>0</v>
      </c>
      <c r="O642" s="26" t="str">
        <f aca="false">IF($M642=0,"",SOUS_TRAITANCE!$X42)</f>
        <v/>
      </c>
      <c r="P642" s="26" t="str">
        <f aca="false">IF($G642="","",IF($G642=R_LOT,COUNTIF($G$5:$G642,R_LOT),""))</f>
        <v/>
      </c>
    </row>
    <row r="643" customFormat="false" ht="15" hidden="false" customHeight="false" outlineLevel="0" collapsed="false">
      <c r="A643" s="28" t="str">
        <f aca="false">IF($M643=0,"",ROW()-4)</f>
        <v/>
      </c>
      <c r="B643" s="26" t="str">
        <f aca="false">IF($M643=0,"","SOUS-TRAITANCE")</f>
        <v/>
      </c>
      <c r="C643" s="26" t="str">
        <f aca="false">IF($M643=0,"",SOUS_TRAITANCE!$A43)</f>
        <v/>
      </c>
      <c r="D643" s="31" t="str">
        <f aca="false">IF($M643=0,"",SOUS_TRAITANCE!$B43)</f>
        <v/>
      </c>
      <c r="E643" s="26" t="str">
        <f aca="false">IF($M643=0,"","SORTIE")</f>
        <v/>
      </c>
      <c r="F643" s="26" t="str">
        <f aca="false">IF($M643=0,"","ENVOI SOUS-TRAITANCE")</f>
        <v/>
      </c>
      <c r="G643" s="26" t="str">
        <f aca="false">IF($M643=0,"",SOUS_TRAITANCE!$E43)</f>
        <v/>
      </c>
      <c r="H643" s="26" t="str">
        <f aca="false">IF($G643="","",IFERROR(INDEX(LOT_EXTE,MATCH($G643,LOT_KEY,0)),""))</f>
        <v/>
      </c>
      <c r="I643" s="26" t="str">
        <f aca="false">IF($M643=0,"",SOUS_TRAITANCE!$F43)</f>
        <v/>
      </c>
      <c r="J643" s="26" t="str">
        <f aca="false">IF($I643="","",IFERROR(INDEX(EMPL_CLASSE,MATCH($I643,EMPL_KEY,0)),""))</f>
        <v/>
      </c>
      <c r="K643" s="26" t="str">
        <f aca="false">IF($M643=0,"",SOUS_TRAITANCE!$P43)</f>
        <v/>
      </c>
      <c r="L643" s="26" t="str">
        <f aca="false">IF($G643="","",IF(IFERROR(INDEX(LOT_ETAT,MATCH($G643,LOT_KEY,0)),"")="","",INDEX(LOT_ETAT,MATCH($G643,LOT_KEY,0))))</f>
        <v/>
      </c>
      <c r="M643" s="73" t="n">
        <f aca="false">IF(OR(SOUS_TRAITANCE!$R43=0,SOUS_TRAITANCE!$D43&lt;&gt;"STOCK EXISTANT"),0,-SOUS_TRAITANCE!$G43)</f>
        <v>0</v>
      </c>
      <c r="N643" s="73" t="n">
        <f aca="false">IF($M643=0,0,SOUS_TRAITANCE!$Y43*$M643)</f>
        <v>0</v>
      </c>
      <c r="O643" s="26" t="str">
        <f aca="false">IF($M643=0,"",SOUS_TRAITANCE!$X43)</f>
        <v/>
      </c>
      <c r="P643" s="26" t="str">
        <f aca="false">IF($G643="","",IF($G643=R_LOT,COUNTIF($G$5:$G643,R_LOT),""))</f>
        <v/>
      </c>
    </row>
    <row r="644" customFormat="false" ht="15" hidden="false" customHeight="false" outlineLevel="0" collapsed="false">
      <c r="A644" s="28" t="str">
        <f aca="false">IF($M644=0,"",ROW()-4)</f>
        <v/>
      </c>
      <c r="B644" s="26" t="str">
        <f aca="false">IF($M644=0,"","SOUS-TRAITANCE")</f>
        <v/>
      </c>
      <c r="C644" s="26" t="str">
        <f aca="false">IF($M644=0,"",SOUS_TRAITANCE!$A44)</f>
        <v/>
      </c>
      <c r="D644" s="31" t="str">
        <f aca="false">IF($M644=0,"",SOUS_TRAITANCE!$B44)</f>
        <v/>
      </c>
      <c r="E644" s="26" t="str">
        <f aca="false">IF($M644=0,"","SORTIE")</f>
        <v/>
      </c>
      <c r="F644" s="26" t="str">
        <f aca="false">IF($M644=0,"","ENVOI SOUS-TRAITANCE")</f>
        <v/>
      </c>
      <c r="G644" s="26" t="str">
        <f aca="false">IF($M644=0,"",SOUS_TRAITANCE!$E44)</f>
        <v/>
      </c>
      <c r="H644" s="26" t="str">
        <f aca="false">IF($G644="","",IFERROR(INDEX(LOT_EXTE,MATCH($G644,LOT_KEY,0)),""))</f>
        <v/>
      </c>
      <c r="I644" s="26" t="str">
        <f aca="false">IF($M644=0,"",SOUS_TRAITANCE!$F44)</f>
        <v/>
      </c>
      <c r="J644" s="26" t="str">
        <f aca="false">IF($I644="","",IFERROR(INDEX(EMPL_CLASSE,MATCH($I644,EMPL_KEY,0)),""))</f>
        <v/>
      </c>
      <c r="K644" s="26" t="str">
        <f aca="false">IF($M644=0,"",SOUS_TRAITANCE!$P44)</f>
        <v/>
      </c>
      <c r="L644" s="26" t="str">
        <f aca="false">IF($G644="","",IF(IFERROR(INDEX(LOT_ETAT,MATCH($G644,LOT_KEY,0)),"")="","",INDEX(LOT_ETAT,MATCH($G644,LOT_KEY,0))))</f>
        <v/>
      </c>
      <c r="M644" s="73" t="n">
        <f aca="false">IF(OR(SOUS_TRAITANCE!$R44=0,SOUS_TRAITANCE!$D44&lt;&gt;"STOCK EXISTANT"),0,-SOUS_TRAITANCE!$G44)</f>
        <v>0</v>
      </c>
      <c r="N644" s="73" t="n">
        <f aca="false">IF($M644=0,0,SOUS_TRAITANCE!$Y44*$M644)</f>
        <v>0</v>
      </c>
      <c r="O644" s="26" t="str">
        <f aca="false">IF($M644=0,"",SOUS_TRAITANCE!$X44)</f>
        <v/>
      </c>
      <c r="P644" s="26" t="str">
        <f aca="false">IF($G644="","",IF($G644=R_LOT,COUNTIF($G$5:$G644,R_LOT),""))</f>
        <v/>
      </c>
    </row>
    <row r="645" customFormat="false" ht="15" hidden="false" customHeight="false" outlineLevel="0" collapsed="false">
      <c r="A645" s="28" t="str">
        <f aca="false">IF($M645=0,"",ROW()-4)</f>
        <v/>
      </c>
      <c r="B645" s="26" t="str">
        <f aca="false">IF($M645=0,"","SOUS-TRAITANCE")</f>
        <v/>
      </c>
      <c r="C645" s="26" t="str">
        <f aca="false">IF($M645=0,"",SOUS_TRAITANCE!$A45)</f>
        <v/>
      </c>
      <c r="D645" s="31" t="str">
        <f aca="false">IF($M645=0,"",SOUS_TRAITANCE!$B45)</f>
        <v/>
      </c>
      <c r="E645" s="26" t="str">
        <f aca="false">IF($M645=0,"","SORTIE")</f>
        <v/>
      </c>
      <c r="F645" s="26" t="str">
        <f aca="false">IF($M645=0,"","ENVOI SOUS-TRAITANCE")</f>
        <v/>
      </c>
      <c r="G645" s="26" t="str">
        <f aca="false">IF($M645=0,"",SOUS_TRAITANCE!$E45)</f>
        <v/>
      </c>
      <c r="H645" s="26" t="str">
        <f aca="false">IF($G645="","",IFERROR(INDEX(LOT_EXTE,MATCH($G645,LOT_KEY,0)),""))</f>
        <v/>
      </c>
      <c r="I645" s="26" t="str">
        <f aca="false">IF($M645=0,"",SOUS_TRAITANCE!$F45)</f>
        <v/>
      </c>
      <c r="J645" s="26" t="str">
        <f aca="false">IF($I645="","",IFERROR(INDEX(EMPL_CLASSE,MATCH($I645,EMPL_KEY,0)),""))</f>
        <v/>
      </c>
      <c r="K645" s="26" t="str">
        <f aca="false">IF($M645=0,"",SOUS_TRAITANCE!$P45)</f>
        <v/>
      </c>
      <c r="L645" s="26" t="str">
        <f aca="false">IF($G645="","",IF(IFERROR(INDEX(LOT_ETAT,MATCH($G645,LOT_KEY,0)),"")="","",INDEX(LOT_ETAT,MATCH($G645,LOT_KEY,0))))</f>
        <v/>
      </c>
      <c r="M645" s="73" t="n">
        <f aca="false">IF(OR(SOUS_TRAITANCE!$R45=0,SOUS_TRAITANCE!$D45&lt;&gt;"STOCK EXISTANT"),0,-SOUS_TRAITANCE!$G45)</f>
        <v>0</v>
      </c>
      <c r="N645" s="73" t="n">
        <f aca="false">IF($M645=0,0,SOUS_TRAITANCE!$Y45*$M645)</f>
        <v>0</v>
      </c>
      <c r="O645" s="26" t="str">
        <f aca="false">IF($M645=0,"",SOUS_TRAITANCE!$X45)</f>
        <v/>
      </c>
      <c r="P645" s="26" t="str">
        <f aca="false">IF($G645="","",IF($G645=R_LOT,COUNTIF($G$5:$G645,R_LOT),""))</f>
        <v/>
      </c>
    </row>
    <row r="646" customFormat="false" ht="15" hidden="false" customHeight="false" outlineLevel="0" collapsed="false">
      <c r="A646" s="28" t="str">
        <f aca="false">IF($M646=0,"",ROW()-4)</f>
        <v/>
      </c>
      <c r="B646" s="26" t="str">
        <f aca="false">IF($M646=0,"","SOUS-TRAITANCE")</f>
        <v/>
      </c>
      <c r="C646" s="26" t="str">
        <f aca="false">IF($M646=0,"",SOUS_TRAITANCE!$A46)</f>
        <v/>
      </c>
      <c r="D646" s="31" t="str">
        <f aca="false">IF($M646=0,"",SOUS_TRAITANCE!$B46)</f>
        <v/>
      </c>
      <c r="E646" s="26" t="str">
        <f aca="false">IF($M646=0,"","SORTIE")</f>
        <v/>
      </c>
      <c r="F646" s="26" t="str">
        <f aca="false">IF($M646=0,"","ENVOI SOUS-TRAITANCE")</f>
        <v/>
      </c>
      <c r="G646" s="26" t="str">
        <f aca="false">IF($M646=0,"",SOUS_TRAITANCE!$E46)</f>
        <v/>
      </c>
      <c r="H646" s="26" t="str">
        <f aca="false">IF($G646="","",IFERROR(INDEX(LOT_EXTE,MATCH($G646,LOT_KEY,0)),""))</f>
        <v/>
      </c>
      <c r="I646" s="26" t="str">
        <f aca="false">IF($M646=0,"",SOUS_TRAITANCE!$F46)</f>
        <v/>
      </c>
      <c r="J646" s="26" t="str">
        <f aca="false">IF($I646="","",IFERROR(INDEX(EMPL_CLASSE,MATCH($I646,EMPL_KEY,0)),""))</f>
        <v/>
      </c>
      <c r="K646" s="26" t="str">
        <f aca="false">IF($M646=0,"",SOUS_TRAITANCE!$P46)</f>
        <v/>
      </c>
      <c r="L646" s="26" t="str">
        <f aca="false">IF($G646="","",IF(IFERROR(INDEX(LOT_ETAT,MATCH($G646,LOT_KEY,0)),"")="","",INDEX(LOT_ETAT,MATCH($G646,LOT_KEY,0))))</f>
        <v/>
      </c>
      <c r="M646" s="73" t="n">
        <f aca="false">IF(OR(SOUS_TRAITANCE!$R46=0,SOUS_TRAITANCE!$D46&lt;&gt;"STOCK EXISTANT"),0,-SOUS_TRAITANCE!$G46)</f>
        <v>0</v>
      </c>
      <c r="N646" s="73" t="n">
        <f aca="false">IF($M646=0,0,SOUS_TRAITANCE!$Y46*$M646)</f>
        <v>0</v>
      </c>
      <c r="O646" s="26" t="str">
        <f aca="false">IF($M646=0,"",SOUS_TRAITANCE!$X46)</f>
        <v/>
      </c>
      <c r="P646" s="26" t="str">
        <f aca="false">IF($G646="","",IF($G646=R_LOT,COUNTIF($G$5:$G646,R_LOT),""))</f>
        <v/>
      </c>
    </row>
    <row r="647" customFormat="false" ht="15" hidden="false" customHeight="false" outlineLevel="0" collapsed="false">
      <c r="A647" s="28" t="str">
        <f aca="false">IF($M647=0,"",ROW()-4)</f>
        <v/>
      </c>
      <c r="B647" s="26" t="str">
        <f aca="false">IF($M647=0,"","SOUS-TRAITANCE")</f>
        <v/>
      </c>
      <c r="C647" s="26" t="str">
        <f aca="false">IF($M647=0,"",SOUS_TRAITANCE!$A47)</f>
        <v/>
      </c>
      <c r="D647" s="31" t="str">
        <f aca="false">IF($M647=0,"",SOUS_TRAITANCE!$B47)</f>
        <v/>
      </c>
      <c r="E647" s="26" t="str">
        <f aca="false">IF($M647=0,"","SORTIE")</f>
        <v/>
      </c>
      <c r="F647" s="26" t="str">
        <f aca="false">IF($M647=0,"","ENVOI SOUS-TRAITANCE")</f>
        <v/>
      </c>
      <c r="G647" s="26" t="str">
        <f aca="false">IF($M647=0,"",SOUS_TRAITANCE!$E47)</f>
        <v/>
      </c>
      <c r="H647" s="26" t="str">
        <f aca="false">IF($G647="","",IFERROR(INDEX(LOT_EXTE,MATCH($G647,LOT_KEY,0)),""))</f>
        <v/>
      </c>
      <c r="I647" s="26" t="str">
        <f aca="false">IF($M647=0,"",SOUS_TRAITANCE!$F47)</f>
        <v/>
      </c>
      <c r="J647" s="26" t="str">
        <f aca="false">IF($I647="","",IFERROR(INDEX(EMPL_CLASSE,MATCH($I647,EMPL_KEY,0)),""))</f>
        <v/>
      </c>
      <c r="K647" s="26" t="str">
        <f aca="false">IF($M647=0,"",SOUS_TRAITANCE!$P47)</f>
        <v/>
      </c>
      <c r="L647" s="26" t="str">
        <f aca="false">IF($G647="","",IF(IFERROR(INDEX(LOT_ETAT,MATCH($G647,LOT_KEY,0)),"")="","",INDEX(LOT_ETAT,MATCH($G647,LOT_KEY,0))))</f>
        <v/>
      </c>
      <c r="M647" s="73" t="n">
        <f aca="false">IF(OR(SOUS_TRAITANCE!$R47=0,SOUS_TRAITANCE!$D47&lt;&gt;"STOCK EXISTANT"),0,-SOUS_TRAITANCE!$G47)</f>
        <v>0</v>
      </c>
      <c r="N647" s="73" t="n">
        <f aca="false">IF($M647=0,0,SOUS_TRAITANCE!$Y47*$M647)</f>
        <v>0</v>
      </c>
      <c r="O647" s="26" t="str">
        <f aca="false">IF($M647=0,"",SOUS_TRAITANCE!$X47)</f>
        <v/>
      </c>
      <c r="P647" s="26" t="str">
        <f aca="false">IF($G647="","",IF($G647=R_LOT,COUNTIF($G$5:$G647,R_LOT),""))</f>
        <v/>
      </c>
    </row>
    <row r="648" customFormat="false" ht="15" hidden="false" customHeight="false" outlineLevel="0" collapsed="false">
      <c r="A648" s="28" t="str">
        <f aca="false">IF($M648=0,"",ROW()-4)</f>
        <v/>
      </c>
      <c r="B648" s="26" t="str">
        <f aca="false">IF($M648=0,"","SOUS-TRAITANCE")</f>
        <v/>
      </c>
      <c r="C648" s="26" t="str">
        <f aca="false">IF($M648=0,"",SOUS_TRAITANCE!$A48)</f>
        <v/>
      </c>
      <c r="D648" s="31" t="str">
        <f aca="false">IF($M648=0,"",SOUS_TRAITANCE!$B48)</f>
        <v/>
      </c>
      <c r="E648" s="26" t="str">
        <f aca="false">IF($M648=0,"","SORTIE")</f>
        <v/>
      </c>
      <c r="F648" s="26" t="str">
        <f aca="false">IF($M648=0,"","ENVOI SOUS-TRAITANCE")</f>
        <v/>
      </c>
      <c r="G648" s="26" t="str">
        <f aca="false">IF($M648=0,"",SOUS_TRAITANCE!$E48)</f>
        <v/>
      </c>
      <c r="H648" s="26" t="str">
        <f aca="false">IF($G648="","",IFERROR(INDEX(LOT_EXTE,MATCH($G648,LOT_KEY,0)),""))</f>
        <v/>
      </c>
      <c r="I648" s="26" t="str">
        <f aca="false">IF($M648=0,"",SOUS_TRAITANCE!$F48)</f>
        <v/>
      </c>
      <c r="J648" s="26" t="str">
        <f aca="false">IF($I648="","",IFERROR(INDEX(EMPL_CLASSE,MATCH($I648,EMPL_KEY,0)),""))</f>
        <v/>
      </c>
      <c r="K648" s="26" t="str">
        <f aca="false">IF($M648=0,"",SOUS_TRAITANCE!$P48)</f>
        <v/>
      </c>
      <c r="L648" s="26" t="str">
        <f aca="false">IF($G648="","",IF(IFERROR(INDEX(LOT_ETAT,MATCH($G648,LOT_KEY,0)),"")="","",INDEX(LOT_ETAT,MATCH($G648,LOT_KEY,0))))</f>
        <v/>
      </c>
      <c r="M648" s="73" t="n">
        <f aca="false">IF(OR(SOUS_TRAITANCE!$R48=0,SOUS_TRAITANCE!$D48&lt;&gt;"STOCK EXISTANT"),0,-SOUS_TRAITANCE!$G48)</f>
        <v>0</v>
      </c>
      <c r="N648" s="73" t="n">
        <f aca="false">IF($M648=0,0,SOUS_TRAITANCE!$Y48*$M648)</f>
        <v>0</v>
      </c>
      <c r="O648" s="26" t="str">
        <f aca="false">IF($M648=0,"",SOUS_TRAITANCE!$X48)</f>
        <v/>
      </c>
      <c r="P648" s="26" t="str">
        <f aca="false">IF($G648="","",IF($G648=R_LOT,COUNTIF($G$5:$G648,R_LOT),""))</f>
        <v/>
      </c>
    </row>
    <row r="649" customFormat="false" ht="15" hidden="false" customHeight="false" outlineLevel="0" collapsed="false">
      <c r="A649" s="28" t="str">
        <f aca="false">IF($M649=0,"",ROW()-4)</f>
        <v/>
      </c>
      <c r="B649" s="26" t="str">
        <f aca="false">IF($M649=0,"","SOUS-TRAITANCE")</f>
        <v/>
      </c>
      <c r="C649" s="26" t="str">
        <f aca="false">IF($M649=0,"",SOUS_TRAITANCE!$A49)</f>
        <v/>
      </c>
      <c r="D649" s="31" t="str">
        <f aca="false">IF($M649=0,"",SOUS_TRAITANCE!$B49)</f>
        <v/>
      </c>
      <c r="E649" s="26" t="str">
        <f aca="false">IF($M649=0,"","SORTIE")</f>
        <v/>
      </c>
      <c r="F649" s="26" t="str">
        <f aca="false">IF($M649=0,"","ENVOI SOUS-TRAITANCE")</f>
        <v/>
      </c>
      <c r="G649" s="26" t="str">
        <f aca="false">IF($M649=0,"",SOUS_TRAITANCE!$E49)</f>
        <v/>
      </c>
      <c r="H649" s="26" t="str">
        <f aca="false">IF($G649="","",IFERROR(INDEX(LOT_EXTE,MATCH($G649,LOT_KEY,0)),""))</f>
        <v/>
      </c>
      <c r="I649" s="26" t="str">
        <f aca="false">IF($M649=0,"",SOUS_TRAITANCE!$F49)</f>
        <v/>
      </c>
      <c r="J649" s="26" t="str">
        <f aca="false">IF($I649="","",IFERROR(INDEX(EMPL_CLASSE,MATCH($I649,EMPL_KEY,0)),""))</f>
        <v/>
      </c>
      <c r="K649" s="26" t="str">
        <f aca="false">IF($M649=0,"",SOUS_TRAITANCE!$P49)</f>
        <v/>
      </c>
      <c r="L649" s="26" t="str">
        <f aca="false">IF($G649="","",IF(IFERROR(INDEX(LOT_ETAT,MATCH($G649,LOT_KEY,0)),"")="","",INDEX(LOT_ETAT,MATCH($G649,LOT_KEY,0))))</f>
        <v/>
      </c>
      <c r="M649" s="73" t="n">
        <f aca="false">IF(OR(SOUS_TRAITANCE!$R49=0,SOUS_TRAITANCE!$D49&lt;&gt;"STOCK EXISTANT"),0,-SOUS_TRAITANCE!$G49)</f>
        <v>0</v>
      </c>
      <c r="N649" s="73" t="n">
        <f aca="false">IF($M649=0,0,SOUS_TRAITANCE!$Y49*$M649)</f>
        <v>0</v>
      </c>
      <c r="O649" s="26" t="str">
        <f aca="false">IF($M649=0,"",SOUS_TRAITANCE!$X49)</f>
        <v/>
      </c>
      <c r="P649" s="26" t="str">
        <f aca="false">IF($G649="","",IF($G649=R_LOT,COUNTIF($G$5:$G649,R_LOT),""))</f>
        <v/>
      </c>
    </row>
    <row r="650" customFormat="false" ht="15" hidden="false" customHeight="false" outlineLevel="0" collapsed="false">
      <c r="A650" s="28" t="str">
        <f aca="false">IF($M650=0,"",ROW()-4)</f>
        <v/>
      </c>
      <c r="B650" s="26" t="str">
        <f aca="false">IF($M650=0,"","SOUS-TRAITANCE")</f>
        <v/>
      </c>
      <c r="C650" s="26" t="str">
        <f aca="false">IF($M650=0,"",SOUS_TRAITANCE!$A50)</f>
        <v/>
      </c>
      <c r="D650" s="31" t="str">
        <f aca="false">IF($M650=0,"",SOUS_TRAITANCE!$B50)</f>
        <v/>
      </c>
      <c r="E650" s="26" t="str">
        <f aca="false">IF($M650=0,"","SORTIE")</f>
        <v/>
      </c>
      <c r="F650" s="26" t="str">
        <f aca="false">IF($M650=0,"","ENVOI SOUS-TRAITANCE")</f>
        <v/>
      </c>
      <c r="G650" s="26" t="str">
        <f aca="false">IF($M650=0,"",SOUS_TRAITANCE!$E50)</f>
        <v/>
      </c>
      <c r="H650" s="26" t="str">
        <f aca="false">IF($G650="","",IFERROR(INDEX(LOT_EXTE,MATCH($G650,LOT_KEY,0)),""))</f>
        <v/>
      </c>
      <c r="I650" s="26" t="str">
        <f aca="false">IF($M650=0,"",SOUS_TRAITANCE!$F50)</f>
        <v/>
      </c>
      <c r="J650" s="26" t="str">
        <f aca="false">IF($I650="","",IFERROR(INDEX(EMPL_CLASSE,MATCH($I650,EMPL_KEY,0)),""))</f>
        <v/>
      </c>
      <c r="K650" s="26" t="str">
        <f aca="false">IF($M650=0,"",SOUS_TRAITANCE!$P50)</f>
        <v/>
      </c>
      <c r="L650" s="26" t="str">
        <f aca="false">IF($G650="","",IF(IFERROR(INDEX(LOT_ETAT,MATCH($G650,LOT_KEY,0)),"")="","",INDEX(LOT_ETAT,MATCH($G650,LOT_KEY,0))))</f>
        <v/>
      </c>
      <c r="M650" s="73" t="n">
        <f aca="false">IF(OR(SOUS_TRAITANCE!$R50=0,SOUS_TRAITANCE!$D50&lt;&gt;"STOCK EXISTANT"),0,-SOUS_TRAITANCE!$G50)</f>
        <v>0</v>
      </c>
      <c r="N650" s="73" t="n">
        <f aca="false">IF($M650=0,0,SOUS_TRAITANCE!$Y50*$M650)</f>
        <v>0</v>
      </c>
      <c r="O650" s="26" t="str">
        <f aca="false">IF($M650=0,"",SOUS_TRAITANCE!$X50)</f>
        <v/>
      </c>
      <c r="P650" s="26" t="str">
        <f aca="false">IF($G650="","",IF($G650=R_LOT,COUNTIF($G$5:$G650,R_LOT),""))</f>
        <v/>
      </c>
    </row>
    <row r="651" customFormat="false" ht="15" hidden="false" customHeight="false" outlineLevel="0" collapsed="false">
      <c r="A651" s="28" t="str">
        <f aca="false">IF($M651=0,"",ROW()-4)</f>
        <v/>
      </c>
      <c r="B651" s="26" t="str">
        <f aca="false">IF($M651=0,"","SOUS-TRAITANCE")</f>
        <v/>
      </c>
      <c r="C651" s="26" t="str">
        <f aca="false">IF($M651=0,"",SOUS_TRAITANCE!$A51)</f>
        <v/>
      </c>
      <c r="D651" s="31" t="str">
        <f aca="false">IF($M651=0,"",SOUS_TRAITANCE!$B51)</f>
        <v/>
      </c>
      <c r="E651" s="26" t="str">
        <f aca="false">IF($M651=0,"","SORTIE")</f>
        <v/>
      </c>
      <c r="F651" s="26" t="str">
        <f aca="false">IF($M651=0,"","ENVOI SOUS-TRAITANCE")</f>
        <v/>
      </c>
      <c r="G651" s="26" t="str">
        <f aca="false">IF($M651=0,"",SOUS_TRAITANCE!$E51)</f>
        <v/>
      </c>
      <c r="H651" s="26" t="str">
        <f aca="false">IF($G651="","",IFERROR(INDEX(LOT_EXTE,MATCH($G651,LOT_KEY,0)),""))</f>
        <v/>
      </c>
      <c r="I651" s="26" t="str">
        <f aca="false">IF($M651=0,"",SOUS_TRAITANCE!$F51)</f>
        <v/>
      </c>
      <c r="J651" s="26" t="str">
        <f aca="false">IF($I651="","",IFERROR(INDEX(EMPL_CLASSE,MATCH($I651,EMPL_KEY,0)),""))</f>
        <v/>
      </c>
      <c r="K651" s="26" t="str">
        <f aca="false">IF($M651=0,"",SOUS_TRAITANCE!$P51)</f>
        <v/>
      </c>
      <c r="L651" s="26" t="str">
        <f aca="false">IF($G651="","",IF(IFERROR(INDEX(LOT_ETAT,MATCH($G651,LOT_KEY,0)),"")="","",INDEX(LOT_ETAT,MATCH($G651,LOT_KEY,0))))</f>
        <v/>
      </c>
      <c r="M651" s="73" t="n">
        <f aca="false">IF(OR(SOUS_TRAITANCE!$R51=0,SOUS_TRAITANCE!$D51&lt;&gt;"STOCK EXISTANT"),0,-SOUS_TRAITANCE!$G51)</f>
        <v>0</v>
      </c>
      <c r="N651" s="73" t="n">
        <f aca="false">IF($M651=0,0,SOUS_TRAITANCE!$Y51*$M651)</f>
        <v>0</v>
      </c>
      <c r="O651" s="26" t="str">
        <f aca="false">IF($M651=0,"",SOUS_TRAITANCE!$X51)</f>
        <v/>
      </c>
      <c r="P651" s="26" t="str">
        <f aca="false">IF($G651="","",IF($G651=R_LOT,COUNTIF($G$5:$G651,R_LOT),""))</f>
        <v/>
      </c>
    </row>
    <row r="652" customFormat="false" ht="15" hidden="false" customHeight="false" outlineLevel="0" collapsed="false">
      <c r="A652" s="28" t="str">
        <f aca="false">IF($M652=0,"",ROW()-4)</f>
        <v/>
      </c>
      <c r="B652" s="26" t="str">
        <f aca="false">IF($M652=0,"","SOUS-TRAITANCE")</f>
        <v/>
      </c>
      <c r="C652" s="26" t="str">
        <f aca="false">IF($M652=0,"",SOUS_TRAITANCE!$A52)</f>
        <v/>
      </c>
      <c r="D652" s="31" t="str">
        <f aca="false">IF($M652=0,"",SOUS_TRAITANCE!$B52)</f>
        <v/>
      </c>
      <c r="E652" s="26" t="str">
        <f aca="false">IF($M652=0,"","SORTIE")</f>
        <v/>
      </c>
      <c r="F652" s="26" t="str">
        <f aca="false">IF($M652=0,"","ENVOI SOUS-TRAITANCE")</f>
        <v/>
      </c>
      <c r="G652" s="26" t="str">
        <f aca="false">IF($M652=0,"",SOUS_TRAITANCE!$E52)</f>
        <v/>
      </c>
      <c r="H652" s="26" t="str">
        <f aca="false">IF($G652="","",IFERROR(INDEX(LOT_EXTE,MATCH($G652,LOT_KEY,0)),""))</f>
        <v/>
      </c>
      <c r="I652" s="26" t="str">
        <f aca="false">IF($M652=0,"",SOUS_TRAITANCE!$F52)</f>
        <v/>
      </c>
      <c r="J652" s="26" t="str">
        <f aca="false">IF($I652="","",IFERROR(INDEX(EMPL_CLASSE,MATCH($I652,EMPL_KEY,0)),""))</f>
        <v/>
      </c>
      <c r="K652" s="26" t="str">
        <f aca="false">IF($M652=0,"",SOUS_TRAITANCE!$P52)</f>
        <v/>
      </c>
      <c r="L652" s="26" t="str">
        <f aca="false">IF($G652="","",IF(IFERROR(INDEX(LOT_ETAT,MATCH($G652,LOT_KEY,0)),"")="","",INDEX(LOT_ETAT,MATCH($G652,LOT_KEY,0))))</f>
        <v/>
      </c>
      <c r="M652" s="73" t="n">
        <f aca="false">IF(OR(SOUS_TRAITANCE!$R52=0,SOUS_TRAITANCE!$D52&lt;&gt;"STOCK EXISTANT"),0,-SOUS_TRAITANCE!$G52)</f>
        <v>0</v>
      </c>
      <c r="N652" s="73" t="n">
        <f aca="false">IF($M652=0,0,SOUS_TRAITANCE!$Y52*$M652)</f>
        <v>0</v>
      </c>
      <c r="O652" s="26" t="str">
        <f aca="false">IF($M652=0,"",SOUS_TRAITANCE!$X52)</f>
        <v/>
      </c>
      <c r="P652" s="26" t="str">
        <f aca="false">IF($G652="","",IF($G652=R_LOT,COUNTIF($G$5:$G652,R_LOT),""))</f>
        <v/>
      </c>
    </row>
    <row r="653" customFormat="false" ht="15" hidden="false" customHeight="false" outlineLevel="0" collapsed="false">
      <c r="A653" s="28" t="str">
        <f aca="false">IF($M653=0,"",ROW()-4)</f>
        <v/>
      </c>
      <c r="B653" s="26" t="str">
        <f aca="false">IF($M653=0,"","SOUS-TRAITANCE")</f>
        <v/>
      </c>
      <c r="C653" s="26" t="str">
        <f aca="false">IF($M653=0,"",SOUS_TRAITANCE!$A53)</f>
        <v/>
      </c>
      <c r="D653" s="31" t="str">
        <f aca="false">IF($M653=0,"",SOUS_TRAITANCE!$B53)</f>
        <v/>
      </c>
      <c r="E653" s="26" t="str">
        <f aca="false">IF($M653=0,"","SORTIE")</f>
        <v/>
      </c>
      <c r="F653" s="26" t="str">
        <f aca="false">IF($M653=0,"","ENVOI SOUS-TRAITANCE")</f>
        <v/>
      </c>
      <c r="G653" s="26" t="str">
        <f aca="false">IF($M653=0,"",SOUS_TRAITANCE!$E53)</f>
        <v/>
      </c>
      <c r="H653" s="26" t="str">
        <f aca="false">IF($G653="","",IFERROR(INDEX(LOT_EXTE,MATCH($G653,LOT_KEY,0)),""))</f>
        <v/>
      </c>
      <c r="I653" s="26" t="str">
        <f aca="false">IF($M653=0,"",SOUS_TRAITANCE!$F53)</f>
        <v/>
      </c>
      <c r="J653" s="26" t="str">
        <f aca="false">IF($I653="","",IFERROR(INDEX(EMPL_CLASSE,MATCH($I653,EMPL_KEY,0)),""))</f>
        <v/>
      </c>
      <c r="K653" s="26" t="str">
        <f aca="false">IF($M653=0,"",SOUS_TRAITANCE!$P53)</f>
        <v/>
      </c>
      <c r="L653" s="26" t="str">
        <f aca="false">IF($G653="","",IF(IFERROR(INDEX(LOT_ETAT,MATCH($G653,LOT_KEY,0)),"")="","",INDEX(LOT_ETAT,MATCH($G653,LOT_KEY,0))))</f>
        <v/>
      </c>
      <c r="M653" s="73" t="n">
        <f aca="false">IF(OR(SOUS_TRAITANCE!$R53=0,SOUS_TRAITANCE!$D53&lt;&gt;"STOCK EXISTANT"),0,-SOUS_TRAITANCE!$G53)</f>
        <v>0</v>
      </c>
      <c r="N653" s="73" t="n">
        <f aca="false">IF($M653=0,0,SOUS_TRAITANCE!$Y53*$M653)</f>
        <v>0</v>
      </c>
      <c r="O653" s="26" t="str">
        <f aca="false">IF($M653=0,"",SOUS_TRAITANCE!$X53)</f>
        <v/>
      </c>
      <c r="P653" s="26" t="str">
        <f aca="false">IF($G653="","",IF($G653=R_LOT,COUNTIF($G$5:$G653,R_LOT),""))</f>
        <v/>
      </c>
    </row>
    <row r="654" customFormat="false" ht="15" hidden="false" customHeight="false" outlineLevel="0" collapsed="false">
      <c r="A654" s="28" t="str">
        <f aca="false">IF($M654=0,"",ROW()-4)</f>
        <v/>
      </c>
      <c r="B654" s="26" t="str">
        <f aca="false">IF($M654=0,"","SOUS-TRAITANCE")</f>
        <v/>
      </c>
      <c r="C654" s="26" t="str">
        <f aca="false">IF($M654=0,"",SOUS_TRAITANCE!$A54)</f>
        <v/>
      </c>
      <c r="D654" s="31" t="str">
        <f aca="false">IF($M654=0,"",SOUS_TRAITANCE!$B54)</f>
        <v/>
      </c>
      <c r="E654" s="26" t="str">
        <f aca="false">IF($M654=0,"","SORTIE")</f>
        <v/>
      </c>
      <c r="F654" s="26" t="str">
        <f aca="false">IF($M654=0,"","ENVOI SOUS-TRAITANCE")</f>
        <v/>
      </c>
      <c r="G654" s="26" t="str">
        <f aca="false">IF($M654=0,"",SOUS_TRAITANCE!$E54)</f>
        <v/>
      </c>
      <c r="H654" s="26" t="str">
        <f aca="false">IF($G654="","",IFERROR(INDEX(LOT_EXTE,MATCH($G654,LOT_KEY,0)),""))</f>
        <v/>
      </c>
      <c r="I654" s="26" t="str">
        <f aca="false">IF($M654=0,"",SOUS_TRAITANCE!$F54)</f>
        <v/>
      </c>
      <c r="J654" s="26" t="str">
        <f aca="false">IF($I654="","",IFERROR(INDEX(EMPL_CLASSE,MATCH($I654,EMPL_KEY,0)),""))</f>
        <v/>
      </c>
      <c r="K654" s="26" t="str">
        <f aca="false">IF($M654=0,"",SOUS_TRAITANCE!$P54)</f>
        <v/>
      </c>
      <c r="L654" s="26" t="str">
        <f aca="false">IF($G654="","",IF(IFERROR(INDEX(LOT_ETAT,MATCH($G654,LOT_KEY,0)),"")="","",INDEX(LOT_ETAT,MATCH($G654,LOT_KEY,0))))</f>
        <v/>
      </c>
      <c r="M654" s="73" t="n">
        <f aca="false">IF(OR(SOUS_TRAITANCE!$R54=0,SOUS_TRAITANCE!$D54&lt;&gt;"STOCK EXISTANT"),0,-SOUS_TRAITANCE!$G54)</f>
        <v>0</v>
      </c>
      <c r="N654" s="73" t="n">
        <f aca="false">IF($M654=0,0,SOUS_TRAITANCE!$Y54*$M654)</f>
        <v>0</v>
      </c>
      <c r="O654" s="26" t="str">
        <f aca="false">IF($M654=0,"",SOUS_TRAITANCE!$X54)</f>
        <v/>
      </c>
      <c r="P654" s="26" t="str">
        <f aca="false">IF($G654="","",IF($G654=R_LOT,COUNTIF($G$5:$G654,R_LOT),""))</f>
        <v/>
      </c>
    </row>
    <row r="655" customFormat="false" ht="15" hidden="false" customHeight="false" outlineLevel="0" collapsed="false">
      <c r="A655" s="28" t="str">
        <f aca="false">IF($M655=0,"",ROW()-4)</f>
        <v/>
      </c>
      <c r="B655" s="26" t="str">
        <f aca="false">IF($M655=0,"","SOUS-TRAITANCE")</f>
        <v/>
      </c>
      <c r="C655" s="26" t="str">
        <f aca="false">IF($M655=0,"",SOUS_TRAITANCE!$A55)</f>
        <v/>
      </c>
      <c r="D655" s="31" t="str">
        <f aca="false">IF($M655=0,"",SOUS_TRAITANCE!$B55)</f>
        <v/>
      </c>
      <c r="E655" s="26" t="str">
        <f aca="false">IF($M655=0,"","SORTIE")</f>
        <v/>
      </c>
      <c r="F655" s="26" t="str">
        <f aca="false">IF($M655=0,"","ENVOI SOUS-TRAITANCE")</f>
        <v/>
      </c>
      <c r="G655" s="26" t="str">
        <f aca="false">IF($M655=0,"",SOUS_TRAITANCE!$E55)</f>
        <v/>
      </c>
      <c r="H655" s="26" t="str">
        <f aca="false">IF($G655="","",IFERROR(INDEX(LOT_EXTE,MATCH($G655,LOT_KEY,0)),""))</f>
        <v/>
      </c>
      <c r="I655" s="26" t="str">
        <f aca="false">IF($M655=0,"",SOUS_TRAITANCE!$F55)</f>
        <v/>
      </c>
      <c r="J655" s="26" t="str">
        <f aca="false">IF($I655="","",IFERROR(INDEX(EMPL_CLASSE,MATCH($I655,EMPL_KEY,0)),""))</f>
        <v/>
      </c>
      <c r="K655" s="26" t="str">
        <f aca="false">IF($M655=0,"",SOUS_TRAITANCE!$P55)</f>
        <v/>
      </c>
      <c r="L655" s="26" t="str">
        <f aca="false">IF($G655="","",IF(IFERROR(INDEX(LOT_ETAT,MATCH($G655,LOT_KEY,0)),"")="","",INDEX(LOT_ETAT,MATCH($G655,LOT_KEY,0))))</f>
        <v/>
      </c>
      <c r="M655" s="73" t="n">
        <f aca="false">IF(OR(SOUS_TRAITANCE!$R55=0,SOUS_TRAITANCE!$D55&lt;&gt;"STOCK EXISTANT"),0,-SOUS_TRAITANCE!$G55)</f>
        <v>0</v>
      </c>
      <c r="N655" s="73" t="n">
        <f aca="false">IF($M655=0,0,SOUS_TRAITANCE!$Y55*$M655)</f>
        <v>0</v>
      </c>
      <c r="O655" s="26" t="str">
        <f aca="false">IF($M655=0,"",SOUS_TRAITANCE!$X55)</f>
        <v/>
      </c>
      <c r="P655" s="26" t="str">
        <f aca="false">IF($G655="","",IF($G655=R_LOT,COUNTIF($G$5:$G655,R_LOT),""))</f>
        <v/>
      </c>
    </row>
    <row r="656" customFormat="false" ht="15" hidden="false" customHeight="false" outlineLevel="0" collapsed="false">
      <c r="A656" s="28" t="str">
        <f aca="false">IF($M656=0,"",ROW()-4)</f>
        <v/>
      </c>
      <c r="B656" s="26" t="str">
        <f aca="false">IF($M656=0,"","SOUS-TRAITANCE")</f>
        <v/>
      </c>
      <c r="C656" s="26" t="str">
        <f aca="false">IF($M656=0,"",SOUS_TRAITANCE!$A56)</f>
        <v/>
      </c>
      <c r="D656" s="31" t="str">
        <f aca="false">IF($M656=0,"",SOUS_TRAITANCE!$B56)</f>
        <v/>
      </c>
      <c r="E656" s="26" t="str">
        <f aca="false">IF($M656=0,"","SORTIE")</f>
        <v/>
      </c>
      <c r="F656" s="26" t="str">
        <f aca="false">IF($M656=0,"","ENVOI SOUS-TRAITANCE")</f>
        <v/>
      </c>
      <c r="G656" s="26" t="str">
        <f aca="false">IF($M656=0,"",SOUS_TRAITANCE!$E56)</f>
        <v/>
      </c>
      <c r="H656" s="26" t="str">
        <f aca="false">IF($G656="","",IFERROR(INDEX(LOT_EXTE,MATCH($G656,LOT_KEY,0)),""))</f>
        <v/>
      </c>
      <c r="I656" s="26" t="str">
        <f aca="false">IF($M656=0,"",SOUS_TRAITANCE!$F56)</f>
        <v/>
      </c>
      <c r="J656" s="26" t="str">
        <f aca="false">IF($I656="","",IFERROR(INDEX(EMPL_CLASSE,MATCH($I656,EMPL_KEY,0)),""))</f>
        <v/>
      </c>
      <c r="K656" s="26" t="str">
        <f aca="false">IF($M656=0,"",SOUS_TRAITANCE!$P56)</f>
        <v/>
      </c>
      <c r="L656" s="26" t="str">
        <f aca="false">IF($G656="","",IF(IFERROR(INDEX(LOT_ETAT,MATCH($G656,LOT_KEY,0)),"")="","",INDEX(LOT_ETAT,MATCH($G656,LOT_KEY,0))))</f>
        <v/>
      </c>
      <c r="M656" s="73" t="n">
        <f aca="false">IF(OR(SOUS_TRAITANCE!$R56=0,SOUS_TRAITANCE!$D56&lt;&gt;"STOCK EXISTANT"),0,-SOUS_TRAITANCE!$G56)</f>
        <v>0</v>
      </c>
      <c r="N656" s="73" t="n">
        <f aca="false">IF($M656=0,0,SOUS_TRAITANCE!$Y56*$M656)</f>
        <v>0</v>
      </c>
      <c r="O656" s="26" t="str">
        <f aca="false">IF($M656=0,"",SOUS_TRAITANCE!$X56)</f>
        <v/>
      </c>
      <c r="P656" s="26" t="str">
        <f aca="false">IF($G656="","",IF($G656=R_LOT,COUNTIF($G$5:$G656,R_LOT),""))</f>
        <v/>
      </c>
    </row>
    <row r="657" customFormat="false" ht="15" hidden="false" customHeight="false" outlineLevel="0" collapsed="false">
      <c r="A657" s="28" t="str">
        <f aca="false">IF($M657=0,"",ROW()-4)</f>
        <v/>
      </c>
      <c r="B657" s="26" t="str">
        <f aca="false">IF($M657=0,"","SOUS-TRAITANCE")</f>
        <v/>
      </c>
      <c r="C657" s="26" t="str">
        <f aca="false">IF($M657=0,"",SOUS_TRAITANCE!$A57)</f>
        <v/>
      </c>
      <c r="D657" s="31" t="str">
        <f aca="false">IF($M657=0,"",SOUS_TRAITANCE!$B57)</f>
        <v/>
      </c>
      <c r="E657" s="26" t="str">
        <f aca="false">IF($M657=0,"","SORTIE")</f>
        <v/>
      </c>
      <c r="F657" s="26" t="str">
        <f aca="false">IF($M657=0,"","ENVOI SOUS-TRAITANCE")</f>
        <v/>
      </c>
      <c r="G657" s="26" t="str">
        <f aca="false">IF($M657=0,"",SOUS_TRAITANCE!$E57)</f>
        <v/>
      </c>
      <c r="H657" s="26" t="str">
        <f aca="false">IF($G657="","",IFERROR(INDEX(LOT_EXTE,MATCH($G657,LOT_KEY,0)),""))</f>
        <v/>
      </c>
      <c r="I657" s="26" t="str">
        <f aca="false">IF($M657=0,"",SOUS_TRAITANCE!$F57)</f>
        <v/>
      </c>
      <c r="J657" s="26" t="str">
        <f aca="false">IF($I657="","",IFERROR(INDEX(EMPL_CLASSE,MATCH($I657,EMPL_KEY,0)),""))</f>
        <v/>
      </c>
      <c r="K657" s="26" t="str">
        <f aca="false">IF($M657=0,"",SOUS_TRAITANCE!$P57)</f>
        <v/>
      </c>
      <c r="L657" s="26" t="str">
        <f aca="false">IF($G657="","",IF(IFERROR(INDEX(LOT_ETAT,MATCH($G657,LOT_KEY,0)),"")="","",INDEX(LOT_ETAT,MATCH($G657,LOT_KEY,0))))</f>
        <v/>
      </c>
      <c r="M657" s="73" t="n">
        <f aca="false">IF(OR(SOUS_TRAITANCE!$R57=0,SOUS_TRAITANCE!$D57&lt;&gt;"STOCK EXISTANT"),0,-SOUS_TRAITANCE!$G57)</f>
        <v>0</v>
      </c>
      <c r="N657" s="73" t="n">
        <f aca="false">IF($M657=0,0,SOUS_TRAITANCE!$Y57*$M657)</f>
        <v>0</v>
      </c>
      <c r="O657" s="26" t="str">
        <f aca="false">IF($M657=0,"",SOUS_TRAITANCE!$X57)</f>
        <v/>
      </c>
      <c r="P657" s="26" t="str">
        <f aca="false">IF($G657="","",IF($G657=R_LOT,COUNTIF($G$5:$G657,R_LOT),""))</f>
        <v/>
      </c>
    </row>
    <row r="658" customFormat="false" ht="15" hidden="false" customHeight="false" outlineLevel="0" collapsed="false">
      <c r="A658" s="28" t="str">
        <f aca="false">IF($M658=0,"",ROW()-4)</f>
        <v/>
      </c>
      <c r="B658" s="26" t="str">
        <f aca="false">IF($M658=0,"","SOUS-TRAITANCE")</f>
        <v/>
      </c>
      <c r="C658" s="26" t="str">
        <f aca="false">IF($M658=0,"",SOUS_TRAITANCE!$A58)</f>
        <v/>
      </c>
      <c r="D658" s="31" t="str">
        <f aca="false">IF($M658=0,"",SOUS_TRAITANCE!$B58)</f>
        <v/>
      </c>
      <c r="E658" s="26" t="str">
        <f aca="false">IF($M658=0,"","SORTIE")</f>
        <v/>
      </c>
      <c r="F658" s="26" t="str">
        <f aca="false">IF($M658=0,"","ENVOI SOUS-TRAITANCE")</f>
        <v/>
      </c>
      <c r="G658" s="26" t="str">
        <f aca="false">IF($M658=0,"",SOUS_TRAITANCE!$E58)</f>
        <v/>
      </c>
      <c r="H658" s="26" t="str">
        <f aca="false">IF($G658="","",IFERROR(INDEX(LOT_EXTE,MATCH($G658,LOT_KEY,0)),""))</f>
        <v/>
      </c>
      <c r="I658" s="26" t="str">
        <f aca="false">IF($M658=0,"",SOUS_TRAITANCE!$F58)</f>
        <v/>
      </c>
      <c r="J658" s="26" t="str">
        <f aca="false">IF($I658="","",IFERROR(INDEX(EMPL_CLASSE,MATCH($I658,EMPL_KEY,0)),""))</f>
        <v/>
      </c>
      <c r="K658" s="26" t="str">
        <f aca="false">IF($M658=0,"",SOUS_TRAITANCE!$P58)</f>
        <v/>
      </c>
      <c r="L658" s="26" t="str">
        <f aca="false">IF($G658="","",IF(IFERROR(INDEX(LOT_ETAT,MATCH($G658,LOT_KEY,0)),"")="","",INDEX(LOT_ETAT,MATCH($G658,LOT_KEY,0))))</f>
        <v/>
      </c>
      <c r="M658" s="73" t="n">
        <f aca="false">IF(OR(SOUS_TRAITANCE!$R58=0,SOUS_TRAITANCE!$D58&lt;&gt;"STOCK EXISTANT"),0,-SOUS_TRAITANCE!$G58)</f>
        <v>0</v>
      </c>
      <c r="N658" s="73" t="n">
        <f aca="false">IF($M658=0,0,SOUS_TRAITANCE!$Y58*$M658)</f>
        <v>0</v>
      </c>
      <c r="O658" s="26" t="str">
        <f aca="false">IF($M658=0,"",SOUS_TRAITANCE!$X58)</f>
        <v/>
      </c>
      <c r="P658" s="26" t="str">
        <f aca="false">IF($G658="","",IF($G658=R_LOT,COUNTIF($G$5:$G658,R_LOT),""))</f>
        <v/>
      </c>
    </row>
    <row r="659" customFormat="false" ht="15" hidden="false" customHeight="false" outlineLevel="0" collapsed="false">
      <c r="A659" s="28" t="str">
        <f aca="false">IF($M659=0,"",ROW()-4)</f>
        <v/>
      </c>
      <c r="B659" s="26" t="str">
        <f aca="false">IF($M659=0,"","SOUS-TRAITANCE")</f>
        <v/>
      </c>
      <c r="C659" s="26" t="str">
        <f aca="false">IF($M659=0,"",SOUS_TRAITANCE!$A59)</f>
        <v/>
      </c>
      <c r="D659" s="31" t="str">
        <f aca="false">IF($M659=0,"",SOUS_TRAITANCE!$B59)</f>
        <v/>
      </c>
      <c r="E659" s="26" t="str">
        <f aca="false">IF($M659=0,"","SORTIE")</f>
        <v/>
      </c>
      <c r="F659" s="26" t="str">
        <f aca="false">IF($M659=0,"","ENVOI SOUS-TRAITANCE")</f>
        <v/>
      </c>
      <c r="G659" s="26" t="str">
        <f aca="false">IF($M659=0,"",SOUS_TRAITANCE!$E59)</f>
        <v/>
      </c>
      <c r="H659" s="26" t="str">
        <f aca="false">IF($G659="","",IFERROR(INDEX(LOT_EXTE,MATCH($G659,LOT_KEY,0)),""))</f>
        <v/>
      </c>
      <c r="I659" s="26" t="str">
        <f aca="false">IF($M659=0,"",SOUS_TRAITANCE!$F59)</f>
        <v/>
      </c>
      <c r="J659" s="26" t="str">
        <f aca="false">IF($I659="","",IFERROR(INDEX(EMPL_CLASSE,MATCH($I659,EMPL_KEY,0)),""))</f>
        <v/>
      </c>
      <c r="K659" s="26" t="str">
        <f aca="false">IF($M659=0,"",SOUS_TRAITANCE!$P59)</f>
        <v/>
      </c>
      <c r="L659" s="26" t="str">
        <f aca="false">IF($G659="","",IF(IFERROR(INDEX(LOT_ETAT,MATCH($G659,LOT_KEY,0)),"")="","",INDEX(LOT_ETAT,MATCH($G659,LOT_KEY,0))))</f>
        <v/>
      </c>
      <c r="M659" s="73" t="n">
        <f aca="false">IF(OR(SOUS_TRAITANCE!$R59=0,SOUS_TRAITANCE!$D59&lt;&gt;"STOCK EXISTANT"),0,-SOUS_TRAITANCE!$G59)</f>
        <v>0</v>
      </c>
      <c r="N659" s="73" t="n">
        <f aca="false">IF($M659=0,0,SOUS_TRAITANCE!$Y59*$M659)</f>
        <v>0</v>
      </c>
      <c r="O659" s="26" t="str">
        <f aca="false">IF($M659=0,"",SOUS_TRAITANCE!$X59)</f>
        <v/>
      </c>
      <c r="P659" s="26" t="str">
        <f aca="false">IF($G659="","",IF($G659=R_LOT,COUNTIF($G$5:$G659,R_LOT),""))</f>
        <v/>
      </c>
    </row>
    <row r="660" customFormat="false" ht="15" hidden="false" customHeight="false" outlineLevel="0" collapsed="false">
      <c r="A660" s="28" t="str">
        <f aca="false">IF($M660=0,"",ROW()-4)</f>
        <v/>
      </c>
      <c r="B660" s="26" t="str">
        <f aca="false">IF($M660=0,"","SOUS-TRAITANCE")</f>
        <v/>
      </c>
      <c r="C660" s="26" t="str">
        <f aca="false">IF($M660=0,"",SOUS_TRAITANCE!$A60)</f>
        <v/>
      </c>
      <c r="D660" s="31" t="str">
        <f aca="false">IF($M660=0,"",SOUS_TRAITANCE!$B60)</f>
        <v/>
      </c>
      <c r="E660" s="26" t="str">
        <f aca="false">IF($M660=0,"","SORTIE")</f>
        <v/>
      </c>
      <c r="F660" s="26" t="str">
        <f aca="false">IF($M660=0,"","ENVOI SOUS-TRAITANCE")</f>
        <v/>
      </c>
      <c r="G660" s="26" t="str">
        <f aca="false">IF($M660=0,"",SOUS_TRAITANCE!$E60)</f>
        <v/>
      </c>
      <c r="H660" s="26" t="str">
        <f aca="false">IF($G660="","",IFERROR(INDEX(LOT_EXTE,MATCH($G660,LOT_KEY,0)),""))</f>
        <v/>
      </c>
      <c r="I660" s="26" t="str">
        <f aca="false">IF($M660=0,"",SOUS_TRAITANCE!$F60)</f>
        <v/>
      </c>
      <c r="J660" s="26" t="str">
        <f aca="false">IF($I660="","",IFERROR(INDEX(EMPL_CLASSE,MATCH($I660,EMPL_KEY,0)),""))</f>
        <v/>
      </c>
      <c r="K660" s="26" t="str">
        <f aca="false">IF($M660=0,"",SOUS_TRAITANCE!$P60)</f>
        <v/>
      </c>
      <c r="L660" s="26" t="str">
        <f aca="false">IF($G660="","",IF(IFERROR(INDEX(LOT_ETAT,MATCH($G660,LOT_KEY,0)),"")="","",INDEX(LOT_ETAT,MATCH($G660,LOT_KEY,0))))</f>
        <v/>
      </c>
      <c r="M660" s="73" t="n">
        <f aca="false">IF(OR(SOUS_TRAITANCE!$R60=0,SOUS_TRAITANCE!$D60&lt;&gt;"STOCK EXISTANT"),0,-SOUS_TRAITANCE!$G60)</f>
        <v>0</v>
      </c>
      <c r="N660" s="73" t="n">
        <f aca="false">IF($M660=0,0,SOUS_TRAITANCE!$Y60*$M660)</f>
        <v>0</v>
      </c>
      <c r="O660" s="26" t="str">
        <f aca="false">IF($M660=0,"",SOUS_TRAITANCE!$X60)</f>
        <v/>
      </c>
      <c r="P660" s="26" t="str">
        <f aca="false">IF($G660="","",IF($G660=R_LOT,COUNTIF($G$5:$G660,R_LOT),""))</f>
        <v/>
      </c>
    </row>
    <row r="661" customFormat="false" ht="15" hidden="false" customHeight="false" outlineLevel="0" collapsed="false">
      <c r="A661" s="28" t="str">
        <f aca="false">IF($M661=0,"",ROW()-4)</f>
        <v/>
      </c>
      <c r="B661" s="26" t="str">
        <f aca="false">IF($M661=0,"","SOUS-TRAITANCE")</f>
        <v/>
      </c>
      <c r="C661" s="26" t="str">
        <f aca="false">IF($M661=0,"",SOUS_TRAITANCE!$A61)</f>
        <v/>
      </c>
      <c r="D661" s="31" t="str">
        <f aca="false">IF($M661=0,"",SOUS_TRAITANCE!$B61)</f>
        <v/>
      </c>
      <c r="E661" s="26" t="str">
        <f aca="false">IF($M661=0,"","SORTIE")</f>
        <v/>
      </c>
      <c r="F661" s="26" t="str">
        <f aca="false">IF($M661=0,"","ENVOI SOUS-TRAITANCE")</f>
        <v/>
      </c>
      <c r="G661" s="26" t="str">
        <f aca="false">IF($M661=0,"",SOUS_TRAITANCE!$E61)</f>
        <v/>
      </c>
      <c r="H661" s="26" t="str">
        <f aca="false">IF($G661="","",IFERROR(INDEX(LOT_EXTE,MATCH($G661,LOT_KEY,0)),""))</f>
        <v/>
      </c>
      <c r="I661" s="26" t="str">
        <f aca="false">IF($M661=0,"",SOUS_TRAITANCE!$F61)</f>
        <v/>
      </c>
      <c r="J661" s="26" t="str">
        <f aca="false">IF($I661="","",IFERROR(INDEX(EMPL_CLASSE,MATCH($I661,EMPL_KEY,0)),""))</f>
        <v/>
      </c>
      <c r="K661" s="26" t="str">
        <f aca="false">IF($M661=0,"",SOUS_TRAITANCE!$P61)</f>
        <v/>
      </c>
      <c r="L661" s="26" t="str">
        <f aca="false">IF($G661="","",IF(IFERROR(INDEX(LOT_ETAT,MATCH($G661,LOT_KEY,0)),"")="","",INDEX(LOT_ETAT,MATCH($G661,LOT_KEY,0))))</f>
        <v/>
      </c>
      <c r="M661" s="73" t="n">
        <f aca="false">IF(OR(SOUS_TRAITANCE!$R61=0,SOUS_TRAITANCE!$D61&lt;&gt;"STOCK EXISTANT"),0,-SOUS_TRAITANCE!$G61)</f>
        <v>0</v>
      </c>
      <c r="N661" s="73" t="n">
        <f aca="false">IF($M661=0,0,SOUS_TRAITANCE!$Y61*$M661)</f>
        <v>0</v>
      </c>
      <c r="O661" s="26" t="str">
        <f aca="false">IF($M661=0,"",SOUS_TRAITANCE!$X61)</f>
        <v/>
      </c>
      <c r="P661" s="26" t="str">
        <f aca="false">IF($G661="","",IF($G661=R_LOT,COUNTIF($G$5:$G661,R_LOT),""))</f>
        <v/>
      </c>
    </row>
    <row r="662" customFormat="false" ht="15" hidden="false" customHeight="false" outlineLevel="0" collapsed="false">
      <c r="A662" s="28" t="str">
        <f aca="false">IF($M662=0,"",ROW()-4)</f>
        <v/>
      </c>
      <c r="B662" s="26" t="str">
        <f aca="false">IF($M662=0,"","SOUS-TRAITANCE")</f>
        <v/>
      </c>
      <c r="C662" s="26" t="str">
        <f aca="false">IF($M662=0,"",SOUS_TRAITANCE!$A62)</f>
        <v/>
      </c>
      <c r="D662" s="31" t="str">
        <f aca="false">IF($M662=0,"",SOUS_TRAITANCE!$B62)</f>
        <v/>
      </c>
      <c r="E662" s="26" t="str">
        <f aca="false">IF($M662=0,"","SORTIE")</f>
        <v/>
      </c>
      <c r="F662" s="26" t="str">
        <f aca="false">IF($M662=0,"","ENVOI SOUS-TRAITANCE")</f>
        <v/>
      </c>
      <c r="G662" s="26" t="str">
        <f aca="false">IF($M662=0,"",SOUS_TRAITANCE!$E62)</f>
        <v/>
      </c>
      <c r="H662" s="26" t="str">
        <f aca="false">IF($G662="","",IFERROR(INDEX(LOT_EXTE,MATCH($G662,LOT_KEY,0)),""))</f>
        <v/>
      </c>
      <c r="I662" s="26" t="str">
        <f aca="false">IF($M662=0,"",SOUS_TRAITANCE!$F62)</f>
        <v/>
      </c>
      <c r="J662" s="26" t="str">
        <f aca="false">IF($I662="","",IFERROR(INDEX(EMPL_CLASSE,MATCH($I662,EMPL_KEY,0)),""))</f>
        <v/>
      </c>
      <c r="K662" s="26" t="str">
        <f aca="false">IF($M662=0,"",SOUS_TRAITANCE!$P62)</f>
        <v/>
      </c>
      <c r="L662" s="26" t="str">
        <f aca="false">IF($G662="","",IF(IFERROR(INDEX(LOT_ETAT,MATCH($G662,LOT_KEY,0)),"")="","",INDEX(LOT_ETAT,MATCH($G662,LOT_KEY,0))))</f>
        <v/>
      </c>
      <c r="M662" s="73" t="n">
        <f aca="false">IF(OR(SOUS_TRAITANCE!$R62=0,SOUS_TRAITANCE!$D62&lt;&gt;"STOCK EXISTANT"),0,-SOUS_TRAITANCE!$G62)</f>
        <v>0</v>
      </c>
      <c r="N662" s="73" t="n">
        <f aca="false">IF($M662=0,0,SOUS_TRAITANCE!$Y62*$M662)</f>
        <v>0</v>
      </c>
      <c r="O662" s="26" t="str">
        <f aca="false">IF($M662=0,"",SOUS_TRAITANCE!$X62)</f>
        <v/>
      </c>
      <c r="P662" s="26" t="str">
        <f aca="false">IF($G662="","",IF($G662=R_LOT,COUNTIF($G$5:$G662,R_LOT),""))</f>
        <v/>
      </c>
    </row>
    <row r="663" customFormat="false" ht="15" hidden="false" customHeight="false" outlineLevel="0" collapsed="false">
      <c r="A663" s="28" t="str">
        <f aca="false">IF($M663=0,"",ROW()-4)</f>
        <v/>
      </c>
      <c r="B663" s="26" t="str">
        <f aca="false">IF($M663=0,"","SOUS-TRAITANCE")</f>
        <v/>
      </c>
      <c r="C663" s="26" t="str">
        <f aca="false">IF($M663=0,"",SOUS_TRAITANCE!$A63)</f>
        <v/>
      </c>
      <c r="D663" s="31" t="str">
        <f aca="false">IF($M663=0,"",SOUS_TRAITANCE!$B63)</f>
        <v/>
      </c>
      <c r="E663" s="26" t="str">
        <f aca="false">IF($M663=0,"","SORTIE")</f>
        <v/>
      </c>
      <c r="F663" s="26" t="str">
        <f aca="false">IF($M663=0,"","ENVOI SOUS-TRAITANCE")</f>
        <v/>
      </c>
      <c r="G663" s="26" t="str">
        <f aca="false">IF($M663=0,"",SOUS_TRAITANCE!$E63)</f>
        <v/>
      </c>
      <c r="H663" s="26" t="str">
        <f aca="false">IF($G663="","",IFERROR(INDEX(LOT_EXTE,MATCH($G663,LOT_KEY,0)),""))</f>
        <v/>
      </c>
      <c r="I663" s="26" t="str">
        <f aca="false">IF($M663=0,"",SOUS_TRAITANCE!$F63)</f>
        <v/>
      </c>
      <c r="J663" s="26" t="str">
        <f aca="false">IF($I663="","",IFERROR(INDEX(EMPL_CLASSE,MATCH($I663,EMPL_KEY,0)),""))</f>
        <v/>
      </c>
      <c r="K663" s="26" t="str">
        <f aca="false">IF($M663=0,"",SOUS_TRAITANCE!$P63)</f>
        <v/>
      </c>
      <c r="L663" s="26" t="str">
        <f aca="false">IF($G663="","",IF(IFERROR(INDEX(LOT_ETAT,MATCH($G663,LOT_KEY,0)),"")="","",INDEX(LOT_ETAT,MATCH($G663,LOT_KEY,0))))</f>
        <v/>
      </c>
      <c r="M663" s="73" t="n">
        <f aca="false">IF(OR(SOUS_TRAITANCE!$R63=0,SOUS_TRAITANCE!$D63&lt;&gt;"STOCK EXISTANT"),0,-SOUS_TRAITANCE!$G63)</f>
        <v>0</v>
      </c>
      <c r="N663" s="73" t="n">
        <f aca="false">IF($M663=0,0,SOUS_TRAITANCE!$Y63*$M663)</f>
        <v>0</v>
      </c>
      <c r="O663" s="26" t="str">
        <f aca="false">IF($M663=0,"",SOUS_TRAITANCE!$X63)</f>
        <v/>
      </c>
      <c r="P663" s="26" t="str">
        <f aca="false">IF($G663="","",IF($G663=R_LOT,COUNTIF($G$5:$G663,R_LOT),""))</f>
        <v/>
      </c>
    </row>
    <row r="664" customFormat="false" ht="15" hidden="false" customHeight="false" outlineLevel="0" collapsed="false">
      <c r="A664" s="28" t="str">
        <f aca="false">IF($M664=0,"",ROW()-4)</f>
        <v/>
      </c>
      <c r="B664" s="26" t="str">
        <f aca="false">IF($M664=0,"","SOUS-TRAITANCE")</f>
        <v/>
      </c>
      <c r="C664" s="26" t="str">
        <f aca="false">IF($M664=0,"",SOUS_TRAITANCE!$A64)</f>
        <v/>
      </c>
      <c r="D664" s="31" t="str">
        <f aca="false">IF($M664=0,"",SOUS_TRAITANCE!$B64)</f>
        <v/>
      </c>
      <c r="E664" s="26" t="str">
        <f aca="false">IF($M664=0,"","SORTIE")</f>
        <v/>
      </c>
      <c r="F664" s="26" t="str">
        <f aca="false">IF($M664=0,"","ENVOI SOUS-TRAITANCE")</f>
        <v/>
      </c>
      <c r="G664" s="26" t="str">
        <f aca="false">IF($M664=0,"",SOUS_TRAITANCE!$E64)</f>
        <v/>
      </c>
      <c r="H664" s="26" t="str">
        <f aca="false">IF($G664="","",IFERROR(INDEX(LOT_EXTE,MATCH($G664,LOT_KEY,0)),""))</f>
        <v/>
      </c>
      <c r="I664" s="26" t="str">
        <f aca="false">IF($M664=0,"",SOUS_TRAITANCE!$F64)</f>
        <v/>
      </c>
      <c r="J664" s="26" t="str">
        <f aca="false">IF($I664="","",IFERROR(INDEX(EMPL_CLASSE,MATCH($I664,EMPL_KEY,0)),""))</f>
        <v/>
      </c>
      <c r="K664" s="26" t="str">
        <f aca="false">IF($M664=0,"",SOUS_TRAITANCE!$P64)</f>
        <v/>
      </c>
      <c r="L664" s="26" t="str">
        <f aca="false">IF($G664="","",IF(IFERROR(INDEX(LOT_ETAT,MATCH($G664,LOT_KEY,0)),"")="","",INDEX(LOT_ETAT,MATCH($G664,LOT_KEY,0))))</f>
        <v/>
      </c>
      <c r="M664" s="73" t="n">
        <f aca="false">IF(OR(SOUS_TRAITANCE!$R64=0,SOUS_TRAITANCE!$D64&lt;&gt;"STOCK EXISTANT"),0,-SOUS_TRAITANCE!$G64)</f>
        <v>0</v>
      </c>
      <c r="N664" s="73" t="n">
        <f aca="false">IF($M664=0,0,SOUS_TRAITANCE!$Y64*$M664)</f>
        <v>0</v>
      </c>
      <c r="O664" s="26" t="str">
        <f aca="false">IF($M664=0,"",SOUS_TRAITANCE!$X64)</f>
        <v/>
      </c>
      <c r="P664" s="26" t="str">
        <f aca="false">IF($G664="","",IF($G664=R_LOT,COUNTIF($G$5:$G664,R_LOT),""))</f>
        <v/>
      </c>
    </row>
    <row r="665" customFormat="false" ht="15" hidden="false" customHeight="false" outlineLevel="0" collapsed="false">
      <c r="A665" s="28" t="str">
        <f aca="false">IF($M665=0,"",ROW()-4)</f>
        <v/>
      </c>
      <c r="B665" s="26" t="str">
        <f aca="false">IF($M665=0,"","SOUS-TRAITANCE")</f>
        <v/>
      </c>
      <c r="C665" s="26" t="str">
        <f aca="false">IF($M665=0,"",SOUS_TRAITANCE!$A65)</f>
        <v/>
      </c>
      <c r="D665" s="31" t="str">
        <f aca="false">IF($M665=0,"",SOUS_TRAITANCE!$B65)</f>
        <v/>
      </c>
      <c r="E665" s="26" t="str">
        <f aca="false">IF($M665=0,"","SORTIE")</f>
        <v/>
      </c>
      <c r="F665" s="26" t="str">
        <f aca="false">IF($M665=0,"","ENVOI SOUS-TRAITANCE")</f>
        <v/>
      </c>
      <c r="G665" s="26" t="str">
        <f aca="false">IF($M665=0,"",SOUS_TRAITANCE!$E65)</f>
        <v/>
      </c>
      <c r="H665" s="26" t="str">
        <f aca="false">IF($G665="","",IFERROR(INDEX(LOT_EXTE,MATCH($G665,LOT_KEY,0)),""))</f>
        <v/>
      </c>
      <c r="I665" s="26" t="str">
        <f aca="false">IF($M665=0,"",SOUS_TRAITANCE!$F65)</f>
        <v/>
      </c>
      <c r="J665" s="26" t="str">
        <f aca="false">IF($I665="","",IFERROR(INDEX(EMPL_CLASSE,MATCH($I665,EMPL_KEY,0)),""))</f>
        <v/>
      </c>
      <c r="K665" s="26" t="str">
        <f aca="false">IF($M665=0,"",SOUS_TRAITANCE!$P65)</f>
        <v/>
      </c>
      <c r="L665" s="26" t="str">
        <f aca="false">IF($G665="","",IF(IFERROR(INDEX(LOT_ETAT,MATCH($G665,LOT_KEY,0)),"")="","",INDEX(LOT_ETAT,MATCH($G665,LOT_KEY,0))))</f>
        <v/>
      </c>
      <c r="M665" s="73" t="n">
        <f aca="false">IF(OR(SOUS_TRAITANCE!$R65=0,SOUS_TRAITANCE!$D65&lt;&gt;"STOCK EXISTANT"),0,-SOUS_TRAITANCE!$G65)</f>
        <v>0</v>
      </c>
      <c r="N665" s="73" t="n">
        <f aca="false">IF($M665=0,0,SOUS_TRAITANCE!$Y65*$M665)</f>
        <v>0</v>
      </c>
      <c r="O665" s="26" t="str">
        <f aca="false">IF($M665=0,"",SOUS_TRAITANCE!$X65)</f>
        <v/>
      </c>
      <c r="P665" s="26" t="str">
        <f aca="false">IF($G665="","",IF($G665=R_LOT,COUNTIF($G$5:$G665,R_LOT),""))</f>
        <v/>
      </c>
    </row>
    <row r="666" customFormat="false" ht="15" hidden="false" customHeight="false" outlineLevel="0" collapsed="false">
      <c r="A666" s="28" t="str">
        <f aca="false">IF($M666=0,"",ROW()-4)</f>
        <v/>
      </c>
      <c r="B666" s="26" t="str">
        <f aca="false">IF($M666=0,"","SOUS-TRAITANCE")</f>
        <v/>
      </c>
      <c r="C666" s="26" t="str">
        <f aca="false">IF($M666=0,"",SOUS_TRAITANCE!$A66)</f>
        <v/>
      </c>
      <c r="D666" s="31" t="str">
        <f aca="false">IF($M666=0,"",SOUS_TRAITANCE!$B66)</f>
        <v/>
      </c>
      <c r="E666" s="26" t="str">
        <f aca="false">IF($M666=0,"","SORTIE")</f>
        <v/>
      </c>
      <c r="F666" s="26" t="str">
        <f aca="false">IF($M666=0,"","ENVOI SOUS-TRAITANCE")</f>
        <v/>
      </c>
      <c r="G666" s="26" t="str">
        <f aca="false">IF($M666=0,"",SOUS_TRAITANCE!$E66)</f>
        <v/>
      </c>
      <c r="H666" s="26" t="str">
        <f aca="false">IF($G666="","",IFERROR(INDEX(LOT_EXTE,MATCH($G666,LOT_KEY,0)),""))</f>
        <v/>
      </c>
      <c r="I666" s="26" t="str">
        <f aca="false">IF($M666=0,"",SOUS_TRAITANCE!$F66)</f>
        <v/>
      </c>
      <c r="J666" s="26" t="str">
        <f aca="false">IF($I666="","",IFERROR(INDEX(EMPL_CLASSE,MATCH($I666,EMPL_KEY,0)),""))</f>
        <v/>
      </c>
      <c r="K666" s="26" t="str">
        <f aca="false">IF($M666=0,"",SOUS_TRAITANCE!$P66)</f>
        <v/>
      </c>
      <c r="L666" s="26" t="str">
        <f aca="false">IF($G666="","",IF(IFERROR(INDEX(LOT_ETAT,MATCH($G666,LOT_KEY,0)),"")="","",INDEX(LOT_ETAT,MATCH($G666,LOT_KEY,0))))</f>
        <v/>
      </c>
      <c r="M666" s="73" t="n">
        <f aca="false">IF(OR(SOUS_TRAITANCE!$R66=0,SOUS_TRAITANCE!$D66&lt;&gt;"STOCK EXISTANT"),0,-SOUS_TRAITANCE!$G66)</f>
        <v>0</v>
      </c>
      <c r="N666" s="73" t="n">
        <f aca="false">IF($M666=0,0,SOUS_TRAITANCE!$Y66*$M666)</f>
        <v>0</v>
      </c>
      <c r="O666" s="26" t="str">
        <f aca="false">IF($M666=0,"",SOUS_TRAITANCE!$X66)</f>
        <v/>
      </c>
      <c r="P666" s="26" t="str">
        <f aca="false">IF($G666="","",IF($G666=R_LOT,COUNTIF($G$5:$G666,R_LOT),""))</f>
        <v/>
      </c>
    </row>
    <row r="667" customFormat="false" ht="15" hidden="false" customHeight="false" outlineLevel="0" collapsed="false">
      <c r="A667" s="28" t="str">
        <f aca="false">IF($M667=0,"",ROW()-4)</f>
        <v/>
      </c>
      <c r="B667" s="26" t="str">
        <f aca="false">IF($M667=0,"","SOUS-TRAITANCE")</f>
        <v/>
      </c>
      <c r="C667" s="26" t="str">
        <f aca="false">IF($M667=0,"",SOUS_TRAITANCE!$A67)</f>
        <v/>
      </c>
      <c r="D667" s="31" t="str">
        <f aca="false">IF($M667=0,"",SOUS_TRAITANCE!$B67)</f>
        <v/>
      </c>
      <c r="E667" s="26" t="str">
        <f aca="false">IF($M667=0,"","SORTIE")</f>
        <v/>
      </c>
      <c r="F667" s="26" t="str">
        <f aca="false">IF($M667=0,"","ENVOI SOUS-TRAITANCE")</f>
        <v/>
      </c>
      <c r="G667" s="26" t="str">
        <f aca="false">IF($M667=0,"",SOUS_TRAITANCE!$E67)</f>
        <v/>
      </c>
      <c r="H667" s="26" t="str">
        <f aca="false">IF($G667="","",IFERROR(INDEX(LOT_EXTE,MATCH($G667,LOT_KEY,0)),""))</f>
        <v/>
      </c>
      <c r="I667" s="26" t="str">
        <f aca="false">IF($M667=0,"",SOUS_TRAITANCE!$F67)</f>
        <v/>
      </c>
      <c r="J667" s="26" t="str">
        <f aca="false">IF($I667="","",IFERROR(INDEX(EMPL_CLASSE,MATCH($I667,EMPL_KEY,0)),""))</f>
        <v/>
      </c>
      <c r="K667" s="26" t="str">
        <f aca="false">IF($M667=0,"",SOUS_TRAITANCE!$P67)</f>
        <v/>
      </c>
      <c r="L667" s="26" t="str">
        <f aca="false">IF($G667="","",IF(IFERROR(INDEX(LOT_ETAT,MATCH($G667,LOT_KEY,0)),"")="","",INDEX(LOT_ETAT,MATCH($G667,LOT_KEY,0))))</f>
        <v/>
      </c>
      <c r="M667" s="73" t="n">
        <f aca="false">IF(OR(SOUS_TRAITANCE!$R67=0,SOUS_TRAITANCE!$D67&lt;&gt;"STOCK EXISTANT"),0,-SOUS_TRAITANCE!$G67)</f>
        <v>0</v>
      </c>
      <c r="N667" s="73" t="n">
        <f aca="false">IF($M667=0,0,SOUS_TRAITANCE!$Y67*$M667)</f>
        <v>0</v>
      </c>
      <c r="O667" s="26" t="str">
        <f aca="false">IF($M667=0,"",SOUS_TRAITANCE!$X67)</f>
        <v/>
      </c>
      <c r="P667" s="26" t="str">
        <f aca="false">IF($G667="","",IF($G667=R_LOT,COUNTIF($G$5:$G667,R_LOT),""))</f>
        <v/>
      </c>
    </row>
    <row r="668" customFormat="false" ht="15" hidden="false" customHeight="false" outlineLevel="0" collapsed="false">
      <c r="A668" s="28" t="str">
        <f aca="false">IF($M668=0,"",ROW()-4)</f>
        <v/>
      </c>
      <c r="B668" s="26" t="str">
        <f aca="false">IF($M668=0,"","SOUS-TRAITANCE")</f>
        <v/>
      </c>
      <c r="C668" s="26" t="str">
        <f aca="false">IF($M668=0,"",SOUS_TRAITANCE!$A68)</f>
        <v/>
      </c>
      <c r="D668" s="31" t="str">
        <f aca="false">IF($M668=0,"",SOUS_TRAITANCE!$B68)</f>
        <v/>
      </c>
      <c r="E668" s="26" t="str">
        <f aca="false">IF($M668=0,"","SORTIE")</f>
        <v/>
      </c>
      <c r="F668" s="26" t="str">
        <f aca="false">IF($M668=0,"","ENVOI SOUS-TRAITANCE")</f>
        <v/>
      </c>
      <c r="G668" s="26" t="str">
        <f aca="false">IF($M668=0,"",SOUS_TRAITANCE!$E68)</f>
        <v/>
      </c>
      <c r="H668" s="26" t="str">
        <f aca="false">IF($G668="","",IFERROR(INDEX(LOT_EXTE,MATCH($G668,LOT_KEY,0)),""))</f>
        <v/>
      </c>
      <c r="I668" s="26" t="str">
        <f aca="false">IF($M668=0,"",SOUS_TRAITANCE!$F68)</f>
        <v/>
      </c>
      <c r="J668" s="26" t="str">
        <f aca="false">IF($I668="","",IFERROR(INDEX(EMPL_CLASSE,MATCH($I668,EMPL_KEY,0)),""))</f>
        <v/>
      </c>
      <c r="K668" s="26" t="str">
        <f aca="false">IF($M668=0,"",SOUS_TRAITANCE!$P68)</f>
        <v/>
      </c>
      <c r="L668" s="26" t="str">
        <f aca="false">IF($G668="","",IF(IFERROR(INDEX(LOT_ETAT,MATCH($G668,LOT_KEY,0)),"")="","",INDEX(LOT_ETAT,MATCH($G668,LOT_KEY,0))))</f>
        <v/>
      </c>
      <c r="M668" s="73" t="n">
        <f aca="false">IF(OR(SOUS_TRAITANCE!$R68=0,SOUS_TRAITANCE!$D68&lt;&gt;"STOCK EXISTANT"),0,-SOUS_TRAITANCE!$G68)</f>
        <v>0</v>
      </c>
      <c r="N668" s="73" t="n">
        <f aca="false">IF($M668=0,0,SOUS_TRAITANCE!$Y68*$M668)</f>
        <v>0</v>
      </c>
      <c r="O668" s="26" t="str">
        <f aca="false">IF($M668=0,"",SOUS_TRAITANCE!$X68)</f>
        <v/>
      </c>
      <c r="P668" s="26" t="str">
        <f aca="false">IF($G668="","",IF($G668=R_LOT,COUNTIF($G$5:$G668,R_LOT),""))</f>
        <v/>
      </c>
    </row>
    <row r="669" customFormat="false" ht="15" hidden="false" customHeight="false" outlineLevel="0" collapsed="false">
      <c r="A669" s="28" t="str">
        <f aca="false">IF($M669=0,"",ROW()-4)</f>
        <v/>
      </c>
      <c r="B669" s="26" t="str">
        <f aca="false">IF($M669=0,"","SOUS-TRAITANCE")</f>
        <v/>
      </c>
      <c r="C669" s="26" t="str">
        <f aca="false">IF($M669=0,"",SOUS_TRAITANCE!$A69)</f>
        <v/>
      </c>
      <c r="D669" s="31" t="str">
        <f aca="false">IF($M669=0,"",SOUS_TRAITANCE!$B69)</f>
        <v/>
      </c>
      <c r="E669" s="26" t="str">
        <f aca="false">IF($M669=0,"","SORTIE")</f>
        <v/>
      </c>
      <c r="F669" s="26" t="str">
        <f aca="false">IF($M669=0,"","ENVOI SOUS-TRAITANCE")</f>
        <v/>
      </c>
      <c r="G669" s="26" t="str">
        <f aca="false">IF($M669=0,"",SOUS_TRAITANCE!$E69)</f>
        <v/>
      </c>
      <c r="H669" s="26" t="str">
        <f aca="false">IF($G669="","",IFERROR(INDEX(LOT_EXTE,MATCH($G669,LOT_KEY,0)),""))</f>
        <v/>
      </c>
      <c r="I669" s="26" t="str">
        <f aca="false">IF($M669=0,"",SOUS_TRAITANCE!$F69)</f>
        <v/>
      </c>
      <c r="J669" s="26" t="str">
        <f aca="false">IF($I669="","",IFERROR(INDEX(EMPL_CLASSE,MATCH($I669,EMPL_KEY,0)),""))</f>
        <v/>
      </c>
      <c r="K669" s="26" t="str">
        <f aca="false">IF($M669=0,"",SOUS_TRAITANCE!$P69)</f>
        <v/>
      </c>
      <c r="L669" s="26" t="str">
        <f aca="false">IF($G669="","",IF(IFERROR(INDEX(LOT_ETAT,MATCH($G669,LOT_KEY,0)),"")="","",INDEX(LOT_ETAT,MATCH($G669,LOT_KEY,0))))</f>
        <v/>
      </c>
      <c r="M669" s="73" t="n">
        <f aca="false">IF(OR(SOUS_TRAITANCE!$R69=0,SOUS_TRAITANCE!$D69&lt;&gt;"STOCK EXISTANT"),0,-SOUS_TRAITANCE!$G69)</f>
        <v>0</v>
      </c>
      <c r="N669" s="73" t="n">
        <f aca="false">IF($M669=0,0,SOUS_TRAITANCE!$Y69*$M669)</f>
        <v>0</v>
      </c>
      <c r="O669" s="26" t="str">
        <f aca="false">IF($M669=0,"",SOUS_TRAITANCE!$X69)</f>
        <v/>
      </c>
      <c r="P669" s="26" t="str">
        <f aca="false">IF($G669="","",IF($G669=R_LOT,COUNTIF($G$5:$G669,R_LOT),""))</f>
        <v/>
      </c>
    </row>
    <row r="670" customFormat="false" ht="15" hidden="false" customHeight="false" outlineLevel="0" collapsed="false">
      <c r="A670" s="28" t="str">
        <f aca="false">IF($M670=0,"",ROW()-4)</f>
        <v/>
      </c>
      <c r="B670" s="26" t="str">
        <f aca="false">IF($M670=0,"","SOUS-TRAITANCE")</f>
        <v/>
      </c>
      <c r="C670" s="26" t="str">
        <f aca="false">IF($M670=0,"",SOUS_TRAITANCE!$A70)</f>
        <v/>
      </c>
      <c r="D670" s="31" t="str">
        <f aca="false">IF($M670=0,"",SOUS_TRAITANCE!$B70)</f>
        <v/>
      </c>
      <c r="E670" s="26" t="str">
        <f aca="false">IF($M670=0,"","SORTIE")</f>
        <v/>
      </c>
      <c r="F670" s="26" t="str">
        <f aca="false">IF($M670=0,"","ENVOI SOUS-TRAITANCE")</f>
        <v/>
      </c>
      <c r="G670" s="26" t="str">
        <f aca="false">IF($M670=0,"",SOUS_TRAITANCE!$E70)</f>
        <v/>
      </c>
      <c r="H670" s="26" t="str">
        <f aca="false">IF($G670="","",IFERROR(INDEX(LOT_EXTE,MATCH($G670,LOT_KEY,0)),""))</f>
        <v/>
      </c>
      <c r="I670" s="26" t="str">
        <f aca="false">IF($M670=0,"",SOUS_TRAITANCE!$F70)</f>
        <v/>
      </c>
      <c r="J670" s="26" t="str">
        <f aca="false">IF($I670="","",IFERROR(INDEX(EMPL_CLASSE,MATCH($I670,EMPL_KEY,0)),""))</f>
        <v/>
      </c>
      <c r="K670" s="26" t="str">
        <f aca="false">IF($M670=0,"",SOUS_TRAITANCE!$P70)</f>
        <v/>
      </c>
      <c r="L670" s="26" t="str">
        <f aca="false">IF($G670="","",IF(IFERROR(INDEX(LOT_ETAT,MATCH($G670,LOT_KEY,0)),"")="","",INDEX(LOT_ETAT,MATCH($G670,LOT_KEY,0))))</f>
        <v/>
      </c>
      <c r="M670" s="73" t="n">
        <f aca="false">IF(OR(SOUS_TRAITANCE!$R70=0,SOUS_TRAITANCE!$D70&lt;&gt;"STOCK EXISTANT"),0,-SOUS_TRAITANCE!$G70)</f>
        <v>0</v>
      </c>
      <c r="N670" s="73" t="n">
        <f aca="false">IF($M670=0,0,SOUS_TRAITANCE!$Y70*$M670)</f>
        <v>0</v>
      </c>
      <c r="O670" s="26" t="str">
        <f aca="false">IF($M670=0,"",SOUS_TRAITANCE!$X70)</f>
        <v/>
      </c>
      <c r="P670" s="26" t="str">
        <f aca="false">IF($G670="","",IF($G670=R_LOT,COUNTIF($G$5:$G670,R_LOT),""))</f>
        <v/>
      </c>
    </row>
    <row r="671" customFormat="false" ht="15" hidden="false" customHeight="false" outlineLevel="0" collapsed="false">
      <c r="A671" s="28" t="str">
        <f aca="false">IF($M671=0,"",ROW()-4)</f>
        <v/>
      </c>
      <c r="B671" s="26" t="str">
        <f aca="false">IF($M671=0,"","SOUS-TRAITANCE")</f>
        <v/>
      </c>
      <c r="C671" s="26" t="str">
        <f aca="false">IF($M671=0,"",SOUS_TRAITANCE!$A71)</f>
        <v/>
      </c>
      <c r="D671" s="31" t="str">
        <f aca="false">IF($M671=0,"",SOUS_TRAITANCE!$B71)</f>
        <v/>
      </c>
      <c r="E671" s="26" t="str">
        <f aca="false">IF($M671=0,"","SORTIE")</f>
        <v/>
      </c>
      <c r="F671" s="26" t="str">
        <f aca="false">IF($M671=0,"","ENVOI SOUS-TRAITANCE")</f>
        <v/>
      </c>
      <c r="G671" s="26" t="str">
        <f aca="false">IF($M671=0,"",SOUS_TRAITANCE!$E71)</f>
        <v/>
      </c>
      <c r="H671" s="26" t="str">
        <f aca="false">IF($G671="","",IFERROR(INDEX(LOT_EXTE,MATCH($G671,LOT_KEY,0)),""))</f>
        <v/>
      </c>
      <c r="I671" s="26" t="str">
        <f aca="false">IF($M671=0,"",SOUS_TRAITANCE!$F71)</f>
        <v/>
      </c>
      <c r="J671" s="26" t="str">
        <f aca="false">IF($I671="","",IFERROR(INDEX(EMPL_CLASSE,MATCH($I671,EMPL_KEY,0)),""))</f>
        <v/>
      </c>
      <c r="K671" s="26" t="str">
        <f aca="false">IF($M671=0,"",SOUS_TRAITANCE!$P71)</f>
        <v/>
      </c>
      <c r="L671" s="26" t="str">
        <f aca="false">IF($G671="","",IF(IFERROR(INDEX(LOT_ETAT,MATCH($G671,LOT_KEY,0)),"")="","",INDEX(LOT_ETAT,MATCH($G671,LOT_KEY,0))))</f>
        <v/>
      </c>
      <c r="M671" s="73" t="n">
        <f aca="false">IF(OR(SOUS_TRAITANCE!$R71=0,SOUS_TRAITANCE!$D71&lt;&gt;"STOCK EXISTANT"),0,-SOUS_TRAITANCE!$G71)</f>
        <v>0</v>
      </c>
      <c r="N671" s="73" t="n">
        <f aca="false">IF($M671=0,0,SOUS_TRAITANCE!$Y71*$M671)</f>
        <v>0</v>
      </c>
      <c r="O671" s="26" t="str">
        <f aca="false">IF($M671=0,"",SOUS_TRAITANCE!$X71)</f>
        <v/>
      </c>
      <c r="P671" s="26" t="str">
        <f aca="false">IF($G671="","",IF($G671=R_LOT,COUNTIF($G$5:$G671,R_LOT),""))</f>
        <v/>
      </c>
    </row>
    <row r="672" customFormat="false" ht="15" hidden="false" customHeight="false" outlineLevel="0" collapsed="false">
      <c r="A672" s="28" t="str">
        <f aca="false">IF($M672=0,"",ROW()-4)</f>
        <v/>
      </c>
      <c r="B672" s="26" t="str">
        <f aca="false">IF($M672=0,"","SOUS-TRAITANCE")</f>
        <v/>
      </c>
      <c r="C672" s="26" t="str">
        <f aca="false">IF($M672=0,"",SOUS_TRAITANCE!$A72)</f>
        <v/>
      </c>
      <c r="D672" s="31" t="str">
        <f aca="false">IF($M672=0,"",SOUS_TRAITANCE!$B72)</f>
        <v/>
      </c>
      <c r="E672" s="26" t="str">
        <f aca="false">IF($M672=0,"","SORTIE")</f>
        <v/>
      </c>
      <c r="F672" s="26" t="str">
        <f aca="false">IF($M672=0,"","ENVOI SOUS-TRAITANCE")</f>
        <v/>
      </c>
      <c r="G672" s="26" t="str">
        <f aca="false">IF($M672=0,"",SOUS_TRAITANCE!$E72)</f>
        <v/>
      </c>
      <c r="H672" s="26" t="str">
        <f aca="false">IF($G672="","",IFERROR(INDEX(LOT_EXTE,MATCH($G672,LOT_KEY,0)),""))</f>
        <v/>
      </c>
      <c r="I672" s="26" t="str">
        <f aca="false">IF($M672=0,"",SOUS_TRAITANCE!$F72)</f>
        <v/>
      </c>
      <c r="J672" s="26" t="str">
        <f aca="false">IF($I672="","",IFERROR(INDEX(EMPL_CLASSE,MATCH($I672,EMPL_KEY,0)),""))</f>
        <v/>
      </c>
      <c r="K672" s="26" t="str">
        <f aca="false">IF($M672=0,"",SOUS_TRAITANCE!$P72)</f>
        <v/>
      </c>
      <c r="L672" s="26" t="str">
        <f aca="false">IF($G672="","",IF(IFERROR(INDEX(LOT_ETAT,MATCH($G672,LOT_KEY,0)),"")="","",INDEX(LOT_ETAT,MATCH($G672,LOT_KEY,0))))</f>
        <v/>
      </c>
      <c r="M672" s="73" t="n">
        <f aca="false">IF(OR(SOUS_TRAITANCE!$R72=0,SOUS_TRAITANCE!$D72&lt;&gt;"STOCK EXISTANT"),0,-SOUS_TRAITANCE!$G72)</f>
        <v>0</v>
      </c>
      <c r="N672" s="73" t="n">
        <f aca="false">IF($M672=0,0,SOUS_TRAITANCE!$Y72*$M672)</f>
        <v>0</v>
      </c>
      <c r="O672" s="26" t="str">
        <f aca="false">IF($M672=0,"",SOUS_TRAITANCE!$X72)</f>
        <v/>
      </c>
      <c r="P672" s="26" t="str">
        <f aca="false">IF($G672="","",IF($G672=R_LOT,COUNTIF($G$5:$G672,R_LOT),""))</f>
        <v/>
      </c>
    </row>
    <row r="673" customFormat="false" ht="15" hidden="false" customHeight="false" outlineLevel="0" collapsed="false">
      <c r="A673" s="28" t="str">
        <f aca="false">IF($M673=0,"",ROW()-4)</f>
        <v/>
      </c>
      <c r="B673" s="26" t="str">
        <f aca="false">IF($M673=0,"","SOUS-TRAITANCE")</f>
        <v/>
      </c>
      <c r="C673" s="26" t="str">
        <f aca="false">IF($M673=0,"",SOUS_TRAITANCE!$A73)</f>
        <v/>
      </c>
      <c r="D673" s="31" t="str">
        <f aca="false">IF($M673=0,"",SOUS_TRAITANCE!$B73)</f>
        <v/>
      </c>
      <c r="E673" s="26" t="str">
        <f aca="false">IF($M673=0,"","SORTIE")</f>
        <v/>
      </c>
      <c r="F673" s="26" t="str">
        <f aca="false">IF($M673=0,"","ENVOI SOUS-TRAITANCE")</f>
        <v/>
      </c>
      <c r="G673" s="26" t="str">
        <f aca="false">IF($M673=0,"",SOUS_TRAITANCE!$E73)</f>
        <v/>
      </c>
      <c r="H673" s="26" t="str">
        <f aca="false">IF($G673="","",IFERROR(INDEX(LOT_EXTE,MATCH($G673,LOT_KEY,0)),""))</f>
        <v/>
      </c>
      <c r="I673" s="26" t="str">
        <f aca="false">IF($M673=0,"",SOUS_TRAITANCE!$F73)</f>
        <v/>
      </c>
      <c r="J673" s="26" t="str">
        <f aca="false">IF($I673="","",IFERROR(INDEX(EMPL_CLASSE,MATCH($I673,EMPL_KEY,0)),""))</f>
        <v/>
      </c>
      <c r="K673" s="26" t="str">
        <f aca="false">IF($M673=0,"",SOUS_TRAITANCE!$P73)</f>
        <v/>
      </c>
      <c r="L673" s="26" t="str">
        <f aca="false">IF($G673="","",IF(IFERROR(INDEX(LOT_ETAT,MATCH($G673,LOT_KEY,0)),"")="","",INDEX(LOT_ETAT,MATCH($G673,LOT_KEY,0))))</f>
        <v/>
      </c>
      <c r="M673" s="73" t="n">
        <f aca="false">IF(OR(SOUS_TRAITANCE!$R73=0,SOUS_TRAITANCE!$D73&lt;&gt;"STOCK EXISTANT"),0,-SOUS_TRAITANCE!$G73)</f>
        <v>0</v>
      </c>
      <c r="N673" s="73" t="n">
        <f aca="false">IF($M673=0,0,SOUS_TRAITANCE!$Y73*$M673)</f>
        <v>0</v>
      </c>
      <c r="O673" s="26" t="str">
        <f aca="false">IF($M673=0,"",SOUS_TRAITANCE!$X73)</f>
        <v/>
      </c>
      <c r="P673" s="26" t="str">
        <f aca="false">IF($G673="","",IF($G673=R_LOT,COUNTIF($G$5:$G673,R_LOT),""))</f>
        <v/>
      </c>
    </row>
    <row r="674" customFormat="false" ht="15" hidden="false" customHeight="false" outlineLevel="0" collapsed="false">
      <c r="A674" s="28" t="str">
        <f aca="false">IF($M674=0,"",ROW()-4)</f>
        <v/>
      </c>
      <c r="B674" s="26" t="str">
        <f aca="false">IF($M674=0,"","SOUS-TRAITANCE")</f>
        <v/>
      </c>
      <c r="C674" s="26" t="str">
        <f aca="false">IF($M674=0,"",SOUS_TRAITANCE!$A74)</f>
        <v/>
      </c>
      <c r="D674" s="31" t="str">
        <f aca="false">IF($M674=0,"",SOUS_TRAITANCE!$B74)</f>
        <v/>
      </c>
      <c r="E674" s="26" t="str">
        <f aca="false">IF($M674=0,"","SORTIE")</f>
        <v/>
      </c>
      <c r="F674" s="26" t="str">
        <f aca="false">IF($M674=0,"","ENVOI SOUS-TRAITANCE")</f>
        <v/>
      </c>
      <c r="G674" s="26" t="str">
        <f aca="false">IF($M674=0,"",SOUS_TRAITANCE!$E74)</f>
        <v/>
      </c>
      <c r="H674" s="26" t="str">
        <f aca="false">IF($G674="","",IFERROR(INDEX(LOT_EXTE,MATCH($G674,LOT_KEY,0)),""))</f>
        <v/>
      </c>
      <c r="I674" s="26" t="str">
        <f aca="false">IF($M674=0,"",SOUS_TRAITANCE!$F74)</f>
        <v/>
      </c>
      <c r="J674" s="26" t="str">
        <f aca="false">IF($I674="","",IFERROR(INDEX(EMPL_CLASSE,MATCH($I674,EMPL_KEY,0)),""))</f>
        <v/>
      </c>
      <c r="K674" s="26" t="str">
        <f aca="false">IF($M674=0,"",SOUS_TRAITANCE!$P74)</f>
        <v/>
      </c>
      <c r="L674" s="26" t="str">
        <f aca="false">IF($G674="","",IF(IFERROR(INDEX(LOT_ETAT,MATCH($G674,LOT_KEY,0)),"")="","",INDEX(LOT_ETAT,MATCH($G674,LOT_KEY,0))))</f>
        <v/>
      </c>
      <c r="M674" s="73" t="n">
        <f aca="false">IF(OR(SOUS_TRAITANCE!$R74=0,SOUS_TRAITANCE!$D74&lt;&gt;"STOCK EXISTANT"),0,-SOUS_TRAITANCE!$G74)</f>
        <v>0</v>
      </c>
      <c r="N674" s="73" t="n">
        <f aca="false">IF($M674=0,0,SOUS_TRAITANCE!$Y74*$M674)</f>
        <v>0</v>
      </c>
      <c r="O674" s="26" t="str">
        <f aca="false">IF($M674=0,"",SOUS_TRAITANCE!$X74)</f>
        <v/>
      </c>
      <c r="P674" s="26" t="str">
        <f aca="false">IF($G674="","",IF($G674=R_LOT,COUNTIF($G$5:$G674,R_LOT),""))</f>
        <v/>
      </c>
    </row>
    <row r="675" customFormat="false" ht="15" hidden="false" customHeight="false" outlineLevel="0" collapsed="false">
      <c r="A675" s="28" t="str">
        <f aca="false">IF($M675=0,"",ROW()-4)</f>
        <v/>
      </c>
      <c r="B675" s="26" t="str">
        <f aca="false">IF($M675=0,"","SOUS-TRAITANCE")</f>
        <v/>
      </c>
      <c r="C675" s="26" t="str">
        <f aca="false">IF($M675=0,"",SOUS_TRAITANCE!$A75)</f>
        <v/>
      </c>
      <c r="D675" s="31" t="str">
        <f aca="false">IF($M675=0,"",SOUS_TRAITANCE!$B75)</f>
        <v/>
      </c>
      <c r="E675" s="26" t="str">
        <f aca="false">IF($M675=0,"","SORTIE")</f>
        <v/>
      </c>
      <c r="F675" s="26" t="str">
        <f aca="false">IF($M675=0,"","ENVOI SOUS-TRAITANCE")</f>
        <v/>
      </c>
      <c r="G675" s="26" t="str">
        <f aca="false">IF($M675=0,"",SOUS_TRAITANCE!$E75)</f>
        <v/>
      </c>
      <c r="H675" s="26" t="str">
        <f aca="false">IF($G675="","",IFERROR(INDEX(LOT_EXTE,MATCH($G675,LOT_KEY,0)),""))</f>
        <v/>
      </c>
      <c r="I675" s="26" t="str">
        <f aca="false">IF($M675=0,"",SOUS_TRAITANCE!$F75)</f>
        <v/>
      </c>
      <c r="J675" s="26" t="str">
        <f aca="false">IF($I675="","",IFERROR(INDEX(EMPL_CLASSE,MATCH($I675,EMPL_KEY,0)),""))</f>
        <v/>
      </c>
      <c r="K675" s="26" t="str">
        <f aca="false">IF($M675=0,"",SOUS_TRAITANCE!$P75)</f>
        <v/>
      </c>
      <c r="L675" s="26" t="str">
        <f aca="false">IF($G675="","",IF(IFERROR(INDEX(LOT_ETAT,MATCH($G675,LOT_KEY,0)),"")="","",INDEX(LOT_ETAT,MATCH($G675,LOT_KEY,0))))</f>
        <v/>
      </c>
      <c r="M675" s="73" t="n">
        <f aca="false">IF(OR(SOUS_TRAITANCE!$R75=0,SOUS_TRAITANCE!$D75&lt;&gt;"STOCK EXISTANT"),0,-SOUS_TRAITANCE!$G75)</f>
        <v>0</v>
      </c>
      <c r="N675" s="73" t="n">
        <f aca="false">IF($M675=0,0,SOUS_TRAITANCE!$Y75*$M675)</f>
        <v>0</v>
      </c>
      <c r="O675" s="26" t="str">
        <f aca="false">IF($M675=0,"",SOUS_TRAITANCE!$X75)</f>
        <v/>
      </c>
      <c r="P675" s="26" t="str">
        <f aca="false">IF($G675="","",IF($G675=R_LOT,COUNTIF($G$5:$G675,R_LOT),""))</f>
        <v/>
      </c>
    </row>
    <row r="676" customFormat="false" ht="15" hidden="false" customHeight="false" outlineLevel="0" collapsed="false">
      <c r="A676" s="28" t="str">
        <f aca="false">IF($M676=0,"",ROW()-4)</f>
        <v/>
      </c>
      <c r="B676" s="26" t="str">
        <f aca="false">IF($M676=0,"","SOUS-TRAITANCE")</f>
        <v/>
      </c>
      <c r="C676" s="26" t="str">
        <f aca="false">IF($M676=0,"",SOUS_TRAITANCE!$A76)</f>
        <v/>
      </c>
      <c r="D676" s="31" t="str">
        <f aca="false">IF($M676=0,"",SOUS_TRAITANCE!$B76)</f>
        <v/>
      </c>
      <c r="E676" s="26" t="str">
        <f aca="false">IF($M676=0,"","SORTIE")</f>
        <v/>
      </c>
      <c r="F676" s="26" t="str">
        <f aca="false">IF($M676=0,"","ENVOI SOUS-TRAITANCE")</f>
        <v/>
      </c>
      <c r="G676" s="26" t="str">
        <f aca="false">IF($M676=0,"",SOUS_TRAITANCE!$E76)</f>
        <v/>
      </c>
      <c r="H676" s="26" t="str">
        <f aca="false">IF($G676="","",IFERROR(INDEX(LOT_EXTE,MATCH($G676,LOT_KEY,0)),""))</f>
        <v/>
      </c>
      <c r="I676" s="26" t="str">
        <f aca="false">IF($M676=0,"",SOUS_TRAITANCE!$F76)</f>
        <v/>
      </c>
      <c r="J676" s="26" t="str">
        <f aca="false">IF($I676="","",IFERROR(INDEX(EMPL_CLASSE,MATCH($I676,EMPL_KEY,0)),""))</f>
        <v/>
      </c>
      <c r="K676" s="26" t="str">
        <f aca="false">IF($M676=0,"",SOUS_TRAITANCE!$P76)</f>
        <v/>
      </c>
      <c r="L676" s="26" t="str">
        <f aca="false">IF($G676="","",IF(IFERROR(INDEX(LOT_ETAT,MATCH($G676,LOT_KEY,0)),"")="","",INDEX(LOT_ETAT,MATCH($G676,LOT_KEY,0))))</f>
        <v/>
      </c>
      <c r="M676" s="73" t="n">
        <f aca="false">IF(OR(SOUS_TRAITANCE!$R76=0,SOUS_TRAITANCE!$D76&lt;&gt;"STOCK EXISTANT"),0,-SOUS_TRAITANCE!$G76)</f>
        <v>0</v>
      </c>
      <c r="N676" s="73" t="n">
        <f aca="false">IF($M676=0,0,SOUS_TRAITANCE!$Y76*$M676)</f>
        <v>0</v>
      </c>
      <c r="O676" s="26" t="str">
        <f aca="false">IF($M676=0,"",SOUS_TRAITANCE!$X76)</f>
        <v/>
      </c>
      <c r="P676" s="26" t="str">
        <f aca="false">IF($G676="","",IF($G676=R_LOT,COUNTIF($G$5:$G676,R_LOT),""))</f>
        <v/>
      </c>
    </row>
    <row r="677" customFormat="false" ht="15" hidden="false" customHeight="false" outlineLevel="0" collapsed="false">
      <c r="A677" s="28" t="str">
        <f aca="false">IF($M677=0,"",ROW()-4)</f>
        <v/>
      </c>
      <c r="B677" s="26" t="str">
        <f aca="false">IF($M677=0,"","SOUS-TRAITANCE")</f>
        <v/>
      </c>
      <c r="C677" s="26" t="str">
        <f aca="false">IF($M677=0,"",SOUS_TRAITANCE!$A77)</f>
        <v/>
      </c>
      <c r="D677" s="31" t="str">
        <f aca="false">IF($M677=0,"",SOUS_TRAITANCE!$B77)</f>
        <v/>
      </c>
      <c r="E677" s="26" t="str">
        <f aca="false">IF($M677=0,"","SORTIE")</f>
        <v/>
      </c>
      <c r="F677" s="26" t="str">
        <f aca="false">IF($M677=0,"","ENVOI SOUS-TRAITANCE")</f>
        <v/>
      </c>
      <c r="G677" s="26" t="str">
        <f aca="false">IF($M677=0,"",SOUS_TRAITANCE!$E77)</f>
        <v/>
      </c>
      <c r="H677" s="26" t="str">
        <f aca="false">IF($G677="","",IFERROR(INDEX(LOT_EXTE,MATCH($G677,LOT_KEY,0)),""))</f>
        <v/>
      </c>
      <c r="I677" s="26" t="str">
        <f aca="false">IF($M677=0,"",SOUS_TRAITANCE!$F77)</f>
        <v/>
      </c>
      <c r="J677" s="26" t="str">
        <f aca="false">IF($I677="","",IFERROR(INDEX(EMPL_CLASSE,MATCH($I677,EMPL_KEY,0)),""))</f>
        <v/>
      </c>
      <c r="K677" s="26" t="str">
        <f aca="false">IF($M677=0,"",SOUS_TRAITANCE!$P77)</f>
        <v/>
      </c>
      <c r="L677" s="26" t="str">
        <f aca="false">IF($G677="","",IF(IFERROR(INDEX(LOT_ETAT,MATCH($G677,LOT_KEY,0)),"")="","",INDEX(LOT_ETAT,MATCH($G677,LOT_KEY,0))))</f>
        <v/>
      </c>
      <c r="M677" s="73" t="n">
        <f aca="false">IF(OR(SOUS_TRAITANCE!$R77=0,SOUS_TRAITANCE!$D77&lt;&gt;"STOCK EXISTANT"),0,-SOUS_TRAITANCE!$G77)</f>
        <v>0</v>
      </c>
      <c r="N677" s="73" t="n">
        <f aca="false">IF($M677=0,0,SOUS_TRAITANCE!$Y77*$M677)</f>
        <v>0</v>
      </c>
      <c r="O677" s="26" t="str">
        <f aca="false">IF($M677=0,"",SOUS_TRAITANCE!$X77)</f>
        <v/>
      </c>
      <c r="P677" s="26" t="str">
        <f aca="false">IF($G677="","",IF($G677=R_LOT,COUNTIF($G$5:$G677,R_LOT),""))</f>
        <v/>
      </c>
    </row>
    <row r="678" customFormat="false" ht="15" hidden="false" customHeight="false" outlineLevel="0" collapsed="false">
      <c r="A678" s="28" t="str">
        <f aca="false">IF($M678=0,"",ROW()-4)</f>
        <v/>
      </c>
      <c r="B678" s="26" t="str">
        <f aca="false">IF($M678=0,"","SOUS-TRAITANCE")</f>
        <v/>
      </c>
      <c r="C678" s="26" t="str">
        <f aca="false">IF($M678=0,"",SOUS_TRAITANCE!$A78)</f>
        <v/>
      </c>
      <c r="D678" s="31" t="str">
        <f aca="false">IF($M678=0,"",SOUS_TRAITANCE!$B78)</f>
        <v/>
      </c>
      <c r="E678" s="26" t="str">
        <f aca="false">IF($M678=0,"","SORTIE")</f>
        <v/>
      </c>
      <c r="F678" s="26" t="str">
        <f aca="false">IF($M678=0,"","ENVOI SOUS-TRAITANCE")</f>
        <v/>
      </c>
      <c r="G678" s="26" t="str">
        <f aca="false">IF($M678=0,"",SOUS_TRAITANCE!$E78)</f>
        <v/>
      </c>
      <c r="H678" s="26" t="str">
        <f aca="false">IF($G678="","",IFERROR(INDEX(LOT_EXTE,MATCH($G678,LOT_KEY,0)),""))</f>
        <v/>
      </c>
      <c r="I678" s="26" t="str">
        <f aca="false">IF($M678=0,"",SOUS_TRAITANCE!$F78)</f>
        <v/>
      </c>
      <c r="J678" s="26" t="str">
        <f aca="false">IF($I678="","",IFERROR(INDEX(EMPL_CLASSE,MATCH($I678,EMPL_KEY,0)),""))</f>
        <v/>
      </c>
      <c r="K678" s="26" t="str">
        <f aca="false">IF($M678=0,"",SOUS_TRAITANCE!$P78)</f>
        <v/>
      </c>
      <c r="L678" s="26" t="str">
        <f aca="false">IF($G678="","",IF(IFERROR(INDEX(LOT_ETAT,MATCH($G678,LOT_KEY,0)),"")="","",INDEX(LOT_ETAT,MATCH($G678,LOT_KEY,0))))</f>
        <v/>
      </c>
      <c r="M678" s="73" t="n">
        <f aca="false">IF(OR(SOUS_TRAITANCE!$R78=0,SOUS_TRAITANCE!$D78&lt;&gt;"STOCK EXISTANT"),0,-SOUS_TRAITANCE!$G78)</f>
        <v>0</v>
      </c>
      <c r="N678" s="73" t="n">
        <f aca="false">IF($M678=0,0,SOUS_TRAITANCE!$Y78*$M678)</f>
        <v>0</v>
      </c>
      <c r="O678" s="26" t="str">
        <f aca="false">IF($M678=0,"",SOUS_TRAITANCE!$X78)</f>
        <v/>
      </c>
      <c r="P678" s="26" t="str">
        <f aca="false">IF($G678="","",IF($G678=R_LOT,COUNTIF($G$5:$G678,R_LOT),""))</f>
        <v/>
      </c>
    </row>
    <row r="679" customFormat="false" ht="15" hidden="false" customHeight="false" outlineLevel="0" collapsed="false">
      <c r="A679" s="28" t="str">
        <f aca="false">IF($M679=0,"",ROW()-4)</f>
        <v/>
      </c>
      <c r="B679" s="26" t="str">
        <f aca="false">IF($M679=0,"","SOUS-TRAITANCE")</f>
        <v/>
      </c>
      <c r="C679" s="26" t="str">
        <f aca="false">IF($M679=0,"",SOUS_TRAITANCE!$A79)</f>
        <v/>
      </c>
      <c r="D679" s="31" t="str">
        <f aca="false">IF($M679=0,"",SOUS_TRAITANCE!$B79)</f>
        <v/>
      </c>
      <c r="E679" s="26" t="str">
        <f aca="false">IF($M679=0,"","SORTIE")</f>
        <v/>
      </c>
      <c r="F679" s="26" t="str">
        <f aca="false">IF($M679=0,"","ENVOI SOUS-TRAITANCE")</f>
        <v/>
      </c>
      <c r="G679" s="26" t="str">
        <f aca="false">IF($M679=0,"",SOUS_TRAITANCE!$E79)</f>
        <v/>
      </c>
      <c r="H679" s="26" t="str">
        <f aca="false">IF($G679="","",IFERROR(INDEX(LOT_EXTE,MATCH($G679,LOT_KEY,0)),""))</f>
        <v/>
      </c>
      <c r="I679" s="26" t="str">
        <f aca="false">IF($M679=0,"",SOUS_TRAITANCE!$F79)</f>
        <v/>
      </c>
      <c r="J679" s="26" t="str">
        <f aca="false">IF($I679="","",IFERROR(INDEX(EMPL_CLASSE,MATCH($I679,EMPL_KEY,0)),""))</f>
        <v/>
      </c>
      <c r="K679" s="26" t="str">
        <f aca="false">IF($M679=0,"",SOUS_TRAITANCE!$P79)</f>
        <v/>
      </c>
      <c r="L679" s="26" t="str">
        <f aca="false">IF($G679="","",IF(IFERROR(INDEX(LOT_ETAT,MATCH($G679,LOT_KEY,0)),"")="","",INDEX(LOT_ETAT,MATCH($G679,LOT_KEY,0))))</f>
        <v/>
      </c>
      <c r="M679" s="73" t="n">
        <f aca="false">IF(OR(SOUS_TRAITANCE!$R79=0,SOUS_TRAITANCE!$D79&lt;&gt;"STOCK EXISTANT"),0,-SOUS_TRAITANCE!$G79)</f>
        <v>0</v>
      </c>
      <c r="N679" s="73" t="n">
        <f aca="false">IF($M679=0,0,SOUS_TRAITANCE!$Y79*$M679)</f>
        <v>0</v>
      </c>
      <c r="O679" s="26" t="str">
        <f aca="false">IF($M679=0,"",SOUS_TRAITANCE!$X79)</f>
        <v/>
      </c>
      <c r="P679" s="26" t="str">
        <f aca="false">IF($G679="","",IF($G679=R_LOT,COUNTIF($G$5:$G679,R_LOT),""))</f>
        <v/>
      </c>
    </row>
    <row r="680" customFormat="false" ht="15" hidden="false" customHeight="false" outlineLevel="0" collapsed="false">
      <c r="A680" s="28" t="str">
        <f aca="false">IF($M680=0,"",ROW()-4)</f>
        <v/>
      </c>
      <c r="B680" s="26" t="str">
        <f aca="false">IF($M680=0,"","SOUS-TRAITANCE")</f>
        <v/>
      </c>
      <c r="C680" s="26" t="str">
        <f aca="false">IF($M680=0,"",SOUS_TRAITANCE!$A80)</f>
        <v/>
      </c>
      <c r="D680" s="31" t="str">
        <f aca="false">IF($M680=0,"",SOUS_TRAITANCE!$B80)</f>
        <v/>
      </c>
      <c r="E680" s="26" t="str">
        <f aca="false">IF($M680=0,"","SORTIE")</f>
        <v/>
      </c>
      <c r="F680" s="26" t="str">
        <f aca="false">IF($M680=0,"","ENVOI SOUS-TRAITANCE")</f>
        <v/>
      </c>
      <c r="G680" s="26" t="str">
        <f aca="false">IF($M680=0,"",SOUS_TRAITANCE!$E80)</f>
        <v/>
      </c>
      <c r="H680" s="26" t="str">
        <f aca="false">IF($G680="","",IFERROR(INDEX(LOT_EXTE,MATCH($G680,LOT_KEY,0)),""))</f>
        <v/>
      </c>
      <c r="I680" s="26" t="str">
        <f aca="false">IF($M680=0,"",SOUS_TRAITANCE!$F80)</f>
        <v/>
      </c>
      <c r="J680" s="26" t="str">
        <f aca="false">IF($I680="","",IFERROR(INDEX(EMPL_CLASSE,MATCH($I680,EMPL_KEY,0)),""))</f>
        <v/>
      </c>
      <c r="K680" s="26" t="str">
        <f aca="false">IF($M680=0,"",SOUS_TRAITANCE!$P80)</f>
        <v/>
      </c>
      <c r="L680" s="26" t="str">
        <f aca="false">IF($G680="","",IF(IFERROR(INDEX(LOT_ETAT,MATCH($G680,LOT_KEY,0)),"")="","",INDEX(LOT_ETAT,MATCH($G680,LOT_KEY,0))))</f>
        <v/>
      </c>
      <c r="M680" s="73" t="n">
        <f aca="false">IF(OR(SOUS_TRAITANCE!$R80=0,SOUS_TRAITANCE!$D80&lt;&gt;"STOCK EXISTANT"),0,-SOUS_TRAITANCE!$G80)</f>
        <v>0</v>
      </c>
      <c r="N680" s="73" t="n">
        <f aca="false">IF($M680=0,0,SOUS_TRAITANCE!$Y80*$M680)</f>
        <v>0</v>
      </c>
      <c r="O680" s="26" t="str">
        <f aca="false">IF($M680=0,"",SOUS_TRAITANCE!$X80)</f>
        <v/>
      </c>
      <c r="P680" s="26" t="str">
        <f aca="false">IF($G680="","",IF($G680=R_LOT,COUNTIF($G$5:$G680,R_LOT),""))</f>
        <v/>
      </c>
    </row>
    <row r="681" customFormat="false" ht="15" hidden="false" customHeight="false" outlineLevel="0" collapsed="false">
      <c r="A681" s="28" t="str">
        <f aca="false">IF($M681=0,"",ROW()-4)</f>
        <v/>
      </c>
      <c r="B681" s="26" t="str">
        <f aca="false">IF($M681=0,"","SOUS-TRAITANCE")</f>
        <v/>
      </c>
      <c r="C681" s="26" t="str">
        <f aca="false">IF($M681=0,"",SOUS_TRAITANCE!$A81)</f>
        <v/>
      </c>
      <c r="D681" s="31" t="str">
        <f aca="false">IF($M681=0,"",SOUS_TRAITANCE!$B81)</f>
        <v/>
      </c>
      <c r="E681" s="26" t="str">
        <f aca="false">IF($M681=0,"","SORTIE")</f>
        <v/>
      </c>
      <c r="F681" s="26" t="str">
        <f aca="false">IF($M681=0,"","ENVOI SOUS-TRAITANCE")</f>
        <v/>
      </c>
      <c r="G681" s="26" t="str">
        <f aca="false">IF($M681=0,"",SOUS_TRAITANCE!$E81)</f>
        <v/>
      </c>
      <c r="H681" s="26" t="str">
        <f aca="false">IF($G681="","",IFERROR(INDEX(LOT_EXTE,MATCH($G681,LOT_KEY,0)),""))</f>
        <v/>
      </c>
      <c r="I681" s="26" t="str">
        <f aca="false">IF($M681=0,"",SOUS_TRAITANCE!$F81)</f>
        <v/>
      </c>
      <c r="J681" s="26" t="str">
        <f aca="false">IF($I681="","",IFERROR(INDEX(EMPL_CLASSE,MATCH($I681,EMPL_KEY,0)),""))</f>
        <v/>
      </c>
      <c r="K681" s="26" t="str">
        <f aca="false">IF($M681=0,"",SOUS_TRAITANCE!$P81)</f>
        <v/>
      </c>
      <c r="L681" s="26" t="str">
        <f aca="false">IF($G681="","",IF(IFERROR(INDEX(LOT_ETAT,MATCH($G681,LOT_KEY,0)),"")="","",INDEX(LOT_ETAT,MATCH($G681,LOT_KEY,0))))</f>
        <v/>
      </c>
      <c r="M681" s="73" t="n">
        <f aca="false">IF(OR(SOUS_TRAITANCE!$R81=0,SOUS_TRAITANCE!$D81&lt;&gt;"STOCK EXISTANT"),0,-SOUS_TRAITANCE!$G81)</f>
        <v>0</v>
      </c>
      <c r="N681" s="73" t="n">
        <f aca="false">IF($M681=0,0,SOUS_TRAITANCE!$Y81*$M681)</f>
        <v>0</v>
      </c>
      <c r="O681" s="26" t="str">
        <f aca="false">IF($M681=0,"",SOUS_TRAITANCE!$X81)</f>
        <v/>
      </c>
      <c r="P681" s="26" t="str">
        <f aca="false">IF($G681="","",IF($G681=R_LOT,COUNTIF($G$5:$G681,R_LOT),""))</f>
        <v/>
      </c>
    </row>
    <row r="682" customFormat="false" ht="15" hidden="false" customHeight="false" outlineLevel="0" collapsed="false">
      <c r="A682" s="28" t="str">
        <f aca="false">IF($M682=0,"",ROW()-4)</f>
        <v/>
      </c>
      <c r="B682" s="26" t="str">
        <f aca="false">IF($M682=0,"","SOUS-TRAITANCE")</f>
        <v/>
      </c>
      <c r="C682" s="26" t="str">
        <f aca="false">IF($M682=0,"",SOUS_TRAITANCE!$A82)</f>
        <v/>
      </c>
      <c r="D682" s="31" t="str">
        <f aca="false">IF($M682=0,"",SOUS_TRAITANCE!$B82)</f>
        <v/>
      </c>
      <c r="E682" s="26" t="str">
        <f aca="false">IF($M682=0,"","SORTIE")</f>
        <v/>
      </c>
      <c r="F682" s="26" t="str">
        <f aca="false">IF($M682=0,"","ENVOI SOUS-TRAITANCE")</f>
        <v/>
      </c>
      <c r="G682" s="26" t="str">
        <f aca="false">IF($M682=0,"",SOUS_TRAITANCE!$E82)</f>
        <v/>
      </c>
      <c r="H682" s="26" t="str">
        <f aca="false">IF($G682="","",IFERROR(INDEX(LOT_EXTE,MATCH($G682,LOT_KEY,0)),""))</f>
        <v/>
      </c>
      <c r="I682" s="26" t="str">
        <f aca="false">IF($M682=0,"",SOUS_TRAITANCE!$F82)</f>
        <v/>
      </c>
      <c r="J682" s="26" t="str">
        <f aca="false">IF($I682="","",IFERROR(INDEX(EMPL_CLASSE,MATCH($I682,EMPL_KEY,0)),""))</f>
        <v/>
      </c>
      <c r="K682" s="26" t="str">
        <f aca="false">IF($M682=0,"",SOUS_TRAITANCE!$P82)</f>
        <v/>
      </c>
      <c r="L682" s="26" t="str">
        <f aca="false">IF($G682="","",IF(IFERROR(INDEX(LOT_ETAT,MATCH($G682,LOT_KEY,0)),"")="","",INDEX(LOT_ETAT,MATCH($G682,LOT_KEY,0))))</f>
        <v/>
      </c>
      <c r="M682" s="73" t="n">
        <f aca="false">IF(OR(SOUS_TRAITANCE!$R82=0,SOUS_TRAITANCE!$D82&lt;&gt;"STOCK EXISTANT"),0,-SOUS_TRAITANCE!$G82)</f>
        <v>0</v>
      </c>
      <c r="N682" s="73" t="n">
        <f aca="false">IF($M682=0,0,SOUS_TRAITANCE!$Y82*$M682)</f>
        <v>0</v>
      </c>
      <c r="O682" s="26" t="str">
        <f aca="false">IF($M682=0,"",SOUS_TRAITANCE!$X82)</f>
        <v/>
      </c>
      <c r="P682" s="26" t="str">
        <f aca="false">IF($G682="","",IF($G682=R_LOT,COUNTIF($G$5:$G682,R_LOT),""))</f>
        <v/>
      </c>
    </row>
    <row r="683" customFormat="false" ht="15" hidden="false" customHeight="false" outlineLevel="0" collapsed="false">
      <c r="A683" s="28" t="str">
        <f aca="false">IF($M683=0,"",ROW()-4)</f>
        <v/>
      </c>
      <c r="B683" s="26" t="str">
        <f aca="false">IF($M683=0,"","SOUS-TRAITANCE")</f>
        <v/>
      </c>
      <c r="C683" s="26" t="str">
        <f aca="false">IF($M683=0,"",SOUS_TRAITANCE!$A83)</f>
        <v/>
      </c>
      <c r="D683" s="31" t="str">
        <f aca="false">IF($M683=0,"",SOUS_TRAITANCE!$B83)</f>
        <v/>
      </c>
      <c r="E683" s="26" t="str">
        <f aca="false">IF($M683=0,"","SORTIE")</f>
        <v/>
      </c>
      <c r="F683" s="26" t="str">
        <f aca="false">IF($M683=0,"","ENVOI SOUS-TRAITANCE")</f>
        <v/>
      </c>
      <c r="G683" s="26" t="str">
        <f aca="false">IF($M683=0,"",SOUS_TRAITANCE!$E83)</f>
        <v/>
      </c>
      <c r="H683" s="26" t="str">
        <f aca="false">IF($G683="","",IFERROR(INDEX(LOT_EXTE,MATCH($G683,LOT_KEY,0)),""))</f>
        <v/>
      </c>
      <c r="I683" s="26" t="str">
        <f aca="false">IF($M683=0,"",SOUS_TRAITANCE!$F83)</f>
        <v/>
      </c>
      <c r="J683" s="26" t="str">
        <f aca="false">IF($I683="","",IFERROR(INDEX(EMPL_CLASSE,MATCH($I683,EMPL_KEY,0)),""))</f>
        <v/>
      </c>
      <c r="K683" s="26" t="str">
        <f aca="false">IF($M683=0,"",SOUS_TRAITANCE!$P83)</f>
        <v/>
      </c>
      <c r="L683" s="26" t="str">
        <f aca="false">IF($G683="","",IF(IFERROR(INDEX(LOT_ETAT,MATCH($G683,LOT_KEY,0)),"")="","",INDEX(LOT_ETAT,MATCH($G683,LOT_KEY,0))))</f>
        <v/>
      </c>
      <c r="M683" s="73" t="n">
        <f aca="false">IF(OR(SOUS_TRAITANCE!$R83=0,SOUS_TRAITANCE!$D83&lt;&gt;"STOCK EXISTANT"),0,-SOUS_TRAITANCE!$G83)</f>
        <v>0</v>
      </c>
      <c r="N683" s="73" t="n">
        <f aca="false">IF($M683=0,0,SOUS_TRAITANCE!$Y83*$M683)</f>
        <v>0</v>
      </c>
      <c r="O683" s="26" t="str">
        <f aca="false">IF($M683=0,"",SOUS_TRAITANCE!$X83)</f>
        <v/>
      </c>
      <c r="P683" s="26" t="str">
        <f aca="false">IF($G683="","",IF($G683=R_LOT,COUNTIF($G$5:$G683,R_LOT),""))</f>
        <v/>
      </c>
    </row>
    <row r="684" customFormat="false" ht="15" hidden="false" customHeight="false" outlineLevel="0" collapsed="false">
      <c r="A684" s="28" t="str">
        <f aca="false">IF($M684=0,"",ROW()-4)</f>
        <v/>
      </c>
      <c r="B684" s="26" t="str">
        <f aca="false">IF($M684=0,"","SOUS-TRAITANCE")</f>
        <v/>
      </c>
      <c r="C684" s="26" t="str">
        <f aca="false">IF($M684=0,"",SOUS_TRAITANCE!$A84)</f>
        <v/>
      </c>
      <c r="D684" s="31" t="str">
        <f aca="false">IF($M684=0,"",SOUS_TRAITANCE!$B84)</f>
        <v/>
      </c>
      <c r="E684" s="26" t="str">
        <f aca="false">IF($M684=0,"","SORTIE")</f>
        <v/>
      </c>
      <c r="F684" s="26" t="str">
        <f aca="false">IF($M684=0,"","ENVOI SOUS-TRAITANCE")</f>
        <v/>
      </c>
      <c r="G684" s="26" t="str">
        <f aca="false">IF($M684=0,"",SOUS_TRAITANCE!$E84)</f>
        <v/>
      </c>
      <c r="H684" s="26" t="str">
        <f aca="false">IF($G684="","",IFERROR(INDEX(LOT_EXTE,MATCH($G684,LOT_KEY,0)),""))</f>
        <v/>
      </c>
      <c r="I684" s="26" t="str">
        <f aca="false">IF($M684=0,"",SOUS_TRAITANCE!$F84)</f>
        <v/>
      </c>
      <c r="J684" s="26" t="str">
        <f aca="false">IF($I684="","",IFERROR(INDEX(EMPL_CLASSE,MATCH($I684,EMPL_KEY,0)),""))</f>
        <v/>
      </c>
      <c r="K684" s="26" t="str">
        <f aca="false">IF($M684=0,"",SOUS_TRAITANCE!$P84)</f>
        <v/>
      </c>
      <c r="L684" s="26" t="str">
        <f aca="false">IF($G684="","",IF(IFERROR(INDEX(LOT_ETAT,MATCH($G684,LOT_KEY,0)),"")="","",INDEX(LOT_ETAT,MATCH($G684,LOT_KEY,0))))</f>
        <v/>
      </c>
      <c r="M684" s="73" t="n">
        <f aca="false">IF(OR(SOUS_TRAITANCE!$R84=0,SOUS_TRAITANCE!$D84&lt;&gt;"STOCK EXISTANT"),0,-SOUS_TRAITANCE!$G84)</f>
        <v>0</v>
      </c>
      <c r="N684" s="73" t="n">
        <f aca="false">IF($M684=0,0,SOUS_TRAITANCE!$Y84*$M684)</f>
        <v>0</v>
      </c>
      <c r="O684" s="26" t="str">
        <f aca="false">IF($M684=0,"",SOUS_TRAITANCE!$X84)</f>
        <v/>
      </c>
      <c r="P684" s="26" t="str">
        <f aca="false">IF($G684="","",IF($G684=R_LOT,COUNTIF($G$5:$G684,R_LOT),""))</f>
        <v/>
      </c>
    </row>
    <row r="685" customFormat="false" ht="15" hidden="false" customHeight="false" outlineLevel="0" collapsed="false">
      <c r="A685" s="28" t="str">
        <f aca="false">IF($M685=0,"",ROW()-4)</f>
        <v/>
      </c>
      <c r="B685" s="26" t="str">
        <f aca="false">IF($M685=0,"","SOUS-TRAITANCE")</f>
        <v/>
      </c>
      <c r="C685" s="26" t="str">
        <f aca="false">IF($M685=0,"",SOUS_TRAITANCE!$A85)</f>
        <v/>
      </c>
      <c r="D685" s="31" t="str">
        <f aca="false">IF($M685=0,"",SOUS_TRAITANCE!$B85)</f>
        <v/>
      </c>
      <c r="E685" s="26" t="str">
        <f aca="false">IF($M685=0,"","SORTIE")</f>
        <v/>
      </c>
      <c r="F685" s="26" t="str">
        <f aca="false">IF($M685=0,"","ENVOI SOUS-TRAITANCE")</f>
        <v/>
      </c>
      <c r="G685" s="26" t="str">
        <f aca="false">IF($M685=0,"",SOUS_TRAITANCE!$E85)</f>
        <v/>
      </c>
      <c r="H685" s="26" t="str">
        <f aca="false">IF($G685="","",IFERROR(INDEX(LOT_EXTE,MATCH($G685,LOT_KEY,0)),""))</f>
        <v/>
      </c>
      <c r="I685" s="26" t="str">
        <f aca="false">IF($M685=0,"",SOUS_TRAITANCE!$F85)</f>
        <v/>
      </c>
      <c r="J685" s="26" t="str">
        <f aca="false">IF($I685="","",IFERROR(INDEX(EMPL_CLASSE,MATCH($I685,EMPL_KEY,0)),""))</f>
        <v/>
      </c>
      <c r="K685" s="26" t="str">
        <f aca="false">IF($M685=0,"",SOUS_TRAITANCE!$P85)</f>
        <v/>
      </c>
      <c r="L685" s="26" t="str">
        <f aca="false">IF($G685="","",IF(IFERROR(INDEX(LOT_ETAT,MATCH($G685,LOT_KEY,0)),"")="","",INDEX(LOT_ETAT,MATCH($G685,LOT_KEY,0))))</f>
        <v/>
      </c>
      <c r="M685" s="73" t="n">
        <f aca="false">IF(OR(SOUS_TRAITANCE!$R85=0,SOUS_TRAITANCE!$D85&lt;&gt;"STOCK EXISTANT"),0,-SOUS_TRAITANCE!$G85)</f>
        <v>0</v>
      </c>
      <c r="N685" s="73" t="n">
        <f aca="false">IF($M685=0,0,SOUS_TRAITANCE!$Y85*$M685)</f>
        <v>0</v>
      </c>
      <c r="O685" s="26" t="str">
        <f aca="false">IF($M685=0,"",SOUS_TRAITANCE!$X85)</f>
        <v/>
      </c>
      <c r="P685" s="26" t="str">
        <f aca="false">IF($G685="","",IF($G685=R_LOT,COUNTIF($G$5:$G685,R_LOT),""))</f>
        <v/>
      </c>
    </row>
    <row r="686" customFormat="false" ht="15" hidden="false" customHeight="false" outlineLevel="0" collapsed="false">
      <c r="A686" s="28" t="str">
        <f aca="false">IF($M686=0,"",ROW()-4)</f>
        <v/>
      </c>
      <c r="B686" s="26" t="str">
        <f aca="false">IF($M686=0,"","SOUS-TRAITANCE")</f>
        <v/>
      </c>
      <c r="C686" s="26" t="str">
        <f aca="false">IF($M686=0,"",SOUS_TRAITANCE!$A86)</f>
        <v/>
      </c>
      <c r="D686" s="31" t="str">
        <f aca="false">IF($M686=0,"",SOUS_TRAITANCE!$B86)</f>
        <v/>
      </c>
      <c r="E686" s="26" t="str">
        <f aca="false">IF($M686=0,"","SORTIE")</f>
        <v/>
      </c>
      <c r="F686" s="26" t="str">
        <f aca="false">IF($M686=0,"","ENVOI SOUS-TRAITANCE")</f>
        <v/>
      </c>
      <c r="G686" s="26" t="str">
        <f aca="false">IF($M686=0,"",SOUS_TRAITANCE!$E86)</f>
        <v/>
      </c>
      <c r="H686" s="26" t="str">
        <f aca="false">IF($G686="","",IFERROR(INDEX(LOT_EXTE,MATCH($G686,LOT_KEY,0)),""))</f>
        <v/>
      </c>
      <c r="I686" s="26" t="str">
        <f aca="false">IF($M686=0,"",SOUS_TRAITANCE!$F86)</f>
        <v/>
      </c>
      <c r="J686" s="26" t="str">
        <f aca="false">IF($I686="","",IFERROR(INDEX(EMPL_CLASSE,MATCH($I686,EMPL_KEY,0)),""))</f>
        <v/>
      </c>
      <c r="K686" s="26" t="str">
        <f aca="false">IF($M686=0,"",SOUS_TRAITANCE!$P86)</f>
        <v/>
      </c>
      <c r="L686" s="26" t="str">
        <f aca="false">IF($G686="","",IF(IFERROR(INDEX(LOT_ETAT,MATCH($G686,LOT_KEY,0)),"")="","",INDEX(LOT_ETAT,MATCH($G686,LOT_KEY,0))))</f>
        <v/>
      </c>
      <c r="M686" s="73" t="n">
        <f aca="false">IF(OR(SOUS_TRAITANCE!$R86=0,SOUS_TRAITANCE!$D86&lt;&gt;"STOCK EXISTANT"),0,-SOUS_TRAITANCE!$G86)</f>
        <v>0</v>
      </c>
      <c r="N686" s="73" t="n">
        <f aca="false">IF($M686=0,0,SOUS_TRAITANCE!$Y86*$M686)</f>
        <v>0</v>
      </c>
      <c r="O686" s="26" t="str">
        <f aca="false">IF($M686=0,"",SOUS_TRAITANCE!$X86)</f>
        <v/>
      </c>
      <c r="P686" s="26" t="str">
        <f aca="false">IF($G686="","",IF($G686=R_LOT,COUNTIF($G$5:$G686,R_LOT),""))</f>
        <v/>
      </c>
    </row>
    <row r="687" customFormat="false" ht="15" hidden="false" customHeight="false" outlineLevel="0" collapsed="false">
      <c r="A687" s="28" t="str">
        <f aca="false">IF($M687=0,"",ROW()-4)</f>
        <v/>
      </c>
      <c r="B687" s="26" t="str">
        <f aca="false">IF($M687=0,"","SOUS-TRAITANCE")</f>
        <v/>
      </c>
      <c r="C687" s="26" t="str">
        <f aca="false">IF($M687=0,"",SOUS_TRAITANCE!$A87)</f>
        <v/>
      </c>
      <c r="D687" s="31" t="str">
        <f aca="false">IF($M687=0,"",SOUS_TRAITANCE!$B87)</f>
        <v/>
      </c>
      <c r="E687" s="26" t="str">
        <f aca="false">IF($M687=0,"","SORTIE")</f>
        <v/>
      </c>
      <c r="F687" s="26" t="str">
        <f aca="false">IF($M687=0,"","ENVOI SOUS-TRAITANCE")</f>
        <v/>
      </c>
      <c r="G687" s="26" t="str">
        <f aca="false">IF($M687=0,"",SOUS_TRAITANCE!$E87)</f>
        <v/>
      </c>
      <c r="H687" s="26" t="str">
        <f aca="false">IF($G687="","",IFERROR(INDEX(LOT_EXTE,MATCH($G687,LOT_KEY,0)),""))</f>
        <v/>
      </c>
      <c r="I687" s="26" t="str">
        <f aca="false">IF($M687=0,"",SOUS_TRAITANCE!$F87)</f>
        <v/>
      </c>
      <c r="J687" s="26" t="str">
        <f aca="false">IF($I687="","",IFERROR(INDEX(EMPL_CLASSE,MATCH($I687,EMPL_KEY,0)),""))</f>
        <v/>
      </c>
      <c r="K687" s="26" t="str">
        <f aca="false">IF($M687=0,"",SOUS_TRAITANCE!$P87)</f>
        <v/>
      </c>
      <c r="L687" s="26" t="str">
        <f aca="false">IF($G687="","",IF(IFERROR(INDEX(LOT_ETAT,MATCH($G687,LOT_KEY,0)),"")="","",INDEX(LOT_ETAT,MATCH($G687,LOT_KEY,0))))</f>
        <v/>
      </c>
      <c r="M687" s="73" t="n">
        <f aca="false">IF(OR(SOUS_TRAITANCE!$R87=0,SOUS_TRAITANCE!$D87&lt;&gt;"STOCK EXISTANT"),0,-SOUS_TRAITANCE!$G87)</f>
        <v>0</v>
      </c>
      <c r="N687" s="73" t="n">
        <f aca="false">IF($M687=0,0,SOUS_TRAITANCE!$Y87*$M687)</f>
        <v>0</v>
      </c>
      <c r="O687" s="26" t="str">
        <f aca="false">IF($M687=0,"",SOUS_TRAITANCE!$X87)</f>
        <v/>
      </c>
      <c r="P687" s="26" t="str">
        <f aca="false">IF($G687="","",IF($G687=R_LOT,COUNTIF($G$5:$G687,R_LOT),""))</f>
        <v/>
      </c>
    </row>
    <row r="688" customFormat="false" ht="15" hidden="false" customHeight="false" outlineLevel="0" collapsed="false">
      <c r="A688" s="28" t="str">
        <f aca="false">IF($M688=0,"",ROW()-4)</f>
        <v/>
      </c>
      <c r="B688" s="26" t="str">
        <f aca="false">IF($M688=0,"","SOUS-TRAITANCE")</f>
        <v/>
      </c>
      <c r="C688" s="26" t="str">
        <f aca="false">IF($M688=0,"",SOUS_TRAITANCE!$A88)</f>
        <v/>
      </c>
      <c r="D688" s="31" t="str">
        <f aca="false">IF($M688=0,"",SOUS_TRAITANCE!$B88)</f>
        <v/>
      </c>
      <c r="E688" s="26" t="str">
        <f aca="false">IF($M688=0,"","SORTIE")</f>
        <v/>
      </c>
      <c r="F688" s="26" t="str">
        <f aca="false">IF($M688=0,"","ENVOI SOUS-TRAITANCE")</f>
        <v/>
      </c>
      <c r="G688" s="26" t="str">
        <f aca="false">IF($M688=0,"",SOUS_TRAITANCE!$E88)</f>
        <v/>
      </c>
      <c r="H688" s="26" t="str">
        <f aca="false">IF($G688="","",IFERROR(INDEX(LOT_EXTE,MATCH($G688,LOT_KEY,0)),""))</f>
        <v/>
      </c>
      <c r="I688" s="26" t="str">
        <f aca="false">IF($M688=0,"",SOUS_TRAITANCE!$F88)</f>
        <v/>
      </c>
      <c r="J688" s="26" t="str">
        <f aca="false">IF($I688="","",IFERROR(INDEX(EMPL_CLASSE,MATCH($I688,EMPL_KEY,0)),""))</f>
        <v/>
      </c>
      <c r="K688" s="26" t="str">
        <f aca="false">IF($M688=0,"",SOUS_TRAITANCE!$P88)</f>
        <v/>
      </c>
      <c r="L688" s="26" t="str">
        <f aca="false">IF($G688="","",IF(IFERROR(INDEX(LOT_ETAT,MATCH($G688,LOT_KEY,0)),"")="","",INDEX(LOT_ETAT,MATCH($G688,LOT_KEY,0))))</f>
        <v/>
      </c>
      <c r="M688" s="73" t="n">
        <f aca="false">IF(OR(SOUS_TRAITANCE!$R88=0,SOUS_TRAITANCE!$D88&lt;&gt;"STOCK EXISTANT"),0,-SOUS_TRAITANCE!$G88)</f>
        <v>0</v>
      </c>
      <c r="N688" s="73" t="n">
        <f aca="false">IF($M688=0,0,SOUS_TRAITANCE!$Y88*$M688)</f>
        <v>0</v>
      </c>
      <c r="O688" s="26" t="str">
        <f aca="false">IF($M688=0,"",SOUS_TRAITANCE!$X88)</f>
        <v/>
      </c>
      <c r="P688" s="26" t="str">
        <f aca="false">IF($G688="","",IF($G688=R_LOT,COUNTIF($G$5:$G688,R_LOT),""))</f>
        <v/>
      </c>
    </row>
    <row r="689" customFormat="false" ht="15" hidden="false" customHeight="false" outlineLevel="0" collapsed="false">
      <c r="A689" s="28" t="str">
        <f aca="false">IF($M689=0,"",ROW()-4)</f>
        <v/>
      </c>
      <c r="B689" s="26" t="str">
        <f aca="false">IF($M689=0,"","SOUS-TRAITANCE")</f>
        <v/>
      </c>
      <c r="C689" s="26" t="str">
        <f aca="false">IF($M689=0,"",SOUS_TRAITANCE!$A89)</f>
        <v/>
      </c>
      <c r="D689" s="31" t="str">
        <f aca="false">IF($M689=0,"",SOUS_TRAITANCE!$B89)</f>
        <v/>
      </c>
      <c r="E689" s="26" t="str">
        <f aca="false">IF($M689=0,"","SORTIE")</f>
        <v/>
      </c>
      <c r="F689" s="26" t="str">
        <f aca="false">IF($M689=0,"","ENVOI SOUS-TRAITANCE")</f>
        <v/>
      </c>
      <c r="G689" s="26" t="str">
        <f aca="false">IF($M689=0,"",SOUS_TRAITANCE!$E89)</f>
        <v/>
      </c>
      <c r="H689" s="26" t="str">
        <f aca="false">IF($G689="","",IFERROR(INDEX(LOT_EXTE,MATCH($G689,LOT_KEY,0)),""))</f>
        <v/>
      </c>
      <c r="I689" s="26" t="str">
        <f aca="false">IF($M689=0,"",SOUS_TRAITANCE!$F89)</f>
        <v/>
      </c>
      <c r="J689" s="26" t="str">
        <f aca="false">IF($I689="","",IFERROR(INDEX(EMPL_CLASSE,MATCH($I689,EMPL_KEY,0)),""))</f>
        <v/>
      </c>
      <c r="K689" s="26" t="str">
        <f aca="false">IF($M689=0,"",SOUS_TRAITANCE!$P89)</f>
        <v/>
      </c>
      <c r="L689" s="26" t="str">
        <f aca="false">IF($G689="","",IF(IFERROR(INDEX(LOT_ETAT,MATCH($G689,LOT_KEY,0)),"")="","",INDEX(LOT_ETAT,MATCH($G689,LOT_KEY,0))))</f>
        <v/>
      </c>
      <c r="M689" s="73" t="n">
        <f aca="false">IF(OR(SOUS_TRAITANCE!$R89=0,SOUS_TRAITANCE!$D89&lt;&gt;"STOCK EXISTANT"),0,-SOUS_TRAITANCE!$G89)</f>
        <v>0</v>
      </c>
      <c r="N689" s="73" t="n">
        <f aca="false">IF($M689=0,0,SOUS_TRAITANCE!$Y89*$M689)</f>
        <v>0</v>
      </c>
      <c r="O689" s="26" t="str">
        <f aca="false">IF($M689=0,"",SOUS_TRAITANCE!$X89)</f>
        <v/>
      </c>
      <c r="P689" s="26" t="str">
        <f aca="false">IF($G689="","",IF($G689=R_LOT,COUNTIF($G$5:$G689,R_LOT),""))</f>
        <v/>
      </c>
    </row>
    <row r="690" customFormat="false" ht="15" hidden="false" customHeight="false" outlineLevel="0" collapsed="false">
      <c r="A690" s="28" t="str">
        <f aca="false">IF($M690=0,"",ROW()-4)</f>
        <v/>
      </c>
      <c r="B690" s="26" t="str">
        <f aca="false">IF($M690=0,"","SOUS-TRAITANCE")</f>
        <v/>
      </c>
      <c r="C690" s="26" t="str">
        <f aca="false">IF($M690=0,"",SOUS_TRAITANCE!$A90)</f>
        <v/>
      </c>
      <c r="D690" s="31" t="str">
        <f aca="false">IF($M690=0,"",SOUS_TRAITANCE!$B90)</f>
        <v/>
      </c>
      <c r="E690" s="26" t="str">
        <f aca="false">IF($M690=0,"","SORTIE")</f>
        <v/>
      </c>
      <c r="F690" s="26" t="str">
        <f aca="false">IF($M690=0,"","ENVOI SOUS-TRAITANCE")</f>
        <v/>
      </c>
      <c r="G690" s="26" t="str">
        <f aca="false">IF($M690=0,"",SOUS_TRAITANCE!$E90)</f>
        <v/>
      </c>
      <c r="H690" s="26" t="str">
        <f aca="false">IF($G690="","",IFERROR(INDEX(LOT_EXTE,MATCH($G690,LOT_KEY,0)),""))</f>
        <v/>
      </c>
      <c r="I690" s="26" t="str">
        <f aca="false">IF($M690=0,"",SOUS_TRAITANCE!$F90)</f>
        <v/>
      </c>
      <c r="J690" s="26" t="str">
        <f aca="false">IF($I690="","",IFERROR(INDEX(EMPL_CLASSE,MATCH($I690,EMPL_KEY,0)),""))</f>
        <v/>
      </c>
      <c r="K690" s="26" t="str">
        <f aca="false">IF($M690=0,"",SOUS_TRAITANCE!$P90)</f>
        <v/>
      </c>
      <c r="L690" s="26" t="str">
        <f aca="false">IF($G690="","",IF(IFERROR(INDEX(LOT_ETAT,MATCH($G690,LOT_KEY,0)),"")="","",INDEX(LOT_ETAT,MATCH($G690,LOT_KEY,0))))</f>
        <v/>
      </c>
      <c r="M690" s="73" t="n">
        <f aca="false">IF(OR(SOUS_TRAITANCE!$R90=0,SOUS_TRAITANCE!$D90&lt;&gt;"STOCK EXISTANT"),0,-SOUS_TRAITANCE!$G90)</f>
        <v>0</v>
      </c>
      <c r="N690" s="73" t="n">
        <f aca="false">IF($M690=0,0,SOUS_TRAITANCE!$Y90*$M690)</f>
        <v>0</v>
      </c>
      <c r="O690" s="26" t="str">
        <f aca="false">IF($M690=0,"",SOUS_TRAITANCE!$X90)</f>
        <v/>
      </c>
      <c r="P690" s="26" t="str">
        <f aca="false">IF($G690="","",IF($G690=R_LOT,COUNTIF($G$5:$G690,R_LOT),""))</f>
        <v/>
      </c>
    </row>
    <row r="691" customFormat="false" ht="15" hidden="false" customHeight="false" outlineLevel="0" collapsed="false">
      <c r="A691" s="28" t="str">
        <f aca="false">IF($M691=0,"",ROW()-4)</f>
        <v/>
      </c>
      <c r="B691" s="26" t="str">
        <f aca="false">IF($M691=0,"","SOUS-TRAITANCE")</f>
        <v/>
      </c>
      <c r="C691" s="26" t="str">
        <f aca="false">IF($M691=0,"",SOUS_TRAITANCE!$A91)</f>
        <v/>
      </c>
      <c r="D691" s="31" t="str">
        <f aca="false">IF($M691=0,"",SOUS_TRAITANCE!$B91)</f>
        <v/>
      </c>
      <c r="E691" s="26" t="str">
        <f aca="false">IF($M691=0,"","SORTIE")</f>
        <v/>
      </c>
      <c r="F691" s="26" t="str">
        <f aca="false">IF($M691=0,"","ENVOI SOUS-TRAITANCE")</f>
        <v/>
      </c>
      <c r="G691" s="26" t="str">
        <f aca="false">IF($M691=0,"",SOUS_TRAITANCE!$E91)</f>
        <v/>
      </c>
      <c r="H691" s="26" t="str">
        <f aca="false">IF($G691="","",IFERROR(INDEX(LOT_EXTE,MATCH($G691,LOT_KEY,0)),""))</f>
        <v/>
      </c>
      <c r="I691" s="26" t="str">
        <f aca="false">IF($M691=0,"",SOUS_TRAITANCE!$F91)</f>
        <v/>
      </c>
      <c r="J691" s="26" t="str">
        <f aca="false">IF($I691="","",IFERROR(INDEX(EMPL_CLASSE,MATCH($I691,EMPL_KEY,0)),""))</f>
        <v/>
      </c>
      <c r="K691" s="26" t="str">
        <f aca="false">IF($M691=0,"",SOUS_TRAITANCE!$P91)</f>
        <v/>
      </c>
      <c r="L691" s="26" t="str">
        <f aca="false">IF($G691="","",IF(IFERROR(INDEX(LOT_ETAT,MATCH($G691,LOT_KEY,0)),"")="","",INDEX(LOT_ETAT,MATCH($G691,LOT_KEY,0))))</f>
        <v/>
      </c>
      <c r="M691" s="73" t="n">
        <f aca="false">IF(OR(SOUS_TRAITANCE!$R91=0,SOUS_TRAITANCE!$D91&lt;&gt;"STOCK EXISTANT"),0,-SOUS_TRAITANCE!$G91)</f>
        <v>0</v>
      </c>
      <c r="N691" s="73" t="n">
        <f aca="false">IF($M691=0,0,SOUS_TRAITANCE!$Y91*$M691)</f>
        <v>0</v>
      </c>
      <c r="O691" s="26" t="str">
        <f aca="false">IF($M691=0,"",SOUS_TRAITANCE!$X91)</f>
        <v/>
      </c>
      <c r="P691" s="26" t="str">
        <f aca="false">IF($G691="","",IF($G691=R_LOT,COUNTIF($G$5:$G691,R_LOT),""))</f>
        <v/>
      </c>
    </row>
    <row r="692" customFormat="false" ht="15" hidden="false" customHeight="false" outlineLevel="0" collapsed="false">
      <c r="A692" s="28" t="str">
        <f aca="false">IF($M692=0,"",ROW()-4)</f>
        <v/>
      </c>
      <c r="B692" s="26" t="str">
        <f aca="false">IF($M692=0,"","SOUS-TRAITANCE")</f>
        <v/>
      </c>
      <c r="C692" s="26" t="str">
        <f aca="false">IF($M692=0,"",SOUS_TRAITANCE!$A92)</f>
        <v/>
      </c>
      <c r="D692" s="31" t="str">
        <f aca="false">IF($M692=0,"",SOUS_TRAITANCE!$B92)</f>
        <v/>
      </c>
      <c r="E692" s="26" t="str">
        <f aca="false">IF($M692=0,"","SORTIE")</f>
        <v/>
      </c>
      <c r="F692" s="26" t="str">
        <f aca="false">IF($M692=0,"","ENVOI SOUS-TRAITANCE")</f>
        <v/>
      </c>
      <c r="G692" s="26" t="str">
        <f aca="false">IF($M692=0,"",SOUS_TRAITANCE!$E92)</f>
        <v/>
      </c>
      <c r="H692" s="26" t="str">
        <f aca="false">IF($G692="","",IFERROR(INDEX(LOT_EXTE,MATCH($G692,LOT_KEY,0)),""))</f>
        <v/>
      </c>
      <c r="I692" s="26" t="str">
        <f aca="false">IF($M692=0,"",SOUS_TRAITANCE!$F92)</f>
        <v/>
      </c>
      <c r="J692" s="26" t="str">
        <f aca="false">IF($I692="","",IFERROR(INDEX(EMPL_CLASSE,MATCH($I692,EMPL_KEY,0)),""))</f>
        <v/>
      </c>
      <c r="K692" s="26" t="str">
        <f aca="false">IF($M692=0,"",SOUS_TRAITANCE!$P92)</f>
        <v/>
      </c>
      <c r="L692" s="26" t="str">
        <f aca="false">IF($G692="","",IF(IFERROR(INDEX(LOT_ETAT,MATCH($G692,LOT_KEY,0)),"")="","",INDEX(LOT_ETAT,MATCH($G692,LOT_KEY,0))))</f>
        <v/>
      </c>
      <c r="M692" s="73" t="n">
        <f aca="false">IF(OR(SOUS_TRAITANCE!$R92=0,SOUS_TRAITANCE!$D92&lt;&gt;"STOCK EXISTANT"),0,-SOUS_TRAITANCE!$G92)</f>
        <v>0</v>
      </c>
      <c r="N692" s="73" t="n">
        <f aca="false">IF($M692=0,0,SOUS_TRAITANCE!$Y92*$M692)</f>
        <v>0</v>
      </c>
      <c r="O692" s="26" t="str">
        <f aca="false">IF($M692=0,"",SOUS_TRAITANCE!$X92)</f>
        <v/>
      </c>
      <c r="P692" s="26" t="str">
        <f aca="false">IF($G692="","",IF($G692=R_LOT,COUNTIF($G$5:$G692,R_LOT),""))</f>
        <v/>
      </c>
    </row>
    <row r="693" customFormat="false" ht="15" hidden="false" customHeight="false" outlineLevel="0" collapsed="false">
      <c r="A693" s="28" t="str">
        <f aca="false">IF($M693=0,"",ROW()-4)</f>
        <v/>
      </c>
      <c r="B693" s="26" t="str">
        <f aca="false">IF($M693=0,"","SOUS-TRAITANCE")</f>
        <v/>
      </c>
      <c r="C693" s="26" t="str">
        <f aca="false">IF($M693=0,"",SOUS_TRAITANCE!$A93)</f>
        <v/>
      </c>
      <c r="D693" s="31" t="str">
        <f aca="false">IF($M693=0,"",SOUS_TRAITANCE!$B93)</f>
        <v/>
      </c>
      <c r="E693" s="26" t="str">
        <f aca="false">IF($M693=0,"","SORTIE")</f>
        <v/>
      </c>
      <c r="F693" s="26" t="str">
        <f aca="false">IF($M693=0,"","ENVOI SOUS-TRAITANCE")</f>
        <v/>
      </c>
      <c r="G693" s="26" t="str">
        <f aca="false">IF($M693=0,"",SOUS_TRAITANCE!$E93)</f>
        <v/>
      </c>
      <c r="H693" s="26" t="str">
        <f aca="false">IF($G693="","",IFERROR(INDEX(LOT_EXTE,MATCH($G693,LOT_KEY,0)),""))</f>
        <v/>
      </c>
      <c r="I693" s="26" t="str">
        <f aca="false">IF($M693=0,"",SOUS_TRAITANCE!$F93)</f>
        <v/>
      </c>
      <c r="J693" s="26" t="str">
        <f aca="false">IF($I693="","",IFERROR(INDEX(EMPL_CLASSE,MATCH($I693,EMPL_KEY,0)),""))</f>
        <v/>
      </c>
      <c r="K693" s="26" t="str">
        <f aca="false">IF($M693=0,"",SOUS_TRAITANCE!$P93)</f>
        <v/>
      </c>
      <c r="L693" s="26" t="str">
        <f aca="false">IF($G693="","",IF(IFERROR(INDEX(LOT_ETAT,MATCH($G693,LOT_KEY,0)),"")="","",INDEX(LOT_ETAT,MATCH($G693,LOT_KEY,0))))</f>
        <v/>
      </c>
      <c r="M693" s="73" t="n">
        <f aca="false">IF(OR(SOUS_TRAITANCE!$R93=0,SOUS_TRAITANCE!$D93&lt;&gt;"STOCK EXISTANT"),0,-SOUS_TRAITANCE!$G93)</f>
        <v>0</v>
      </c>
      <c r="N693" s="73" t="n">
        <f aca="false">IF($M693=0,0,SOUS_TRAITANCE!$Y93*$M693)</f>
        <v>0</v>
      </c>
      <c r="O693" s="26" t="str">
        <f aca="false">IF($M693=0,"",SOUS_TRAITANCE!$X93)</f>
        <v/>
      </c>
      <c r="P693" s="26" t="str">
        <f aca="false">IF($G693="","",IF($G693=R_LOT,COUNTIF($G$5:$G693,R_LOT),""))</f>
        <v/>
      </c>
    </row>
    <row r="694" customFormat="false" ht="15" hidden="false" customHeight="false" outlineLevel="0" collapsed="false">
      <c r="A694" s="28" t="str">
        <f aca="false">IF($M694=0,"",ROW()-4)</f>
        <v/>
      </c>
      <c r="B694" s="26" t="str">
        <f aca="false">IF($M694=0,"","SOUS-TRAITANCE")</f>
        <v/>
      </c>
      <c r="C694" s="26" t="str">
        <f aca="false">IF($M694=0,"",SOUS_TRAITANCE!$A94)</f>
        <v/>
      </c>
      <c r="D694" s="31" t="str">
        <f aca="false">IF($M694=0,"",SOUS_TRAITANCE!$B94)</f>
        <v/>
      </c>
      <c r="E694" s="26" t="str">
        <f aca="false">IF($M694=0,"","SORTIE")</f>
        <v/>
      </c>
      <c r="F694" s="26" t="str">
        <f aca="false">IF($M694=0,"","ENVOI SOUS-TRAITANCE")</f>
        <v/>
      </c>
      <c r="G694" s="26" t="str">
        <f aca="false">IF($M694=0,"",SOUS_TRAITANCE!$E94)</f>
        <v/>
      </c>
      <c r="H694" s="26" t="str">
        <f aca="false">IF($G694="","",IFERROR(INDEX(LOT_EXTE,MATCH($G694,LOT_KEY,0)),""))</f>
        <v/>
      </c>
      <c r="I694" s="26" t="str">
        <f aca="false">IF($M694=0,"",SOUS_TRAITANCE!$F94)</f>
        <v/>
      </c>
      <c r="J694" s="26" t="str">
        <f aca="false">IF($I694="","",IFERROR(INDEX(EMPL_CLASSE,MATCH($I694,EMPL_KEY,0)),""))</f>
        <v/>
      </c>
      <c r="K694" s="26" t="str">
        <f aca="false">IF($M694=0,"",SOUS_TRAITANCE!$P94)</f>
        <v/>
      </c>
      <c r="L694" s="26" t="str">
        <f aca="false">IF($G694="","",IF(IFERROR(INDEX(LOT_ETAT,MATCH($G694,LOT_KEY,0)),"")="","",INDEX(LOT_ETAT,MATCH($G694,LOT_KEY,0))))</f>
        <v/>
      </c>
      <c r="M694" s="73" t="n">
        <f aca="false">IF(OR(SOUS_TRAITANCE!$R94=0,SOUS_TRAITANCE!$D94&lt;&gt;"STOCK EXISTANT"),0,-SOUS_TRAITANCE!$G94)</f>
        <v>0</v>
      </c>
      <c r="N694" s="73" t="n">
        <f aca="false">IF($M694=0,0,SOUS_TRAITANCE!$Y94*$M694)</f>
        <v>0</v>
      </c>
      <c r="O694" s="26" t="str">
        <f aca="false">IF($M694=0,"",SOUS_TRAITANCE!$X94)</f>
        <v/>
      </c>
      <c r="P694" s="26" t="str">
        <f aca="false">IF($G694="","",IF($G694=R_LOT,COUNTIF($G$5:$G694,R_LOT),""))</f>
        <v/>
      </c>
    </row>
    <row r="695" customFormat="false" ht="15" hidden="false" customHeight="false" outlineLevel="0" collapsed="false">
      <c r="A695" s="28" t="str">
        <f aca="false">IF($M695=0,"",ROW()-4)</f>
        <v/>
      </c>
      <c r="B695" s="26" t="str">
        <f aca="false">IF($M695=0,"","SOUS-TRAITANCE")</f>
        <v/>
      </c>
      <c r="C695" s="26" t="str">
        <f aca="false">IF($M695=0,"",SOUS_TRAITANCE!$A95)</f>
        <v/>
      </c>
      <c r="D695" s="31" t="str">
        <f aca="false">IF($M695=0,"",SOUS_TRAITANCE!$B95)</f>
        <v/>
      </c>
      <c r="E695" s="26" t="str">
        <f aca="false">IF($M695=0,"","SORTIE")</f>
        <v/>
      </c>
      <c r="F695" s="26" t="str">
        <f aca="false">IF($M695=0,"","ENVOI SOUS-TRAITANCE")</f>
        <v/>
      </c>
      <c r="G695" s="26" t="str">
        <f aca="false">IF($M695=0,"",SOUS_TRAITANCE!$E95)</f>
        <v/>
      </c>
      <c r="H695" s="26" t="str">
        <f aca="false">IF($G695="","",IFERROR(INDEX(LOT_EXTE,MATCH($G695,LOT_KEY,0)),""))</f>
        <v/>
      </c>
      <c r="I695" s="26" t="str">
        <f aca="false">IF($M695=0,"",SOUS_TRAITANCE!$F95)</f>
        <v/>
      </c>
      <c r="J695" s="26" t="str">
        <f aca="false">IF($I695="","",IFERROR(INDEX(EMPL_CLASSE,MATCH($I695,EMPL_KEY,0)),""))</f>
        <v/>
      </c>
      <c r="K695" s="26" t="str">
        <f aca="false">IF($M695=0,"",SOUS_TRAITANCE!$P95)</f>
        <v/>
      </c>
      <c r="L695" s="26" t="str">
        <f aca="false">IF($G695="","",IF(IFERROR(INDEX(LOT_ETAT,MATCH($G695,LOT_KEY,0)),"")="","",INDEX(LOT_ETAT,MATCH($G695,LOT_KEY,0))))</f>
        <v/>
      </c>
      <c r="M695" s="73" t="n">
        <f aca="false">IF(OR(SOUS_TRAITANCE!$R95=0,SOUS_TRAITANCE!$D95&lt;&gt;"STOCK EXISTANT"),0,-SOUS_TRAITANCE!$G95)</f>
        <v>0</v>
      </c>
      <c r="N695" s="73" t="n">
        <f aca="false">IF($M695=0,0,SOUS_TRAITANCE!$Y95*$M695)</f>
        <v>0</v>
      </c>
      <c r="O695" s="26" t="str">
        <f aca="false">IF($M695=0,"",SOUS_TRAITANCE!$X95)</f>
        <v/>
      </c>
      <c r="P695" s="26" t="str">
        <f aca="false">IF($G695="","",IF($G695=R_LOT,COUNTIF($G$5:$G695,R_LOT),""))</f>
        <v/>
      </c>
    </row>
    <row r="696" customFormat="false" ht="15" hidden="false" customHeight="false" outlineLevel="0" collapsed="false">
      <c r="A696" s="28" t="str">
        <f aca="false">IF($M696=0,"",ROW()-4)</f>
        <v/>
      </c>
      <c r="B696" s="26" t="str">
        <f aca="false">IF($M696=0,"","SOUS-TRAITANCE")</f>
        <v/>
      </c>
      <c r="C696" s="26" t="str">
        <f aca="false">IF($M696=0,"",SOUS_TRAITANCE!$A96)</f>
        <v/>
      </c>
      <c r="D696" s="31" t="str">
        <f aca="false">IF($M696=0,"",SOUS_TRAITANCE!$B96)</f>
        <v/>
      </c>
      <c r="E696" s="26" t="str">
        <f aca="false">IF($M696=0,"","SORTIE")</f>
        <v/>
      </c>
      <c r="F696" s="26" t="str">
        <f aca="false">IF($M696=0,"","ENVOI SOUS-TRAITANCE")</f>
        <v/>
      </c>
      <c r="G696" s="26" t="str">
        <f aca="false">IF($M696=0,"",SOUS_TRAITANCE!$E96)</f>
        <v/>
      </c>
      <c r="H696" s="26" t="str">
        <f aca="false">IF($G696="","",IFERROR(INDEX(LOT_EXTE,MATCH($G696,LOT_KEY,0)),""))</f>
        <v/>
      </c>
      <c r="I696" s="26" t="str">
        <f aca="false">IF($M696=0,"",SOUS_TRAITANCE!$F96)</f>
        <v/>
      </c>
      <c r="J696" s="26" t="str">
        <f aca="false">IF($I696="","",IFERROR(INDEX(EMPL_CLASSE,MATCH($I696,EMPL_KEY,0)),""))</f>
        <v/>
      </c>
      <c r="K696" s="26" t="str">
        <f aca="false">IF($M696=0,"",SOUS_TRAITANCE!$P96)</f>
        <v/>
      </c>
      <c r="L696" s="26" t="str">
        <f aca="false">IF($G696="","",IF(IFERROR(INDEX(LOT_ETAT,MATCH($G696,LOT_KEY,0)),"")="","",INDEX(LOT_ETAT,MATCH($G696,LOT_KEY,0))))</f>
        <v/>
      </c>
      <c r="M696" s="73" t="n">
        <f aca="false">IF(OR(SOUS_TRAITANCE!$R96=0,SOUS_TRAITANCE!$D96&lt;&gt;"STOCK EXISTANT"),0,-SOUS_TRAITANCE!$G96)</f>
        <v>0</v>
      </c>
      <c r="N696" s="73" t="n">
        <f aca="false">IF($M696=0,0,SOUS_TRAITANCE!$Y96*$M696)</f>
        <v>0</v>
      </c>
      <c r="O696" s="26" t="str">
        <f aca="false">IF($M696=0,"",SOUS_TRAITANCE!$X96)</f>
        <v/>
      </c>
      <c r="P696" s="26" t="str">
        <f aca="false">IF($G696="","",IF($G696=R_LOT,COUNTIF($G$5:$G696,R_LOT),""))</f>
        <v/>
      </c>
    </row>
    <row r="697" customFormat="false" ht="15" hidden="false" customHeight="false" outlineLevel="0" collapsed="false">
      <c r="A697" s="28" t="str">
        <f aca="false">IF($M697=0,"",ROW()-4)</f>
        <v/>
      </c>
      <c r="B697" s="26" t="str">
        <f aca="false">IF($M697=0,"","SOUS-TRAITANCE")</f>
        <v/>
      </c>
      <c r="C697" s="26" t="str">
        <f aca="false">IF($M697=0,"",SOUS_TRAITANCE!$A97)</f>
        <v/>
      </c>
      <c r="D697" s="31" t="str">
        <f aca="false">IF($M697=0,"",SOUS_TRAITANCE!$B97)</f>
        <v/>
      </c>
      <c r="E697" s="26" t="str">
        <f aca="false">IF($M697=0,"","SORTIE")</f>
        <v/>
      </c>
      <c r="F697" s="26" t="str">
        <f aca="false">IF($M697=0,"","ENVOI SOUS-TRAITANCE")</f>
        <v/>
      </c>
      <c r="G697" s="26" t="str">
        <f aca="false">IF($M697=0,"",SOUS_TRAITANCE!$E97)</f>
        <v/>
      </c>
      <c r="H697" s="26" t="str">
        <f aca="false">IF($G697="","",IFERROR(INDEX(LOT_EXTE,MATCH($G697,LOT_KEY,0)),""))</f>
        <v/>
      </c>
      <c r="I697" s="26" t="str">
        <f aca="false">IF($M697=0,"",SOUS_TRAITANCE!$F97)</f>
        <v/>
      </c>
      <c r="J697" s="26" t="str">
        <f aca="false">IF($I697="","",IFERROR(INDEX(EMPL_CLASSE,MATCH($I697,EMPL_KEY,0)),""))</f>
        <v/>
      </c>
      <c r="K697" s="26" t="str">
        <f aca="false">IF($M697=0,"",SOUS_TRAITANCE!$P97)</f>
        <v/>
      </c>
      <c r="L697" s="26" t="str">
        <f aca="false">IF($G697="","",IF(IFERROR(INDEX(LOT_ETAT,MATCH($G697,LOT_KEY,0)),"")="","",INDEX(LOT_ETAT,MATCH($G697,LOT_KEY,0))))</f>
        <v/>
      </c>
      <c r="M697" s="73" t="n">
        <f aca="false">IF(OR(SOUS_TRAITANCE!$R97=0,SOUS_TRAITANCE!$D97&lt;&gt;"STOCK EXISTANT"),0,-SOUS_TRAITANCE!$G97)</f>
        <v>0</v>
      </c>
      <c r="N697" s="73" t="n">
        <f aca="false">IF($M697=0,0,SOUS_TRAITANCE!$Y97*$M697)</f>
        <v>0</v>
      </c>
      <c r="O697" s="26" t="str">
        <f aca="false">IF($M697=0,"",SOUS_TRAITANCE!$X97)</f>
        <v/>
      </c>
      <c r="P697" s="26" t="str">
        <f aca="false">IF($G697="","",IF($G697=R_LOT,COUNTIF($G$5:$G697,R_LOT),""))</f>
        <v/>
      </c>
    </row>
    <row r="698" customFormat="false" ht="15" hidden="false" customHeight="false" outlineLevel="0" collapsed="false">
      <c r="A698" s="28" t="str">
        <f aca="false">IF($M698=0,"",ROW()-4)</f>
        <v/>
      </c>
      <c r="B698" s="26" t="str">
        <f aca="false">IF($M698=0,"","SOUS-TRAITANCE")</f>
        <v/>
      </c>
      <c r="C698" s="26" t="str">
        <f aca="false">IF($M698=0,"",SOUS_TRAITANCE!$A98)</f>
        <v/>
      </c>
      <c r="D698" s="31" t="str">
        <f aca="false">IF($M698=0,"",SOUS_TRAITANCE!$B98)</f>
        <v/>
      </c>
      <c r="E698" s="26" t="str">
        <f aca="false">IF($M698=0,"","SORTIE")</f>
        <v/>
      </c>
      <c r="F698" s="26" t="str">
        <f aca="false">IF($M698=0,"","ENVOI SOUS-TRAITANCE")</f>
        <v/>
      </c>
      <c r="G698" s="26" t="str">
        <f aca="false">IF($M698=0,"",SOUS_TRAITANCE!$E98)</f>
        <v/>
      </c>
      <c r="H698" s="26" t="str">
        <f aca="false">IF($G698="","",IFERROR(INDEX(LOT_EXTE,MATCH($G698,LOT_KEY,0)),""))</f>
        <v/>
      </c>
      <c r="I698" s="26" t="str">
        <f aca="false">IF($M698=0,"",SOUS_TRAITANCE!$F98)</f>
        <v/>
      </c>
      <c r="J698" s="26" t="str">
        <f aca="false">IF($I698="","",IFERROR(INDEX(EMPL_CLASSE,MATCH($I698,EMPL_KEY,0)),""))</f>
        <v/>
      </c>
      <c r="K698" s="26" t="str">
        <f aca="false">IF($M698=0,"",SOUS_TRAITANCE!$P98)</f>
        <v/>
      </c>
      <c r="L698" s="26" t="str">
        <f aca="false">IF($G698="","",IF(IFERROR(INDEX(LOT_ETAT,MATCH($G698,LOT_KEY,0)),"")="","",INDEX(LOT_ETAT,MATCH($G698,LOT_KEY,0))))</f>
        <v/>
      </c>
      <c r="M698" s="73" t="n">
        <f aca="false">IF(OR(SOUS_TRAITANCE!$R98=0,SOUS_TRAITANCE!$D98&lt;&gt;"STOCK EXISTANT"),0,-SOUS_TRAITANCE!$G98)</f>
        <v>0</v>
      </c>
      <c r="N698" s="73" t="n">
        <f aca="false">IF($M698=0,0,SOUS_TRAITANCE!$Y98*$M698)</f>
        <v>0</v>
      </c>
      <c r="O698" s="26" t="str">
        <f aca="false">IF($M698=0,"",SOUS_TRAITANCE!$X98)</f>
        <v/>
      </c>
      <c r="P698" s="26" t="str">
        <f aca="false">IF($G698="","",IF($G698=R_LOT,COUNTIF($G$5:$G698,R_LOT),""))</f>
        <v/>
      </c>
    </row>
    <row r="699" customFormat="false" ht="15" hidden="false" customHeight="false" outlineLevel="0" collapsed="false">
      <c r="A699" s="28" t="str">
        <f aca="false">IF($M699=0,"",ROW()-4)</f>
        <v/>
      </c>
      <c r="B699" s="26" t="str">
        <f aca="false">IF($M699=0,"","SOUS-TRAITANCE")</f>
        <v/>
      </c>
      <c r="C699" s="26" t="str">
        <f aca="false">IF($M699=0,"",SOUS_TRAITANCE!$A99)</f>
        <v/>
      </c>
      <c r="D699" s="31" t="str">
        <f aca="false">IF($M699=0,"",SOUS_TRAITANCE!$B99)</f>
        <v/>
      </c>
      <c r="E699" s="26" t="str">
        <f aca="false">IF($M699=0,"","SORTIE")</f>
        <v/>
      </c>
      <c r="F699" s="26" t="str">
        <f aca="false">IF($M699=0,"","ENVOI SOUS-TRAITANCE")</f>
        <v/>
      </c>
      <c r="G699" s="26" t="str">
        <f aca="false">IF($M699=0,"",SOUS_TRAITANCE!$E99)</f>
        <v/>
      </c>
      <c r="H699" s="26" t="str">
        <f aca="false">IF($G699="","",IFERROR(INDEX(LOT_EXTE,MATCH($G699,LOT_KEY,0)),""))</f>
        <v/>
      </c>
      <c r="I699" s="26" t="str">
        <f aca="false">IF($M699=0,"",SOUS_TRAITANCE!$F99)</f>
        <v/>
      </c>
      <c r="J699" s="26" t="str">
        <f aca="false">IF($I699="","",IFERROR(INDEX(EMPL_CLASSE,MATCH($I699,EMPL_KEY,0)),""))</f>
        <v/>
      </c>
      <c r="K699" s="26" t="str">
        <f aca="false">IF($M699=0,"",SOUS_TRAITANCE!$P99)</f>
        <v/>
      </c>
      <c r="L699" s="26" t="str">
        <f aca="false">IF($G699="","",IF(IFERROR(INDEX(LOT_ETAT,MATCH($G699,LOT_KEY,0)),"")="","",INDEX(LOT_ETAT,MATCH($G699,LOT_KEY,0))))</f>
        <v/>
      </c>
      <c r="M699" s="73" t="n">
        <f aca="false">IF(OR(SOUS_TRAITANCE!$R99=0,SOUS_TRAITANCE!$D99&lt;&gt;"STOCK EXISTANT"),0,-SOUS_TRAITANCE!$G99)</f>
        <v>0</v>
      </c>
      <c r="N699" s="73" t="n">
        <f aca="false">IF($M699=0,0,SOUS_TRAITANCE!$Y99*$M699)</f>
        <v>0</v>
      </c>
      <c r="O699" s="26" t="str">
        <f aca="false">IF($M699=0,"",SOUS_TRAITANCE!$X99)</f>
        <v/>
      </c>
      <c r="P699" s="26" t="str">
        <f aca="false">IF($G699="","",IF($G699=R_LOT,COUNTIF($G$5:$G699,R_LOT),""))</f>
        <v/>
      </c>
    </row>
    <row r="700" customFormat="false" ht="15" hidden="false" customHeight="false" outlineLevel="0" collapsed="false">
      <c r="A700" s="28" t="str">
        <f aca="false">IF($M700=0,"",ROW()-4)</f>
        <v/>
      </c>
      <c r="B700" s="26" t="str">
        <f aca="false">IF($M700=0,"","SOUS-TRAITANCE")</f>
        <v/>
      </c>
      <c r="C700" s="26" t="str">
        <f aca="false">IF($M700=0,"",SOUS_TRAITANCE!$A100)</f>
        <v/>
      </c>
      <c r="D700" s="31" t="str">
        <f aca="false">IF($M700=0,"",SOUS_TRAITANCE!$B100)</f>
        <v/>
      </c>
      <c r="E700" s="26" t="str">
        <f aca="false">IF($M700=0,"","SORTIE")</f>
        <v/>
      </c>
      <c r="F700" s="26" t="str">
        <f aca="false">IF($M700=0,"","ENVOI SOUS-TRAITANCE")</f>
        <v/>
      </c>
      <c r="G700" s="26" t="str">
        <f aca="false">IF($M700=0,"",SOUS_TRAITANCE!$E100)</f>
        <v/>
      </c>
      <c r="H700" s="26" t="str">
        <f aca="false">IF($G700="","",IFERROR(INDEX(LOT_EXTE,MATCH($G700,LOT_KEY,0)),""))</f>
        <v/>
      </c>
      <c r="I700" s="26" t="str">
        <f aca="false">IF($M700=0,"",SOUS_TRAITANCE!$F100)</f>
        <v/>
      </c>
      <c r="J700" s="26" t="str">
        <f aca="false">IF($I700="","",IFERROR(INDEX(EMPL_CLASSE,MATCH($I700,EMPL_KEY,0)),""))</f>
        <v/>
      </c>
      <c r="K700" s="26" t="str">
        <f aca="false">IF($M700=0,"",SOUS_TRAITANCE!$P100)</f>
        <v/>
      </c>
      <c r="L700" s="26" t="str">
        <f aca="false">IF($G700="","",IF(IFERROR(INDEX(LOT_ETAT,MATCH($G700,LOT_KEY,0)),"")="","",INDEX(LOT_ETAT,MATCH($G700,LOT_KEY,0))))</f>
        <v/>
      </c>
      <c r="M700" s="73" t="n">
        <f aca="false">IF(OR(SOUS_TRAITANCE!$R100=0,SOUS_TRAITANCE!$D100&lt;&gt;"STOCK EXISTANT"),0,-SOUS_TRAITANCE!$G100)</f>
        <v>0</v>
      </c>
      <c r="N700" s="73" t="n">
        <f aca="false">IF($M700=0,0,SOUS_TRAITANCE!$Y100*$M700)</f>
        <v>0</v>
      </c>
      <c r="O700" s="26" t="str">
        <f aca="false">IF($M700=0,"",SOUS_TRAITANCE!$X100)</f>
        <v/>
      </c>
      <c r="P700" s="26" t="str">
        <f aca="false">IF($G700="","",IF($G700=R_LOT,COUNTIF($G$5:$G700,R_LOT),""))</f>
        <v/>
      </c>
    </row>
    <row r="701" customFormat="false" ht="15" hidden="false" customHeight="false" outlineLevel="0" collapsed="false">
      <c r="A701" s="28" t="str">
        <f aca="false">IF($M701=0,"",ROW()-4)</f>
        <v/>
      </c>
      <c r="B701" s="26" t="str">
        <f aca="false">IF($M701=0,"","SOUS-TRAITANCE")</f>
        <v/>
      </c>
      <c r="C701" s="26" t="str">
        <f aca="false">IF($M701=0,"",SOUS_TRAITANCE!$A101)</f>
        <v/>
      </c>
      <c r="D701" s="31" t="str">
        <f aca="false">IF($M701=0,"",SOUS_TRAITANCE!$B101)</f>
        <v/>
      </c>
      <c r="E701" s="26" t="str">
        <f aca="false">IF($M701=0,"","SORTIE")</f>
        <v/>
      </c>
      <c r="F701" s="26" t="str">
        <f aca="false">IF($M701=0,"","ENVOI SOUS-TRAITANCE")</f>
        <v/>
      </c>
      <c r="G701" s="26" t="str">
        <f aca="false">IF($M701=0,"",SOUS_TRAITANCE!$E101)</f>
        <v/>
      </c>
      <c r="H701" s="26" t="str">
        <f aca="false">IF($G701="","",IFERROR(INDEX(LOT_EXTE,MATCH($G701,LOT_KEY,0)),""))</f>
        <v/>
      </c>
      <c r="I701" s="26" t="str">
        <f aca="false">IF($M701=0,"",SOUS_TRAITANCE!$F101)</f>
        <v/>
      </c>
      <c r="J701" s="26" t="str">
        <f aca="false">IF($I701="","",IFERROR(INDEX(EMPL_CLASSE,MATCH($I701,EMPL_KEY,0)),""))</f>
        <v/>
      </c>
      <c r="K701" s="26" t="str">
        <f aca="false">IF($M701=0,"",SOUS_TRAITANCE!$P101)</f>
        <v/>
      </c>
      <c r="L701" s="26" t="str">
        <f aca="false">IF($G701="","",IF(IFERROR(INDEX(LOT_ETAT,MATCH($G701,LOT_KEY,0)),"")="","",INDEX(LOT_ETAT,MATCH($G701,LOT_KEY,0))))</f>
        <v/>
      </c>
      <c r="M701" s="73" t="n">
        <f aca="false">IF(OR(SOUS_TRAITANCE!$R101=0,SOUS_TRAITANCE!$D101&lt;&gt;"STOCK EXISTANT"),0,-SOUS_TRAITANCE!$G101)</f>
        <v>0</v>
      </c>
      <c r="N701" s="73" t="n">
        <f aca="false">IF($M701=0,0,SOUS_TRAITANCE!$Y101*$M701)</f>
        <v>0</v>
      </c>
      <c r="O701" s="26" t="str">
        <f aca="false">IF($M701=0,"",SOUS_TRAITANCE!$X101)</f>
        <v/>
      </c>
      <c r="P701" s="26" t="str">
        <f aca="false">IF($G701="","",IF($G701=R_LOT,COUNTIF($G$5:$G701,R_LOT),""))</f>
        <v/>
      </c>
    </row>
    <row r="702" customFormat="false" ht="15" hidden="false" customHeight="false" outlineLevel="0" collapsed="false">
      <c r="A702" s="28" t="str">
        <f aca="false">IF($M702=0,"",ROW()-4)</f>
        <v/>
      </c>
      <c r="B702" s="26" t="str">
        <f aca="false">IF($M702=0,"","SOUS-TRAITANCE")</f>
        <v/>
      </c>
      <c r="C702" s="26" t="str">
        <f aca="false">IF($M702=0,"",SOUS_TRAITANCE!$A102)</f>
        <v/>
      </c>
      <c r="D702" s="31" t="str">
        <f aca="false">IF($M702=0,"",SOUS_TRAITANCE!$B102)</f>
        <v/>
      </c>
      <c r="E702" s="26" t="str">
        <f aca="false">IF($M702=0,"","SORTIE")</f>
        <v/>
      </c>
      <c r="F702" s="26" t="str">
        <f aca="false">IF($M702=0,"","ENVOI SOUS-TRAITANCE")</f>
        <v/>
      </c>
      <c r="G702" s="26" t="str">
        <f aca="false">IF($M702=0,"",SOUS_TRAITANCE!$E102)</f>
        <v/>
      </c>
      <c r="H702" s="26" t="str">
        <f aca="false">IF($G702="","",IFERROR(INDEX(LOT_EXTE,MATCH($G702,LOT_KEY,0)),""))</f>
        <v/>
      </c>
      <c r="I702" s="26" t="str">
        <f aca="false">IF($M702=0,"",SOUS_TRAITANCE!$F102)</f>
        <v/>
      </c>
      <c r="J702" s="26" t="str">
        <f aca="false">IF($I702="","",IFERROR(INDEX(EMPL_CLASSE,MATCH($I702,EMPL_KEY,0)),""))</f>
        <v/>
      </c>
      <c r="K702" s="26" t="str">
        <f aca="false">IF($M702=0,"",SOUS_TRAITANCE!$P102)</f>
        <v/>
      </c>
      <c r="L702" s="26" t="str">
        <f aca="false">IF($G702="","",IF(IFERROR(INDEX(LOT_ETAT,MATCH($G702,LOT_KEY,0)),"")="","",INDEX(LOT_ETAT,MATCH($G702,LOT_KEY,0))))</f>
        <v/>
      </c>
      <c r="M702" s="73" t="n">
        <f aca="false">IF(OR(SOUS_TRAITANCE!$R102=0,SOUS_TRAITANCE!$D102&lt;&gt;"STOCK EXISTANT"),0,-SOUS_TRAITANCE!$G102)</f>
        <v>0</v>
      </c>
      <c r="N702" s="73" t="n">
        <f aca="false">IF($M702=0,0,SOUS_TRAITANCE!$Y102*$M702)</f>
        <v>0</v>
      </c>
      <c r="O702" s="26" t="str">
        <f aca="false">IF($M702=0,"",SOUS_TRAITANCE!$X102)</f>
        <v/>
      </c>
      <c r="P702" s="26" t="str">
        <f aca="false">IF($G702="","",IF($G702=R_LOT,COUNTIF($G$5:$G702,R_LOT),""))</f>
        <v/>
      </c>
    </row>
    <row r="703" customFormat="false" ht="15" hidden="false" customHeight="false" outlineLevel="0" collapsed="false">
      <c r="A703" s="28" t="str">
        <f aca="false">IF($M703=0,"",ROW()-4)</f>
        <v/>
      </c>
      <c r="B703" s="26" t="str">
        <f aca="false">IF($M703=0,"","SOUS-TRAITANCE")</f>
        <v/>
      </c>
      <c r="C703" s="26" t="str">
        <f aca="false">IF($M703=0,"",SOUS_TRAITANCE!$A103)</f>
        <v/>
      </c>
      <c r="D703" s="31" t="str">
        <f aca="false">IF($M703=0,"",SOUS_TRAITANCE!$B103)</f>
        <v/>
      </c>
      <c r="E703" s="26" t="str">
        <f aca="false">IF($M703=0,"","SORTIE")</f>
        <v/>
      </c>
      <c r="F703" s="26" t="str">
        <f aca="false">IF($M703=0,"","ENVOI SOUS-TRAITANCE")</f>
        <v/>
      </c>
      <c r="G703" s="26" t="str">
        <f aca="false">IF($M703=0,"",SOUS_TRAITANCE!$E103)</f>
        <v/>
      </c>
      <c r="H703" s="26" t="str">
        <f aca="false">IF($G703="","",IFERROR(INDEX(LOT_EXTE,MATCH($G703,LOT_KEY,0)),""))</f>
        <v/>
      </c>
      <c r="I703" s="26" t="str">
        <f aca="false">IF($M703=0,"",SOUS_TRAITANCE!$F103)</f>
        <v/>
      </c>
      <c r="J703" s="26" t="str">
        <f aca="false">IF($I703="","",IFERROR(INDEX(EMPL_CLASSE,MATCH($I703,EMPL_KEY,0)),""))</f>
        <v/>
      </c>
      <c r="K703" s="26" t="str">
        <f aca="false">IF($M703=0,"",SOUS_TRAITANCE!$P103)</f>
        <v/>
      </c>
      <c r="L703" s="26" t="str">
        <f aca="false">IF($G703="","",IF(IFERROR(INDEX(LOT_ETAT,MATCH($G703,LOT_KEY,0)),"")="","",INDEX(LOT_ETAT,MATCH($G703,LOT_KEY,0))))</f>
        <v/>
      </c>
      <c r="M703" s="73" t="n">
        <f aca="false">IF(OR(SOUS_TRAITANCE!$R103=0,SOUS_TRAITANCE!$D103&lt;&gt;"STOCK EXISTANT"),0,-SOUS_TRAITANCE!$G103)</f>
        <v>0</v>
      </c>
      <c r="N703" s="73" t="n">
        <f aca="false">IF($M703=0,0,SOUS_TRAITANCE!$Y103*$M703)</f>
        <v>0</v>
      </c>
      <c r="O703" s="26" t="str">
        <f aca="false">IF($M703=0,"",SOUS_TRAITANCE!$X103)</f>
        <v/>
      </c>
      <c r="P703" s="26" t="str">
        <f aca="false">IF($G703="","",IF($G703=R_LOT,COUNTIF($G$5:$G703,R_LOT),""))</f>
        <v/>
      </c>
    </row>
    <row r="704" customFormat="false" ht="15" hidden="false" customHeight="false" outlineLevel="0" collapsed="false">
      <c r="A704" s="28" t="str">
        <f aca="false">IF($M704=0,"",ROW()-4)</f>
        <v/>
      </c>
      <c r="B704" s="26" t="str">
        <f aca="false">IF($M704=0,"","SOUS-TRAITANCE")</f>
        <v/>
      </c>
      <c r="C704" s="26" t="str">
        <f aca="false">IF($M704=0,"",SOUS_TRAITANCE!$A104)</f>
        <v/>
      </c>
      <c r="D704" s="31" t="str">
        <f aca="false">IF($M704=0,"",SOUS_TRAITANCE!$B104)</f>
        <v/>
      </c>
      <c r="E704" s="26" t="str">
        <f aca="false">IF($M704=0,"","SORTIE")</f>
        <v/>
      </c>
      <c r="F704" s="26" t="str">
        <f aca="false">IF($M704=0,"","ENVOI SOUS-TRAITANCE")</f>
        <v/>
      </c>
      <c r="G704" s="26" t="str">
        <f aca="false">IF($M704=0,"",SOUS_TRAITANCE!$E104)</f>
        <v/>
      </c>
      <c r="H704" s="26" t="str">
        <f aca="false">IF($G704="","",IFERROR(INDEX(LOT_EXTE,MATCH($G704,LOT_KEY,0)),""))</f>
        <v/>
      </c>
      <c r="I704" s="26" t="str">
        <f aca="false">IF($M704=0,"",SOUS_TRAITANCE!$F104)</f>
        <v/>
      </c>
      <c r="J704" s="26" t="str">
        <f aca="false">IF($I704="","",IFERROR(INDEX(EMPL_CLASSE,MATCH($I704,EMPL_KEY,0)),""))</f>
        <v/>
      </c>
      <c r="K704" s="26" t="str">
        <f aca="false">IF($M704=0,"",SOUS_TRAITANCE!$P104)</f>
        <v/>
      </c>
      <c r="L704" s="26" t="str">
        <f aca="false">IF($G704="","",IF(IFERROR(INDEX(LOT_ETAT,MATCH($G704,LOT_KEY,0)),"")="","",INDEX(LOT_ETAT,MATCH($G704,LOT_KEY,0))))</f>
        <v/>
      </c>
      <c r="M704" s="73" t="n">
        <f aca="false">IF(OR(SOUS_TRAITANCE!$R104=0,SOUS_TRAITANCE!$D104&lt;&gt;"STOCK EXISTANT"),0,-SOUS_TRAITANCE!$G104)</f>
        <v>0</v>
      </c>
      <c r="N704" s="73" t="n">
        <f aca="false">IF($M704=0,0,SOUS_TRAITANCE!$Y104*$M704)</f>
        <v>0</v>
      </c>
      <c r="O704" s="26" t="str">
        <f aca="false">IF($M704=0,"",SOUS_TRAITANCE!$X104)</f>
        <v/>
      </c>
      <c r="P704" s="26" t="str">
        <f aca="false">IF($G704="","",IF($G704=R_LOT,COUNTIF($G$5:$G704,R_LOT),""))</f>
        <v/>
      </c>
    </row>
    <row r="705" customFormat="false" ht="15" hidden="false" customHeight="false" outlineLevel="0" collapsed="false">
      <c r="A705" s="28" t="str">
        <f aca="false">IF($M705=0,"",ROW()-4)</f>
        <v/>
      </c>
      <c r="B705" s="26" t="str">
        <f aca="false">IF($M705=0,"","SOUS-TRAITANCE")</f>
        <v/>
      </c>
      <c r="C705" s="26" t="str">
        <f aca="false">IF($M705=0,"",SOUS_TRAITANCE!$A105)</f>
        <v/>
      </c>
      <c r="D705" s="31" t="str">
        <f aca="false">IF($M705=0,"",SOUS_TRAITANCE!$B105)</f>
        <v/>
      </c>
      <c r="E705" s="26" t="str">
        <f aca="false">IF($M705=0,"","SORTIE")</f>
        <v/>
      </c>
      <c r="F705" s="26" t="str">
        <f aca="false">IF($M705=0,"","ENVOI SOUS-TRAITANCE")</f>
        <v/>
      </c>
      <c r="G705" s="26" t="str">
        <f aca="false">IF($M705=0,"",SOUS_TRAITANCE!$E105)</f>
        <v/>
      </c>
      <c r="H705" s="26" t="str">
        <f aca="false">IF($G705="","",IFERROR(INDEX(LOT_EXTE,MATCH($G705,LOT_KEY,0)),""))</f>
        <v/>
      </c>
      <c r="I705" s="26" t="str">
        <f aca="false">IF($M705=0,"",SOUS_TRAITANCE!$F105)</f>
        <v/>
      </c>
      <c r="J705" s="26" t="str">
        <f aca="false">IF($I705="","",IFERROR(INDEX(EMPL_CLASSE,MATCH($I705,EMPL_KEY,0)),""))</f>
        <v/>
      </c>
      <c r="K705" s="26" t="str">
        <f aca="false">IF($M705=0,"",SOUS_TRAITANCE!$P105)</f>
        <v/>
      </c>
      <c r="L705" s="26" t="str">
        <f aca="false">IF($G705="","",IF(IFERROR(INDEX(LOT_ETAT,MATCH($G705,LOT_KEY,0)),"")="","",INDEX(LOT_ETAT,MATCH($G705,LOT_KEY,0))))</f>
        <v/>
      </c>
      <c r="M705" s="73" t="n">
        <f aca="false">IF(OR(SOUS_TRAITANCE!$R105=0,SOUS_TRAITANCE!$D105&lt;&gt;"STOCK EXISTANT"),0,-SOUS_TRAITANCE!$G105)</f>
        <v>0</v>
      </c>
      <c r="N705" s="73" t="n">
        <f aca="false">IF($M705=0,0,SOUS_TRAITANCE!$Y105*$M705)</f>
        <v>0</v>
      </c>
      <c r="O705" s="26" t="str">
        <f aca="false">IF($M705=0,"",SOUS_TRAITANCE!$X105)</f>
        <v/>
      </c>
      <c r="P705" s="26" t="str">
        <f aca="false">IF($G705="","",IF($G705=R_LOT,COUNTIF($G$5:$G705,R_LOT),""))</f>
        <v/>
      </c>
    </row>
    <row r="706" customFormat="false" ht="15" hidden="false" customHeight="false" outlineLevel="0" collapsed="false">
      <c r="A706" s="28" t="str">
        <f aca="false">IF($M706=0,"",ROW()-4)</f>
        <v/>
      </c>
      <c r="B706" s="26" t="str">
        <f aca="false">IF($M706=0,"","SOUS-TRAITANCE")</f>
        <v/>
      </c>
      <c r="C706" s="26" t="str">
        <f aca="false">IF($M706=0,"",SOUS_TRAITANCE!$A106)</f>
        <v/>
      </c>
      <c r="D706" s="31" t="str">
        <f aca="false">IF($M706=0,"",SOUS_TRAITANCE!$B106)</f>
        <v/>
      </c>
      <c r="E706" s="26" t="str">
        <f aca="false">IF($M706=0,"","SORTIE")</f>
        <v/>
      </c>
      <c r="F706" s="26" t="str">
        <f aca="false">IF($M706=0,"","ENVOI SOUS-TRAITANCE")</f>
        <v/>
      </c>
      <c r="G706" s="26" t="str">
        <f aca="false">IF($M706=0,"",SOUS_TRAITANCE!$E106)</f>
        <v/>
      </c>
      <c r="H706" s="26" t="str">
        <f aca="false">IF($G706="","",IFERROR(INDEX(LOT_EXTE,MATCH($G706,LOT_KEY,0)),""))</f>
        <v/>
      </c>
      <c r="I706" s="26" t="str">
        <f aca="false">IF($M706=0,"",SOUS_TRAITANCE!$F106)</f>
        <v/>
      </c>
      <c r="J706" s="26" t="str">
        <f aca="false">IF($I706="","",IFERROR(INDEX(EMPL_CLASSE,MATCH($I706,EMPL_KEY,0)),""))</f>
        <v/>
      </c>
      <c r="K706" s="26" t="str">
        <f aca="false">IF($M706=0,"",SOUS_TRAITANCE!$P106)</f>
        <v/>
      </c>
      <c r="L706" s="26" t="str">
        <f aca="false">IF($G706="","",IF(IFERROR(INDEX(LOT_ETAT,MATCH($G706,LOT_KEY,0)),"")="","",INDEX(LOT_ETAT,MATCH($G706,LOT_KEY,0))))</f>
        <v/>
      </c>
      <c r="M706" s="73" t="n">
        <f aca="false">IF(OR(SOUS_TRAITANCE!$R106=0,SOUS_TRAITANCE!$D106&lt;&gt;"STOCK EXISTANT"),0,-SOUS_TRAITANCE!$G106)</f>
        <v>0</v>
      </c>
      <c r="N706" s="73" t="n">
        <f aca="false">IF($M706=0,0,SOUS_TRAITANCE!$Y106*$M706)</f>
        <v>0</v>
      </c>
      <c r="O706" s="26" t="str">
        <f aca="false">IF($M706=0,"",SOUS_TRAITANCE!$X106)</f>
        <v/>
      </c>
      <c r="P706" s="26" t="str">
        <f aca="false">IF($G706="","",IF($G706=R_LOT,COUNTIF($G$5:$G706,R_LOT),""))</f>
        <v/>
      </c>
    </row>
    <row r="707" customFormat="false" ht="15" hidden="false" customHeight="false" outlineLevel="0" collapsed="false">
      <c r="A707" s="28" t="str">
        <f aca="false">IF($M707=0,"",ROW()-4)</f>
        <v/>
      </c>
      <c r="B707" s="26" t="str">
        <f aca="false">IF($M707=0,"","SOUS-TRAITANCE")</f>
        <v/>
      </c>
      <c r="C707" s="26" t="str">
        <f aca="false">IF($M707=0,"",SOUS_TRAITANCE!$A107)</f>
        <v/>
      </c>
      <c r="D707" s="31" t="str">
        <f aca="false">IF($M707=0,"",SOUS_TRAITANCE!$B107)</f>
        <v/>
      </c>
      <c r="E707" s="26" t="str">
        <f aca="false">IF($M707=0,"","SORTIE")</f>
        <v/>
      </c>
      <c r="F707" s="26" t="str">
        <f aca="false">IF($M707=0,"","ENVOI SOUS-TRAITANCE")</f>
        <v/>
      </c>
      <c r="G707" s="26" t="str">
        <f aca="false">IF($M707=0,"",SOUS_TRAITANCE!$E107)</f>
        <v/>
      </c>
      <c r="H707" s="26" t="str">
        <f aca="false">IF($G707="","",IFERROR(INDEX(LOT_EXTE,MATCH($G707,LOT_KEY,0)),""))</f>
        <v/>
      </c>
      <c r="I707" s="26" t="str">
        <f aca="false">IF($M707=0,"",SOUS_TRAITANCE!$F107)</f>
        <v/>
      </c>
      <c r="J707" s="26" t="str">
        <f aca="false">IF($I707="","",IFERROR(INDEX(EMPL_CLASSE,MATCH($I707,EMPL_KEY,0)),""))</f>
        <v/>
      </c>
      <c r="K707" s="26" t="str">
        <f aca="false">IF($M707=0,"",SOUS_TRAITANCE!$P107)</f>
        <v/>
      </c>
      <c r="L707" s="26" t="str">
        <f aca="false">IF($G707="","",IF(IFERROR(INDEX(LOT_ETAT,MATCH($G707,LOT_KEY,0)),"")="","",INDEX(LOT_ETAT,MATCH($G707,LOT_KEY,0))))</f>
        <v/>
      </c>
      <c r="M707" s="73" t="n">
        <f aca="false">IF(OR(SOUS_TRAITANCE!$R107=0,SOUS_TRAITANCE!$D107&lt;&gt;"STOCK EXISTANT"),0,-SOUS_TRAITANCE!$G107)</f>
        <v>0</v>
      </c>
      <c r="N707" s="73" t="n">
        <f aca="false">IF($M707=0,0,SOUS_TRAITANCE!$Y107*$M707)</f>
        <v>0</v>
      </c>
      <c r="O707" s="26" t="str">
        <f aca="false">IF($M707=0,"",SOUS_TRAITANCE!$X107)</f>
        <v/>
      </c>
      <c r="P707" s="26" t="str">
        <f aca="false">IF($G707="","",IF($G707=R_LOT,COUNTIF($G$5:$G707,R_LOT),""))</f>
        <v/>
      </c>
    </row>
    <row r="708" customFormat="false" ht="15" hidden="false" customHeight="false" outlineLevel="0" collapsed="false">
      <c r="A708" s="28" t="str">
        <f aca="false">IF($M708=0,"",ROW()-4)</f>
        <v/>
      </c>
      <c r="B708" s="26" t="str">
        <f aca="false">IF($M708=0,"","SOUS-TRAITANCE")</f>
        <v/>
      </c>
      <c r="C708" s="26" t="str">
        <f aca="false">IF($M708=0,"",SOUS_TRAITANCE!$A108)</f>
        <v/>
      </c>
      <c r="D708" s="31" t="str">
        <f aca="false">IF($M708=0,"",SOUS_TRAITANCE!$B108)</f>
        <v/>
      </c>
      <c r="E708" s="26" t="str">
        <f aca="false">IF($M708=0,"","SORTIE")</f>
        <v/>
      </c>
      <c r="F708" s="26" t="str">
        <f aca="false">IF($M708=0,"","ENVOI SOUS-TRAITANCE")</f>
        <v/>
      </c>
      <c r="G708" s="26" t="str">
        <f aca="false">IF($M708=0,"",SOUS_TRAITANCE!$E108)</f>
        <v/>
      </c>
      <c r="H708" s="26" t="str">
        <f aca="false">IF($G708="","",IFERROR(INDEX(LOT_EXTE,MATCH($G708,LOT_KEY,0)),""))</f>
        <v/>
      </c>
      <c r="I708" s="26" t="str">
        <f aca="false">IF($M708=0,"",SOUS_TRAITANCE!$F108)</f>
        <v/>
      </c>
      <c r="J708" s="26" t="str">
        <f aca="false">IF($I708="","",IFERROR(INDEX(EMPL_CLASSE,MATCH($I708,EMPL_KEY,0)),""))</f>
        <v/>
      </c>
      <c r="K708" s="26" t="str">
        <f aca="false">IF($M708=0,"",SOUS_TRAITANCE!$P108)</f>
        <v/>
      </c>
      <c r="L708" s="26" t="str">
        <f aca="false">IF($G708="","",IF(IFERROR(INDEX(LOT_ETAT,MATCH($G708,LOT_KEY,0)),"")="","",INDEX(LOT_ETAT,MATCH($G708,LOT_KEY,0))))</f>
        <v/>
      </c>
      <c r="M708" s="73" t="n">
        <f aca="false">IF(OR(SOUS_TRAITANCE!$R108=0,SOUS_TRAITANCE!$D108&lt;&gt;"STOCK EXISTANT"),0,-SOUS_TRAITANCE!$G108)</f>
        <v>0</v>
      </c>
      <c r="N708" s="73" t="n">
        <f aca="false">IF($M708=0,0,SOUS_TRAITANCE!$Y108*$M708)</f>
        <v>0</v>
      </c>
      <c r="O708" s="26" t="str">
        <f aca="false">IF($M708=0,"",SOUS_TRAITANCE!$X108)</f>
        <v/>
      </c>
      <c r="P708" s="26" t="str">
        <f aca="false">IF($G708="","",IF($G708=R_LOT,COUNTIF($G$5:$G708,R_LOT),""))</f>
        <v/>
      </c>
    </row>
    <row r="709" customFormat="false" ht="15" hidden="false" customHeight="false" outlineLevel="0" collapsed="false">
      <c r="A709" s="28" t="str">
        <f aca="false">IF($M709=0,"",ROW()-4)</f>
        <v/>
      </c>
      <c r="B709" s="26" t="str">
        <f aca="false">IF($M709=0,"","SOUS-TRAITANCE")</f>
        <v/>
      </c>
      <c r="C709" s="26" t="str">
        <f aca="false">IF($M709=0,"",SOUS_TRAITANCE!$A109)</f>
        <v/>
      </c>
      <c r="D709" s="31" t="str">
        <f aca="false">IF($M709=0,"",SOUS_TRAITANCE!$B109)</f>
        <v/>
      </c>
      <c r="E709" s="26" t="str">
        <f aca="false">IF($M709=0,"","SORTIE")</f>
        <v/>
      </c>
      <c r="F709" s="26" t="str">
        <f aca="false">IF($M709=0,"","ENVOI SOUS-TRAITANCE")</f>
        <v/>
      </c>
      <c r="G709" s="26" t="str">
        <f aca="false">IF($M709=0,"",SOUS_TRAITANCE!$E109)</f>
        <v/>
      </c>
      <c r="H709" s="26" t="str">
        <f aca="false">IF($G709="","",IFERROR(INDEX(LOT_EXTE,MATCH($G709,LOT_KEY,0)),""))</f>
        <v/>
      </c>
      <c r="I709" s="26" t="str">
        <f aca="false">IF($M709=0,"",SOUS_TRAITANCE!$F109)</f>
        <v/>
      </c>
      <c r="J709" s="26" t="str">
        <f aca="false">IF($I709="","",IFERROR(INDEX(EMPL_CLASSE,MATCH($I709,EMPL_KEY,0)),""))</f>
        <v/>
      </c>
      <c r="K709" s="26" t="str">
        <f aca="false">IF($M709=0,"",SOUS_TRAITANCE!$P109)</f>
        <v/>
      </c>
      <c r="L709" s="26" t="str">
        <f aca="false">IF($G709="","",IF(IFERROR(INDEX(LOT_ETAT,MATCH($G709,LOT_KEY,0)),"")="","",INDEX(LOT_ETAT,MATCH($G709,LOT_KEY,0))))</f>
        <v/>
      </c>
      <c r="M709" s="73" t="n">
        <f aca="false">IF(OR(SOUS_TRAITANCE!$R109=0,SOUS_TRAITANCE!$D109&lt;&gt;"STOCK EXISTANT"),0,-SOUS_TRAITANCE!$G109)</f>
        <v>0</v>
      </c>
      <c r="N709" s="73" t="n">
        <f aca="false">IF($M709=0,0,SOUS_TRAITANCE!$Y109*$M709)</f>
        <v>0</v>
      </c>
      <c r="O709" s="26" t="str">
        <f aca="false">IF($M709=0,"",SOUS_TRAITANCE!$X109)</f>
        <v/>
      </c>
      <c r="P709" s="26" t="str">
        <f aca="false">IF($G709="","",IF($G709=R_LOT,COUNTIF($G$5:$G709,R_LOT),""))</f>
        <v/>
      </c>
    </row>
    <row r="710" customFormat="false" ht="15" hidden="false" customHeight="false" outlineLevel="0" collapsed="false">
      <c r="A710" s="28" t="str">
        <f aca="false">IF($M710=0,"",ROW()-4)</f>
        <v/>
      </c>
      <c r="B710" s="26" t="str">
        <f aca="false">IF($M710=0,"","SOUS-TRAITANCE")</f>
        <v/>
      </c>
      <c r="C710" s="26" t="str">
        <f aca="false">IF($M710=0,"",SOUS_TRAITANCE!$A110)</f>
        <v/>
      </c>
      <c r="D710" s="31" t="str">
        <f aca="false">IF($M710=0,"",SOUS_TRAITANCE!$B110)</f>
        <v/>
      </c>
      <c r="E710" s="26" t="str">
        <f aca="false">IF($M710=0,"","SORTIE")</f>
        <v/>
      </c>
      <c r="F710" s="26" t="str">
        <f aca="false">IF($M710=0,"","ENVOI SOUS-TRAITANCE")</f>
        <v/>
      </c>
      <c r="G710" s="26" t="str">
        <f aca="false">IF($M710=0,"",SOUS_TRAITANCE!$E110)</f>
        <v/>
      </c>
      <c r="H710" s="26" t="str">
        <f aca="false">IF($G710="","",IFERROR(INDEX(LOT_EXTE,MATCH($G710,LOT_KEY,0)),""))</f>
        <v/>
      </c>
      <c r="I710" s="26" t="str">
        <f aca="false">IF($M710=0,"",SOUS_TRAITANCE!$F110)</f>
        <v/>
      </c>
      <c r="J710" s="26" t="str">
        <f aca="false">IF($I710="","",IFERROR(INDEX(EMPL_CLASSE,MATCH($I710,EMPL_KEY,0)),""))</f>
        <v/>
      </c>
      <c r="K710" s="26" t="str">
        <f aca="false">IF($M710=0,"",SOUS_TRAITANCE!$P110)</f>
        <v/>
      </c>
      <c r="L710" s="26" t="str">
        <f aca="false">IF($G710="","",IF(IFERROR(INDEX(LOT_ETAT,MATCH($G710,LOT_KEY,0)),"")="","",INDEX(LOT_ETAT,MATCH($G710,LOT_KEY,0))))</f>
        <v/>
      </c>
      <c r="M710" s="73" t="n">
        <f aca="false">IF(OR(SOUS_TRAITANCE!$R110=0,SOUS_TRAITANCE!$D110&lt;&gt;"STOCK EXISTANT"),0,-SOUS_TRAITANCE!$G110)</f>
        <v>0</v>
      </c>
      <c r="N710" s="73" t="n">
        <f aca="false">IF($M710=0,0,SOUS_TRAITANCE!$Y110*$M710)</f>
        <v>0</v>
      </c>
      <c r="O710" s="26" t="str">
        <f aca="false">IF($M710=0,"",SOUS_TRAITANCE!$X110)</f>
        <v/>
      </c>
      <c r="P710" s="26" t="str">
        <f aca="false">IF($G710="","",IF($G710=R_LOT,COUNTIF($G$5:$G710,R_LOT),""))</f>
        <v/>
      </c>
    </row>
    <row r="711" customFormat="false" ht="15" hidden="false" customHeight="false" outlineLevel="0" collapsed="false">
      <c r="A711" s="28" t="str">
        <f aca="false">IF($M711=0,"",ROW()-4)</f>
        <v/>
      </c>
      <c r="B711" s="26" t="str">
        <f aca="false">IF($M711=0,"","SOUS-TRAITANCE")</f>
        <v/>
      </c>
      <c r="C711" s="26" t="str">
        <f aca="false">IF($M711=0,"",SOUS_TRAITANCE!$A111)</f>
        <v/>
      </c>
      <c r="D711" s="31" t="str">
        <f aca="false">IF($M711=0,"",SOUS_TRAITANCE!$B111)</f>
        <v/>
      </c>
      <c r="E711" s="26" t="str">
        <f aca="false">IF($M711=0,"","SORTIE")</f>
        <v/>
      </c>
      <c r="F711" s="26" t="str">
        <f aca="false">IF($M711=0,"","ENVOI SOUS-TRAITANCE")</f>
        <v/>
      </c>
      <c r="G711" s="26" t="str">
        <f aca="false">IF($M711=0,"",SOUS_TRAITANCE!$E111)</f>
        <v/>
      </c>
      <c r="H711" s="26" t="str">
        <f aca="false">IF($G711="","",IFERROR(INDEX(LOT_EXTE,MATCH($G711,LOT_KEY,0)),""))</f>
        <v/>
      </c>
      <c r="I711" s="26" t="str">
        <f aca="false">IF($M711=0,"",SOUS_TRAITANCE!$F111)</f>
        <v/>
      </c>
      <c r="J711" s="26" t="str">
        <f aca="false">IF($I711="","",IFERROR(INDEX(EMPL_CLASSE,MATCH($I711,EMPL_KEY,0)),""))</f>
        <v/>
      </c>
      <c r="K711" s="26" t="str">
        <f aca="false">IF($M711=0,"",SOUS_TRAITANCE!$P111)</f>
        <v/>
      </c>
      <c r="L711" s="26" t="str">
        <f aca="false">IF($G711="","",IF(IFERROR(INDEX(LOT_ETAT,MATCH($G711,LOT_KEY,0)),"")="","",INDEX(LOT_ETAT,MATCH($G711,LOT_KEY,0))))</f>
        <v/>
      </c>
      <c r="M711" s="73" t="n">
        <f aca="false">IF(OR(SOUS_TRAITANCE!$R111=0,SOUS_TRAITANCE!$D111&lt;&gt;"STOCK EXISTANT"),0,-SOUS_TRAITANCE!$G111)</f>
        <v>0</v>
      </c>
      <c r="N711" s="73" t="n">
        <f aca="false">IF($M711=0,0,SOUS_TRAITANCE!$Y111*$M711)</f>
        <v>0</v>
      </c>
      <c r="O711" s="26" t="str">
        <f aca="false">IF($M711=0,"",SOUS_TRAITANCE!$X111)</f>
        <v/>
      </c>
      <c r="P711" s="26" t="str">
        <f aca="false">IF($G711="","",IF($G711=R_LOT,COUNTIF($G$5:$G711,R_LOT),""))</f>
        <v/>
      </c>
    </row>
    <row r="712" customFormat="false" ht="15" hidden="false" customHeight="false" outlineLevel="0" collapsed="false">
      <c r="A712" s="28" t="str">
        <f aca="false">IF($M712=0,"",ROW()-4)</f>
        <v/>
      </c>
      <c r="B712" s="26" t="str">
        <f aca="false">IF($M712=0,"","SOUS-TRAITANCE")</f>
        <v/>
      </c>
      <c r="C712" s="26" t="str">
        <f aca="false">IF($M712=0,"",SOUS_TRAITANCE!$A112)</f>
        <v/>
      </c>
      <c r="D712" s="31" t="str">
        <f aca="false">IF($M712=0,"",SOUS_TRAITANCE!$B112)</f>
        <v/>
      </c>
      <c r="E712" s="26" t="str">
        <f aca="false">IF($M712=0,"","SORTIE")</f>
        <v/>
      </c>
      <c r="F712" s="26" t="str">
        <f aca="false">IF($M712=0,"","ENVOI SOUS-TRAITANCE")</f>
        <v/>
      </c>
      <c r="G712" s="26" t="str">
        <f aca="false">IF($M712=0,"",SOUS_TRAITANCE!$E112)</f>
        <v/>
      </c>
      <c r="H712" s="26" t="str">
        <f aca="false">IF($G712="","",IFERROR(INDEX(LOT_EXTE,MATCH($G712,LOT_KEY,0)),""))</f>
        <v/>
      </c>
      <c r="I712" s="26" t="str">
        <f aca="false">IF($M712=0,"",SOUS_TRAITANCE!$F112)</f>
        <v/>
      </c>
      <c r="J712" s="26" t="str">
        <f aca="false">IF($I712="","",IFERROR(INDEX(EMPL_CLASSE,MATCH($I712,EMPL_KEY,0)),""))</f>
        <v/>
      </c>
      <c r="K712" s="26" t="str">
        <f aca="false">IF($M712=0,"",SOUS_TRAITANCE!$P112)</f>
        <v/>
      </c>
      <c r="L712" s="26" t="str">
        <f aca="false">IF($G712="","",IF(IFERROR(INDEX(LOT_ETAT,MATCH($G712,LOT_KEY,0)),"")="","",INDEX(LOT_ETAT,MATCH($G712,LOT_KEY,0))))</f>
        <v/>
      </c>
      <c r="M712" s="73" t="n">
        <f aca="false">IF(OR(SOUS_TRAITANCE!$R112=0,SOUS_TRAITANCE!$D112&lt;&gt;"STOCK EXISTANT"),0,-SOUS_TRAITANCE!$G112)</f>
        <v>0</v>
      </c>
      <c r="N712" s="73" t="n">
        <f aca="false">IF($M712=0,0,SOUS_TRAITANCE!$Y112*$M712)</f>
        <v>0</v>
      </c>
      <c r="O712" s="26" t="str">
        <f aca="false">IF($M712=0,"",SOUS_TRAITANCE!$X112)</f>
        <v/>
      </c>
      <c r="P712" s="26" t="str">
        <f aca="false">IF($G712="","",IF($G712=R_LOT,COUNTIF($G$5:$G712,R_LOT),""))</f>
        <v/>
      </c>
    </row>
    <row r="713" customFormat="false" ht="15" hidden="false" customHeight="false" outlineLevel="0" collapsed="false">
      <c r="A713" s="28" t="str">
        <f aca="false">IF($M713=0,"",ROW()-4)</f>
        <v/>
      </c>
      <c r="B713" s="26" t="str">
        <f aca="false">IF($M713=0,"","SOUS-TRAITANCE")</f>
        <v/>
      </c>
      <c r="C713" s="26" t="str">
        <f aca="false">IF($M713=0,"",SOUS_TRAITANCE!$A113)</f>
        <v/>
      </c>
      <c r="D713" s="31" t="str">
        <f aca="false">IF($M713=0,"",SOUS_TRAITANCE!$B113)</f>
        <v/>
      </c>
      <c r="E713" s="26" t="str">
        <f aca="false">IF($M713=0,"","SORTIE")</f>
        <v/>
      </c>
      <c r="F713" s="26" t="str">
        <f aca="false">IF($M713=0,"","ENVOI SOUS-TRAITANCE")</f>
        <v/>
      </c>
      <c r="G713" s="26" t="str">
        <f aca="false">IF($M713=0,"",SOUS_TRAITANCE!$E113)</f>
        <v/>
      </c>
      <c r="H713" s="26" t="str">
        <f aca="false">IF($G713="","",IFERROR(INDEX(LOT_EXTE,MATCH($G713,LOT_KEY,0)),""))</f>
        <v/>
      </c>
      <c r="I713" s="26" t="str">
        <f aca="false">IF($M713=0,"",SOUS_TRAITANCE!$F113)</f>
        <v/>
      </c>
      <c r="J713" s="26" t="str">
        <f aca="false">IF($I713="","",IFERROR(INDEX(EMPL_CLASSE,MATCH($I713,EMPL_KEY,0)),""))</f>
        <v/>
      </c>
      <c r="K713" s="26" t="str">
        <f aca="false">IF($M713=0,"",SOUS_TRAITANCE!$P113)</f>
        <v/>
      </c>
      <c r="L713" s="26" t="str">
        <f aca="false">IF($G713="","",IF(IFERROR(INDEX(LOT_ETAT,MATCH($G713,LOT_KEY,0)),"")="","",INDEX(LOT_ETAT,MATCH($G713,LOT_KEY,0))))</f>
        <v/>
      </c>
      <c r="M713" s="73" t="n">
        <f aca="false">IF(OR(SOUS_TRAITANCE!$R113=0,SOUS_TRAITANCE!$D113&lt;&gt;"STOCK EXISTANT"),0,-SOUS_TRAITANCE!$G113)</f>
        <v>0</v>
      </c>
      <c r="N713" s="73" t="n">
        <f aca="false">IF($M713=0,0,SOUS_TRAITANCE!$Y113*$M713)</f>
        <v>0</v>
      </c>
      <c r="O713" s="26" t="str">
        <f aca="false">IF($M713=0,"",SOUS_TRAITANCE!$X113)</f>
        <v/>
      </c>
      <c r="P713" s="26" t="str">
        <f aca="false">IF($G713="","",IF($G713=R_LOT,COUNTIF($G$5:$G713,R_LOT),""))</f>
        <v/>
      </c>
    </row>
    <row r="714" customFormat="false" ht="15" hidden="false" customHeight="false" outlineLevel="0" collapsed="false">
      <c r="A714" s="28" t="str">
        <f aca="false">IF($M714=0,"",ROW()-4)</f>
        <v/>
      </c>
      <c r="B714" s="26" t="str">
        <f aca="false">IF($M714=0,"","SOUS-TRAITANCE")</f>
        <v/>
      </c>
      <c r="C714" s="26" t="str">
        <f aca="false">IF($M714=0,"",SOUS_TRAITANCE!$A114)</f>
        <v/>
      </c>
      <c r="D714" s="31" t="str">
        <f aca="false">IF($M714=0,"",SOUS_TRAITANCE!$B114)</f>
        <v/>
      </c>
      <c r="E714" s="26" t="str">
        <f aca="false">IF($M714=0,"","SORTIE")</f>
        <v/>
      </c>
      <c r="F714" s="26" t="str">
        <f aca="false">IF($M714=0,"","ENVOI SOUS-TRAITANCE")</f>
        <v/>
      </c>
      <c r="G714" s="26" t="str">
        <f aca="false">IF($M714=0,"",SOUS_TRAITANCE!$E114)</f>
        <v/>
      </c>
      <c r="H714" s="26" t="str">
        <f aca="false">IF($G714="","",IFERROR(INDEX(LOT_EXTE,MATCH($G714,LOT_KEY,0)),""))</f>
        <v/>
      </c>
      <c r="I714" s="26" t="str">
        <f aca="false">IF($M714=0,"",SOUS_TRAITANCE!$F114)</f>
        <v/>
      </c>
      <c r="J714" s="26" t="str">
        <f aca="false">IF($I714="","",IFERROR(INDEX(EMPL_CLASSE,MATCH($I714,EMPL_KEY,0)),""))</f>
        <v/>
      </c>
      <c r="K714" s="26" t="str">
        <f aca="false">IF($M714=0,"",SOUS_TRAITANCE!$P114)</f>
        <v/>
      </c>
      <c r="L714" s="26" t="str">
        <f aca="false">IF($G714="","",IF(IFERROR(INDEX(LOT_ETAT,MATCH($G714,LOT_KEY,0)),"")="","",INDEX(LOT_ETAT,MATCH($G714,LOT_KEY,0))))</f>
        <v/>
      </c>
      <c r="M714" s="73" t="n">
        <f aca="false">IF(OR(SOUS_TRAITANCE!$R114=0,SOUS_TRAITANCE!$D114&lt;&gt;"STOCK EXISTANT"),0,-SOUS_TRAITANCE!$G114)</f>
        <v>0</v>
      </c>
      <c r="N714" s="73" t="n">
        <f aca="false">IF($M714=0,0,SOUS_TRAITANCE!$Y114*$M714)</f>
        <v>0</v>
      </c>
      <c r="O714" s="26" t="str">
        <f aca="false">IF($M714=0,"",SOUS_TRAITANCE!$X114)</f>
        <v/>
      </c>
      <c r="P714" s="26" t="str">
        <f aca="false">IF($G714="","",IF($G714=R_LOT,COUNTIF($G$5:$G714,R_LOT),""))</f>
        <v/>
      </c>
    </row>
    <row r="715" customFormat="false" ht="15" hidden="false" customHeight="false" outlineLevel="0" collapsed="false">
      <c r="A715" s="28" t="str">
        <f aca="false">IF($M715=0,"",ROW()-4)</f>
        <v/>
      </c>
      <c r="B715" s="26" t="str">
        <f aca="false">IF($M715=0,"","SOUS-TRAITANCE")</f>
        <v/>
      </c>
      <c r="C715" s="26" t="str">
        <f aca="false">IF($M715=0,"",SOUS_TRAITANCE!$A115)</f>
        <v/>
      </c>
      <c r="D715" s="31" t="str">
        <f aca="false">IF($M715=0,"",SOUS_TRAITANCE!$B115)</f>
        <v/>
      </c>
      <c r="E715" s="26" t="str">
        <f aca="false">IF($M715=0,"","SORTIE")</f>
        <v/>
      </c>
      <c r="F715" s="26" t="str">
        <f aca="false">IF($M715=0,"","ENVOI SOUS-TRAITANCE")</f>
        <v/>
      </c>
      <c r="G715" s="26" t="str">
        <f aca="false">IF($M715=0,"",SOUS_TRAITANCE!$E115)</f>
        <v/>
      </c>
      <c r="H715" s="26" t="str">
        <f aca="false">IF($G715="","",IFERROR(INDEX(LOT_EXTE,MATCH($G715,LOT_KEY,0)),""))</f>
        <v/>
      </c>
      <c r="I715" s="26" t="str">
        <f aca="false">IF($M715=0,"",SOUS_TRAITANCE!$F115)</f>
        <v/>
      </c>
      <c r="J715" s="26" t="str">
        <f aca="false">IF($I715="","",IFERROR(INDEX(EMPL_CLASSE,MATCH($I715,EMPL_KEY,0)),""))</f>
        <v/>
      </c>
      <c r="K715" s="26" t="str">
        <f aca="false">IF($M715=0,"",SOUS_TRAITANCE!$P115)</f>
        <v/>
      </c>
      <c r="L715" s="26" t="str">
        <f aca="false">IF($G715="","",IF(IFERROR(INDEX(LOT_ETAT,MATCH($G715,LOT_KEY,0)),"")="","",INDEX(LOT_ETAT,MATCH($G715,LOT_KEY,0))))</f>
        <v/>
      </c>
      <c r="M715" s="73" t="n">
        <f aca="false">IF(OR(SOUS_TRAITANCE!$R115=0,SOUS_TRAITANCE!$D115&lt;&gt;"STOCK EXISTANT"),0,-SOUS_TRAITANCE!$G115)</f>
        <v>0</v>
      </c>
      <c r="N715" s="73" t="n">
        <f aca="false">IF($M715=0,0,SOUS_TRAITANCE!$Y115*$M715)</f>
        <v>0</v>
      </c>
      <c r="O715" s="26" t="str">
        <f aca="false">IF($M715=0,"",SOUS_TRAITANCE!$X115)</f>
        <v/>
      </c>
      <c r="P715" s="26" t="str">
        <f aca="false">IF($G715="","",IF($G715=R_LOT,COUNTIF($G$5:$G715,R_LOT),""))</f>
        <v/>
      </c>
    </row>
    <row r="716" customFormat="false" ht="15" hidden="false" customHeight="false" outlineLevel="0" collapsed="false">
      <c r="A716" s="28" t="str">
        <f aca="false">IF($M716=0,"",ROW()-4)</f>
        <v/>
      </c>
      <c r="B716" s="26" t="str">
        <f aca="false">IF($M716=0,"","SOUS-TRAITANCE")</f>
        <v/>
      </c>
      <c r="C716" s="26" t="str">
        <f aca="false">IF($M716=0,"",SOUS_TRAITANCE!$A116)</f>
        <v/>
      </c>
      <c r="D716" s="31" t="str">
        <f aca="false">IF($M716=0,"",SOUS_TRAITANCE!$B116)</f>
        <v/>
      </c>
      <c r="E716" s="26" t="str">
        <f aca="false">IF($M716=0,"","SORTIE")</f>
        <v/>
      </c>
      <c r="F716" s="26" t="str">
        <f aca="false">IF($M716=0,"","ENVOI SOUS-TRAITANCE")</f>
        <v/>
      </c>
      <c r="G716" s="26" t="str">
        <f aca="false">IF($M716=0,"",SOUS_TRAITANCE!$E116)</f>
        <v/>
      </c>
      <c r="H716" s="26" t="str">
        <f aca="false">IF($G716="","",IFERROR(INDEX(LOT_EXTE,MATCH($G716,LOT_KEY,0)),""))</f>
        <v/>
      </c>
      <c r="I716" s="26" t="str">
        <f aca="false">IF($M716=0,"",SOUS_TRAITANCE!$F116)</f>
        <v/>
      </c>
      <c r="J716" s="26" t="str">
        <f aca="false">IF($I716="","",IFERROR(INDEX(EMPL_CLASSE,MATCH($I716,EMPL_KEY,0)),""))</f>
        <v/>
      </c>
      <c r="K716" s="26" t="str">
        <f aca="false">IF($M716=0,"",SOUS_TRAITANCE!$P116)</f>
        <v/>
      </c>
      <c r="L716" s="26" t="str">
        <f aca="false">IF($G716="","",IF(IFERROR(INDEX(LOT_ETAT,MATCH($G716,LOT_KEY,0)),"")="","",INDEX(LOT_ETAT,MATCH($G716,LOT_KEY,0))))</f>
        <v/>
      </c>
      <c r="M716" s="73" t="n">
        <f aca="false">IF(OR(SOUS_TRAITANCE!$R116=0,SOUS_TRAITANCE!$D116&lt;&gt;"STOCK EXISTANT"),0,-SOUS_TRAITANCE!$G116)</f>
        <v>0</v>
      </c>
      <c r="N716" s="73" t="n">
        <f aca="false">IF($M716=0,0,SOUS_TRAITANCE!$Y116*$M716)</f>
        <v>0</v>
      </c>
      <c r="O716" s="26" t="str">
        <f aca="false">IF($M716=0,"",SOUS_TRAITANCE!$X116)</f>
        <v/>
      </c>
      <c r="P716" s="26" t="str">
        <f aca="false">IF($G716="","",IF($G716=R_LOT,COUNTIF($G$5:$G716,R_LOT),""))</f>
        <v/>
      </c>
    </row>
    <row r="717" customFormat="false" ht="15" hidden="false" customHeight="false" outlineLevel="0" collapsed="false">
      <c r="A717" s="28" t="str">
        <f aca="false">IF($M717=0,"",ROW()-4)</f>
        <v/>
      </c>
      <c r="B717" s="26" t="str">
        <f aca="false">IF($M717=0,"","SOUS-TRAITANCE")</f>
        <v/>
      </c>
      <c r="C717" s="26" t="str">
        <f aca="false">IF($M717=0,"",SOUS_TRAITANCE!$A117)</f>
        <v/>
      </c>
      <c r="D717" s="31" t="str">
        <f aca="false">IF($M717=0,"",SOUS_TRAITANCE!$B117)</f>
        <v/>
      </c>
      <c r="E717" s="26" t="str">
        <f aca="false">IF($M717=0,"","SORTIE")</f>
        <v/>
      </c>
      <c r="F717" s="26" t="str">
        <f aca="false">IF($M717=0,"","ENVOI SOUS-TRAITANCE")</f>
        <v/>
      </c>
      <c r="G717" s="26" t="str">
        <f aca="false">IF($M717=0,"",SOUS_TRAITANCE!$E117)</f>
        <v/>
      </c>
      <c r="H717" s="26" t="str">
        <f aca="false">IF($G717="","",IFERROR(INDEX(LOT_EXTE,MATCH($G717,LOT_KEY,0)),""))</f>
        <v/>
      </c>
      <c r="I717" s="26" t="str">
        <f aca="false">IF($M717=0,"",SOUS_TRAITANCE!$F117)</f>
        <v/>
      </c>
      <c r="J717" s="26" t="str">
        <f aca="false">IF($I717="","",IFERROR(INDEX(EMPL_CLASSE,MATCH($I717,EMPL_KEY,0)),""))</f>
        <v/>
      </c>
      <c r="K717" s="26" t="str">
        <f aca="false">IF($M717=0,"",SOUS_TRAITANCE!$P117)</f>
        <v/>
      </c>
      <c r="L717" s="26" t="str">
        <f aca="false">IF($G717="","",IF(IFERROR(INDEX(LOT_ETAT,MATCH($G717,LOT_KEY,0)),"")="","",INDEX(LOT_ETAT,MATCH($G717,LOT_KEY,0))))</f>
        <v/>
      </c>
      <c r="M717" s="73" t="n">
        <f aca="false">IF(OR(SOUS_TRAITANCE!$R117=0,SOUS_TRAITANCE!$D117&lt;&gt;"STOCK EXISTANT"),0,-SOUS_TRAITANCE!$G117)</f>
        <v>0</v>
      </c>
      <c r="N717" s="73" t="n">
        <f aca="false">IF($M717=0,0,SOUS_TRAITANCE!$Y117*$M717)</f>
        <v>0</v>
      </c>
      <c r="O717" s="26" t="str">
        <f aca="false">IF($M717=0,"",SOUS_TRAITANCE!$X117)</f>
        <v/>
      </c>
      <c r="P717" s="26" t="str">
        <f aca="false">IF($G717="","",IF($G717=R_LOT,COUNTIF($G$5:$G717,R_LOT),""))</f>
        <v/>
      </c>
    </row>
    <row r="718" customFormat="false" ht="15" hidden="false" customHeight="false" outlineLevel="0" collapsed="false">
      <c r="A718" s="28" t="str">
        <f aca="false">IF($M718=0,"",ROW()-4)</f>
        <v/>
      </c>
      <c r="B718" s="26" t="str">
        <f aca="false">IF($M718=0,"","SOUS-TRAITANCE")</f>
        <v/>
      </c>
      <c r="C718" s="26" t="str">
        <f aca="false">IF($M718=0,"",SOUS_TRAITANCE!$A118)</f>
        <v/>
      </c>
      <c r="D718" s="31" t="str">
        <f aca="false">IF($M718=0,"",SOUS_TRAITANCE!$B118)</f>
        <v/>
      </c>
      <c r="E718" s="26" t="str">
        <f aca="false">IF($M718=0,"","SORTIE")</f>
        <v/>
      </c>
      <c r="F718" s="26" t="str">
        <f aca="false">IF($M718=0,"","ENVOI SOUS-TRAITANCE")</f>
        <v/>
      </c>
      <c r="G718" s="26" t="str">
        <f aca="false">IF($M718=0,"",SOUS_TRAITANCE!$E118)</f>
        <v/>
      </c>
      <c r="H718" s="26" t="str">
        <f aca="false">IF($G718="","",IFERROR(INDEX(LOT_EXTE,MATCH($G718,LOT_KEY,0)),""))</f>
        <v/>
      </c>
      <c r="I718" s="26" t="str">
        <f aca="false">IF($M718=0,"",SOUS_TRAITANCE!$F118)</f>
        <v/>
      </c>
      <c r="J718" s="26" t="str">
        <f aca="false">IF($I718="","",IFERROR(INDEX(EMPL_CLASSE,MATCH($I718,EMPL_KEY,0)),""))</f>
        <v/>
      </c>
      <c r="K718" s="26" t="str">
        <f aca="false">IF($M718=0,"",SOUS_TRAITANCE!$P118)</f>
        <v/>
      </c>
      <c r="L718" s="26" t="str">
        <f aca="false">IF($G718="","",IF(IFERROR(INDEX(LOT_ETAT,MATCH($G718,LOT_KEY,0)),"")="","",INDEX(LOT_ETAT,MATCH($G718,LOT_KEY,0))))</f>
        <v/>
      </c>
      <c r="M718" s="73" t="n">
        <f aca="false">IF(OR(SOUS_TRAITANCE!$R118=0,SOUS_TRAITANCE!$D118&lt;&gt;"STOCK EXISTANT"),0,-SOUS_TRAITANCE!$G118)</f>
        <v>0</v>
      </c>
      <c r="N718" s="73" t="n">
        <f aca="false">IF($M718=0,0,SOUS_TRAITANCE!$Y118*$M718)</f>
        <v>0</v>
      </c>
      <c r="O718" s="26" t="str">
        <f aca="false">IF($M718=0,"",SOUS_TRAITANCE!$X118)</f>
        <v/>
      </c>
      <c r="P718" s="26" t="str">
        <f aca="false">IF($G718="","",IF($G718=R_LOT,COUNTIF($G$5:$G718,R_LOT),""))</f>
        <v/>
      </c>
    </row>
    <row r="719" customFormat="false" ht="15" hidden="false" customHeight="false" outlineLevel="0" collapsed="false">
      <c r="A719" s="28" t="str">
        <f aca="false">IF($M719=0,"",ROW()-4)</f>
        <v/>
      </c>
      <c r="B719" s="26" t="str">
        <f aca="false">IF($M719=0,"","SOUS-TRAITANCE")</f>
        <v/>
      </c>
      <c r="C719" s="26" t="str">
        <f aca="false">IF($M719=0,"",SOUS_TRAITANCE!$A119)</f>
        <v/>
      </c>
      <c r="D719" s="31" t="str">
        <f aca="false">IF($M719=0,"",SOUS_TRAITANCE!$B119)</f>
        <v/>
      </c>
      <c r="E719" s="26" t="str">
        <f aca="false">IF($M719=0,"","SORTIE")</f>
        <v/>
      </c>
      <c r="F719" s="26" t="str">
        <f aca="false">IF($M719=0,"","ENVOI SOUS-TRAITANCE")</f>
        <v/>
      </c>
      <c r="G719" s="26" t="str">
        <f aca="false">IF($M719=0,"",SOUS_TRAITANCE!$E119)</f>
        <v/>
      </c>
      <c r="H719" s="26" t="str">
        <f aca="false">IF($G719="","",IFERROR(INDEX(LOT_EXTE,MATCH($G719,LOT_KEY,0)),""))</f>
        <v/>
      </c>
      <c r="I719" s="26" t="str">
        <f aca="false">IF($M719=0,"",SOUS_TRAITANCE!$F119)</f>
        <v/>
      </c>
      <c r="J719" s="26" t="str">
        <f aca="false">IF($I719="","",IFERROR(INDEX(EMPL_CLASSE,MATCH($I719,EMPL_KEY,0)),""))</f>
        <v/>
      </c>
      <c r="K719" s="26" t="str">
        <f aca="false">IF($M719=0,"",SOUS_TRAITANCE!$P119)</f>
        <v/>
      </c>
      <c r="L719" s="26" t="str">
        <f aca="false">IF($G719="","",IF(IFERROR(INDEX(LOT_ETAT,MATCH($G719,LOT_KEY,0)),"")="","",INDEX(LOT_ETAT,MATCH($G719,LOT_KEY,0))))</f>
        <v/>
      </c>
      <c r="M719" s="73" t="n">
        <f aca="false">IF(OR(SOUS_TRAITANCE!$R119=0,SOUS_TRAITANCE!$D119&lt;&gt;"STOCK EXISTANT"),0,-SOUS_TRAITANCE!$G119)</f>
        <v>0</v>
      </c>
      <c r="N719" s="73" t="n">
        <f aca="false">IF($M719=0,0,SOUS_TRAITANCE!$Y119*$M719)</f>
        <v>0</v>
      </c>
      <c r="O719" s="26" t="str">
        <f aca="false">IF($M719=0,"",SOUS_TRAITANCE!$X119)</f>
        <v/>
      </c>
      <c r="P719" s="26" t="str">
        <f aca="false">IF($G719="","",IF($G719=R_LOT,COUNTIF($G$5:$G719,R_LOT),""))</f>
        <v/>
      </c>
    </row>
    <row r="720" customFormat="false" ht="15" hidden="false" customHeight="false" outlineLevel="0" collapsed="false">
      <c r="A720" s="28" t="str">
        <f aca="false">IF($M720=0,"",ROW()-4)</f>
        <v/>
      </c>
      <c r="B720" s="26" t="str">
        <f aca="false">IF($M720=0,"","SOUS-TRAITANCE")</f>
        <v/>
      </c>
      <c r="C720" s="26" t="str">
        <f aca="false">IF($M720=0,"",SOUS_TRAITANCE!$A120)</f>
        <v/>
      </c>
      <c r="D720" s="31" t="str">
        <f aca="false">IF($M720=0,"",SOUS_TRAITANCE!$B120)</f>
        <v/>
      </c>
      <c r="E720" s="26" t="str">
        <f aca="false">IF($M720=0,"","SORTIE")</f>
        <v/>
      </c>
      <c r="F720" s="26" t="str">
        <f aca="false">IF($M720=0,"","ENVOI SOUS-TRAITANCE")</f>
        <v/>
      </c>
      <c r="G720" s="26" t="str">
        <f aca="false">IF($M720=0,"",SOUS_TRAITANCE!$E120)</f>
        <v/>
      </c>
      <c r="H720" s="26" t="str">
        <f aca="false">IF($G720="","",IFERROR(INDEX(LOT_EXTE,MATCH($G720,LOT_KEY,0)),""))</f>
        <v/>
      </c>
      <c r="I720" s="26" t="str">
        <f aca="false">IF($M720=0,"",SOUS_TRAITANCE!$F120)</f>
        <v/>
      </c>
      <c r="J720" s="26" t="str">
        <f aca="false">IF($I720="","",IFERROR(INDEX(EMPL_CLASSE,MATCH($I720,EMPL_KEY,0)),""))</f>
        <v/>
      </c>
      <c r="K720" s="26" t="str">
        <f aca="false">IF($M720=0,"",SOUS_TRAITANCE!$P120)</f>
        <v/>
      </c>
      <c r="L720" s="26" t="str">
        <f aca="false">IF($G720="","",IF(IFERROR(INDEX(LOT_ETAT,MATCH($G720,LOT_KEY,0)),"")="","",INDEX(LOT_ETAT,MATCH($G720,LOT_KEY,0))))</f>
        <v/>
      </c>
      <c r="M720" s="73" t="n">
        <f aca="false">IF(OR(SOUS_TRAITANCE!$R120=0,SOUS_TRAITANCE!$D120&lt;&gt;"STOCK EXISTANT"),0,-SOUS_TRAITANCE!$G120)</f>
        <v>0</v>
      </c>
      <c r="N720" s="73" t="n">
        <f aca="false">IF($M720=0,0,SOUS_TRAITANCE!$Y120*$M720)</f>
        <v>0</v>
      </c>
      <c r="O720" s="26" t="str">
        <f aca="false">IF($M720=0,"",SOUS_TRAITANCE!$X120)</f>
        <v/>
      </c>
      <c r="P720" s="26" t="str">
        <f aca="false">IF($G720="","",IF($G720=R_LOT,COUNTIF($G$5:$G720,R_LOT),""))</f>
        <v/>
      </c>
    </row>
    <row r="721" customFormat="false" ht="15" hidden="false" customHeight="false" outlineLevel="0" collapsed="false">
      <c r="A721" s="28" t="str">
        <f aca="false">IF($M721=0,"",ROW()-4)</f>
        <v/>
      </c>
      <c r="B721" s="26" t="str">
        <f aca="false">IF($M721=0,"","SOUS-TRAITANCE")</f>
        <v/>
      </c>
      <c r="C721" s="26" t="str">
        <f aca="false">IF($M721=0,"",SOUS_TRAITANCE!$A121)</f>
        <v/>
      </c>
      <c r="D721" s="31" t="str">
        <f aca="false">IF($M721=0,"",SOUS_TRAITANCE!$B121)</f>
        <v/>
      </c>
      <c r="E721" s="26" t="str">
        <f aca="false">IF($M721=0,"","SORTIE")</f>
        <v/>
      </c>
      <c r="F721" s="26" t="str">
        <f aca="false">IF($M721=0,"","ENVOI SOUS-TRAITANCE")</f>
        <v/>
      </c>
      <c r="G721" s="26" t="str">
        <f aca="false">IF($M721=0,"",SOUS_TRAITANCE!$E121)</f>
        <v/>
      </c>
      <c r="H721" s="26" t="str">
        <f aca="false">IF($G721="","",IFERROR(INDEX(LOT_EXTE,MATCH($G721,LOT_KEY,0)),""))</f>
        <v/>
      </c>
      <c r="I721" s="26" t="str">
        <f aca="false">IF($M721=0,"",SOUS_TRAITANCE!$F121)</f>
        <v/>
      </c>
      <c r="J721" s="26" t="str">
        <f aca="false">IF($I721="","",IFERROR(INDEX(EMPL_CLASSE,MATCH($I721,EMPL_KEY,0)),""))</f>
        <v/>
      </c>
      <c r="K721" s="26" t="str">
        <f aca="false">IF($M721=0,"",SOUS_TRAITANCE!$P121)</f>
        <v/>
      </c>
      <c r="L721" s="26" t="str">
        <f aca="false">IF($G721="","",IF(IFERROR(INDEX(LOT_ETAT,MATCH($G721,LOT_KEY,0)),"")="","",INDEX(LOT_ETAT,MATCH($G721,LOT_KEY,0))))</f>
        <v/>
      </c>
      <c r="M721" s="73" t="n">
        <f aca="false">IF(OR(SOUS_TRAITANCE!$R121=0,SOUS_TRAITANCE!$D121&lt;&gt;"STOCK EXISTANT"),0,-SOUS_TRAITANCE!$G121)</f>
        <v>0</v>
      </c>
      <c r="N721" s="73" t="n">
        <f aca="false">IF($M721=0,0,SOUS_TRAITANCE!$Y121*$M721)</f>
        <v>0</v>
      </c>
      <c r="O721" s="26" t="str">
        <f aca="false">IF($M721=0,"",SOUS_TRAITANCE!$X121)</f>
        <v/>
      </c>
      <c r="P721" s="26" t="str">
        <f aca="false">IF($G721="","",IF($G721=R_LOT,COUNTIF($G$5:$G721,R_LOT),""))</f>
        <v/>
      </c>
    </row>
    <row r="722" customFormat="false" ht="15" hidden="false" customHeight="false" outlineLevel="0" collapsed="false">
      <c r="A722" s="28" t="str">
        <f aca="false">IF($M722=0,"",ROW()-4)</f>
        <v/>
      </c>
      <c r="B722" s="26" t="str">
        <f aca="false">IF($M722=0,"","SOUS-TRAITANCE")</f>
        <v/>
      </c>
      <c r="C722" s="26" t="str">
        <f aca="false">IF($M722=0,"",SOUS_TRAITANCE!$A122)</f>
        <v/>
      </c>
      <c r="D722" s="31" t="str">
        <f aca="false">IF($M722=0,"",SOUS_TRAITANCE!$B122)</f>
        <v/>
      </c>
      <c r="E722" s="26" t="str">
        <f aca="false">IF($M722=0,"","SORTIE")</f>
        <v/>
      </c>
      <c r="F722" s="26" t="str">
        <f aca="false">IF($M722=0,"","ENVOI SOUS-TRAITANCE")</f>
        <v/>
      </c>
      <c r="G722" s="26" t="str">
        <f aca="false">IF($M722=0,"",SOUS_TRAITANCE!$E122)</f>
        <v/>
      </c>
      <c r="H722" s="26" t="str">
        <f aca="false">IF($G722="","",IFERROR(INDEX(LOT_EXTE,MATCH($G722,LOT_KEY,0)),""))</f>
        <v/>
      </c>
      <c r="I722" s="26" t="str">
        <f aca="false">IF($M722=0,"",SOUS_TRAITANCE!$F122)</f>
        <v/>
      </c>
      <c r="J722" s="26" t="str">
        <f aca="false">IF($I722="","",IFERROR(INDEX(EMPL_CLASSE,MATCH($I722,EMPL_KEY,0)),""))</f>
        <v/>
      </c>
      <c r="K722" s="26" t="str">
        <f aca="false">IF($M722=0,"",SOUS_TRAITANCE!$P122)</f>
        <v/>
      </c>
      <c r="L722" s="26" t="str">
        <f aca="false">IF($G722="","",IF(IFERROR(INDEX(LOT_ETAT,MATCH($G722,LOT_KEY,0)),"")="","",INDEX(LOT_ETAT,MATCH($G722,LOT_KEY,0))))</f>
        <v/>
      </c>
      <c r="M722" s="73" t="n">
        <f aca="false">IF(OR(SOUS_TRAITANCE!$R122=0,SOUS_TRAITANCE!$D122&lt;&gt;"STOCK EXISTANT"),0,-SOUS_TRAITANCE!$G122)</f>
        <v>0</v>
      </c>
      <c r="N722" s="73" t="n">
        <f aca="false">IF($M722=0,0,SOUS_TRAITANCE!$Y122*$M722)</f>
        <v>0</v>
      </c>
      <c r="O722" s="26" t="str">
        <f aca="false">IF($M722=0,"",SOUS_TRAITANCE!$X122)</f>
        <v/>
      </c>
      <c r="P722" s="26" t="str">
        <f aca="false">IF($G722="","",IF($G722=R_LOT,COUNTIF($G$5:$G722,R_LOT),""))</f>
        <v/>
      </c>
    </row>
    <row r="723" customFormat="false" ht="15" hidden="false" customHeight="false" outlineLevel="0" collapsed="false">
      <c r="A723" s="28" t="str">
        <f aca="false">IF($M723=0,"",ROW()-4)</f>
        <v/>
      </c>
      <c r="B723" s="26" t="str">
        <f aca="false">IF($M723=0,"","SOUS-TRAITANCE")</f>
        <v/>
      </c>
      <c r="C723" s="26" t="str">
        <f aca="false">IF($M723=0,"",SOUS_TRAITANCE!$A123)</f>
        <v/>
      </c>
      <c r="D723" s="31" t="str">
        <f aca="false">IF($M723=0,"",SOUS_TRAITANCE!$B123)</f>
        <v/>
      </c>
      <c r="E723" s="26" t="str">
        <f aca="false">IF($M723=0,"","SORTIE")</f>
        <v/>
      </c>
      <c r="F723" s="26" t="str">
        <f aca="false">IF($M723=0,"","ENVOI SOUS-TRAITANCE")</f>
        <v/>
      </c>
      <c r="G723" s="26" t="str">
        <f aca="false">IF($M723=0,"",SOUS_TRAITANCE!$E123)</f>
        <v/>
      </c>
      <c r="H723" s="26" t="str">
        <f aca="false">IF($G723="","",IFERROR(INDEX(LOT_EXTE,MATCH($G723,LOT_KEY,0)),""))</f>
        <v/>
      </c>
      <c r="I723" s="26" t="str">
        <f aca="false">IF($M723=0,"",SOUS_TRAITANCE!$F123)</f>
        <v/>
      </c>
      <c r="J723" s="26" t="str">
        <f aca="false">IF($I723="","",IFERROR(INDEX(EMPL_CLASSE,MATCH($I723,EMPL_KEY,0)),""))</f>
        <v/>
      </c>
      <c r="K723" s="26" t="str">
        <f aca="false">IF($M723=0,"",SOUS_TRAITANCE!$P123)</f>
        <v/>
      </c>
      <c r="L723" s="26" t="str">
        <f aca="false">IF($G723="","",IF(IFERROR(INDEX(LOT_ETAT,MATCH($G723,LOT_KEY,0)),"")="","",INDEX(LOT_ETAT,MATCH($G723,LOT_KEY,0))))</f>
        <v/>
      </c>
      <c r="M723" s="73" t="n">
        <f aca="false">IF(OR(SOUS_TRAITANCE!$R123=0,SOUS_TRAITANCE!$D123&lt;&gt;"STOCK EXISTANT"),0,-SOUS_TRAITANCE!$G123)</f>
        <v>0</v>
      </c>
      <c r="N723" s="73" t="n">
        <f aca="false">IF($M723=0,0,SOUS_TRAITANCE!$Y123*$M723)</f>
        <v>0</v>
      </c>
      <c r="O723" s="26" t="str">
        <f aca="false">IF($M723=0,"",SOUS_TRAITANCE!$X123)</f>
        <v/>
      </c>
      <c r="P723" s="26" t="str">
        <f aca="false">IF($G723="","",IF($G723=R_LOT,COUNTIF($G$5:$G723,R_LOT),""))</f>
        <v/>
      </c>
    </row>
    <row r="724" customFormat="false" ht="15" hidden="false" customHeight="false" outlineLevel="0" collapsed="false">
      <c r="A724" s="28" t="str">
        <f aca="false">IF($M724=0,"",ROW()-4)</f>
        <v/>
      </c>
      <c r="B724" s="26" t="str">
        <f aca="false">IF($M724=0,"","SOUS-TRAITANCE")</f>
        <v/>
      </c>
      <c r="C724" s="26" t="str">
        <f aca="false">IF($M724=0,"",SOUS_TRAITANCE!$A124)</f>
        <v/>
      </c>
      <c r="D724" s="31" t="str">
        <f aca="false">IF($M724=0,"",SOUS_TRAITANCE!$B124)</f>
        <v/>
      </c>
      <c r="E724" s="26" t="str">
        <f aca="false">IF($M724=0,"","SORTIE")</f>
        <v/>
      </c>
      <c r="F724" s="26" t="str">
        <f aca="false">IF($M724=0,"","ENVOI SOUS-TRAITANCE")</f>
        <v/>
      </c>
      <c r="G724" s="26" t="str">
        <f aca="false">IF($M724=0,"",SOUS_TRAITANCE!$E124)</f>
        <v/>
      </c>
      <c r="H724" s="26" t="str">
        <f aca="false">IF($G724="","",IFERROR(INDEX(LOT_EXTE,MATCH($G724,LOT_KEY,0)),""))</f>
        <v/>
      </c>
      <c r="I724" s="26" t="str">
        <f aca="false">IF($M724=0,"",SOUS_TRAITANCE!$F124)</f>
        <v/>
      </c>
      <c r="J724" s="26" t="str">
        <f aca="false">IF($I724="","",IFERROR(INDEX(EMPL_CLASSE,MATCH($I724,EMPL_KEY,0)),""))</f>
        <v/>
      </c>
      <c r="K724" s="26" t="str">
        <f aca="false">IF($M724=0,"",SOUS_TRAITANCE!$P124)</f>
        <v/>
      </c>
      <c r="L724" s="26" t="str">
        <f aca="false">IF($G724="","",IF(IFERROR(INDEX(LOT_ETAT,MATCH($G724,LOT_KEY,0)),"")="","",INDEX(LOT_ETAT,MATCH($G724,LOT_KEY,0))))</f>
        <v/>
      </c>
      <c r="M724" s="73" t="n">
        <f aca="false">IF(OR(SOUS_TRAITANCE!$R124=0,SOUS_TRAITANCE!$D124&lt;&gt;"STOCK EXISTANT"),0,-SOUS_TRAITANCE!$G124)</f>
        <v>0</v>
      </c>
      <c r="N724" s="73" t="n">
        <f aca="false">IF($M724=0,0,SOUS_TRAITANCE!$Y124*$M724)</f>
        <v>0</v>
      </c>
      <c r="O724" s="26" t="str">
        <f aca="false">IF($M724=0,"",SOUS_TRAITANCE!$X124)</f>
        <v/>
      </c>
      <c r="P724" s="26" t="str">
        <f aca="false">IF($G724="","",IF($G724=R_LOT,COUNTIF($G$5:$G724,R_LOT),""))</f>
        <v/>
      </c>
    </row>
    <row r="725" customFormat="false" ht="15" hidden="false" customHeight="false" outlineLevel="0" collapsed="false">
      <c r="A725" s="28" t="str">
        <f aca="false">IF($M725=0,"",ROW()-4)</f>
        <v/>
      </c>
      <c r="B725" s="26" t="str">
        <f aca="false">IF($M725=0,"","SOUS-TRAITANCE")</f>
        <v/>
      </c>
      <c r="C725" s="26" t="str">
        <f aca="false">IF($M725=0,"",SOUS_TRAITANCE!$A125)</f>
        <v/>
      </c>
      <c r="D725" s="31" t="str">
        <f aca="false">IF($M725=0,"",SOUS_TRAITANCE!$B125)</f>
        <v/>
      </c>
      <c r="E725" s="26" t="str">
        <f aca="false">IF($M725=0,"","SORTIE")</f>
        <v/>
      </c>
      <c r="F725" s="26" t="str">
        <f aca="false">IF($M725=0,"","ENVOI SOUS-TRAITANCE")</f>
        <v/>
      </c>
      <c r="G725" s="26" t="str">
        <f aca="false">IF($M725=0,"",SOUS_TRAITANCE!$E125)</f>
        <v/>
      </c>
      <c r="H725" s="26" t="str">
        <f aca="false">IF($G725="","",IFERROR(INDEX(LOT_EXTE,MATCH($G725,LOT_KEY,0)),""))</f>
        <v/>
      </c>
      <c r="I725" s="26" t="str">
        <f aca="false">IF($M725=0,"",SOUS_TRAITANCE!$F125)</f>
        <v/>
      </c>
      <c r="J725" s="26" t="str">
        <f aca="false">IF($I725="","",IFERROR(INDEX(EMPL_CLASSE,MATCH($I725,EMPL_KEY,0)),""))</f>
        <v/>
      </c>
      <c r="K725" s="26" t="str">
        <f aca="false">IF($M725=0,"",SOUS_TRAITANCE!$P125)</f>
        <v/>
      </c>
      <c r="L725" s="26" t="str">
        <f aca="false">IF($G725="","",IF(IFERROR(INDEX(LOT_ETAT,MATCH($G725,LOT_KEY,0)),"")="","",INDEX(LOT_ETAT,MATCH($G725,LOT_KEY,0))))</f>
        <v/>
      </c>
      <c r="M725" s="73" t="n">
        <f aca="false">IF(OR(SOUS_TRAITANCE!$R125=0,SOUS_TRAITANCE!$D125&lt;&gt;"STOCK EXISTANT"),0,-SOUS_TRAITANCE!$G125)</f>
        <v>0</v>
      </c>
      <c r="N725" s="73" t="n">
        <f aca="false">IF($M725=0,0,SOUS_TRAITANCE!$Y125*$M725)</f>
        <v>0</v>
      </c>
      <c r="O725" s="26" t="str">
        <f aca="false">IF($M725=0,"",SOUS_TRAITANCE!$X125)</f>
        <v/>
      </c>
      <c r="P725" s="26" t="str">
        <f aca="false">IF($G725="","",IF($G725=R_LOT,COUNTIF($G$5:$G725,R_LOT),""))</f>
        <v/>
      </c>
    </row>
    <row r="726" customFormat="false" ht="15" hidden="false" customHeight="false" outlineLevel="0" collapsed="false">
      <c r="A726" s="28" t="str">
        <f aca="false">IF($M726=0,"",ROW()-4)</f>
        <v/>
      </c>
      <c r="B726" s="26" t="str">
        <f aca="false">IF($M726=0,"","SOUS-TRAITANCE")</f>
        <v/>
      </c>
      <c r="C726" s="26" t="str">
        <f aca="false">IF($M726=0,"",SOUS_TRAITANCE!$A126)</f>
        <v/>
      </c>
      <c r="D726" s="31" t="str">
        <f aca="false">IF($M726=0,"",SOUS_TRAITANCE!$B126)</f>
        <v/>
      </c>
      <c r="E726" s="26" t="str">
        <f aca="false">IF($M726=0,"","SORTIE")</f>
        <v/>
      </c>
      <c r="F726" s="26" t="str">
        <f aca="false">IF($M726=0,"","ENVOI SOUS-TRAITANCE")</f>
        <v/>
      </c>
      <c r="G726" s="26" t="str">
        <f aca="false">IF($M726=0,"",SOUS_TRAITANCE!$E126)</f>
        <v/>
      </c>
      <c r="H726" s="26" t="str">
        <f aca="false">IF($G726="","",IFERROR(INDEX(LOT_EXTE,MATCH($G726,LOT_KEY,0)),""))</f>
        <v/>
      </c>
      <c r="I726" s="26" t="str">
        <f aca="false">IF($M726=0,"",SOUS_TRAITANCE!$F126)</f>
        <v/>
      </c>
      <c r="J726" s="26" t="str">
        <f aca="false">IF($I726="","",IFERROR(INDEX(EMPL_CLASSE,MATCH($I726,EMPL_KEY,0)),""))</f>
        <v/>
      </c>
      <c r="K726" s="26" t="str">
        <f aca="false">IF($M726=0,"",SOUS_TRAITANCE!$P126)</f>
        <v/>
      </c>
      <c r="L726" s="26" t="str">
        <f aca="false">IF($G726="","",IF(IFERROR(INDEX(LOT_ETAT,MATCH($G726,LOT_KEY,0)),"")="","",INDEX(LOT_ETAT,MATCH($G726,LOT_KEY,0))))</f>
        <v/>
      </c>
      <c r="M726" s="73" t="n">
        <f aca="false">IF(OR(SOUS_TRAITANCE!$R126=0,SOUS_TRAITANCE!$D126&lt;&gt;"STOCK EXISTANT"),0,-SOUS_TRAITANCE!$G126)</f>
        <v>0</v>
      </c>
      <c r="N726" s="73" t="n">
        <f aca="false">IF($M726=0,0,SOUS_TRAITANCE!$Y126*$M726)</f>
        <v>0</v>
      </c>
      <c r="O726" s="26" t="str">
        <f aca="false">IF($M726=0,"",SOUS_TRAITANCE!$X126)</f>
        <v/>
      </c>
      <c r="P726" s="26" t="str">
        <f aca="false">IF($G726="","",IF($G726=R_LOT,COUNTIF($G$5:$G726,R_LOT),""))</f>
        <v/>
      </c>
    </row>
    <row r="727" customFormat="false" ht="15" hidden="false" customHeight="false" outlineLevel="0" collapsed="false">
      <c r="A727" s="28" t="str">
        <f aca="false">IF($M727=0,"",ROW()-4)</f>
        <v/>
      </c>
      <c r="B727" s="26" t="str">
        <f aca="false">IF($M727=0,"","SOUS-TRAITANCE")</f>
        <v/>
      </c>
      <c r="C727" s="26" t="str">
        <f aca="false">IF($M727=0,"",SOUS_TRAITANCE!$A127)</f>
        <v/>
      </c>
      <c r="D727" s="31" t="str">
        <f aca="false">IF($M727=0,"",SOUS_TRAITANCE!$B127)</f>
        <v/>
      </c>
      <c r="E727" s="26" t="str">
        <f aca="false">IF($M727=0,"","SORTIE")</f>
        <v/>
      </c>
      <c r="F727" s="26" t="str">
        <f aca="false">IF($M727=0,"","ENVOI SOUS-TRAITANCE")</f>
        <v/>
      </c>
      <c r="G727" s="26" t="str">
        <f aca="false">IF($M727=0,"",SOUS_TRAITANCE!$E127)</f>
        <v/>
      </c>
      <c r="H727" s="26" t="str">
        <f aca="false">IF($G727="","",IFERROR(INDEX(LOT_EXTE,MATCH($G727,LOT_KEY,0)),""))</f>
        <v/>
      </c>
      <c r="I727" s="26" t="str">
        <f aca="false">IF($M727=0,"",SOUS_TRAITANCE!$F127)</f>
        <v/>
      </c>
      <c r="J727" s="26" t="str">
        <f aca="false">IF($I727="","",IFERROR(INDEX(EMPL_CLASSE,MATCH($I727,EMPL_KEY,0)),""))</f>
        <v/>
      </c>
      <c r="K727" s="26" t="str">
        <f aca="false">IF($M727=0,"",SOUS_TRAITANCE!$P127)</f>
        <v/>
      </c>
      <c r="L727" s="26" t="str">
        <f aca="false">IF($G727="","",IF(IFERROR(INDEX(LOT_ETAT,MATCH($G727,LOT_KEY,0)),"")="","",INDEX(LOT_ETAT,MATCH($G727,LOT_KEY,0))))</f>
        <v/>
      </c>
      <c r="M727" s="73" t="n">
        <f aca="false">IF(OR(SOUS_TRAITANCE!$R127=0,SOUS_TRAITANCE!$D127&lt;&gt;"STOCK EXISTANT"),0,-SOUS_TRAITANCE!$G127)</f>
        <v>0</v>
      </c>
      <c r="N727" s="73" t="n">
        <f aca="false">IF($M727=0,0,SOUS_TRAITANCE!$Y127*$M727)</f>
        <v>0</v>
      </c>
      <c r="O727" s="26" t="str">
        <f aca="false">IF($M727=0,"",SOUS_TRAITANCE!$X127)</f>
        <v/>
      </c>
      <c r="P727" s="26" t="str">
        <f aca="false">IF($G727="","",IF($G727=R_LOT,COUNTIF($G$5:$G727,R_LOT),""))</f>
        <v/>
      </c>
    </row>
    <row r="728" customFormat="false" ht="15" hidden="false" customHeight="false" outlineLevel="0" collapsed="false">
      <c r="A728" s="28" t="str">
        <f aca="false">IF($M728=0,"",ROW()-4)</f>
        <v/>
      </c>
      <c r="B728" s="26" t="str">
        <f aca="false">IF($M728=0,"","SOUS-TRAITANCE")</f>
        <v/>
      </c>
      <c r="C728" s="26" t="str">
        <f aca="false">IF($M728=0,"",SOUS_TRAITANCE!$A128)</f>
        <v/>
      </c>
      <c r="D728" s="31" t="str">
        <f aca="false">IF($M728=0,"",SOUS_TRAITANCE!$B128)</f>
        <v/>
      </c>
      <c r="E728" s="26" t="str">
        <f aca="false">IF($M728=0,"","SORTIE")</f>
        <v/>
      </c>
      <c r="F728" s="26" t="str">
        <f aca="false">IF($M728=0,"","ENVOI SOUS-TRAITANCE")</f>
        <v/>
      </c>
      <c r="G728" s="26" t="str">
        <f aca="false">IF($M728=0,"",SOUS_TRAITANCE!$E128)</f>
        <v/>
      </c>
      <c r="H728" s="26" t="str">
        <f aca="false">IF($G728="","",IFERROR(INDEX(LOT_EXTE,MATCH($G728,LOT_KEY,0)),""))</f>
        <v/>
      </c>
      <c r="I728" s="26" t="str">
        <f aca="false">IF($M728=0,"",SOUS_TRAITANCE!$F128)</f>
        <v/>
      </c>
      <c r="J728" s="26" t="str">
        <f aca="false">IF($I728="","",IFERROR(INDEX(EMPL_CLASSE,MATCH($I728,EMPL_KEY,0)),""))</f>
        <v/>
      </c>
      <c r="K728" s="26" t="str">
        <f aca="false">IF($M728=0,"",SOUS_TRAITANCE!$P128)</f>
        <v/>
      </c>
      <c r="L728" s="26" t="str">
        <f aca="false">IF($G728="","",IF(IFERROR(INDEX(LOT_ETAT,MATCH($G728,LOT_KEY,0)),"")="","",INDEX(LOT_ETAT,MATCH($G728,LOT_KEY,0))))</f>
        <v/>
      </c>
      <c r="M728" s="73" t="n">
        <f aca="false">IF(OR(SOUS_TRAITANCE!$R128=0,SOUS_TRAITANCE!$D128&lt;&gt;"STOCK EXISTANT"),0,-SOUS_TRAITANCE!$G128)</f>
        <v>0</v>
      </c>
      <c r="N728" s="73" t="n">
        <f aca="false">IF($M728=0,0,SOUS_TRAITANCE!$Y128*$M728)</f>
        <v>0</v>
      </c>
      <c r="O728" s="26" t="str">
        <f aca="false">IF($M728=0,"",SOUS_TRAITANCE!$X128)</f>
        <v/>
      </c>
      <c r="P728" s="26" t="str">
        <f aca="false">IF($G728="","",IF($G728=R_LOT,COUNTIF($G$5:$G728,R_LOT),""))</f>
        <v/>
      </c>
    </row>
    <row r="729" customFormat="false" ht="15" hidden="false" customHeight="false" outlineLevel="0" collapsed="false">
      <c r="A729" s="28" t="str">
        <f aca="false">IF($M729=0,"",ROW()-4)</f>
        <v/>
      </c>
      <c r="B729" s="26" t="str">
        <f aca="false">IF($M729=0,"","SOUS-TRAITANCE")</f>
        <v/>
      </c>
      <c r="C729" s="26" t="str">
        <f aca="false">IF($M729=0,"",SOUS_TRAITANCE!$A129)</f>
        <v/>
      </c>
      <c r="D729" s="31" t="str">
        <f aca="false">IF($M729=0,"",SOUS_TRAITANCE!$B129)</f>
        <v/>
      </c>
      <c r="E729" s="26" t="str">
        <f aca="false">IF($M729=0,"","SORTIE")</f>
        <v/>
      </c>
      <c r="F729" s="26" t="str">
        <f aca="false">IF($M729=0,"","ENVOI SOUS-TRAITANCE")</f>
        <v/>
      </c>
      <c r="G729" s="26" t="str">
        <f aca="false">IF($M729=0,"",SOUS_TRAITANCE!$E129)</f>
        <v/>
      </c>
      <c r="H729" s="26" t="str">
        <f aca="false">IF($G729="","",IFERROR(INDEX(LOT_EXTE,MATCH($G729,LOT_KEY,0)),""))</f>
        <v/>
      </c>
      <c r="I729" s="26" t="str">
        <f aca="false">IF($M729=0,"",SOUS_TRAITANCE!$F129)</f>
        <v/>
      </c>
      <c r="J729" s="26" t="str">
        <f aca="false">IF($I729="","",IFERROR(INDEX(EMPL_CLASSE,MATCH($I729,EMPL_KEY,0)),""))</f>
        <v/>
      </c>
      <c r="K729" s="26" t="str">
        <f aca="false">IF($M729=0,"",SOUS_TRAITANCE!$P129)</f>
        <v/>
      </c>
      <c r="L729" s="26" t="str">
        <f aca="false">IF($G729="","",IF(IFERROR(INDEX(LOT_ETAT,MATCH($G729,LOT_KEY,0)),"")="","",INDEX(LOT_ETAT,MATCH($G729,LOT_KEY,0))))</f>
        <v/>
      </c>
      <c r="M729" s="73" t="n">
        <f aca="false">IF(OR(SOUS_TRAITANCE!$R129=0,SOUS_TRAITANCE!$D129&lt;&gt;"STOCK EXISTANT"),0,-SOUS_TRAITANCE!$G129)</f>
        <v>0</v>
      </c>
      <c r="N729" s="73" t="n">
        <f aca="false">IF($M729=0,0,SOUS_TRAITANCE!$Y129*$M729)</f>
        <v>0</v>
      </c>
      <c r="O729" s="26" t="str">
        <f aca="false">IF($M729=0,"",SOUS_TRAITANCE!$X129)</f>
        <v/>
      </c>
      <c r="P729" s="26" t="str">
        <f aca="false">IF($G729="","",IF($G729=R_LOT,COUNTIF($G$5:$G729,R_LOT),""))</f>
        <v/>
      </c>
    </row>
    <row r="730" customFormat="false" ht="15" hidden="false" customHeight="false" outlineLevel="0" collapsed="false">
      <c r="A730" s="28" t="str">
        <f aca="false">IF($M730=0,"",ROW()-4)</f>
        <v/>
      </c>
      <c r="B730" s="26" t="str">
        <f aca="false">IF($M730=0,"","SOUS-TRAITANCE")</f>
        <v/>
      </c>
      <c r="C730" s="26" t="str">
        <f aca="false">IF($M730=0,"",SOUS_TRAITANCE!$A130)</f>
        <v/>
      </c>
      <c r="D730" s="31" t="str">
        <f aca="false">IF($M730=0,"",SOUS_TRAITANCE!$B130)</f>
        <v/>
      </c>
      <c r="E730" s="26" t="str">
        <f aca="false">IF($M730=0,"","SORTIE")</f>
        <v/>
      </c>
      <c r="F730" s="26" t="str">
        <f aca="false">IF($M730=0,"","ENVOI SOUS-TRAITANCE")</f>
        <v/>
      </c>
      <c r="G730" s="26" t="str">
        <f aca="false">IF($M730=0,"",SOUS_TRAITANCE!$E130)</f>
        <v/>
      </c>
      <c r="H730" s="26" t="str">
        <f aca="false">IF($G730="","",IFERROR(INDEX(LOT_EXTE,MATCH($G730,LOT_KEY,0)),""))</f>
        <v/>
      </c>
      <c r="I730" s="26" t="str">
        <f aca="false">IF($M730=0,"",SOUS_TRAITANCE!$F130)</f>
        <v/>
      </c>
      <c r="J730" s="26" t="str">
        <f aca="false">IF($I730="","",IFERROR(INDEX(EMPL_CLASSE,MATCH($I730,EMPL_KEY,0)),""))</f>
        <v/>
      </c>
      <c r="K730" s="26" t="str">
        <f aca="false">IF($M730=0,"",SOUS_TRAITANCE!$P130)</f>
        <v/>
      </c>
      <c r="L730" s="26" t="str">
        <f aca="false">IF($G730="","",IF(IFERROR(INDEX(LOT_ETAT,MATCH($G730,LOT_KEY,0)),"")="","",INDEX(LOT_ETAT,MATCH($G730,LOT_KEY,0))))</f>
        <v/>
      </c>
      <c r="M730" s="73" t="n">
        <f aca="false">IF(OR(SOUS_TRAITANCE!$R130=0,SOUS_TRAITANCE!$D130&lt;&gt;"STOCK EXISTANT"),0,-SOUS_TRAITANCE!$G130)</f>
        <v>0</v>
      </c>
      <c r="N730" s="73" t="n">
        <f aca="false">IF($M730=0,0,SOUS_TRAITANCE!$Y130*$M730)</f>
        <v>0</v>
      </c>
      <c r="O730" s="26" t="str">
        <f aca="false">IF($M730=0,"",SOUS_TRAITANCE!$X130)</f>
        <v/>
      </c>
      <c r="P730" s="26" t="str">
        <f aca="false">IF($G730="","",IF($G730=R_LOT,COUNTIF($G$5:$G730,R_LOT),""))</f>
        <v/>
      </c>
    </row>
    <row r="731" customFormat="false" ht="15" hidden="false" customHeight="false" outlineLevel="0" collapsed="false">
      <c r="A731" s="28" t="str">
        <f aca="false">IF($M731=0,"",ROW()-4)</f>
        <v/>
      </c>
      <c r="B731" s="26" t="str">
        <f aca="false">IF($M731=0,"","SOUS-TRAITANCE")</f>
        <v/>
      </c>
      <c r="C731" s="26" t="str">
        <f aca="false">IF($M731=0,"",SOUS_TRAITANCE!$A131)</f>
        <v/>
      </c>
      <c r="D731" s="31" t="str">
        <f aca="false">IF($M731=0,"",SOUS_TRAITANCE!$B131)</f>
        <v/>
      </c>
      <c r="E731" s="26" t="str">
        <f aca="false">IF($M731=0,"","SORTIE")</f>
        <v/>
      </c>
      <c r="F731" s="26" t="str">
        <f aca="false">IF($M731=0,"","ENVOI SOUS-TRAITANCE")</f>
        <v/>
      </c>
      <c r="G731" s="26" t="str">
        <f aca="false">IF($M731=0,"",SOUS_TRAITANCE!$E131)</f>
        <v/>
      </c>
      <c r="H731" s="26" t="str">
        <f aca="false">IF($G731="","",IFERROR(INDEX(LOT_EXTE,MATCH($G731,LOT_KEY,0)),""))</f>
        <v/>
      </c>
      <c r="I731" s="26" t="str">
        <f aca="false">IF($M731=0,"",SOUS_TRAITANCE!$F131)</f>
        <v/>
      </c>
      <c r="J731" s="26" t="str">
        <f aca="false">IF($I731="","",IFERROR(INDEX(EMPL_CLASSE,MATCH($I731,EMPL_KEY,0)),""))</f>
        <v/>
      </c>
      <c r="K731" s="26" t="str">
        <f aca="false">IF($M731=0,"",SOUS_TRAITANCE!$P131)</f>
        <v/>
      </c>
      <c r="L731" s="26" t="str">
        <f aca="false">IF($G731="","",IF(IFERROR(INDEX(LOT_ETAT,MATCH($G731,LOT_KEY,0)),"")="","",INDEX(LOT_ETAT,MATCH($G731,LOT_KEY,0))))</f>
        <v/>
      </c>
      <c r="M731" s="73" t="n">
        <f aca="false">IF(OR(SOUS_TRAITANCE!$R131=0,SOUS_TRAITANCE!$D131&lt;&gt;"STOCK EXISTANT"),0,-SOUS_TRAITANCE!$G131)</f>
        <v>0</v>
      </c>
      <c r="N731" s="73" t="n">
        <f aca="false">IF($M731=0,0,SOUS_TRAITANCE!$Y131*$M731)</f>
        <v>0</v>
      </c>
      <c r="O731" s="26" t="str">
        <f aca="false">IF($M731=0,"",SOUS_TRAITANCE!$X131)</f>
        <v/>
      </c>
      <c r="P731" s="26" t="str">
        <f aca="false">IF($G731="","",IF($G731=R_LOT,COUNTIF($G$5:$G731,R_LOT),""))</f>
        <v/>
      </c>
    </row>
    <row r="732" customFormat="false" ht="15" hidden="false" customHeight="false" outlineLevel="0" collapsed="false">
      <c r="A732" s="28" t="str">
        <f aca="false">IF($M732=0,"",ROW()-4)</f>
        <v/>
      </c>
      <c r="B732" s="26" t="str">
        <f aca="false">IF($M732=0,"","SOUS-TRAITANCE")</f>
        <v/>
      </c>
      <c r="C732" s="26" t="str">
        <f aca="false">IF($M732=0,"",SOUS_TRAITANCE!$A132)</f>
        <v/>
      </c>
      <c r="D732" s="31" t="str">
        <f aca="false">IF($M732=0,"",SOUS_TRAITANCE!$B132)</f>
        <v/>
      </c>
      <c r="E732" s="26" t="str">
        <f aca="false">IF($M732=0,"","SORTIE")</f>
        <v/>
      </c>
      <c r="F732" s="26" t="str">
        <f aca="false">IF($M732=0,"","ENVOI SOUS-TRAITANCE")</f>
        <v/>
      </c>
      <c r="G732" s="26" t="str">
        <f aca="false">IF($M732=0,"",SOUS_TRAITANCE!$E132)</f>
        <v/>
      </c>
      <c r="H732" s="26" t="str">
        <f aca="false">IF($G732="","",IFERROR(INDEX(LOT_EXTE,MATCH($G732,LOT_KEY,0)),""))</f>
        <v/>
      </c>
      <c r="I732" s="26" t="str">
        <f aca="false">IF($M732=0,"",SOUS_TRAITANCE!$F132)</f>
        <v/>
      </c>
      <c r="J732" s="26" t="str">
        <f aca="false">IF($I732="","",IFERROR(INDEX(EMPL_CLASSE,MATCH($I732,EMPL_KEY,0)),""))</f>
        <v/>
      </c>
      <c r="K732" s="26" t="str">
        <f aca="false">IF($M732=0,"",SOUS_TRAITANCE!$P132)</f>
        <v/>
      </c>
      <c r="L732" s="26" t="str">
        <f aca="false">IF($G732="","",IF(IFERROR(INDEX(LOT_ETAT,MATCH($G732,LOT_KEY,0)),"")="","",INDEX(LOT_ETAT,MATCH($G732,LOT_KEY,0))))</f>
        <v/>
      </c>
      <c r="M732" s="73" t="n">
        <f aca="false">IF(OR(SOUS_TRAITANCE!$R132=0,SOUS_TRAITANCE!$D132&lt;&gt;"STOCK EXISTANT"),0,-SOUS_TRAITANCE!$G132)</f>
        <v>0</v>
      </c>
      <c r="N732" s="73" t="n">
        <f aca="false">IF($M732=0,0,SOUS_TRAITANCE!$Y132*$M732)</f>
        <v>0</v>
      </c>
      <c r="O732" s="26" t="str">
        <f aca="false">IF($M732=0,"",SOUS_TRAITANCE!$X132)</f>
        <v/>
      </c>
      <c r="P732" s="26" t="str">
        <f aca="false">IF($G732="","",IF($G732=R_LOT,COUNTIF($G$5:$G732,R_LOT),""))</f>
        <v/>
      </c>
    </row>
    <row r="733" customFormat="false" ht="15" hidden="false" customHeight="false" outlineLevel="0" collapsed="false">
      <c r="A733" s="28" t="str">
        <f aca="false">IF($M733=0,"",ROW()-4)</f>
        <v/>
      </c>
      <c r="B733" s="26" t="str">
        <f aca="false">IF($M733=0,"","SOUS-TRAITANCE")</f>
        <v/>
      </c>
      <c r="C733" s="26" t="str">
        <f aca="false">IF($M733=0,"",SOUS_TRAITANCE!$A133)</f>
        <v/>
      </c>
      <c r="D733" s="31" t="str">
        <f aca="false">IF($M733=0,"",SOUS_TRAITANCE!$B133)</f>
        <v/>
      </c>
      <c r="E733" s="26" t="str">
        <f aca="false">IF($M733=0,"","SORTIE")</f>
        <v/>
      </c>
      <c r="F733" s="26" t="str">
        <f aca="false">IF($M733=0,"","ENVOI SOUS-TRAITANCE")</f>
        <v/>
      </c>
      <c r="G733" s="26" t="str">
        <f aca="false">IF($M733=0,"",SOUS_TRAITANCE!$E133)</f>
        <v/>
      </c>
      <c r="H733" s="26" t="str">
        <f aca="false">IF($G733="","",IFERROR(INDEX(LOT_EXTE,MATCH($G733,LOT_KEY,0)),""))</f>
        <v/>
      </c>
      <c r="I733" s="26" t="str">
        <f aca="false">IF($M733=0,"",SOUS_TRAITANCE!$F133)</f>
        <v/>
      </c>
      <c r="J733" s="26" t="str">
        <f aca="false">IF($I733="","",IFERROR(INDEX(EMPL_CLASSE,MATCH($I733,EMPL_KEY,0)),""))</f>
        <v/>
      </c>
      <c r="K733" s="26" t="str">
        <f aca="false">IF($M733=0,"",SOUS_TRAITANCE!$P133)</f>
        <v/>
      </c>
      <c r="L733" s="26" t="str">
        <f aca="false">IF($G733="","",IF(IFERROR(INDEX(LOT_ETAT,MATCH($G733,LOT_KEY,0)),"")="","",INDEX(LOT_ETAT,MATCH($G733,LOT_KEY,0))))</f>
        <v/>
      </c>
      <c r="M733" s="73" t="n">
        <f aca="false">IF(OR(SOUS_TRAITANCE!$R133=0,SOUS_TRAITANCE!$D133&lt;&gt;"STOCK EXISTANT"),0,-SOUS_TRAITANCE!$G133)</f>
        <v>0</v>
      </c>
      <c r="N733" s="73" t="n">
        <f aca="false">IF($M733=0,0,SOUS_TRAITANCE!$Y133*$M733)</f>
        <v>0</v>
      </c>
      <c r="O733" s="26" t="str">
        <f aca="false">IF($M733=0,"",SOUS_TRAITANCE!$X133)</f>
        <v/>
      </c>
      <c r="P733" s="26" t="str">
        <f aca="false">IF($G733="","",IF($G733=R_LOT,COUNTIF($G$5:$G733,R_LOT),""))</f>
        <v/>
      </c>
    </row>
    <row r="734" customFormat="false" ht="15" hidden="false" customHeight="false" outlineLevel="0" collapsed="false">
      <c r="A734" s="28" t="str">
        <f aca="false">IF($M734=0,"",ROW()-4)</f>
        <v/>
      </c>
      <c r="B734" s="26" t="str">
        <f aca="false">IF($M734=0,"","SOUS-TRAITANCE")</f>
        <v/>
      </c>
      <c r="C734" s="26" t="str">
        <f aca="false">IF($M734=0,"",SOUS_TRAITANCE!$A134)</f>
        <v/>
      </c>
      <c r="D734" s="31" t="str">
        <f aca="false">IF($M734=0,"",SOUS_TRAITANCE!$B134)</f>
        <v/>
      </c>
      <c r="E734" s="26" t="str">
        <f aca="false">IF($M734=0,"","SORTIE")</f>
        <v/>
      </c>
      <c r="F734" s="26" t="str">
        <f aca="false">IF($M734=0,"","ENVOI SOUS-TRAITANCE")</f>
        <v/>
      </c>
      <c r="G734" s="26" t="str">
        <f aca="false">IF($M734=0,"",SOUS_TRAITANCE!$E134)</f>
        <v/>
      </c>
      <c r="H734" s="26" t="str">
        <f aca="false">IF($G734="","",IFERROR(INDEX(LOT_EXTE,MATCH($G734,LOT_KEY,0)),""))</f>
        <v/>
      </c>
      <c r="I734" s="26" t="str">
        <f aca="false">IF($M734=0,"",SOUS_TRAITANCE!$F134)</f>
        <v/>
      </c>
      <c r="J734" s="26" t="str">
        <f aca="false">IF($I734="","",IFERROR(INDEX(EMPL_CLASSE,MATCH($I734,EMPL_KEY,0)),""))</f>
        <v/>
      </c>
      <c r="K734" s="26" t="str">
        <f aca="false">IF($M734=0,"",SOUS_TRAITANCE!$P134)</f>
        <v/>
      </c>
      <c r="L734" s="26" t="str">
        <f aca="false">IF($G734="","",IF(IFERROR(INDEX(LOT_ETAT,MATCH($G734,LOT_KEY,0)),"")="","",INDEX(LOT_ETAT,MATCH($G734,LOT_KEY,0))))</f>
        <v/>
      </c>
      <c r="M734" s="73" t="n">
        <f aca="false">IF(OR(SOUS_TRAITANCE!$R134=0,SOUS_TRAITANCE!$D134&lt;&gt;"STOCK EXISTANT"),0,-SOUS_TRAITANCE!$G134)</f>
        <v>0</v>
      </c>
      <c r="N734" s="73" t="n">
        <f aca="false">IF($M734=0,0,SOUS_TRAITANCE!$Y134*$M734)</f>
        <v>0</v>
      </c>
      <c r="O734" s="26" t="str">
        <f aca="false">IF($M734=0,"",SOUS_TRAITANCE!$X134)</f>
        <v/>
      </c>
      <c r="P734" s="26" t="str">
        <f aca="false">IF($G734="","",IF($G734=R_LOT,COUNTIF($G$5:$G734,R_LOT),""))</f>
        <v/>
      </c>
    </row>
    <row r="735" customFormat="false" ht="15" hidden="false" customHeight="false" outlineLevel="0" collapsed="false">
      <c r="A735" s="28" t="str">
        <f aca="false">IF($M735=0,"",ROW()-4)</f>
        <v/>
      </c>
      <c r="B735" s="26" t="str">
        <f aca="false">IF($M735=0,"","SOUS-TRAITANCE")</f>
        <v/>
      </c>
      <c r="C735" s="26" t="str">
        <f aca="false">IF($M735=0,"",SOUS_TRAITANCE!$A135)</f>
        <v/>
      </c>
      <c r="D735" s="31" t="str">
        <f aca="false">IF($M735=0,"",SOUS_TRAITANCE!$B135)</f>
        <v/>
      </c>
      <c r="E735" s="26" t="str">
        <f aca="false">IF($M735=0,"","SORTIE")</f>
        <v/>
      </c>
      <c r="F735" s="26" t="str">
        <f aca="false">IF($M735=0,"","ENVOI SOUS-TRAITANCE")</f>
        <v/>
      </c>
      <c r="G735" s="26" t="str">
        <f aca="false">IF($M735=0,"",SOUS_TRAITANCE!$E135)</f>
        <v/>
      </c>
      <c r="H735" s="26" t="str">
        <f aca="false">IF($G735="","",IFERROR(INDEX(LOT_EXTE,MATCH($G735,LOT_KEY,0)),""))</f>
        <v/>
      </c>
      <c r="I735" s="26" t="str">
        <f aca="false">IF($M735=0,"",SOUS_TRAITANCE!$F135)</f>
        <v/>
      </c>
      <c r="J735" s="26" t="str">
        <f aca="false">IF($I735="","",IFERROR(INDEX(EMPL_CLASSE,MATCH($I735,EMPL_KEY,0)),""))</f>
        <v/>
      </c>
      <c r="K735" s="26" t="str">
        <f aca="false">IF($M735=0,"",SOUS_TRAITANCE!$P135)</f>
        <v/>
      </c>
      <c r="L735" s="26" t="str">
        <f aca="false">IF($G735="","",IF(IFERROR(INDEX(LOT_ETAT,MATCH($G735,LOT_KEY,0)),"")="","",INDEX(LOT_ETAT,MATCH($G735,LOT_KEY,0))))</f>
        <v/>
      </c>
      <c r="M735" s="73" t="n">
        <f aca="false">IF(OR(SOUS_TRAITANCE!$R135=0,SOUS_TRAITANCE!$D135&lt;&gt;"STOCK EXISTANT"),0,-SOUS_TRAITANCE!$G135)</f>
        <v>0</v>
      </c>
      <c r="N735" s="73" t="n">
        <f aca="false">IF($M735=0,0,SOUS_TRAITANCE!$Y135*$M735)</f>
        <v>0</v>
      </c>
      <c r="O735" s="26" t="str">
        <f aca="false">IF($M735=0,"",SOUS_TRAITANCE!$X135)</f>
        <v/>
      </c>
      <c r="P735" s="26" t="str">
        <f aca="false">IF($G735="","",IF($G735=R_LOT,COUNTIF($G$5:$G735,R_LOT),""))</f>
        <v/>
      </c>
    </row>
    <row r="736" customFormat="false" ht="15" hidden="false" customHeight="false" outlineLevel="0" collapsed="false">
      <c r="A736" s="28" t="str">
        <f aca="false">IF($M736=0,"",ROW()-4)</f>
        <v/>
      </c>
      <c r="B736" s="26" t="str">
        <f aca="false">IF($M736=0,"","SOUS-TRAITANCE")</f>
        <v/>
      </c>
      <c r="C736" s="26" t="str">
        <f aca="false">IF($M736=0,"",SOUS_TRAITANCE!$A136)</f>
        <v/>
      </c>
      <c r="D736" s="31" t="str">
        <f aca="false">IF($M736=0,"",SOUS_TRAITANCE!$B136)</f>
        <v/>
      </c>
      <c r="E736" s="26" t="str">
        <f aca="false">IF($M736=0,"","SORTIE")</f>
        <v/>
      </c>
      <c r="F736" s="26" t="str">
        <f aca="false">IF($M736=0,"","ENVOI SOUS-TRAITANCE")</f>
        <v/>
      </c>
      <c r="G736" s="26" t="str">
        <f aca="false">IF($M736=0,"",SOUS_TRAITANCE!$E136)</f>
        <v/>
      </c>
      <c r="H736" s="26" t="str">
        <f aca="false">IF($G736="","",IFERROR(INDEX(LOT_EXTE,MATCH($G736,LOT_KEY,0)),""))</f>
        <v/>
      </c>
      <c r="I736" s="26" t="str">
        <f aca="false">IF($M736=0,"",SOUS_TRAITANCE!$F136)</f>
        <v/>
      </c>
      <c r="J736" s="26" t="str">
        <f aca="false">IF($I736="","",IFERROR(INDEX(EMPL_CLASSE,MATCH($I736,EMPL_KEY,0)),""))</f>
        <v/>
      </c>
      <c r="K736" s="26" t="str">
        <f aca="false">IF($M736=0,"",SOUS_TRAITANCE!$P136)</f>
        <v/>
      </c>
      <c r="L736" s="26" t="str">
        <f aca="false">IF($G736="","",IF(IFERROR(INDEX(LOT_ETAT,MATCH($G736,LOT_KEY,0)),"")="","",INDEX(LOT_ETAT,MATCH($G736,LOT_KEY,0))))</f>
        <v/>
      </c>
      <c r="M736" s="73" t="n">
        <f aca="false">IF(OR(SOUS_TRAITANCE!$R136=0,SOUS_TRAITANCE!$D136&lt;&gt;"STOCK EXISTANT"),0,-SOUS_TRAITANCE!$G136)</f>
        <v>0</v>
      </c>
      <c r="N736" s="73" t="n">
        <f aca="false">IF($M736=0,0,SOUS_TRAITANCE!$Y136*$M736)</f>
        <v>0</v>
      </c>
      <c r="O736" s="26" t="str">
        <f aca="false">IF($M736=0,"",SOUS_TRAITANCE!$X136)</f>
        <v/>
      </c>
      <c r="P736" s="26" t="str">
        <f aca="false">IF($G736="","",IF($G736=R_LOT,COUNTIF($G$5:$G736,R_LOT),""))</f>
        <v/>
      </c>
    </row>
    <row r="737" customFormat="false" ht="15" hidden="false" customHeight="false" outlineLevel="0" collapsed="false">
      <c r="A737" s="28" t="str">
        <f aca="false">IF($M737=0,"",ROW()-4)</f>
        <v/>
      </c>
      <c r="B737" s="26" t="str">
        <f aca="false">IF($M737=0,"","SOUS-TRAITANCE")</f>
        <v/>
      </c>
      <c r="C737" s="26" t="str">
        <f aca="false">IF($M737=0,"",SOUS_TRAITANCE!$A137)</f>
        <v/>
      </c>
      <c r="D737" s="31" t="str">
        <f aca="false">IF($M737=0,"",SOUS_TRAITANCE!$B137)</f>
        <v/>
      </c>
      <c r="E737" s="26" t="str">
        <f aca="false">IF($M737=0,"","SORTIE")</f>
        <v/>
      </c>
      <c r="F737" s="26" t="str">
        <f aca="false">IF($M737=0,"","ENVOI SOUS-TRAITANCE")</f>
        <v/>
      </c>
      <c r="G737" s="26" t="str">
        <f aca="false">IF($M737=0,"",SOUS_TRAITANCE!$E137)</f>
        <v/>
      </c>
      <c r="H737" s="26" t="str">
        <f aca="false">IF($G737="","",IFERROR(INDEX(LOT_EXTE,MATCH($G737,LOT_KEY,0)),""))</f>
        <v/>
      </c>
      <c r="I737" s="26" t="str">
        <f aca="false">IF($M737=0,"",SOUS_TRAITANCE!$F137)</f>
        <v/>
      </c>
      <c r="J737" s="26" t="str">
        <f aca="false">IF($I737="","",IFERROR(INDEX(EMPL_CLASSE,MATCH($I737,EMPL_KEY,0)),""))</f>
        <v/>
      </c>
      <c r="K737" s="26" t="str">
        <f aca="false">IF($M737=0,"",SOUS_TRAITANCE!$P137)</f>
        <v/>
      </c>
      <c r="L737" s="26" t="str">
        <f aca="false">IF($G737="","",IF(IFERROR(INDEX(LOT_ETAT,MATCH($G737,LOT_KEY,0)),"")="","",INDEX(LOT_ETAT,MATCH($G737,LOT_KEY,0))))</f>
        <v/>
      </c>
      <c r="M737" s="73" t="n">
        <f aca="false">IF(OR(SOUS_TRAITANCE!$R137=0,SOUS_TRAITANCE!$D137&lt;&gt;"STOCK EXISTANT"),0,-SOUS_TRAITANCE!$G137)</f>
        <v>0</v>
      </c>
      <c r="N737" s="73" t="n">
        <f aca="false">IF($M737=0,0,SOUS_TRAITANCE!$Y137*$M737)</f>
        <v>0</v>
      </c>
      <c r="O737" s="26" t="str">
        <f aca="false">IF($M737=0,"",SOUS_TRAITANCE!$X137)</f>
        <v/>
      </c>
      <c r="P737" s="26" t="str">
        <f aca="false">IF($G737="","",IF($G737=R_LOT,COUNTIF($G$5:$G737,R_LOT),""))</f>
        <v/>
      </c>
    </row>
    <row r="738" customFormat="false" ht="15" hidden="false" customHeight="false" outlineLevel="0" collapsed="false">
      <c r="A738" s="28" t="str">
        <f aca="false">IF($M738=0,"",ROW()-4)</f>
        <v/>
      </c>
      <c r="B738" s="26" t="str">
        <f aca="false">IF($M738=0,"","SOUS-TRAITANCE")</f>
        <v/>
      </c>
      <c r="C738" s="26" t="str">
        <f aca="false">IF($M738=0,"",SOUS_TRAITANCE!$A138)</f>
        <v/>
      </c>
      <c r="D738" s="31" t="str">
        <f aca="false">IF($M738=0,"",SOUS_TRAITANCE!$B138)</f>
        <v/>
      </c>
      <c r="E738" s="26" t="str">
        <f aca="false">IF($M738=0,"","SORTIE")</f>
        <v/>
      </c>
      <c r="F738" s="26" t="str">
        <f aca="false">IF($M738=0,"","ENVOI SOUS-TRAITANCE")</f>
        <v/>
      </c>
      <c r="G738" s="26" t="str">
        <f aca="false">IF($M738=0,"",SOUS_TRAITANCE!$E138)</f>
        <v/>
      </c>
      <c r="H738" s="26" t="str">
        <f aca="false">IF($G738="","",IFERROR(INDEX(LOT_EXTE,MATCH($G738,LOT_KEY,0)),""))</f>
        <v/>
      </c>
      <c r="I738" s="26" t="str">
        <f aca="false">IF($M738=0,"",SOUS_TRAITANCE!$F138)</f>
        <v/>
      </c>
      <c r="J738" s="26" t="str">
        <f aca="false">IF($I738="","",IFERROR(INDEX(EMPL_CLASSE,MATCH($I738,EMPL_KEY,0)),""))</f>
        <v/>
      </c>
      <c r="K738" s="26" t="str">
        <f aca="false">IF($M738=0,"",SOUS_TRAITANCE!$P138)</f>
        <v/>
      </c>
      <c r="L738" s="26" t="str">
        <f aca="false">IF($G738="","",IF(IFERROR(INDEX(LOT_ETAT,MATCH($G738,LOT_KEY,0)),"")="","",INDEX(LOT_ETAT,MATCH($G738,LOT_KEY,0))))</f>
        <v/>
      </c>
      <c r="M738" s="73" t="n">
        <f aca="false">IF(OR(SOUS_TRAITANCE!$R138=0,SOUS_TRAITANCE!$D138&lt;&gt;"STOCK EXISTANT"),0,-SOUS_TRAITANCE!$G138)</f>
        <v>0</v>
      </c>
      <c r="N738" s="73" t="n">
        <f aca="false">IF($M738=0,0,SOUS_TRAITANCE!$Y138*$M738)</f>
        <v>0</v>
      </c>
      <c r="O738" s="26" t="str">
        <f aca="false">IF($M738=0,"",SOUS_TRAITANCE!$X138)</f>
        <v/>
      </c>
      <c r="P738" s="26" t="str">
        <f aca="false">IF($G738="","",IF($G738=R_LOT,COUNTIF($G$5:$G738,R_LOT),""))</f>
        <v/>
      </c>
    </row>
    <row r="739" customFormat="false" ht="15" hidden="false" customHeight="false" outlineLevel="0" collapsed="false">
      <c r="A739" s="28" t="str">
        <f aca="false">IF($M739=0,"",ROW()-4)</f>
        <v/>
      </c>
      <c r="B739" s="26" t="str">
        <f aca="false">IF($M739=0,"","SOUS-TRAITANCE")</f>
        <v/>
      </c>
      <c r="C739" s="26" t="str">
        <f aca="false">IF($M739=0,"",SOUS_TRAITANCE!$A139)</f>
        <v/>
      </c>
      <c r="D739" s="31" t="str">
        <f aca="false">IF($M739=0,"",SOUS_TRAITANCE!$B139)</f>
        <v/>
      </c>
      <c r="E739" s="26" t="str">
        <f aca="false">IF($M739=0,"","SORTIE")</f>
        <v/>
      </c>
      <c r="F739" s="26" t="str">
        <f aca="false">IF($M739=0,"","ENVOI SOUS-TRAITANCE")</f>
        <v/>
      </c>
      <c r="G739" s="26" t="str">
        <f aca="false">IF($M739=0,"",SOUS_TRAITANCE!$E139)</f>
        <v/>
      </c>
      <c r="H739" s="26" t="str">
        <f aca="false">IF($G739="","",IFERROR(INDEX(LOT_EXTE,MATCH($G739,LOT_KEY,0)),""))</f>
        <v/>
      </c>
      <c r="I739" s="26" t="str">
        <f aca="false">IF($M739=0,"",SOUS_TRAITANCE!$F139)</f>
        <v/>
      </c>
      <c r="J739" s="26" t="str">
        <f aca="false">IF($I739="","",IFERROR(INDEX(EMPL_CLASSE,MATCH($I739,EMPL_KEY,0)),""))</f>
        <v/>
      </c>
      <c r="K739" s="26" t="str">
        <f aca="false">IF($M739=0,"",SOUS_TRAITANCE!$P139)</f>
        <v/>
      </c>
      <c r="L739" s="26" t="str">
        <f aca="false">IF($G739="","",IF(IFERROR(INDEX(LOT_ETAT,MATCH($G739,LOT_KEY,0)),"")="","",INDEX(LOT_ETAT,MATCH($G739,LOT_KEY,0))))</f>
        <v/>
      </c>
      <c r="M739" s="73" t="n">
        <f aca="false">IF(OR(SOUS_TRAITANCE!$R139=0,SOUS_TRAITANCE!$D139&lt;&gt;"STOCK EXISTANT"),0,-SOUS_TRAITANCE!$G139)</f>
        <v>0</v>
      </c>
      <c r="N739" s="73" t="n">
        <f aca="false">IF($M739=0,0,SOUS_TRAITANCE!$Y139*$M739)</f>
        <v>0</v>
      </c>
      <c r="O739" s="26" t="str">
        <f aca="false">IF($M739=0,"",SOUS_TRAITANCE!$X139)</f>
        <v/>
      </c>
      <c r="P739" s="26" t="str">
        <f aca="false">IF($G739="","",IF($G739=R_LOT,COUNTIF($G$5:$G739,R_LOT),""))</f>
        <v/>
      </c>
    </row>
    <row r="740" customFormat="false" ht="15" hidden="false" customHeight="false" outlineLevel="0" collapsed="false">
      <c r="A740" s="28" t="str">
        <f aca="false">IF($M740=0,"",ROW()-4)</f>
        <v/>
      </c>
      <c r="B740" s="26" t="str">
        <f aca="false">IF($M740=0,"","SOUS-TRAITANCE")</f>
        <v/>
      </c>
      <c r="C740" s="26" t="str">
        <f aca="false">IF($M740=0,"",SOUS_TRAITANCE!$A140)</f>
        <v/>
      </c>
      <c r="D740" s="31" t="str">
        <f aca="false">IF($M740=0,"",SOUS_TRAITANCE!$B140)</f>
        <v/>
      </c>
      <c r="E740" s="26" t="str">
        <f aca="false">IF($M740=0,"","SORTIE")</f>
        <v/>
      </c>
      <c r="F740" s="26" t="str">
        <f aca="false">IF($M740=0,"","ENVOI SOUS-TRAITANCE")</f>
        <v/>
      </c>
      <c r="G740" s="26" t="str">
        <f aca="false">IF($M740=0,"",SOUS_TRAITANCE!$E140)</f>
        <v/>
      </c>
      <c r="H740" s="26" t="str">
        <f aca="false">IF($G740="","",IFERROR(INDEX(LOT_EXTE,MATCH($G740,LOT_KEY,0)),""))</f>
        <v/>
      </c>
      <c r="I740" s="26" t="str">
        <f aca="false">IF($M740=0,"",SOUS_TRAITANCE!$F140)</f>
        <v/>
      </c>
      <c r="J740" s="26" t="str">
        <f aca="false">IF($I740="","",IFERROR(INDEX(EMPL_CLASSE,MATCH($I740,EMPL_KEY,0)),""))</f>
        <v/>
      </c>
      <c r="K740" s="26" t="str">
        <f aca="false">IF($M740=0,"",SOUS_TRAITANCE!$P140)</f>
        <v/>
      </c>
      <c r="L740" s="26" t="str">
        <f aca="false">IF($G740="","",IF(IFERROR(INDEX(LOT_ETAT,MATCH($G740,LOT_KEY,0)),"")="","",INDEX(LOT_ETAT,MATCH($G740,LOT_KEY,0))))</f>
        <v/>
      </c>
      <c r="M740" s="73" t="n">
        <f aca="false">IF(OR(SOUS_TRAITANCE!$R140=0,SOUS_TRAITANCE!$D140&lt;&gt;"STOCK EXISTANT"),0,-SOUS_TRAITANCE!$G140)</f>
        <v>0</v>
      </c>
      <c r="N740" s="73" t="n">
        <f aca="false">IF($M740=0,0,SOUS_TRAITANCE!$Y140*$M740)</f>
        <v>0</v>
      </c>
      <c r="O740" s="26" t="str">
        <f aca="false">IF($M740=0,"",SOUS_TRAITANCE!$X140)</f>
        <v/>
      </c>
      <c r="P740" s="26" t="str">
        <f aca="false">IF($G740="","",IF($G740=R_LOT,COUNTIF($G$5:$G740,R_LOT),""))</f>
        <v/>
      </c>
    </row>
    <row r="741" customFormat="false" ht="15" hidden="false" customHeight="false" outlineLevel="0" collapsed="false">
      <c r="A741" s="28" t="str">
        <f aca="false">IF($M741=0,"",ROW()-4)</f>
        <v/>
      </c>
      <c r="B741" s="26" t="str">
        <f aca="false">IF($M741=0,"","SOUS-TRAITANCE")</f>
        <v/>
      </c>
      <c r="C741" s="26" t="str">
        <f aca="false">IF($M741=0,"",SOUS_TRAITANCE!$A141)</f>
        <v/>
      </c>
      <c r="D741" s="31" t="str">
        <f aca="false">IF($M741=0,"",SOUS_TRAITANCE!$B141)</f>
        <v/>
      </c>
      <c r="E741" s="26" t="str">
        <f aca="false">IF($M741=0,"","SORTIE")</f>
        <v/>
      </c>
      <c r="F741" s="26" t="str">
        <f aca="false">IF($M741=0,"","ENVOI SOUS-TRAITANCE")</f>
        <v/>
      </c>
      <c r="G741" s="26" t="str">
        <f aca="false">IF($M741=0,"",SOUS_TRAITANCE!$E141)</f>
        <v/>
      </c>
      <c r="H741" s="26" t="str">
        <f aca="false">IF($G741="","",IFERROR(INDEX(LOT_EXTE,MATCH($G741,LOT_KEY,0)),""))</f>
        <v/>
      </c>
      <c r="I741" s="26" t="str">
        <f aca="false">IF($M741=0,"",SOUS_TRAITANCE!$F141)</f>
        <v/>
      </c>
      <c r="J741" s="26" t="str">
        <f aca="false">IF($I741="","",IFERROR(INDEX(EMPL_CLASSE,MATCH($I741,EMPL_KEY,0)),""))</f>
        <v/>
      </c>
      <c r="K741" s="26" t="str">
        <f aca="false">IF($M741=0,"",SOUS_TRAITANCE!$P141)</f>
        <v/>
      </c>
      <c r="L741" s="26" t="str">
        <f aca="false">IF($G741="","",IF(IFERROR(INDEX(LOT_ETAT,MATCH($G741,LOT_KEY,0)),"")="","",INDEX(LOT_ETAT,MATCH($G741,LOT_KEY,0))))</f>
        <v/>
      </c>
      <c r="M741" s="73" t="n">
        <f aca="false">IF(OR(SOUS_TRAITANCE!$R141=0,SOUS_TRAITANCE!$D141&lt;&gt;"STOCK EXISTANT"),0,-SOUS_TRAITANCE!$G141)</f>
        <v>0</v>
      </c>
      <c r="N741" s="73" t="n">
        <f aca="false">IF($M741=0,0,SOUS_TRAITANCE!$Y141*$M741)</f>
        <v>0</v>
      </c>
      <c r="O741" s="26" t="str">
        <f aca="false">IF($M741=0,"",SOUS_TRAITANCE!$X141)</f>
        <v/>
      </c>
      <c r="P741" s="26" t="str">
        <f aca="false">IF($G741="","",IF($G741=R_LOT,COUNTIF($G$5:$G741,R_LOT),""))</f>
        <v/>
      </c>
    </row>
    <row r="742" customFormat="false" ht="15" hidden="false" customHeight="false" outlineLevel="0" collapsed="false">
      <c r="A742" s="28" t="str">
        <f aca="false">IF($M742=0,"",ROW()-4)</f>
        <v/>
      </c>
      <c r="B742" s="26" t="str">
        <f aca="false">IF($M742=0,"","SOUS-TRAITANCE")</f>
        <v/>
      </c>
      <c r="C742" s="26" t="str">
        <f aca="false">IF($M742=0,"",SOUS_TRAITANCE!$A142)</f>
        <v/>
      </c>
      <c r="D742" s="31" t="str">
        <f aca="false">IF($M742=0,"",SOUS_TRAITANCE!$B142)</f>
        <v/>
      </c>
      <c r="E742" s="26" t="str">
        <f aca="false">IF($M742=0,"","SORTIE")</f>
        <v/>
      </c>
      <c r="F742" s="26" t="str">
        <f aca="false">IF($M742=0,"","ENVOI SOUS-TRAITANCE")</f>
        <v/>
      </c>
      <c r="G742" s="26" t="str">
        <f aca="false">IF($M742=0,"",SOUS_TRAITANCE!$E142)</f>
        <v/>
      </c>
      <c r="H742" s="26" t="str">
        <f aca="false">IF($G742="","",IFERROR(INDEX(LOT_EXTE,MATCH($G742,LOT_KEY,0)),""))</f>
        <v/>
      </c>
      <c r="I742" s="26" t="str">
        <f aca="false">IF($M742=0,"",SOUS_TRAITANCE!$F142)</f>
        <v/>
      </c>
      <c r="J742" s="26" t="str">
        <f aca="false">IF($I742="","",IFERROR(INDEX(EMPL_CLASSE,MATCH($I742,EMPL_KEY,0)),""))</f>
        <v/>
      </c>
      <c r="K742" s="26" t="str">
        <f aca="false">IF($M742=0,"",SOUS_TRAITANCE!$P142)</f>
        <v/>
      </c>
      <c r="L742" s="26" t="str">
        <f aca="false">IF($G742="","",IF(IFERROR(INDEX(LOT_ETAT,MATCH($G742,LOT_KEY,0)),"")="","",INDEX(LOT_ETAT,MATCH($G742,LOT_KEY,0))))</f>
        <v/>
      </c>
      <c r="M742" s="73" t="n">
        <f aca="false">IF(OR(SOUS_TRAITANCE!$R142=0,SOUS_TRAITANCE!$D142&lt;&gt;"STOCK EXISTANT"),0,-SOUS_TRAITANCE!$G142)</f>
        <v>0</v>
      </c>
      <c r="N742" s="73" t="n">
        <f aca="false">IF($M742=0,0,SOUS_TRAITANCE!$Y142*$M742)</f>
        <v>0</v>
      </c>
      <c r="O742" s="26" t="str">
        <f aca="false">IF($M742=0,"",SOUS_TRAITANCE!$X142)</f>
        <v/>
      </c>
      <c r="P742" s="26" t="str">
        <f aca="false">IF($G742="","",IF($G742=R_LOT,COUNTIF($G$5:$G742,R_LOT),""))</f>
        <v/>
      </c>
    </row>
    <row r="743" customFormat="false" ht="15" hidden="false" customHeight="false" outlineLevel="0" collapsed="false">
      <c r="A743" s="28" t="str">
        <f aca="false">IF($M743=0,"",ROW()-4)</f>
        <v/>
      </c>
      <c r="B743" s="26" t="str">
        <f aca="false">IF($M743=0,"","SOUS-TRAITANCE")</f>
        <v/>
      </c>
      <c r="C743" s="26" t="str">
        <f aca="false">IF($M743=0,"",SOUS_TRAITANCE!$A143)</f>
        <v/>
      </c>
      <c r="D743" s="31" t="str">
        <f aca="false">IF($M743=0,"",SOUS_TRAITANCE!$B143)</f>
        <v/>
      </c>
      <c r="E743" s="26" t="str">
        <f aca="false">IF($M743=0,"","SORTIE")</f>
        <v/>
      </c>
      <c r="F743" s="26" t="str">
        <f aca="false">IF($M743=0,"","ENVOI SOUS-TRAITANCE")</f>
        <v/>
      </c>
      <c r="G743" s="26" t="str">
        <f aca="false">IF($M743=0,"",SOUS_TRAITANCE!$E143)</f>
        <v/>
      </c>
      <c r="H743" s="26" t="str">
        <f aca="false">IF($G743="","",IFERROR(INDEX(LOT_EXTE,MATCH($G743,LOT_KEY,0)),""))</f>
        <v/>
      </c>
      <c r="I743" s="26" t="str">
        <f aca="false">IF($M743=0,"",SOUS_TRAITANCE!$F143)</f>
        <v/>
      </c>
      <c r="J743" s="26" t="str">
        <f aca="false">IF($I743="","",IFERROR(INDEX(EMPL_CLASSE,MATCH($I743,EMPL_KEY,0)),""))</f>
        <v/>
      </c>
      <c r="K743" s="26" t="str">
        <f aca="false">IF($M743=0,"",SOUS_TRAITANCE!$P143)</f>
        <v/>
      </c>
      <c r="L743" s="26" t="str">
        <f aca="false">IF($G743="","",IF(IFERROR(INDEX(LOT_ETAT,MATCH($G743,LOT_KEY,0)),"")="","",INDEX(LOT_ETAT,MATCH($G743,LOT_KEY,0))))</f>
        <v/>
      </c>
      <c r="M743" s="73" t="n">
        <f aca="false">IF(OR(SOUS_TRAITANCE!$R143=0,SOUS_TRAITANCE!$D143&lt;&gt;"STOCK EXISTANT"),0,-SOUS_TRAITANCE!$G143)</f>
        <v>0</v>
      </c>
      <c r="N743" s="73" t="n">
        <f aca="false">IF($M743=0,0,SOUS_TRAITANCE!$Y143*$M743)</f>
        <v>0</v>
      </c>
      <c r="O743" s="26" t="str">
        <f aca="false">IF($M743=0,"",SOUS_TRAITANCE!$X143)</f>
        <v/>
      </c>
      <c r="P743" s="26" t="str">
        <f aca="false">IF($G743="","",IF($G743=R_LOT,COUNTIF($G$5:$G743,R_LOT),""))</f>
        <v/>
      </c>
    </row>
    <row r="744" customFormat="false" ht="15" hidden="false" customHeight="false" outlineLevel="0" collapsed="false">
      <c r="A744" s="28" t="str">
        <f aca="false">IF($M744=0,"",ROW()-4)</f>
        <v/>
      </c>
      <c r="B744" s="26" t="str">
        <f aca="false">IF($M744=0,"","SOUS-TRAITANCE")</f>
        <v/>
      </c>
      <c r="C744" s="26" t="str">
        <f aca="false">IF($M744=0,"",SOUS_TRAITANCE!$A144)</f>
        <v/>
      </c>
      <c r="D744" s="31" t="str">
        <f aca="false">IF($M744=0,"",SOUS_TRAITANCE!$B144)</f>
        <v/>
      </c>
      <c r="E744" s="26" t="str">
        <f aca="false">IF($M744=0,"","SORTIE")</f>
        <v/>
      </c>
      <c r="F744" s="26" t="str">
        <f aca="false">IF($M744=0,"","ENVOI SOUS-TRAITANCE")</f>
        <v/>
      </c>
      <c r="G744" s="26" t="str">
        <f aca="false">IF($M744=0,"",SOUS_TRAITANCE!$E144)</f>
        <v/>
      </c>
      <c r="H744" s="26" t="str">
        <f aca="false">IF($G744="","",IFERROR(INDEX(LOT_EXTE,MATCH($G744,LOT_KEY,0)),""))</f>
        <v/>
      </c>
      <c r="I744" s="26" t="str">
        <f aca="false">IF($M744=0,"",SOUS_TRAITANCE!$F144)</f>
        <v/>
      </c>
      <c r="J744" s="26" t="str">
        <f aca="false">IF($I744="","",IFERROR(INDEX(EMPL_CLASSE,MATCH($I744,EMPL_KEY,0)),""))</f>
        <v/>
      </c>
      <c r="K744" s="26" t="str">
        <f aca="false">IF($M744=0,"",SOUS_TRAITANCE!$P144)</f>
        <v/>
      </c>
      <c r="L744" s="26" t="str">
        <f aca="false">IF($G744="","",IF(IFERROR(INDEX(LOT_ETAT,MATCH($G744,LOT_KEY,0)),"")="","",INDEX(LOT_ETAT,MATCH($G744,LOT_KEY,0))))</f>
        <v/>
      </c>
      <c r="M744" s="73" t="n">
        <f aca="false">IF(OR(SOUS_TRAITANCE!$R144=0,SOUS_TRAITANCE!$D144&lt;&gt;"STOCK EXISTANT"),0,-SOUS_TRAITANCE!$G144)</f>
        <v>0</v>
      </c>
      <c r="N744" s="73" t="n">
        <f aca="false">IF($M744=0,0,SOUS_TRAITANCE!$Y144*$M744)</f>
        <v>0</v>
      </c>
      <c r="O744" s="26" t="str">
        <f aca="false">IF($M744=0,"",SOUS_TRAITANCE!$X144)</f>
        <v/>
      </c>
      <c r="P744" s="26" t="str">
        <f aca="false">IF($G744="","",IF($G744=R_LOT,COUNTIF($G$5:$G744,R_LOT),""))</f>
        <v/>
      </c>
    </row>
    <row r="745" customFormat="false" ht="15" hidden="false" customHeight="false" outlineLevel="0" collapsed="false">
      <c r="A745" s="28" t="str">
        <f aca="false">IF($M745=0,"",ROW()-4)</f>
        <v/>
      </c>
      <c r="B745" s="26" t="str">
        <f aca="false">IF($M745=0,"","SOUS-TRAITANCE")</f>
        <v/>
      </c>
      <c r="C745" s="26" t="str">
        <f aca="false">IF($M745=0,"",SOUS_TRAITANCE!$A145)</f>
        <v/>
      </c>
      <c r="D745" s="31" t="str">
        <f aca="false">IF($M745=0,"",SOUS_TRAITANCE!$B145)</f>
        <v/>
      </c>
      <c r="E745" s="26" t="str">
        <f aca="false">IF($M745=0,"","SORTIE")</f>
        <v/>
      </c>
      <c r="F745" s="26" t="str">
        <f aca="false">IF($M745=0,"","ENVOI SOUS-TRAITANCE")</f>
        <v/>
      </c>
      <c r="G745" s="26" t="str">
        <f aca="false">IF($M745=0,"",SOUS_TRAITANCE!$E145)</f>
        <v/>
      </c>
      <c r="H745" s="26" t="str">
        <f aca="false">IF($G745="","",IFERROR(INDEX(LOT_EXTE,MATCH($G745,LOT_KEY,0)),""))</f>
        <v/>
      </c>
      <c r="I745" s="26" t="str">
        <f aca="false">IF($M745=0,"",SOUS_TRAITANCE!$F145)</f>
        <v/>
      </c>
      <c r="J745" s="26" t="str">
        <f aca="false">IF($I745="","",IFERROR(INDEX(EMPL_CLASSE,MATCH($I745,EMPL_KEY,0)),""))</f>
        <v/>
      </c>
      <c r="K745" s="26" t="str">
        <f aca="false">IF($M745=0,"",SOUS_TRAITANCE!$P145)</f>
        <v/>
      </c>
      <c r="L745" s="26" t="str">
        <f aca="false">IF($G745="","",IF(IFERROR(INDEX(LOT_ETAT,MATCH($G745,LOT_KEY,0)),"")="","",INDEX(LOT_ETAT,MATCH($G745,LOT_KEY,0))))</f>
        <v/>
      </c>
      <c r="M745" s="73" t="n">
        <f aca="false">IF(OR(SOUS_TRAITANCE!$R145=0,SOUS_TRAITANCE!$D145&lt;&gt;"STOCK EXISTANT"),0,-SOUS_TRAITANCE!$G145)</f>
        <v>0</v>
      </c>
      <c r="N745" s="73" t="n">
        <f aca="false">IF($M745=0,0,SOUS_TRAITANCE!$Y145*$M745)</f>
        <v>0</v>
      </c>
      <c r="O745" s="26" t="str">
        <f aca="false">IF($M745=0,"",SOUS_TRAITANCE!$X145)</f>
        <v/>
      </c>
      <c r="P745" s="26" t="str">
        <f aca="false">IF($G745="","",IF($G745=R_LOT,COUNTIF($G$5:$G745,R_LOT),""))</f>
        <v/>
      </c>
    </row>
    <row r="746" customFormat="false" ht="15" hidden="false" customHeight="false" outlineLevel="0" collapsed="false">
      <c r="A746" s="28" t="str">
        <f aca="false">IF($M746=0,"",ROW()-4)</f>
        <v/>
      </c>
      <c r="B746" s="26" t="str">
        <f aca="false">IF($M746=0,"","SOUS-TRAITANCE")</f>
        <v/>
      </c>
      <c r="C746" s="26" t="str">
        <f aca="false">IF($M746=0,"",SOUS_TRAITANCE!$A146)</f>
        <v/>
      </c>
      <c r="D746" s="31" t="str">
        <f aca="false">IF($M746=0,"",SOUS_TRAITANCE!$B146)</f>
        <v/>
      </c>
      <c r="E746" s="26" t="str">
        <f aca="false">IF($M746=0,"","SORTIE")</f>
        <v/>
      </c>
      <c r="F746" s="26" t="str">
        <f aca="false">IF($M746=0,"","ENVOI SOUS-TRAITANCE")</f>
        <v/>
      </c>
      <c r="G746" s="26" t="str">
        <f aca="false">IF($M746=0,"",SOUS_TRAITANCE!$E146)</f>
        <v/>
      </c>
      <c r="H746" s="26" t="str">
        <f aca="false">IF($G746="","",IFERROR(INDEX(LOT_EXTE,MATCH($G746,LOT_KEY,0)),""))</f>
        <v/>
      </c>
      <c r="I746" s="26" t="str">
        <f aca="false">IF($M746=0,"",SOUS_TRAITANCE!$F146)</f>
        <v/>
      </c>
      <c r="J746" s="26" t="str">
        <f aca="false">IF($I746="","",IFERROR(INDEX(EMPL_CLASSE,MATCH($I746,EMPL_KEY,0)),""))</f>
        <v/>
      </c>
      <c r="K746" s="26" t="str">
        <f aca="false">IF($M746=0,"",SOUS_TRAITANCE!$P146)</f>
        <v/>
      </c>
      <c r="L746" s="26" t="str">
        <f aca="false">IF($G746="","",IF(IFERROR(INDEX(LOT_ETAT,MATCH($G746,LOT_KEY,0)),"")="","",INDEX(LOT_ETAT,MATCH($G746,LOT_KEY,0))))</f>
        <v/>
      </c>
      <c r="M746" s="73" t="n">
        <f aca="false">IF(OR(SOUS_TRAITANCE!$R146=0,SOUS_TRAITANCE!$D146&lt;&gt;"STOCK EXISTANT"),0,-SOUS_TRAITANCE!$G146)</f>
        <v>0</v>
      </c>
      <c r="N746" s="73" t="n">
        <f aca="false">IF($M746=0,0,SOUS_TRAITANCE!$Y146*$M746)</f>
        <v>0</v>
      </c>
      <c r="O746" s="26" t="str">
        <f aca="false">IF($M746=0,"",SOUS_TRAITANCE!$X146)</f>
        <v/>
      </c>
      <c r="P746" s="26" t="str">
        <f aca="false">IF($G746="","",IF($G746=R_LOT,COUNTIF($G$5:$G746,R_LOT),""))</f>
        <v/>
      </c>
    </row>
    <row r="747" customFormat="false" ht="15" hidden="false" customHeight="false" outlineLevel="0" collapsed="false">
      <c r="A747" s="28" t="str">
        <f aca="false">IF($M747=0,"",ROW()-4)</f>
        <v/>
      </c>
      <c r="B747" s="26" t="str">
        <f aca="false">IF($M747=0,"","SOUS-TRAITANCE")</f>
        <v/>
      </c>
      <c r="C747" s="26" t="str">
        <f aca="false">IF($M747=0,"",SOUS_TRAITANCE!$A147)</f>
        <v/>
      </c>
      <c r="D747" s="31" t="str">
        <f aca="false">IF($M747=0,"",SOUS_TRAITANCE!$B147)</f>
        <v/>
      </c>
      <c r="E747" s="26" t="str">
        <f aca="false">IF($M747=0,"","SORTIE")</f>
        <v/>
      </c>
      <c r="F747" s="26" t="str">
        <f aca="false">IF($M747=0,"","ENVOI SOUS-TRAITANCE")</f>
        <v/>
      </c>
      <c r="G747" s="26" t="str">
        <f aca="false">IF($M747=0,"",SOUS_TRAITANCE!$E147)</f>
        <v/>
      </c>
      <c r="H747" s="26" t="str">
        <f aca="false">IF($G747="","",IFERROR(INDEX(LOT_EXTE,MATCH($G747,LOT_KEY,0)),""))</f>
        <v/>
      </c>
      <c r="I747" s="26" t="str">
        <f aca="false">IF($M747=0,"",SOUS_TRAITANCE!$F147)</f>
        <v/>
      </c>
      <c r="J747" s="26" t="str">
        <f aca="false">IF($I747="","",IFERROR(INDEX(EMPL_CLASSE,MATCH($I747,EMPL_KEY,0)),""))</f>
        <v/>
      </c>
      <c r="K747" s="26" t="str">
        <f aca="false">IF($M747=0,"",SOUS_TRAITANCE!$P147)</f>
        <v/>
      </c>
      <c r="L747" s="26" t="str">
        <f aca="false">IF($G747="","",IF(IFERROR(INDEX(LOT_ETAT,MATCH($G747,LOT_KEY,0)),"")="","",INDEX(LOT_ETAT,MATCH($G747,LOT_KEY,0))))</f>
        <v/>
      </c>
      <c r="M747" s="73" t="n">
        <f aca="false">IF(OR(SOUS_TRAITANCE!$R147=0,SOUS_TRAITANCE!$D147&lt;&gt;"STOCK EXISTANT"),0,-SOUS_TRAITANCE!$G147)</f>
        <v>0</v>
      </c>
      <c r="N747" s="73" t="n">
        <f aca="false">IF($M747=0,0,SOUS_TRAITANCE!$Y147*$M747)</f>
        <v>0</v>
      </c>
      <c r="O747" s="26" t="str">
        <f aca="false">IF($M747=0,"",SOUS_TRAITANCE!$X147)</f>
        <v/>
      </c>
      <c r="P747" s="26" t="str">
        <f aca="false">IF($G747="","",IF($G747=R_LOT,COUNTIF($G$5:$G747,R_LOT),""))</f>
        <v/>
      </c>
    </row>
    <row r="748" customFormat="false" ht="15" hidden="false" customHeight="false" outlineLevel="0" collapsed="false">
      <c r="A748" s="28" t="str">
        <f aca="false">IF($M748=0,"",ROW()-4)</f>
        <v/>
      </c>
      <c r="B748" s="26" t="str">
        <f aca="false">IF($M748=0,"","SOUS-TRAITANCE")</f>
        <v/>
      </c>
      <c r="C748" s="26" t="str">
        <f aca="false">IF($M748=0,"",SOUS_TRAITANCE!$A148)</f>
        <v/>
      </c>
      <c r="D748" s="31" t="str">
        <f aca="false">IF($M748=0,"",SOUS_TRAITANCE!$B148)</f>
        <v/>
      </c>
      <c r="E748" s="26" t="str">
        <f aca="false">IF($M748=0,"","SORTIE")</f>
        <v/>
      </c>
      <c r="F748" s="26" t="str">
        <f aca="false">IF($M748=0,"","ENVOI SOUS-TRAITANCE")</f>
        <v/>
      </c>
      <c r="G748" s="26" t="str">
        <f aca="false">IF($M748=0,"",SOUS_TRAITANCE!$E148)</f>
        <v/>
      </c>
      <c r="H748" s="26" t="str">
        <f aca="false">IF($G748="","",IFERROR(INDEX(LOT_EXTE,MATCH($G748,LOT_KEY,0)),""))</f>
        <v/>
      </c>
      <c r="I748" s="26" t="str">
        <f aca="false">IF($M748=0,"",SOUS_TRAITANCE!$F148)</f>
        <v/>
      </c>
      <c r="J748" s="26" t="str">
        <f aca="false">IF($I748="","",IFERROR(INDEX(EMPL_CLASSE,MATCH($I748,EMPL_KEY,0)),""))</f>
        <v/>
      </c>
      <c r="K748" s="26" t="str">
        <f aca="false">IF($M748=0,"",SOUS_TRAITANCE!$P148)</f>
        <v/>
      </c>
      <c r="L748" s="26" t="str">
        <f aca="false">IF($G748="","",IF(IFERROR(INDEX(LOT_ETAT,MATCH($G748,LOT_KEY,0)),"")="","",INDEX(LOT_ETAT,MATCH($G748,LOT_KEY,0))))</f>
        <v/>
      </c>
      <c r="M748" s="73" t="n">
        <f aca="false">IF(OR(SOUS_TRAITANCE!$R148=0,SOUS_TRAITANCE!$D148&lt;&gt;"STOCK EXISTANT"),0,-SOUS_TRAITANCE!$G148)</f>
        <v>0</v>
      </c>
      <c r="N748" s="73" t="n">
        <f aca="false">IF($M748=0,0,SOUS_TRAITANCE!$Y148*$M748)</f>
        <v>0</v>
      </c>
      <c r="O748" s="26" t="str">
        <f aca="false">IF($M748=0,"",SOUS_TRAITANCE!$X148)</f>
        <v/>
      </c>
      <c r="P748" s="26" t="str">
        <f aca="false">IF($G748="","",IF($G748=R_LOT,COUNTIF($G$5:$G748,R_LOT),""))</f>
        <v/>
      </c>
    </row>
    <row r="749" customFormat="false" ht="15" hidden="false" customHeight="false" outlineLevel="0" collapsed="false">
      <c r="A749" s="28" t="str">
        <f aca="false">IF($M749=0,"",ROW()-4)</f>
        <v/>
      </c>
      <c r="B749" s="26" t="str">
        <f aca="false">IF($M749=0,"","SOUS-TRAITANCE")</f>
        <v/>
      </c>
      <c r="C749" s="26" t="str">
        <f aca="false">IF($M749=0,"",SOUS_TRAITANCE!$A149)</f>
        <v/>
      </c>
      <c r="D749" s="31" t="str">
        <f aca="false">IF($M749=0,"",SOUS_TRAITANCE!$B149)</f>
        <v/>
      </c>
      <c r="E749" s="26" t="str">
        <f aca="false">IF($M749=0,"","SORTIE")</f>
        <v/>
      </c>
      <c r="F749" s="26" t="str">
        <f aca="false">IF($M749=0,"","ENVOI SOUS-TRAITANCE")</f>
        <v/>
      </c>
      <c r="G749" s="26" t="str">
        <f aca="false">IF($M749=0,"",SOUS_TRAITANCE!$E149)</f>
        <v/>
      </c>
      <c r="H749" s="26" t="str">
        <f aca="false">IF($G749="","",IFERROR(INDEX(LOT_EXTE,MATCH($G749,LOT_KEY,0)),""))</f>
        <v/>
      </c>
      <c r="I749" s="26" t="str">
        <f aca="false">IF($M749=0,"",SOUS_TRAITANCE!$F149)</f>
        <v/>
      </c>
      <c r="J749" s="26" t="str">
        <f aca="false">IF($I749="","",IFERROR(INDEX(EMPL_CLASSE,MATCH($I749,EMPL_KEY,0)),""))</f>
        <v/>
      </c>
      <c r="K749" s="26" t="str">
        <f aca="false">IF($M749=0,"",SOUS_TRAITANCE!$P149)</f>
        <v/>
      </c>
      <c r="L749" s="26" t="str">
        <f aca="false">IF($G749="","",IF(IFERROR(INDEX(LOT_ETAT,MATCH($G749,LOT_KEY,0)),"")="","",INDEX(LOT_ETAT,MATCH($G749,LOT_KEY,0))))</f>
        <v/>
      </c>
      <c r="M749" s="73" t="n">
        <f aca="false">IF(OR(SOUS_TRAITANCE!$R149=0,SOUS_TRAITANCE!$D149&lt;&gt;"STOCK EXISTANT"),0,-SOUS_TRAITANCE!$G149)</f>
        <v>0</v>
      </c>
      <c r="N749" s="73" t="n">
        <f aca="false">IF($M749=0,0,SOUS_TRAITANCE!$Y149*$M749)</f>
        <v>0</v>
      </c>
      <c r="O749" s="26" t="str">
        <f aca="false">IF($M749=0,"",SOUS_TRAITANCE!$X149)</f>
        <v/>
      </c>
      <c r="P749" s="26" t="str">
        <f aca="false">IF($G749="","",IF($G749=R_LOT,COUNTIF($G$5:$G749,R_LOT),""))</f>
        <v/>
      </c>
    </row>
    <row r="750" customFormat="false" ht="15" hidden="false" customHeight="false" outlineLevel="0" collapsed="false">
      <c r="A750" s="28" t="str">
        <f aca="false">IF($M750=0,"",ROW()-4)</f>
        <v/>
      </c>
      <c r="B750" s="26" t="str">
        <f aca="false">IF($M750=0,"","SOUS-TRAITANCE")</f>
        <v/>
      </c>
      <c r="C750" s="26" t="str">
        <f aca="false">IF($M750=0,"",SOUS_TRAITANCE!$A150)</f>
        <v/>
      </c>
      <c r="D750" s="31" t="str">
        <f aca="false">IF($M750=0,"",SOUS_TRAITANCE!$B150)</f>
        <v/>
      </c>
      <c r="E750" s="26" t="str">
        <f aca="false">IF($M750=0,"","SORTIE")</f>
        <v/>
      </c>
      <c r="F750" s="26" t="str">
        <f aca="false">IF($M750=0,"","ENVOI SOUS-TRAITANCE")</f>
        <v/>
      </c>
      <c r="G750" s="26" t="str">
        <f aca="false">IF($M750=0,"",SOUS_TRAITANCE!$E150)</f>
        <v/>
      </c>
      <c r="H750" s="26" t="str">
        <f aca="false">IF($G750="","",IFERROR(INDEX(LOT_EXTE,MATCH($G750,LOT_KEY,0)),""))</f>
        <v/>
      </c>
      <c r="I750" s="26" t="str">
        <f aca="false">IF($M750=0,"",SOUS_TRAITANCE!$F150)</f>
        <v/>
      </c>
      <c r="J750" s="26" t="str">
        <f aca="false">IF($I750="","",IFERROR(INDEX(EMPL_CLASSE,MATCH($I750,EMPL_KEY,0)),""))</f>
        <v/>
      </c>
      <c r="K750" s="26" t="str">
        <f aca="false">IF($M750=0,"",SOUS_TRAITANCE!$P150)</f>
        <v/>
      </c>
      <c r="L750" s="26" t="str">
        <f aca="false">IF($G750="","",IF(IFERROR(INDEX(LOT_ETAT,MATCH($G750,LOT_KEY,0)),"")="","",INDEX(LOT_ETAT,MATCH($G750,LOT_KEY,0))))</f>
        <v/>
      </c>
      <c r="M750" s="73" t="n">
        <f aca="false">IF(OR(SOUS_TRAITANCE!$R150=0,SOUS_TRAITANCE!$D150&lt;&gt;"STOCK EXISTANT"),0,-SOUS_TRAITANCE!$G150)</f>
        <v>0</v>
      </c>
      <c r="N750" s="73" t="n">
        <f aca="false">IF($M750=0,0,SOUS_TRAITANCE!$Y150*$M750)</f>
        <v>0</v>
      </c>
      <c r="O750" s="26" t="str">
        <f aca="false">IF($M750=0,"",SOUS_TRAITANCE!$X150)</f>
        <v/>
      </c>
      <c r="P750" s="26" t="str">
        <f aca="false">IF($G750="","",IF($G750=R_LOT,COUNTIF($G$5:$G750,R_LOT),""))</f>
        <v/>
      </c>
    </row>
    <row r="751" customFormat="false" ht="15" hidden="false" customHeight="false" outlineLevel="0" collapsed="false">
      <c r="A751" s="28" t="str">
        <f aca="false">IF($M751=0,"",ROW()-4)</f>
        <v/>
      </c>
      <c r="B751" s="26" t="str">
        <f aca="false">IF($M751=0,"","SOUS-TRAITANCE")</f>
        <v/>
      </c>
      <c r="C751" s="26" t="str">
        <f aca="false">IF($M751=0,"",SOUS_TRAITANCE!$A151)</f>
        <v/>
      </c>
      <c r="D751" s="31" t="str">
        <f aca="false">IF($M751=0,"",SOUS_TRAITANCE!$B151)</f>
        <v/>
      </c>
      <c r="E751" s="26" t="str">
        <f aca="false">IF($M751=0,"","SORTIE")</f>
        <v/>
      </c>
      <c r="F751" s="26" t="str">
        <f aca="false">IF($M751=0,"","ENVOI SOUS-TRAITANCE")</f>
        <v/>
      </c>
      <c r="G751" s="26" t="str">
        <f aca="false">IF($M751=0,"",SOUS_TRAITANCE!$E151)</f>
        <v/>
      </c>
      <c r="H751" s="26" t="str">
        <f aca="false">IF($G751="","",IFERROR(INDEX(LOT_EXTE,MATCH($G751,LOT_KEY,0)),""))</f>
        <v/>
      </c>
      <c r="I751" s="26" t="str">
        <f aca="false">IF($M751=0,"",SOUS_TRAITANCE!$F151)</f>
        <v/>
      </c>
      <c r="J751" s="26" t="str">
        <f aca="false">IF($I751="","",IFERROR(INDEX(EMPL_CLASSE,MATCH($I751,EMPL_KEY,0)),""))</f>
        <v/>
      </c>
      <c r="K751" s="26" t="str">
        <f aca="false">IF($M751=0,"",SOUS_TRAITANCE!$P151)</f>
        <v/>
      </c>
      <c r="L751" s="26" t="str">
        <f aca="false">IF($G751="","",IF(IFERROR(INDEX(LOT_ETAT,MATCH($G751,LOT_KEY,0)),"")="","",INDEX(LOT_ETAT,MATCH($G751,LOT_KEY,0))))</f>
        <v/>
      </c>
      <c r="M751" s="73" t="n">
        <f aca="false">IF(OR(SOUS_TRAITANCE!$R151=0,SOUS_TRAITANCE!$D151&lt;&gt;"STOCK EXISTANT"),0,-SOUS_TRAITANCE!$G151)</f>
        <v>0</v>
      </c>
      <c r="N751" s="73" t="n">
        <f aca="false">IF($M751=0,0,SOUS_TRAITANCE!$Y151*$M751)</f>
        <v>0</v>
      </c>
      <c r="O751" s="26" t="str">
        <f aca="false">IF($M751=0,"",SOUS_TRAITANCE!$X151)</f>
        <v/>
      </c>
      <c r="P751" s="26" t="str">
        <f aca="false">IF($G751="","",IF($G751=R_LOT,COUNTIF($G$5:$G751,R_LOT),""))</f>
        <v/>
      </c>
    </row>
    <row r="752" customFormat="false" ht="15" hidden="false" customHeight="false" outlineLevel="0" collapsed="false">
      <c r="A752" s="28" t="str">
        <f aca="false">IF($M752=0,"",ROW()-4)</f>
        <v/>
      </c>
      <c r="B752" s="26" t="str">
        <f aca="false">IF($M752=0,"","SOUS-TRAITANCE")</f>
        <v/>
      </c>
      <c r="C752" s="26" t="str">
        <f aca="false">IF($M752=0,"",SOUS_TRAITANCE!$A152)</f>
        <v/>
      </c>
      <c r="D752" s="31" t="str">
        <f aca="false">IF($M752=0,"",SOUS_TRAITANCE!$B152)</f>
        <v/>
      </c>
      <c r="E752" s="26" t="str">
        <f aca="false">IF($M752=0,"","SORTIE")</f>
        <v/>
      </c>
      <c r="F752" s="26" t="str">
        <f aca="false">IF($M752=0,"","ENVOI SOUS-TRAITANCE")</f>
        <v/>
      </c>
      <c r="G752" s="26" t="str">
        <f aca="false">IF($M752=0,"",SOUS_TRAITANCE!$E152)</f>
        <v/>
      </c>
      <c r="H752" s="26" t="str">
        <f aca="false">IF($G752="","",IFERROR(INDEX(LOT_EXTE,MATCH($G752,LOT_KEY,0)),""))</f>
        <v/>
      </c>
      <c r="I752" s="26" t="str">
        <f aca="false">IF($M752=0,"",SOUS_TRAITANCE!$F152)</f>
        <v/>
      </c>
      <c r="J752" s="26" t="str">
        <f aca="false">IF($I752="","",IFERROR(INDEX(EMPL_CLASSE,MATCH($I752,EMPL_KEY,0)),""))</f>
        <v/>
      </c>
      <c r="K752" s="26" t="str">
        <f aca="false">IF($M752=0,"",SOUS_TRAITANCE!$P152)</f>
        <v/>
      </c>
      <c r="L752" s="26" t="str">
        <f aca="false">IF($G752="","",IF(IFERROR(INDEX(LOT_ETAT,MATCH($G752,LOT_KEY,0)),"")="","",INDEX(LOT_ETAT,MATCH($G752,LOT_KEY,0))))</f>
        <v/>
      </c>
      <c r="M752" s="73" t="n">
        <f aca="false">IF(OR(SOUS_TRAITANCE!$R152=0,SOUS_TRAITANCE!$D152&lt;&gt;"STOCK EXISTANT"),0,-SOUS_TRAITANCE!$G152)</f>
        <v>0</v>
      </c>
      <c r="N752" s="73" t="n">
        <f aca="false">IF($M752=0,0,SOUS_TRAITANCE!$Y152*$M752)</f>
        <v>0</v>
      </c>
      <c r="O752" s="26" t="str">
        <f aca="false">IF($M752=0,"",SOUS_TRAITANCE!$X152)</f>
        <v/>
      </c>
      <c r="P752" s="26" t="str">
        <f aca="false">IF($G752="","",IF($G752=R_LOT,COUNTIF($G$5:$G752,R_LOT),""))</f>
        <v/>
      </c>
    </row>
    <row r="753" customFormat="false" ht="15" hidden="false" customHeight="false" outlineLevel="0" collapsed="false">
      <c r="A753" s="28" t="str">
        <f aca="false">IF($M753=0,"",ROW()-4)</f>
        <v/>
      </c>
      <c r="B753" s="26" t="str">
        <f aca="false">IF($M753=0,"","SOUS-TRAITANCE")</f>
        <v/>
      </c>
      <c r="C753" s="26" t="str">
        <f aca="false">IF($M753=0,"",SOUS_TRAITANCE!$A153)</f>
        <v/>
      </c>
      <c r="D753" s="31" t="str">
        <f aca="false">IF($M753=0,"",SOUS_TRAITANCE!$B153)</f>
        <v/>
      </c>
      <c r="E753" s="26" t="str">
        <f aca="false">IF($M753=0,"","SORTIE")</f>
        <v/>
      </c>
      <c r="F753" s="26" t="str">
        <f aca="false">IF($M753=0,"","ENVOI SOUS-TRAITANCE")</f>
        <v/>
      </c>
      <c r="G753" s="26" t="str">
        <f aca="false">IF($M753=0,"",SOUS_TRAITANCE!$E153)</f>
        <v/>
      </c>
      <c r="H753" s="26" t="str">
        <f aca="false">IF($G753="","",IFERROR(INDEX(LOT_EXTE,MATCH($G753,LOT_KEY,0)),""))</f>
        <v/>
      </c>
      <c r="I753" s="26" t="str">
        <f aca="false">IF($M753=0,"",SOUS_TRAITANCE!$F153)</f>
        <v/>
      </c>
      <c r="J753" s="26" t="str">
        <f aca="false">IF($I753="","",IFERROR(INDEX(EMPL_CLASSE,MATCH($I753,EMPL_KEY,0)),""))</f>
        <v/>
      </c>
      <c r="K753" s="26" t="str">
        <f aca="false">IF($M753=0,"",SOUS_TRAITANCE!$P153)</f>
        <v/>
      </c>
      <c r="L753" s="26" t="str">
        <f aca="false">IF($G753="","",IF(IFERROR(INDEX(LOT_ETAT,MATCH($G753,LOT_KEY,0)),"")="","",INDEX(LOT_ETAT,MATCH($G753,LOT_KEY,0))))</f>
        <v/>
      </c>
      <c r="M753" s="73" t="n">
        <f aca="false">IF(OR(SOUS_TRAITANCE!$R153=0,SOUS_TRAITANCE!$D153&lt;&gt;"STOCK EXISTANT"),0,-SOUS_TRAITANCE!$G153)</f>
        <v>0</v>
      </c>
      <c r="N753" s="73" t="n">
        <f aca="false">IF($M753=0,0,SOUS_TRAITANCE!$Y153*$M753)</f>
        <v>0</v>
      </c>
      <c r="O753" s="26" t="str">
        <f aca="false">IF($M753=0,"",SOUS_TRAITANCE!$X153)</f>
        <v/>
      </c>
      <c r="P753" s="26" t="str">
        <f aca="false">IF($G753="","",IF($G753=R_LOT,COUNTIF($G$5:$G753,R_LOT),""))</f>
        <v/>
      </c>
    </row>
    <row r="754" customFormat="false" ht="15" hidden="false" customHeight="false" outlineLevel="0" collapsed="false">
      <c r="A754" s="28" t="str">
        <f aca="false">IF($M754=0,"",ROW()-4)</f>
        <v/>
      </c>
      <c r="B754" s="26" t="str">
        <f aca="false">IF($M754=0,"","SOUS-TRAITANCE")</f>
        <v/>
      </c>
      <c r="C754" s="26" t="str">
        <f aca="false">IF($M754=0,"",SOUS_TRAITANCE!$A154)</f>
        <v/>
      </c>
      <c r="D754" s="31" t="str">
        <f aca="false">IF($M754=0,"",SOUS_TRAITANCE!$B154)</f>
        <v/>
      </c>
      <c r="E754" s="26" t="str">
        <f aca="false">IF($M754=0,"","SORTIE")</f>
        <v/>
      </c>
      <c r="F754" s="26" t="str">
        <f aca="false">IF($M754=0,"","ENVOI SOUS-TRAITANCE")</f>
        <v/>
      </c>
      <c r="G754" s="26" t="str">
        <f aca="false">IF($M754=0,"",SOUS_TRAITANCE!$E154)</f>
        <v/>
      </c>
      <c r="H754" s="26" t="str">
        <f aca="false">IF($G754="","",IFERROR(INDEX(LOT_EXTE,MATCH($G754,LOT_KEY,0)),""))</f>
        <v/>
      </c>
      <c r="I754" s="26" t="str">
        <f aca="false">IF($M754=0,"",SOUS_TRAITANCE!$F154)</f>
        <v/>
      </c>
      <c r="J754" s="26" t="str">
        <f aca="false">IF($I754="","",IFERROR(INDEX(EMPL_CLASSE,MATCH($I754,EMPL_KEY,0)),""))</f>
        <v/>
      </c>
      <c r="K754" s="26" t="str">
        <f aca="false">IF($M754=0,"",SOUS_TRAITANCE!$P154)</f>
        <v/>
      </c>
      <c r="L754" s="26" t="str">
        <f aca="false">IF($G754="","",IF(IFERROR(INDEX(LOT_ETAT,MATCH($G754,LOT_KEY,0)),"")="","",INDEX(LOT_ETAT,MATCH($G754,LOT_KEY,0))))</f>
        <v/>
      </c>
      <c r="M754" s="73" t="n">
        <f aca="false">IF(OR(SOUS_TRAITANCE!$R154=0,SOUS_TRAITANCE!$D154&lt;&gt;"STOCK EXISTANT"),0,-SOUS_TRAITANCE!$G154)</f>
        <v>0</v>
      </c>
      <c r="N754" s="73" t="n">
        <f aca="false">IF($M754=0,0,SOUS_TRAITANCE!$Y154*$M754)</f>
        <v>0</v>
      </c>
      <c r="O754" s="26" t="str">
        <f aca="false">IF($M754=0,"",SOUS_TRAITANCE!$X154)</f>
        <v/>
      </c>
      <c r="P754" s="26" t="str">
        <f aca="false">IF($G754="","",IF($G754=R_LOT,COUNTIF($G$5:$G754,R_LOT),""))</f>
        <v/>
      </c>
    </row>
    <row r="755" customFormat="false" ht="15" hidden="false" customHeight="false" outlineLevel="0" collapsed="false">
      <c r="A755" s="28" t="n">
        <f aca="false">IF($M755=0,"",ROW()-4)</f>
        <v>751</v>
      </c>
      <c r="B755" s="26" t="str">
        <f aca="false">IF($M755=0,"","RESULTAT ST")</f>
        <v>RESULTAT ST</v>
      </c>
      <c r="C755" s="26" t="str">
        <f aca="false">IF($M755=0,"",ST_RESULTATS!$A5)</f>
        <v>RES-001</v>
      </c>
      <c r="D755" s="31" t="n">
        <f aca="false">IF($M755=0,"",ST_RESULTATS!$W5)</f>
        <v>46248</v>
      </c>
      <c r="E755" s="26" t="str">
        <f aca="false">IF($M755=0,"","ENTREE")</f>
        <v>ENTREE</v>
      </c>
      <c r="F755" s="26" t="str">
        <f aca="false">IF($M755=0,"","RETOUR SOUS-TRAITANCE")</f>
        <v>RETOUR SOUS-TRAITANCE</v>
      </c>
      <c r="G755" s="26" t="str">
        <f aca="false">IF($M755=0,"",ST_RESULTATS!$N5)</f>
        <v>255-HG</v>
      </c>
      <c r="H755" s="26" t="str">
        <f aca="false">IF($G755="","",IFERROR(INDEX(LOT_EXTE,MATCH($G755,LOT_KEY,0)),""))</f>
        <v>L-EXT-255</v>
      </c>
      <c r="I755" s="26" t="str">
        <f aca="false">IF($M755=0,"",ST_RESULTATS!$J5)</f>
        <v>OCEAMIC 2</v>
      </c>
      <c r="J755" s="26" t="str">
        <f aca="false">IF($I755="","",IFERROR(INDEX(EMPL_CLASSE,MATCH($I755,EMPL_KEY,0)),""))</f>
        <v>INTERNE</v>
      </c>
      <c r="K755" s="26" t="str">
        <f aca="false">IF($M755=0,"",IFERROR(INDEX(LOT_PRODE,MATCH($G755,LOT_KEY,0)),""))</f>
        <v>Sardine</v>
      </c>
      <c r="L755" s="26" t="str">
        <f aca="false">IF($G755="","",IF(IFERROR(INDEX(LOT_ETAT,MATCH($G755,LOT_KEY,0)),"")="","",INDEX(LOT_ETAT,MATCH($G755,LOT_KEY,0))))</f>
        <v>HG</v>
      </c>
      <c r="M755" s="73" t="n">
        <f aca="false">IF(ST_RESULTATS!$Q5=0,0,ST_RESULTATS!$F5)</f>
        <v>300</v>
      </c>
      <c r="N755" s="73" t="n">
        <f aca="false">IF($M755=0,0,ST_RESULTATS!$U5*$M755)</f>
        <v>300</v>
      </c>
      <c r="O755" s="26" t="str">
        <f aca="false">IF($M755=0,"",ST_RESULTATS!$T5)</f>
        <v>OK</v>
      </c>
      <c r="P755" s="26" t="str">
        <f aca="false">IF($G755="","",IF($G755=R_LOT,COUNTIF($G$5:$G755,R_LOT),""))</f>
        <v/>
      </c>
    </row>
    <row r="756" customFormat="false" ht="15" hidden="false" customHeight="false" outlineLevel="0" collapsed="false">
      <c r="A756" s="28" t="n">
        <f aca="false">IF($M756=0,"",ROW()-4)</f>
        <v>752</v>
      </c>
      <c r="B756" s="26" t="str">
        <f aca="false">IF($M756=0,"","RESULTAT ST")</f>
        <v>RESULTAT ST</v>
      </c>
      <c r="C756" s="26" t="str">
        <f aca="false">IF($M756=0,"",ST_RESULTATS!$A6)</f>
        <v>RES-002</v>
      </c>
      <c r="D756" s="31" t="n">
        <f aca="false">IF($M756=0,"",ST_RESULTATS!$W6)</f>
        <v>46248</v>
      </c>
      <c r="E756" s="26" t="str">
        <f aca="false">IF($M756=0,"","ENTREE")</f>
        <v>ENTREE</v>
      </c>
      <c r="F756" s="26" t="str">
        <f aca="false">IF($M756=0,"","RETOUR SOUS-TRAITANCE")</f>
        <v>RETOUR SOUS-TRAITANCE</v>
      </c>
      <c r="G756" s="26" t="str">
        <f aca="false">IF($M756=0,"",ST_RESULTATS!$N6)</f>
        <v>255-HGT</v>
      </c>
      <c r="H756" s="26" t="str">
        <f aca="false">IF($G756="","",IFERROR(INDEX(LOT_EXTE,MATCH($G756,LOT_KEY,0)),""))</f>
        <v>L-EXT-255</v>
      </c>
      <c r="I756" s="26" t="str">
        <f aca="false">IF($M756=0,"",ST_RESULTATS!$J6)</f>
        <v>COFRIGOP</v>
      </c>
      <c r="J756" s="26" t="str">
        <f aca="false">IF($I756="","",IFERROR(INDEX(EMPL_CLASSE,MATCH($I756,EMPL_KEY,0)),""))</f>
        <v>EXTERNE</v>
      </c>
      <c r="K756" s="26" t="str">
        <f aca="false">IF($M756=0,"",IFERROR(INDEX(LOT_PRODE,MATCH($G756,LOT_KEY,0)),""))</f>
        <v>Sardine</v>
      </c>
      <c r="L756" s="26" t="str">
        <f aca="false">IF($G756="","",IF(IFERROR(INDEX(LOT_ETAT,MATCH($G756,LOT_KEY,0)),"")="","",INDEX(LOT_ETAT,MATCH($G756,LOT_KEY,0))))</f>
        <v>HGT</v>
      </c>
      <c r="M756" s="73" t="n">
        <f aca="false">IF(ST_RESULTATS!$Q6=0,0,ST_RESULTATS!$F6)</f>
        <v>150</v>
      </c>
      <c r="N756" s="73" t="n">
        <f aca="false">IF($M756=0,0,ST_RESULTATS!$U6*$M756)</f>
        <v>150</v>
      </c>
      <c r="O756" s="26" t="str">
        <f aca="false">IF($M756=0,"",ST_RESULTATS!$T6)</f>
        <v>OK</v>
      </c>
      <c r="P756" s="26" t="str">
        <f aca="false">IF($G756="","",IF($G756=R_LOT,COUNTIF($G$5:$G756,R_LOT),""))</f>
        <v/>
      </c>
    </row>
    <row r="757" customFormat="false" ht="15" hidden="false" customHeight="false" outlineLevel="0" collapsed="false">
      <c r="A757" s="28" t="n">
        <f aca="false">IF($M757=0,"",ROW()-4)</f>
        <v>753</v>
      </c>
      <c r="B757" s="26" t="str">
        <f aca="false">IF($M757=0,"","RESULTAT ST")</f>
        <v>RESULTAT ST</v>
      </c>
      <c r="C757" s="26" t="str">
        <f aca="false">IF($M757=0,"",ST_RESULTATS!$A7)</f>
        <v>RES-003</v>
      </c>
      <c r="D757" s="31" t="n">
        <f aca="false">IF($M757=0,"",ST_RESULTATS!$W7)</f>
        <v>46247</v>
      </c>
      <c r="E757" s="26" t="str">
        <f aca="false">IF($M757=0,"","ENTREE")</f>
        <v>ENTREE</v>
      </c>
      <c r="F757" s="26" t="str">
        <f aca="false">IF($M757=0,"","RETOUR SOUS-TRAITANCE")</f>
        <v>RETOUR SOUS-TRAITANCE</v>
      </c>
      <c r="G757" s="26" t="str">
        <f aca="false">IF($M757=0,"",ST_RESULTATS!$N7)</f>
        <v>300-FIL</v>
      </c>
      <c r="H757" s="26" t="str">
        <f aca="false">IF($G757="","",IFERROR(INDEX(LOT_EXTE,MATCH($G757,LOT_KEY,0)),""))</f>
        <v>L-EXT-300</v>
      </c>
      <c r="I757" s="26" t="str">
        <f aca="false">IF($M757=0,"",ST_RESULTATS!$J7)</f>
        <v>OCEAMIC 2</v>
      </c>
      <c r="J757" s="26" t="str">
        <f aca="false">IF($I757="","",IFERROR(INDEX(EMPL_CLASSE,MATCH($I757,EMPL_KEY,0)),""))</f>
        <v>INTERNE</v>
      </c>
      <c r="K757" s="26" t="str">
        <f aca="false">IF($M757=0,"",IFERROR(INDEX(LOT_PRODE,MATCH($G757,LOT_KEY,0)),""))</f>
        <v>Anchois</v>
      </c>
      <c r="L757" s="26" t="str">
        <f aca="false">IF($G757="","",IF(IFERROR(INDEX(LOT_ETAT,MATCH($G757,LOT_KEY,0)),"")="","",INDEX(LOT_ETAT,MATCH($G757,LOT_KEY,0))))</f>
        <v>FILET</v>
      </c>
      <c r="M757" s="73" t="n">
        <f aca="false">IF(ST_RESULTATS!$Q7=0,0,ST_RESULTATS!$F7)</f>
        <v>590</v>
      </c>
      <c r="N757" s="73" t="n">
        <f aca="false">IF($M757=0,0,ST_RESULTATS!$U7*$M757)</f>
        <v>590</v>
      </c>
      <c r="O757" s="26" t="str">
        <f aca="false">IF($M757=0,"",ST_RESULTATS!$T7)</f>
        <v>OK</v>
      </c>
      <c r="P757" s="26" t="str">
        <f aca="false">IF($G757="","",IF($G757=R_LOT,COUNTIF($G$5:$G757,R_LOT),""))</f>
        <v/>
      </c>
    </row>
    <row r="758" customFormat="false" ht="15" hidden="false" customHeight="false" outlineLevel="0" collapsed="false">
      <c r="A758" s="28" t="str">
        <f aca="false">IF($M758=0,"",ROW()-4)</f>
        <v/>
      </c>
      <c r="B758" s="26" t="str">
        <f aca="false">IF($M758=0,"","RESULTAT ST")</f>
        <v/>
      </c>
      <c r="C758" s="26" t="str">
        <f aca="false">IF($M758=0,"",ST_RESULTATS!$A8)</f>
        <v/>
      </c>
      <c r="D758" s="31" t="str">
        <f aca="false">IF($M758=0,"",ST_RESULTATS!$W8)</f>
        <v/>
      </c>
      <c r="E758" s="26" t="str">
        <f aca="false">IF($M758=0,"","ENTREE")</f>
        <v/>
      </c>
      <c r="F758" s="26" t="str">
        <f aca="false">IF($M758=0,"","RETOUR SOUS-TRAITANCE")</f>
        <v/>
      </c>
      <c r="G758" s="26" t="str">
        <f aca="false">IF($M758=0,"",ST_RESULTATS!$N8)</f>
        <v/>
      </c>
      <c r="H758" s="26" t="str">
        <f aca="false">IF($G758="","",IFERROR(INDEX(LOT_EXTE,MATCH($G758,LOT_KEY,0)),""))</f>
        <v/>
      </c>
      <c r="I758" s="26" t="str">
        <f aca="false">IF($M758=0,"",ST_RESULTATS!$J8)</f>
        <v/>
      </c>
      <c r="J758" s="26" t="str">
        <f aca="false">IF($I758="","",IFERROR(INDEX(EMPL_CLASSE,MATCH($I758,EMPL_KEY,0)),""))</f>
        <v/>
      </c>
      <c r="K758" s="26" t="str">
        <f aca="false">IF($M758=0,"",IFERROR(INDEX(LOT_PRODE,MATCH($G758,LOT_KEY,0)),""))</f>
        <v/>
      </c>
      <c r="L758" s="26" t="str">
        <f aca="false">IF($G758="","",IF(IFERROR(INDEX(LOT_ETAT,MATCH($G758,LOT_KEY,0)),"")="","",INDEX(LOT_ETAT,MATCH($G758,LOT_KEY,0))))</f>
        <v/>
      </c>
      <c r="M758" s="73" t="n">
        <f aca="false">IF(ST_RESULTATS!$Q8=0,0,ST_RESULTATS!$F8)</f>
        <v>0</v>
      </c>
      <c r="N758" s="73" t="n">
        <f aca="false">IF($M758=0,0,ST_RESULTATS!$U8*$M758)</f>
        <v>0</v>
      </c>
      <c r="O758" s="26" t="str">
        <f aca="false">IF($M758=0,"",ST_RESULTATS!$T8)</f>
        <v/>
      </c>
      <c r="P758" s="26" t="str">
        <f aca="false">IF($G758="","",IF($G758=R_LOT,COUNTIF($G$5:$G758,R_LOT),""))</f>
        <v/>
      </c>
    </row>
    <row r="759" customFormat="false" ht="15" hidden="false" customHeight="false" outlineLevel="0" collapsed="false">
      <c r="A759" s="28" t="str">
        <f aca="false">IF($M759=0,"",ROW()-4)</f>
        <v/>
      </c>
      <c r="B759" s="26" t="str">
        <f aca="false">IF($M759=0,"","RESULTAT ST")</f>
        <v/>
      </c>
      <c r="C759" s="26" t="str">
        <f aca="false">IF($M759=0,"",ST_RESULTATS!$A9)</f>
        <v/>
      </c>
      <c r="D759" s="31" t="str">
        <f aca="false">IF($M759=0,"",ST_RESULTATS!$W9)</f>
        <v/>
      </c>
      <c r="E759" s="26" t="str">
        <f aca="false">IF($M759=0,"","ENTREE")</f>
        <v/>
      </c>
      <c r="F759" s="26" t="str">
        <f aca="false">IF($M759=0,"","RETOUR SOUS-TRAITANCE")</f>
        <v/>
      </c>
      <c r="G759" s="26" t="str">
        <f aca="false">IF($M759=0,"",ST_RESULTATS!$N9)</f>
        <v/>
      </c>
      <c r="H759" s="26" t="str">
        <f aca="false">IF($G759="","",IFERROR(INDEX(LOT_EXTE,MATCH($G759,LOT_KEY,0)),""))</f>
        <v/>
      </c>
      <c r="I759" s="26" t="str">
        <f aca="false">IF($M759=0,"",ST_RESULTATS!$J9)</f>
        <v/>
      </c>
      <c r="J759" s="26" t="str">
        <f aca="false">IF($I759="","",IFERROR(INDEX(EMPL_CLASSE,MATCH($I759,EMPL_KEY,0)),""))</f>
        <v/>
      </c>
      <c r="K759" s="26" t="str">
        <f aca="false">IF($M759=0,"",IFERROR(INDEX(LOT_PRODE,MATCH($G759,LOT_KEY,0)),""))</f>
        <v/>
      </c>
      <c r="L759" s="26" t="str">
        <f aca="false">IF($G759="","",IF(IFERROR(INDEX(LOT_ETAT,MATCH($G759,LOT_KEY,0)),"")="","",INDEX(LOT_ETAT,MATCH($G759,LOT_KEY,0))))</f>
        <v/>
      </c>
      <c r="M759" s="73" t="n">
        <f aca="false">IF(ST_RESULTATS!$Q9=0,0,ST_RESULTATS!$F9)</f>
        <v>0</v>
      </c>
      <c r="N759" s="73" t="n">
        <f aca="false">IF($M759=0,0,ST_RESULTATS!$U9*$M759)</f>
        <v>0</v>
      </c>
      <c r="O759" s="26" t="str">
        <f aca="false">IF($M759=0,"",ST_RESULTATS!$T9)</f>
        <v/>
      </c>
      <c r="P759" s="26" t="str">
        <f aca="false">IF($G759="","",IF($G759=R_LOT,COUNTIF($G$5:$G759,R_LOT),""))</f>
        <v/>
      </c>
    </row>
    <row r="760" customFormat="false" ht="15" hidden="false" customHeight="false" outlineLevel="0" collapsed="false">
      <c r="A760" s="28" t="str">
        <f aca="false">IF($M760=0,"",ROW()-4)</f>
        <v/>
      </c>
      <c r="B760" s="26" t="str">
        <f aca="false">IF($M760=0,"","RESULTAT ST")</f>
        <v/>
      </c>
      <c r="C760" s="26" t="str">
        <f aca="false">IF($M760=0,"",ST_RESULTATS!$A10)</f>
        <v/>
      </c>
      <c r="D760" s="31" t="str">
        <f aca="false">IF($M760=0,"",ST_RESULTATS!$W10)</f>
        <v/>
      </c>
      <c r="E760" s="26" t="str">
        <f aca="false">IF($M760=0,"","ENTREE")</f>
        <v/>
      </c>
      <c r="F760" s="26" t="str">
        <f aca="false">IF($M760=0,"","RETOUR SOUS-TRAITANCE")</f>
        <v/>
      </c>
      <c r="G760" s="26" t="str">
        <f aca="false">IF($M760=0,"",ST_RESULTATS!$N10)</f>
        <v/>
      </c>
      <c r="H760" s="26" t="str">
        <f aca="false">IF($G760="","",IFERROR(INDEX(LOT_EXTE,MATCH($G760,LOT_KEY,0)),""))</f>
        <v/>
      </c>
      <c r="I760" s="26" t="str">
        <f aca="false">IF($M760=0,"",ST_RESULTATS!$J10)</f>
        <v/>
      </c>
      <c r="J760" s="26" t="str">
        <f aca="false">IF($I760="","",IFERROR(INDEX(EMPL_CLASSE,MATCH($I760,EMPL_KEY,0)),""))</f>
        <v/>
      </c>
      <c r="K760" s="26" t="str">
        <f aca="false">IF($M760=0,"",IFERROR(INDEX(LOT_PRODE,MATCH($G760,LOT_KEY,0)),""))</f>
        <v/>
      </c>
      <c r="L760" s="26" t="str">
        <f aca="false">IF($G760="","",IF(IFERROR(INDEX(LOT_ETAT,MATCH($G760,LOT_KEY,0)),"")="","",INDEX(LOT_ETAT,MATCH($G760,LOT_KEY,0))))</f>
        <v/>
      </c>
      <c r="M760" s="73" t="n">
        <f aca="false">IF(ST_RESULTATS!$Q10=0,0,ST_RESULTATS!$F10)</f>
        <v>0</v>
      </c>
      <c r="N760" s="73" t="n">
        <f aca="false">IF($M760=0,0,ST_RESULTATS!$U10*$M760)</f>
        <v>0</v>
      </c>
      <c r="O760" s="26" t="str">
        <f aca="false">IF($M760=0,"",ST_RESULTATS!$T10)</f>
        <v/>
      </c>
      <c r="P760" s="26" t="str">
        <f aca="false">IF($G760="","",IF($G760=R_LOT,COUNTIF($G$5:$G760,R_LOT),""))</f>
        <v/>
      </c>
    </row>
    <row r="761" customFormat="false" ht="15" hidden="false" customHeight="false" outlineLevel="0" collapsed="false">
      <c r="A761" s="28" t="str">
        <f aca="false">IF($M761=0,"",ROW()-4)</f>
        <v/>
      </c>
      <c r="B761" s="26" t="str">
        <f aca="false">IF($M761=0,"","RESULTAT ST")</f>
        <v/>
      </c>
      <c r="C761" s="26" t="str">
        <f aca="false">IF($M761=0,"",ST_RESULTATS!$A11)</f>
        <v/>
      </c>
      <c r="D761" s="31" t="str">
        <f aca="false">IF($M761=0,"",ST_RESULTATS!$W11)</f>
        <v/>
      </c>
      <c r="E761" s="26" t="str">
        <f aca="false">IF($M761=0,"","ENTREE")</f>
        <v/>
      </c>
      <c r="F761" s="26" t="str">
        <f aca="false">IF($M761=0,"","RETOUR SOUS-TRAITANCE")</f>
        <v/>
      </c>
      <c r="G761" s="26" t="str">
        <f aca="false">IF($M761=0,"",ST_RESULTATS!$N11)</f>
        <v/>
      </c>
      <c r="H761" s="26" t="str">
        <f aca="false">IF($G761="","",IFERROR(INDEX(LOT_EXTE,MATCH($G761,LOT_KEY,0)),""))</f>
        <v/>
      </c>
      <c r="I761" s="26" t="str">
        <f aca="false">IF($M761=0,"",ST_RESULTATS!$J11)</f>
        <v/>
      </c>
      <c r="J761" s="26" t="str">
        <f aca="false">IF($I761="","",IFERROR(INDEX(EMPL_CLASSE,MATCH($I761,EMPL_KEY,0)),""))</f>
        <v/>
      </c>
      <c r="K761" s="26" t="str">
        <f aca="false">IF($M761=0,"",IFERROR(INDEX(LOT_PRODE,MATCH($G761,LOT_KEY,0)),""))</f>
        <v/>
      </c>
      <c r="L761" s="26" t="str">
        <f aca="false">IF($G761="","",IF(IFERROR(INDEX(LOT_ETAT,MATCH($G761,LOT_KEY,0)),"")="","",INDEX(LOT_ETAT,MATCH($G761,LOT_KEY,0))))</f>
        <v/>
      </c>
      <c r="M761" s="73" t="n">
        <f aca="false">IF(ST_RESULTATS!$Q11=0,0,ST_RESULTATS!$F11)</f>
        <v>0</v>
      </c>
      <c r="N761" s="73" t="n">
        <f aca="false">IF($M761=0,0,ST_RESULTATS!$U11*$M761)</f>
        <v>0</v>
      </c>
      <c r="O761" s="26" t="str">
        <f aca="false">IF($M761=0,"",ST_RESULTATS!$T11)</f>
        <v/>
      </c>
      <c r="P761" s="26" t="str">
        <f aca="false">IF($G761="","",IF($G761=R_LOT,COUNTIF($G$5:$G761,R_LOT),""))</f>
        <v/>
      </c>
    </row>
    <row r="762" customFormat="false" ht="15" hidden="false" customHeight="false" outlineLevel="0" collapsed="false">
      <c r="A762" s="28" t="str">
        <f aca="false">IF($M762=0,"",ROW()-4)</f>
        <v/>
      </c>
      <c r="B762" s="26" t="str">
        <f aca="false">IF($M762=0,"","RESULTAT ST")</f>
        <v/>
      </c>
      <c r="C762" s="26" t="str">
        <f aca="false">IF($M762=0,"",ST_RESULTATS!$A12)</f>
        <v/>
      </c>
      <c r="D762" s="31" t="str">
        <f aca="false">IF($M762=0,"",ST_RESULTATS!$W12)</f>
        <v/>
      </c>
      <c r="E762" s="26" t="str">
        <f aca="false">IF($M762=0,"","ENTREE")</f>
        <v/>
      </c>
      <c r="F762" s="26" t="str">
        <f aca="false">IF($M762=0,"","RETOUR SOUS-TRAITANCE")</f>
        <v/>
      </c>
      <c r="G762" s="26" t="str">
        <f aca="false">IF($M762=0,"",ST_RESULTATS!$N12)</f>
        <v/>
      </c>
      <c r="H762" s="26" t="str">
        <f aca="false">IF($G762="","",IFERROR(INDEX(LOT_EXTE,MATCH($G762,LOT_KEY,0)),""))</f>
        <v/>
      </c>
      <c r="I762" s="26" t="str">
        <f aca="false">IF($M762=0,"",ST_RESULTATS!$J12)</f>
        <v/>
      </c>
      <c r="J762" s="26" t="str">
        <f aca="false">IF($I762="","",IFERROR(INDEX(EMPL_CLASSE,MATCH($I762,EMPL_KEY,0)),""))</f>
        <v/>
      </c>
      <c r="K762" s="26" t="str">
        <f aca="false">IF($M762=0,"",IFERROR(INDEX(LOT_PRODE,MATCH($G762,LOT_KEY,0)),""))</f>
        <v/>
      </c>
      <c r="L762" s="26" t="str">
        <f aca="false">IF($G762="","",IF(IFERROR(INDEX(LOT_ETAT,MATCH($G762,LOT_KEY,0)),"")="","",INDEX(LOT_ETAT,MATCH($G762,LOT_KEY,0))))</f>
        <v/>
      </c>
      <c r="M762" s="73" t="n">
        <f aca="false">IF(ST_RESULTATS!$Q12=0,0,ST_RESULTATS!$F12)</f>
        <v>0</v>
      </c>
      <c r="N762" s="73" t="n">
        <f aca="false">IF($M762=0,0,ST_RESULTATS!$U12*$M762)</f>
        <v>0</v>
      </c>
      <c r="O762" s="26" t="str">
        <f aca="false">IF($M762=0,"",ST_RESULTATS!$T12)</f>
        <v/>
      </c>
      <c r="P762" s="26" t="str">
        <f aca="false">IF($G762="","",IF($G762=R_LOT,COUNTIF($G$5:$G762,R_LOT),""))</f>
        <v/>
      </c>
    </row>
    <row r="763" customFormat="false" ht="15" hidden="false" customHeight="false" outlineLevel="0" collapsed="false">
      <c r="A763" s="28" t="str">
        <f aca="false">IF($M763=0,"",ROW()-4)</f>
        <v/>
      </c>
      <c r="B763" s="26" t="str">
        <f aca="false">IF($M763=0,"","RESULTAT ST")</f>
        <v/>
      </c>
      <c r="C763" s="26" t="str">
        <f aca="false">IF($M763=0,"",ST_RESULTATS!$A13)</f>
        <v/>
      </c>
      <c r="D763" s="31" t="str">
        <f aca="false">IF($M763=0,"",ST_RESULTATS!$W13)</f>
        <v/>
      </c>
      <c r="E763" s="26" t="str">
        <f aca="false">IF($M763=0,"","ENTREE")</f>
        <v/>
      </c>
      <c r="F763" s="26" t="str">
        <f aca="false">IF($M763=0,"","RETOUR SOUS-TRAITANCE")</f>
        <v/>
      </c>
      <c r="G763" s="26" t="str">
        <f aca="false">IF($M763=0,"",ST_RESULTATS!$N13)</f>
        <v/>
      </c>
      <c r="H763" s="26" t="str">
        <f aca="false">IF($G763="","",IFERROR(INDEX(LOT_EXTE,MATCH($G763,LOT_KEY,0)),""))</f>
        <v/>
      </c>
      <c r="I763" s="26" t="str">
        <f aca="false">IF($M763=0,"",ST_RESULTATS!$J13)</f>
        <v/>
      </c>
      <c r="J763" s="26" t="str">
        <f aca="false">IF($I763="","",IFERROR(INDEX(EMPL_CLASSE,MATCH($I763,EMPL_KEY,0)),""))</f>
        <v/>
      </c>
      <c r="K763" s="26" t="str">
        <f aca="false">IF($M763=0,"",IFERROR(INDEX(LOT_PRODE,MATCH($G763,LOT_KEY,0)),""))</f>
        <v/>
      </c>
      <c r="L763" s="26" t="str">
        <f aca="false">IF($G763="","",IF(IFERROR(INDEX(LOT_ETAT,MATCH($G763,LOT_KEY,0)),"")="","",INDEX(LOT_ETAT,MATCH($G763,LOT_KEY,0))))</f>
        <v/>
      </c>
      <c r="M763" s="73" t="n">
        <f aca="false">IF(ST_RESULTATS!$Q13=0,0,ST_RESULTATS!$F13)</f>
        <v>0</v>
      </c>
      <c r="N763" s="73" t="n">
        <f aca="false">IF($M763=0,0,ST_RESULTATS!$U13*$M763)</f>
        <v>0</v>
      </c>
      <c r="O763" s="26" t="str">
        <f aca="false">IF($M763=0,"",ST_RESULTATS!$T13)</f>
        <v/>
      </c>
      <c r="P763" s="26" t="str">
        <f aca="false">IF($G763="","",IF($G763=R_LOT,COUNTIF($G$5:$G763,R_LOT),""))</f>
        <v/>
      </c>
    </row>
    <row r="764" customFormat="false" ht="15" hidden="false" customHeight="false" outlineLevel="0" collapsed="false">
      <c r="A764" s="28" t="str">
        <f aca="false">IF($M764=0,"",ROW()-4)</f>
        <v/>
      </c>
      <c r="B764" s="26" t="str">
        <f aca="false">IF($M764=0,"","RESULTAT ST")</f>
        <v/>
      </c>
      <c r="C764" s="26" t="str">
        <f aca="false">IF($M764=0,"",ST_RESULTATS!$A14)</f>
        <v/>
      </c>
      <c r="D764" s="31" t="str">
        <f aca="false">IF($M764=0,"",ST_RESULTATS!$W14)</f>
        <v/>
      </c>
      <c r="E764" s="26" t="str">
        <f aca="false">IF($M764=0,"","ENTREE")</f>
        <v/>
      </c>
      <c r="F764" s="26" t="str">
        <f aca="false">IF($M764=0,"","RETOUR SOUS-TRAITANCE")</f>
        <v/>
      </c>
      <c r="G764" s="26" t="str">
        <f aca="false">IF($M764=0,"",ST_RESULTATS!$N14)</f>
        <v/>
      </c>
      <c r="H764" s="26" t="str">
        <f aca="false">IF($G764="","",IFERROR(INDEX(LOT_EXTE,MATCH($G764,LOT_KEY,0)),""))</f>
        <v/>
      </c>
      <c r="I764" s="26" t="str">
        <f aca="false">IF($M764=0,"",ST_RESULTATS!$J14)</f>
        <v/>
      </c>
      <c r="J764" s="26" t="str">
        <f aca="false">IF($I764="","",IFERROR(INDEX(EMPL_CLASSE,MATCH($I764,EMPL_KEY,0)),""))</f>
        <v/>
      </c>
      <c r="K764" s="26" t="str">
        <f aca="false">IF($M764=0,"",IFERROR(INDEX(LOT_PRODE,MATCH($G764,LOT_KEY,0)),""))</f>
        <v/>
      </c>
      <c r="L764" s="26" t="str">
        <f aca="false">IF($G764="","",IF(IFERROR(INDEX(LOT_ETAT,MATCH($G764,LOT_KEY,0)),"")="","",INDEX(LOT_ETAT,MATCH($G764,LOT_KEY,0))))</f>
        <v/>
      </c>
      <c r="M764" s="73" t="n">
        <f aca="false">IF(ST_RESULTATS!$Q14=0,0,ST_RESULTATS!$F14)</f>
        <v>0</v>
      </c>
      <c r="N764" s="73" t="n">
        <f aca="false">IF($M764=0,0,ST_RESULTATS!$U14*$M764)</f>
        <v>0</v>
      </c>
      <c r="O764" s="26" t="str">
        <f aca="false">IF($M764=0,"",ST_RESULTATS!$T14)</f>
        <v/>
      </c>
      <c r="P764" s="26" t="str">
        <f aca="false">IF($G764="","",IF($G764=R_LOT,COUNTIF($G$5:$G764,R_LOT),""))</f>
        <v/>
      </c>
    </row>
    <row r="765" customFormat="false" ht="15" hidden="false" customHeight="false" outlineLevel="0" collapsed="false">
      <c r="A765" s="28" t="str">
        <f aca="false">IF($M765=0,"",ROW()-4)</f>
        <v/>
      </c>
      <c r="B765" s="26" t="str">
        <f aca="false">IF($M765=0,"","RESULTAT ST")</f>
        <v/>
      </c>
      <c r="C765" s="26" t="str">
        <f aca="false">IF($M765=0,"",ST_RESULTATS!$A15)</f>
        <v/>
      </c>
      <c r="D765" s="31" t="str">
        <f aca="false">IF($M765=0,"",ST_RESULTATS!$W15)</f>
        <v/>
      </c>
      <c r="E765" s="26" t="str">
        <f aca="false">IF($M765=0,"","ENTREE")</f>
        <v/>
      </c>
      <c r="F765" s="26" t="str">
        <f aca="false">IF($M765=0,"","RETOUR SOUS-TRAITANCE")</f>
        <v/>
      </c>
      <c r="G765" s="26" t="str">
        <f aca="false">IF($M765=0,"",ST_RESULTATS!$N15)</f>
        <v/>
      </c>
      <c r="H765" s="26" t="str">
        <f aca="false">IF($G765="","",IFERROR(INDEX(LOT_EXTE,MATCH($G765,LOT_KEY,0)),""))</f>
        <v/>
      </c>
      <c r="I765" s="26" t="str">
        <f aca="false">IF($M765=0,"",ST_RESULTATS!$J15)</f>
        <v/>
      </c>
      <c r="J765" s="26" t="str">
        <f aca="false">IF($I765="","",IFERROR(INDEX(EMPL_CLASSE,MATCH($I765,EMPL_KEY,0)),""))</f>
        <v/>
      </c>
      <c r="K765" s="26" t="str">
        <f aca="false">IF($M765=0,"",IFERROR(INDEX(LOT_PRODE,MATCH($G765,LOT_KEY,0)),""))</f>
        <v/>
      </c>
      <c r="L765" s="26" t="str">
        <f aca="false">IF($G765="","",IF(IFERROR(INDEX(LOT_ETAT,MATCH($G765,LOT_KEY,0)),"")="","",INDEX(LOT_ETAT,MATCH($G765,LOT_KEY,0))))</f>
        <v/>
      </c>
      <c r="M765" s="73" t="n">
        <f aca="false">IF(ST_RESULTATS!$Q15=0,0,ST_RESULTATS!$F15)</f>
        <v>0</v>
      </c>
      <c r="N765" s="73" t="n">
        <f aca="false">IF($M765=0,0,ST_RESULTATS!$U15*$M765)</f>
        <v>0</v>
      </c>
      <c r="O765" s="26" t="str">
        <f aca="false">IF($M765=0,"",ST_RESULTATS!$T15)</f>
        <v/>
      </c>
      <c r="P765" s="26" t="str">
        <f aca="false">IF($G765="","",IF($G765=R_LOT,COUNTIF($G$5:$G765,R_LOT),""))</f>
        <v/>
      </c>
    </row>
    <row r="766" customFormat="false" ht="15" hidden="false" customHeight="false" outlineLevel="0" collapsed="false">
      <c r="A766" s="28" t="str">
        <f aca="false">IF($M766=0,"",ROW()-4)</f>
        <v/>
      </c>
      <c r="B766" s="26" t="str">
        <f aca="false">IF($M766=0,"","RESULTAT ST")</f>
        <v/>
      </c>
      <c r="C766" s="26" t="str">
        <f aca="false">IF($M766=0,"",ST_RESULTATS!$A16)</f>
        <v/>
      </c>
      <c r="D766" s="31" t="str">
        <f aca="false">IF($M766=0,"",ST_RESULTATS!$W16)</f>
        <v/>
      </c>
      <c r="E766" s="26" t="str">
        <f aca="false">IF($M766=0,"","ENTREE")</f>
        <v/>
      </c>
      <c r="F766" s="26" t="str">
        <f aca="false">IF($M766=0,"","RETOUR SOUS-TRAITANCE")</f>
        <v/>
      </c>
      <c r="G766" s="26" t="str">
        <f aca="false">IF($M766=0,"",ST_RESULTATS!$N16)</f>
        <v/>
      </c>
      <c r="H766" s="26" t="str">
        <f aca="false">IF($G766="","",IFERROR(INDEX(LOT_EXTE,MATCH($G766,LOT_KEY,0)),""))</f>
        <v/>
      </c>
      <c r="I766" s="26" t="str">
        <f aca="false">IF($M766=0,"",ST_RESULTATS!$J16)</f>
        <v/>
      </c>
      <c r="J766" s="26" t="str">
        <f aca="false">IF($I766="","",IFERROR(INDEX(EMPL_CLASSE,MATCH($I766,EMPL_KEY,0)),""))</f>
        <v/>
      </c>
      <c r="K766" s="26" t="str">
        <f aca="false">IF($M766=0,"",IFERROR(INDEX(LOT_PRODE,MATCH($G766,LOT_KEY,0)),""))</f>
        <v/>
      </c>
      <c r="L766" s="26" t="str">
        <f aca="false">IF($G766="","",IF(IFERROR(INDEX(LOT_ETAT,MATCH($G766,LOT_KEY,0)),"")="","",INDEX(LOT_ETAT,MATCH($G766,LOT_KEY,0))))</f>
        <v/>
      </c>
      <c r="M766" s="73" t="n">
        <f aca="false">IF(ST_RESULTATS!$Q16=0,0,ST_RESULTATS!$F16)</f>
        <v>0</v>
      </c>
      <c r="N766" s="73" t="n">
        <f aca="false">IF($M766=0,0,ST_RESULTATS!$U16*$M766)</f>
        <v>0</v>
      </c>
      <c r="O766" s="26" t="str">
        <f aca="false">IF($M766=0,"",ST_RESULTATS!$T16)</f>
        <v/>
      </c>
      <c r="P766" s="26" t="str">
        <f aca="false">IF($G766="","",IF($G766=R_LOT,COUNTIF($G$5:$G766,R_LOT),""))</f>
        <v/>
      </c>
    </row>
    <row r="767" customFormat="false" ht="15" hidden="false" customHeight="false" outlineLevel="0" collapsed="false">
      <c r="A767" s="28" t="str">
        <f aca="false">IF($M767=0,"",ROW()-4)</f>
        <v/>
      </c>
      <c r="B767" s="26" t="str">
        <f aca="false">IF($M767=0,"","RESULTAT ST")</f>
        <v/>
      </c>
      <c r="C767" s="26" t="str">
        <f aca="false">IF($M767=0,"",ST_RESULTATS!$A17)</f>
        <v/>
      </c>
      <c r="D767" s="31" t="str">
        <f aca="false">IF($M767=0,"",ST_RESULTATS!$W17)</f>
        <v/>
      </c>
      <c r="E767" s="26" t="str">
        <f aca="false">IF($M767=0,"","ENTREE")</f>
        <v/>
      </c>
      <c r="F767" s="26" t="str">
        <f aca="false">IF($M767=0,"","RETOUR SOUS-TRAITANCE")</f>
        <v/>
      </c>
      <c r="G767" s="26" t="str">
        <f aca="false">IF($M767=0,"",ST_RESULTATS!$N17)</f>
        <v/>
      </c>
      <c r="H767" s="26" t="str">
        <f aca="false">IF($G767="","",IFERROR(INDEX(LOT_EXTE,MATCH($G767,LOT_KEY,0)),""))</f>
        <v/>
      </c>
      <c r="I767" s="26" t="str">
        <f aca="false">IF($M767=0,"",ST_RESULTATS!$J17)</f>
        <v/>
      </c>
      <c r="J767" s="26" t="str">
        <f aca="false">IF($I767="","",IFERROR(INDEX(EMPL_CLASSE,MATCH($I767,EMPL_KEY,0)),""))</f>
        <v/>
      </c>
      <c r="K767" s="26" t="str">
        <f aca="false">IF($M767=0,"",IFERROR(INDEX(LOT_PRODE,MATCH($G767,LOT_KEY,0)),""))</f>
        <v/>
      </c>
      <c r="L767" s="26" t="str">
        <f aca="false">IF($G767="","",IF(IFERROR(INDEX(LOT_ETAT,MATCH($G767,LOT_KEY,0)),"")="","",INDEX(LOT_ETAT,MATCH($G767,LOT_KEY,0))))</f>
        <v/>
      </c>
      <c r="M767" s="73" t="n">
        <f aca="false">IF(ST_RESULTATS!$Q17=0,0,ST_RESULTATS!$F17)</f>
        <v>0</v>
      </c>
      <c r="N767" s="73" t="n">
        <f aca="false">IF($M767=0,0,ST_RESULTATS!$U17*$M767)</f>
        <v>0</v>
      </c>
      <c r="O767" s="26" t="str">
        <f aca="false">IF($M767=0,"",ST_RESULTATS!$T17)</f>
        <v/>
      </c>
      <c r="P767" s="26" t="str">
        <f aca="false">IF($G767="","",IF($G767=R_LOT,COUNTIF($G$5:$G767,R_LOT),""))</f>
        <v/>
      </c>
    </row>
    <row r="768" customFormat="false" ht="15" hidden="false" customHeight="false" outlineLevel="0" collapsed="false">
      <c r="A768" s="28" t="str">
        <f aca="false">IF($M768=0,"",ROW()-4)</f>
        <v/>
      </c>
      <c r="B768" s="26" t="str">
        <f aca="false">IF($M768=0,"","RESULTAT ST")</f>
        <v/>
      </c>
      <c r="C768" s="26" t="str">
        <f aca="false">IF($M768=0,"",ST_RESULTATS!$A18)</f>
        <v/>
      </c>
      <c r="D768" s="31" t="str">
        <f aca="false">IF($M768=0,"",ST_RESULTATS!$W18)</f>
        <v/>
      </c>
      <c r="E768" s="26" t="str">
        <f aca="false">IF($M768=0,"","ENTREE")</f>
        <v/>
      </c>
      <c r="F768" s="26" t="str">
        <f aca="false">IF($M768=0,"","RETOUR SOUS-TRAITANCE")</f>
        <v/>
      </c>
      <c r="G768" s="26" t="str">
        <f aca="false">IF($M768=0,"",ST_RESULTATS!$N18)</f>
        <v/>
      </c>
      <c r="H768" s="26" t="str">
        <f aca="false">IF($G768="","",IFERROR(INDEX(LOT_EXTE,MATCH($G768,LOT_KEY,0)),""))</f>
        <v/>
      </c>
      <c r="I768" s="26" t="str">
        <f aca="false">IF($M768=0,"",ST_RESULTATS!$J18)</f>
        <v/>
      </c>
      <c r="J768" s="26" t="str">
        <f aca="false">IF($I768="","",IFERROR(INDEX(EMPL_CLASSE,MATCH($I768,EMPL_KEY,0)),""))</f>
        <v/>
      </c>
      <c r="K768" s="26" t="str">
        <f aca="false">IF($M768=0,"",IFERROR(INDEX(LOT_PRODE,MATCH($G768,LOT_KEY,0)),""))</f>
        <v/>
      </c>
      <c r="L768" s="26" t="str">
        <f aca="false">IF($G768="","",IF(IFERROR(INDEX(LOT_ETAT,MATCH($G768,LOT_KEY,0)),"")="","",INDEX(LOT_ETAT,MATCH($G768,LOT_KEY,0))))</f>
        <v/>
      </c>
      <c r="M768" s="73" t="n">
        <f aca="false">IF(ST_RESULTATS!$Q18=0,0,ST_RESULTATS!$F18)</f>
        <v>0</v>
      </c>
      <c r="N768" s="73" t="n">
        <f aca="false">IF($M768=0,0,ST_RESULTATS!$U18*$M768)</f>
        <v>0</v>
      </c>
      <c r="O768" s="26" t="str">
        <f aca="false">IF($M768=0,"",ST_RESULTATS!$T18)</f>
        <v/>
      </c>
      <c r="P768" s="26" t="str">
        <f aca="false">IF($G768="","",IF($G768=R_LOT,COUNTIF($G$5:$G768,R_LOT),""))</f>
        <v/>
      </c>
    </row>
    <row r="769" customFormat="false" ht="15" hidden="false" customHeight="false" outlineLevel="0" collapsed="false">
      <c r="A769" s="28" t="str">
        <f aca="false">IF($M769=0,"",ROW()-4)</f>
        <v/>
      </c>
      <c r="B769" s="26" t="str">
        <f aca="false">IF($M769=0,"","RESULTAT ST")</f>
        <v/>
      </c>
      <c r="C769" s="26" t="str">
        <f aca="false">IF($M769=0,"",ST_RESULTATS!$A19)</f>
        <v/>
      </c>
      <c r="D769" s="31" t="str">
        <f aca="false">IF($M769=0,"",ST_RESULTATS!$W19)</f>
        <v/>
      </c>
      <c r="E769" s="26" t="str">
        <f aca="false">IF($M769=0,"","ENTREE")</f>
        <v/>
      </c>
      <c r="F769" s="26" t="str">
        <f aca="false">IF($M769=0,"","RETOUR SOUS-TRAITANCE")</f>
        <v/>
      </c>
      <c r="G769" s="26" t="str">
        <f aca="false">IF($M769=0,"",ST_RESULTATS!$N19)</f>
        <v/>
      </c>
      <c r="H769" s="26" t="str">
        <f aca="false">IF($G769="","",IFERROR(INDEX(LOT_EXTE,MATCH($G769,LOT_KEY,0)),""))</f>
        <v/>
      </c>
      <c r="I769" s="26" t="str">
        <f aca="false">IF($M769=0,"",ST_RESULTATS!$J19)</f>
        <v/>
      </c>
      <c r="J769" s="26" t="str">
        <f aca="false">IF($I769="","",IFERROR(INDEX(EMPL_CLASSE,MATCH($I769,EMPL_KEY,0)),""))</f>
        <v/>
      </c>
      <c r="K769" s="26" t="str">
        <f aca="false">IF($M769=0,"",IFERROR(INDEX(LOT_PRODE,MATCH($G769,LOT_KEY,0)),""))</f>
        <v/>
      </c>
      <c r="L769" s="26" t="str">
        <f aca="false">IF($G769="","",IF(IFERROR(INDEX(LOT_ETAT,MATCH($G769,LOT_KEY,0)),"")="","",INDEX(LOT_ETAT,MATCH($G769,LOT_KEY,0))))</f>
        <v/>
      </c>
      <c r="M769" s="73" t="n">
        <f aca="false">IF(ST_RESULTATS!$Q19=0,0,ST_RESULTATS!$F19)</f>
        <v>0</v>
      </c>
      <c r="N769" s="73" t="n">
        <f aca="false">IF($M769=0,0,ST_RESULTATS!$U19*$M769)</f>
        <v>0</v>
      </c>
      <c r="O769" s="26" t="str">
        <f aca="false">IF($M769=0,"",ST_RESULTATS!$T19)</f>
        <v/>
      </c>
      <c r="P769" s="26" t="str">
        <f aca="false">IF($G769="","",IF($G769=R_LOT,COUNTIF($G$5:$G769,R_LOT),""))</f>
        <v/>
      </c>
    </row>
    <row r="770" customFormat="false" ht="15" hidden="false" customHeight="false" outlineLevel="0" collapsed="false">
      <c r="A770" s="28" t="str">
        <f aca="false">IF($M770=0,"",ROW()-4)</f>
        <v/>
      </c>
      <c r="B770" s="26" t="str">
        <f aca="false">IF($M770=0,"","RESULTAT ST")</f>
        <v/>
      </c>
      <c r="C770" s="26" t="str">
        <f aca="false">IF($M770=0,"",ST_RESULTATS!$A20)</f>
        <v/>
      </c>
      <c r="D770" s="31" t="str">
        <f aca="false">IF($M770=0,"",ST_RESULTATS!$W20)</f>
        <v/>
      </c>
      <c r="E770" s="26" t="str">
        <f aca="false">IF($M770=0,"","ENTREE")</f>
        <v/>
      </c>
      <c r="F770" s="26" t="str">
        <f aca="false">IF($M770=0,"","RETOUR SOUS-TRAITANCE")</f>
        <v/>
      </c>
      <c r="G770" s="26" t="str">
        <f aca="false">IF($M770=0,"",ST_RESULTATS!$N20)</f>
        <v/>
      </c>
      <c r="H770" s="26" t="str">
        <f aca="false">IF($G770="","",IFERROR(INDEX(LOT_EXTE,MATCH($G770,LOT_KEY,0)),""))</f>
        <v/>
      </c>
      <c r="I770" s="26" t="str">
        <f aca="false">IF($M770=0,"",ST_RESULTATS!$J20)</f>
        <v/>
      </c>
      <c r="J770" s="26" t="str">
        <f aca="false">IF($I770="","",IFERROR(INDEX(EMPL_CLASSE,MATCH($I770,EMPL_KEY,0)),""))</f>
        <v/>
      </c>
      <c r="K770" s="26" t="str">
        <f aca="false">IF($M770=0,"",IFERROR(INDEX(LOT_PRODE,MATCH($G770,LOT_KEY,0)),""))</f>
        <v/>
      </c>
      <c r="L770" s="26" t="str">
        <f aca="false">IF($G770="","",IF(IFERROR(INDEX(LOT_ETAT,MATCH($G770,LOT_KEY,0)),"")="","",INDEX(LOT_ETAT,MATCH($G770,LOT_KEY,0))))</f>
        <v/>
      </c>
      <c r="M770" s="73" t="n">
        <f aca="false">IF(ST_RESULTATS!$Q20=0,0,ST_RESULTATS!$F20)</f>
        <v>0</v>
      </c>
      <c r="N770" s="73" t="n">
        <f aca="false">IF($M770=0,0,ST_RESULTATS!$U20*$M770)</f>
        <v>0</v>
      </c>
      <c r="O770" s="26" t="str">
        <f aca="false">IF($M770=0,"",ST_RESULTATS!$T20)</f>
        <v/>
      </c>
      <c r="P770" s="26" t="str">
        <f aca="false">IF($G770="","",IF($G770=R_LOT,COUNTIF($G$5:$G770,R_LOT),""))</f>
        <v/>
      </c>
    </row>
    <row r="771" customFormat="false" ht="15" hidden="false" customHeight="false" outlineLevel="0" collapsed="false">
      <c r="A771" s="28" t="str">
        <f aca="false">IF($M771=0,"",ROW()-4)</f>
        <v/>
      </c>
      <c r="B771" s="26" t="str">
        <f aca="false">IF($M771=0,"","RESULTAT ST")</f>
        <v/>
      </c>
      <c r="C771" s="26" t="str">
        <f aca="false">IF($M771=0,"",ST_RESULTATS!$A21)</f>
        <v/>
      </c>
      <c r="D771" s="31" t="str">
        <f aca="false">IF($M771=0,"",ST_RESULTATS!$W21)</f>
        <v/>
      </c>
      <c r="E771" s="26" t="str">
        <f aca="false">IF($M771=0,"","ENTREE")</f>
        <v/>
      </c>
      <c r="F771" s="26" t="str">
        <f aca="false">IF($M771=0,"","RETOUR SOUS-TRAITANCE")</f>
        <v/>
      </c>
      <c r="G771" s="26" t="str">
        <f aca="false">IF($M771=0,"",ST_RESULTATS!$N21)</f>
        <v/>
      </c>
      <c r="H771" s="26" t="str">
        <f aca="false">IF($G771="","",IFERROR(INDEX(LOT_EXTE,MATCH($G771,LOT_KEY,0)),""))</f>
        <v/>
      </c>
      <c r="I771" s="26" t="str">
        <f aca="false">IF($M771=0,"",ST_RESULTATS!$J21)</f>
        <v/>
      </c>
      <c r="J771" s="26" t="str">
        <f aca="false">IF($I771="","",IFERROR(INDEX(EMPL_CLASSE,MATCH($I771,EMPL_KEY,0)),""))</f>
        <v/>
      </c>
      <c r="K771" s="26" t="str">
        <f aca="false">IF($M771=0,"",IFERROR(INDEX(LOT_PRODE,MATCH($G771,LOT_KEY,0)),""))</f>
        <v/>
      </c>
      <c r="L771" s="26" t="str">
        <f aca="false">IF($G771="","",IF(IFERROR(INDEX(LOT_ETAT,MATCH($G771,LOT_KEY,0)),"")="","",INDEX(LOT_ETAT,MATCH($G771,LOT_KEY,0))))</f>
        <v/>
      </c>
      <c r="M771" s="73" t="n">
        <f aca="false">IF(ST_RESULTATS!$Q21=0,0,ST_RESULTATS!$F21)</f>
        <v>0</v>
      </c>
      <c r="N771" s="73" t="n">
        <f aca="false">IF($M771=0,0,ST_RESULTATS!$U21*$M771)</f>
        <v>0</v>
      </c>
      <c r="O771" s="26" t="str">
        <f aca="false">IF($M771=0,"",ST_RESULTATS!$T21)</f>
        <v/>
      </c>
      <c r="P771" s="26" t="str">
        <f aca="false">IF($G771="","",IF($G771=R_LOT,COUNTIF($G$5:$G771,R_LOT),""))</f>
        <v/>
      </c>
    </row>
    <row r="772" customFormat="false" ht="15" hidden="false" customHeight="false" outlineLevel="0" collapsed="false">
      <c r="A772" s="28" t="str">
        <f aca="false">IF($M772=0,"",ROW()-4)</f>
        <v/>
      </c>
      <c r="B772" s="26" t="str">
        <f aca="false">IF($M772=0,"","RESULTAT ST")</f>
        <v/>
      </c>
      <c r="C772" s="26" t="str">
        <f aca="false">IF($M772=0,"",ST_RESULTATS!$A22)</f>
        <v/>
      </c>
      <c r="D772" s="31" t="str">
        <f aca="false">IF($M772=0,"",ST_RESULTATS!$W22)</f>
        <v/>
      </c>
      <c r="E772" s="26" t="str">
        <f aca="false">IF($M772=0,"","ENTREE")</f>
        <v/>
      </c>
      <c r="F772" s="26" t="str">
        <f aca="false">IF($M772=0,"","RETOUR SOUS-TRAITANCE")</f>
        <v/>
      </c>
      <c r="G772" s="26" t="str">
        <f aca="false">IF($M772=0,"",ST_RESULTATS!$N22)</f>
        <v/>
      </c>
      <c r="H772" s="26" t="str">
        <f aca="false">IF($G772="","",IFERROR(INDEX(LOT_EXTE,MATCH($G772,LOT_KEY,0)),""))</f>
        <v/>
      </c>
      <c r="I772" s="26" t="str">
        <f aca="false">IF($M772=0,"",ST_RESULTATS!$J22)</f>
        <v/>
      </c>
      <c r="J772" s="26" t="str">
        <f aca="false">IF($I772="","",IFERROR(INDEX(EMPL_CLASSE,MATCH($I772,EMPL_KEY,0)),""))</f>
        <v/>
      </c>
      <c r="K772" s="26" t="str">
        <f aca="false">IF($M772=0,"",IFERROR(INDEX(LOT_PRODE,MATCH($G772,LOT_KEY,0)),""))</f>
        <v/>
      </c>
      <c r="L772" s="26" t="str">
        <f aca="false">IF($G772="","",IF(IFERROR(INDEX(LOT_ETAT,MATCH($G772,LOT_KEY,0)),"")="","",INDEX(LOT_ETAT,MATCH($G772,LOT_KEY,0))))</f>
        <v/>
      </c>
      <c r="M772" s="73" t="n">
        <f aca="false">IF(ST_RESULTATS!$Q22=0,0,ST_RESULTATS!$F22)</f>
        <v>0</v>
      </c>
      <c r="N772" s="73" t="n">
        <f aca="false">IF($M772=0,0,ST_RESULTATS!$U22*$M772)</f>
        <v>0</v>
      </c>
      <c r="O772" s="26" t="str">
        <f aca="false">IF($M772=0,"",ST_RESULTATS!$T22)</f>
        <v/>
      </c>
      <c r="P772" s="26" t="str">
        <f aca="false">IF($G772="","",IF($G772=R_LOT,COUNTIF($G$5:$G772,R_LOT),""))</f>
        <v/>
      </c>
    </row>
    <row r="773" customFormat="false" ht="15" hidden="false" customHeight="false" outlineLevel="0" collapsed="false">
      <c r="A773" s="28" t="str">
        <f aca="false">IF($M773=0,"",ROW()-4)</f>
        <v/>
      </c>
      <c r="B773" s="26" t="str">
        <f aca="false">IF($M773=0,"","RESULTAT ST")</f>
        <v/>
      </c>
      <c r="C773" s="26" t="str">
        <f aca="false">IF($M773=0,"",ST_RESULTATS!$A23)</f>
        <v/>
      </c>
      <c r="D773" s="31" t="str">
        <f aca="false">IF($M773=0,"",ST_RESULTATS!$W23)</f>
        <v/>
      </c>
      <c r="E773" s="26" t="str">
        <f aca="false">IF($M773=0,"","ENTREE")</f>
        <v/>
      </c>
      <c r="F773" s="26" t="str">
        <f aca="false">IF($M773=0,"","RETOUR SOUS-TRAITANCE")</f>
        <v/>
      </c>
      <c r="G773" s="26" t="str">
        <f aca="false">IF($M773=0,"",ST_RESULTATS!$N23)</f>
        <v/>
      </c>
      <c r="H773" s="26" t="str">
        <f aca="false">IF($G773="","",IFERROR(INDEX(LOT_EXTE,MATCH($G773,LOT_KEY,0)),""))</f>
        <v/>
      </c>
      <c r="I773" s="26" t="str">
        <f aca="false">IF($M773=0,"",ST_RESULTATS!$J23)</f>
        <v/>
      </c>
      <c r="J773" s="26" t="str">
        <f aca="false">IF($I773="","",IFERROR(INDEX(EMPL_CLASSE,MATCH($I773,EMPL_KEY,0)),""))</f>
        <v/>
      </c>
      <c r="K773" s="26" t="str">
        <f aca="false">IF($M773=0,"",IFERROR(INDEX(LOT_PRODE,MATCH($G773,LOT_KEY,0)),""))</f>
        <v/>
      </c>
      <c r="L773" s="26" t="str">
        <f aca="false">IF($G773="","",IF(IFERROR(INDEX(LOT_ETAT,MATCH($G773,LOT_KEY,0)),"")="","",INDEX(LOT_ETAT,MATCH($G773,LOT_KEY,0))))</f>
        <v/>
      </c>
      <c r="M773" s="73" t="n">
        <f aca="false">IF(ST_RESULTATS!$Q23=0,0,ST_RESULTATS!$F23)</f>
        <v>0</v>
      </c>
      <c r="N773" s="73" t="n">
        <f aca="false">IF($M773=0,0,ST_RESULTATS!$U23*$M773)</f>
        <v>0</v>
      </c>
      <c r="O773" s="26" t="str">
        <f aca="false">IF($M773=0,"",ST_RESULTATS!$T23)</f>
        <v/>
      </c>
      <c r="P773" s="26" t="str">
        <f aca="false">IF($G773="","",IF($G773=R_LOT,COUNTIF($G$5:$G773,R_LOT),""))</f>
        <v/>
      </c>
    </row>
    <row r="774" customFormat="false" ht="15" hidden="false" customHeight="false" outlineLevel="0" collapsed="false">
      <c r="A774" s="28" t="str">
        <f aca="false">IF($M774=0,"",ROW()-4)</f>
        <v/>
      </c>
      <c r="B774" s="26" t="str">
        <f aca="false">IF($M774=0,"","RESULTAT ST")</f>
        <v/>
      </c>
      <c r="C774" s="26" t="str">
        <f aca="false">IF($M774=0,"",ST_RESULTATS!$A24)</f>
        <v/>
      </c>
      <c r="D774" s="31" t="str">
        <f aca="false">IF($M774=0,"",ST_RESULTATS!$W24)</f>
        <v/>
      </c>
      <c r="E774" s="26" t="str">
        <f aca="false">IF($M774=0,"","ENTREE")</f>
        <v/>
      </c>
      <c r="F774" s="26" t="str">
        <f aca="false">IF($M774=0,"","RETOUR SOUS-TRAITANCE")</f>
        <v/>
      </c>
      <c r="G774" s="26" t="str">
        <f aca="false">IF($M774=0,"",ST_RESULTATS!$N24)</f>
        <v/>
      </c>
      <c r="H774" s="26" t="str">
        <f aca="false">IF($G774="","",IFERROR(INDEX(LOT_EXTE,MATCH($G774,LOT_KEY,0)),""))</f>
        <v/>
      </c>
      <c r="I774" s="26" t="str">
        <f aca="false">IF($M774=0,"",ST_RESULTATS!$J24)</f>
        <v/>
      </c>
      <c r="J774" s="26" t="str">
        <f aca="false">IF($I774="","",IFERROR(INDEX(EMPL_CLASSE,MATCH($I774,EMPL_KEY,0)),""))</f>
        <v/>
      </c>
      <c r="K774" s="26" t="str">
        <f aca="false">IF($M774=0,"",IFERROR(INDEX(LOT_PRODE,MATCH($G774,LOT_KEY,0)),""))</f>
        <v/>
      </c>
      <c r="L774" s="26" t="str">
        <f aca="false">IF($G774="","",IF(IFERROR(INDEX(LOT_ETAT,MATCH($G774,LOT_KEY,0)),"")="","",INDEX(LOT_ETAT,MATCH($G774,LOT_KEY,0))))</f>
        <v/>
      </c>
      <c r="M774" s="73" t="n">
        <f aca="false">IF(ST_RESULTATS!$Q24=0,0,ST_RESULTATS!$F24)</f>
        <v>0</v>
      </c>
      <c r="N774" s="73" t="n">
        <f aca="false">IF($M774=0,0,ST_RESULTATS!$U24*$M774)</f>
        <v>0</v>
      </c>
      <c r="O774" s="26" t="str">
        <f aca="false">IF($M774=0,"",ST_RESULTATS!$T24)</f>
        <v/>
      </c>
      <c r="P774" s="26" t="str">
        <f aca="false">IF($G774="","",IF($G774=R_LOT,COUNTIF($G$5:$G774,R_LOT),""))</f>
        <v/>
      </c>
    </row>
    <row r="775" customFormat="false" ht="15" hidden="false" customHeight="false" outlineLevel="0" collapsed="false">
      <c r="A775" s="28" t="str">
        <f aca="false">IF($M775=0,"",ROW()-4)</f>
        <v/>
      </c>
      <c r="B775" s="26" t="str">
        <f aca="false">IF($M775=0,"","RESULTAT ST")</f>
        <v/>
      </c>
      <c r="C775" s="26" t="str">
        <f aca="false">IF($M775=0,"",ST_RESULTATS!$A25)</f>
        <v/>
      </c>
      <c r="D775" s="31" t="str">
        <f aca="false">IF($M775=0,"",ST_RESULTATS!$W25)</f>
        <v/>
      </c>
      <c r="E775" s="26" t="str">
        <f aca="false">IF($M775=0,"","ENTREE")</f>
        <v/>
      </c>
      <c r="F775" s="26" t="str">
        <f aca="false">IF($M775=0,"","RETOUR SOUS-TRAITANCE")</f>
        <v/>
      </c>
      <c r="G775" s="26" t="str">
        <f aca="false">IF($M775=0,"",ST_RESULTATS!$N25)</f>
        <v/>
      </c>
      <c r="H775" s="26" t="str">
        <f aca="false">IF($G775="","",IFERROR(INDEX(LOT_EXTE,MATCH($G775,LOT_KEY,0)),""))</f>
        <v/>
      </c>
      <c r="I775" s="26" t="str">
        <f aca="false">IF($M775=0,"",ST_RESULTATS!$J25)</f>
        <v/>
      </c>
      <c r="J775" s="26" t="str">
        <f aca="false">IF($I775="","",IFERROR(INDEX(EMPL_CLASSE,MATCH($I775,EMPL_KEY,0)),""))</f>
        <v/>
      </c>
      <c r="K775" s="26" t="str">
        <f aca="false">IF($M775=0,"",IFERROR(INDEX(LOT_PRODE,MATCH($G775,LOT_KEY,0)),""))</f>
        <v/>
      </c>
      <c r="L775" s="26" t="str">
        <f aca="false">IF($G775="","",IF(IFERROR(INDEX(LOT_ETAT,MATCH($G775,LOT_KEY,0)),"")="","",INDEX(LOT_ETAT,MATCH($G775,LOT_KEY,0))))</f>
        <v/>
      </c>
      <c r="M775" s="73" t="n">
        <f aca="false">IF(ST_RESULTATS!$Q25=0,0,ST_RESULTATS!$F25)</f>
        <v>0</v>
      </c>
      <c r="N775" s="73" t="n">
        <f aca="false">IF($M775=0,0,ST_RESULTATS!$U25*$M775)</f>
        <v>0</v>
      </c>
      <c r="O775" s="26" t="str">
        <f aca="false">IF($M775=0,"",ST_RESULTATS!$T25)</f>
        <v/>
      </c>
      <c r="P775" s="26" t="str">
        <f aca="false">IF($G775="","",IF($G775=R_LOT,COUNTIF($G$5:$G775,R_LOT),""))</f>
        <v/>
      </c>
    </row>
    <row r="776" customFormat="false" ht="15" hidden="false" customHeight="false" outlineLevel="0" collapsed="false">
      <c r="A776" s="28" t="str">
        <f aca="false">IF($M776=0,"",ROW()-4)</f>
        <v/>
      </c>
      <c r="B776" s="26" t="str">
        <f aca="false">IF($M776=0,"","RESULTAT ST")</f>
        <v/>
      </c>
      <c r="C776" s="26" t="str">
        <f aca="false">IF($M776=0,"",ST_RESULTATS!$A26)</f>
        <v/>
      </c>
      <c r="D776" s="31" t="str">
        <f aca="false">IF($M776=0,"",ST_RESULTATS!$W26)</f>
        <v/>
      </c>
      <c r="E776" s="26" t="str">
        <f aca="false">IF($M776=0,"","ENTREE")</f>
        <v/>
      </c>
      <c r="F776" s="26" t="str">
        <f aca="false">IF($M776=0,"","RETOUR SOUS-TRAITANCE")</f>
        <v/>
      </c>
      <c r="G776" s="26" t="str">
        <f aca="false">IF($M776=0,"",ST_RESULTATS!$N26)</f>
        <v/>
      </c>
      <c r="H776" s="26" t="str">
        <f aca="false">IF($G776="","",IFERROR(INDEX(LOT_EXTE,MATCH($G776,LOT_KEY,0)),""))</f>
        <v/>
      </c>
      <c r="I776" s="26" t="str">
        <f aca="false">IF($M776=0,"",ST_RESULTATS!$J26)</f>
        <v/>
      </c>
      <c r="J776" s="26" t="str">
        <f aca="false">IF($I776="","",IFERROR(INDEX(EMPL_CLASSE,MATCH($I776,EMPL_KEY,0)),""))</f>
        <v/>
      </c>
      <c r="K776" s="26" t="str">
        <f aca="false">IF($M776=0,"",IFERROR(INDEX(LOT_PRODE,MATCH($G776,LOT_KEY,0)),""))</f>
        <v/>
      </c>
      <c r="L776" s="26" t="str">
        <f aca="false">IF($G776="","",IF(IFERROR(INDEX(LOT_ETAT,MATCH($G776,LOT_KEY,0)),"")="","",INDEX(LOT_ETAT,MATCH($G776,LOT_KEY,0))))</f>
        <v/>
      </c>
      <c r="M776" s="73" t="n">
        <f aca="false">IF(ST_RESULTATS!$Q26=0,0,ST_RESULTATS!$F26)</f>
        <v>0</v>
      </c>
      <c r="N776" s="73" t="n">
        <f aca="false">IF($M776=0,0,ST_RESULTATS!$U26*$M776)</f>
        <v>0</v>
      </c>
      <c r="O776" s="26" t="str">
        <f aca="false">IF($M776=0,"",ST_RESULTATS!$T26)</f>
        <v/>
      </c>
      <c r="P776" s="26" t="str">
        <f aca="false">IF($G776="","",IF($G776=R_LOT,COUNTIF($G$5:$G776,R_LOT),""))</f>
        <v/>
      </c>
    </row>
    <row r="777" customFormat="false" ht="15" hidden="false" customHeight="false" outlineLevel="0" collapsed="false">
      <c r="A777" s="28" t="str">
        <f aca="false">IF($M777=0,"",ROW()-4)</f>
        <v/>
      </c>
      <c r="B777" s="26" t="str">
        <f aca="false">IF($M777=0,"","RESULTAT ST")</f>
        <v/>
      </c>
      <c r="C777" s="26" t="str">
        <f aca="false">IF($M777=0,"",ST_RESULTATS!$A27)</f>
        <v/>
      </c>
      <c r="D777" s="31" t="str">
        <f aca="false">IF($M777=0,"",ST_RESULTATS!$W27)</f>
        <v/>
      </c>
      <c r="E777" s="26" t="str">
        <f aca="false">IF($M777=0,"","ENTREE")</f>
        <v/>
      </c>
      <c r="F777" s="26" t="str">
        <f aca="false">IF($M777=0,"","RETOUR SOUS-TRAITANCE")</f>
        <v/>
      </c>
      <c r="G777" s="26" t="str">
        <f aca="false">IF($M777=0,"",ST_RESULTATS!$N27)</f>
        <v/>
      </c>
      <c r="H777" s="26" t="str">
        <f aca="false">IF($G777="","",IFERROR(INDEX(LOT_EXTE,MATCH($G777,LOT_KEY,0)),""))</f>
        <v/>
      </c>
      <c r="I777" s="26" t="str">
        <f aca="false">IF($M777=0,"",ST_RESULTATS!$J27)</f>
        <v/>
      </c>
      <c r="J777" s="26" t="str">
        <f aca="false">IF($I777="","",IFERROR(INDEX(EMPL_CLASSE,MATCH($I777,EMPL_KEY,0)),""))</f>
        <v/>
      </c>
      <c r="K777" s="26" t="str">
        <f aca="false">IF($M777=0,"",IFERROR(INDEX(LOT_PRODE,MATCH($G777,LOT_KEY,0)),""))</f>
        <v/>
      </c>
      <c r="L777" s="26" t="str">
        <f aca="false">IF($G777="","",IF(IFERROR(INDEX(LOT_ETAT,MATCH($G777,LOT_KEY,0)),"")="","",INDEX(LOT_ETAT,MATCH($G777,LOT_KEY,0))))</f>
        <v/>
      </c>
      <c r="M777" s="73" t="n">
        <f aca="false">IF(ST_RESULTATS!$Q27=0,0,ST_RESULTATS!$F27)</f>
        <v>0</v>
      </c>
      <c r="N777" s="73" t="n">
        <f aca="false">IF($M777=0,0,ST_RESULTATS!$U27*$M777)</f>
        <v>0</v>
      </c>
      <c r="O777" s="26" t="str">
        <f aca="false">IF($M777=0,"",ST_RESULTATS!$T27)</f>
        <v/>
      </c>
      <c r="P777" s="26" t="str">
        <f aca="false">IF($G777="","",IF($G777=R_LOT,COUNTIF($G$5:$G777,R_LOT),""))</f>
        <v/>
      </c>
    </row>
    <row r="778" customFormat="false" ht="15" hidden="false" customHeight="false" outlineLevel="0" collapsed="false">
      <c r="A778" s="28" t="str">
        <f aca="false">IF($M778=0,"",ROW()-4)</f>
        <v/>
      </c>
      <c r="B778" s="26" t="str">
        <f aca="false">IF($M778=0,"","RESULTAT ST")</f>
        <v/>
      </c>
      <c r="C778" s="26" t="str">
        <f aca="false">IF($M778=0,"",ST_RESULTATS!$A28)</f>
        <v/>
      </c>
      <c r="D778" s="31" t="str">
        <f aca="false">IF($M778=0,"",ST_RESULTATS!$W28)</f>
        <v/>
      </c>
      <c r="E778" s="26" t="str">
        <f aca="false">IF($M778=0,"","ENTREE")</f>
        <v/>
      </c>
      <c r="F778" s="26" t="str">
        <f aca="false">IF($M778=0,"","RETOUR SOUS-TRAITANCE")</f>
        <v/>
      </c>
      <c r="G778" s="26" t="str">
        <f aca="false">IF($M778=0,"",ST_RESULTATS!$N28)</f>
        <v/>
      </c>
      <c r="H778" s="26" t="str">
        <f aca="false">IF($G778="","",IFERROR(INDEX(LOT_EXTE,MATCH($G778,LOT_KEY,0)),""))</f>
        <v/>
      </c>
      <c r="I778" s="26" t="str">
        <f aca="false">IF($M778=0,"",ST_RESULTATS!$J28)</f>
        <v/>
      </c>
      <c r="J778" s="26" t="str">
        <f aca="false">IF($I778="","",IFERROR(INDEX(EMPL_CLASSE,MATCH($I778,EMPL_KEY,0)),""))</f>
        <v/>
      </c>
      <c r="K778" s="26" t="str">
        <f aca="false">IF($M778=0,"",IFERROR(INDEX(LOT_PRODE,MATCH($G778,LOT_KEY,0)),""))</f>
        <v/>
      </c>
      <c r="L778" s="26" t="str">
        <f aca="false">IF($G778="","",IF(IFERROR(INDEX(LOT_ETAT,MATCH($G778,LOT_KEY,0)),"")="","",INDEX(LOT_ETAT,MATCH($G778,LOT_KEY,0))))</f>
        <v/>
      </c>
      <c r="M778" s="73" t="n">
        <f aca="false">IF(ST_RESULTATS!$Q28=0,0,ST_RESULTATS!$F28)</f>
        <v>0</v>
      </c>
      <c r="N778" s="73" t="n">
        <f aca="false">IF($M778=0,0,ST_RESULTATS!$U28*$M778)</f>
        <v>0</v>
      </c>
      <c r="O778" s="26" t="str">
        <f aca="false">IF($M778=0,"",ST_RESULTATS!$T28)</f>
        <v/>
      </c>
      <c r="P778" s="26" t="str">
        <f aca="false">IF($G778="","",IF($G778=R_LOT,COUNTIF($G$5:$G778,R_LOT),""))</f>
        <v/>
      </c>
    </row>
    <row r="779" customFormat="false" ht="15" hidden="false" customHeight="false" outlineLevel="0" collapsed="false">
      <c r="A779" s="28" t="str">
        <f aca="false">IF($M779=0,"",ROW()-4)</f>
        <v/>
      </c>
      <c r="B779" s="26" t="str">
        <f aca="false">IF($M779=0,"","RESULTAT ST")</f>
        <v/>
      </c>
      <c r="C779" s="26" t="str">
        <f aca="false">IF($M779=0,"",ST_RESULTATS!$A29)</f>
        <v/>
      </c>
      <c r="D779" s="31" t="str">
        <f aca="false">IF($M779=0,"",ST_RESULTATS!$W29)</f>
        <v/>
      </c>
      <c r="E779" s="26" t="str">
        <f aca="false">IF($M779=0,"","ENTREE")</f>
        <v/>
      </c>
      <c r="F779" s="26" t="str">
        <f aca="false">IF($M779=0,"","RETOUR SOUS-TRAITANCE")</f>
        <v/>
      </c>
      <c r="G779" s="26" t="str">
        <f aca="false">IF($M779=0,"",ST_RESULTATS!$N29)</f>
        <v/>
      </c>
      <c r="H779" s="26" t="str">
        <f aca="false">IF($G779="","",IFERROR(INDEX(LOT_EXTE,MATCH($G779,LOT_KEY,0)),""))</f>
        <v/>
      </c>
      <c r="I779" s="26" t="str">
        <f aca="false">IF($M779=0,"",ST_RESULTATS!$J29)</f>
        <v/>
      </c>
      <c r="J779" s="26" t="str">
        <f aca="false">IF($I779="","",IFERROR(INDEX(EMPL_CLASSE,MATCH($I779,EMPL_KEY,0)),""))</f>
        <v/>
      </c>
      <c r="K779" s="26" t="str">
        <f aca="false">IF($M779=0,"",IFERROR(INDEX(LOT_PRODE,MATCH($G779,LOT_KEY,0)),""))</f>
        <v/>
      </c>
      <c r="L779" s="26" t="str">
        <f aca="false">IF($G779="","",IF(IFERROR(INDEX(LOT_ETAT,MATCH($G779,LOT_KEY,0)),"")="","",INDEX(LOT_ETAT,MATCH($G779,LOT_KEY,0))))</f>
        <v/>
      </c>
      <c r="M779" s="73" t="n">
        <f aca="false">IF(ST_RESULTATS!$Q29=0,0,ST_RESULTATS!$F29)</f>
        <v>0</v>
      </c>
      <c r="N779" s="73" t="n">
        <f aca="false">IF($M779=0,0,ST_RESULTATS!$U29*$M779)</f>
        <v>0</v>
      </c>
      <c r="O779" s="26" t="str">
        <f aca="false">IF($M779=0,"",ST_RESULTATS!$T29)</f>
        <v/>
      </c>
      <c r="P779" s="26" t="str">
        <f aca="false">IF($G779="","",IF($G779=R_LOT,COUNTIF($G$5:$G779,R_LOT),""))</f>
        <v/>
      </c>
    </row>
    <row r="780" customFormat="false" ht="15" hidden="false" customHeight="false" outlineLevel="0" collapsed="false">
      <c r="A780" s="28" t="str">
        <f aca="false">IF($M780=0,"",ROW()-4)</f>
        <v/>
      </c>
      <c r="B780" s="26" t="str">
        <f aca="false">IF($M780=0,"","RESULTAT ST")</f>
        <v/>
      </c>
      <c r="C780" s="26" t="str">
        <f aca="false">IF($M780=0,"",ST_RESULTATS!$A30)</f>
        <v/>
      </c>
      <c r="D780" s="31" t="str">
        <f aca="false">IF($M780=0,"",ST_RESULTATS!$W30)</f>
        <v/>
      </c>
      <c r="E780" s="26" t="str">
        <f aca="false">IF($M780=0,"","ENTREE")</f>
        <v/>
      </c>
      <c r="F780" s="26" t="str">
        <f aca="false">IF($M780=0,"","RETOUR SOUS-TRAITANCE")</f>
        <v/>
      </c>
      <c r="G780" s="26" t="str">
        <f aca="false">IF($M780=0,"",ST_RESULTATS!$N30)</f>
        <v/>
      </c>
      <c r="H780" s="26" t="str">
        <f aca="false">IF($G780="","",IFERROR(INDEX(LOT_EXTE,MATCH($G780,LOT_KEY,0)),""))</f>
        <v/>
      </c>
      <c r="I780" s="26" t="str">
        <f aca="false">IF($M780=0,"",ST_RESULTATS!$J30)</f>
        <v/>
      </c>
      <c r="J780" s="26" t="str">
        <f aca="false">IF($I780="","",IFERROR(INDEX(EMPL_CLASSE,MATCH($I780,EMPL_KEY,0)),""))</f>
        <v/>
      </c>
      <c r="K780" s="26" t="str">
        <f aca="false">IF($M780=0,"",IFERROR(INDEX(LOT_PRODE,MATCH($G780,LOT_KEY,0)),""))</f>
        <v/>
      </c>
      <c r="L780" s="26" t="str">
        <f aca="false">IF($G780="","",IF(IFERROR(INDEX(LOT_ETAT,MATCH($G780,LOT_KEY,0)),"")="","",INDEX(LOT_ETAT,MATCH($G780,LOT_KEY,0))))</f>
        <v/>
      </c>
      <c r="M780" s="73" t="n">
        <f aca="false">IF(ST_RESULTATS!$Q30=0,0,ST_RESULTATS!$F30)</f>
        <v>0</v>
      </c>
      <c r="N780" s="73" t="n">
        <f aca="false">IF($M780=0,0,ST_RESULTATS!$U30*$M780)</f>
        <v>0</v>
      </c>
      <c r="O780" s="26" t="str">
        <f aca="false">IF($M780=0,"",ST_RESULTATS!$T30)</f>
        <v/>
      </c>
      <c r="P780" s="26" t="str">
        <f aca="false">IF($G780="","",IF($G780=R_LOT,COUNTIF($G$5:$G780,R_LOT),""))</f>
        <v/>
      </c>
    </row>
    <row r="781" customFormat="false" ht="15" hidden="false" customHeight="false" outlineLevel="0" collapsed="false">
      <c r="A781" s="28" t="str">
        <f aca="false">IF($M781=0,"",ROW()-4)</f>
        <v/>
      </c>
      <c r="B781" s="26" t="str">
        <f aca="false">IF($M781=0,"","RESULTAT ST")</f>
        <v/>
      </c>
      <c r="C781" s="26" t="str">
        <f aca="false">IF($M781=0,"",ST_RESULTATS!$A31)</f>
        <v/>
      </c>
      <c r="D781" s="31" t="str">
        <f aca="false">IF($M781=0,"",ST_RESULTATS!$W31)</f>
        <v/>
      </c>
      <c r="E781" s="26" t="str">
        <f aca="false">IF($M781=0,"","ENTREE")</f>
        <v/>
      </c>
      <c r="F781" s="26" t="str">
        <f aca="false">IF($M781=0,"","RETOUR SOUS-TRAITANCE")</f>
        <v/>
      </c>
      <c r="G781" s="26" t="str">
        <f aca="false">IF($M781=0,"",ST_RESULTATS!$N31)</f>
        <v/>
      </c>
      <c r="H781" s="26" t="str">
        <f aca="false">IF($G781="","",IFERROR(INDEX(LOT_EXTE,MATCH($G781,LOT_KEY,0)),""))</f>
        <v/>
      </c>
      <c r="I781" s="26" t="str">
        <f aca="false">IF($M781=0,"",ST_RESULTATS!$J31)</f>
        <v/>
      </c>
      <c r="J781" s="26" t="str">
        <f aca="false">IF($I781="","",IFERROR(INDEX(EMPL_CLASSE,MATCH($I781,EMPL_KEY,0)),""))</f>
        <v/>
      </c>
      <c r="K781" s="26" t="str">
        <f aca="false">IF($M781=0,"",IFERROR(INDEX(LOT_PRODE,MATCH($G781,LOT_KEY,0)),""))</f>
        <v/>
      </c>
      <c r="L781" s="26" t="str">
        <f aca="false">IF($G781="","",IF(IFERROR(INDEX(LOT_ETAT,MATCH($G781,LOT_KEY,0)),"")="","",INDEX(LOT_ETAT,MATCH($G781,LOT_KEY,0))))</f>
        <v/>
      </c>
      <c r="M781" s="73" t="n">
        <f aca="false">IF(ST_RESULTATS!$Q31=0,0,ST_RESULTATS!$F31)</f>
        <v>0</v>
      </c>
      <c r="N781" s="73" t="n">
        <f aca="false">IF($M781=0,0,ST_RESULTATS!$U31*$M781)</f>
        <v>0</v>
      </c>
      <c r="O781" s="26" t="str">
        <f aca="false">IF($M781=0,"",ST_RESULTATS!$T31)</f>
        <v/>
      </c>
      <c r="P781" s="26" t="str">
        <f aca="false">IF($G781="","",IF($G781=R_LOT,COUNTIF($G$5:$G781,R_LOT),""))</f>
        <v/>
      </c>
    </row>
    <row r="782" customFormat="false" ht="15" hidden="false" customHeight="false" outlineLevel="0" collapsed="false">
      <c r="A782" s="28" t="str">
        <f aca="false">IF($M782=0,"",ROW()-4)</f>
        <v/>
      </c>
      <c r="B782" s="26" t="str">
        <f aca="false">IF($M782=0,"","RESULTAT ST")</f>
        <v/>
      </c>
      <c r="C782" s="26" t="str">
        <f aca="false">IF($M782=0,"",ST_RESULTATS!$A32)</f>
        <v/>
      </c>
      <c r="D782" s="31" t="str">
        <f aca="false">IF($M782=0,"",ST_RESULTATS!$W32)</f>
        <v/>
      </c>
      <c r="E782" s="26" t="str">
        <f aca="false">IF($M782=0,"","ENTREE")</f>
        <v/>
      </c>
      <c r="F782" s="26" t="str">
        <f aca="false">IF($M782=0,"","RETOUR SOUS-TRAITANCE")</f>
        <v/>
      </c>
      <c r="G782" s="26" t="str">
        <f aca="false">IF($M782=0,"",ST_RESULTATS!$N32)</f>
        <v/>
      </c>
      <c r="H782" s="26" t="str">
        <f aca="false">IF($G782="","",IFERROR(INDEX(LOT_EXTE,MATCH($G782,LOT_KEY,0)),""))</f>
        <v/>
      </c>
      <c r="I782" s="26" t="str">
        <f aca="false">IF($M782=0,"",ST_RESULTATS!$J32)</f>
        <v/>
      </c>
      <c r="J782" s="26" t="str">
        <f aca="false">IF($I782="","",IFERROR(INDEX(EMPL_CLASSE,MATCH($I782,EMPL_KEY,0)),""))</f>
        <v/>
      </c>
      <c r="K782" s="26" t="str">
        <f aca="false">IF($M782=0,"",IFERROR(INDEX(LOT_PRODE,MATCH($G782,LOT_KEY,0)),""))</f>
        <v/>
      </c>
      <c r="L782" s="26" t="str">
        <f aca="false">IF($G782="","",IF(IFERROR(INDEX(LOT_ETAT,MATCH($G782,LOT_KEY,0)),"")="","",INDEX(LOT_ETAT,MATCH($G782,LOT_KEY,0))))</f>
        <v/>
      </c>
      <c r="M782" s="73" t="n">
        <f aca="false">IF(ST_RESULTATS!$Q32=0,0,ST_RESULTATS!$F32)</f>
        <v>0</v>
      </c>
      <c r="N782" s="73" t="n">
        <f aca="false">IF($M782=0,0,ST_RESULTATS!$U32*$M782)</f>
        <v>0</v>
      </c>
      <c r="O782" s="26" t="str">
        <f aca="false">IF($M782=0,"",ST_RESULTATS!$T32)</f>
        <v/>
      </c>
      <c r="P782" s="26" t="str">
        <f aca="false">IF($G782="","",IF($G782=R_LOT,COUNTIF($G$5:$G782,R_LOT),""))</f>
        <v/>
      </c>
    </row>
    <row r="783" customFormat="false" ht="15" hidden="false" customHeight="false" outlineLevel="0" collapsed="false">
      <c r="A783" s="28" t="str">
        <f aca="false">IF($M783=0,"",ROW()-4)</f>
        <v/>
      </c>
      <c r="B783" s="26" t="str">
        <f aca="false">IF($M783=0,"","RESULTAT ST")</f>
        <v/>
      </c>
      <c r="C783" s="26" t="str">
        <f aca="false">IF($M783=0,"",ST_RESULTATS!$A33)</f>
        <v/>
      </c>
      <c r="D783" s="31" t="str">
        <f aca="false">IF($M783=0,"",ST_RESULTATS!$W33)</f>
        <v/>
      </c>
      <c r="E783" s="26" t="str">
        <f aca="false">IF($M783=0,"","ENTREE")</f>
        <v/>
      </c>
      <c r="F783" s="26" t="str">
        <f aca="false">IF($M783=0,"","RETOUR SOUS-TRAITANCE")</f>
        <v/>
      </c>
      <c r="G783" s="26" t="str">
        <f aca="false">IF($M783=0,"",ST_RESULTATS!$N33)</f>
        <v/>
      </c>
      <c r="H783" s="26" t="str">
        <f aca="false">IF($G783="","",IFERROR(INDEX(LOT_EXTE,MATCH($G783,LOT_KEY,0)),""))</f>
        <v/>
      </c>
      <c r="I783" s="26" t="str">
        <f aca="false">IF($M783=0,"",ST_RESULTATS!$J33)</f>
        <v/>
      </c>
      <c r="J783" s="26" t="str">
        <f aca="false">IF($I783="","",IFERROR(INDEX(EMPL_CLASSE,MATCH($I783,EMPL_KEY,0)),""))</f>
        <v/>
      </c>
      <c r="K783" s="26" t="str">
        <f aca="false">IF($M783=0,"",IFERROR(INDEX(LOT_PRODE,MATCH($G783,LOT_KEY,0)),""))</f>
        <v/>
      </c>
      <c r="L783" s="26" t="str">
        <f aca="false">IF($G783="","",IF(IFERROR(INDEX(LOT_ETAT,MATCH($G783,LOT_KEY,0)),"")="","",INDEX(LOT_ETAT,MATCH($G783,LOT_KEY,0))))</f>
        <v/>
      </c>
      <c r="M783" s="73" t="n">
        <f aca="false">IF(ST_RESULTATS!$Q33=0,0,ST_RESULTATS!$F33)</f>
        <v>0</v>
      </c>
      <c r="N783" s="73" t="n">
        <f aca="false">IF($M783=0,0,ST_RESULTATS!$U33*$M783)</f>
        <v>0</v>
      </c>
      <c r="O783" s="26" t="str">
        <f aca="false">IF($M783=0,"",ST_RESULTATS!$T33)</f>
        <v/>
      </c>
      <c r="P783" s="26" t="str">
        <f aca="false">IF($G783="","",IF($G783=R_LOT,COUNTIF($G$5:$G783,R_LOT),""))</f>
        <v/>
      </c>
    </row>
    <row r="784" customFormat="false" ht="15" hidden="false" customHeight="false" outlineLevel="0" collapsed="false">
      <c r="A784" s="28" t="str">
        <f aca="false">IF($M784=0,"",ROW()-4)</f>
        <v/>
      </c>
      <c r="B784" s="26" t="str">
        <f aca="false">IF($M784=0,"","RESULTAT ST")</f>
        <v/>
      </c>
      <c r="C784" s="26" t="str">
        <f aca="false">IF($M784=0,"",ST_RESULTATS!$A34)</f>
        <v/>
      </c>
      <c r="D784" s="31" t="str">
        <f aca="false">IF($M784=0,"",ST_RESULTATS!$W34)</f>
        <v/>
      </c>
      <c r="E784" s="26" t="str">
        <f aca="false">IF($M784=0,"","ENTREE")</f>
        <v/>
      </c>
      <c r="F784" s="26" t="str">
        <f aca="false">IF($M784=0,"","RETOUR SOUS-TRAITANCE")</f>
        <v/>
      </c>
      <c r="G784" s="26" t="str">
        <f aca="false">IF($M784=0,"",ST_RESULTATS!$N34)</f>
        <v/>
      </c>
      <c r="H784" s="26" t="str">
        <f aca="false">IF($G784="","",IFERROR(INDEX(LOT_EXTE,MATCH($G784,LOT_KEY,0)),""))</f>
        <v/>
      </c>
      <c r="I784" s="26" t="str">
        <f aca="false">IF($M784=0,"",ST_RESULTATS!$J34)</f>
        <v/>
      </c>
      <c r="J784" s="26" t="str">
        <f aca="false">IF($I784="","",IFERROR(INDEX(EMPL_CLASSE,MATCH($I784,EMPL_KEY,0)),""))</f>
        <v/>
      </c>
      <c r="K784" s="26" t="str">
        <f aca="false">IF($M784=0,"",IFERROR(INDEX(LOT_PRODE,MATCH($G784,LOT_KEY,0)),""))</f>
        <v/>
      </c>
      <c r="L784" s="26" t="str">
        <f aca="false">IF($G784="","",IF(IFERROR(INDEX(LOT_ETAT,MATCH($G784,LOT_KEY,0)),"")="","",INDEX(LOT_ETAT,MATCH($G784,LOT_KEY,0))))</f>
        <v/>
      </c>
      <c r="M784" s="73" t="n">
        <f aca="false">IF(ST_RESULTATS!$Q34=0,0,ST_RESULTATS!$F34)</f>
        <v>0</v>
      </c>
      <c r="N784" s="73" t="n">
        <f aca="false">IF($M784=0,0,ST_RESULTATS!$U34*$M784)</f>
        <v>0</v>
      </c>
      <c r="O784" s="26" t="str">
        <f aca="false">IF($M784=0,"",ST_RESULTATS!$T34)</f>
        <v/>
      </c>
      <c r="P784" s="26" t="str">
        <f aca="false">IF($G784="","",IF($G784=R_LOT,COUNTIF($G$5:$G784,R_LOT),""))</f>
        <v/>
      </c>
    </row>
    <row r="785" customFormat="false" ht="15" hidden="false" customHeight="false" outlineLevel="0" collapsed="false">
      <c r="A785" s="28" t="str">
        <f aca="false">IF($M785=0,"",ROW()-4)</f>
        <v/>
      </c>
      <c r="B785" s="26" t="str">
        <f aca="false">IF($M785=0,"","RESULTAT ST")</f>
        <v/>
      </c>
      <c r="C785" s="26" t="str">
        <f aca="false">IF($M785=0,"",ST_RESULTATS!$A35)</f>
        <v/>
      </c>
      <c r="D785" s="31" t="str">
        <f aca="false">IF($M785=0,"",ST_RESULTATS!$W35)</f>
        <v/>
      </c>
      <c r="E785" s="26" t="str">
        <f aca="false">IF($M785=0,"","ENTREE")</f>
        <v/>
      </c>
      <c r="F785" s="26" t="str">
        <f aca="false">IF($M785=0,"","RETOUR SOUS-TRAITANCE")</f>
        <v/>
      </c>
      <c r="G785" s="26" t="str">
        <f aca="false">IF($M785=0,"",ST_RESULTATS!$N35)</f>
        <v/>
      </c>
      <c r="H785" s="26" t="str">
        <f aca="false">IF($G785="","",IFERROR(INDEX(LOT_EXTE,MATCH($G785,LOT_KEY,0)),""))</f>
        <v/>
      </c>
      <c r="I785" s="26" t="str">
        <f aca="false">IF($M785=0,"",ST_RESULTATS!$J35)</f>
        <v/>
      </c>
      <c r="J785" s="26" t="str">
        <f aca="false">IF($I785="","",IFERROR(INDEX(EMPL_CLASSE,MATCH($I785,EMPL_KEY,0)),""))</f>
        <v/>
      </c>
      <c r="K785" s="26" t="str">
        <f aca="false">IF($M785=0,"",IFERROR(INDEX(LOT_PRODE,MATCH($G785,LOT_KEY,0)),""))</f>
        <v/>
      </c>
      <c r="L785" s="26" t="str">
        <f aca="false">IF($G785="","",IF(IFERROR(INDEX(LOT_ETAT,MATCH($G785,LOT_KEY,0)),"")="","",INDEX(LOT_ETAT,MATCH($G785,LOT_KEY,0))))</f>
        <v/>
      </c>
      <c r="M785" s="73" t="n">
        <f aca="false">IF(ST_RESULTATS!$Q35=0,0,ST_RESULTATS!$F35)</f>
        <v>0</v>
      </c>
      <c r="N785" s="73" t="n">
        <f aca="false">IF($M785=0,0,ST_RESULTATS!$U35*$M785)</f>
        <v>0</v>
      </c>
      <c r="O785" s="26" t="str">
        <f aca="false">IF($M785=0,"",ST_RESULTATS!$T35)</f>
        <v/>
      </c>
      <c r="P785" s="26" t="str">
        <f aca="false">IF($G785="","",IF($G785=R_LOT,COUNTIF($G$5:$G785,R_LOT),""))</f>
        <v/>
      </c>
    </row>
    <row r="786" customFormat="false" ht="15" hidden="false" customHeight="false" outlineLevel="0" collapsed="false">
      <c r="A786" s="28" t="str">
        <f aca="false">IF($M786=0,"",ROW()-4)</f>
        <v/>
      </c>
      <c r="B786" s="26" t="str">
        <f aca="false">IF($M786=0,"","RESULTAT ST")</f>
        <v/>
      </c>
      <c r="C786" s="26" t="str">
        <f aca="false">IF($M786=0,"",ST_RESULTATS!$A36)</f>
        <v/>
      </c>
      <c r="D786" s="31" t="str">
        <f aca="false">IF($M786=0,"",ST_RESULTATS!$W36)</f>
        <v/>
      </c>
      <c r="E786" s="26" t="str">
        <f aca="false">IF($M786=0,"","ENTREE")</f>
        <v/>
      </c>
      <c r="F786" s="26" t="str">
        <f aca="false">IF($M786=0,"","RETOUR SOUS-TRAITANCE")</f>
        <v/>
      </c>
      <c r="G786" s="26" t="str">
        <f aca="false">IF($M786=0,"",ST_RESULTATS!$N36)</f>
        <v/>
      </c>
      <c r="H786" s="26" t="str">
        <f aca="false">IF($G786="","",IFERROR(INDEX(LOT_EXTE,MATCH($G786,LOT_KEY,0)),""))</f>
        <v/>
      </c>
      <c r="I786" s="26" t="str">
        <f aca="false">IF($M786=0,"",ST_RESULTATS!$J36)</f>
        <v/>
      </c>
      <c r="J786" s="26" t="str">
        <f aca="false">IF($I786="","",IFERROR(INDEX(EMPL_CLASSE,MATCH($I786,EMPL_KEY,0)),""))</f>
        <v/>
      </c>
      <c r="K786" s="26" t="str">
        <f aca="false">IF($M786=0,"",IFERROR(INDEX(LOT_PRODE,MATCH($G786,LOT_KEY,0)),""))</f>
        <v/>
      </c>
      <c r="L786" s="26" t="str">
        <f aca="false">IF($G786="","",IF(IFERROR(INDEX(LOT_ETAT,MATCH($G786,LOT_KEY,0)),"")="","",INDEX(LOT_ETAT,MATCH($G786,LOT_KEY,0))))</f>
        <v/>
      </c>
      <c r="M786" s="73" t="n">
        <f aca="false">IF(ST_RESULTATS!$Q36=0,0,ST_RESULTATS!$F36)</f>
        <v>0</v>
      </c>
      <c r="N786" s="73" t="n">
        <f aca="false">IF($M786=0,0,ST_RESULTATS!$U36*$M786)</f>
        <v>0</v>
      </c>
      <c r="O786" s="26" t="str">
        <f aca="false">IF($M786=0,"",ST_RESULTATS!$T36)</f>
        <v/>
      </c>
      <c r="P786" s="26" t="str">
        <f aca="false">IF($G786="","",IF($G786=R_LOT,COUNTIF($G$5:$G786,R_LOT),""))</f>
        <v/>
      </c>
    </row>
    <row r="787" customFormat="false" ht="15" hidden="false" customHeight="false" outlineLevel="0" collapsed="false">
      <c r="A787" s="28" t="str">
        <f aca="false">IF($M787=0,"",ROW()-4)</f>
        <v/>
      </c>
      <c r="B787" s="26" t="str">
        <f aca="false">IF($M787=0,"","RESULTAT ST")</f>
        <v/>
      </c>
      <c r="C787" s="26" t="str">
        <f aca="false">IF($M787=0,"",ST_RESULTATS!$A37)</f>
        <v/>
      </c>
      <c r="D787" s="31" t="str">
        <f aca="false">IF($M787=0,"",ST_RESULTATS!$W37)</f>
        <v/>
      </c>
      <c r="E787" s="26" t="str">
        <f aca="false">IF($M787=0,"","ENTREE")</f>
        <v/>
      </c>
      <c r="F787" s="26" t="str">
        <f aca="false">IF($M787=0,"","RETOUR SOUS-TRAITANCE")</f>
        <v/>
      </c>
      <c r="G787" s="26" t="str">
        <f aca="false">IF($M787=0,"",ST_RESULTATS!$N37)</f>
        <v/>
      </c>
      <c r="H787" s="26" t="str">
        <f aca="false">IF($G787="","",IFERROR(INDEX(LOT_EXTE,MATCH($G787,LOT_KEY,0)),""))</f>
        <v/>
      </c>
      <c r="I787" s="26" t="str">
        <f aca="false">IF($M787=0,"",ST_RESULTATS!$J37)</f>
        <v/>
      </c>
      <c r="J787" s="26" t="str">
        <f aca="false">IF($I787="","",IFERROR(INDEX(EMPL_CLASSE,MATCH($I787,EMPL_KEY,0)),""))</f>
        <v/>
      </c>
      <c r="K787" s="26" t="str">
        <f aca="false">IF($M787=0,"",IFERROR(INDEX(LOT_PRODE,MATCH($G787,LOT_KEY,0)),""))</f>
        <v/>
      </c>
      <c r="L787" s="26" t="str">
        <f aca="false">IF($G787="","",IF(IFERROR(INDEX(LOT_ETAT,MATCH($G787,LOT_KEY,0)),"")="","",INDEX(LOT_ETAT,MATCH($G787,LOT_KEY,0))))</f>
        <v/>
      </c>
      <c r="M787" s="73" t="n">
        <f aca="false">IF(ST_RESULTATS!$Q37=0,0,ST_RESULTATS!$F37)</f>
        <v>0</v>
      </c>
      <c r="N787" s="73" t="n">
        <f aca="false">IF($M787=0,0,ST_RESULTATS!$U37*$M787)</f>
        <v>0</v>
      </c>
      <c r="O787" s="26" t="str">
        <f aca="false">IF($M787=0,"",ST_RESULTATS!$T37)</f>
        <v/>
      </c>
      <c r="P787" s="26" t="str">
        <f aca="false">IF($G787="","",IF($G787=R_LOT,COUNTIF($G$5:$G787,R_LOT),""))</f>
        <v/>
      </c>
    </row>
    <row r="788" customFormat="false" ht="15" hidden="false" customHeight="false" outlineLevel="0" collapsed="false">
      <c r="A788" s="28" t="str">
        <f aca="false">IF($M788=0,"",ROW()-4)</f>
        <v/>
      </c>
      <c r="B788" s="26" t="str">
        <f aca="false">IF($M788=0,"","RESULTAT ST")</f>
        <v/>
      </c>
      <c r="C788" s="26" t="str">
        <f aca="false">IF($M788=0,"",ST_RESULTATS!$A38)</f>
        <v/>
      </c>
      <c r="D788" s="31" t="str">
        <f aca="false">IF($M788=0,"",ST_RESULTATS!$W38)</f>
        <v/>
      </c>
      <c r="E788" s="26" t="str">
        <f aca="false">IF($M788=0,"","ENTREE")</f>
        <v/>
      </c>
      <c r="F788" s="26" t="str">
        <f aca="false">IF($M788=0,"","RETOUR SOUS-TRAITANCE")</f>
        <v/>
      </c>
      <c r="G788" s="26" t="str">
        <f aca="false">IF($M788=0,"",ST_RESULTATS!$N38)</f>
        <v/>
      </c>
      <c r="H788" s="26" t="str">
        <f aca="false">IF($G788="","",IFERROR(INDEX(LOT_EXTE,MATCH($G788,LOT_KEY,0)),""))</f>
        <v/>
      </c>
      <c r="I788" s="26" t="str">
        <f aca="false">IF($M788=0,"",ST_RESULTATS!$J38)</f>
        <v/>
      </c>
      <c r="J788" s="26" t="str">
        <f aca="false">IF($I788="","",IFERROR(INDEX(EMPL_CLASSE,MATCH($I788,EMPL_KEY,0)),""))</f>
        <v/>
      </c>
      <c r="K788" s="26" t="str">
        <f aca="false">IF($M788=0,"",IFERROR(INDEX(LOT_PRODE,MATCH($G788,LOT_KEY,0)),""))</f>
        <v/>
      </c>
      <c r="L788" s="26" t="str">
        <f aca="false">IF($G788="","",IF(IFERROR(INDEX(LOT_ETAT,MATCH($G788,LOT_KEY,0)),"")="","",INDEX(LOT_ETAT,MATCH($G788,LOT_KEY,0))))</f>
        <v/>
      </c>
      <c r="M788" s="73" t="n">
        <f aca="false">IF(ST_RESULTATS!$Q38=0,0,ST_RESULTATS!$F38)</f>
        <v>0</v>
      </c>
      <c r="N788" s="73" t="n">
        <f aca="false">IF($M788=0,0,ST_RESULTATS!$U38*$M788)</f>
        <v>0</v>
      </c>
      <c r="O788" s="26" t="str">
        <f aca="false">IF($M788=0,"",ST_RESULTATS!$T38)</f>
        <v/>
      </c>
      <c r="P788" s="26" t="str">
        <f aca="false">IF($G788="","",IF($G788=R_LOT,COUNTIF($G$5:$G788,R_LOT),""))</f>
        <v/>
      </c>
    </row>
    <row r="789" customFormat="false" ht="15" hidden="false" customHeight="false" outlineLevel="0" collapsed="false">
      <c r="A789" s="28" t="str">
        <f aca="false">IF($M789=0,"",ROW()-4)</f>
        <v/>
      </c>
      <c r="B789" s="26" t="str">
        <f aca="false">IF($M789=0,"","RESULTAT ST")</f>
        <v/>
      </c>
      <c r="C789" s="26" t="str">
        <f aca="false">IF($M789=0,"",ST_RESULTATS!$A39)</f>
        <v/>
      </c>
      <c r="D789" s="31" t="str">
        <f aca="false">IF($M789=0,"",ST_RESULTATS!$W39)</f>
        <v/>
      </c>
      <c r="E789" s="26" t="str">
        <f aca="false">IF($M789=0,"","ENTREE")</f>
        <v/>
      </c>
      <c r="F789" s="26" t="str">
        <f aca="false">IF($M789=0,"","RETOUR SOUS-TRAITANCE")</f>
        <v/>
      </c>
      <c r="G789" s="26" t="str">
        <f aca="false">IF($M789=0,"",ST_RESULTATS!$N39)</f>
        <v/>
      </c>
      <c r="H789" s="26" t="str">
        <f aca="false">IF($G789="","",IFERROR(INDEX(LOT_EXTE,MATCH($G789,LOT_KEY,0)),""))</f>
        <v/>
      </c>
      <c r="I789" s="26" t="str">
        <f aca="false">IF($M789=0,"",ST_RESULTATS!$J39)</f>
        <v/>
      </c>
      <c r="J789" s="26" t="str">
        <f aca="false">IF($I789="","",IFERROR(INDEX(EMPL_CLASSE,MATCH($I789,EMPL_KEY,0)),""))</f>
        <v/>
      </c>
      <c r="K789" s="26" t="str">
        <f aca="false">IF($M789=0,"",IFERROR(INDEX(LOT_PRODE,MATCH($G789,LOT_KEY,0)),""))</f>
        <v/>
      </c>
      <c r="L789" s="26" t="str">
        <f aca="false">IF($G789="","",IF(IFERROR(INDEX(LOT_ETAT,MATCH($G789,LOT_KEY,0)),"")="","",INDEX(LOT_ETAT,MATCH($G789,LOT_KEY,0))))</f>
        <v/>
      </c>
      <c r="M789" s="73" t="n">
        <f aca="false">IF(ST_RESULTATS!$Q39=0,0,ST_RESULTATS!$F39)</f>
        <v>0</v>
      </c>
      <c r="N789" s="73" t="n">
        <f aca="false">IF($M789=0,0,ST_RESULTATS!$U39*$M789)</f>
        <v>0</v>
      </c>
      <c r="O789" s="26" t="str">
        <f aca="false">IF($M789=0,"",ST_RESULTATS!$T39)</f>
        <v/>
      </c>
      <c r="P789" s="26" t="str">
        <f aca="false">IF($G789="","",IF($G789=R_LOT,COUNTIF($G$5:$G789,R_LOT),""))</f>
        <v/>
      </c>
    </row>
    <row r="790" customFormat="false" ht="15" hidden="false" customHeight="false" outlineLevel="0" collapsed="false">
      <c r="A790" s="28" t="str">
        <f aca="false">IF($M790=0,"",ROW()-4)</f>
        <v/>
      </c>
      <c r="B790" s="26" t="str">
        <f aca="false">IF($M790=0,"","RESULTAT ST")</f>
        <v/>
      </c>
      <c r="C790" s="26" t="str">
        <f aca="false">IF($M790=0,"",ST_RESULTATS!$A40)</f>
        <v/>
      </c>
      <c r="D790" s="31" t="str">
        <f aca="false">IF($M790=0,"",ST_RESULTATS!$W40)</f>
        <v/>
      </c>
      <c r="E790" s="26" t="str">
        <f aca="false">IF($M790=0,"","ENTREE")</f>
        <v/>
      </c>
      <c r="F790" s="26" t="str">
        <f aca="false">IF($M790=0,"","RETOUR SOUS-TRAITANCE")</f>
        <v/>
      </c>
      <c r="G790" s="26" t="str">
        <f aca="false">IF($M790=0,"",ST_RESULTATS!$N40)</f>
        <v/>
      </c>
      <c r="H790" s="26" t="str">
        <f aca="false">IF($G790="","",IFERROR(INDEX(LOT_EXTE,MATCH($G790,LOT_KEY,0)),""))</f>
        <v/>
      </c>
      <c r="I790" s="26" t="str">
        <f aca="false">IF($M790=0,"",ST_RESULTATS!$J40)</f>
        <v/>
      </c>
      <c r="J790" s="26" t="str">
        <f aca="false">IF($I790="","",IFERROR(INDEX(EMPL_CLASSE,MATCH($I790,EMPL_KEY,0)),""))</f>
        <v/>
      </c>
      <c r="K790" s="26" t="str">
        <f aca="false">IF($M790=0,"",IFERROR(INDEX(LOT_PRODE,MATCH($G790,LOT_KEY,0)),""))</f>
        <v/>
      </c>
      <c r="L790" s="26" t="str">
        <f aca="false">IF($G790="","",IF(IFERROR(INDEX(LOT_ETAT,MATCH($G790,LOT_KEY,0)),"")="","",INDEX(LOT_ETAT,MATCH($G790,LOT_KEY,0))))</f>
        <v/>
      </c>
      <c r="M790" s="73" t="n">
        <f aca="false">IF(ST_RESULTATS!$Q40=0,0,ST_RESULTATS!$F40)</f>
        <v>0</v>
      </c>
      <c r="N790" s="73" t="n">
        <f aca="false">IF($M790=0,0,ST_RESULTATS!$U40*$M790)</f>
        <v>0</v>
      </c>
      <c r="O790" s="26" t="str">
        <f aca="false">IF($M790=0,"",ST_RESULTATS!$T40)</f>
        <v/>
      </c>
      <c r="P790" s="26" t="str">
        <f aca="false">IF($G790="","",IF($G790=R_LOT,COUNTIF($G$5:$G790,R_LOT),""))</f>
        <v/>
      </c>
    </row>
    <row r="791" customFormat="false" ht="15" hidden="false" customHeight="false" outlineLevel="0" collapsed="false">
      <c r="A791" s="28" t="str">
        <f aca="false">IF($M791=0,"",ROW()-4)</f>
        <v/>
      </c>
      <c r="B791" s="26" t="str">
        <f aca="false">IF($M791=0,"","RESULTAT ST")</f>
        <v/>
      </c>
      <c r="C791" s="26" t="str">
        <f aca="false">IF($M791=0,"",ST_RESULTATS!$A41)</f>
        <v/>
      </c>
      <c r="D791" s="31" t="str">
        <f aca="false">IF($M791=0,"",ST_RESULTATS!$W41)</f>
        <v/>
      </c>
      <c r="E791" s="26" t="str">
        <f aca="false">IF($M791=0,"","ENTREE")</f>
        <v/>
      </c>
      <c r="F791" s="26" t="str">
        <f aca="false">IF($M791=0,"","RETOUR SOUS-TRAITANCE")</f>
        <v/>
      </c>
      <c r="G791" s="26" t="str">
        <f aca="false">IF($M791=0,"",ST_RESULTATS!$N41)</f>
        <v/>
      </c>
      <c r="H791" s="26" t="str">
        <f aca="false">IF($G791="","",IFERROR(INDEX(LOT_EXTE,MATCH($G791,LOT_KEY,0)),""))</f>
        <v/>
      </c>
      <c r="I791" s="26" t="str">
        <f aca="false">IF($M791=0,"",ST_RESULTATS!$J41)</f>
        <v/>
      </c>
      <c r="J791" s="26" t="str">
        <f aca="false">IF($I791="","",IFERROR(INDEX(EMPL_CLASSE,MATCH($I791,EMPL_KEY,0)),""))</f>
        <v/>
      </c>
      <c r="K791" s="26" t="str">
        <f aca="false">IF($M791=0,"",IFERROR(INDEX(LOT_PRODE,MATCH($G791,LOT_KEY,0)),""))</f>
        <v/>
      </c>
      <c r="L791" s="26" t="str">
        <f aca="false">IF($G791="","",IF(IFERROR(INDEX(LOT_ETAT,MATCH($G791,LOT_KEY,0)),"")="","",INDEX(LOT_ETAT,MATCH($G791,LOT_KEY,0))))</f>
        <v/>
      </c>
      <c r="M791" s="73" t="n">
        <f aca="false">IF(ST_RESULTATS!$Q41=0,0,ST_RESULTATS!$F41)</f>
        <v>0</v>
      </c>
      <c r="N791" s="73" t="n">
        <f aca="false">IF($M791=0,0,ST_RESULTATS!$U41*$M791)</f>
        <v>0</v>
      </c>
      <c r="O791" s="26" t="str">
        <f aca="false">IF($M791=0,"",ST_RESULTATS!$T41)</f>
        <v/>
      </c>
      <c r="P791" s="26" t="str">
        <f aca="false">IF($G791="","",IF($G791=R_LOT,COUNTIF($G$5:$G791,R_LOT),""))</f>
        <v/>
      </c>
    </row>
    <row r="792" customFormat="false" ht="15" hidden="false" customHeight="false" outlineLevel="0" collapsed="false">
      <c r="A792" s="28" t="str">
        <f aca="false">IF($M792=0,"",ROW()-4)</f>
        <v/>
      </c>
      <c r="B792" s="26" t="str">
        <f aca="false">IF($M792=0,"","RESULTAT ST")</f>
        <v/>
      </c>
      <c r="C792" s="26" t="str">
        <f aca="false">IF($M792=0,"",ST_RESULTATS!$A42)</f>
        <v/>
      </c>
      <c r="D792" s="31" t="str">
        <f aca="false">IF($M792=0,"",ST_RESULTATS!$W42)</f>
        <v/>
      </c>
      <c r="E792" s="26" t="str">
        <f aca="false">IF($M792=0,"","ENTREE")</f>
        <v/>
      </c>
      <c r="F792" s="26" t="str">
        <f aca="false">IF($M792=0,"","RETOUR SOUS-TRAITANCE")</f>
        <v/>
      </c>
      <c r="G792" s="26" t="str">
        <f aca="false">IF($M792=0,"",ST_RESULTATS!$N42)</f>
        <v/>
      </c>
      <c r="H792" s="26" t="str">
        <f aca="false">IF($G792="","",IFERROR(INDEX(LOT_EXTE,MATCH($G792,LOT_KEY,0)),""))</f>
        <v/>
      </c>
      <c r="I792" s="26" t="str">
        <f aca="false">IF($M792=0,"",ST_RESULTATS!$J42)</f>
        <v/>
      </c>
      <c r="J792" s="26" t="str">
        <f aca="false">IF($I792="","",IFERROR(INDEX(EMPL_CLASSE,MATCH($I792,EMPL_KEY,0)),""))</f>
        <v/>
      </c>
      <c r="K792" s="26" t="str">
        <f aca="false">IF($M792=0,"",IFERROR(INDEX(LOT_PRODE,MATCH($G792,LOT_KEY,0)),""))</f>
        <v/>
      </c>
      <c r="L792" s="26" t="str">
        <f aca="false">IF($G792="","",IF(IFERROR(INDEX(LOT_ETAT,MATCH($G792,LOT_KEY,0)),"")="","",INDEX(LOT_ETAT,MATCH($G792,LOT_KEY,0))))</f>
        <v/>
      </c>
      <c r="M792" s="73" t="n">
        <f aca="false">IF(ST_RESULTATS!$Q42=0,0,ST_RESULTATS!$F42)</f>
        <v>0</v>
      </c>
      <c r="N792" s="73" t="n">
        <f aca="false">IF($M792=0,0,ST_RESULTATS!$U42*$M792)</f>
        <v>0</v>
      </c>
      <c r="O792" s="26" t="str">
        <f aca="false">IF($M792=0,"",ST_RESULTATS!$T42)</f>
        <v/>
      </c>
      <c r="P792" s="26" t="str">
        <f aca="false">IF($G792="","",IF($G792=R_LOT,COUNTIF($G$5:$G792,R_LOT),""))</f>
        <v/>
      </c>
    </row>
    <row r="793" customFormat="false" ht="15" hidden="false" customHeight="false" outlineLevel="0" collapsed="false">
      <c r="A793" s="28" t="str">
        <f aca="false">IF($M793=0,"",ROW()-4)</f>
        <v/>
      </c>
      <c r="B793" s="26" t="str">
        <f aca="false">IF($M793=0,"","RESULTAT ST")</f>
        <v/>
      </c>
      <c r="C793" s="26" t="str">
        <f aca="false">IF($M793=0,"",ST_RESULTATS!$A43)</f>
        <v/>
      </c>
      <c r="D793" s="31" t="str">
        <f aca="false">IF($M793=0,"",ST_RESULTATS!$W43)</f>
        <v/>
      </c>
      <c r="E793" s="26" t="str">
        <f aca="false">IF($M793=0,"","ENTREE")</f>
        <v/>
      </c>
      <c r="F793" s="26" t="str">
        <f aca="false">IF($M793=0,"","RETOUR SOUS-TRAITANCE")</f>
        <v/>
      </c>
      <c r="G793" s="26" t="str">
        <f aca="false">IF($M793=0,"",ST_RESULTATS!$N43)</f>
        <v/>
      </c>
      <c r="H793" s="26" t="str">
        <f aca="false">IF($G793="","",IFERROR(INDEX(LOT_EXTE,MATCH($G793,LOT_KEY,0)),""))</f>
        <v/>
      </c>
      <c r="I793" s="26" t="str">
        <f aca="false">IF($M793=0,"",ST_RESULTATS!$J43)</f>
        <v/>
      </c>
      <c r="J793" s="26" t="str">
        <f aca="false">IF($I793="","",IFERROR(INDEX(EMPL_CLASSE,MATCH($I793,EMPL_KEY,0)),""))</f>
        <v/>
      </c>
      <c r="K793" s="26" t="str">
        <f aca="false">IF($M793=0,"",IFERROR(INDEX(LOT_PRODE,MATCH($G793,LOT_KEY,0)),""))</f>
        <v/>
      </c>
      <c r="L793" s="26" t="str">
        <f aca="false">IF($G793="","",IF(IFERROR(INDEX(LOT_ETAT,MATCH($G793,LOT_KEY,0)),"")="","",INDEX(LOT_ETAT,MATCH($G793,LOT_KEY,0))))</f>
        <v/>
      </c>
      <c r="M793" s="73" t="n">
        <f aca="false">IF(ST_RESULTATS!$Q43=0,0,ST_RESULTATS!$F43)</f>
        <v>0</v>
      </c>
      <c r="N793" s="73" t="n">
        <f aca="false">IF($M793=0,0,ST_RESULTATS!$U43*$M793)</f>
        <v>0</v>
      </c>
      <c r="O793" s="26" t="str">
        <f aca="false">IF($M793=0,"",ST_RESULTATS!$T43)</f>
        <v/>
      </c>
      <c r="P793" s="26" t="str">
        <f aca="false">IF($G793="","",IF($G793=R_LOT,COUNTIF($G$5:$G793,R_LOT),""))</f>
        <v/>
      </c>
    </row>
    <row r="794" customFormat="false" ht="15" hidden="false" customHeight="false" outlineLevel="0" collapsed="false">
      <c r="A794" s="28" t="str">
        <f aca="false">IF($M794=0,"",ROW()-4)</f>
        <v/>
      </c>
      <c r="B794" s="26" t="str">
        <f aca="false">IF($M794=0,"","RESULTAT ST")</f>
        <v/>
      </c>
      <c r="C794" s="26" t="str">
        <f aca="false">IF($M794=0,"",ST_RESULTATS!$A44)</f>
        <v/>
      </c>
      <c r="D794" s="31" t="str">
        <f aca="false">IF($M794=0,"",ST_RESULTATS!$W44)</f>
        <v/>
      </c>
      <c r="E794" s="26" t="str">
        <f aca="false">IF($M794=0,"","ENTREE")</f>
        <v/>
      </c>
      <c r="F794" s="26" t="str">
        <f aca="false">IF($M794=0,"","RETOUR SOUS-TRAITANCE")</f>
        <v/>
      </c>
      <c r="G794" s="26" t="str">
        <f aca="false">IF($M794=0,"",ST_RESULTATS!$N44)</f>
        <v/>
      </c>
      <c r="H794" s="26" t="str">
        <f aca="false">IF($G794="","",IFERROR(INDEX(LOT_EXTE,MATCH($G794,LOT_KEY,0)),""))</f>
        <v/>
      </c>
      <c r="I794" s="26" t="str">
        <f aca="false">IF($M794=0,"",ST_RESULTATS!$J44)</f>
        <v/>
      </c>
      <c r="J794" s="26" t="str">
        <f aca="false">IF($I794="","",IFERROR(INDEX(EMPL_CLASSE,MATCH($I794,EMPL_KEY,0)),""))</f>
        <v/>
      </c>
      <c r="K794" s="26" t="str">
        <f aca="false">IF($M794=0,"",IFERROR(INDEX(LOT_PRODE,MATCH($G794,LOT_KEY,0)),""))</f>
        <v/>
      </c>
      <c r="L794" s="26" t="str">
        <f aca="false">IF($G794="","",IF(IFERROR(INDEX(LOT_ETAT,MATCH($G794,LOT_KEY,0)),"")="","",INDEX(LOT_ETAT,MATCH($G794,LOT_KEY,0))))</f>
        <v/>
      </c>
      <c r="M794" s="73" t="n">
        <f aca="false">IF(ST_RESULTATS!$Q44=0,0,ST_RESULTATS!$F44)</f>
        <v>0</v>
      </c>
      <c r="N794" s="73" t="n">
        <f aca="false">IF($M794=0,0,ST_RESULTATS!$U44*$M794)</f>
        <v>0</v>
      </c>
      <c r="O794" s="26" t="str">
        <f aca="false">IF($M794=0,"",ST_RESULTATS!$T44)</f>
        <v/>
      </c>
      <c r="P794" s="26" t="str">
        <f aca="false">IF($G794="","",IF($G794=R_LOT,COUNTIF($G$5:$G794,R_LOT),""))</f>
        <v/>
      </c>
    </row>
    <row r="795" customFormat="false" ht="15" hidden="false" customHeight="false" outlineLevel="0" collapsed="false">
      <c r="A795" s="28" t="str">
        <f aca="false">IF($M795=0,"",ROW()-4)</f>
        <v/>
      </c>
      <c r="B795" s="26" t="str">
        <f aca="false">IF($M795=0,"","RESULTAT ST")</f>
        <v/>
      </c>
      <c r="C795" s="26" t="str">
        <f aca="false">IF($M795=0,"",ST_RESULTATS!$A45)</f>
        <v/>
      </c>
      <c r="D795" s="31" t="str">
        <f aca="false">IF($M795=0,"",ST_RESULTATS!$W45)</f>
        <v/>
      </c>
      <c r="E795" s="26" t="str">
        <f aca="false">IF($M795=0,"","ENTREE")</f>
        <v/>
      </c>
      <c r="F795" s="26" t="str">
        <f aca="false">IF($M795=0,"","RETOUR SOUS-TRAITANCE")</f>
        <v/>
      </c>
      <c r="G795" s="26" t="str">
        <f aca="false">IF($M795=0,"",ST_RESULTATS!$N45)</f>
        <v/>
      </c>
      <c r="H795" s="26" t="str">
        <f aca="false">IF($G795="","",IFERROR(INDEX(LOT_EXTE,MATCH($G795,LOT_KEY,0)),""))</f>
        <v/>
      </c>
      <c r="I795" s="26" t="str">
        <f aca="false">IF($M795=0,"",ST_RESULTATS!$J45)</f>
        <v/>
      </c>
      <c r="J795" s="26" t="str">
        <f aca="false">IF($I795="","",IFERROR(INDEX(EMPL_CLASSE,MATCH($I795,EMPL_KEY,0)),""))</f>
        <v/>
      </c>
      <c r="K795" s="26" t="str">
        <f aca="false">IF($M795=0,"",IFERROR(INDEX(LOT_PRODE,MATCH($G795,LOT_KEY,0)),""))</f>
        <v/>
      </c>
      <c r="L795" s="26" t="str">
        <f aca="false">IF($G795="","",IF(IFERROR(INDEX(LOT_ETAT,MATCH($G795,LOT_KEY,0)),"")="","",INDEX(LOT_ETAT,MATCH($G795,LOT_KEY,0))))</f>
        <v/>
      </c>
      <c r="M795" s="73" t="n">
        <f aca="false">IF(ST_RESULTATS!$Q45=0,0,ST_RESULTATS!$F45)</f>
        <v>0</v>
      </c>
      <c r="N795" s="73" t="n">
        <f aca="false">IF($M795=0,0,ST_RESULTATS!$U45*$M795)</f>
        <v>0</v>
      </c>
      <c r="O795" s="26" t="str">
        <f aca="false">IF($M795=0,"",ST_RESULTATS!$T45)</f>
        <v/>
      </c>
      <c r="P795" s="26" t="str">
        <f aca="false">IF($G795="","",IF($G795=R_LOT,COUNTIF($G$5:$G795,R_LOT),""))</f>
        <v/>
      </c>
    </row>
    <row r="796" customFormat="false" ht="15" hidden="false" customHeight="false" outlineLevel="0" collapsed="false">
      <c r="A796" s="28" t="str">
        <f aca="false">IF($M796=0,"",ROW()-4)</f>
        <v/>
      </c>
      <c r="B796" s="26" t="str">
        <f aca="false">IF($M796=0,"","RESULTAT ST")</f>
        <v/>
      </c>
      <c r="C796" s="26" t="str">
        <f aca="false">IF($M796=0,"",ST_RESULTATS!$A46)</f>
        <v/>
      </c>
      <c r="D796" s="31" t="str">
        <f aca="false">IF($M796=0,"",ST_RESULTATS!$W46)</f>
        <v/>
      </c>
      <c r="E796" s="26" t="str">
        <f aca="false">IF($M796=0,"","ENTREE")</f>
        <v/>
      </c>
      <c r="F796" s="26" t="str">
        <f aca="false">IF($M796=0,"","RETOUR SOUS-TRAITANCE")</f>
        <v/>
      </c>
      <c r="G796" s="26" t="str">
        <f aca="false">IF($M796=0,"",ST_RESULTATS!$N46)</f>
        <v/>
      </c>
      <c r="H796" s="26" t="str">
        <f aca="false">IF($G796="","",IFERROR(INDEX(LOT_EXTE,MATCH($G796,LOT_KEY,0)),""))</f>
        <v/>
      </c>
      <c r="I796" s="26" t="str">
        <f aca="false">IF($M796=0,"",ST_RESULTATS!$J46)</f>
        <v/>
      </c>
      <c r="J796" s="26" t="str">
        <f aca="false">IF($I796="","",IFERROR(INDEX(EMPL_CLASSE,MATCH($I796,EMPL_KEY,0)),""))</f>
        <v/>
      </c>
      <c r="K796" s="26" t="str">
        <f aca="false">IF($M796=0,"",IFERROR(INDEX(LOT_PRODE,MATCH($G796,LOT_KEY,0)),""))</f>
        <v/>
      </c>
      <c r="L796" s="26" t="str">
        <f aca="false">IF($G796="","",IF(IFERROR(INDEX(LOT_ETAT,MATCH($G796,LOT_KEY,0)),"")="","",INDEX(LOT_ETAT,MATCH($G796,LOT_KEY,0))))</f>
        <v/>
      </c>
      <c r="M796" s="73" t="n">
        <f aca="false">IF(ST_RESULTATS!$Q46=0,0,ST_RESULTATS!$F46)</f>
        <v>0</v>
      </c>
      <c r="N796" s="73" t="n">
        <f aca="false">IF($M796=0,0,ST_RESULTATS!$U46*$M796)</f>
        <v>0</v>
      </c>
      <c r="O796" s="26" t="str">
        <f aca="false">IF($M796=0,"",ST_RESULTATS!$T46)</f>
        <v/>
      </c>
      <c r="P796" s="26" t="str">
        <f aca="false">IF($G796="","",IF($G796=R_LOT,COUNTIF($G$5:$G796,R_LOT),""))</f>
        <v/>
      </c>
    </row>
    <row r="797" customFormat="false" ht="15" hidden="false" customHeight="false" outlineLevel="0" collapsed="false">
      <c r="A797" s="28" t="str">
        <f aca="false">IF($M797=0,"",ROW()-4)</f>
        <v/>
      </c>
      <c r="B797" s="26" t="str">
        <f aca="false">IF($M797=0,"","RESULTAT ST")</f>
        <v/>
      </c>
      <c r="C797" s="26" t="str">
        <f aca="false">IF($M797=0,"",ST_RESULTATS!$A47)</f>
        <v/>
      </c>
      <c r="D797" s="31" t="str">
        <f aca="false">IF($M797=0,"",ST_RESULTATS!$W47)</f>
        <v/>
      </c>
      <c r="E797" s="26" t="str">
        <f aca="false">IF($M797=0,"","ENTREE")</f>
        <v/>
      </c>
      <c r="F797" s="26" t="str">
        <f aca="false">IF($M797=0,"","RETOUR SOUS-TRAITANCE")</f>
        <v/>
      </c>
      <c r="G797" s="26" t="str">
        <f aca="false">IF($M797=0,"",ST_RESULTATS!$N47)</f>
        <v/>
      </c>
      <c r="H797" s="26" t="str">
        <f aca="false">IF($G797="","",IFERROR(INDEX(LOT_EXTE,MATCH($G797,LOT_KEY,0)),""))</f>
        <v/>
      </c>
      <c r="I797" s="26" t="str">
        <f aca="false">IF($M797=0,"",ST_RESULTATS!$J47)</f>
        <v/>
      </c>
      <c r="J797" s="26" t="str">
        <f aca="false">IF($I797="","",IFERROR(INDEX(EMPL_CLASSE,MATCH($I797,EMPL_KEY,0)),""))</f>
        <v/>
      </c>
      <c r="K797" s="26" t="str">
        <f aca="false">IF($M797=0,"",IFERROR(INDEX(LOT_PRODE,MATCH($G797,LOT_KEY,0)),""))</f>
        <v/>
      </c>
      <c r="L797" s="26" t="str">
        <f aca="false">IF($G797="","",IF(IFERROR(INDEX(LOT_ETAT,MATCH($G797,LOT_KEY,0)),"")="","",INDEX(LOT_ETAT,MATCH($G797,LOT_KEY,0))))</f>
        <v/>
      </c>
      <c r="M797" s="73" t="n">
        <f aca="false">IF(ST_RESULTATS!$Q47=0,0,ST_RESULTATS!$F47)</f>
        <v>0</v>
      </c>
      <c r="N797" s="73" t="n">
        <f aca="false">IF($M797=0,0,ST_RESULTATS!$U47*$M797)</f>
        <v>0</v>
      </c>
      <c r="O797" s="26" t="str">
        <f aca="false">IF($M797=0,"",ST_RESULTATS!$T47)</f>
        <v/>
      </c>
      <c r="P797" s="26" t="str">
        <f aca="false">IF($G797="","",IF($G797=R_LOT,COUNTIF($G$5:$G797,R_LOT),""))</f>
        <v/>
      </c>
    </row>
    <row r="798" customFormat="false" ht="15" hidden="false" customHeight="false" outlineLevel="0" collapsed="false">
      <c r="A798" s="28" t="str">
        <f aca="false">IF($M798=0,"",ROW()-4)</f>
        <v/>
      </c>
      <c r="B798" s="26" t="str">
        <f aca="false">IF($M798=0,"","RESULTAT ST")</f>
        <v/>
      </c>
      <c r="C798" s="26" t="str">
        <f aca="false">IF($M798=0,"",ST_RESULTATS!$A48)</f>
        <v/>
      </c>
      <c r="D798" s="31" t="str">
        <f aca="false">IF($M798=0,"",ST_RESULTATS!$W48)</f>
        <v/>
      </c>
      <c r="E798" s="26" t="str">
        <f aca="false">IF($M798=0,"","ENTREE")</f>
        <v/>
      </c>
      <c r="F798" s="26" t="str">
        <f aca="false">IF($M798=0,"","RETOUR SOUS-TRAITANCE")</f>
        <v/>
      </c>
      <c r="G798" s="26" t="str">
        <f aca="false">IF($M798=0,"",ST_RESULTATS!$N48)</f>
        <v/>
      </c>
      <c r="H798" s="26" t="str">
        <f aca="false">IF($G798="","",IFERROR(INDEX(LOT_EXTE,MATCH($G798,LOT_KEY,0)),""))</f>
        <v/>
      </c>
      <c r="I798" s="26" t="str">
        <f aca="false">IF($M798=0,"",ST_RESULTATS!$J48)</f>
        <v/>
      </c>
      <c r="J798" s="26" t="str">
        <f aca="false">IF($I798="","",IFERROR(INDEX(EMPL_CLASSE,MATCH($I798,EMPL_KEY,0)),""))</f>
        <v/>
      </c>
      <c r="K798" s="26" t="str">
        <f aca="false">IF($M798=0,"",IFERROR(INDEX(LOT_PRODE,MATCH($G798,LOT_KEY,0)),""))</f>
        <v/>
      </c>
      <c r="L798" s="26" t="str">
        <f aca="false">IF($G798="","",IF(IFERROR(INDEX(LOT_ETAT,MATCH($G798,LOT_KEY,0)),"")="","",INDEX(LOT_ETAT,MATCH($G798,LOT_KEY,0))))</f>
        <v/>
      </c>
      <c r="M798" s="73" t="n">
        <f aca="false">IF(ST_RESULTATS!$Q48=0,0,ST_RESULTATS!$F48)</f>
        <v>0</v>
      </c>
      <c r="N798" s="73" t="n">
        <f aca="false">IF($M798=0,0,ST_RESULTATS!$U48*$M798)</f>
        <v>0</v>
      </c>
      <c r="O798" s="26" t="str">
        <f aca="false">IF($M798=0,"",ST_RESULTATS!$T48)</f>
        <v/>
      </c>
      <c r="P798" s="26" t="str">
        <f aca="false">IF($G798="","",IF($G798=R_LOT,COUNTIF($G$5:$G798,R_LOT),""))</f>
        <v/>
      </c>
    </row>
    <row r="799" customFormat="false" ht="15" hidden="false" customHeight="false" outlineLevel="0" collapsed="false">
      <c r="A799" s="28" t="str">
        <f aca="false">IF($M799=0,"",ROW()-4)</f>
        <v/>
      </c>
      <c r="B799" s="26" t="str">
        <f aca="false">IF($M799=0,"","RESULTAT ST")</f>
        <v/>
      </c>
      <c r="C799" s="26" t="str">
        <f aca="false">IF($M799=0,"",ST_RESULTATS!$A49)</f>
        <v/>
      </c>
      <c r="D799" s="31" t="str">
        <f aca="false">IF($M799=0,"",ST_RESULTATS!$W49)</f>
        <v/>
      </c>
      <c r="E799" s="26" t="str">
        <f aca="false">IF($M799=0,"","ENTREE")</f>
        <v/>
      </c>
      <c r="F799" s="26" t="str">
        <f aca="false">IF($M799=0,"","RETOUR SOUS-TRAITANCE")</f>
        <v/>
      </c>
      <c r="G799" s="26" t="str">
        <f aca="false">IF($M799=0,"",ST_RESULTATS!$N49)</f>
        <v/>
      </c>
      <c r="H799" s="26" t="str">
        <f aca="false">IF($G799="","",IFERROR(INDEX(LOT_EXTE,MATCH($G799,LOT_KEY,0)),""))</f>
        <v/>
      </c>
      <c r="I799" s="26" t="str">
        <f aca="false">IF($M799=0,"",ST_RESULTATS!$J49)</f>
        <v/>
      </c>
      <c r="J799" s="26" t="str">
        <f aca="false">IF($I799="","",IFERROR(INDEX(EMPL_CLASSE,MATCH($I799,EMPL_KEY,0)),""))</f>
        <v/>
      </c>
      <c r="K799" s="26" t="str">
        <f aca="false">IF($M799=0,"",IFERROR(INDEX(LOT_PRODE,MATCH($G799,LOT_KEY,0)),""))</f>
        <v/>
      </c>
      <c r="L799" s="26" t="str">
        <f aca="false">IF($G799="","",IF(IFERROR(INDEX(LOT_ETAT,MATCH($G799,LOT_KEY,0)),"")="","",INDEX(LOT_ETAT,MATCH($G799,LOT_KEY,0))))</f>
        <v/>
      </c>
      <c r="M799" s="73" t="n">
        <f aca="false">IF(ST_RESULTATS!$Q49=0,0,ST_RESULTATS!$F49)</f>
        <v>0</v>
      </c>
      <c r="N799" s="73" t="n">
        <f aca="false">IF($M799=0,0,ST_RESULTATS!$U49*$M799)</f>
        <v>0</v>
      </c>
      <c r="O799" s="26" t="str">
        <f aca="false">IF($M799=0,"",ST_RESULTATS!$T49)</f>
        <v/>
      </c>
      <c r="P799" s="26" t="str">
        <f aca="false">IF($G799="","",IF($G799=R_LOT,COUNTIF($G$5:$G799,R_LOT),""))</f>
        <v/>
      </c>
    </row>
    <row r="800" customFormat="false" ht="15" hidden="false" customHeight="false" outlineLevel="0" collapsed="false">
      <c r="A800" s="28" t="str">
        <f aca="false">IF($M800=0,"",ROW()-4)</f>
        <v/>
      </c>
      <c r="B800" s="26" t="str">
        <f aca="false">IF($M800=0,"","RESULTAT ST")</f>
        <v/>
      </c>
      <c r="C800" s="26" t="str">
        <f aca="false">IF($M800=0,"",ST_RESULTATS!$A50)</f>
        <v/>
      </c>
      <c r="D800" s="31" t="str">
        <f aca="false">IF($M800=0,"",ST_RESULTATS!$W50)</f>
        <v/>
      </c>
      <c r="E800" s="26" t="str">
        <f aca="false">IF($M800=0,"","ENTREE")</f>
        <v/>
      </c>
      <c r="F800" s="26" t="str">
        <f aca="false">IF($M800=0,"","RETOUR SOUS-TRAITANCE")</f>
        <v/>
      </c>
      <c r="G800" s="26" t="str">
        <f aca="false">IF($M800=0,"",ST_RESULTATS!$N50)</f>
        <v/>
      </c>
      <c r="H800" s="26" t="str">
        <f aca="false">IF($G800="","",IFERROR(INDEX(LOT_EXTE,MATCH($G800,LOT_KEY,0)),""))</f>
        <v/>
      </c>
      <c r="I800" s="26" t="str">
        <f aca="false">IF($M800=0,"",ST_RESULTATS!$J50)</f>
        <v/>
      </c>
      <c r="J800" s="26" t="str">
        <f aca="false">IF($I800="","",IFERROR(INDEX(EMPL_CLASSE,MATCH($I800,EMPL_KEY,0)),""))</f>
        <v/>
      </c>
      <c r="K800" s="26" t="str">
        <f aca="false">IF($M800=0,"",IFERROR(INDEX(LOT_PRODE,MATCH($G800,LOT_KEY,0)),""))</f>
        <v/>
      </c>
      <c r="L800" s="26" t="str">
        <f aca="false">IF($G800="","",IF(IFERROR(INDEX(LOT_ETAT,MATCH($G800,LOT_KEY,0)),"")="","",INDEX(LOT_ETAT,MATCH($G800,LOT_KEY,0))))</f>
        <v/>
      </c>
      <c r="M800" s="73" t="n">
        <f aca="false">IF(ST_RESULTATS!$Q50=0,0,ST_RESULTATS!$F50)</f>
        <v>0</v>
      </c>
      <c r="N800" s="73" t="n">
        <f aca="false">IF($M800=0,0,ST_RESULTATS!$U50*$M800)</f>
        <v>0</v>
      </c>
      <c r="O800" s="26" t="str">
        <f aca="false">IF($M800=0,"",ST_RESULTATS!$T50)</f>
        <v/>
      </c>
      <c r="P800" s="26" t="str">
        <f aca="false">IF($G800="","",IF($G800=R_LOT,COUNTIF($G$5:$G800,R_LOT),""))</f>
        <v/>
      </c>
    </row>
    <row r="801" customFormat="false" ht="15" hidden="false" customHeight="false" outlineLevel="0" collapsed="false">
      <c r="A801" s="28" t="str">
        <f aca="false">IF($M801=0,"",ROW()-4)</f>
        <v/>
      </c>
      <c r="B801" s="26" t="str">
        <f aca="false">IF($M801=0,"","RESULTAT ST")</f>
        <v/>
      </c>
      <c r="C801" s="26" t="str">
        <f aca="false">IF($M801=0,"",ST_RESULTATS!$A51)</f>
        <v/>
      </c>
      <c r="D801" s="31" t="str">
        <f aca="false">IF($M801=0,"",ST_RESULTATS!$W51)</f>
        <v/>
      </c>
      <c r="E801" s="26" t="str">
        <f aca="false">IF($M801=0,"","ENTREE")</f>
        <v/>
      </c>
      <c r="F801" s="26" t="str">
        <f aca="false">IF($M801=0,"","RETOUR SOUS-TRAITANCE")</f>
        <v/>
      </c>
      <c r="G801" s="26" t="str">
        <f aca="false">IF($M801=0,"",ST_RESULTATS!$N51)</f>
        <v/>
      </c>
      <c r="H801" s="26" t="str">
        <f aca="false">IF($G801="","",IFERROR(INDEX(LOT_EXTE,MATCH($G801,LOT_KEY,0)),""))</f>
        <v/>
      </c>
      <c r="I801" s="26" t="str">
        <f aca="false">IF($M801=0,"",ST_RESULTATS!$J51)</f>
        <v/>
      </c>
      <c r="J801" s="26" t="str">
        <f aca="false">IF($I801="","",IFERROR(INDEX(EMPL_CLASSE,MATCH($I801,EMPL_KEY,0)),""))</f>
        <v/>
      </c>
      <c r="K801" s="26" t="str">
        <f aca="false">IF($M801=0,"",IFERROR(INDEX(LOT_PRODE,MATCH($G801,LOT_KEY,0)),""))</f>
        <v/>
      </c>
      <c r="L801" s="26" t="str">
        <f aca="false">IF($G801="","",IF(IFERROR(INDEX(LOT_ETAT,MATCH($G801,LOT_KEY,0)),"")="","",INDEX(LOT_ETAT,MATCH($G801,LOT_KEY,0))))</f>
        <v/>
      </c>
      <c r="M801" s="73" t="n">
        <f aca="false">IF(ST_RESULTATS!$Q51=0,0,ST_RESULTATS!$F51)</f>
        <v>0</v>
      </c>
      <c r="N801" s="73" t="n">
        <f aca="false">IF($M801=0,0,ST_RESULTATS!$U51*$M801)</f>
        <v>0</v>
      </c>
      <c r="O801" s="26" t="str">
        <f aca="false">IF($M801=0,"",ST_RESULTATS!$T51)</f>
        <v/>
      </c>
      <c r="P801" s="26" t="str">
        <f aca="false">IF($G801="","",IF($G801=R_LOT,COUNTIF($G$5:$G801,R_LOT),""))</f>
        <v/>
      </c>
    </row>
    <row r="802" customFormat="false" ht="15" hidden="false" customHeight="false" outlineLevel="0" collapsed="false">
      <c r="A802" s="28" t="str">
        <f aca="false">IF($M802=0,"",ROW()-4)</f>
        <v/>
      </c>
      <c r="B802" s="26" t="str">
        <f aca="false">IF($M802=0,"","RESULTAT ST")</f>
        <v/>
      </c>
      <c r="C802" s="26" t="str">
        <f aca="false">IF($M802=0,"",ST_RESULTATS!$A52)</f>
        <v/>
      </c>
      <c r="D802" s="31" t="str">
        <f aca="false">IF($M802=0,"",ST_RESULTATS!$W52)</f>
        <v/>
      </c>
      <c r="E802" s="26" t="str">
        <f aca="false">IF($M802=0,"","ENTREE")</f>
        <v/>
      </c>
      <c r="F802" s="26" t="str">
        <f aca="false">IF($M802=0,"","RETOUR SOUS-TRAITANCE")</f>
        <v/>
      </c>
      <c r="G802" s="26" t="str">
        <f aca="false">IF($M802=0,"",ST_RESULTATS!$N52)</f>
        <v/>
      </c>
      <c r="H802" s="26" t="str">
        <f aca="false">IF($G802="","",IFERROR(INDEX(LOT_EXTE,MATCH($G802,LOT_KEY,0)),""))</f>
        <v/>
      </c>
      <c r="I802" s="26" t="str">
        <f aca="false">IF($M802=0,"",ST_RESULTATS!$J52)</f>
        <v/>
      </c>
      <c r="J802" s="26" t="str">
        <f aca="false">IF($I802="","",IFERROR(INDEX(EMPL_CLASSE,MATCH($I802,EMPL_KEY,0)),""))</f>
        <v/>
      </c>
      <c r="K802" s="26" t="str">
        <f aca="false">IF($M802=0,"",IFERROR(INDEX(LOT_PRODE,MATCH($G802,LOT_KEY,0)),""))</f>
        <v/>
      </c>
      <c r="L802" s="26" t="str">
        <f aca="false">IF($G802="","",IF(IFERROR(INDEX(LOT_ETAT,MATCH($G802,LOT_KEY,0)),"")="","",INDEX(LOT_ETAT,MATCH($G802,LOT_KEY,0))))</f>
        <v/>
      </c>
      <c r="M802" s="73" t="n">
        <f aca="false">IF(ST_RESULTATS!$Q52=0,0,ST_RESULTATS!$F52)</f>
        <v>0</v>
      </c>
      <c r="N802" s="73" t="n">
        <f aca="false">IF($M802=0,0,ST_RESULTATS!$U52*$M802)</f>
        <v>0</v>
      </c>
      <c r="O802" s="26" t="str">
        <f aca="false">IF($M802=0,"",ST_RESULTATS!$T52)</f>
        <v/>
      </c>
      <c r="P802" s="26" t="str">
        <f aca="false">IF($G802="","",IF($G802=R_LOT,COUNTIF($G$5:$G802,R_LOT),""))</f>
        <v/>
      </c>
    </row>
    <row r="803" customFormat="false" ht="15" hidden="false" customHeight="false" outlineLevel="0" collapsed="false">
      <c r="A803" s="28" t="str">
        <f aca="false">IF($M803=0,"",ROW()-4)</f>
        <v/>
      </c>
      <c r="B803" s="26" t="str">
        <f aca="false">IF($M803=0,"","RESULTAT ST")</f>
        <v/>
      </c>
      <c r="C803" s="26" t="str">
        <f aca="false">IF($M803=0,"",ST_RESULTATS!$A53)</f>
        <v/>
      </c>
      <c r="D803" s="31" t="str">
        <f aca="false">IF($M803=0,"",ST_RESULTATS!$W53)</f>
        <v/>
      </c>
      <c r="E803" s="26" t="str">
        <f aca="false">IF($M803=0,"","ENTREE")</f>
        <v/>
      </c>
      <c r="F803" s="26" t="str">
        <f aca="false">IF($M803=0,"","RETOUR SOUS-TRAITANCE")</f>
        <v/>
      </c>
      <c r="G803" s="26" t="str">
        <f aca="false">IF($M803=0,"",ST_RESULTATS!$N53)</f>
        <v/>
      </c>
      <c r="H803" s="26" t="str">
        <f aca="false">IF($G803="","",IFERROR(INDEX(LOT_EXTE,MATCH($G803,LOT_KEY,0)),""))</f>
        <v/>
      </c>
      <c r="I803" s="26" t="str">
        <f aca="false">IF($M803=0,"",ST_RESULTATS!$J53)</f>
        <v/>
      </c>
      <c r="J803" s="26" t="str">
        <f aca="false">IF($I803="","",IFERROR(INDEX(EMPL_CLASSE,MATCH($I803,EMPL_KEY,0)),""))</f>
        <v/>
      </c>
      <c r="K803" s="26" t="str">
        <f aca="false">IF($M803=0,"",IFERROR(INDEX(LOT_PRODE,MATCH($G803,LOT_KEY,0)),""))</f>
        <v/>
      </c>
      <c r="L803" s="26" t="str">
        <f aca="false">IF($G803="","",IF(IFERROR(INDEX(LOT_ETAT,MATCH($G803,LOT_KEY,0)),"")="","",INDEX(LOT_ETAT,MATCH($G803,LOT_KEY,0))))</f>
        <v/>
      </c>
      <c r="M803" s="73" t="n">
        <f aca="false">IF(ST_RESULTATS!$Q53=0,0,ST_RESULTATS!$F53)</f>
        <v>0</v>
      </c>
      <c r="N803" s="73" t="n">
        <f aca="false">IF($M803=0,0,ST_RESULTATS!$U53*$M803)</f>
        <v>0</v>
      </c>
      <c r="O803" s="26" t="str">
        <f aca="false">IF($M803=0,"",ST_RESULTATS!$T53)</f>
        <v/>
      </c>
      <c r="P803" s="26" t="str">
        <f aca="false">IF($G803="","",IF($G803=R_LOT,COUNTIF($G$5:$G803,R_LOT),""))</f>
        <v/>
      </c>
    </row>
    <row r="804" customFormat="false" ht="15" hidden="false" customHeight="false" outlineLevel="0" collapsed="false">
      <c r="A804" s="28" t="str">
        <f aca="false">IF($M804=0,"",ROW()-4)</f>
        <v/>
      </c>
      <c r="B804" s="26" t="str">
        <f aca="false">IF($M804=0,"","RESULTAT ST")</f>
        <v/>
      </c>
      <c r="C804" s="26" t="str">
        <f aca="false">IF($M804=0,"",ST_RESULTATS!$A54)</f>
        <v/>
      </c>
      <c r="D804" s="31" t="str">
        <f aca="false">IF($M804=0,"",ST_RESULTATS!$W54)</f>
        <v/>
      </c>
      <c r="E804" s="26" t="str">
        <f aca="false">IF($M804=0,"","ENTREE")</f>
        <v/>
      </c>
      <c r="F804" s="26" t="str">
        <f aca="false">IF($M804=0,"","RETOUR SOUS-TRAITANCE")</f>
        <v/>
      </c>
      <c r="G804" s="26" t="str">
        <f aca="false">IF($M804=0,"",ST_RESULTATS!$N54)</f>
        <v/>
      </c>
      <c r="H804" s="26" t="str">
        <f aca="false">IF($G804="","",IFERROR(INDEX(LOT_EXTE,MATCH($G804,LOT_KEY,0)),""))</f>
        <v/>
      </c>
      <c r="I804" s="26" t="str">
        <f aca="false">IF($M804=0,"",ST_RESULTATS!$J54)</f>
        <v/>
      </c>
      <c r="J804" s="26" t="str">
        <f aca="false">IF($I804="","",IFERROR(INDEX(EMPL_CLASSE,MATCH($I804,EMPL_KEY,0)),""))</f>
        <v/>
      </c>
      <c r="K804" s="26" t="str">
        <f aca="false">IF($M804=0,"",IFERROR(INDEX(LOT_PRODE,MATCH($G804,LOT_KEY,0)),""))</f>
        <v/>
      </c>
      <c r="L804" s="26" t="str">
        <f aca="false">IF($G804="","",IF(IFERROR(INDEX(LOT_ETAT,MATCH($G804,LOT_KEY,0)),"")="","",INDEX(LOT_ETAT,MATCH($G804,LOT_KEY,0))))</f>
        <v/>
      </c>
      <c r="M804" s="73" t="n">
        <f aca="false">IF(ST_RESULTATS!$Q54=0,0,ST_RESULTATS!$F54)</f>
        <v>0</v>
      </c>
      <c r="N804" s="73" t="n">
        <f aca="false">IF($M804=0,0,ST_RESULTATS!$U54*$M804)</f>
        <v>0</v>
      </c>
      <c r="O804" s="26" t="str">
        <f aca="false">IF($M804=0,"",ST_RESULTATS!$T54)</f>
        <v/>
      </c>
      <c r="P804" s="26" t="str">
        <f aca="false">IF($G804="","",IF($G804=R_LOT,COUNTIF($G$5:$G804,R_LOT),""))</f>
        <v/>
      </c>
    </row>
    <row r="805" customFormat="false" ht="15" hidden="false" customHeight="false" outlineLevel="0" collapsed="false">
      <c r="A805" s="28" t="str">
        <f aca="false">IF($M805=0,"",ROW()-4)</f>
        <v/>
      </c>
      <c r="B805" s="26" t="str">
        <f aca="false">IF($M805=0,"","RESULTAT ST")</f>
        <v/>
      </c>
      <c r="C805" s="26" t="str">
        <f aca="false">IF($M805=0,"",ST_RESULTATS!$A55)</f>
        <v/>
      </c>
      <c r="D805" s="31" t="str">
        <f aca="false">IF($M805=0,"",ST_RESULTATS!$W55)</f>
        <v/>
      </c>
      <c r="E805" s="26" t="str">
        <f aca="false">IF($M805=0,"","ENTREE")</f>
        <v/>
      </c>
      <c r="F805" s="26" t="str">
        <f aca="false">IF($M805=0,"","RETOUR SOUS-TRAITANCE")</f>
        <v/>
      </c>
      <c r="G805" s="26" t="str">
        <f aca="false">IF($M805=0,"",ST_RESULTATS!$N55)</f>
        <v/>
      </c>
      <c r="H805" s="26" t="str">
        <f aca="false">IF($G805="","",IFERROR(INDEX(LOT_EXTE,MATCH($G805,LOT_KEY,0)),""))</f>
        <v/>
      </c>
      <c r="I805" s="26" t="str">
        <f aca="false">IF($M805=0,"",ST_RESULTATS!$J55)</f>
        <v/>
      </c>
      <c r="J805" s="26" t="str">
        <f aca="false">IF($I805="","",IFERROR(INDEX(EMPL_CLASSE,MATCH($I805,EMPL_KEY,0)),""))</f>
        <v/>
      </c>
      <c r="K805" s="26" t="str">
        <f aca="false">IF($M805=0,"",IFERROR(INDEX(LOT_PRODE,MATCH($G805,LOT_KEY,0)),""))</f>
        <v/>
      </c>
      <c r="L805" s="26" t="str">
        <f aca="false">IF($G805="","",IF(IFERROR(INDEX(LOT_ETAT,MATCH($G805,LOT_KEY,0)),"")="","",INDEX(LOT_ETAT,MATCH($G805,LOT_KEY,0))))</f>
        <v/>
      </c>
      <c r="M805" s="73" t="n">
        <f aca="false">IF(ST_RESULTATS!$Q55=0,0,ST_RESULTATS!$F55)</f>
        <v>0</v>
      </c>
      <c r="N805" s="73" t="n">
        <f aca="false">IF($M805=0,0,ST_RESULTATS!$U55*$M805)</f>
        <v>0</v>
      </c>
      <c r="O805" s="26" t="str">
        <f aca="false">IF($M805=0,"",ST_RESULTATS!$T55)</f>
        <v/>
      </c>
      <c r="P805" s="26" t="str">
        <f aca="false">IF($G805="","",IF($G805=R_LOT,COUNTIF($G$5:$G805,R_LOT),""))</f>
        <v/>
      </c>
    </row>
    <row r="806" customFormat="false" ht="15" hidden="false" customHeight="false" outlineLevel="0" collapsed="false">
      <c r="A806" s="28" t="str">
        <f aca="false">IF($M806=0,"",ROW()-4)</f>
        <v/>
      </c>
      <c r="B806" s="26" t="str">
        <f aca="false">IF($M806=0,"","RESULTAT ST")</f>
        <v/>
      </c>
      <c r="C806" s="26" t="str">
        <f aca="false">IF($M806=0,"",ST_RESULTATS!$A56)</f>
        <v/>
      </c>
      <c r="D806" s="31" t="str">
        <f aca="false">IF($M806=0,"",ST_RESULTATS!$W56)</f>
        <v/>
      </c>
      <c r="E806" s="26" t="str">
        <f aca="false">IF($M806=0,"","ENTREE")</f>
        <v/>
      </c>
      <c r="F806" s="26" t="str">
        <f aca="false">IF($M806=0,"","RETOUR SOUS-TRAITANCE")</f>
        <v/>
      </c>
      <c r="G806" s="26" t="str">
        <f aca="false">IF($M806=0,"",ST_RESULTATS!$N56)</f>
        <v/>
      </c>
      <c r="H806" s="26" t="str">
        <f aca="false">IF($G806="","",IFERROR(INDEX(LOT_EXTE,MATCH($G806,LOT_KEY,0)),""))</f>
        <v/>
      </c>
      <c r="I806" s="26" t="str">
        <f aca="false">IF($M806=0,"",ST_RESULTATS!$J56)</f>
        <v/>
      </c>
      <c r="J806" s="26" t="str">
        <f aca="false">IF($I806="","",IFERROR(INDEX(EMPL_CLASSE,MATCH($I806,EMPL_KEY,0)),""))</f>
        <v/>
      </c>
      <c r="K806" s="26" t="str">
        <f aca="false">IF($M806=0,"",IFERROR(INDEX(LOT_PRODE,MATCH($G806,LOT_KEY,0)),""))</f>
        <v/>
      </c>
      <c r="L806" s="26" t="str">
        <f aca="false">IF($G806="","",IF(IFERROR(INDEX(LOT_ETAT,MATCH($G806,LOT_KEY,0)),"")="","",INDEX(LOT_ETAT,MATCH($G806,LOT_KEY,0))))</f>
        <v/>
      </c>
      <c r="M806" s="73" t="n">
        <f aca="false">IF(ST_RESULTATS!$Q56=0,0,ST_RESULTATS!$F56)</f>
        <v>0</v>
      </c>
      <c r="N806" s="73" t="n">
        <f aca="false">IF($M806=0,0,ST_RESULTATS!$U56*$M806)</f>
        <v>0</v>
      </c>
      <c r="O806" s="26" t="str">
        <f aca="false">IF($M806=0,"",ST_RESULTATS!$T56)</f>
        <v/>
      </c>
      <c r="P806" s="26" t="str">
        <f aca="false">IF($G806="","",IF($G806=R_LOT,COUNTIF($G$5:$G806,R_LOT),""))</f>
        <v/>
      </c>
    </row>
    <row r="807" customFormat="false" ht="15" hidden="false" customHeight="false" outlineLevel="0" collapsed="false">
      <c r="A807" s="28" t="str">
        <f aca="false">IF($M807=0,"",ROW()-4)</f>
        <v/>
      </c>
      <c r="B807" s="26" t="str">
        <f aca="false">IF($M807=0,"","RESULTAT ST")</f>
        <v/>
      </c>
      <c r="C807" s="26" t="str">
        <f aca="false">IF($M807=0,"",ST_RESULTATS!$A57)</f>
        <v/>
      </c>
      <c r="D807" s="31" t="str">
        <f aca="false">IF($M807=0,"",ST_RESULTATS!$W57)</f>
        <v/>
      </c>
      <c r="E807" s="26" t="str">
        <f aca="false">IF($M807=0,"","ENTREE")</f>
        <v/>
      </c>
      <c r="F807" s="26" t="str">
        <f aca="false">IF($M807=0,"","RETOUR SOUS-TRAITANCE")</f>
        <v/>
      </c>
      <c r="G807" s="26" t="str">
        <f aca="false">IF($M807=0,"",ST_RESULTATS!$N57)</f>
        <v/>
      </c>
      <c r="H807" s="26" t="str">
        <f aca="false">IF($G807="","",IFERROR(INDEX(LOT_EXTE,MATCH($G807,LOT_KEY,0)),""))</f>
        <v/>
      </c>
      <c r="I807" s="26" t="str">
        <f aca="false">IF($M807=0,"",ST_RESULTATS!$J57)</f>
        <v/>
      </c>
      <c r="J807" s="26" t="str">
        <f aca="false">IF($I807="","",IFERROR(INDEX(EMPL_CLASSE,MATCH($I807,EMPL_KEY,0)),""))</f>
        <v/>
      </c>
      <c r="K807" s="26" t="str">
        <f aca="false">IF($M807=0,"",IFERROR(INDEX(LOT_PRODE,MATCH($G807,LOT_KEY,0)),""))</f>
        <v/>
      </c>
      <c r="L807" s="26" t="str">
        <f aca="false">IF($G807="","",IF(IFERROR(INDEX(LOT_ETAT,MATCH($G807,LOT_KEY,0)),"")="","",INDEX(LOT_ETAT,MATCH($G807,LOT_KEY,0))))</f>
        <v/>
      </c>
      <c r="M807" s="73" t="n">
        <f aca="false">IF(ST_RESULTATS!$Q57=0,0,ST_RESULTATS!$F57)</f>
        <v>0</v>
      </c>
      <c r="N807" s="73" t="n">
        <f aca="false">IF($M807=0,0,ST_RESULTATS!$U57*$M807)</f>
        <v>0</v>
      </c>
      <c r="O807" s="26" t="str">
        <f aca="false">IF($M807=0,"",ST_RESULTATS!$T57)</f>
        <v/>
      </c>
      <c r="P807" s="26" t="str">
        <f aca="false">IF($G807="","",IF($G807=R_LOT,COUNTIF($G$5:$G807,R_LOT),""))</f>
        <v/>
      </c>
    </row>
    <row r="808" customFormat="false" ht="15" hidden="false" customHeight="false" outlineLevel="0" collapsed="false">
      <c r="A808" s="28" t="str">
        <f aca="false">IF($M808=0,"",ROW()-4)</f>
        <v/>
      </c>
      <c r="B808" s="26" t="str">
        <f aca="false">IF($M808=0,"","RESULTAT ST")</f>
        <v/>
      </c>
      <c r="C808" s="26" t="str">
        <f aca="false">IF($M808=0,"",ST_RESULTATS!$A58)</f>
        <v/>
      </c>
      <c r="D808" s="31" t="str">
        <f aca="false">IF($M808=0,"",ST_RESULTATS!$W58)</f>
        <v/>
      </c>
      <c r="E808" s="26" t="str">
        <f aca="false">IF($M808=0,"","ENTREE")</f>
        <v/>
      </c>
      <c r="F808" s="26" t="str">
        <f aca="false">IF($M808=0,"","RETOUR SOUS-TRAITANCE")</f>
        <v/>
      </c>
      <c r="G808" s="26" t="str">
        <f aca="false">IF($M808=0,"",ST_RESULTATS!$N58)</f>
        <v/>
      </c>
      <c r="H808" s="26" t="str">
        <f aca="false">IF($G808="","",IFERROR(INDEX(LOT_EXTE,MATCH($G808,LOT_KEY,0)),""))</f>
        <v/>
      </c>
      <c r="I808" s="26" t="str">
        <f aca="false">IF($M808=0,"",ST_RESULTATS!$J58)</f>
        <v/>
      </c>
      <c r="J808" s="26" t="str">
        <f aca="false">IF($I808="","",IFERROR(INDEX(EMPL_CLASSE,MATCH($I808,EMPL_KEY,0)),""))</f>
        <v/>
      </c>
      <c r="K808" s="26" t="str">
        <f aca="false">IF($M808=0,"",IFERROR(INDEX(LOT_PRODE,MATCH($G808,LOT_KEY,0)),""))</f>
        <v/>
      </c>
      <c r="L808" s="26" t="str">
        <f aca="false">IF($G808="","",IF(IFERROR(INDEX(LOT_ETAT,MATCH($G808,LOT_KEY,0)),"")="","",INDEX(LOT_ETAT,MATCH($G808,LOT_KEY,0))))</f>
        <v/>
      </c>
      <c r="M808" s="73" t="n">
        <f aca="false">IF(ST_RESULTATS!$Q58=0,0,ST_RESULTATS!$F58)</f>
        <v>0</v>
      </c>
      <c r="N808" s="73" t="n">
        <f aca="false">IF($M808=0,0,ST_RESULTATS!$U58*$M808)</f>
        <v>0</v>
      </c>
      <c r="O808" s="26" t="str">
        <f aca="false">IF($M808=0,"",ST_RESULTATS!$T58)</f>
        <v/>
      </c>
      <c r="P808" s="26" t="str">
        <f aca="false">IF($G808="","",IF($G808=R_LOT,COUNTIF($G$5:$G808,R_LOT),""))</f>
        <v/>
      </c>
    </row>
    <row r="809" customFormat="false" ht="15" hidden="false" customHeight="false" outlineLevel="0" collapsed="false">
      <c r="A809" s="28" t="str">
        <f aca="false">IF($M809=0,"",ROW()-4)</f>
        <v/>
      </c>
      <c r="B809" s="26" t="str">
        <f aca="false">IF($M809=0,"","RESULTAT ST")</f>
        <v/>
      </c>
      <c r="C809" s="26" t="str">
        <f aca="false">IF($M809=0,"",ST_RESULTATS!$A59)</f>
        <v/>
      </c>
      <c r="D809" s="31" t="str">
        <f aca="false">IF($M809=0,"",ST_RESULTATS!$W59)</f>
        <v/>
      </c>
      <c r="E809" s="26" t="str">
        <f aca="false">IF($M809=0,"","ENTREE")</f>
        <v/>
      </c>
      <c r="F809" s="26" t="str">
        <f aca="false">IF($M809=0,"","RETOUR SOUS-TRAITANCE")</f>
        <v/>
      </c>
      <c r="G809" s="26" t="str">
        <f aca="false">IF($M809=0,"",ST_RESULTATS!$N59)</f>
        <v/>
      </c>
      <c r="H809" s="26" t="str">
        <f aca="false">IF($G809="","",IFERROR(INDEX(LOT_EXTE,MATCH($G809,LOT_KEY,0)),""))</f>
        <v/>
      </c>
      <c r="I809" s="26" t="str">
        <f aca="false">IF($M809=0,"",ST_RESULTATS!$J59)</f>
        <v/>
      </c>
      <c r="J809" s="26" t="str">
        <f aca="false">IF($I809="","",IFERROR(INDEX(EMPL_CLASSE,MATCH($I809,EMPL_KEY,0)),""))</f>
        <v/>
      </c>
      <c r="K809" s="26" t="str">
        <f aca="false">IF($M809=0,"",IFERROR(INDEX(LOT_PRODE,MATCH($G809,LOT_KEY,0)),""))</f>
        <v/>
      </c>
      <c r="L809" s="26" t="str">
        <f aca="false">IF($G809="","",IF(IFERROR(INDEX(LOT_ETAT,MATCH($G809,LOT_KEY,0)),"")="","",INDEX(LOT_ETAT,MATCH($G809,LOT_KEY,0))))</f>
        <v/>
      </c>
      <c r="M809" s="73" t="n">
        <f aca="false">IF(ST_RESULTATS!$Q59=0,0,ST_RESULTATS!$F59)</f>
        <v>0</v>
      </c>
      <c r="N809" s="73" t="n">
        <f aca="false">IF($M809=0,0,ST_RESULTATS!$U59*$M809)</f>
        <v>0</v>
      </c>
      <c r="O809" s="26" t="str">
        <f aca="false">IF($M809=0,"",ST_RESULTATS!$T59)</f>
        <v/>
      </c>
      <c r="P809" s="26" t="str">
        <f aca="false">IF($G809="","",IF($G809=R_LOT,COUNTIF($G$5:$G809,R_LOT),""))</f>
        <v/>
      </c>
    </row>
    <row r="810" customFormat="false" ht="15" hidden="false" customHeight="false" outlineLevel="0" collapsed="false">
      <c r="A810" s="28" t="str">
        <f aca="false">IF($M810=0,"",ROW()-4)</f>
        <v/>
      </c>
      <c r="B810" s="26" t="str">
        <f aca="false">IF($M810=0,"","RESULTAT ST")</f>
        <v/>
      </c>
      <c r="C810" s="26" t="str">
        <f aca="false">IF($M810=0,"",ST_RESULTATS!$A60)</f>
        <v/>
      </c>
      <c r="D810" s="31" t="str">
        <f aca="false">IF($M810=0,"",ST_RESULTATS!$W60)</f>
        <v/>
      </c>
      <c r="E810" s="26" t="str">
        <f aca="false">IF($M810=0,"","ENTREE")</f>
        <v/>
      </c>
      <c r="F810" s="26" t="str">
        <f aca="false">IF($M810=0,"","RETOUR SOUS-TRAITANCE")</f>
        <v/>
      </c>
      <c r="G810" s="26" t="str">
        <f aca="false">IF($M810=0,"",ST_RESULTATS!$N60)</f>
        <v/>
      </c>
      <c r="H810" s="26" t="str">
        <f aca="false">IF($G810="","",IFERROR(INDEX(LOT_EXTE,MATCH($G810,LOT_KEY,0)),""))</f>
        <v/>
      </c>
      <c r="I810" s="26" t="str">
        <f aca="false">IF($M810=0,"",ST_RESULTATS!$J60)</f>
        <v/>
      </c>
      <c r="J810" s="26" t="str">
        <f aca="false">IF($I810="","",IFERROR(INDEX(EMPL_CLASSE,MATCH($I810,EMPL_KEY,0)),""))</f>
        <v/>
      </c>
      <c r="K810" s="26" t="str">
        <f aca="false">IF($M810=0,"",IFERROR(INDEX(LOT_PRODE,MATCH($G810,LOT_KEY,0)),""))</f>
        <v/>
      </c>
      <c r="L810" s="26" t="str">
        <f aca="false">IF($G810="","",IF(IFERROR(INDEX(LOT_ETAT,MATCH($G810,LOT_KEY,0)),"")="","",INDEX(LOT_ETAT,MATCH($G810,LOT_KEY,0))))</f>
        <v/>
      </c>
      <c r="M810" s="73" t="n">
        <f aca="false">IF(ST_RESULTATS!$Q60=0,0,ST_RESULTATS!$F60)</f>
        <v>0</v>
      </c>
      <c r="N810" s="73" t="n">
        <f aca="false">IF($M810=0,0,ST_RESULTATS!$U60*$M810)</f>
        <v>0</v>
      </c>
      <c r="O810" s="26" t="str">
        <f aca="false">IF($M810=0,"",ST_RESULTATS!$T60)</f>
        <v/>
      </c>
      <c r="P810" s="26" t="str">
        <f aca="false">IF($G810="","",IF($G810=R_LOT,COUNTIF($G$5:$G810,R_LOT),""))</f>
        <v/>
      </c>
    </row>
    <row r="811" customFormat="false" ht="15" hidden="false" customHeight="false" outlineLevel="0" collapsed="false">
      <c r="A811" s="28" t="str">
        <f aca="false">IF($M811=0,"",ROW()-4)</f>
        <v/>
      </c>
      <c r="B811" s="26" t="str">
        <f aca="false">IF($M811=0,"","RESULTAT ST")</f>
        <v/>
      </c>
      <c r="C811" s="26" t="str">
        <f aca="false">IF($M811=0,"",ST_RESULTATS!$A61)</f>
        <v/>
      </c>
      <c r="D811" s="31" t="str">
        <f aca="false">IF($M811=0,"",ST_RESULTATS!$W61)</f>
        <v/>
      </c>
      <c r="E811" s="26" t="str">
        <f aca="false">IF($M811=0,"","ENTREE")</f>
        <v/>
      </c>
      <c r="F811" s="26" t="str">
        <f aca="false">IF($M811=0,"","RETOUR SOUS-TRAITANCE")</f>
        <v/>
      </c>
      <c r="G811" s="26" t="str">
        <f aca="false">IF($M811=0,"",ST_RESULTATS!$N61)</f>
        <v/>
      </c>
      <c r="H811" s="26" t="str">
        <f aca="false">IF($G811="","",IFERROR(INDEX(LOT_EXTE,MATCH($G811,LOT_KEY,0)),""))</f>
        <v/>
      </c>
      <c r="I811" s="26" t="str">
        <f aca="false">IF($M811=0,"",ST_RESULTATS!$J61)</f>
        <v/>
      </c>
      <c r="J811" s="26" t="str">
        <f aca="false">IF($I811="","",IFERROR(INDEX(EMPL_CLASSE,MATCH($I811,EMPL_KEY,0)),""))</f>
        <v/>
      </c>
      <c r="K811" s="26" t="str">
        <f aca="false">IF($M811=0,"",IFERROR(INDEX(LOT_PRODE,MATCH($G811,LOT_KEY,0)),""))</f>
        <v/>
      </c>
      <c r="L811" s="26" t="str">
        <f aca="false">IF($G811="","",IF(IFERROR(INDEX(LOT_ETAT,MATCH($G811,LOT_KEY,0)),"")="","",INDEX(LOT_ETAT,MATCH($G811,LOT_KEY,0))))</f>
        <v/>
      </c>
      <c r="M811" s="73" t="n">
        <f aca="false">IF(ST_RESULTATS!$Q61=0,0,ST_RESULTATS!$F61)</f>
        <v>0</v>
      </c>
      <c r="N811" s="73" t="n">
        <f aca="false">IF($M811=0,0,ST_RESULTATS!$U61*$M811)</f>
        <v>0</v>
      </c>
      <c r="O811" s="26" t="str">
        <f aca="false">IF($M811=0,"",ST_RESULTATS!$T61)</f>
        <v/>
      </c>
      <c r="P811" s="26" t="str">
        <f aca="false">IF($G811="","",IF($G811=R_LOT,COUNTIF($G$5:$G811,R_LOT),""))</f>
        <v/>
      </c>
    </row>
    <row r="812" customFormat="false" ht="15" hidden="false" customHeight="false" outlineLevel="0" collapsed="false">
      <c r="A812" s="28" t="str">
        <f aca="false">IF($M812=0,"",ROW()-4)</f>
        <v/>
      </c>
      <c r="B812" s="26" t="str">
        <f aca="false">IF($M812=0,"","RESULTAT ST")</f>
        <v/>
      </c>
      <c r="C812" s="26" t="str">
        <f aca="false">IF($M812=0,"",ST_RESULTATS!$A62)</f>
        <v/>
      </c>
      <c r="D812" s="31" t="str">
        <f aca="false">IF($M812=0,"",ST_RESULTATS!$W62)</f>
        <v/>
      </c>
      <c r="E812" s="26" t="str">
        <f aca="false">IF($M812=0,"","ENTREE")</f>
        <v/>
      </c>
      <c r="F812" s="26" t="str">
        <f aca="false">IF($M812=0,"","RETOUR SOUS-TRAITANCE")</f>
        <v/>
      </c>
      <c r="G812" s="26" t="str">
        <f aca="false">IF($M812=0,"",ST_RESULTATS!$N62)</f>
        <v/>
      </c>
      <c r="H812" s="26" t="str">
        <f aca="false">IF($G812="","",IFERROR(INDEX(LOT_EXTE,MATCH($G812,LOT_KEY,0)),""))</f>
        <v/>
      </c>
      <c r="I812" s="26" t="str">
        <f aca="false">IF($M812=0,"",ST_RESULTATS!$J62)</f>
        <v/>
      </c>
      <c r="J812" s="26" t="str">
        <f aca="false">IF($I812="","",IFERROR(INDEX(EMPL_CLASSE,MATCH($I812,EMPL_KEY,0)),""))</f>
        <v/>
      </c>
      <c r="K812" s="26" t="str">
        <f aca="false">IF($M812=0,"",IFERROR(INDEX(LOT_PRODE,MATCH($G812,LOT_KEY,0)),""))</f>
        <v/>
      </c>
      <c r="L812" s="26" t="str">
        <f aca="false">IF($G812="","",IF(IFERROR(INDEX(LOT_ETAT,MATCH($G812,LOT_KEY,0)),"")="","",INDEX(LOT_ETAT,MATCH($G812,LOT_KEY,0))))</f>
        <v/>
      </c>
      <c r="M812" s="73" t="n">
        <f aca="false">IF(ST_RESULTATS!$Q62=0,0,ST_RESULTATS!$F62)</f>
        <v>0</v>
      </c>
      <c r="N812" s="73" t="n">
        <f aca="false">IF($M812=0,0,ST_RESULTATS!$U62*$M812)</f>
        <v>0</v>
      </c>
      <c r="O812" s="26" t="str">
        <f aca="false">IF($M812=0,"",ST_RESULTATS!$T62)</f>
        <v/>
      </c>
      <c r="P812" s="26" t="str">
        <f aca="false">IF($G812="","",IF($G812=R_LOT,COUNTIF($G$5:$G812,R_LOT),""))</f>
        <v/>
      </c>
    </row>
    <row r="813" customFormat="false" ht="15" hidden="false" customHeight="false" outlineLevel="0" collapsed="false">
      <c r="A813" s="28" t="str">
        <f aca="false">IF($M813=0,"",ROW()-4)</f>
        <v/>
      </c>
      <c r="B813" s="26" t="str">
        <f aca="false">IF($M813=0,"","RESULTAT ST")</f>
        <v/>
      </c>
      <c r="C813" s="26" t="str">
        <f aca="false">IF($M813=0,"",ST_RESULTATS!$A63)</f>
        <v/>
      </c>
      <c r="D813" s="31" t="str">
        <f aca="false">IF($M813=0,"",ST_RESULTATS!$W63)</f>
        <v/>
      </c>
      <c r="E813" s="26" t="str">
        <f aca="false">IF($M813=0,"","ENTREE")</f>
        <v/>
      </c>
      <c r="F813" s="26" t="str">
        <f aca="false">IF($M813=0,"","RETOUR SOUS-TRAITANCE")</f>
        <v/>
      </c>
      <c r="G813" s="26" t="str">
        <f aca="false">IF($M813=0,"",ST_RESULTATS!$N63)</f>
        <v/>
      </c>
      <c r="H813" s="26" t="str">
        <f aca="false">IF($G813="","",IFERROR(INDEX(LOT_EXTE,MATCH($G813,LOT_KEY,0)),""))</f>
        <v/>
      </c>
      <c r="I813" s="26" t="str">
        <f aca="false">IF($M813=0,"",ST_RESULTATS!$J63)</f>
        <v/>
      </c>
      <c r="J813" s="26" t="str">
        <f aca="false">IF($I813="","",IFERROR(INDEX(EMPL_CLASSE,MATCH($I813,EMPL_KEY,0)),""))</f>
        <v/>
      </c>
      <c r="K813" s="26" t="str">
        <f aca="false">IF($M813=0,"",IFERROR(INDEX(LOT_PRODE,MATCH($G813,LOT_KEY,0)),""))</f>
        <v/>
      </c>
      <c r="L813" s="26" t="str">
        <f aca="false">IF($G813="","",IF(IFERROR(INDEX(LOT_ETAT,MATCH($G813,LOT_KEY,0)),"")="","",INDEX(LOT_ETAT,MATCH($G813,LOT_KEY,0))))</f>
        <v/>
      </c>
      <c r="M813" s="73" t="n">
        <f aca="false">IF(ST_RESULTATS!$Q63=0,0,ST_RESULTATS!$F63)</f>
        <v>0</v>
      </c>
      <c r="N813" s="73" t="n">
        <f aca="false">IF($M813=0,0,ST_RESULTATS!$U63*$M813)</f>
        <v>0</v>
      </c>
      <c r="O813" s="26" t="str">
        <f aca="false">IF($M813=0,"",ST_RESULTATS!$T63)</f>
        <v/>
      </c>
      <c r="P813" s="26" t="str">
        <f aca="false">IF($G813="","",IF($G813=R_LOT,COUNTIF($G$5:$G813,R_LOT),""))</f>
        <v/>
      </c>
    </row>
    <row r="814" customFormat="false" ht="15" hidden="false" customHeight="false" outlineLevel="0" collapsed="false">
      <c r="A814" s="28" t="str">
        <f aca="false">IF($M814=0,"",ROW()-4)</f>
        <v/>
      </c>
      <c r="B814" s="26" t="str">
        <f aca="false">IF($M814=0,"","RESULTAT ST")</f>
        <v/>
      </c>
      <c r="C814" s="26" t="str">
        <f aca="false">IF($M814=0,"",ST_RESULTATS!$A64)</f>
        <v/>
      </c>
      <c r="D814" s="31" t="str">
        <f aca="false">IF($M814=0,"",ST_RESULTATS!$W64)</f>
        <v/>
      </c>
      <c r="E814" s="26" t="str">
        <f aca="false">IF($M814=0,"","ENTREE")</f>
        <v/>
      </c>
      <c r="F814" s="26" t="str">
        <f aca="false">IF($M814=0,"","RETOUR SOUS-TRAITANCE")</f>
        <v/>
      </c>
      <c r="G814" s="26" t="str">
        <f aca="false">IF($M814=0,"",ST_RESULTATS!$N64)</f>
        <v/>
      </c>
      <c r="H814" s="26" t="str">
        <f aca="false">IF($G814="","",IFERROR(INDEX(LOT_EXTE,MATCH($G814,LOT_KEY,0)),""))</f>
        <v/>
      </c>
      <c r="I814" s="26" t="str">
        <f aca="false">IF($M814=0,"",ST_RESULTATS!$J64)</f>
        <v/>
      </c>
      <c r="J814" s="26" t="str">
        <f aca="false">IF($I814="","",IFERROR(INDEX(EMPL_CLASSE,MATCH($I814,EMPL_KEY,0)),""))</f>
        <v/>
      </c>
      <c r="K814" s="26" t="str">
        <f aca="false">IF($M814=0,"",IFERROR(INDEX(LOT_PRODE,MATCH($G814,LOT_KEY,0)),""))</f>
        <v/>
      </c>
      <c r="L814" s="26" t="str">
        <f aca="false">IF($G814="","",IF(IFERROR(INDEX(LOT_ETAT,MATCH($G814,LOT_KEY,0)),"")="","",INDEX(LOT_ETAT,MATCH($G814,LOT_KEY,0))))</f>
        <v/>
      </c>
      <c r="M814" s="73" t="n">
        <f aca="false">IF(ST_RESULTATS!$Q64=0,0,ST_RESULTATS!$F64)</f>
        <v>0</v>
      </c>
      <c r="N814" s="73" t="n">
        <f aca="false">IF($M814=0,0,ST_RESULTATS!$U64*$M814)</f>
        <v>0</v>
      </c>
      <c r="O814" s="26" t="str">
        <f aca="false">IF($M814=0,"",ST_RESULTATS!$T64)</f>
        <v/>
      </c>
      <c r="P814" s="26" t="str">
        <f aca="false">IF($G814="","",IF($G814=R_LOT,COUNTIF($G$5:$G814,R_LOT),""))</f>
        <v/>
      </c>
    </row>
    <row r="815" customFormat="false" ht="15" hidden="false" customHeight="false" outlineLevel="0" collapsed="false">
      <c r="A815" s="28" t="str">
        <f aca="false">IF($M815=0,"",ROW()-4)</f>
        <v/>
      </c>
      <c r="B815" s="26" t="str">
        <f aca="false">IF($M815=0,"","RESULTAT ST")</f>
        <v/>
      </c>
      <c r="C815" s="26" t="str">
        <f aca="false">IF($M815=0,"",ST_RESULTATS!$A65)</f>
        <v/>
      </c>
      <c r="D815" s="31" t="str">
        <f aca="false">IF($M815=0,"",ST_RESULTATS!$W65)</f>
        <v/>
      </c>
      <c r="E815" s="26" t="str">
        <f aca="false">IF($M815=0,"","ENTREE")</f>
        <v/>
      </c>
      <c r="F815" s="26" t="str">
        <f aca="false">IF($M815=0,"","RETOUR SOUS-TRAITANCE")</f>
        <v/>
      </c>
      <c r="G815" s="26" t="str">
        <f aca="false">IF($M815=0,"",ST_RESULTATS!$N65)</f>
        <v/>
      </c>
      <c r="H815" s="26" t="str">
        <f aca="false">IF($G815="","",IFERROR(INDEX(LOT_EXTE,MATCH($G815,LOT_KEY,0)),""))</f>
        <v/>
      </c>
      <c r="I815" s="26" t="str">
        <f aca="false">IF($M815=0,"",ST_RESULTATS!$J65)</f>
        <v/>
      </c>
      <c r="J815" s="26" t="str">
        <f aca="false">IF($I815="","",IFERROR(INDEX(EMPL_CLASSE,MATCH($I815,EMPL_KEY,0)),""))</f>
        <v/>
      </c>
      <c r="K815" s="26" t="str">
        <f aca="false">IF($M815=0,"",IFERROR(INDEX(LOT_PRODE,MATCH($G815,LOT_KEY,0)),""))</f>
        <v/>
      </c>
      <c r="L815" s="26" t="str">
        <f aca="false">IF($G815="","",IF(IFERROR(INDEX(LOT_ETAT,MATCH($G815,LOT_KEY,0)),"")="","",INDEX(LOT_ETAT,MATCH($G815,LOT_KEY,0))))</f>
        <v/>
      </c>
      <c r="M815" s="73" t="n">
        <f aca="false">IF(ST_RESULTATS!$Q65=0,0,ST_RESULTATS!$F65)</f>
        <v>0</v>
      </c>
      <c r="N815" s="73" t="n">
        <f aca="false">IF($M815=0,0,ST_RESULTATS!$U65*$M815)</f>
        <v>0</v>
      </c>
      <c r="O815" s="26" t="str">
        <f aca="false">IF($M815=0,"",ST_RESULTATS!$T65)</f>
        <v/>
      </c>
      <c r="P815" s="26" t="str">
        <f aca="false">IF($G815="","",IF($G815=R_LOT,COUNTIF($G$5:$G815,R_LOT),""))</f>
        <v/>
      </c>
    </row>
    <row r="816" customFormat="false" ht="15" hidden="false" customHeight="false" outlineLevel="0" collapsed="false">
      <c r="A816" s="28" t="str">
        <f aca="false">IF($M816=0,"",ROW()-4)</f>
        <v/>
      </c>
      <c r="B816" s="26" t="str">
        <f aca="false">IF($M816=0,"","RESULTAT ST")</f>
        <v/>
      </c>
      <c r="C816" s="26" t="str">
        <f aca="false">IF($M816=0,"",ST_RESULTATS!$A66)</f>
        <v/>
      </c>
      <c r="D816" s="31" t="str">
        <f aca="false">IF($M816=0,"",ST_RESULTATS!$W66)</f>
        <v/>
      </c>
      <c r="E816" s="26" t="str">
        <f aca="false">IF($M816=0,"","ENTREE")</f>
        <v/>
      </c>
      <c r="F816" s="26" t="str">
        <f aca="false">IF($M816=0,"","RETOUR SOUS-TRAITANCE")</f>
        <v/>
      </c>
      <c r="G816" s="26" t="str">
        <f aca="false">IF($M816=0,"",ST_RESULTATS!$N66)</f>
        <v/>
      </c>
      <c r="H816" s="26" t="str">
        <f aca="false">IF($G816="","",IFERROR(INDEX(LOT_EXTE,MATCH($G816,LOT_KEY,0)),""))</f>
        <v/>
      </c>
      <c r="I816" s="26" t="str">
        <f aca="false">IF($M816=0,"",ST_RESULTATS!$J66)</f>
        <v/>
      </c>
      <c r="J816" s="26" t="str">
        <f aca="false">IF($I816="","",IFERROR(INDEX(EMPL_CLASSE,MATCH($I816,EMPL_KEY,0)),""))</f>
        <v/>
      </c>
      <c r="K816" s="26" t="str">
        <f aca="false">IF($M816=0,"",IFERROR(INDEX(LOT_PRODE,MATCH($G816,LOT_KEY,0)),""))</f>
        <v/>
      </c>
      <c r="L816" s="26" t="str">
        <f aca="false">IF($G816="","",IF(IFERROR(INDEX(LOT_ETAT,MATCH($G816,LOT_KEY,0)),"")="","",INDEX(LOT_ETAT,MATCH($G816,LOT_KEY,0))))</f>
        <v/>
      </c>
      <c r="M816" s="73" t="n">
        <f aca="false">IF(ST_RESULTATS!$Q66=0,0,ST_RESULTATS!$F66)</f>
        <v>0</v>
      </c>
      <c r="N816" s="73" t="n">
        <f aca="false">IF($M816=0,0,ST_RESULTATS!$U66*$M816)</f>
        <v>0</v>
      </c>
      <c r="O816" s="26" t="str">
        <f aca="false">IF($M816=0,"",ST_RESULTATS!$T66)</f>
        <v/>
      </c>
      <c r="P816" s="26" t="str">
        <f aca="false">IF($G816="","",IF($G816=R_LOT,COUNTIF($G$5:$G816,R_LOT),""))</f>
        <v/>
      </c>
    </row>
    <row r="817" customFormat="false" ht="15" hidden="false" customHeight="false" outlineLevel="0" collapsed="false">
      <c r="A817" s="28" t="str">
        <f aca="false">IF($M817=0,"",ROW()-4)</f>
        <v/>
      </c>
      <c r="B817" s="26" t="str">
        <f aca="false">IF($M817=0,"","RESULTAT ST")</f>
        <v/>
      </c>
      <c r="C817" s="26" t="str">
        <f aca="false">IF($M817=0,"",ST_RESULTATS!$A67)</f>
        <v/>
      </c>
      <c r="D817" s="31" t="str">
        <f aca="false">IF($M817=0,"",ST_RESULTATS!$W67)</f>
        <v/>
      </c>
      <c r="E817" s="26" t="str">
        <f aca="false">IF($M817=0,"","ENTREE")</f>
        <v/>
      </c>
      <c r="F817" s="26" t="str">
        <f aca="false">IF($M817=0,"","RETOUR SOUS-TRAITANCE")</f>
        <v/>
      </c>
      <c r="G817" s="26" t="str">
        <f aca="false">IF($M817=0,"",ST_RESULTATS!$N67)</f>
        <v/>
      </c>
      <c r="H817" s="26" t="str">
        <f aca="false">IF($G817="","",IFERROR(INDEX(LOT_EXTE,MATCH($G817,LOT_KEY,0)),""))</f>
        <v/>
      </c>
      <c r="I817" s="26" t="str">
        <f aca="false">IF($M817=0,"",ST_RESULTATS!$J67)</f>
        <v/>
      </c>
      <c r="J817" s="26" t="str">
        <f aca="false">IF($I817="","",IFERROR(INDEX(EMPL_CLASSE,MATCH($I817,EMPL_KEY,0)),""))</f>
        <v/>
      </c>
      <c r="K817" s="26" t="str">
        <f aca="false">IF($M817=0,"",IFERROR(INDEX(LOT_PRODE,MATCH($G817,LOT_KEY,0)),""))</f>
        <v/>
      </c>
      <c r="L817" s="26" t="str">
        <f aca="false">IF($G817="","",IF(IFERROR(INDEX(LOT_ETAT,MATCH($G817,LOT_KEY,0)),"")="","",INDEX(LOT_ETAT,MATCH($G817,LOT_KEY,0))))</f>
        <v/>
      </c>
      <c r="M817" s="73" t="n">
        <f aca="false">IF(ST_RESULTATS!$Q67=0,0,ST_RESULTATS!$F67)</f>
        <v>0</v>
      </c>
      <c r="N817" s="73" t="n">
        <f aca="false">IF($M817=0,0,ST_RESULTATS!$U67*$M817)</f>
        <v>0</v>
      </c>
      <c r="O817" s="26" t="str">
        <f aca="false">IF($M817=0,"",ST_RESULTATS!$T67)</f>
        <v/>
      </c>
      <c r="P817" s="26" t="str">
        <f aca="false">IF($G817="","",IF($G817=R_LOT,COUNTIF($G$5:$G817,R_LOT),""))</f>
        <v/>
      </c>
    </row>
    <row r="818" customFormat="false" ht="15" hidden="false" customHeight="false" outlineLevel="0" collapsed="false">
      <c r="A818" s="28" t="str">
        <f aca="false">IF($M818=0,"",ROW()-4)</f>
        <v/>
      </c>
      <c r="B818" s="26" t="str">
        <f aca="false">IF($M818=0,"","RESULTAT ST")</f>
        <v/>
      </c>
      <c r="C818" s="26" t="str">
        <f aca="false">IF($M818=0,"",ST_RESULTATS!$A68)</f>
        <v/>
      </c>
      <c r="D818" s="31" t="str">
        <f aca="false">IF($M818=0,"",ST_RESULTATS!$W68)</f>
        <v/>
      </c>
      <c r="E818" s="26" t="str">
        <f aca="false">IF($M818=0,"","ENTREE")</f>
        <v/>
      </c>
      <c r="F818" s="26" t="str">
        <f aca="false">IF($M818=0,"","RETOUR SOUS-TRAITANCE")</f>
        <v/>
      </c>
      <c r="G818" s="26" t="str">
        <f aca="false">IF($M818=0,"",ST_RESULTATS!$N68)</f>
        <v/>
      </c>
      <c r="H818" s="26" t="str">
        <f aca="false">IF($G818="","",IFERROR(INDEX(LOT_EXTE,MATCH($G818,LOT_KEY,0)),""))</f>
        <v/>
      </c>
      <c r="I818" s="26" t="str">
        <f aca="false">IF($M818=0,"",ST_RESULTATS!$J68)</f>
        <v/>
      </c>
      <c r="J818" s="26" t="str">
        <f aca="false">IF($I818="","",IFERROR(INDEX(EMPL_CLASSE,MATCH($I818,EMPL_KEY,0)),""))</f>
        <v/>
      </c>
      <c r="K818" s="26" t="str">
        <f aca="false">IF($M818=0,"",IFERROR(INDEX(LOT_PRODE,MATCH($G818,LOT_KEY,0)),""))</f>
        <v/>
      </c>
      <c r="L818" s="26" t="str">
        <f aca="false">IF($G818="","",IF(IFERROR(INDEX(LOT_ETAT,MATCH($G818,LOT_KEY,0)),"")="","",INDEX(LOT_ETAT,MATCH($G818,LOT_KEY,0))))</f>
        <v/>
      </c>
      <c r="M818" s="73" t="n">
        <f aca="false">IF(ST_RESULTATS!$Q68=0,0,ST_RESULTATS!$F68)</f>
        <v>0</v>
      </c>
      <c r="N818" s="73" t="n">
        <f aca="false">IF($M818=0,0,ST_RESULTATS!$U68*$M818)</f>
        <v>0</v>
      </c>
      <c r="O818" s="26" t="str">
        <f aca="false">IF($M818=0,"",ST_RESULTATS!$T68)</f>
        <v/>
      </c>
      <c r="P818" s="26" t="str">
        <f aca="false">IF($G818="","",IF($G818=R_LOT,COUNTIF($G$5:$G818,R_LOT),""))</f>
        <v/>
      </c>
    </row>
    <row r="819" customFormat="false" ht="15" hidden="false" customHeight="false" outlineLevel="0" collapsed="false">
      <c r="A819" s="28" t="str">
        <f aca="false">IF($M819=0,"",ROW()-4)</f>
        <v/>
      </c>
      <c r="B819" s="26" t="str">
        <f aca="false">IF($M819=0,"","RESULTAT ST")</f>
        <v/>
      </c>
      <c r="C819" s="26" t="str">
        <f aca="false">IF($M819=0,"",ST_RESULTATS!$A69)</f>
        <v/>
      </c>
      <c r="D819" s="31" t="str">
        <f aca="false">IF($M819=0,"",ST_RESULTATS!$W69)</f>
        <v/>
      </c>
      <c r="E819" s="26" t="str">
        <f aca="false">IF($M819=0,"","ENTREE")</f>
        <v/>
      </c>
      <c r="F819" s="26" t="str">
        <f aca="false">IF($M819=0,"","RETOUR SOUS-TRAITANCE")</f>
        <v/>
      </c>
      <c r="G819" s="26" t="str">
        <f aca="false">IF($M819=0,"",ST_RESULTATS!$N69)</f>
        <v/>
      </c>
      <c r="H819" s="26" t="str">
        <f aca="false">IF($G819="","",IFERROR(INDEX(LOT_EXTE,MATCH($G819,LOT_KEY,0)),""))</f>
        <v/>
      </c>
      <c r="I819" s="26" t="str">
        <f aca="false">IF($M819=0,"",ST_RESULTATS!$J69)</f>
        <v/>
      </c>
      <c r="J819" s="26" t="str">
        <f aca="false">IF($I819="","",IFERROR(INDEX(EMPL_CLASSE,MATCH($I819,EMPL_KEY,0)),""))</f>
        <v/>
      </c>
      <c r="K819" s="26" t="str">
        <f aca="false">IF($M819=0,"",IFERROR(INDEX(LOT_PRODE,MATCH($G819,LOT_KEY,0)),""))</f>
        <v/>
      </c>
      <c r="L819" s="26" t="str">
        <f aca="false">IF($G819="","",IF(IFERROR(INDEX(LOT_ETAT,MATCH($G819,LOT_KEY,0)),"")="","",INDEX(LOT_ETAT,MATCH($G819,LOT_KEY,0))))</f>
        <v/>
      </c>
      <c r="M819" s="73" t="n">
        <f aca="false">IF(ST_RESULTATS!$Q69=0,0,ST_RESULTATS!$F69)</f>
        <v>0</v>
      </c>
      <c r="N819" s="73" t="n">
        <f aca="false">IF($M819=0,0,ST_RESULTATS!$U69*$M819)</f>
        <v>0</v>
      </c>
      <c r="O819" s="26" t="str">
        <f aca="false">IF($M819=0,"",ST_RESULTATS!$T69)</f>
        <v/>
      </c>
      <c r="P819" s="26" t="str">
        <f aca="false">IF($G819="","",IF($G819=R_LOT,COUNTIF($G$5:$G819,R_LOT),""))</f>
        <v/>
      </c>
    </row>
    <row r="820" customFormat="false" ht="15" hidden="false" customHeight="false" outlineLevel="0" collapsed="false">
      <c r="A820" s="28" t="str">
        <f aca="false">IF($M820=0,"",ROW()-4)</f>
        <v/>
      </c>
      <c r="B820" s="26" t="str">
        <f aca="false">IF($M820=0,"","RESULTAT ST")</f>
        <v/>
      </c>
      <c r="C820" s="26" t="str">
        <f aca="false">IF($M820=0,"",ST_RESULTATS!$A70)</f>
        <v/>
      </c>
      <c r="D820" s="31" t="str">
        <f aca="false">IF($M820=0,"",ST_RESULTATS!$W70)</f>
        <v/>
      </c>
      <c r="E820" s="26" t="str">
        <f aca="false">IF($M820=0,"","ENTREE")</f>
        <v/>
      </c>
      <c r="F820" s="26" t="str">
        <f aca="false">IF($M820=0,"","RETOUR SOUS-TRAITANCE")</f>
        <v/>
      </c>
      <c r="G820" s="26" t="str">
        <f aca="false">IF($M820=0,"",ST_RESULTATS!$N70)</f>
        <v/>
      </c>
      <c r="H820" s="26" t="str">
        <f aca="false">IF($G820="","",IFERROR(INDEX(LOT_EXTE,MATCH($G820,LOT_KEY,0)),""))</f>
        <v/>
      </c>
      <c r="I820" s="26" t="str">
        <f aca="false">IF($M820=0,"",ST_RESULTATS!$J70)</f>
        <v/>
      </c>
      <c r="J820" s="26" t="str">
        <f aca="false">IF($I820="","",IFERROR(INDEX(EMPL_CLASSE,MATCH($I820,EMPL_KEY,0)),""))</f>
        <v/>
      </c>
      <c r="K820" s="26" t="str">
        <f aca="false">IF($M820=0,"",IFERROR(INDEX(LOT_PRODE,MATCH($G820,LOT_KEY,0)),""))</f>
        <v/>
      </c>
      <c r="L820" s="26" t="str">
        <f aca="false">IF($G820="","",IF(IFERROR(INDEX(LOT_ETAT,MATCH($G820,LOT_KEY,0)),"")="","",INDEX(LOT_ETAT,MATCH($G820,LOT_KEY,0))))</f>
        <v/>
      </c>
      <c r="M820" s="73" t="n">
        <f aca="false">IF(ST_RESULTATS!$Q70=0,0,ST_RESULTATS!$F70)</f>
        <v>0</v>
      </c>
      <c r="N820" s="73" t="n">
        <f aca="false">IF($M820=0,0,ST_RESULTATS!$U70*$M820)</f>
        <v>0</v>
      </c>
      <c r="O820" s="26" t="str">
        <f aca="false">IF($M820=0,"",ST_RESULTATS!$T70)</f>
        <v/>
      </c>
      <c r="P820" s="26" t="str">
        <f aca="false">IF($G820="","",IF($G820=R_LOT,COUNTIF($G$5:$G820,R_LOT),""))</f>
        <v/>
      </c>
    </row>
    <row r="821" customFormat="false" ht="15" hidden="false" customHeight="false" outlineLevel="0" collapsed="false">
      <c r="A821" s="28" t="str">
        <f aca="false">IF($M821=0,"",ROW()-4)</f>
        <v/>
      </c>
      <c r="B821" s="26" t="str">
        <f aca="false">IF($M821=0,"","RESULTAT ST")</f>
        <v/>
      </c>
      <c r="C821" s="26" t="str">
        <f aca="false">IF($M821=0,"",ST_RESULTATS!$A71)</f>
        <v/>
      </c>
      <c r="D821" s="31" t="str">
        <f aca="false">IF($M821=0,"",ST_RESULTATS!$W71)</f>
        <v/>
      </c>
      <c r="E821" s="26" t="str">
        <f aca="false">IF($M821=0,"","ENTREE")</f>
        <v/>
      </c>
      <c r="F821" s="26" t="str">
        <f aca="false">IF($M821=0,"","RETOUR SOUS-TRAITANCE")</f>
        <v/>
      </c>
      <c r="G821" s="26" t="str">
        <f aca="false">IF($M821=0,"",ST_RESULTATS!$N71)</f>
        <v/>
      </c>
      <c r="H821" s="26" t="str">
        <f aca="false">IF($G821="","",IFERROR(INDEX(LOT_EXTE,MATCH($G821,LOT_KEY,0)),""))</f>
        <v/>
      </c>
      <c r="I821" s="26" t="str">
        <f aca="false">IF($M821=0,"",ST_RESULTATS!$J71)</f>
        <v/>
      </c>
      <c r="J821" s="26" t="str">
        <f aca="false">IF($I821="","",IFERROR(INDEX(EMPL_CLASSE,MATCH($I821,EMPL_KEY,0)),""))</f>
        <v/>
      </c>
      <c r="K821" s="26" t="str">
        <f aca="false">IF($M821=0,"",IFERROR(INDEX(LOT_PRODE,MATCH($G821,LOT_KEY,0)),""))</f>
        <v/>
      </c>
      <c r="L821" s="26" t="str">
        <f aca="false">IF($G821="","",IF(IFERROR(INDEX(LOT_ETAT,MATCH($G821,LOT_KEY,0)),"")="","",INDEX(LOT_ETAT,MATCH($G821,LOT_KEY,0))))</f>
        <v/>
      </c>
      <c r="M821" s="73" t="n">
        <f aca="false">IF(ST_RESULTATS!$Q71=0,0,ST_RESULTATS!$F71)</f>
        <v>0</v>
      </c>
      <c r="N821" s="73" t="n">
        <f aca="false">IF($M821=0,0,ST_RESULTATS!$U71*$M821)</f>
        <v>0</v>
      </c>
      <c r="O821" s="26" t="str">
        <f aca="false">IF($M821=0,"",ST_RESULTATS!$T71)</f>
        <v/>
      </c>
      <c r="P821" s="26" t="str">
        <f aca="false">IF($G821="","",IF($G821=R_LOT,COUNTIF($G$5:$G821,R_LOT),""))</f>
        <v/>
      </c>
    </row>
    <row r="822" customFormat="false" ht="15" hidden="false" customHeight="false" outlineLevel="0" collapsed="false">
      <c r="A822" s="28" t="str">
        <f aca="false">IF($M822=0,"",ROW()-4)</f>
        <v/>
      </c>
      <c r="B822" s="26" t="str">
        <f aca="false">IF($M822=0,"","RESULTAT ST")</f>
        <v/>
      </c>
      <c r="C822" s="26" t="str">
        <f aca="false">IF($M822=0,"",ST_RESULTATS!$A72)</f>
        <v/>
      </c>
      <c r="D822" s="31" t="str">
        <f aca="false">IF($M822=0,"",ST_RESULTATS!$W72)</f>
        <v/>
      </c>
      <c r="E822" s="26" t="str">
        <f aca="false">IF($M822=0,"","ENTREE")</f>
        <v/>
      </c>
      <c r="F822" s="26" t="str">
        <f aca="false">IF($M822=0,"","RETOUR SOUS-TRAITANCE")</f>
        <v/>
      </c>
      <c r="G822" s="26" t="str">
        <f aca="false">IF($M822=0,"",ST_RESULTATS!$N72)</f>
        <v/>
      </c>
      <c r="H822" s="26" t="str">
        <f aca="false">IF($G822="","",IFERROR(INDEX(LOT_EXTE,MATCH($G822,LOT_KEY,0)),""))</f>
        <v/>
      </c>
      <c r="I822" s="26" t="str">
        <f aca="false">IF($M822=0,"",ST_RESULTATS!$J72)</f>
        <v/>
      </c>
      <c r="J822" s="26" t="str">
        <f aca="false">IF($I822="","",IFERROR(INDEX(EMPL_CLASSE,MATCH($I822,EMPL_KEY,0)),""))</f>
        <v/>
      </c>
      <c r="K822" s="26" t="str">
        <f aca="false">IF($M822=0,"",IFERROR(INDEX(LOT_PRODE,MATCH($G822,LOT_KEY,0)),""))</f>
        <v/>
      </c>
      <c r="L822" s="26" t="str">
        <f aca="false">IF($G822="","",IF(IFERROR(INDEX(LOT_ETAT,MATCH($G822,LOT_KEY,0)),"")="","",INDEX(LOT_ETAT,MATCH($G822,LOT_KEY,0))))</f>
        <v/>
      </c>
      <c r="M822" s="73" t="n">
        <f aca="false">IF(ST_RESULTATS!$Q72=0,0,ST_RESULTATS!$F72)</f>
        <v>0</v>
      </c>
      <c r="N822" s="73" t="n">
        <f aca="false">IF($M822=0,0,ST_RESULTATS!$U72*$M822)</f>
        <v>0</v>
      </c>
      <c r="O822" s="26" t="str">
        <f aca="false">IF($M822=0,"",ST_RESULTATS!$T72)</f>
        <v/>
      </c>
      <c r="P822" s="26" t="str">
        <f aca="false">IF($G822="","",IF($G822=R_LOT,COUNTIF($G$5:$G822,R_LOT),""))</f>
        <v/>
      </c>
    </row>
    <row r="823" customFormat="false" ht="15" hidden="false" customHeight="false" outlineLevel="0" collapsed="false">
      <c r="A823" s="28" t="str">
        <f aca="false">IF($M823=0,"",ROW()-4)</f>
        <v/>
      </c>
      <c r="B823" s="26" t="str">
        <f aca="false">IF($M823=0,"","RESULTAT ST")</f>
        <v/>
      </c>
      <c r="C823" s="26" t="str">
        <f aca="false">IF($M823=0,"",ST_RESULTATS!$A73)</f>
        <v/>
      </c>
      <c r="D823" s="31" t="str">
        <f aca="false">IF($M823=0,"",ST_RESULTATS!$W73)</f>
        <v/>
      </c>
      <c r="E823" s="26" t="str">
        <f aca="false">IF($M823=0,"","ENTREE")</f>
        <v/>
      </c>
      <c r="F823" s="26" t="str">
        <f aca="false">IF($M823=0,"","RETOUR SOUS-TRAITANCE")</f>
        <v/>
      </c>
      <c r="G823" s="26" t="str">
        <f aca="false">IF($M823=0,"",ST_RESULTATS!$N73)</f>
        <v/>
      </c>
      <c r="H823" s="26" t="str">
        <f aca="false">IF($G823="","",IFERROR(INDEX(LOT_EXTE,MATCH($G823,LOT_KEY,0)),""))</f>
        <v/>
      </c>
      <c r="I823" s="26" t="str">
        <f aca="false">IF($M823=0,"",ST_RESULTATS!$J73)</f>
        <v/>
      </c>
      <c r="J823" s="26" t="str">
        <f aca="false">IF($I823="","",IFERROR(INDEX(EMPL_CLASSE,MATCH($I823,EMPL_KEY,0)),""))</f>
        <v/>
      </c>
      <c r="K823" s="26" t="str">
        <f aca="false">IF($M823=0,"",IFERROR(INDEX(LOT_PRODE,MATCH($G823,LOT_KEY,0)),""))</f>
        <v/>
      </c>
      <c r="L823" s="26" t="str">
        <f aca="false">IF($G823="","",IF(IFERROR(INDEX(LOT_ETAT,MATCH($G823,LOT_KEY,0)),"")="","",INDEX(LOT_ETAT,MATCH($G823,LOT_KEY,0))))</f>
        <v/>
      </c>
      <c r="M823" s="73" t="n">
        <f aca="false">IF(ST_RESULTATS!$Q73=0,0,ST_RESULTATS!$F73)</f>
        <v>0</v>
      </c>
      <c r="N823" s="73" t="n">
        <f aca="false">IF($M823=0,0,ST_RESULTATS!$U73*$M823)</f>
        <v>0</v>
      </c>
      <c r="O823" s="26" t="str">
        <f aca="false">IF($M823=0,"",ST_RESULTATS!$T73)</f>
        <v/>
      </c>
      <c r="P823" s="26" t="str">
        <f aca="false">IF($G823="","",IF($G823=R_LOT,COUNTIF($G$5:$G823,R_LOT),""))</f>
        <v/>
      </c>
    </row>
    <row r="824" customFormat="false" ht="15" hidden="false" customHeight="false" outlineLevel="0" collapsed="false">
      <c r="A824" s="28" t="str">
        <f aca="false">IF($M824=0,"",ROW()-4)</f>
        <v/>
      </c>
      <c r="B824" s="26" t="str">
        <f aca="false">IF($M824=0,"","RESULTAT ST")</f>
        <v/>
      </c>
      <c r="C824" s="26" t="str">
        <f aca="false">IF($M824=0,"",ST_RESULTATS!$A74)</f>
        <v/>
      </c>
      <c r="D824" s="31" t="str">
        <f aca="false">IF($M824=0,"",ST_RESULTATS!$W74)</f>
        <v/>
      </c>
      <c r="E824" s="26" t="str">
        <f aca="false">IF($M824=0,"","ENTREE")</f>
        <v/>
      </c>
      <c r="F824" s="26" t="str">
        <f aca="false">IF($M824=0,"","RETOUR SOUS-TRAITANCE")</f>
        <v/>
      </c>
      <c r="G824" s="26" t="str">
        <f aca="false">IF($M824=0,"",ST_RESULTATS!$N74)</f>
        <v/>
      </c>
      <c r="H824" s="26" t="str">
        <f aca="false">IF($G824="","",IFERROR(INDEX(LOT_EXTE,MATCH($G824,LOT_KEY,0)),""))</f>
        <v/>
      </c>
      <c r="I824" s="26" t="str">
        <f aca="false">IF($M824=0,"",ST_RESULTATS!$J74)</f>
        <v/>
      </c>
      <c r="J824" s="26" t="str">
        <f aca="false">IF($I824="","",IFERROR(INDEX(EMPL_CLASSE,MATCH($I824,EMPL_KEY,0)),""))</f>
        <v/>
      </c>
      <c r="K824" s="26" t="str">
        <f aca="false">IF($M824=0,"",IFERROR(INDEX(LOT_PRODE,MATCH($G824,LOT_KEY,0)),""))</f>
        <v/>
      </c>
      <c r="L824" s="26" t="str">
        <f aca="false">IF($G824="","",IF(IFERROR(INDEX(LOT_ETAT,MATCH($G824,LOT_KEY,0)),"")="","",INDEX(LOT_ETAT,MATCH($G824,LOT_KEY,0))))</f>
        <v/>
      </c>
      <c r="M824" s="73" t="n">
        <f aca="false">IF(ST_RESULTATS!$Q74=0,0,ST_RESULTATS!$F74)</f>
        <v>0</v>
      </c>
      <c r="N824" s="73" t="n">
        <f aca="false">IF($M824=0,0,ST_RESULTATS!$U74*$M824)</f>
        <v>0</v>
      </c>
      <c r="O824" s="26" t="str">
        <f aca="false">IF($M824=0,"",ST_RESULTATS!$T74)</f>
        <v/>
      </c>
      <c r="P824" s="26" t="str">
        <f aca="false">IF($G824="","",IF($G824=R_LOT,COUNTIF($G$5:$G824,R_LOT),""))</f>
        <v/>
      </c>
    </row>
    <row r="825" customFormat="false" ht="15" hidden="false" customHeight="false" outlineLevel="0" collapsed="false">
      <c r="A825" s="28" t="str">
        <f aca="false">IF($M825=0,"",ROW()-4)</f>
        <v/>
      </c>
      <c r="B825" s="26" t="str">
        <f aca="false">IF($M825=0,"","RESULTAT ST")</f>
        <v/>
      </c>
      <c r="C825" s="26" t="str">
        <f aca="false">IF($M825=0,"",ST_RESULTATS!$A75)</f>
        <v/>
      </c>
      <c r="D825" s="31" t="str">
        <f aca="false">IF($M825=0,"",ST_RESULTATS!$W75)</f>
        <v/>
      </c>
      <c r="E825" s="26" t="str">
        <f aca="false">IF($M825=0,"","ENTREE")</f>
        <v/>
      </c>
      <c r="F825" s="26" t="str">
        <f aca="false">IF($M825=0,"","RETOUR SOUS-TRAITANCE")</f>
        <v/>
      </c>
      <c r="G825" s="26" t="str">
        <f aca="false">IF($M825=0,"",ST_RESULTATS!$N75)</f>
        <v/>
      </c>
      <c r="H825" s="26" t="str">
        <f aca="false">IF($G825="","",IFERROR(INDEX(LOT_EXTE,MATCH($G825,LOT_KEY,0)),""))</f>
        <v/>
      </c>
      <c r="I825" s="26" t="str">
        <f aca="false">IF($M825=0,"",ST_RESULTATS!$J75)</f>
        <v/>
      </c>
      <c r="J825" s="26" t="str">
        <f aca="false">IF($I825="","",IFERROR(INDEX(EMPL_CLASSE,MATCH($I825,EMPL_KEY,0)),""))</f>
        <v/>
      </c>
      <c r="K825" s="26" t="str">
        <f aca="false">IF($M825=0,"",IFERROR(INDEX(LOT_PRODE,MATCH($G825,LOT_KEY,0)),""))</f>
        <v/>
      </c>
      <c r="L825" s="26" t="str">
        <f aca="false">IF($G825="","",IF(IFERROR(INDEX(LOT_ETAT,MATCH($G825,LOT_KEY,0)),"")="","",INDEX(LOT_ETAT,MATCH($G825,LOT_KEY,0))))</f>
        <v/>
      </c>
      <c r="M825" s="73" t="n">
        <f aca="false">IF(ST_RESULTATS!$Q75=0,0,ST_RESULTATS!$F75)</f>
        <v>0</v>
      </c>
      <c r="N825" s="73" t="n">
        <f aca="false">IF($M825=0,0,ST_RESULTATS!$U75*$M825)</f>
        <v>0</v>
      </c>
      <c r="O825" s="26" t="str">
        <f aca="false">IF($M825=0,"",ST_RESULTATS!$T75)</f>
        <v/>
      </c>
      <c r="P825" s="26" t="str">
        <f aca="false">IF($G825="","",IF($G825=R_LOT,COUNTIF($G$5:$G825,R_LOT),""))</f>
        <v/>
      </c>
    </row>
    <row r="826" customFormat="false" ht="15" hidden="false" customHeight="false" outlineLevel="0" collapsed="false">
      <c r="A826" s="28" t="str">
        <f aca="false">IF($M826=0,"",ROW()-4)</f>
        <v/>
      </c>
      <c r="B826" s="26" t="str">
        <f aca="false">IF($M826=0,"","RESULTAT ST")</f>
        <v/>
      </c>
      <c r="C826" s="26" t="str">
        <f aca="false">IF($M826=0,"",ST_RESULTATS!$A76)</f>
        <v/>
      </c>
      <c r="D826" s="31" t="str">
        <f aca="false">IF($M826=0,"",ST_RESULTATS!$W76)</f>
        <v/>
      </c>
      <c r="E826" s="26" t="str">
        <f aca="false">IF($M826=0,"","ENTREE")</f>
        <v/>
      </c>
      <c r="F826" s="26" t="str">
        <f aca="false">IF($M826=0,"","RETOUR SOUS-TRAITANCE")</f>
        <v/>
      </c>
      <c r="G826" s="26" t="str">
        <f aca="false">IF($M826=0,"",ST_RESULTATS!$N76)</f>
        <v/>
      </c>
      <c r="H826" s="26" t="str">
        <f aca="false">IF($G826="","",IFERROR(INDEX(LOT_EXTE,MATCH($G826,LOT_KEY,0)),""))</f>
        <v/>
      </c>
      <c r="I826" s="26" t="str">
        <f aca="false">IF($M826=0,"",ST_RESULTATS!$J76)</f>
        <v/>
      </c>
      <c r="J826" s="26" t="str">
        <f aca="false">IF($I826="","",IFERROR(INDEX(EMPL_CLASSE,MATCH($I826,EMPL_KEY,0)),""))</f>
        <v/>
      </c>
      <c r="K826" s="26" t="str">
        <f aca="false">IF($M826=0,"",IFERROR(INDEX(LOT_PRODE,MATCH($G826,LOT_KEY,0)),""))</f>
        <v/>
      </c>
      <c r="L826" s="26" t="str">
        <f aca="false">IF($G826="","",IF(IFERROR(INDEX(LOT_ETAT,MATCH($G826,LOT_KEY,0)),"")="","",INDEX(LOT_ETAT,MATCH($G826,LOT_KEY,0))))</f>
        <v/>
      </c>
      <c r="M826" s="73" t="n">
        <f aca="false">IF(ST_RESULTATS!$Q76=0,0,ST_RESULTATS!$F76)</f>
        <v>0</v>
      </c>
      <c r="N826" s="73" t="n">
        <f aca="false">IF($M826=0,0,ST_RESULTATS!$U76*$M826)</f>
        <v>0</v>
      </c>
      <c r="O826" s="26" t="str">
        <f aca="false">IF($M826=0,"",ST_RESULTATS!$T76)</f>
        <v/>
      </c>
      <c r="P826" s="26" t="str">
        <f aca="false">IF($G826="","",IF($G826=R_LOT,COUNTIF($G$5:$G826,R_LOT),""))</f>
        <v/>
      </c>
    </row>
    <row r="827" customFormat="false" ht="15" hidden="false" customHeight="false" outlineLevel="0" collapsed="false">
      <c r="A827" s="28" t="str">
        <f aca="false">IF($M827=0,"",ROW()-4)</f>
        <v/>
      </c>
      <c r="B827" s="26" t="str">
        <f aca="false">IF($M827=0,"","RESULTAT ST")</f>
        <v/>
      </c>
      <c r="C827" s="26" t="str">
        <f aca="false">IF($M827=0,"",ST_RESULTATS!$A77)</f>
        <v/>
      </c>
      <c r="D827" s="31" t="str">
        <f aca="false">IF($M827=0,"",ST_RESULTATS!$W77)</f>
        <v/>
      </c>
      <c r="E827" s="26" t="str">
        <f aca="false">IF($M827=0,"","ENTREE")</f>
        <v/>
      </c>
      <c r="F827" s="26" t="str">
        <f aca="false">IF($M827=0,"","RETOUR SOUS-TRAITANCE")</f>
        <v/>
      </c>
      <c r="G827" s="26" t="str">
        <f aca="false">IF($M827=0,"",ST_RESULTATS!$N77)</f>
        <v/>
      </c>
      <c r="H827" s="26" t="str">
        <f aca="false">IF($G827="","",IFERROR(INDEX(LOT_EXTE,MATCH($G827,LOT_KEY,0)),""))</f>
        <v/>
      </c>
      <c r="I827" s="26" t="str">
        <f aca="false">IF($M827=0,"",ST_RESULTATS!$J77)</f>
        <v/>
      </c>
      <c r="J827" s="26" t="str">
        <f aca="false">IF($I827="","",IFERROR(INDEX(EMPL_CLASSE,MATCH($I827,EMPL_KEY,0)),""))</f>
        <v/>
      </c>
      <c r="K827" s="26" t="str">
        <f aca="false">IF($M827=0,"",IFERROR(INDEX(LOT_PRODE,MATCH($G827,LOT_KEY,0)),""))</f>
        <v/>
      </c>
      <c r="L827" s="26" t="str">
        <f aca="false">IF($G827="","",IF(IFERROR(INDEX(LOT_ETAT,MATCH($G827,LOT_KEY,0)),"")="","",INDEX(LOT_ETAT,MATCH($G827,LOT_KEY,0))))</f>
        <v/>
      </c>
      <c r="M827" s="73" t="n">
        <f aca="false">IF(ST_RESULTATS!$Q77=0,0,ST_RESULTATS!$F77)</f>
        <v>0</v>
      </c>
      <c r="N827" s="73" t="n">
        <f aca="false">IF($M827=0,0,ST_RESULTATS!$U77*$M827)</f>
        <v>0</v>
      </c>
      <c r="O827" s="26" t="str">
        <f aca="false">IF($M827=0,"",ST_RESULTATS!$T77)</f>
        <v/>
      </c>
      <c r="P827" s="26" t="str">
        <f aca="false">IF($G827="","",IF($G827=R_LOT,COUNTIF($G$5:$G827,R_LOT),""))</f>
        <v/>
      </c>
    </row>
    <row r="828" customFormat="false" ht="15" hidden="false" customHeight="false" outlineLevel="0" collapsed="false">
      <c r="A828" s="28" t="str">
        <f aca="false">IF($M828=0,"",ROW()-4)</f>
        <v/>
      </c>
      <c r="B828" s="26" t="str">
        <f aca="false">IF($M828=0,"","RESULTAT ST")</f>
        <v/>
      </c>
      <c r="C828" s="26" t="str">
        <f aca="false">IF($M828=0,"",ST_RESULTATS!$A78)</f>
        <v/>
      </c>
      <c r="D828" s="31" t="str">
        <f aca="false">IF($M828=0,"",ST_RESULTATS!$W78)</f>
        <v/>
      </c>
      <c r="E828" s="26" t="str">
        <f aca="false">IF($M828=0,"","ENTREE")</f>
        <v/>
      </c>
      <c r="F828" s="26" t="str">
        <f aca="false">IF($M828=0,"","RETOUR SOUS-TRAITANCE")</f>
        <v/>
      </c>
      <c r="G828" s="26" t="str">
        <f aca="false">IF($M828=0,"",ST_RESULTATS!$N78)</f>
        <v/>
      </c>
      <c r="H828" s="26" t="str">
        <f aca="false">IF($G828="","",IFERROR(INDEX(LOT_EXTE,MATCH($G828,LOT_KEY,0)),""))</f>
        <v/>
      </c>
      <c r="I828" s="26" t="str">
        <f aca="false">IF($M828=0,"",ST_RESULTATS!$J78)</f>
        <v/>
      </c>
      <c r="J828" s="26" t="str">
        <f aca="false">IF($I828="","",IFERROR(INDEX(EMPL_CLASSE,MATCH($I828,EMPL_KEY,0)),""))</f>
        <v/>
      </c>
      <c r="K828" s="26" t="str">
        <f aca="false">IF($M828=0,"",IFERROR(INDEX(LOT_PRODE,MATCH($G828,LOT_KEY,0)),""))</f>
        <v/>
      </c>
      <c r="L828" s="26" t="str">
        <f aca="false">IF($G828="","",IF(IFERROR(INDEX(LOT_ETAT,MATCH($G828,LOT_KEY,0)),"")="","",INDEX(LOT_ETAT,MATCH($G828,LOT_KEY,0))))</f>
        <v/>
      </c>
      <c r="M828" s="73" t="n">
        <f aca="false">IF(ST_RESULTATS!$Q78=0,0,ST_RESULTATS!$F78)</f>
        <v>0</v>
      </c>
      <c r="N828" s="73" t="n">
        <f aca="false">IF($M828=0,0,ST_RESULTATS!$U78*$M828)</f>
        <v>0</v>
      </c>
      <c r="O828" s="26" t="str">
        <f aca="false">IF($M828=0,"",ST_RESULTATS!$T78)</f>
        <v/>
      </c>
      <c r="P828" s="26" t="str">
        <f aca="false">IF($G828="","",IF($G828=R_LOT,COUNTIF($G$5:$G828,R_LOT),""))</f>
        <v/>
      </c>
    </row>
    <row r="829" customFormat="false" ht="15" hidden="false" customHeight="false" outlineLevel="0" collapsed="false">
      <c r="A829" s="28" t="str">
        <f aca="false">IF($M829=0,"",ROW()-4)</f>
        <v/>
      </c>
      <c r="B829" s="26" t="str">
        <f aca="false">IF($M829=0,"","RESULTAT ST")</f>
        <v/>
      </c>
      <c r="C829" s="26" t="str">
        <f aca="false">IF($M829=0,"",ST_RESULTATS!$A79)</f>
        <v/>
      </c>
      <c r="D829" s="31" t="str">
        <f aca="false">IF($M829=0,"",ST_RESULTATS!$W79)</f>
        <v/>
      </c>
      <c r="E829" s="26" t="str">
        <f aca="false">IF($M829=0,"","ENTREE")</f>
        <v/>
      </c>
      <c r="F829" s="26" t="str">
        <f aca="false">IF($M829=0,"","RETOUR SOUS-TRAITANCE")</f>
        <v/>
      </c>
      <c r="G829" s="26" t="str">
        <f aca="false">IF($M829=0,"",ST_RESULTATS!$N79)</f>
        <v/>
      </c>
      <c r="H829" s="26" t="str">
        <f aca="false">IF($G829="","",IFERROR(INDEX(LOT_EXTE,MATCH($G829,LOT_KEY,0)),""))</f>
        <v/>
      </c>
      <c r="I829" s="26" t="str">
        <f aca="false">IF($M829=0,"",ST_RESULTATS!$J79)</f>
        <v/>
      </c>
      <c r="J829" s="26" t="str">
        <f aca="false">IF($I829="","",IFERROR(INDEX(EMPL_CLASSE,MATCH($I829,EMPL_KEY,0)),""))</f>
        <v/>
      </c>
      <c r="K829" s="26" t="str">
        <f aca="false">IF($M829=0,"",IFERROR(INDEX(LOT_PRODE,MATCH($G829,LOT_KEY,0)),""))</f>
        <v/>
      </c>
      <c r="L829" s="26" t="str">
        <f aca="false">IF($G829="","",IF(IFERROR(INDEX(LOT_ETAT,MATCH($G829,LOT_KEY,0)),"")="","",INDEX(LOT_ETAT,MATCH($G829,LOT_KEY,0))))</f>
        <v/>
      </c>
      <c r="M829" s="73" t="n">
        <f aca="false">IF(ST_RESULTATS!$Q79=0,0,ST_RESULTATS!$F79)</f>
        <v>0</v>
      </c>
      <c r="N829" s="73" t="n">
        <f aca="false">IF($M829=0,0,ST_RESULTATS!$U79*$M829)</f>
        <v>0</v>
      </c>
      <c r="O829" s="26" t="str">
        <f aca="false">IF($M829=0,"",ST_RESULTATS!$T79)</f>
        <v/>
      </c>
      <c r="P829" s="26" t="str">
        <f aca="false">IF($G829="","",IF($G829=R_LOT,COUNTIF($G$5:$G829,R_LOT),""))</f>
        <v/>
      </c>
    </row>
    <row r="830" customFormat="false" ht="15" hidden="false" customHeight="false" outlineLevel="0" collapsed="false">
      <c r="A830" s="28" t="str">
        <f aca="false">IF($M830=0,"",ROW()-4)</f>
        <v/>
      </c>
      <c r="B830" s="26" t="str">
        <f aca="false">IF($M830=0,"","RESULTAT ST")</f>
        <v/>
      </c>
      <c r="C830" s="26" t="str">
        <f aca="false">IF($M830=0,"",ST_RESULTATS!$A80)</f>
        <v/>
      </c>
      <c r="D830" s="31" t="str">
        <f aca="false">IF($M830=0,"",ST_RESULTATS!$W80)</f>
        <v/>
      </c>
      <c r="E830" s="26" t="str">
        <f aca="false">IF($M830=0,"","ENTREE")</f>
        <v/>
      </c>
      <c r="F830" s="26" t="str">
        <f aca="false">IF($M830=0,"","RETOUR SOUS-TRAITANCE")</f>
        <v/>
      </c>
      <c r="G830" s="26" t="str">
        <f aca="false">IF($M830=0,"",ST_RESULTATS!$N80)</f>
        <v/>
      </c>
      <c r="H830" s="26" t="str">
        <f aca="false">IF($G830="","",IFERROR(INDEX(LOT_EXTE,MATCH($G830,LOT_KEY,0)),""))</f>
        <v/>
      </c>
      <c r="I830" s="26" t="str">
        <f aca="false">IF($M830=0,"",ST_RESULTATS!$J80)</f>
        <v/>
      </c>
      <c r="J830" s="26" t="str">
        <f aca="false">IF($I830="","",IFERROR(INDEX(EMPL_CLASSE,MATCH($I830,EMPL_KEY,0)),""))</f>
        <v/>
      </c>
      <c r="K830" s="26" t="str">
        <f aca="false">IF($M830=0,"",IFERROR(INDEX(LOT_PRODE,MATCH($G830,LOT_KEY,0)),""))</f>
        <v/>
      </c>
      <c r="L830" s="26" t="str">
        <f aca="false">IF($G830="","",IF(IFERROR(INDEX(LOT_ETAT,MATCH($G830,LOT_KEY,0)),"")="","",INDEX(LOT_ETAT,MATCH($G830,LOT_KEY,0))))</f>
        <v/>
      </c>
      <c r="M830" s="73" t="n">
        <f aca="false">IF(ST_RESULTATS!$Q80=0,0,ST_RESULTATS!$F80)</f>
        <v>0</v>
      </c>
      <c r="N830" s="73" t="n">
        <f aca="false">IF($M830=0,0,ST_RESULTATS!$U80*$M830)</f>
        <v>0</v>
      </c>
      <c r="O830" s="26" t="str">
        <f aca="false">IF($M830=0,"",ST_RESULTATS!$T80)</f>
        <v/>
      </c>
      <c r="P830" s="26" t="str">
        <f aca="false">IF($G830="","",IF($G830=R_LOT,COUNTIF($G$5:$G830,R_LOT),""))</f>
        <v/>
      </c>
    </row>
    <row r="831" customFormat="false" ht="15" hidden="false" customHeight="false" outlineLevel="0" collapsed="false">
      <c r="A831" s="28" t="str">
        <f aca="false">IF($M831=0,"",ROW()-4)</f>
        <v/>
      </c>
      <c r="B831" s="26" t="str">
        <f aca="false">IF($M831=0,"","RESULTAT ST")</f>
        <v/>
      </c>
      <c r="C831" s="26" t="str">
        <f aca="false">IF($M831=0,"",ST_RESULTATS!$A81)</f>
        <v/>
      </c>
      <c r="D831" s="31" t="str">
        <f aca="false">IF($M831=0,"",ST_RESULTATS!$W81)</f>
        <v/>
      </c>
      <c r="E831" s="26" t="str">
        <f aca="false">IF($M831=0,"","ENTREE")</f>
        <v/>
      </c>
      <c r="F831" s="26" t="str">
        <f aca="false">IF($M831=0,"","RETOUR SOUS-TRAITANCE")</f>
        <v/>
      </c>
      <c r="G831" s="26" t="str">
        <f aca="false">IF($M831=0,"",ST_RESULTATS!$N81)</f>
        <v/>
      </c>
      <c r="H831" s="26" t="str">
        <f aca="false">IF($G831="","",IFERROR(INDEX(LOT_EXTE,MATCH($G831,LOT_KEY,0)),""))</f>
        <v/>
      </c>
      <c r="I831" s="26" t="str">
        <f aca="false">IF($M831=0,"",ST_RESULTATS!$J81)</f>
        <v/>
      </c>
      <c r="J831" s="26" t="str">
        <f aca="false">IF($I831="","",IFERROR(INDEX(EMPL_CLASSE,MATCH($I831,EMPL_KEY,0)),""))</f>
        <v/>
      </c>
      <c r="K831" s="26" t="str">
        <f aca="false">IF($M831=0,"",IFERROR(INDEX(LOT_PRODE,MATCH($G831,LOT_KEY,0)),""))</f>
        <v/>
      </c>
      <c r="L831" s="26" t="str">
        <f aca="false">IF($G831="","",IF(IFERROR(INDEX(LOT_ETAT,MATCH($G831,LOT_KEY,0)),"")="","",INDEX(LOT_ETAT,MATCH($G831,LOT_KEY,0))))</f>
        <v/>
      </c>
      <c r="M831" s="73" t="n">
        <f aca="false">IF(ST_RESULTATS!$Q81=0,0,ST_RESULTATS!$F81)</f>
        <v>0</v>
      </c>
      <c r="N831" s="73" t="n">
        <f aca="false">IF($M831=0,0,ST_RESULTATS!$U81*$M831)</f>
        <v>0</v>
      </c>
      <c r="O831" s="26" t="str">
        <f aca="false">IF($M831=0,"",ST_RESULTATS!$T81)</f>
        <v/>
      </c>
      <c r="P831" s="26" t="str">
        <f aca="false">IF($G831="","",IF($G831=R_LOT,COUNTIF($G$5:$G831,R_LOT),""))</f>
        <v/>
      </c>
    </row>
    <row r="832" customFormat="false" ht="15" hidden="false" customHeight="false" outlineLevel="0" collapsed="false">
      <c r="A832" s="28" t="str">
        <f aca="false">IF($M832=0,"",ROW()-4)</f>
        <v/>
      </c>
      <c r="B832" s="26" t="str">
        <f aca="false">IF($M832=0,"","RESULTAT ST")</f>
        <v/>
      </c>
      <c r="C832" s="26" t="str">
        <f aca="false">IF($M832=0,"",ST_RESULTATS!$A82)</f>
        <v/>
      </c>
      <c r="D832" s="31" t="str">
        <f aca="false">IF($M832=0,"",ST_RESULTATS!$W82)</f>
        <v/>
      </c>
      <c r="E832" s="26" t="str">
        <f aca="false">IF($M832=0,"","ENTREE")</f>
        <v/>
      </c>
      <c r="F832" s="26" t="str">
        <f aca="false">IF($M832=0,"","RETOUR SOUS-TRAITANCE")</f>
        <v/>
      </c>
      <c r="G832" s="26" t="str">
        <f aca="false">IF($M832=0,"",ST_RESULTATS!$N82)</f>
        <v/>
      </c>
      <c r="H832" s="26" t="str">
        <f aca="false">IF($G832="","",IFERROR(INDEX(LOT_EXTE,MATCH($G832,LOT_KEY,0)),""))</f>
        <v/>
      </c>
      <c r="I832" s="26" t="str">
        <f aca="false">IF($M832=0,"",ST_RESULTATS!$J82)</f>
        <v/>
      </c>
      <c r="J832" s="26" t="str">
        <f aca="false">IF($I832="","",IFERROR(INDEX(EMPL_CLASSE,MATCH($I832,EMPL_KEY,0)),""))</f>
        <v/>
      </c>
      <c r="K832" s="26" t="str">
        <f aca="false">IF($M832=0,"",IFERROR(INDEX(LOT_PRODE,MATCH($G832,LOT_KEY,0)),""))</f>
        <v/>
      </c>
      <c r="L832" s="26" t="str">
        <f aca="false">IF($G832="","",IF(IFERROR(INDEX(LOT_ETAT,MATCH($G832,LOT_KEY,0)),"")="","",INDEX(LOT_ETAT,MATCH($G832,LOT_KEY,0))))</f>
        <v/>
      </c>
      <c r="M832" s="73" t="n">
        <f aca="false">IF(ST_RESULTATS!$Q82=0,0,ST_RESULTATS!$F82)</f>
        <v>0</v>
      </c>
      <c r="N832" s="73" t="n">
        <f aca="false">IF($M832=0,0,ST_RESULTATS!$U82*$M832)</f>
        <v>0</v>
      </c>
      <c r="O832" s="26" t="str">
        <f aca="false">IF($M832=0,"",ST_RESULTATS!$T82)</f>
        <v/>
      </c>
      <c r="P832" s="26" t="str">
        <f aca="false">IF($G832="","",IF($G832=R_LOT,COUNTIF($G$5:$G832,R_LOT),""))</f>
        <v/>
      </c>
    </row>
    <row r="833" customFormat="false" ht="15" hidden="false" customHeight="false" outlineLevel="0" collapsed="false">
      <c r="A833" s="28" t="str">
        <f aca="false">IF($M833=0,"",ROW()-4)</f>
        <v/>
      </c>
      <c r="B833" s="26" t="str">
        <f aca="false">IF($M833=0,"","RESULTAT ST")</f>
        <v/>
      </c>
      <c r="C833" s="26" t="str">
        <f aca="false">IF($M833=0,"",ST_RESULTATS!$A83)</f>
        <v/>
      </c>
      <c r="D833" s="31" t="str">
        <f aca="false">IF($M833=0,"",ST_RESULTATS!$W83)</f>
        <v/>
      </c>
      <c r="E833" s="26" t="str">
        <f aca="false">IF($M833=0,"","ENTREE")</f>
        <v/>
      </c>
      <c r="F833" s="26" t="str">
        <f aca="false">IF($M833=0,"","RETOUR SOUS-TRAITANCE")</f>
        <v/>
      </c>
      <c r="G833" s="26" t="str">
        <f aca="false">IF($M833=0,"",ST_RESULTATS!$N83)</f>
        <v/>
      </c>
      <c r="H833" s="26" t="str">
        <f aca="false">IF($G833="","",IFERROR(INDEX(LOT_EXTE,MATCH($G833,LOT_KEY,0)),""))</f>
        <v/>
      </c>
      <c r="I833" s="26" t="str">
        <f aca="false">IF($M833=0,"",ST_RESULTATS!$J83)</f>
        <v/>
      </c>
      <c r="J833" s="26" t="str">
        <f aca="false">IF($I833="","",IFERROR(INDEX(EMPL_CLASSE,MATCH($I833,EMPL_KEY,0)),""))</f>
        <v/>
      </c>
      <c r="K833" s="26" t="str">
        <f aca="false">IF($M833=0,"",IFERROR(INDEX(LOT_PRODE,MATCH($G833,LOT_KEY,0)),""))</f>
        <v/>
      </c>
      <c r="L833" s="26" t="str">
        <f aca="false">IF($G833="","",IF(IFERROR(INDEX(LOT_ETAT,MATCH($G833,LOT_KEY,0)),"")="","",INDEX(LOT_ETAT,MATCH($G833,LOT_KEY,0))))</f>
        <v/>
      </c>
      <c r="M833" s="73" t="n">
        <f aca="false">IF(ST_RESULTATS!$Q83=0,0,ST_RESULTATS!$F83)</f>
        <v>0</v>
      </c>
      <c r="N833" s="73" t="n">
        <f aca="false">IF($M833=0,0,ST_RESULTATS!$U83*$M833)</f>
        <v>0</v>
      </c>
      <c r="O833" s="26" t="str">
        <f aca="false">IF($M833=0,"",ST_RESULTATS!$T83)</f>
        <v/>
      </c>
      <c r="P833" s="26" t="str">
        <f aca="false">IF($G833="","",IF($G833=R_LOT,COUNTIF($G$5:$G833,R_LOT),""))</f>
        <v/>
      </c>
    </row>
    <row r="834" customFormat="false" ht="15" hidden="false" customHeight="false" outlineLevel="0" collapsed="false">
      <c r="A834" s="28" t="str">
        <f aca="false">IF($M834=0,"",ROW()-4)</f>
        <v/>
      </c>
      <c r="B834" s="26" t="str">
        <f aca="false">IF($M834=0,"","RESULTAT ST")</f>
        <v/>
      </c>
      <c r="C834" s="26" t="str">
        <f aca="false">IF($M834=0,"",ST_RESULTATS!$A84)</f>
        <v/>
      </c>
      <c r="D834" s="31" t="str">
        <f aca="false">IF($M834=0,"",ST_RESULTATS!$W84)</f>
        <v/>
      </c>
      <c r="E834" s="26" t="str">
        <f aca="false">IF($M834=0,"","ENTREE")</f>
        <v/>
      </c>
      <c r="F834" s="26" t="str">
        <f aca="false">IF($M834=0,"","RETOUR SOUS-TRAITANCE")</f>
        <v/>
      </c>
      <c r="G834" s="26" t="str">
        <f aca="false">IF($M834=0,"",ST_RESULTATS!$N84)</f>
        <v/>
      </c>
      <c r="H834" s="26" t="str">
        <f aca="false">IF($G834="","",IFERROR(INDEX(LOT_EXTE,MATCH($G834,LOT_KEY,0)),""))</f>
        <v/>
      </c>
      <c r="I834" s="26" t="str">
        <f aca="false">IF($M834=0,"",ST_RESULTATS!$J84)</f>
        <v/>
      </c>
      <c r="J834" s="26" t="str">
        <f aca="false">IF($I834="","",IFERROR(INDEX(EMPL_CLASSE,MATCH($I834,EMPL_KEY,0)),""))</f>
        <v/>
      </c>
      <c r="K834" s="26" t="str">
        <f aca="false">IF($M834=0,"",IFERROR(INDEX(LOT_PRODE,MATCH($G834,LOT_KEY,0)),""))</f>
        <v/>
      </c>
      <c r="L834" s="26" t="str">
        <f aca="false">IF($G834="","",IF(IFERROR(INDEX(LOT_ETAT,MATCH($G834,LOT_KEY,0)),"")="","",INDEX(LOT_ETAT,MATCH($G834,LOT_KEY,0))))</f>
        <v/>
      </c>
      <c r="M834" s="73" t="n">
        <f aca="false">IF(ST_RESULTATS!$Q84=0,0,ST_RESULTATS!$F84)</f>
        <v>0</v>
      </c>
      <c r="N834" s="73" t="n">
        <f aca="false">IF($M834=0,0,ST_RESULTATS!$U84*$M834)</f>
        <v>0</v>
      </c>
      <c r="O834" s="26" t="str">
        <f aca="false">IF($M834=0,"",ST_RESULTATS!$T84)</f>
        <v/>
      </c>
      <c r="P834" s="26" t="str">
        <f aca="false">IF($G834="","",IF($G834=R_LOT,COUNTIF($G$5:$G834,R_LOT),""))</f>
        <v/>
      </c>
    </row>
    <row r="835" customFormat="false" ht="15" hidden="false" customHeight="false" outlineLevel="0" collapsed="false">
      <c r="A835" s="28" t="str">
        <f aca="false">IF($M835=0,"",ROW()-4)</f>
        <v/>
      </c>
      <c r="B835" s="26" t="str">
        <f aca="false">IF($M835=0,"","RESULTAT ST")</f>
        <v/>
      </c>
      <c r="C835" s="26" t="str">
        <f aca="false">IF($M835=0,"",ST_RESULTATS!$A85)</f>
        <v/>
      </c>
      <c r="D835" s="31" t="str">
        <f aca="false">IF($M835=0,"",ST_RESULTATS!$W85)</f>
        <v/>
      </c>
      <c r="E835" s="26" t="str">
        <f aca="false">IF($M835=0,"","ENTREE")</f>
        <v/>
      </c>
      <c r="F835" s="26" t="str">
        <f aca="false">IF($M835=0,"","RETOUR SOUS-TRAITANCE")</f>
        <v/>
      </c>
      <c r="G835" s="26" t="str">
        <f aca="false">IF($M835=0,"",ST_RESULTATS!$N85)</f>
        <v/>
      </c>
      <c r="H835" s="26" t="str">
        <f aca="false">IF($G835="","",IFERROR(INDEX(LOT_EXTE,MATCH($G835,LOT_KEY,0)),""))</f>
        <v/>
      </c>
      <c r="I835" s="26" t="str">
        <f aca="false">IF($M835=0,"",ST_RESULTATS!$J85)</f>
        <v/>
      </c>
      <c r="J835" s="26" t="str">
        <f aca="false">IF($I835="","",IFERROR(INDEX(EMPL_CLASSE,MATCH($I835,EMPL_KEY,0)),""))</f>
        <v/>
      </c>
      <c r="K835" s="26" t="str">
        <f aca="false">IF($M835=0,"",IFERROR(INDEX(LOT_PRODE,MATCH($G835,LOT_KEY,0)),""))</f>
        <v/>
      </c>
      <c r="L835" s="26" t="str">
        <f aca="false">IF($G835="","",IF(IFERROR(INDEX(LOT_ETAT,MATCH($G835,LOT_KEY,0)),"")="","",INDEX(LOT_ETAT,MATCH($G835,LOT_KEY,0))))</f>
        <v/>
      </c>
      <c r="M835" s="73" t="n">
        <f aca="false">IF(ST_RESULTATS!$Q85=0,0,ST_RESULTATS!$F85)</f>
        <v>0</v>
      </c>
      <c r="N835" s="73" t="n">
        <f aca="false">IF($M835=0,0,ST_RESULTATS!$U85*$M835)</f>
        <v>0</v>
      </c>
      <c r="O835" s="26" t="str">
        <f aca="false">IF($M835=0,"",ST_RESULTATS!$T85)</f>
        <v/>
      </c>
      <c r="P835" s="26" t="str">
        <f aca="false">IF($G835="","",IF($G835=R_LOT,COUNTIF($G$5:$G835,R_LOT),""))</f>
        <v/>
      </c>
    </row>
    <row r="836" customFormat="false" ht="15" hidden="false" customHeight="false" outlineLevel="0" collapsed="false">
      <c r="A836" s="28" t="str">
        <f aca="false">IF($M836=0,"",ROW()-4)</f>
        <v/>
      </c>
      <c r="B836" s="26" t="str">
        <f aca="false">IF($M836=0,"","RESULTAT ST")</f>
        <v/>
      </c>
      <c r="C836" s="26" t="str">
        <f aca="false">IF($M836=0,"",ST_RESULTATS!$A86)</f>
        <v/>
      </c>
      <c r="D836" s="31" t="str">
        <f aca="false">IF($M836=0,"",ST_RESULTATS!$W86)</f>
        <v/>
      </c>
      <c r="E836" s="26" t="str">
        <f aca="false">IF($M836=0,"","ENTREE")</f>
        <v/>
      </c>
      <c r="F836" s="26" t="str">
        <f aca="false">IF($M836=0,"","RETOUR SOUS-TRAITANCE")</f>
        <v/>
      </c>
      <c r="G836" s="26" t="str">
        <f aca="false">IF($M836=0,"",ST_RESULTATS!$N86)</f>
        <v/>
      </c>
      <c r="H836" s="26" t="str">
        <f aca="false">IF($G836="","",IFERROR(INDEX(LOT_EXTE,MATCH($G836,LOT_KEY,0)),""))</f>
        <v/>
      </c>
      <c r="I836" s="26" t="str">
        <f aca="false">IF($M836=0,"",ST_RESULTATS!$J86)</f>
        <v/>
      </c>
      <c r="J836" s="26" t="str">
        <f aca="false">IF($I836="","",IFERROR(INDEX(EMPL_CLASSE,MATCH($I836,EMPL_KEY,0)),""))</f>
        <v/>
      </c>
      <c r="K836" s="26" t="str">
        <f aca="false">IF($M836=0,"",IFERROR(INDEX(LOT_PRODE,MATCH($G836,LOT_KEY,0)),""))</f>
        <v/>
      </c>
      <c r="L836" s="26" t="str">
        <f aca="false">IF($G836="","",IF(IFERROR(INDEX(LOT_ETAT,MATCH($G836,LOT_KEY,0)),"")="","",INDEX(LOT_ETAT,MATCH($G836,LOT_KEY,0))))</f>
        <v/>
      </c>
      <c r="M836" s="73" t="n">
        <f aca="false">IF(ST_RESULTATS!$Q86=0,0,ST_RESULTATS!$F86)</f>
        <v>0</v>
      </c>
      <c r="N836" s="73" t="n">
        <f aca="false">IF($M836=0,0,ST_RESULTATS!$U86*$M836)</f>
        <v>0</v>
      </c>
      <c r="O836" s="26" t="str">
        <f aca="false">IF($M836=0,"",ST_RESULTATS!$T86)</f>
        <v/>
      </c>
      <c r="P836" s="26" t="str">
        <f aca="false">IF($G836="","",IF($G836=R_LOT,COUNTIF($G$5:$G836,R_LOT),""))</f>
        <v/>
      </c>
    </row>
    <row r="837" customFormat="false" ht="15" hidden="false" customHeight="false" outlineLevel="0" collapsed="false">
      <c r="A837" s="28" t="str">
        <f aca="false">IF($M837=0,"",ROW()-4)</f>
        <v/>
      </c>
      <c r="B837" s="26" t="str">
        <f aca="false">IF($M837=0,"","RESULTAT ST")</f>
        <v/>
      </c>
      <c r="C837" s="26" t="str">
        <f aca="false">IF($M837=0,"",ST_RESULTATS!$A87)</f>
        <v/>
      </c>
      <c r="D837" s="31" t="str">
        <f aca="false">IF($M837=0,"",ST_RESULTATS!$W87)</f>
        <v/>
      </c>
      <c r="E837" s="26" t="str">
        <f aca="false">IF($M837=0,"","ENTREE")</f>
        <v/>
      </c>
      <c r="F837" s="26" t="str">
        <f aca="false">IF($M837=0,"","RETOUR SOUS-TRAITANCE")</f>
        <v/>
      </c>
      <c r="G837" s="26" t="str">
        <f aca="false">IF($M837=0,"",ST_RESULTATS!$N87)</f>
        <v/>
      </c>
      <c r="H837" s="26" t="str">
        <f aca="false">IF($G837="","",IFERROR(INDEX(LOT_EXTE,MATCH($G837,LOT_KEY,0)),""))</f>
        <v/>
      </c>
      <c r="I837" s="26" t="str">
        <f aca="false">IF($M837=0,"",ST_RESULTATS!$J87)</f>
        <v/>
      </c>
      <c r="J837" s="26" t="str">
        <f aca="false">IF($I837="","",IFERROR(INDEX(EMPL_CLASSE,MATCH($I837,EMPL_KEY,0)),""))</f>
        <v/>
      </c>
      <c r="K837" s="26" t="str">
        <f aca="false">IF($M837=0,"",IFERROR(INDEX(LOT_PRODE,MATCH($G837,LOT_KEY,0)),""))</f>
        <v/>
      </c>
      <c r="L837" s="26" t="str">
        <f aca="false">IF($G837="","",IF(IFERROR(INDEX(LOT_ETAT,MATCH($G837,LOT_KEY,0)),"")="","",INDEX(LOT_ETAT,MATCH($G837,LOT_KEY,0))))</f>
        <v/>
      </c>
      <c r="M837" s="73" t="n">
        <f aca="false">IF(ST_RESULTATS!$Q87=0,0,ST_RESULTATS!$F87)</f>
        <v>0</v>
      </c>
      <c r="N837" s="73" t="n">
        <f aca="false">IF($M837=0,0,ST_RESULTATS!$U87*$M837)</f>
        <v>0</v>
      </c>
      <c r="O837" s="26" t="str">
        <f aca="false">IF($M837=0,"",ST_RESULTATS!$T87)</f>
        <v/>
      </c>
      <c r="P837" s="26" t="str">
        <f aca="false">IF($G837="","",IF($G837=R_LOT,COUNTIF($G$5:$G837,R_LOT),""))</f>
        <v/>
      </c>
    </row>
    <row r="838" customFormat="false" ht="15" hidden="false" customHeight="false" outlineLevel="0" collapsed="false">
      <c r="A838" s="28" t="str">
        <f aca="false">IF($M838=0,"",ROW()-4)</f>
        <v/>
      </c>
      <c r="B838" s="26" t="str">
        <f aca="false">IF($M838=0,"","RESULTAT ST")</f>
        <v/>
      </c>
      <c r="C838" s="26" t="str">
        <f aca="false">IF($M838=0,"",ST_RESULTATS!$A88)</f>
        <v/>
      </c>
      <c r="D838" s="31" t="str">
        <f aca="false">IF($M838=0,"",ST_RESULTATS!$W88)</f>
        <v/>
      </c>
      <c r="E838" s="26" t="str">
        <f aca="false">IF($M838=0,"","ENTREE")</f>
        <v/>
      </c>
      <c r="F838" s="26" t="str">
        <f aca="false">IF($M838=0,"","RETOUR SOUS-TRAITANCE")</f>
        <v/>
      </c>
      <c r="G838" s="26" t="str">
        <f aca="false">IF($M838=0,"",ST_RESULTATS!$N88)</f>
        <v/>
      </c>
      <c r="H838" s="26" t="str">
        <f aca="false">IF($G838="","",IFERROR(INDEX(LOT_EXTE,MATCH($G838,LOT_KEY,0)),""))</f>
        <v/>
      </c>
      <c r="I838" s="26" t="str">
        <f aca="false">IF($M838=0,"",ST_RESULTATS!$J88)</f>
        <v/>
      </c>
      <c r="J838" s="26" t="str">
        <f aca="false">IF($I838="","",IFERROR(INDEX(EMPL_CLASSE,MATCH($I838,EMPL_KEY,0)),""))</f>
        <v/>
      </c>
      <c r="K838" s="26" t="str">
        <f aca="false">IF($M838=0,"",IFERROR(INDEX(LOT_PRODE,MATCH($G838,LOT_KEY,0)),""))</f>
        <v/>
      </c>
      <c r="L838" s="26" t="str">
        <f aca="false">IF($G838="","",IF(IFERROR(INDEX(LOT_ETAT,MATCH($G838,LOT_KEY,0)),"")="","",INDEX(LOT_ETAT,MATCH($G838,LOT_KEY,0))))</f>
        <v/>
      </c>
      <c r="M838" s="73" t="n">
        <f aca="false">IF(ST_RESULTATS!$Q88=0,0,ST_RESULTATS!$F88)</f>
        <v>0</v>
      </c>
      <c r="N838" s="73" t="n">
        <f aca="false">IF($M838=0,0,ST_RESULTATS!$U88*$M838)</f>
        <v>0</v>
      </c>
      <c r="O838" s="26" t="str">
        <f aca="false">IF($M838=0,"",ST_RESULTATS!$T88)</f>
        <v/>
      </c>
      <c r="P838" s="26" t="str">
        <f aca="false">IF($G838="","",IF($G838=R_LOT,COUNTIF($G$5:$G838,R_LOT),""))</f>
        <v/>
      </c>
    </row>
    <row r="839" customFormat="false" ht="15" hidden="false" customHeight="false" outlineLevel="0" collapsed="false">
      <c r="A839" s="28" t="str">
        <f aca="false">IF($M839=0,"",ROW()-4)</f>
        <v/>
      </c>
      <c r="B839" s="26" t="str">
        <f aca="false">IF($M839=0,"","RESULTAT ST")</f>
        <v/>
      </c>
      <c r="C839" s="26" t="str">
        <f aca="false">IF($M839=0,"",ST_RESULTATS!$A89)</f>
        <v/>
      </c>
      <c r="D839" s="31" t="str">
        <f aca="false">IF($M839=0,"",ST_RESULTATS!$W89)</f>
        <v/>
      </c>
      <c r="E839" s="26" t="str">
        <f aca="false">IF($M839=0,"","ENTREE")</f>
        <v/>
      </c>
      <c r="F839" s="26" t="str">
        <f aca="false">IF($M839=0,"","RETOUR SOUS-TRAITANCE")</f>
        <v/>
      </c>
      <c r="G839" s="26" t="str">
        <f aca="false">IF($M839=0,"",ST_RESULTATS!$N89)</f>
        <v/>
      </c>
      <c r="H839" s="26" t="str">
        <f aca="false">IF($G839="","",IFERROR(INDEX(LOT_EXTE,MATCH($G839,LOT_KEY,0)),""))</f>
        <v/>
      </c>
      <c r="I839" s="26" t="str">
        <f aca="false">IF($M839=0,"",ST_RESULTATS!$J89)</f>
        <v/>
      </c>
      <c r="J839" s="26" t="str">
        <f aca="false">IF($I839="","",IFERROR(INDEX(EMPL_CLASSE,MATCH($I839,EMPL_KEY,0)),""))</f>
        <v/>
      </c>
      <c r="K839" s="26" t="str">
        <f aca="false">IF($M839=0,"",IFERROR(INDEX(LOT_PRODE,MATCH($G839,LOT_KEY,0)),""))</f>
        <v/>
      </c>
      <c r="L839" s="26" t="str">
        <f aca="false">IF($G839="","",IF(IFERROR(INDEX(LOT_ETAT,MATCH($G839,LOT_KEY,0)),"")="","",INDEX(LOT_ETAT,MATCH($G839,LOT_KEY,0))))</f>
        <v/>
      </c>
      <c r="M839" s="73" t="n">
        <f aca="false">IF(ST_RESULTATS!$Q89=0,0,ST_RESULTATS!$F89)</f>
        <v>0</v>
      </c>
      <c r="N839" s="73" t="n">
        <f aca="false">IF($M839=0,0,ST_RESULTATS!$U89*$M839)</f>
        <v>0</v>
      </c>
      <c r="O839" s="26" t="str">
        <f aca="false">IF($M839=0,"",ST_RESULTATS!$T89)</f>
        <v/>
      </c>
      <c r="P839" s="26" t="str">
        <f aca="false">IF($G839="","",IF($G839=R_LOT,COUNTIF($G$5:$G839,R_LOT),""))</f>
        <v/>
      </c>
    </row>
    <row r="840" customFormat="false" ht="15" hidden="false" customHeight="false" outlineLevel="0" collapsed="false">
      <c r="A840" s="28" t="str">
        <f aca="false">IF($M840=0,"",ROW()-4)</f>
        <v/>
      </c>
      <c r="B840" s="26" t="str">
        <f aca="false">IF($M840=0,"","RESULTAT ST")</f>
        <v/>
      </c>
      <c r="C840" s="26" t="str">
        <f aca="false">IF($M840=0,"",ST_RESULTATS!$A90)</f>
        <v/>
      </c>
      <c r="D840" s="31" t="str">
        <f aca="false">IF($M840=0,"",ST_RESULTATS!$W90)</f>
        <v/>
      </c>
      <c r="E840" s="26" t="str">
        <f aca="false">IF($M840=0,"","ENTREE")</f>
        <v/>
      </c>
      <c r="F840" s="26" t="str">
        <f aca="false">IF($M840=0,"","RETOUR SOUS-TRAITANCE")</f>
        <v/>
      </c>
      <c r="G840" s="26" t="str">
        <f aca="false">IF($M840=0,"",ST_RESULTATS!$N90)</f>
        <v/>
      </c>
      <c r="H840" s="26" t="str">
        <f aca="false">IF($G840="","",IFERROR(INDEX(LOT_EXTE,MATCH($G840,LOT_KEY,0)),""))</f>
        <v/>
      </c>
      <c r="I840" s="26" t="str">
        <f aca="false">IF($M840=0,"",ST_RESULTATS!$J90)</f>
        <v/>
      </c>
      <c r="J840" s="26" t="str">
        <f aca="false">IF($I840="","",IFERROR(INDEX(EMPL_CLASSE,MATCH($I840,EMPL_KEY,0)),""))</f>
        <v/>
      </c>
      <c r="K840" s="26" t="str">
        <f aca="false">IF($M840=0,"",IFERROR(INDEX(LOT_PRODE,MATCH($G840,LOT_KEY,0)),""))</f>
        <v/>
      </c>
      <c r="L840" s="26" t="str">
        <f aca="false">IF($G840="","",IF(IFERROR(INDEX(LOT_ETAT,MATCH($G840,LOT_KEY,0)),"")="","",INDEX(LOT_ETAT,MATCH($G840,LOT_KEY,0))))</f>
        <v/>
      </c>
      <c r="M840" s="73" t="n">
        <f aca="false">IF(ST_RESULTATS!$Q90=0,0,ST_RESULTATS!$F90)</f>
        <v>0</v>
      </c>
      <c r="N840" s="73" t="n">
        <f aca="false">IF($M840=0,0,ST_RESULTATS!$U90*$M840)</f>
        <v>0</v>
      </c>
      <c r="O840" s="26" t="str">
        <f aca="false">IF($M840=0,"",ST_RESULTATS!$T90)</f>
        <v/>
      </c>
      <c r="P840" s="26" t="str">
        <f aca="false">IF($G840="","",IF($G840=R_LOT,COUNTIF($G$5:$G840,R_LOT),""))</f>
        <v/>
      </c>
    </row>
    <row r="841" customFormat="false" ht="15" hidden="false" customHeight="false" outlineLevel="0" collapsed="false">
      <c r="A841" s="28" t="str">
        <f aca="false">IF($M841=0,"",ROW()-4)</f>
        <v/>
      </c>
      <c r="B841" s="26" t="str">
        <f aca="false">IF($M841=0,"","RESULTAT ST")</f>
        <v/>
      </c>
      <c r="C841" s="26" t="str">
        <f aca="false">IF($M841=0,"",ST_RESULTATS!$A91)</f>
        <v/>
      </c>
      <c r="D841" s="31" t="str">
        <f aca="false">IF($M841=0,"",ST_RESULTATS!$W91)</f>
        <v/>
      </c>
      <c r="E841" s="26" t="str">
        <f aca="false">IF($M841=0,"","ENTREE")</f>
        <v/>
      </c>
      <c r="F841" s="26" t="str">
        <f aca="false">IF($M841=0,"","RETOUR SOUS-TRAITANCE")</f>
        <v/>
      </c>
      <c r="G841" s="26" t="str">
        <f aca="false">IF($M841=0,"",ST_RESULTATS!$N91)</f>
        <v/>
      </c>
      <c r="H841" s="26" t="str">
        <f aca="false">IF($G841="","",IFERROR(INDEX(LOT_EXTE,MATCH($G841,LOT_KEY,0)),""))</f>
        <v/>
      </c>
      <c r="I841" s="26" t="str">
        <f aca="false">IF($M841=0,"",ST_RESULTATS!$J91)</f>
        <v/>
      </c>
      <c r="J841" s="26" t="str">
        <f aca="false">IF($I841="","",IFERROR(INDEX(EMPL_CLASSE,MATCH($I841,EMPL_KEY,0)),""))</f>
        <v/>
      </c>
      <c r="K841" s="26" t="str">
        <f aca="false">IF($M841=0,"",IFERROR(INDEX(LOT_PRODE,MATCH($G841,LOT_KEY,0)),""))</f>
        <v/>
      </c>
      <c r="L841" s="26" t="str">
        <f aca="false">IF($G841="","",IF(IFERROR(INDEX(LOT_ETAT,MATCH($G841,LOT_KEY,0)),"")="","",INDEX(LOT_ETAT,MATCH($G841,LOT_KEY,0))))</f>
        <v/>
      </c>
      <c r="M841" s="73" t="n">
        <f aca="false">IF(ST_RESULTATS!$Q91=0,0,ST_RESULTATS!$F91)</f>
        <v>0</v>
      </c>
      <c r="N841" s="73" t="n">
        <f aca="false">IF($M841=0,0,ST_RESULTATS!$U91*$M841)</f>
        <v>0</v>
      </c>
      <c r="O841" s="26" t="str">
        <f aca="false">IF($M841=0,"",ST_RESULTATS!$T91)</f>
        <v/>
      </c>
      <c r="P841" s="26" t="str">
        <f aca="false">IF($G841="","",IF($G841=R_LOT,COUNTIF($G$5:$G841,R_LOT),""))</f>
        <v/>
      </c>
    </row>
    <row r="842" customFormat="false" ht="15" hidden="false" customHeight="false" outlineLevel="0" collapsed="false">
      <c r="A842" s="28" t="str">
        <f aca="false">IF($M842=0,"",ROW()-4)</f>
        <v/>
      </c>
      <c r="B842" s="26" t="str">
        <f aca="false">IF($M842=0,"","RESULTAT ST")</f>
        <v/>
      </c>
      <c r="C842" s="26" t="str">
        <f aca="false">IF($M842=0,"",ST_RESULTATS!$A92)</f>
        <v/>
      </c>
      <c r="D842" s="31" t="str">
        <f aca="false">IF($M842=0,"",ST_RESULTATS!$W92)</f>
        <v/>
      </c>
      <c r="E842" s="26" t="str">
        <f aca="false">IF($M842=0,"","ENTREE")</f>
        <v/>
      </c>
      <c r="F842" s="26" t="str">
        <f aca="false">IF($M842=0,"","RETOUR SOUS-TRAITANCE")</f>
        <v/>
      </c>
      <c r="G842" s="26" t="str">
        <f aca="false">IF($M842=0,"",ST_RESULTATS!$N92)</f>
        <v/>
      </c>
      <c r="H842" s="26" t="str">
        <f aca="false">IF($G842="","",IFERROR(INDEX(LOT_EXTE,MATCH($G842,LOT_KEY,0)),""))</f>
        <v/>
      </c>
      <c r="I842" s="26" t="str">
        <f aca="false">IF($M842=0,"",ST_RESULTATS!$J92)</f>
        <v/>
      </c>
      <c r="J842" s="26" t="str">
        <f aca="false">IF($I842="","",IFERROR(INDEX(EMPL_CLASSE,MATCH($I842,EMPL_KEY,0)),""))</f>
        <v/>
      </c>
      <c r="K842" s="26" t="str">
        <f aca="false">IF($M842=0,"",IFERROR(INDEX(LOT_PRODE,MATCH($G842,LOT_KEY,0)),""))</f>
        <v/>
      </c>
      <c r="L842" s="26" t="str">
        <f aca="false">IF($G842="","",IF(IFERROR(INDEX(LOT_ETAT,MATCH($G842,LOT_KEY,0)),"")="","",INDEX(LOT_ETAT,MATCH($G842,LOT_KEY,0))))</f>
        <v/>
      </c>
      <c r="M842" s="73" t="n">
        <f aca="false">IF(ST_RESULTATS!$Q92=0,0,ST_RESULTATS!$F92)</f>
        <v>0</v>
      </c>
      <c r="N842" s="73" t="n">
        <f aca="false">IF($M842=0,0,ST_RESULTATS!$U92*$M842)</f>
        <v>0</v>
      </c>
      <c r="O842" s="26" t="str">
        <f aca="false">IF($M842=0,"",ST_RESULTATS!$T92)</f>
        <v/>
      </c>
      <c r="P842" s="26" t="str">
        <f aca="false">IF($G842="","",IF($G842=R_LOT,COUNTIF($G$5:$G842,R_LOT),""))</f>
        <v/>
      </c>
    </row>
    <row r="843" customFormat="false" ht="15" hidden="false" customHeight="false" outlineLevel="0" collapsed="false">
      <c r="A843" s="28" t="str">
        <f aca="false">IF($M843=0,"",ROW()-4)</f>
        <v/>
      </c>
      <c r="B843" s="26" t="str">
        <f aca="false">IF($M843=0,"","RESULTAT ST")</f>
        <v/>
      </c>
      <c r="C843" s="26" t="str">
        <f aca="false">IF($M843=0,"",ST_RESULTATS!$A93)</f>
        <v/>
      </c>
      <c r="D843" s="31" t="str">
        <f aca="false">IF($M843=0,"",ST_RESULTATS!$W93)</f>
        <v/>
      </c>
      <c r="E843" s="26" t="str">
        <f aca="false">IF($M843=0,"","ENTREE")</f>
        <v/>
      </c>
      <c r="F843" s="26" t="str">
        <f aca="false">IF($M843=0,"","RETOUR SOUS-TRAITANCE")</f>
        <v/>
      </c>
      <c r="G843" s="26" t="str">
        <f aca="false">IF($M843=0,"",ST_RESULTATS!$N93)</f>
        <v/>
      </c>
      <c r="H843" s="26" t="str">
        <f aca="false">IF($G843="","",IFERROR(INDEX(LOT_EXTE,MATCH($G843,LOT_KEY,0)),""))</f>
        <v/>
      </c>
      <c r="I843" s="26" t="str">
        <f aca="false">IF($M843=0,"",ST_RESULTATS!$J93)</f>
        <v/>
      </c>
      <c r="J843" s="26" t="str">
        <f aca="false">IF($I843="","",IFERROR(INDEX(EMPL_CLASSE,MATCH($I843,EMPL_KEY,0)),""))</f>
        <v/>
      </c>
      <c r="K843" s="26" t="str">
        <f aca="false">IF($M843=0,"",IFERROR(INDEX(LOT_PRODE,MATCH($G843,LOT_KEY,0)),""))</f>
        <v/>
      </c>
      <c r="L843" s="26" t="str">
        <f aca="false">IF($G843="","",IF(IFERROR(INDEX(LOT_ETAT,MATCH($G843,LOT_KEY,0)),"")="","",INDEX(LOT_ETAT,MATCH($G843,LOT_KEY,0))))</f>
        <v/>
      </c>
      <c r="M843" s="73" t="n">
        <f aca="false">IF(ST_RESULTATS!$Q93=0,0,ST_RESULTATS!$F93)</f>
        <v>0</v>
      </c>
      <c r="N843" s="73" t="n">
        <f aca="false">IF($M843=0,0,ST_RESULTATS!$U93*$M843)</f>
        <v>0</v>
      </c>
      <c r="O843" s="26" t="str">
        <f aca="false">IF($M843=0,"",ST_RESULTATS!$T93)</f>
        <v/>
      </c>
      <c r="P843" s="26" t="str">
        <f aca="false">IF($G843="","",IF($G843=R_LOT,COUNTIF($G$5:$G843,R_LOT),""))</f>
        <v/>
      </c>
    </row>
    <row r="844" customFormat="false" ht="15" hidden="false" customHeight="false" outlineLevel="0" collapsed="false">
      <c r="A844" s="28" t="str">
        <f aca="false">IF($M844=0,"",ROW()-4)</f>
        <v/>
      </c>
      <c r="B844" s="26" t="str">
        <f aca="false">IF($M844=0,"","RESULTAT ST")</f>
        <v/>
      </c>
      <c r="C844" s="26" t="str">
        <f aca="false">IF($M844=0,"",ST_RESULTATS!$A94)</f>
        <v/>
      </c>
      <c r="D844" s="31" t="str">
        <f aca="false">IF($M844=0,"",ST_RESULTATS!$W94)</f>
        <v/>
      </c>
      <c r="E844" s="26" t="str">
        <f aca="false">IF($M844=0,"","ENTREE")</f>
        <v/>
      </c>
      <c r="F844" s="26" t="str">
        <f aca="false">IF($M844=0,"","RETOUR SOUS-TRAITANCE")</f>
        <v/>
      </c>
      <c r="G844" s="26" t="str">
        <f aca="false">IF($M844=0,"",ST_RESULTATS!$N94)</f>
        <v/>
      </c>
      <c r="H844" s="26" t="str">
        <f aca="false">IF($G844="","",IFERROR(INDEX(LOT_EXTE,MATCH($G844,LOT_KEY,0)),""))</f>
        <v/>
      </c>
      <c r="I844" s="26" t="str">
        <f aca="false">IF($M844=0,"",ST_RESULTATS!$J94)</f>
        <v/>
      </c>
      <c r="J844" s="26" t="str">
        <f aca="false">IF($I844="","",IFERROR(INDEX(EMPL_CLASSE,MATCH($I844,EMPL_KEY,0)),""))</f>
        <v/>
      </c>
      <c r="K844" s="26" t="str">
        <f aca="false">IF($M844=0,"",IFERROR(INDEX(LOT_PRODE,MATCH($G844,LOT_KEY,0)),""))</f>
        <v/>
      </c>
      <c r="L844" s="26" t="str">
        <f aca="false">IF($G844="","",IF(IFERROR(INDEX(LOT_ETAT,MATCH($G844,LOT_KEY,0)),"")="","",INDEX(LOT_ETAT,MATCH($G844,LOT_KEY,0))))</f>
        <v/>
      </c>
      <c r="M844" s="73" t="n">
        <f aca="false">IF(ST_RESULTATS!$Q94=0,0,ST_RESULTATS!$F94)</f>
        <v>0</v>
      </c>
      <c r="N844" s="73" t="n">
        <f aca="false">IF($M844=0,0,ST_RESULTATS!$U94*$M844)</f>
        <v>0</v>
      </c>
      <c r="O844" s="26" t="str">
        <f aca="false">IF($M844=0,"",ST_RESULTATS!$T94)</f>
        <v/>
      </c>
      <c r="P844" s="26" t="str">
        <f aca="false">IF($G844="","",IF($G844=R_LOT,COUNTIF($G$5:$G844,R_LOT),""))</f>
        <v/>
      </c>
    </row>
    <row r="845" customFormat="false" ht="15" hidden="false" customHeight="false" outlineLevel="0" collapsed="false">
      <c r="A845" s="28" t="str">
        <f aca="false">IF($M845=0,"",ROW()-4)</f>
        <v/>
      </c>
      <c r="B845" s="26" t="str">
        <f aca="false">IF($M845=0,"","RESULTAT ST")</f>
        <v/>
      </c>
      <c r="C845" s="26" t="str">
        <f aca="false">IF($M845=0,"",ST_RESULTATS!$A95)</f>
        <v/>
      </c>
      <c r="D845" s="31" t="str">
        <f aca="false">IF($M845=0,"",ST_RESULTATS!$W95)</f>
        <v/>
      </c>
      <c r="E845" s="26" t="str">
        <f aca="false">IF($M845=0,"","ENTREE")</f>
        <v/>
      </c>
      <c r="F845" s="26" t="str">
        <f aca="false">IF($M845=0,"","RETOUR SOUS-TRAITANCE")</f>
        <v/>
      </c>
      <c r="G845" s="26" t="str">
        <f aca="false">IF($M845=0,"",ST_RESULTATS!$N95)</f>
        <v/>
      </c>
      <c r="H845" s="26" t="str">
        <f aca="false">IF($G845="","",IFERROR(INDEX(LOT_EXTE,MATCH($G845,LOT_KEY,0)),""))</f>
        <v/>
      </c>
      <c r="I845" s="26" t="str">
        <f aca="false">IF($M845=0,"",ST_RESULTATS!$J95)</f>
        <v/>
      </c>
      <c r="J845" s="26" t="str">
        <f aca="false">IF($I845="","",IFERROR(INDEX(EMPL_CLASSE,MATCH($I845,EMPL_KEY,0)),""))</f>
        <v/>
      </c>
      <c r="K845" s="26" t="str">
        <f aca="false">IF($M845=0,"",IFERROR(INDEX(LOT_PRODE,MATCH($G845,LOT_KEY,0)),""))</f>
        <v/>
      </c>
      <c r="L845" s="26" t="str">
        <f aca="false">IF($G845="","",IF(IFERROR(INDEX(LOT_ETAT,MATCH($G845,LOT_KEY,0)),"")="","",INDEX(LOT_ETAT,MATCH($G845,LOT_KEY,0))))</f>
        <v/>
      </c>
      <c r="M845" s="73" t="n">
        <f aca="false">IF(ST_RESULTATS!$Q95=0,0,ST_RESULTATS!$F95)</f>
        <v>0</v>
      </c>
      <c r="N845" s="73" t="n">
        <f aca="false">IF($M845=0,0,ST_RESULTATS!$U95*$M845)</f>
        <v>0</v>
      </c>
      <c r="O845" s="26" t="str">
        <f aca="false">IF($M845=0,"",ST_RESULTATS!$T95)</f>
        <v/>
      </c>
      <c r="P845" s="26" t="str">
        <f aca="false">IF($G845="","",IF($G845=R_LOT,COUNTIF($G$5:$G845,R_LOT),""))</f>
        <v/>
      </c>
    </row>
    <row r="846" customFormat="false" ht="15" hidden="false" customHeight="false" outlineLevel="0" collapsed="false">
      <c r="A846" s="28" t="str">
        <f aca="false">IF($M846=0,"",ROW()-4)</f>
        <v/>
      </c>
      <c r="B846" s="26" t="str">
        <f aca="false">IF($M846=0,"","RESULTAT ST")</f>
        <v/>
      </c>
      <c r="C846" s="26" t="str">
        <f aca="false">IF($M846=0,"",ST_RESULTATS!$A96)</f>
        <v/>
      </c>
      <c r="D846" s="31" t="str">
        <f aca="false">IF($M846=0,"",ST_RESULTATS!$W96)</f>
        <v/>
      </c>
      <c r="E846" s="26" t="str">
        <f aca="false">IF($M846=0,"","ENTREE")</f>
        <v/>
      </c>
      <c r="F846" s="26" t="str">
        <f aca="false">IF($M846=0,"","RETOUR SOUS-TRAITANCE")</f>
        <v/>
      </c>
      <c r="G846" s="26" t="str">
        <f aca="false">IF($M846=0,"",ST_RESULTATS!$N96)</f>
        <v/>
      </c>
      <c r="H846" s="26" t="str">
        <f aca="false">IF($G846="","",IFERROR(INDEX(LOT_EXTE,MATCH($G846,LOT_KEY,0)),""))</f>
        <v/>
      </c>
      <c r="I846" s="26" t="str">
        <f aca="false">IF($M846=0,"",ST_RESULTATS!$J96)</f>
        <v/>
      </c>
      <c r="J846" s="26" t="str">
        <f aca="false">IF($I846="","",IFERROR(INDEX(EMPL_CLASSE,MATCH($I846,EMPL_KEY,0)),""))</f>
        <v/>
      </c>
      <c r="K846" s="26" t="str">
        <f aca="false">IF($M846=0,"",IFERROR(INDEX(LOT_PRODE,MATCH($G846,LOT_KEY,0)),""))</f>
        <v/>
      </c>
      <c r="L846" s="26" t="str">
        <f aca="false">IF($G846="","",IF(IFERROR(INDEX(LOT_ETAT,MATCH($G846,LOT_KEY,0)),"")="","",INDEX(LOT_ETAT,MATCH($G846,LOT_KEY,0))))</f>
        <v/>
      </c>
      <c r="M846" s="73" t="n">
        <f aca="false">IF(ST_RESULTATS!$Q96=0,0,ST_RESULTATS!$F96)</f>
        <v>0</v>
      </c>
      <c r="N846" s="73" t="n">
        <f aca="false">IF($M846=0,0,ST_RESULTATS!$U96*$M846)</f>
        <v>0</v>
      </c>
      <c r="O846" s="26" t="str">
        <f aca="false">IF($M846=0,"",ST_RESULTATS!$T96)</f>
        <v/>
      </c>
      <c r="P846" s="26" t="str">
        <f aca="false">IF($G846="","",IF($G846=R_LOT,COUNTIF($G$5:$G846,R_LOT),""))</f>
        <v/>
      </c>
    </row>
    <row r="847" customFormat="false" ht="15" hidden="false" customHeight="false" outlineLevel="0" collapsed="false">
      <c r="A847" s="28" t="str">
        <f aca="false">IF($M847=0,"",ROW()-4)</f>
        <v/>
      </c>
      <c r="B847" s="26" t="str">
        <f aca="false">IF($M847=0,"","RESULTAT ST")</f>
        <v/>
      </c>
      <c r="C847" s="26" t="str">
        <f aca="false">IF($M847=0,"",ST_RESULTATS!$A97)</f>
        <v/>
      </c>
      <c r="D847" s="31" t="str">
        <f aca="false">IF($M847=0,"",ST_RESULTATS!$W97)</f>
        <v/>
      </c>
      <c r="E847" s="26" t="str">
        <f aca="false">IF($M847=0,"","ENTREE")</f>
        <v/>
      </c>
      <c r="F847" s="26" t="str">
        <f aca="false">IF($M847=0,"","RETOUR SOUS-TRAITANCE")</f>
        <v/>
      </c>
      <c r="G847" s="26" t="str">
        <f aca="false">IF($M847=0,"",ST_RESULTATS!$N97)</f>
        <v/>
      </c>
      <c r="H847" s="26" t="str">
        <f aca="false">IF($G847="","",IFERROR(INDEX(LOT_EXTE,MATCH($G847,LOT_KEY,0)),""))</f>
        <v/>
      </c>
      <c r="I847" s="26" t="str">
        <f aca="false">IF($M847=0,"",ST_RESULTATS!$J97)</f>
        <v/>
      </c>
      <c r="J847" s="26" t="str">
        <f aca="false">IF($I847="","",IFERROR(INDEX(EMPL_CLASSE,MATCH($I847,EMPL_KEY,0)),""))</f>
        <v/>
      </c>
      <c r="K847" s="26" t="str">
        <f aca="false">IF($M847=0,"",IFERROR(INDEX(LOT_PRODE,MATCH($G847,LOT_KEY,0)),""))</f>
        <v/>
      </c>
      <c r="L847" s="26" t="str">
        <f aca="false">IF($G847="","",IF(IFERROR(INDEX(LOT_ETAT,MATCH($G847,LOT_KEY,0)),"")="","",INDEX(LOT_ETAT,MATCH($G847,LOT_KEY,0))))</f>
        <v/>
      </c>
      <c r="M847" s="73" t="n">
        <f aca="false">IF(ST_RESULTATS!$Q97=0,0,ST_RESULTATS!$F97)</f>
        <v>0</v>
      </c>
      <c r="N847" s="73" t="n">
        <f aca="false">IF($M847=0,0,ST_RESULTATS!$U97*$M847)</f>
        <v>0</v>
      </c>
      <c r="O847" s="26" t="str">
        <f aca="false">IF($M847=0,"",ST_RESULTATS!$T97)</f>
        <v/>
      </c>
      <c r="P847" s="26" t="str">
        <f aca="false">IF($G847="","",IF($G847=R_LOT,COUNTIF($G$5:$G847,R_LOT),""))</f>
        <v/>
      </c>
    </row>
    <row r="848" customFormat="false" ht="15" hidden="false" customHeight="false" outlineLevel="0" collapsed="false">
      <c r="A848" s="28" t="str">
        <f aca="false">IF($M848=0,"",ROW()-4)</f>
        <v/>
      </c>
      <c r="B848" s="26" t="str">
        <f aca="false">IF($M848=0,"","RESULTAT ST")</f>
        <v/>
      </c>
      <c r="C848" s="26" t="str">
        <f aca="false">IF($M848=0,"",ST_RESULTATS!$A98)</f>
        <v/>
      </c>
      <c r="D848" s="31" t="str">
        <f aca="false">IF($M848=0,"",ST_RESULTATS!$W98)</f>
        <v/>
      </c>
      <c r="E848" s="26" t="str">
        <f aca="false">IF($M848=0,"","ENTREE")</f>
        <v/>
      </c>
      <c r="F848" s="26" t="str">
        <f aca="false">IF($M848=0,"","RETOUR SOUS-TRAITANCE")</f>
        <v/>
      </c>
      <c r="G848" s="26" t="str">
        <f aca="false">IF($M848=0,"",ST_RESULTATS!$N98)</f>
        <v/>
      </c>
      <c r="H848" s="26" t="str">
        <f aca="false">IF($G848="","",IFERROR(INDEX(LOT_EXTE,MATCH($G848,LOT_KEY,0)),""))</f>
        <v/>
      </c>
      <c r="I848" s="26" t="str">
        <f aca="false">IF($M848=0,"",ST_RESULTATS!$J98)</f>
        <v/>
      </c>
      <c r="J848" s="26" t="str">
        <f aca="false">IF($I848="","",IFERROR(INDEX(EMPL_CLASSE,MATCH($I848,EMPL_KEY,0)),""))</f>
        <v/>
      </c>
      <c r="K848" s="26" t="str">
        <f aca="false">IF($M848=0,"",IFERROR(INDEX(LOT_PRODE,MATCH($G848,LOT_KEY,0)),""))</f>
        <v/>
      </c>
      <c r="L848" s="26" t="str">
        <f aca="false">IF($G848="","",IF(IFERROR(INDEX(LOT_ETAT,MATCH($G848,LOT_KEY,0)),"")="","",INDEX(LOT_ETAT,MATCH($G848,LOT_KEY,0))))</f>
        <v/>
      </c>
      <c r="M848" s="73" t="n">
        <f aca="false">IF(ST_RESULTATS!$Q98=0,0,ST_RESULTATS!$F98)</f>
        <v>0</v>
      </c>
      <c r="N848" s="73" t="n">
        <f aca="false">IF($M848=0,0,ST_RESULTATS!$U98*$M848)</f>
        <v>0</v>
      </c>
      <c r="O848" s="26" t="str">
        <f aca="false">IF($M848=0,"",ST_RESULTATS!$T98)</f>
        <v/>
      </c>
      <c r="P848" s="26" t="str">
        <f aca="false">IF($G848="","",IF($G848=R_LOT,COUNTIF($G$5:$G848,R_LOT),""))</f>
        <v/>
      </c>
    </row>
    <row r="849" customFormat="false" ht="15" hidden="false" customHeight="false" outlineLevel="0" collapsed="false">
      <c r="A849" s="28" t="str">
        <f aca="false">IF($M849=0,"",ROW()-4)</f>
        <v/>
      </c>
      <c r="B849" s="26" t="str">
        <f aca="false">IF($M849=0,"","RESULTAT ST")</f>
        <v/>
      </c>
      <c r="C849" s="26" t="str">
        <f aca="false">IF($M849=0,"",ST_RESULTATS!$A99)</f>
        <v/>
      </c>
      <c r="D849" s="31" t="str">
        <f aca="false">IF($M849=0,"",ST_RESULTATS!$W99)</f>
        <v/>
      </c>
      <c r="E849" s="26" t="str">
        <f aca="false">IF($M849=0,"","ENTREE")</f>
        <v/>
      </c>
      <c r="F849" s="26" t="str">
        <f aca="false">IF($M849=0,"","RETOUR SOUS-TRAITANCE")</f>
        <v/>
      </c>
      <c r="G849" s="26" t="str">
        <f aca="false">IF($M849=0,"",ST_RESULTATS!$N99)</f>
        <v/>
      </c>
      <c r="H849" s="26" t="str">
        <f aca="false">IF($G849="","",IFERROR(INDEX(LOT_EXTE,MATCH($G849,LOT_KEY,0)),""))</f>
        <v/>
      </c>
      <c r="I849" s="26" t="str">
        <f aca="false">IF($M849=0,"",ST_RESULTATS!$J99)</f>
        <v/>
      </c>
      <c r="J849" s="26" t="str">
        <f aca="false">IF($I849="","",IFERROR(INDEX(EMPL_CLASSE,MATCH($I849,EMPL_KEY,0)),""))</f>
        <v/>
      </c>
      <c r="K849" s="26" t="str">
        <f aca="false">IF($M849=0,"",IFERROR(INDEX(LOT_PRODE,MATCH($G849,LOT_KEY,0)),""))</f>
        <v/>
      </c>
      <c r="L849" s="26" t="str">
        <f aca="false">IF($G849="","",IF(IFERROR(INDEX(LOT_ETAT,MATCH($G849,LOT_KEY,0)),"")="","",INDEX(LOT_ETAT,MATCH($G849,LOT_KEY,0))))</f>
        <v/>
      </c>
      <c r="M849" s="73" t="n">
        <f aca="false">IF(ST_RESULTATS!$Q99=0,0,ST_RESULTATS!$F99)</f>
        <v>0</v>
      </c>
      <c r="N849" s="73" t="n">
        <f aca="false">IF($M849=0,0,ST_RESULTATS!$U99*$M849)</f>
        <v>0</v>
      </c>
      <c r="O849" s="26" t="str">
        <f aca="false">IF($M849=0,"",ST_RESULTATS!$T99)</f>
        <v/>
      </c>
      <c r="P849" s="26" t="str">
        <f aca="false">IF($G849="","",IF($G849=R_LOT,COUNTIF($G$5:$G849,R_LOT),""))</f>
        <v/>
      </c>
    </row>
    <row r="850" customFormat="false" ht="15" hidden="false" customHeight="false" outlineLevel="0" collapsed="false">
      <c r="A850" s="28" t="str">
        <f aca="false">IF($M850=0,"",ROW()-4)</f>
        <v/>
      </c>
      <c r="B850" s="26" t="str">
        <f aca="false">IF($M850=0,"","RESULTAT ST")</f>
        <v/>
      </c>
      <c r="C850" s="26" t="str">
        <f aca="false">IF($M850=0,"",ST_RESULTATS!$A100)</f>
        <v/>
      </c>
      <c r="D850" s="31" t="str">
        <f aca="false">IF($M850=0,"",ST_RESULTATS!$W100)</f>
        <v/>
      </c>
      <c r="E850" s="26" t="str">
        <f aca="false">IF($M850=0,"","ENTREE")</f>
        <v/>
      </c>
      <c r="F850" s="26" t="str">
        <f aca="false">IF($M850=0,"","RETOUR SOUS-TRAITANCE")</f>
        <v/>
      </c>
      <c r="G850" s="26" t="str">
        <f aca="false">IF($M850=0,"",ST_RESULTATS!$N100)</f>
        <v/>
      </c>
      <c r="H850" s="26" t="str">
        <f aca="false">IF($G850="","",IFERROR(INDEX(LOT_EXTE,MATCH($G850,LOT_KEY,0)),""))</f>
        <v/>
      </c>
      <c r="I850" s="26" t="str">
        <f aca="false">IF($M850=0,"",ST_RESULTATS!$J100)</f>
        <v/>
      </c>
      <c r="J850" s="26" t="str">
        <f aca="false">IF($I850="","",IFERROR(INDEX(EMPL_CLASSE,MATCH($I850,EMPL_KEY,0)),""))</f>
        <v/>
      </c>
      <c r="K850" s="26" t="str">
        <f aca="false">IF($M850=0,"",IFERROR(INDEX(LOT_PRODE,MATCH($G850,LOT_KEY,0)),""))</f>
        <v/>
      </c>
      <c r="L850" s="26" t="str">
        <f aca="false">IF($G850="","",IF(IFERROR(INDEX(LOT_ETAT,MATCH($G850,LOT_KEY,0)),"")="","",INDEX(LOT_ETAT,MATCH($G850,LOT_KEY,0))))</f>
        <v/>
      </c>
      <c r="M850" s="73" t="n">
        <f aca="false">IF(ST_RESULTATS!$Q100=0,0,ST_RESULTATS!$F100)</f>
        <v>0</v>
      </c>
      <c r="N850" s="73" t="n">
        <f aca="false">IF($M850=0,0,ST_RESULTATS!$U100*$M850)</f>
        <v>0</v>
      </c>
      <c r="O850" s="26" t="str">
        <f aca="false">IF($M850=0,"",ST_RESULTATS!$T100)</f>
        <v/>
      </c>
      <c r="P850" s="26" t="str">
        <f aca="false">IF($G850="","",IF($G850=R_LOT,COUNTIF($G$5:$G850,R_LOT),""))</f>
        <v/>
      </c>
    </row>
    <row r="851" customFormat="false" ht="15" hidden="false" customHeight="false" outlineLevel="0" collapsed="false">
      <c r="A851" s="28" t="str">
        <f aca="false">IF($M851=0,"",ROW()-4)</f>
        <v/>
      </c>
      <c r="B851" s="26" t="str">
        <f aca="false">IF($M851=0,"","RESULTAT ST")</f>
        <v/>
      </c>
      <c r="C851" s="26" t="str">
        <f aca="false">IF($M851=0,"",ST_RESULTATS!$A101)</f>
        <v/>
      </c>
      <c r="D851" s="31" t="str">
        <f aca="false">IF($M851=0,"",ST_RESULTATS!$W101)</f>
        <v/>
      </c>
      <c r="E851" s="26" t="str">
        <f aca="false">IF($M851=0,"","ENTREE")</f>
        <v/>
      </c>
      <c r="F851" s="26" t="str">
        <f aca="false">IF($M851=0,"","RETOUR SOUS-TRAITANCE")</f>
        <v/>
      </c>
      <c r="G851" s="26" t="str">
        <f aca="false">IF($M851=0,"",ST_RESULTATS!$N101)</f>
        <v/>
      </c>
      <c r="H851" s="26" t="str">
        <f aca="false">IF($G851="","",IFERROR(INDEX(LOT_EXTE,MATCH($G851,LOT_KEY,0)),""))</f>
        <v/>
      </c>
      <c r="I851" s="26" t="str">
        <f aca="false">IF($M851=0,"",ST_RESULTATS!$J101)</f>
        <v/>
      </c>
      <c r="J851" s="26" t="str">
        <f aca="false">IF($I851="","",IFERROR(INDEX(EMPL_CLASSE,MATCH($I851,EMPL_KEY,0)),""))</f>
        <v/>
      </c>
      <c r="K851" s="26" t="str">
        <f aca="false">IF($M851=0,"",IFERROR(INDEX(LOT_PRODE,MATCH($G851,LOT_KEY,0)),""))</f>
        <v/>
      </c>
      <c r="L851" s="26" t="str">
        <f aca="false">IF($G851="","",IF(IFERROR(INDEX(LOT_ETAT,MATCH($G851,LOT_KEY,0)),"")="","",INDEX(LOT_ETAT,MATCH($G851,LOT_KEY,0))))</f>
        <v/>
      </c>
      <c r="M851" s="73" t="n">
        <f aca="false">IF(ST_RESULTATS!$Q101=0,0,ST_RESULTATS!$F101)</f>
        <v>0</v>
      </c>
      <c r="N851" s="73" t="n">
        <f aca="false">IF($M851=0,0,ST_RESULTATS!$U101*$M851)</f>
        <v>0</v>
      </c>
      <c r="O851" s="26" t="str">
        <f aca="false">IF($M851=0,"",ST_RESULTATS!$T101)</f>
        <v/>
      </c>
      <c r="P851" s="26" t="str">
        <f aca="false">IF($G851="","",IF($G851=R_LOT,COUNTIF($G$5:$G851,R_LOT),""))</f>
        <v/>
      </c>
    </row>
    <row r="852" customFormat="false" ht="15" hidden="false" customHeight="false" outlineLevel="0" collapsed="false">
      <c r="A852" s="28" t="str">
        <f aca="false">IF($M852=0,"",ROW()-4)</f>
        <v/>
      </c>
      <c r="B852" s="26" t="str">
        <f aca="false">IF($M852=0,"","RESULTAT ST")</f>
        <v/>
      </c>
      <c r="C852" s="26" t="str">
        <f aca="false">IF($M852=0,"",ST_RESULTATS!$A102)</f>
        <v/>
      </c>
      <c r="D852" s="31" t="str">
        <f aca="false">IF($M852=0,"",ST_RESULTATS!$W102)</f>
        <v/>
      </c>
      <c r="E852" s="26" t="str">
        <f aca="false">IF($M852=0,"","ENTREE")</f>
        <v/>
      </c>
      <c r="F852" s="26" t="str">
        <f aca="false">IF($M852=0,"","RETOUR SOUS-TRAITANCE")</f>
        <v/>
      </c>
      <c r="G852" s="26" t="str">
        <f aca="false">IF($M852=0,"",ST_RESULTATS!$N102)</f>
        <v/>
      </c>
      <c r="H852" s="26" t="str">
        <f aca="false">IF($G852="","",IFERROR(INDEX(LOT_EXTE,MATCH($G852,LOT_KEY,0)),""))</f>
        <v/>
      </c>
      <c r="I852" s="26" t="str">
        <f aca="false">IF($M852=0,"",ST_RESULTATS!$J102)</f>
        <v/>
      </c>
      <c r="J852" s="26" t="str">
        <f aca="false">IF($I852="","",IFERROR(INDEX(EMPL_CLASSE,MATCH($I852,EMPL_KEY,0)),""))</f>
        <v/>
      </c>
      <c r="K852" s="26" t="str">
        <f aca="false">IF($M852=0,"",IFERROR(INDEX(LOT_PRODE,MATCH($G852,LOT_KEY,0)),""))</f>
        <v/>
      </c>
      <c r="L852" s="26" t="str">
        <f aca="false">IF($G852="","",IF(IFERROR(INDEX(LOT_ETAT,MATCH($G852,LOT_KEY,0)),"")="","",INDEX(LOT_ETAT,MATCH($G852,LOT_KEY,0))))</f>
        <v/>
      </c>
      <c r="M852" s="73" t="n">
        <f aca="false">IF(ST_RESULTATS!$Q102=0,0,ST_RESULTATS!$F102)</f>
        <v>0</v>
      </c>
      <c r="N852" s="73" t="n">
        <f aca="false">IF($M852=0,0,ST_RESULTATS!$U102*$M852)</f>
        <v>0</v>
      </c>
      <c r="O852" s="26" t="str">
        <f aca="false">IF($M852=0,"",ST_RESULTATS!$T102)</f>
        <v/>
      </c>
      <c r="P852" s="26" t="str">
        <f aca="false">IF($G852="","",IF($G852=R_LOT,COUNTIF($G$5:$G852,R_LOT),""))</f>
        <v/>
      </c>
    </row>
    <row r="853" customFormat="false" ht="15" hidden="false" customHeight="false" outlineLevel="0" collapsed="false">
      <c r="A853" s="28" t="str">
        <f aca="false">IF($M853=0,"",ROW()-4)</f>
        <v/>
      </c>
      <c r="B853" s="26" t="str">
        <f aca="false">IF($M853=0,"","RESULTAT ST")</f>
        <v/>
      </c>
      <c r="C853" s="26" t="str">
        <f aca="false">IF($M853=0,"",ST_RESULTATS!$A103)</f>
        <v/>
      </c>
      <c r="D853" s="31" t="str">
        <f aca="false">IF($M853=0,"",ST_RESULTATS!$W103)</f>
        <v/>
      </c>
      <c r="E853" s="26" t="str">
        <f aca="false">IF($M853=0,"","ENTREE")</f>
        <v/>
      </c>
      <c r="F853" s="26" t="str">
        <f aca="false">IF($M853=0,"","RETOUR SOUS-TRAITANCE")</f>
        <v/>
      </c>
      <c r="G853" s="26" t="str">
        <f aca="false">IF($M853=0,"",ST_RESULTATS!$N103)</f>
        <v/>
      </c>
      <c r="H853" s="26" t="str">
        <f aca="false">IF($G853="","",IFERROR(INDEX(LOT_EXTE,MATCH($G853,LOT_KEY,0)),""))</f>
        <v/>
      </c>
      <c r="I853" s="26" t="str">
        <f aca="false">IF($M853=0,"",ST_RESULTATS!$J103)</f>
        <v/>
      </c>
      <c r="J853" s="26" t="str">
        <f aca="false">IF($I853="","",IFERROR(INDEX(EMPL_CLASSE,MATCH($I853,EMPL_KEY,0)),""))</f>
        <v/>
      </c>
      <c r="K853" s="26" t="str">
        <f aca="false">IF($M853=0,"",IFERROR(INDEX(LOT_PRODE,MATCH($G853,LOT_KEY,0)),""))</f>
        <v/>
      </c>
      <c r="L853" s="26" t="str">
        <f aca="false">IF($G853="","",IF(IFERROR(INDEX(LOT_ETAT,MATCH($G853,LOT_KEY,0)),"")="","",INDEX(LOT_ETAT,MATCH($G853,LOT_KEY,0))))</f>
        <v/>
      </c>
      <c r="M853" s="73" t="n">
        <f aca="false">IF(ST_RESULTATS!$Q103=0,0,ST_RESULTATS!$F103)</f>
        <v>0</v>
      </c>
      <c r="N853" s="73" t="n">
        <f aca="false">IF($M853=0,0,ST_RESULTATS!$U103*$M853)</f>
        <v>0</v>
      </c>
      <c r="O853" s="26" t="str">
        <f aca="false">IF($M853=0,"",ST_RESULTATS!$T103)</f>
        <v/>
      </c>
      <c r="P853" s="26" t="str">
        <f aca="false">IF($G853="","",IF($G853=R_LOT,COUNTIF($G$5:$G853,R_LOT),""))</f>
        <v/>
      </c>
    </row>
    <row r="854" customFormat="false" ht="15" hidden="false" customHeight="false" outlineLevel="0" collapsed="false">
      <c r="A854" s="28" t="str">
        <f aca="false">IF($M854=0,"",ROW()-4)</f>
        <v/>
      </c>
      <c r="B854" s="26" t="str">
        <f aca="false">IF($M854=0,"","RESULTAT ST")</f>
        <v/>
      </c>
      <c r="C854" s="26" t="str">
        <f aca="false">IF($M854=0,"",ST_RESULTATS!$A104)</f>
        <v/>
      </c>
      <c r="D854" s="31" t="str">
        <f aca="false">IF($M854=0,"",ST_RESULTATS!$W104)</f>
        <v/>
      </c>
      <c r="E854" s="26" t="str">
        <f aca="false">IF($M854=0,"","ENTREE")</f>
        <v/>
      </c>
      <c r="F854" s="26" t="str">
        <f aca="false">IF($M854=0,"","RETOUR SOUS-TRAITANCE")</f>
        <v/>
      </c>
      <c r="G854" s="26" t="str">
        <f aca="false">IF($M854=0,"",ST_RESULTATS!$N104)</f>
        <v/>
      </c>
      <c r="H854" s="26" t="str">
        <f aca="false">IF($G854="","",IFERROR(INDEX(LOT_EXTE,MATCH($G854,LOT_KEY,0)),""))</f>
        <v/>
      </c>
      <c r="I854" s="26" t="str">
        <f aca="false">IF($M854=0,"",ST_RESULTATS!$J104)</f>
        <v/>
      </c>
      <c r="J854" s="26" t="str">
        <f aca="false">IF($I854="","",IFERROR(INDEX(EMPL_CLASSE,MATCH($I854,EMPL_KEY,0)),""))</f>
        <v/>
      </c>
      <c r="K854" s="26" t="str">
        <f aca="false">IF($M854=0,"",IFERROR(INDEX(LOT_PRODE,MATCH($G854,LOT_KEY,0)),""))</f>
        <v/>
      </c>
      <c r="L854" s="26" t="str">
        <f aca="false">IF($G854="","",IF(IFERROR(INDEX(LOT_ETAT,MATCH($G854,LOT_KEY,0)),"")="","",INDEX(LOT_ETAT,MATCH($G854,LOT_KEY,0))))</f>
        <v/>
      </c>
      <c r="M854" s="73" t="n">
        <f aca="false">IF(ST_RESULTATS!$Q104=0,0,ST_RESULTATS!$F104)</f>
        <v>0</v>
      </c>
      <c r="N854" s="73" t="n">
        <f aca="false">IF($M854=0,0,ST_RESULTATS!$U104*$M854)</f>
        <v>0</v>
      </c>
      <c r="O854" s="26" t="str">
        <f aca="false">IF($M854=0,"",ST_RESULTATS!$T104)</f>
        <v/>
      </c>
      <c r="P854" s="26" t="str">
        <f aca="false">IF($G854="","",IF($G854=R_LOT,COUNTIF($G$5:$G854,R_LOT),""))</f>
        <v/>
      </c>
    </row>
    <row r="855" customFormat="false" ht="15" hidden="false" customHeight="false" outlineLevel="0" collapsed="false">
      <c r="A855" s="28" t="str">
        <f aca="false">IF($M855=0,"",ROW()-4)</f>
        <v/>
      </c>
      <c r="B855" s="26" t="str">
        <f aca="false">IF($M855=0,"","RESULTAT ST")</f>
        <v/>
      </c>
      <c r="C855" s="26" t="str">
        <f aca="false">IF($M855=0,"",ST_RESULTATS!$A105)</f>
        <v/>
      </c>
      <c r="D855" s="31" t="str">
        <f aca="false">IF($M855=0,"",ST_RESULTATS!$W105)</f>
        <v/>
      </c>
      <c r="E855" s="26" t="str">
        <f aca="false">IF($M855=0,"","ENTREE")</f>
        <v/>
      </c>
      <c r="F855" s="26" t="str">
        <f aca="false">IF($M855=0,"","RETOUR SOUS-TRAITANCE")</f>
        <v/>
      </c>
      <c r="G855" s="26" t="str">
        <f aca="false">IF($M855=0,"",ST_RESULTATS!$N105)</f>
        <v/>
      </c>
      <c r="H855" s="26" t="str">
        <f aca="false">IF($G855="","",IFERROR(INDEX(LOT_EXTE,MATCH($G855,LOT_KEY,0)),""))</f>
        <v/>
      </c>
      <c r="I855" s="26" t="str">
        <f aca="false">IF($M855=0,"",ST_RESULTATS!$J105)</f>
        <v/>
      </c>
      <c r="J855" s="26" t="str">
        <f aca="false">IF($I855="","",IFERROR(INDEX(EMPL_CLASSE,MATCH($I855,EMPL_KEY,0)),""))</f>
        <v/>
      </c>
      <c r="K855" s="26" t="str">
        <f aca="false">IF($M855=0,"",IFERROR(INDEX(LOT_PRODE,MATCH($G855,LOT_KEY,0)),""))</f>
        <v/>
      </c>
      <c r="L855" s="26" t="str">
        <f aca="false">IF($G855="","",IF(IFERROR(INDEX(LOT_ETAT,MATCH($G855,LOT_KEY,0)),"")="","",INDEX(LOT_ETAT,MATCH($G855,LOT_KEY,0))))</f>
        <v/>
      </c>
      <c r="M855" s="73" t="n">
        <f aca="false">IF(ST_RESULTATS!$Q105=0,0,ST_RESULTATS!$F105)</f>
        <v>0</v>
      </c>
      <c r="N855" s="73" t="n">
        <f aca="false">IF($M855=0,0,ST_RESULTATS!$U105*$M855)</f>
        <v>0</v>
      </c>
      <c r="O855" s="26" t="str">
        <f aca="false">IF($M855=0,"",ST_RESULTATS!$T105)</f>
        <v/>
      </c>
      <c r="P855" s="26" t="str">
        <f aca="false">IF($G855="","",IF($G855=R_LOT,COUNTIF($G$5:$G855,R_LOT),""))</f>
        <v/>
      </c>
    </row>
    <row r="856" customFormat="false" ht="15" hidden="false" customHeight="false" outlineLevel="0" collapsed="false">
      <c r="A856" s="28" t="str">
        <f aca="false">IF($M856=0,"",ROW()-4)</f>
        <v/>
      </c>
      <c r="B856" s="26" t="str">
        <f aca="false">IF($M856=0,"","RESULTAT ST")</f>
        <v/>
      </c>
      <c r="C856" s="26" t="str">
        <f aca="false">IF($M856=0,"",ST_RESULTATS!$A106)</f>
        <v/>
      </c>
      <c r="D856" s="31" t="str">
        <f aca="false">IF($M856=0,"",ST_RESULTATS!$W106)</f>
        <v/>
      </c>
      <c r="E856" s="26" t="str">
        <f aca="false">IF($M856=0,"","ENTREE")</f>
        <v/>
      </c>
      <c r="F856" s="26" t="str">
        <f aca="false">IF($M856=0,"","RETOUR SOUS-TRAITANCE")</f>
        <v/>
      </c>
      <c r="G856" s="26" t="str">
        <f aca="false">IF($M856=0,"",ST_RESULTATS!$N106)</f>
        <v/>
      </c>
      <c r="H856" s="26" t="str">
        <f aca="false">IF($G856="","",IFERROR(INDEX(LOT_EXTE,MATCH($G856,LOT_KEY,0)),""))</f>
        <v/>
      </c>
      <c r="I856" s="26" t="str">
        <f aca="false">IF($M856=0,"",ST_RESULTATS!$J106)</f>
        <v/>
      </c>
      <c r="J856" s="26" t="str">
        <f aca="false">IF($I856="","",IFERROR(INDEX(EMPL_CLASSE,MATCH($I856,EMPL_KEY,0)),""))</f>
        <v/>
      </c>
      <c r="K856" s="26" t="str">
        <f aca="false">IF($M856=0,"",IFERROR(INDEX(LOT_PRODE,MATCH($G856,LOT_KEY,0)),""))</f>
        <v/>
      </c>
      <c r="L856" s="26" t="str">
        <f aca="false">IF($G856="","",IF(IFERROR(INDEX(LOT_ETAT,MATCH($G856,LOT_KEY,0)),"")="","",INDEX(LOT_ETAT,MATCH($G856,LOT_KEY,0))))</f>
        <v/>
      </c>
      <c r="M856" s="73" t="n">
        <f aca="false">IF(ST_RESULTATS!$Q106=0,0,ST_RESULTATS!$F106)</f>
        <v>0</v>
      </c>
      <c r="N856" s="73" t="n">
        <f aca="false">IF($M856=0,0,ST_RESULTATS!$U106*$M856)</f>
        <v>0</v>
      </c>
      <c r="O856" s="26" t="str">
        <f aca="false">IF($M856=0,"",ST_RESULTATS!$T106)</f>
        <v/>
      </c>
      <c r="P856" s="26" t="str">
        <f aca="false">IF($G856="","",IF($G856=R_LOT,COUNTIF($G$5:$G856,R_LOT),""))</f>
        <v/>
      </c>
    </row>
    <row r="857" customFormat="false" ht="15" hidden="false" customHeight="false" outlineLevel="0" collapsed="false">
      <c r="A857" s="28" t="str">
        <f aca="false">IF($M857=0,"",ROW()-4)</f>
        <v/>
      </c>
      <c r="B857" s="26" t="str">
        <f aca="false">IF($M857=0,"","RESULTAT ST")</f>
        <v/>
      </c>
      <c r="C857" s="26" t="str">
        <f aca="false">IF($M857=0,"",ST_RESULTATS!$A107)</f>
        <v/>
      </c>
      <c r="D857" s="31" t="str">
        <f aca="false">IF($M857=0,"",ST_RESULTATS!$W107)</f>
        <v/>
      </c>
      <c r="E857" s="26" t="str">
        <f aca="false">IF($M857=0,"","ENTREE")</f>
        <v/>
      </c>
      <c r="F857" s="26" t="str">
        <f aca="false">IF($M857=0,"","RETOUR SOUS-TRAITANCE")</f>
        <v/>
      </c>
      <c r="G857" s="26" t="str">
        <f aca="false">IF($M857=0,"",ST_RESULTATS!$N107)</f>
        <v/>
      </c>
      <c r="H857" s="26" t="str">
        <f aca="false">IF($G857="","",IFERROR(INDEX(LOT_EXTE,MATCH($G857,LOT_KEY,0)),""))</f>
        <v/>
      </c>
      <c r="I857" s="26" t="str">
        <f aca="false">IF($M857=0,"",ST_RESULTATS!$J107)</f>
        <v/>
      </c>
      <c r="J857" s="26" t="str">
        <f aca="false">IF($I857="","",IFERROR(INDEX(EMPL_CLASSE,MATCH($I857,EMPL_KEY,0)),""))</f>
        <v/>
      </c>
      <c r="K857" s="26" t="str">
        <f aca="false">IF($M857=0,"",IFERROR(INDEX(LOT_PRODE,MATCH($G857,LOT_KEY,0)),""))</f>
        <v/>
      </c>
      <c r="L857" s="26" t="str">
        <f aca="false">IF($G857="","",IF(IFERROR(INDEX(LOT_ETAT,MATCH($G857,LOT_KEY,0)),"")="","",INDEX(LOT_ETAT,MATCH($G857,LOT_KEY,0))))</f>
        <v/>
      </c>
      <c r="M857" s="73" t="n">
        <f aca="false">IF(ST_RESULTATS!$Q107=0,0,ST_RESULTATS!$F107)</f>
        <v>0</v>
      </c>
      <c r="N857" s="73" t="n">
        <f aca="false">IF($M857=0,0,ST_RESULTATS!$U107*$M857)</f>
        <v>0</v>
      </c>
      <c r="O857" s="26" t="str">
        <f aca="false">IF($M857=0,"",ST_RESULTATS!$T107)</f>
        <v/>
      </c>
      <c r="P857" s="26" t="str">
        <f aca="false">IF($G857="","",IF($G857=R_LOT,COUNTIF($G$5:$G857,R_LOT),""))</f>
        <v/>
      </c>
    </row>
    <row r="858" customFormat="false" ht="15" hidden="false" customHeight="false" outlineLevel="0" collapsed="false">
      <c r="A858" s="28" t="str">
        <f aca="false">IF($M858=0,"",ROW()-4)</f>
        <v/>
      </c>
      <c r="B858" s="26" t="str">
        <f aca="false">IF($M858=0,"","RESULTAT ST")</f>
        <v/>
      </c>
      <c r="C858" s="26" t="str">
        <f aca="false">IF($M858=0,"",ST_RESULTATS!$A108)</f>
        <v/>
      </c>
      <c r="D858" s="31" t="str">
        <f aca="false">IF($M858=0,"",ST_RESULTATS!$W108)</f>
        <v/>
      </c>
      <c r="E858" s="26" t="str">
        <f aca="false">IF($M858=0,"","ENTREE")</f>
        <v/>
      </c>
      <c r="F858" s="26" t="str">
        <f aca="false">IF($M858=0,"","RETOUR SOUS-TRAITANCE")</f>
        <v/>
      </c>
      <c r="G858" s="26" t="str">
        <f aca="false">IF($M858=0,"",ST_RESULTATS!$N108)</f>
        <v/>
      </c>
      <c r="H858" s="26" t="str">
        <f aca="false">IF($G858="","",IFERROR(INDEX(LOT_EXTE,MATCH($G858,LOT_KEY,0)),""))</f>
        <v/>
      </c>
      <c r="I858" s="26" t="str">
        <f aca="false">IF($M858=0,"",ST_RESULTATS!$J108)</f>
        <v/>
      </c>
      <c r="J858" s="26" t="str">
        <f aca="false">IF($I858="","",IFERROR(INDEX(EMPL_CLASSE,MATCH($I858,EMPL_KEY,0)),""))</f>
        <v/>
      </c>
      <c r="K858" s="26" t="str">
        <f aca="false">IF($M858=0,"",IFERROR(INDEX(LOT_PRODE,MATCH($G858,LOT_KEY,0)),""))</f>
        <v/>
      </c>
      <c r="L858" s="26" t="str">
        <f aca="false">IF($G858="","",IF(IFERROR(INDEX(LOT_ETAT,MATCH($G858,LOT_KEY,0)),"")="","",INDEX(LOT_ETAT,MATCH($G858,LOT_KEY,0))))</f>
        <v/>
      </c>
      <c r="M858" s="73" t="n">
        <f aca="false">IF(ST_RESULTATS!$Q108=0,0,ST_RESULTATS!$F108)</f>
        <v>0</v>
      </c>
      <c r="N858" s="73" t="n">
        <f aca="false">IF($M858=0,0,ST_RESULTATS!$U108*$M858)</f>
        <v>0</v>
      </c>
      <c r="O858" s="26" t="str">
        <f aca="false">IF($M858=0,"",ST_RESULTATS!$T108)</f>
        <v/>
      </c>
      <c r="P858" s="26" t="str">
        <f aca="false">IF($G858="","",IF($G858=R_LOT,COUNTIF($G$5:$G858,R_LOT),""))</f>
        <v/>
      </c>
    </row>
    <row r="859" customFormat="false" ht="15" hidden="false" customHeight="false" outlineLevel="0" collapsed="false">
      <c r="A859" s="28" t="str">
        <f aca="false">IF($M859=0,"",ROW()-4)</f>
        <v/>
      </c>
      <c r="B859" s="26" t="str">
        <f aca="false">IF($M859=0,"","RESULTAT ST")</f>
        <v/>
      </c>
      <c r="C859" s="26" t="str">
        <f aca="false">IF($M859=0,"",ST_RESULTATS!$A109)</f>
        <v/>
      </c>
      <c r="D859" s="31" t="str">
        <f aca="false">IF($M859=0,"",ST_RESULTATS!$W109)</f>
        <v/>
      </c>
      <c r="E859" s="26" t="str">
        <f aca="false">IF($M859=0,"","ENTREE")</f>
        <v/>
      </c>
      <c r="F859" s="26" t="str">
        <f aca="false">IF($M859=0,"","RETOUR SOUS-TRAITANCE")</f>
        <v/>
      </c>
      <c r="G859" s="26" t="str">
        <f aca="false">IF($M859=0,"",ST_RESULTATS!$N109)</f>
        <v/>
      </c>
      <c r="H859" s="26" t="str">
        <f aca="false">IF($G859="","",IFERROR(INDEX(LOT_EXTE,MATCH($G859,LOT_KEY,0)),""))</f>
        <v/>
      </c>
      <c r="I859" s="26" t="str">
        <f aca="false">IF($M859=0,"",ST_RESULTATS!$J109)</f>
        <v/>
      </c>
      <c r="J859" s="26" t="str">
        <f aca="false">IF($I859="","",IFERROR(INDEX(EMPL_CLASSE,MATCH($I859,EMPL_KEY,0)),""))</f>
        <v/>
      </c>
      <c r="K859" s="26" t="str">
        <f aca="false">IF($M859=0,"",IFERROR(INDEX(LOT_PRODE,MATCH($G859,LOT_KEY,0)),""))</f>
        <v/>
      </c>
      <c r="L859" s="26" t="str">
        <f aca="false">IF($G859="","",IF(IFERROR(INDEX(LOT_ETAT,MATCH($G859,LOT_KEY,0)),"")="","",INDEX(LOT_ETAT,MATCH($G859,LOT_KEY,0))))</f>
        <v/>
      </c>
      <c r="M859" s="73" t="n">
        <f aca="false">IF(ST_RESULTATS!$Q109=0,0,ST_RESULTATS!$F109)</f>
        <v>0</v>
      </c>
      <c r="N859" s="73" t="n">
        <f aca="false">IF($M859=0,0,ST_RESULTATS!$U109*$M859)</f>
        <v>0</v>
      </c>
      <c r="O859" s="26" t="str">
        <f aca="false">IF($M859=0,"",ST_RESULTATS!$T109)</f>
        <v/>
      </c>
      <c r="P859" s="26" t="str">
        <f aca="false">IF($G859="","",IF($G859=R_LOT,COUNTIF($G$5:$G859,R_LOT),""))</f>
        <v/>
      </c>
    </row>
    <row r="860" customFormat="false" ht="15" hidden="false" customHeight="false" outlineLevel="0" collapsed="false">
      <c r="A860" s="28" t="str">
        <f aca="false">IF($M860=0,"",ROW()-4)</f>
        <v/>
      </c>
      <c r="B860" s="26" t="str">
        <f aca="false">IF($M860=0,"","RESULTAT ST")</f>
        <v/>
      </c>
      <c r="C860" s="26" t="str">
        <f aca="false">IF($M860=0,"",ST_RESULTATS!$A110)</f>
        <v/>
      </c>
      <c r="D860" s="31" t="str">
        <f aca="false">IF($M860=0,"",ST_RESULTATS!$W110)</f>
        <v/>
      </c>
      <c r="E860" s="26" t="str">
        <f aca="false">IF($M860=0,"","ENTREE")</f>
        <v/>
      </c>
      <c r="F860" s="26" t="str">
        <f aca="false">IF($M860=0,"","RETOUR SOUS-TRAITANCE")</f>
        <v/>
      </c>
      <c r="G860" s="26" t="str">
        <f aca="false">IF($M860=0,"",ST_RESULTATS!$N110)</f>
        <v/>
      </c>
      <c r="H860" s="26" t="str">
        <f aca="false">IF($G860="","",IFERROR(INDEX(LOT_EXTE,MATCH($G860,LOT_KEY,0)),""))</f>
        <v/>
      </c>
      <c r="I860" s="26" t="str">
        <f aca="false">IF($M860=0,"",ST_RESULTATS!$J110)</f>
        <v/>
      </c>
      <c r="J860" s="26" t="str">
        <f aca="false">IF($I860="","",IFERROR(INDEX(EMPL_CLASSE,MATCH($I860,EMPL_KEY,0)),""))</f>
        <v/>
      </c>
      <c r="K860" s="26" t="str">
        <f aca="false">IF($M860=0,"",IFERROR(INDEX(LOT_PRODE,MATCH($G860,LOT_KEY,0)),""))</f>
        <v/>
      </c>
      <c r="L860" s="26" t="str">
        <f aca="false">IF($G860="","",IF(IFERROR(INDEX(LOT_ETAT,MATCH($G860,LOT_KEY,0)),"")="","",INDEX(LOT_ETAT,MATCH($G860,LOT_KEY,0))))</f>
        <v/>
      </c>
      <c r="M860" s="73" t="n">
        <f aca="false">IF(ST_RESULTATS!$Q110=0,0,ST_RESULTATS!$F110)</f>
        <v>0</v>
      </c>
      <c r="N860" s="73" t="n">
        <f aca="false">IF($M860=0,0,ST_RESULTATS!$U110*$M860)</f>
        <v>0</v>
      </c>
      <c r="O860" s="26" t="str">
        <f aca="false">IF($M860=0,"",ST_RESULTATS!$T110)</f>
        <v/>
      </c>
      <c r="P860" s="26" t="str">
        <f aca="false">IF($G860="","",IF($G860=R_LOT,COUNTIF($G$5:$G860,R_LOT),""))</f>
        <v/>
      </c>
    </row>
    <row r="861" customFormat="false" ht="15" hidden="false" customHeight="false" outlineLevel="0" collapsed="false">
      <c r="A861" s="28" t="str">
        <f aca="false">IF($M861=0,"",ROW()-4)</f>
        <v/>
      </c>
      <c r="B861" s="26" t="str">
        <f aca="false">IF($M861=0,"","RESULTAT ST")</f>
        <v/>
      </c>
      <c r="C861" s="26" t="str">
        <f aca="false">IF($M861=0,"",ST_RESULTATS!$A111)</f>
        <v/>
      </c>
      <c r="D861" s="31" t="str">
        <f aca="false">IF($M861=0,"",ST_RESULTATS!$W111)</f>
        <v/>
      </c>
      <c r="E861" s="26" t="str">
        <f aca="false">IF($M861=0,"","ENTREE")</f>
        <v/>
      </c>
      <c r="F861" s="26" t="str">
        <f aca="false">IF($M861=0,"","RETOUR SOUS-TRAITANCE")</f>
        <v/>
      </c>
      <c r="G861" s="26" t="str">
        <f aca="false">IF($M861=0,"",ST_RESULTATS!$N111)</f>
        <v/>
      </c>
      <c r="H861" s="26" t="str">
        <f aca="false">IF($G861="","",IFERROR(INDEX(LOT_EXTE,MATCH($G861,LOT_KEY,0)),""))</f>
        <v/>
      </c>
      <c r="I861" s="26" t="str">
        <f aca="false">IF($M861=0,"",ST_RESULTATS!$J111)</f>
        <v/>
      </c>
      <c r="J861" s="26" t="str">
        <f aca="false">IF($I861="","",IFERROR(INDEX(EMPL_CLASSE,MATCH($I861,EMPL_KEY,0)),""))</f>
        <v/>
      </c>
      <c r="K861" s="26" t="str">
        <f aca="false">IF($M861=0,"",IFERROR(INDEX(LOT_PRODE,MATCH($G861,LOT_KEY,0)),""))</f>
        <v/>
      </c>
      <c r="L861" s="26" t="str">
        <f aca="false">IF($G861="","",IF(IFERROR(INDEX(LOT_ETAT,MATCH($G861,LOT_KEY,0)),"")="","",INDEX(LOT_ETAT,MATCH($G861,LOT_KEY,0))))</f>
        <v/>
      </c>
      <c r="M861" s="73" t="n">
        <f aca="false">IF(ST_RESULTATS!$Q111=0,0,ST_RESULTATS!$F111)</f>
        <v>0</v>
      </c>
      <c r="N861" s="73" t="n">
        <f aca="false">IF($M861=0,0,ST_RESULTATS!$U111*$M861)</f>
        <v>0</v>
      </c>
      <c r="O861" s="26" t="str">
        <f aca="false">IF($M861=0,"",ST_RESULTATS!$T111)</f>
        <v/>
      </c>
      <c r="P861" s="26" t="str">
        <f aca="false">IF($G861="","",IF($G861=R_LOT,COUNTIF($G$5:$G861,R_LOT),""))</f>
        <v/>
      </c>
    </row>
    <row r="862" customFormat="false" ht="15" hidden="false" customHeight="false" outlineLevel="0" collapsed="false">
      <c r="A862" s="28" t="str">
        <f aca="false">IF($M862=0,"",ROW()-4)</f>
        <v/>
      </c>
      <c r="B862" s="26" t="str">
        <f aca="false">IF($M862=0,"","RESULTAT ST")</f>
        <v/>
      </c>
      <c r="C862" s="26" t="str">
        <f aca="false">IF($M862=0,"",ST_RESULTATS!$A112)</f>
        <v/>
      </c>
      <c r="D862" s="31" t="str">
        <f aca="false">IF($M862=0,"",ST_RESULTATS!$W112)</f>
        <v/>
      </c>
      <c r="E862" s="26" t="str">
        <f aca="false">IF($M862=0,"","ENTREE")</f>
        <v/>
      </c>
      <c r="F862" s="26" t="str">
        <f aca="false">IF($M862=0,"","RETOUR SOUS-TRAITANCE")</f>
        <v/>
      </c>
      <c r="G862" s="26" t="str">
        <f aca="false">IF($M862=0,"",ST_RESULTATS!$N112)</f>
        <v/>
      </c>
      <c r="H862" s="26" t="str">
        <f aca="false">IF($G862="","",IFERROR(INDEX(LOT_EXTE,MATCH($G862,LOT_KEY,0)),""))</f>
        <v/>
      </c>
      <c r="I862" s="26" t="str">
        <f aca="false">IF($M862=0,"",ST_RESULTATS!$J112)</f>
        <v/>
      </c>
      <c r="J862" s="26" t="str">
        <f aca="false">IF($I862="","",IFERROR(INDEX(EMPL_CLASSE,MATCH($I862,EMPL_KEY,0)),""))</f>
        <v/>
      </c>
      <c r="K862" s="26" t="str">
        <f aca="false">IF($M862=0,"",IFERROR(INDEX(LOT_PRODE,MATCH($G862,LOT_KEY,0)),""))</f>
        <v/>
      </c>
      <c r="L862" s="26" t="str">
        <f aca="false">IF($G862="","",IF(IFERROR(INDEX(LOT_ETAT,MATCH($G862,LOT_KEY,0)),"")="","",INDEX(LOT_ETAT,MATCH($G862,LOT_KEY,0))))</f>
        <v/>
      </c>
      <c r="M862" s="73" t="n">
        <f aca="false">IF(ST_RESULTATS!$Q112=0,0,ST_RESULTATS!$F112)</f>
        <v>0</v>
      </c>
      <c r="N862" s="73" t="n">
        <f aca="false">IF($M862=0,0,ST_RESULTATS!$U112*$M862)</f>
        <v>0</v>
      </c>
      <c r="O862" s="26" t="str">
        <f aca="false">IF($M862=0,"",ST_RESULTATS!$T112)</f>
        <v/>
      </c>
      <c r="P862" s="26" t="str">
        <f aca="false">IF($G862="","",IF($G862=R_LOT,COUNTIF($G$5:$G862,R_LOT),""))</f>
        <v/>
      </c>
    </row>
    <row r="863" customFormat="false" ht="15" hidden="false" customHeight="false" outlineLevel="0" collapsed="false">
      <c r="A863" s="28" t="str">
        <f aca="false">IF($M863=0,"",ROW()-4)</f>
        <v/>
      </c>
      <c r="B863" s="26" t="str">
        <f aca="false">IF($M863=0,"","RESULTAT ST")</f>
        <v/>
      </c>
      <c r="C863" s="26" t="str">
        <f aca="false">IF($M863=0,"",ST_RESULTATS!$A113)</f>
        <v/>
      </c>
      <c r="D863" s="31" t="str">
        <f aca="false">IF($M863=0,"",ST_RESULTATS!$W113)</f>
        <v/>
      </c>
      <c r="E863" s="26" t="str">
        <f aca="false">IF($M863=0,"","ENTREE")</f>
        <v/>
      </c>
      <c r="F863" s="26" t="str">
        <f aca="false">IF($M863=0,"","RETOUR SOUS-TRAITANCE")</f>
        <v/>
      </c>
      <c r="G863" s="26" t="str">
        <f aca="false">IF($M863=0,"",ST_RESULTATS!$N113)</f>
        <v/>
      </c>
      <c r="H863" s="26" t="str">
        <f aca="false">IF($G863="","",IFERROR(INDEX(LOT_EXTE,MATCH($G863,LOT_KEY,0)),""))</f>
        <v/>
      </c>
      <c r="I863" s="26" t="str">
        <f aca="false">IF($M863=0,"",ST_RESULTATS!$J113)</f>
        <v/>
      </c>
      <c r="J863" s="26" t="str">
        <f aca="false">IF($I863="","",IFERROR(INDEX(EMPL_CLASSE,MATCH($I863,EMPL_KEY,0)),""))</f>
        <v/>
      </c>
      <c r="K863" s="26" t="str">
        <f aca="false">IF($M863=0,"",IFERROR(INDEX(LOT_PRODE,MATCH($G863,LOT_KEY,0)),""))</f>
        <v/>
      </c>
      <c r="L863" s="26" t="str">
        <f aca="false">IF($G863="","",IF(IFERROR(INDEX(LOT_ETAT,MATCH($G863,LOT_KEY,0)),"")="","",INDEX(LOT_ETAT,MATCH($G863,LOT_KEY,0))))</f>
        <v/>
      </c>
      <c r="M863" s="73" t="n">
        <f aca="false">IF(ST_RESULTATS!$Q113=0,0,ST_RESULTATS!$F113)</f>
        <v>0</v>
      </c>
      <c r="N863" s="73" t="n">
        <f aca="false">IF($M863=0,0,ST_RESULTATS!$U113*$M863)</f>
        <v>0</v>
      </c>
      <c r="O863" s="26" t="str">
        <f aca="false">IF($M863=0,"",ST_RESULTATS!$T113)</f>
        <v/>
      </c>
      <c r="P863" s="26" t="str">
        <f aca="false">IF($G863="","",IF($G863=R_LOT,COUNTIF($G$5:$G863,R_LOT),""))</f>
        <v/>
      </c>
    </row>
    <row r="864" customFormat="false" ht="15" hidden="false" customHeight="false" outlineLevel="0" collapsed="false">
      <c r="A864" s="28" t="str">
        <f aca="false">IF($M864=0,"",ROW()-4)</f>
        <v/>
      </c>
      <c r="B864" s="26" t="str">
        <f aca="false">IF($M864=0,"","RESULTAT ST")</f>
        <v/>
      </c>
      <c r="C864" s="26" t="str">
        <f aca="false">IF($M864=0,"",ST_RESULTATS!$A114)</f>
        <v/>
      </c>
      <c r="D864" s="31" t="str">
        <f aca="false">IF($M864=0,"",ST_RESULTATS!$W114)</f>
        <v/>
      </c>
      <c r="E864" s="26" t="str">
        <f aca="false">IF($M864=0,"","ENTREE")</f>
        <v/>
      </c>
      <c r="F864" s="26" t="str">
        <f aca="false">IF($M864=0,"","RETOUR SOUS-TRAITANCE")</f>
        <v/>
      </c>
      <c r="G864" s="26" t="str">
        <f aca="false">IF($M864=0,"",ST_RESULTATS!$N114)</f>
        <v/>
      </c>
      <c r="H864" s="26" t="str">
        <f aca="false">IF($G864="","",IFERROR(INDEX(LOT_EXTE,MATCH($G864,LOT_KEY,0)),""))</f>
        <v/>
      </c>
      <c r="I864" s="26" t="str">
        <f aca="false">IF($M864=0,"",ST_RESULTATS!$J114)</f>
        <v/>
      </c>
      <c r="J864" s="26" t="str">
        <f aca="false">IF($I864="","",IFERROR(INDEX(EMPL_CLASSE,MATCH($I864,EMPL_KEY,0)),""))</f>
        <v/>
      </c>
      <c r="K864" s="26" t="str">
        <f aca="false">IF($M864=0,"",IFERROR(INDEX(LOT_PRODE,MATCH($G864,LOT_KEY,0)),""))</f>
        <v/>
      </c>
      <c r="L864" s="26" t="str">
        <f aca="false">IF($G864="","",IF(IFERROR(INDEX(LOT_ETAT,MATCH($G864,LOT_KEY,0)),"")="","",INDEX(LOT_ETAT,MATCH($G864,LOT_KEY,0))))</f>
        <v/>
      </c>
      <c r="M864" s="73" t="n">
        <f aca="false">IF(ST_RESULTATS!$Q114=0,0,ST_RESULTATS!$F114)</f>
        <v>0</v>
      </c>
      <c r="N864" s="73" t="n">
        <f aca="false">IF($M864=0,0,ST_RESULTATS!$U114*$M864)</f>
        <v>0</v>
      </c>
      <c r="O864" s="26" t="str">
        <f aca="false">IF($M864=0,"",ST_RESULTATS!$T114)</f>
        <v/>
      </c>
      <c r="P864" s="26" t="str">
        <f aca="false">IF($G864="","",IF($G864=R_LOT,COUNTIF($G$5:$G864,R_LOT),""))</f>
        <v/>
      </c>
    </row>
    <row r="865" customFormat="false" ht="15" hidden="false" customHeight="false" outlineLevel="0" collapsed="false">
      <c r="A865" s="28" t="str">
        <f aca="false">IF($M865=0,"",ROW()-4)</f>
        <v/>
      </c>
      <c r="B865" s="26" t="str">
        <f aca="false">IF($M865=0,"","RESULTAT ST")</f>
        <v/>
      </c>
      <c r="C865" s="26" t="str">
        <f aca="false">IF($M865=0,"",ST_RESULTATS!$A115)</f>
        <v/>
      </c>
      <c r="D865" s="31" t="str">
        <f aca="false">IF($M865=0,"",ST_RESULTATS!$W115)</f>
        <v/>
      </c>
      <c r="E865" s="26" t="str">
        <f aca="false">IF($M865=0,"","ENTREE")</f>
        <v/>
      </c>
      <c r="F865" s="26" t="str">
        <f aca="false">IF($M865=0,"","RETOUR SOUS-TRAITANCE")</f>
        <v/>
      </c>
      <c r="G865" s="26" t="str">
        <f aca="false">IF($M865=0,"",ST_RESULTATS!$N115)</f>
        <v/>
      </c>
      <c r="H865" s="26" t="str">
        <f aca="false">IF($G865="","",IFERROR(INDEX(LOT_EXTE,MATCH($G865,LOT_KEY,0)),""))</f>
        <v/>
      </c>
      <c r="I865" s="26" t="str">
        <f aca="false">IF($M865=0,"",ST_RESULTATS!$J115)</f>
        <v/>
      </c>
      <c r="J865" s="26" t="str">
        <f aca="false">IF($I865="","",IFERROR(INDEX(EMPL_CLASSE,MATCH($I865,EMPL_KEY,0)),""))</f>
        <v/>
      </c>
      <c r="K865" s="26" t="str">
        <f aca="false">IF($M865=0,"",IFERROR(INDEX(LOT_PRODE,MATCH($G865,LOT_KEY,0)),""))</f>
        <v/>
      </c>
      <c r="L865" s="26" t="str">
        <f aca="false">IF($G865="","",IF(IFERROR(INDEX(LOT_ETAT,MATCH($G865,LOT_KEY,0)),"")="","",INDEX(LOT_ETAT,MATCH($G865,LOT_KEY,0))))</f>
        <v/>
      </c>
      <c r="M865" s="73" t="n">
        <f aca="false">IF(ST_RESULTATS!$Q115=0,0,ST_RESULTATS!$F115)</f>
        <v>0</v>
      </c>
      <c r="N865" s="73" t="n">
        <f aca="false">IF($M865=0,0,ST_RESULTATS!$U115*$M865)</f>
        <v>0</v>
      </c>
      <c r="O865" s="26" t="str">
        <f aca="false">IF($M865=0,"",ST_RESULTATS!$T115)</f>
        <v/>
      </c>
      <c r="P865" s="26" t="str">
        <f aca="false">IF($G865="","",IF($G865=R_LOT,COUNTIF($G$5:$G865,R_LOT),""))</f>
        <v/>
      </c>
    </row>
    <row r="866" customFormat="false" ht="15" hidden="false" customHeight="false" outlineLevel="0" collapsed="false">
      <c r="A866" s="28" t="str">
        <f aca="false">IF($M866=0,"",ROW()-4)</f>
        <v/>
      </c>
      <c r="B866" s="26" t="str">
        <f aca="false">IF($M866=0,"","RESULTAT ST")</f>
        <v/>
      </c>
      <c r="C866" s="26" t="str">
        <f aca="false">IF($M866=0,"",ST_RESULTATS!$A116)</f>
        <v/>
      </c>
      <c r="D866" s="31" t="str">
        <f aca="false">IF($M866=0,"",ST_RESULTATS!$W116)</f>
        <v/>
      </c>
      <c r="E866" s="26" t="str">
        <f aca="false">IF($M866=0,"","ENTREE")</f>
        <v/>
      </c>
      <c r="F866" s="26" t="str">
        <f aca="false">IF($M866=0,"","RETOUR SOUS-TRAITANCE")</f>
        <v/>
      </c>
      <c r="G866" s="26" t="str">
        <f aca="false">IF($M866=0,"",ST_RESULTATS!$N116)</f>
        <v/>
      </c>
      <c r="H866" s="26" t="str">
        <f aca="false">IF($G866="","",IFERROR(INDEX(LOT_EXTE,MATCH($G866,LOT_KEY,0)),""))</f>
        <v/>
      </c>
      <c r="I866" s="26" t="str">
        <f aca="false">IF($M866=0,"",ST_RESULTATS!$J116)</f>
        <v/>
      </c>
      <c r="J866" s="26" t="str">
        <f aca="false">IF($I866="","",IFERROR(INDEX(EMPL_CLASSE,MATCH($I866,EMPL_KEY,0)),""))</f>
        <v/>
      </c>
      <c r="K866" s="26" t="str">
        <f aca="false">IF($M866=0,"",IFERROR(INDEX(LOT_PRODE,MATCH($G866,LOT_KEY,0)),""))</f>
        <v/>
      </c>
      <c r="L866" s="26" t="str">
        <f aca="false">IF($G866="","",IF(IFERROR(INDEX(LOT_ETAT,MATCH($G866,LOT_KEY,0)),"")="","",INDEX(LOT_ETAT,MATCH($G866,LOT_KEY,0))))</f>
        <v/>
      </c>
      <c r="M866" s="73" t="n">
        <f aca="false">IF(ST_RESULTATS!$Q116=0,0,ST_RESULTATS!$F116)</f>
        <v>0</v>
      </c>
      <c r="N866" s="73" t="n">
        <f aca="false">IF($M866=0,0,ST_RESULTATS!$U116*$M866)</f>
        <v>0</v>
      </c>
      <c r="O866" s="26" t="str">
        <f aca="false">IF($M866=0,"",ST_RESULTATS!$T116)</f>
        <v/>
      </c>
      <c r="P866" s="26" t="str">
        <f aca="false">IF($G866="","",IF($G866=R_LOT,COUNTIF($G$5:$G866,R_LOT),""))</f>
        <v/>
      </c>
    </row>
    <row r="867" customFormat="false" ht="15" hidden="false" customHeight="false" outlineLevel="0" collapsed="false">
      <c r="A867" s="28" t="str">
        <f aca="false">IF($M867=0,"",ROW()-4)</f>
        <v/>
      </c>
      <c r="B867" s="26" t="str">
        <f aca="false">IF($M867=0,"","RESULTAT ST")</f>
        <v/>
      </c>
      <c r="C867" s="26" t="str">
        <f aca="false">IF($M867=0,"",ST_RESULTATS!$A117)</f>
        <v/>
      </c>
      <c r="D867" s="31" t="str">
        <f aca="false">IF($M867=0,"",ST_RESULTATS!$W117)</f>
        <v/>
      </c>
      <c r="E867" s="26" t="str">
        <f aca="false">IF($M867=0,"","ENTREE")</f>
        <v/>
      </c>
      <c r="F867" s="26" t="str">
        <f aca="false">IF($M867=0,"","RETOUR SOUS-TRAITANCE")</f>
        <v/>
      </c>
      <c r="G867" s="26" t="str">
        <f aca="false">IF($M867=0,"",ST_RESULTATS!$N117)</f>
        <v/>
      </c>
      <c r="H867" s="26" t="str">
        <f aca="false">IF($G867="","",IFERROR(INDEX(LOT_EXTE,MATCH($G867,LOT_KEY,0)),""))</f>
        <v/>
      </c>
      <c r="I867" s="26" t="str">
        <f aca="false">IF($M867=0,"",ST_RESULTATS!$J117)</f>
        <v/>
      </c>
      <c r="J867" s="26" t="str">
        <f aca="false">IF($I867="","",IFERROR(INDEX(EMPL_CLASSE,MATCH($I867,EMPL_KEY,0)),""))</f>
        <v/>
      </c>
      <c r="K867" s="26" t="str">
        <f aca="false">IF($M867=0,"",IFERROR(INDEX(LOT_PRODE,MATCH($G867,LOT_KEY,0)),""))</f>
        <v/>
      </c>
      <c r="L867" s="26" t="str">
        <f aca="false">IF($G867="","",IF(IFERROR(INDEX(LOT_ETAT,MATCH($G867,LOT_KEY,0)),"")="","",INDEX(LOT_ETAT,MATCH($G867,LOT_KEY,0))))</f>
        <v/>
      </c>
      <c r="M867" s="73" t="n">
        <f aca="false">IF(ST_RESULTATS!$Q117=0,0,ST_RESULTATS!$F117)</f>
        <v>0</v>
      </c>
      <c r="N867" s="73" t="n">
        <f aca="false">IF($M867=0,0,ST_RESULTATS!$U117*$M867)</f>
        <v>0</v>
      </c>
      <c r="O867" s="26" t="str">
        <f aca="false">IF($M867=0,"",ST_RESULTATS!$T117)</f>
        <v/>
      </c>
      <c r="P867" s="26" t="str">
        <f aca="false">IF($G867="","",IF($G867=R_LOT,COUNTIF($G$5:$G867,R_LOT),""))</f>
        <v/>
      </c>
    </row>
    <row r="868" customFormat="false" ht="15" hidden="false" customHeight="false" outlineLevel="0" collapsed="false">
      <c r="A868" s="28" t="str">
        <f aca="false">IF($M868=0,"",ROW()-4)</f>
        <v/>
      </c>
      <c r="B868" s="26" t="str">
        <f aca="false">IF($M868=0,"","RESULTAT ST")</f>
        <v/>
      </c>
      <c r="C868" s="26" t="str">
        <f aca="false">IF($M868=0,"",ST_RESULTATS!$A118)</f>
        <v/>
      </c>
      <c r="D868" s="31" t="str">
        <f aca="false">IF($M868=0,"",ST_RESULTATS!$W118)</f>
        <v/>
      </c>
      <c r="E868" s="26" t="str">
        <f aca="false">IF($M868=0,"","ENTREE")</f>
        <v/>
      </c>
      <c r="F868" s="26" t="str">
        <f aca="false">IF($M868=0,"","RETOUR SOUS-TRAITANCE")</f>
        <v/>
      </c>
      <c r="G868" s="26" t="str">
        <f aca="false">IF($M868=0,"",ST_RESULTATS!$N118)</f>
        <v/>
      </c>
      <c r="H868" s="26" t="str">
        <f aca="false">IF($G868="","",IFERROR(INDEX(LOT_EXTE,MATCH($G868,LOT_KEY,0)),""))</f>
        <v/>
      </c>
      <c r="I868" s="26" t="str">
        <f aca="false">IF($M868=0,"",ST_RESULTATS!$J118)</f>
        <v/>
      </c>
      <c r="J868" s="26" t="str">
        <f aca="false">IF($I868="","",IFERROR(INDEX(EMPL_CLASSE,MATCH($I868,EMPL_KEY,0)),""))</f>
        <v/>
      </c>
      <c r="K868" s="26" t="str">
        <f aca="false">IF($M868=0,"",IFERROR(INDEX(LOT_PRODE,MATCH($G868,LOT_KEY,0)),""))</f>
        <v/>
      </c>
      <c r="L868" s="26" t="str">
        <f aca="false">IF($G868="","",IF(IFERROR(INDEX(LOT_ETAT,MATCH($G868,LOT_KEY,0)),"")="","",INDEX(LOT_ETAT,MATCH($G868,LOT_KEY,0))))</f>
        <v/>
      </c>
      <c r="M868" s="73" t="n">
        <f aca="false">IF(ST_RESULTATS!$Q118=0,0,ST_RESULTATS!$F118)</f>
        <v>0</v>
      </c>
      <c r="N868" s="73" t="n">
        <f aca="false">IF($M868=0,0,ST_RESULTATS!$U118*$M868)</f>
        <v>0</v>
      </c>
      <c r="O868" s="26" t="str">
        <f aca="false">IF($M868=0,"",ST_RESULTATS!$T118)</f>
        <v/>
      </c>
      <c r="P868" s="26" t="str">
        <f aca="false">IF($G868="","",IF($G868=R_LOT,COUNTIF($G$5:$G868,R_LOT),""))</f>
        <v/>
      </c>
    </row>
    <row r="869" customFormat="false" ht="15" hidden="false" customHeight="false" outlineLevel="0" collapsed="false">
      <c r="A869" s="28" t="str">
        <f aca="false">IF($M869=0,"",ROW()-4)</f>
        <v/>
      </c>
      <c r="B869" s="26" t="str">
        <f aca="false">IF($M869=0,"","RESULTAT ST")</f>
        <v/>
      </c>
      <c r="C869" s="26" t="str">
        <f aca="false">IF($M869=0,"",ST_RESULTATS!$A119)</f>
        <v/>
      </c>
      <c r="D869" s="31" t="str">
        <f aca="false">IF($M869=0,"",ST_RESULTATS!$W119)</f>
        <v/>
      </c>
      <c r="E869" s="26" t="str">
        <f aca="false">IF($M869=0,"","ENTREE")</f>
        <v/>
      </c>
      <c r="F869" s="26" t="str">
        <f aca="false">IF($M869=0,"","RETOUR SOUS-TRAITANCE")</f>
        <v/>
      </c>
      <c r="G869" s="26" t="str">
        <f aca="false">IF($M869=0,"",ST_RESULTATS!$N119)</f>
        <v/>
      </c>
      <c r="H869" s="26" t="str">
        <f aca="false">IF($G869="","",IFERROR(INDEX(LOT_EXTE,MATCH($G869,LOT_KEY,0)),""))</f>
        <v/>
      </c>
      <c r="I869" s="26" t="str">
        <f aca="false">IF($M869=0,"",ST_RESULTATS!$J119)</f>
        <v/>
      </c>
      <c r="J869" s="26" t="str">
        <f aca="false">IF($I869="","",IFERROR(INDEX(EMPL_CLASSE,MATCH($I869,EMPL_KEY,0)),""))</f>
        <v/>
      </c>
      <c r="K869" s="26" t="str">
        <f aca="false">IF($M869=0,"",IFERROR(INDEX(LOT_PRODE,MATCH($G869,LOT_KEY,0)),""))</f>
        <v/>
      </c>
      <c r="L869" s="26" t="str">
        <f aca="false">IF($G869="","",IF(IFERROR(INDEX(LOT_ETAT,MATCH($G869,LOT_KEY,0)),"")="","",INDEX(LOT_ETAT,MATCH($G869,LOT_KEY,0))))</f>
        <v/>
      </c>
      <c r="M869" s="73" t="n">
        <f aca="false">IF(ST_RESULTATS!$Q119=0,0,ST_RESULTATS!$F119)</f>
        <v>0</v>
      </c>
      <c r="N869" s="73" t="n">
        <f aca="false">IF($M869=0,0,ST_RESULTATS!$U119*$M869)</f>
        <v>0</v>
      </c>
      <c r="O869" s="26" t="str">
        <f aca="false">IF($M869=0,"",ST_RESULTATS!$T119)</f>
        <v/>
      </c>
      <c r="P869" s="26" t="str">
        <f aca="false">IF($G869="","",IF($G869=R_LOT,COUNTIF($G$5:$G869,R_LOT),""))</f>
        <v/>
      </c>
    </row>
    <row r="870" customFormat="false" ht="15" hidden="false" customHeight="false" outlineLevel="0" collapsed="false">
      <c r="A870" s="28" t="str">
        <f aca="false">IF($M870=0,"",ROW()-4)</f>
        <v/>
      </c>
      <c r="B870" s="26" t="str">
        <f aca="false">IF($M870=0,"","RESULTAT ST")</f>
        <v/>
      </c>
      <c r="C870" s="26" t="str">
        <f aca="false">IF($M870=0,"",ST_RESULTATS!$A120)</f>
        <v/>
      </c>
      <c r="D870" s="31" t="str">
        <f aca="false">IF($M870=0,"",ST_RESULTATS!$W120)</f>
        <v/>
      </c>
      <c r="E870" s="26" t="str">
        <f aca="false">IF($M870=0,"","ENTREE")</f>
        <v/>
      </c>
      <c r="F870" s="26" t="str">
        <f aca="false">IF($M870=0,"","RETOUR SOUS-TRAITANCE")</f>
        <v/>
      </c>
      <c r="G870" s="26" t="str">
        <f aca="false">IF($M870=0,"",ST_RESULTATS!$N120)</f>
        <v/>
      </c>
      <c r="H870" s="26" t="str">
        <f aca="false">IF($G870="","",IFERROR(INDEX(LOT_EXTE,MATCH($G870,LOT_KEY,0)),""))</f>
        <v/>
      </c>
      <c r="I870" s="26" t="str">
        <f aca="false">IF($M870=0,"",ST_RESULTATS!$J120)</f>
        <v/>
      </c>
      <c r="J870" s="26" t="str">
        <f aca="false">IF($I870="","",IFERROR(INDEX(EMPL_CLASSE,MATCH($I870,EMPL_KEY,0)),""))</f>
        <v/>
      </c>
      <c r="K870" s="26" t="str">
        <f aca="false">IF($M870=0,"",IFERROR(INDEX(LOT_PRODE,MATCH($G870,LOT_KEY,0)),""))</f>
        <v/>
      </c>
      <c r="L870" s="26" t="str">
        <f aca="false">IF($G870="","",IF(IFERROR(INDEX(LOT_ETAT,MATCH($G870,LOT_KEY,0)),"")="","",INDEX(LOT_ETAT,MATCH($G870,LOT_KEY,0))))</f>
        <v/>
      </c>
      <c r="M870" s="73" t="n">
        <f aca="false">IF(ST_RESULTATS!$Q120=0,0,ST_RESULTATS!$F120)</f>
        <v>0</v>
      </c>
      <c r="N870" s="73" t="n">
        <f aca="false">IF($M870=0,0,ST_RESULTATS!$U120*$M870)</f>
        <v>0</v>
      </c>
      <c r="O870" s="26" t="str">
        <f aca="false">IF($M870=0,"",ST_RESULTATS!$T120)</f>
        <v/>
      </c>
      <c r="P870" s="26" t="str">
        <f aca="false">IF($G870="","",IF($G870=R_LOT,COUNTIF($G$5:$G870,R_LOT),""))</f>
        <v/>
      </c>
    </row>
    <row r="871" customFormat="false" ht="15" hidden="false" customHeight="false" outlineLevel="0" collapsed="false">
      <c r="A871" s="28" t="str">
        <f aca="false">IF($M871=0,"",ROW()-4)</f>
        <v/>
      </c>
      <c r="B871" s="26" t="str">
        <f aca="false">IF($M871=0,"","RESULTAT ST")</f>
        <v/>
      </c>
      <c r="C871" s="26" t="str">
        <f aca="false">IF($M871=0,"",ST_RESULTATS!$A121)</f>
        <v/>
      </c>
      <c r="D871" s="31" t="str">
        <f aca="false">IF($M871=0,"",ST_RESULTATS!$W121)</f>
        <v/>
      </c>
      <c r="E871" s="26" t="str">
        <f aca="false">IF($M871=0,"","ENTREE")</f>
        <v/>
      </c>
      <c r="F871" s="26" t="str">
        <f aca="false">IF($M871=0,"","RETOUR SOUS-TRAITANCE")</f>
        <v/>
      </c>
      <c r="G871" s="26" t="str">
        <f aca="false">IF($M871=0,"",ST_RESULTATS!$N121)</f>
        <v/>
      </c>
      <c r="H871" s="26" t="str">
        <f aca="false">IF($G871="","",IFERROR(INDEX(LOT_EXTE,MATCH($G871,LOT_KEY,0)),""))</f>
        <v/>
      </c>
      <c r="I871" s="26" t="str">
        <f aca="false">IF($M871=0,"",ST_RESULTATS!$J121)</f>
        <v/>
      </c>
      <c r="J871" s="26" t="str">
        <f aca="false">IF($I871="","",IFERROR(INDEX(EMPL_CLASSE,MATCH($I871,EMPL_KEY,0)),""))</f>
        <v/>
      </c>
      <c r="K871" s="26" t="str">
        <f aca="false">IF($M871=0,"",IFERROR(INDEX(LOT_PRODE,MATCH($G871,LOT_KEY,0)),""))</f>
        <v/>
      </c>
      <c r="L871" s="26" t="str">
        <f aca="false">IF($G871="","",IF(IFERROR(INDEX(LOT_ETAT,MATCH($G871,LOT_KEY,0)),"")="","",INDEX(LOT_ETAT,MATCH($G871,LOT_KEY,0))))</f>
        <v/>
      </c>
      <c r="M871" s="73" t="n">
        <f aca="false">IF(ST_RESULTATS!$Q121=0,0,ST_RESULTATS!$F121)</f>
        <v>0</v>
      </c>
      <c r="N871" s="73" t="n">
        <f aca="false">IF($M871=0,0,ST_RESULTATS!$U121*$M871)</f>
        <v>0</v>
      </c>
      <c r="O871" s="26" t="str">
        <f aca="false">IF($M871=0,"",ST_RESULTATS!$T121)</f>
        <v/>
      </c>
      <c r="P871" s="26" t="str">
        <f aca="false">IF($G871="","",IF($G871=R_LOT,COUNTIF($G$5:$G871,R_LOT),""))</f>
        <v/>
      </c>
    </row>
    <row r="872" customFormat="false" ht="15" hidden="false" customHeight="false" outlineLevel="0" collapsed="false">
      <c r="A872" s="28" t="str">
        <f aca="false">IF($M872=0,"",ROW()-4)</f>
        <v/>
      </c>
      <c r="B872" s="26" t="str">
        <f aca="false">IF($M872=0,"","RESULTAT ST")</f>
        <v/>
      </c>
      <c r="C872" s="26" t="str">
        <f aca="false">IF($M872=0,"",ST_RESULTATS!$A122)</f>
        <v/>
      </c>
      <c r="D872" s="31" t="str">
        <f aca="false">IF($M872=0,"",ST_RESULTATS!$W122)</f>
        <v/>
      </c>
      <c r="E872" s="26" t="str">
        <f aca="false">IF($M872=0,"","ENTREE")</f>
        <v/>
      </c>
      <c r="F872" s="26" t="str">
        <f aca="false">IF($M872=0,"","RETOUR SOUS-TRAITANCE")</f>
        <v/>
      </c>
      <c r="G872" s="26" t="str">
        <f aca="false">IF($M872=0,"",ST_RESULTATS!$N122)</f>
        <v/>
      </c>
      <c r="H872" s="26" t="str">
        <f aca="false">IF($G872="","",IFERROR(INDEX(LOT_EXTE,MATCH($G872,LOT_KEY,0)),""))</f>
        <v/>
      </c>
      <c r="I872" s="26" t="str">
        <f aca="false">IF($M872=0,"",ST_RESULTATS!$J122)</f>
        <v/>
      </c>
      <c r="J872" s="26" t="str">
        <f aca="false">IF($I872="","",IFERROR(INDEX(EMPL_CLASSE,MATCH($I872,EMPL_KEY,0)),""))</f>
        <v/>
      </c>
      <c r="K872" s="26" t="str">
        <f aca="false">IF($M872=0,"",IFERROR(INDEX(LOT_PRODE,MATCH($G872,LOT_KEY,0)),""))</f>
        <v/>
      </c>
      <c r="L872" s="26" t="str">
        <f aca="false">IF($G872="","",IF(IFERROR(INDEX(LOT_ETAT,MATCH($G872,LOT_KEY,0)),"")="","",INDEX(LOT_ETAT,MATCH($G872,LOT_KEY,0))))</f>
        <v/>
      </c>
      <c r="M872" s="73" t="n">
        <f aca="false">IF(ST_RESULTATS!$Q122=0,0,ST_RESULTATS!$F122)</f>
        <v>0</v>
      </c>
      <c r="N872" s="73" t="n">
        <f aca="false">IF($M872=0,0,ST_RESULTATS!$U122*$M872)</f>
        <v>0</v>
      </c>
      <c r="O872" s="26" t="str">
        <f aca="false">IF($M872=0,"",ST_RESULTATS!$T122)</f>
        <v/>
      </c>
      <c r="P872" s="26" t="str">
        <f aca="false">IF($G872="","",IF($G872=R_LOT,COUNTIF($G$5:$G872,R_LOT),""))</f>
        <v/>
      </c>
    </row>
    <row r="873" customFormat="false" ht="15" hidden="false" customHeight="false" outlineLevel="0" collapsed="false">
      <c r="A873" s="28" t="str">
        <f aca="false">IF($M873=0,"",ROW()-4)</f>
        <v/>
      </c>
      <c r="B873" s="26" t="str">
        <f aca="false">IF($M873=0,"","RESULTAT ST")</f>
        <v/>
      </c>
      <c r="C873" s="26" t="str">
        <f aca="false">IF($M873=0,"",ST_RESULTATS!$A123)</f>
        <v/>
      </c>
      <c r="D873" s="31" t="str">
        <f aca="false">IF($M873=0,"",ST_RESULTATS!$W123)</f>
        <v/>
      </c>
      <c r="E873" s="26" t="str">
        <f aca="false">IF($M873=0,"","ENTREE")</f>
        <v/>
      </c>
      <c r="F873" s="26" t="str">
        <f aca="false">IF($M873=0,"","RETOUR SOUS-TRAITANCE")</f>
        <v/>
      </c>
      <c r="G873" s="26" t="str">
        <f aca="false">IF($M873=0,"",ST_RESULTATS!$N123)</f>
        <v/>
      </c>
      <c r="H873" s="26" t="str">
        <f aca="false">IF($G873="","",IFERROR(INDEX(LOT_EXTE,MATCH($G873,LOT_KEY,0)),""))</f>
        <v/>
      </c>
      <c r="I873" s="26" t="str">
        <f aca="false">IF($M873=0,"",ST_RESULTATS!$J123)</f>
        <v/>
      </c>
      <c r="J873" s="26" t="str">
        <f aca="false">IF($I873="","",IFERROR(INDEX(EMPL_CLASSE,MATCH($I873,EMPL_KEY,0)),""))</f>
        <v/>
      </c>
      <c r="K873" s="26" t="str">
        <f aca="false">IF($M873=0,"",IFERROR(INDEX(LOT_PRODE,MATCH($G873,LOT_KEY,0)),""))</f>
        <v/>
      </c>
      <c r="L873" s="26" t="str">
        <f aca="false">IF($G873="","",IF(IFERROR(INDEX(LOT_ETAT,MATCH($G873,LOT_KEY,0)),"")="","",INDEX(LOT_ETAT,MATCH($G873,LOT_KEY,0))))</f>
        <v/>
      </c>
      <c r="M873" s="73" t="n">
        <f aca="false">IF(ST_RESULTATS!$Q123=0,0,ST_RESULTATS!$F123)</f>
        <v>0</v>
      </c>
      <c r="N873" s="73" t="n">
        <f aca="false">IF($M873=0,0,ST_RESULTATS!$U123*$M873)</f>
        <v>0</v>
      </c>
      <c r="O873" s="26" t="str">
        <f aca="false">IF($M873=0,"",ST_RESULTATS!$T123)</f>
        <v/>
      </c>
      <c r="P873" s="26" t="str">
        <f aca="false">IF($G873="","",IF($G873=R_LOT,COUNTIF($G$5:$G873,R_LOT),""))</f>
        <v/>
      </c>
    </row>
    <row r="874" customFormat="false" ht="15" hidden="false" customHeight="false" outlineLevel="0" collapsed="false">
      <c r="A874" s="28" t="str">
        <f aca="false">IF($M874=0,"",ROW()-4)</f>
        <v/>
      </c>
      <c r="B874" s="26" t="str">
        <f aca="false">IF($M874=0,"","RESULTAT ST")</f>
        <v/>
      </c>
      <c r="C874" s="26" t="str">
        <f aca="false">IF($M874=0,"",ST_RESULTATS!$A124)</f>
        <v/>
      </c>
      <c r="D874" s="31" t="str">
        <f aca="false">IF($M874=0,"",ST_RESULTATS!$W124)</f>
        <v/>
      </c>
      <c r="E874" s="26" t="str">
        <f aca="false">IF($M874=0,"","ENTREE")</f>
        <v/>
      </c>
      <c r="F874" s="26" t="str">
        <f aca="false">IF($M874=0,"","RETOUR SOUS-TRAITANCE")</f>
        <v/>
      </c>
      <c r="G874" s="26" t="str">
        <f aca="false">IF($M874=0,"",ST_RESULTATS!$N124)</f>
        <v/>
      </c>
      <c r="H874" s="26" t="str">
        <f aca="false">IF($G874="","",IFERROR(INDEX(LOT_EXTE,MATCH($G874,LOT_KEY,0)),""))</f>
        <v/>
      </c>
      <c r="I874" s="26" t="str">
        <f aca="false">IF($M874=0,"",ST_RESULTATS!$J124)</f>
        <v/>
      </c>
      <c r="J874" s="26" t="str">
        <f aca="false">IF($I874="","",IFERROR(INDEX(EMPL_CLASSE,MATCH($I874,EMPL_KEY,0)),""))</f>
        <v/>
      </c>
      <c r="K874" s="26" t="str">
        <f aca="false">IF($M874=0,"",IFERROR(INDEX(LOT_PRODE,MATCH($G874,LOT_KEY,0)),""))</f>
        <v/>
      </c>
      <c r="L874" s="26" t="str">
        <f aca="false">IF($G874="","",IF(IFERROR(INDEX(LOT_ETAT,MATCH($G874,LOT_KEY,0)),"")="","",INDEX(LOT_ETAT,MATCH($G874,LOT_KEY,0))))</f>
        <v/>
      </c>
      <c r="M874" s="73" t="n">
        <f aca="false">IF(ST_RESULTATS!$Q124=0,0,ST_RESULTATS!$F124)</f>
        <v>0</v>
      </c>
      <c r="N874" s="73" t="n">
        <f aca="false">IF($M874=0,0,ST_RESULTATS!$U124*$M874)</f>
        <v>0</v>
      </c>
      <c r="O874" s="26" t="str">
        <f aca="false">IF($M874=0,"",ST_RESULTATS!$T124)</f>
        <v/>
      </c>
      <c r="P874" s="26" t="str">
        <f aca="false">IF($G874="","",IF($G874=R_LOT,COUNTIF($G$5:$G874,R_LOT),""))</f>
        <v/>
      </c>
    </row>
    <row r="875" customFormat="false" ht="15" hidden="false" customHeight="false" outlineLevel="0" collapsed="false">
      <c r="A875" s="28" t="str">
        <f aca="false">IF($M875=0,"",ROW()-4)</f>
        <v/>
      </c>
      <c r="B875" s="26" t="str">
        <f aca="false">IF($M875=0,"","RESULTAT ST")</f>
        <v/>
      </c>
      <c r="C875" s="26" t="str">
        <f aca="false">IF($M875=0,"",ST_RESULTATS!$A125)</f>
        <v/>
      </c>
      <c r="D875" s="31" t="str">
        <f aca="false">IF($M875=0,"",ST_RESULTATS!$W125)</f>
        <v/>
      </c>
      <c r="E875" s="26" t="str">
        <f aca="false">IF($M875=0,"","ENTREE")</f>
        <v/>
      </c>
      <c r="F875" s="26" t="str">
        <f aca="false">IF($M875=0,"","RETOUR SOUS-TRAITANCE")</f>
        <v/>
      </c>
      <c r="G875" s="26" t="str">
        <f aca="false">IF($M875=0,"",ST_RESULTATS!$N125)</f>
        <v/>
      </c>
      <c r="H875" s="26" t="str">
        <f aca="false">IF($G875="","",IFERROR(INDEX(LOT_EXTE,MATCH($G875,LOT_KEY,0)),""))</f>
        <v/>
      </c>
      <c r="I875" s="26" t="str">
        <f aca="false">IF($M875=0,"",ST_RESULTATS!$J125)</f>
        <v/>
      </c>
      <c r="J875" s="26" t="str">
        <f aca="false">IF($I875="","",IFERROR(INDEX(EMPL_CLASSE,MATCH($I875,EMPL_KEY,0)),""))</f>
        <v/>
      </c>
      <c r="K875" s="26" t="str">
        <f aca="false">IF($M875=0,"",IFERROR(INDEX(LOT_PRODE,MATCH($G875,LOT_KEY,0)),""))</f>
        <v/>
      </c>
      <c r="L875" s="26" t="str">
        <f aca="false">IF($G875="","",IF(IFERROR(INDEX(LOT_ETAT,MATCH($G875,LOT_KEY,0)),"")="","",INDEX(LOT_ETAT,MATCH($G875,LOT_KEY,0))))</f>
        <v/>
      </c>
      <c r="M875" s="73" t="n">
        <f aca="false">IF(ST_RESULTATS!$Q125=0,0,ST_RESULTATS!$F125)</f>
        <v>0</v>
      </c>
      <c r="N875" s="73" t="n">
        <f aca="false">IF($M875=0,0,ST_RESULTATS!$U125*$M875)</f>
        <v>0</v>
      </c>
      <c r="O875" s="26" t="str">
        <f aca="false">IF($M875=0,"",ST_RESULTATS!$T125)</f>
        <v/>
      </c>
      <c r="P875" s="26" t="str">
        <f aca="false">IF($G875="","",IF($G875=R_LOT,COUNTIF($G$5:$G875,R_LOT),""))</f>
        <v/>
      </c>
    </row>
    <row r="876" customFormat="false" ht="15" hidden="false" customHeight="false" outlineLevel="0" collapsed="false">
      <c r="A876" s="28" t="str">
        <f aca="false">IF($M876=0,"",ROW()-4)</f>
        <v/>
      </c>
      <c r="B876" s="26" t="str">
        <f aca="false">IF($M876=0,"","RESULTAT ST")</f>
        <v/>
      </c>
      <c r="C876" s="26" t="str">
        <f aca="false">IF($M876=0,"",ST_RESULTATS!$A126)</f>
        <v/>
      </c>
      <c r="D876" s="31" t="str">
        <f aca="false">IF($M876=0,"",ST_RESULTATS!$W126)</f>
        <v/>
      </c>
      <c r="E876" s="26" t="str">
        <f aca="false">IF($M876=0,"","ENTREE")</f>
        <v/>
      </c>
      <c r="F876" s="26" t="str">
        <f aca="false">IF($M876=0,"","RETOUR SOUS-TRAITANCE")</f>
        <v/>
      </c>
      <c r="G876" s="26" t="str">
        <f aca="false">IF($M876=0,"",ST_RESULTATS!$N126)</f>
        <v/>
      </c>
      <c r="H876" s="26" t="str">
        <f aca="false">IF($G876="","",IFERROR(INDEX(LOT_EXTE,MATCH($G876,LOT_KEY,0)),""))</f>
        <v/>
      </c>
      <c r="I876" s="26" t="str">
        <f aca="false">IF($M876=0,"",ST_RESULTATS!$J126)</f>
        <v/>
      </c>
      <c r="J876" s="26" t="str">
        <f aca="false">IF($I876="","",IFERROR(INDEX(EMPL_CLASSE,MATCH($I876,EMPL_KEY,0)),""))</f>
        <v/>
      </c>
      <c r="K876" s="26" t="str">
        <f aca="false">IF($M876=0,"",IFERROR(INDEX(LOT_PRODE,MATCH($G876,LOT_KEY,0)),""))</f>
        <v/>
      </c>
      <c r="L876" s="26" t="str">
        <f aca="false">IF($G876="","",IF(IFERROR(INDEX(LOT_ETAT,MATCH($G876,LOT_KEY,0)),"")="","",INDEX(LOT_ETAT,MATCH($G876,LOT_KEY,0))))</f>
        <v/>
      </c>
      <c r="M876" s="73" t="n">
        <f aca="false">IF(ST_RESULTATS!$Q126=0,0,ST_RESULTATS!$F126)</f>
        <v>0</v>
      </c>
      <c r="N876" s="73" t="n">
        <f aca="false">IF($M876=0,0,ST_RESULTATS!$U126*$M876)</f>
        <v>0</v>
      </c>
      <c r="O876" s="26" t="str">
        <f aca="false">IF($M876=0,"",ST_RESULTATS!$T126)</f>
        <v/>
      </c>
      <c r="P876" s="26" t="str">
        <f aca="false">IF($G876="","",IF($G876=R_LOT,COUNTIF($G$5:$G876,R_LOT),""))</f>
        <v/>
      </c>
    </row>
    <row r="877" customFormat="false" ht="15" hidden="false" customHeight="false" outlineLevel="0" collapsed="false">
      <c r="A877" s="28" t="str">
        <f aca="false">IF($M877=0,"",ROW()-4)</f>
        <v/>
      </c>
      <c r="B877" s="26" t="str">
        <f aca="false">IF($M877=0,"","RESULTAT ST")</f>
        <v/>
      </c>
      <c r="C877" s="26" t="str">
        <f aca="false">IF($M877=0,"",ST_RESULTATS!$A127)</f>
        <v/>
      </c>
      <c r="D877" s="31" t="str">
        <f aca="false">IF($M877=0,"",ST_RESULTATS!$W127)</f>
        <v/>
      </c>
      <c r="E877" s="26" t="str">
        <f aca="false">IF($M877=0,"","ENTREE")</f>
        <v/>
      </c>
      <c r="F877" s="26" t="str">
        <f aca="false">IF($M877=0,"","RETOUR SOUS-TRAITANCE")</f>
        <v/>
      </c>
      <c r="G877" s="26" t="str">
        <f aca="false">IF($M877=0,"",ST_RESULTATS!$N127)</f>
        <v/>
      </c>
      <c r="H877" s="26" t="str">
        <f aca="false">IF($G877="","",IFERROR(INDEX(LOT_EXTE,MATCH($G877,LOT_KEY,0)),""))</f>
        <v/>
      </c>
      <c r="I877" s="26" t="str">
        <f aca="false">IF($M877=0,"",ST_RESULTATS!$J127)</f>
        <v/>
      </c>
      <c r="J877" s="26" t="str">
        <f aca="false">IF($I877="","",IFERROR(INDEX(EMPL_CLASSE,MATCH($I877,EMPL_KEY,0)),""))</f>
        <v/>
      </c>
      <c r="K877" s="26" t="str">
        <f aca="false">IF($M877=0,"",IFERROR(INDEX(LOT_PRODE,MATCH($G877,LOT_KEY,0)),""))</f>
        <v/>
      </c>
      <c r="L877" s="26" t="str">
        <f aca="false">IF($G877="","",IF(IFERROR(INDEX(LOT_ETAT,MATCH($G877,LOT_KEY,0)),"")="","",INDEX(LOT_ETAT,MATCH($G877,LOT_KEY,0))))</f>
        <v/>
      </c>
      <c r="M877" s="73" t="n">
        <f aca="false">IF(ST_RESULTATS!$Q127=0,0,ST_RESULTATS!$F127)</f>
        <v>0</v>
      </c>
      <c r="N877" s="73" t="n">
        <f aca="false">IF($M877=0,0,ST_RESULTATS!$U127*$M877)</f>
        <v>0</v>
      </c>
      <c r="O877" s="26" t="str">
        <f aca="false">IF($M877=0,"",ST_RESULTATS!$T127)</f>
        <v/>
      </c>
      <c r="P877" s="26" t="str">
        <f aca="false">IF($G877="","",IF($G877=R_LOT,COUNTIF($G$5:$G877,R_LOT),""))</f>
        <v/>
      </c>
    </row>
    <row r="878" customFormat="false" ht="15" hidden="false" customHeight="false" outlineLevel="0" collapsed="false">
      <c r="A878" s="28" t="str">
        <f aca="false">IF($M878=0,"",ROW()-4)</f>
        <v/>
      </c>
      <c r="B878" s="26" t="str">
        <f aca="false">IF($M878=0,"","RESULTAT ST")</f>
        <v/>
      </c>
      <c r="C878" s="26" t="str">
        <f aca="false">IF($M878=0,"",ST_RESULTATS!$A128)</f>
        <v/>
      </c>
      <c r="D878" s="31" t="str">
        <f aca="false">IF($M878=0,"",ST_RESULTATS!$W128)</f>
        <v/>
      </c>
      <c r="E878" s="26" t="str">
        <f aca="false">IF($M878=0,"","ENTREE")</f>
        <v/>
      </c>
      <c r="F878" s="26" t="str">
        <f aca="false">IF($M878=0,"","RETOUR SOUS-TRAITANCE")</f>
        <v/>
      </c>
      <c r="G878" s="26" t="str">
        <f aca="false">IF($M878=0,"",ST_RESULTATS!$N128)</f>
        <v/>
      </c>
      <c r="H878" s="26" t="str">
        <f aca="false">IF($G878="","",IFERROR(INDEX(LOT_EXTE,MATCH($G878,LOT_KEY,0)),""))</f>
        <v/>
      </c>
      <c r="I878" s="26" t="str">
        <f aca="false">IF($M878=0,"",ST_RESULTATS!$J128)</f>
        <v/>
      </c>
      <c r="J878" s="26" t="str">
        <f aca="false">IF($I878="","",IFERROR(INDEX(EMPL_CLASSE,MATCH($I878,EMPL_KEY,0)),""))</f>
        <v/>
      </c>
      <c r="K878" s="26" t="str">
        <f aca="false">IF($M878=0,"",IFERROR(INDEX(LOT_PRODE,MATCH($G878,LOT_KEY,0)),""))</f>
        <v/>
      </c>
      <c r="L878" s="26" t="str">
        <f aca="false">IF($G878="","",IF(IFERROR(INDEX(LOT_ETAT,MATCH($G878,LOT_KEY,0)),"")="","",INDEX(LOT_ETAT,MATCH($G878,LOT_KEY,0))))</f>
        <v/>
      </c>
      <c r="M878" s="73" t="n">
        <f aca="false">IF(ST_RESULTATS!$Q128=0,0,ST_RESULTATS!$F128)</f>
        <v>0</v>
      </c>
      <c r="N878" s="73" t="n">
        <f aca="false">IF($M878=0,0,ST_RESULTATS!$U128*$M878)</f>
        <v>0</v>
      </c>
      <c r="O878" s="26" t="str">
        <f aca="false">IF($M878=0,"",ST_RESULTATS!$T128)</f>
        <v/>
      </c>
      <c r="P878" s="26" t="str">
        <f aca="false">IF($G878="","",IF($G878=R_LOT,COUNTIF($G$5:$G878,R_LOT),""))</f>
        <v/>
      </c>
    </row>
    <row r="879" customFormat="false" ht="15" hidden="false" customHeight="false" outlineLevel="0" collapsed="false">
      <c r="A879" s="28" t="str">
        <f aca="false">IF($M879=0,"",ROW()-4)</f>
        <v/>
      </c>
      <c r="B879" s="26" t="str">
        <f aca="false">IF($M879=0,"","RESULTAT ST")</f>
        <v/>
      </c>
      <c r="C879" s="26" t="str">
        <f aca="false">IF($M879=0,"",ST_RESULTATS!$A129)</f>
        <v/>
      </c>
      <c r="D879" s="31" t="str">
        <f aca="false">IF($M879=0,"",ST_RESULTATS!$W129)</f>
        <v/>
      </c>
      <c r="E879" s="26" t="str">
        <f aca="false">IF($M879=0,"","ENTREE")</f>
        <v/>
      </c>
      <c r="F879" s="26" t="str">
        <f aca="false">IF($M879=0,"","RETOUR SOUS-TRAITANCE")</f>
        <v/>
      </c>
      <c r="G879" s="26" t="str">
        <f aca="false">IF($M879=0,"",ST_RESULTATS!$N129)</f>
        <v/>
      </c>
      <c r="H879" s="26" t="str">
        <f aca="false">IF($G879="","",IFERROR(INDEX(LOT_EXTE,MATCH($G879,LOT_KEY,0)),""))</f>
        <v/>
      </c>
      <c r="I879" s="26" t="str">
        <f aca="false">IF($M879=0,"",ST_RESULTATS!$J129)</f>
        <v/>
      </c>
      <c r="J879" s="26" t="str">
        <f aca="false">IF($I879="","",IFERROR(INDEX(EMPL_CLASSE,MATCH($I879,EMPL_KEY,0)),""))</f>
        <v/>
      </c>
      <c r="K879" s="26" t="str">
        <f aca="false">IF($M879=0,"",IFERROR(INDEX(LOT_PRODE,MATCH($G879,LOT_KEY,0)),""))</f>
        <v/>
      </c>
      <c r="L879" s="26" t="str">
        <f aca="false">IF($G879="","",IF(IFERROR(INDEX(LOT_ETAT,MATCH($G879,LOT_KEY,0)),"")="","",INDEX(LOT_ETAT,MATCH($G879,LOT_KEY,0))))</f>
        <v/>
      </c>
      <c r="M879" s="73" t="n">
        <f aca="false">IF(ST_RESULTATS!$Q129=0,0,ST_RESULTATS!$F129)</f>
        <v>0</v>
      </c>
      <c r="N879" s="73" t="n">
        <f aca="false">IF($M879=0,0,ST_RESULTATS!$U129*$M879)</f>
        <v>0</v>
      </c>
      <c r="O879" s="26" t="str">
        <f aca="false">IF($M879=0,"",ST_RESULTATS!$T129)</f>
        <v/>
      </c>
      <c r="P879" s="26" t="str">
        <f aca="false">IF($G879="","",IF($G879=R_LOT,COUNTIF($G$5:$G879,R_LOT),""))</f>
        <v/>
      </c>
    </row>
    <row r="880" customFormat="false" ht="15" hidden="false" customHeight="false" outlineLevel="0" collapsed="false">
      <c r="A880" s="28" t="str">
        <f aca="false">IF($M880=0,"",ROW()-4)</f>
        <v/>
      </c>
      <c r="B880" s="26" t="str">
        <f aca="false">IF($M880=0,"","RESULTAT ST")</f>
        <v/>
      </c>
      <c r="C880" s="26" t="str">
        <f aca="false">IF($M880=0,"",ST_RESULTATS!$A130)</f>
        <v/>
      </c>
      <c r="D880" s="31" t="str">
        <f aca="false">IF($M880=0,"",ST_RESULTATS!$W130)</f>
        <v/>
      </c>
      <c r="E880" s="26" t="str">
        <f aca="false">IF($M880=0,"","ENTREE")</f>
        <v/>
      </c>
      <c r="F880" s="26" t="str">
        <f aca="false">IF($M880=0,"","RETOUR SOUS-TRAITANCE")</f>
        <v/>
      </c>
      <c r="G880" s="26" t="str">
        <f aca="false">IF($M880=0,"",ST_RESULTATS!$N130)</f>
        <v/>
      </c>
      <c r="H880" s="26" t="str">
        <f aca="false">IF($G880="","",IFERROR(INDEX(LOT_EXTE,MATCH($G880,LOT_KEY,0)),""))</f>
        <v/>
      </c>
      <c r="I880" s="26" t="str">
        <f aca="false">IF($M880=0,"",ST_RESULTATS!$J130)</f>
        <v/>
      </c>
      <c r="J880" s="26" t="str">
        <f aca="false">IF($I880="","",IFERROR(INDEX(EMPL_CLASSE,MATCH($I880,EMPL_KEY,0)),""))</f>
        <v/>
      </c>
      <c r="K880" s="26" t="str">
        <f aca="false">IF($M880=0,"",IFERROR(INDEX(LOT_PRODE,MATCH($G880,LOT_KEY,0)),""))</f>
        <v/>
      </c>
      <c r="L880" s="26" t="str">
        <f aca="false">IF($G880="","",IF(IFERROR(INDEX(LOT_ETAT,MATCH($G880,LOT_KEY,0)),"")="","",INDEX(LOT_ETAT,MATCH($G880,LOT_KEY,0))))</f>
        <v/>
      </c>
      <c r="M880" s="73" t="n">
        <f aca="false">IF(ST_RESULTATS!$Q130=0,0,ST_RESULTATS!$F130)</f>
        <v>0</v>
      </c>
      <c r="N880" s="73" t="n">
        <f aca="false">IF($M880=0,0,ST_RESULTATS!$U130*$M880)</f>
        <v>0</v>
      </c>
      <c r="O880" s="26" t="str">
        <f aca="false">IF($M880=0,"",ST_RESULTATS!$T130)</f>
        <v/>
      </c>
      <c r="P880" s="26" t="str">
        <f aca="false">IF($G880="","",IF($G880=R_LOT,COUNTIF($G$5:$G880,R_LOT),""))</f>
        <v/>
      </c>
    </row>
    <row r="881" customFormat="false" ht="15" hidden="false" customHeight="false" outlineLevel="0" collapsed="false">
      <c r="A881" s="28" t="str">
        <f aca="false">IF($M881=0,"",ROW()-4)</f>
        <v/>
      </c>
      <c r="B881" s="26" t="str">
        <f aca="false">IF($M881=0,"","RESULTAT ST")</f>
        <v/>
      </c>
      <c r="C881" s="26" t="str">
        <f aca="false">IF($M881=0,"",ST_RESULTATS!$A131)</f>
        <v/>
      </c>
      <c r="D881" s="31" t="str">
        <f aca="false">IF($M881=0,"",ST_RESULTATS!$W131)</f>
        <v/>
      </c>
      <c r="E881" s="26" t="str">
        <f aca="false">IF($M881=0,"","ENTREE")</f>
        <v/>
      </c>
      <c r="F881" s="26" t="str">
        <f aca="false">IF($M881=0,"","RETOUR SOUS-TRAITANCE")</f>
        <v/>
      </c>
      <c r="G881" s="26" t="str">
        <f aca="false">IF($M881=0,"",ST_RESULTATS!$N131)</f>
        <v/>
      </c>
      <c r="H881" s="26" t="str">
        <f aca="false">IF($G881="","",IFERROR(INDEX(LOT_EXTE,MATCH($G881,LOT_KEY,0)),""))</f>
        <v/>
      </c>
      <c r="I881" s="26" t="str">
        <f aca="false">IF($M881=0,"",ST_RESULTATS!$J131)</f>
        <v/>
      </c>
      <c r="J881" s="26" t="str">
        <f aca="false">IF($I881="","",IFERROR(INDEX(EMPL_CLASSE,MATCH($I881,EMPL_KEY,0)),""))</f>
        <v/>
      </c>
      <c r="K881" s="26" t="str">
        <f aca="false">IF($M881=0,"",IFERROR(INDEX(LOT_PRODE,MATCH($G881,LOT_KEY,0)),""))</f>
        <v/>
      </c>
      <c r="L881" s="26" t="str">
        <f aca="false">IF($G881="","",IF(IFERROR(INDEX(LOT_ETAT,MATCH($G881,LOT_KEY,0)),"")="","",INDEX(LOT_ETAT,MATCH($G881,LOT_KEY,0))))</f>
        <v/>
      </c>
      <c r="M881" s="73" t="n">
        <f aca="false">IF(ST_RESULTATS!$Q131=0,0,ST_RESULTATS!$F131)</f>
        <v>0</v>
      </c>
      <c r="N881" s="73" t="n">
        <f aca="false">IF($M881=0,0,ST_RESULTATS!$U131*$M881)</f>
        <v>0</v>
      </c>
      <c r="O881" s="26" t="str">
        <f aca="false">IF($M881=0,"",ST_RESULTATS!$T131)</f>
        <v/>
      </c>
      <c r="P881" s="26" t="str">
        <f aca="false">IF($G881="","",IF($G881=R_LOT,COUNTIF($G$5:$G881,R_LOT),""))</f>
        <v/>
      </c>
    </row>
    <row r="882" customFormat="false" ht="15" hidden="false" customHeight="false" outlineLevel="0" collapsed="false">
      <c r="A882" s="28" t="str">
        <f aca="false">IF($M882=0,"",ROW()-4)</f>
        <v/>
      </c>
      <c r="B882" s="26" t="str">
        <f aca="false">IF($M882=0,"","RESULTAT ST")</f>
        <v/>
      </c>
      <c r="C882" s="26" t="str">
        <f aca="false">IF($M882=0,"",ST_RESULTATS!$A132)</f>
        <v/>
      </c>
      <c r="D882" s="31" t="str">
        <f aca="false">IF($M882=0,"",ST_RESULTATS!$W132)</f>
        <v/>
      </c>
      <c r="E882" s="26" t="str">
        <f aca="false">IF($M882=0,"","ENTREE")</f>
        <v/>
      </c>
      <c r="F882" s="26" t="str">
        <f aca="false">IF($M882=0,"","RETOUR SOUS-TRAITANCE")</f>
        <v/>
      </c>
      <c r="G882" s="26" t="str">
        <f aca="false">IF($M882=0,"",ST_RESULTATS!$N132)</f>
        <v/>
      </c>
      <c r="H882" s="26" t="str">
        <f aca="false">IF($G882="","",IFERROR(INDEX(LOT_EXTE,MATCH($G882,LOT_KEY,0)),""))</f>
        <v/>
      </c>
      <c r="I882" s="26" t="str">
        <f aca="false">IF($M882=0,"",ST_RESULTATS!$J132)</f>
        <v/>
      </c>
      <c r="J882" s="26" t="str">
        <f aca="false">IF($I882="","",IFERROR(INDEX(EMPL_CLASSE,MATCH($I882,EMPL_KEY,0)),""))</f>
        <v/>
      </c>
      <c r="K882" s="26" t="str">
        <f aca="false">IF($M882=0,"",IFERROR(INDEX(LOT_PRODE,MATCH($G882,LOT_KEY,0)),""))</f>
        <v/>
      </c>
      <c r="L882" s="26" t="str">
        <f aca="false">IF($G882="","",IF(IFERROR(INDEX(LOT_ETAT,MATCH($G882,LOT_KEY,0)),"")="","",INDEX(LOT_ETAT,MATCH($G882,LOT_KEY,0))))</f>
        <v/>
      </c>
      <c r="M882" s="73" t="n">
        <f aca="false">IF(ST_RESULTATS!$Q132=0,0,ST_RESULTATS!$F132)</f>
        <v>0</v>
      </c>
      <c r="N882" s="73" t="n">
        <f aca="false">IF($M882=0,0,ST_RESULTATS!$U132*$M882)</f>
        <v>0</v>
      </c>
      <c r="O882" s="26" t="str">
        <f aca="false">IF($M882=0,"",ST_RESULTATS!$T132)</f>
        <v/>
      </c>
      <c r="P882" s="26" t="str">
        <f aca="false">IF($G882="","",IF($G882=R_LOT,COUNTIF($G$5:$G882,R_LOT),""))</f>
        <v/>
      </c>
    </row>
    <row r="883" customFormat="false" ht="15" hidden="false" customHeight="false" outlineLevel="0" collapsed="false">
      <c r="A883" s="28" t="str">
        <f aca="false">IF($M883=0,"",ROW()-4)</f>
        <v/>
      </c>
      <c r="B883" s="26" t="str">
        <f aca="false">IF($M883=0,"","RESULTAT ST")</f>
        <v/>
      </c>
      <c r="C883" s="26" t="str">
        <f aca="false">IF($M883=0,"",ST_RESULTATS!$A133)</f>
        <v/>
      </c>
      <c r="D883" s="31" t="str">
        <f aca="false">IF($M883=0,"",ST_RESULTATS!$W133)</f>
        <v/>
      </c>
      <c r="E883" s="26" t="str">
        <f aca="false">IF($M883=0,"","ENTREE")</f>
        <v/>
      </c>
      <c r="F883" s="26" t="str">
        <f aca="false">IF($M883=0,"","RETOUR SOUS-TRAITANCE")</f>
        <v/>
      </c>
      <c r="G883" s="26" t="str">
        <f aca="false">IF($M883=0,"",ST_RESULTATS!$N133)</f>
        <v/>
      </c>
      <c r="H883" s="26" t="str">
        <f aca="false">IF($G883="","",IFERROR(INDEX(LOT_EXTE,MATCH($G883,LOT_KEY,0)),""))</f>
        <v/>
      </c>
      <c r="I883" s="26" t="str">
        <f aca="false">IF($M883=0,"",ST_RESULTATS!$J133)</f>
        <v/>
      </c>
      <c r="J883" s="26" t="str">
        <f aca="false">IF($I883="","",IFERROR(INDEX(EMPL_CLASSE,MATCH($I883,EMPL_KEY,0)),""))</f>
        <v/>
      </c>
      <c r="K883" s="26" t="str">
        <f aca="false">IF($M883=0,"",IFERROR(INDEX(LOT_PRODE,MATCH($G883,LOT_KEY,0)),""))</f>
        <v/>
      </c>
      <c r="L883" s="26" t="str">
        <f aca="false">IF($G883="","",IF(IFERROR(INDEX(LOT_ETAT,MATCH($G883,LOT_KEY,0)),"")="","",INDEX(LOT_ETAT,MATCH($G883,LOT_KEY,0))))</f>
        <v/>
      </c>
      <c r="M883" s="73" t="n">
        <f aca="false">IF(ST_RESULTATS!$Q133=0,0,ST_RESULTATS!$F133)</f>
        <v>0</v>
      </c>
      <c r="N883" s="73" t="n">
        <f aca="false">IF($M883=0,0,ST_RESULTATS!$U133*$M883)</f>
        <v>0</v>
      </c>
      <c r="O883" s="26" t="str">
        <f aca="false">IF($M883=0,"",ST_RESULTATS!$T133)</f>
        <v/>
      </c>
      <c r="P883" s="26" t="str">
        <f aca="false">IF($G883="","",IF($G883=R_LOT,COUNTIF($G$5:$G883,R_LOT),""))</f>
        <v/>
      </c>
    </row>
    <row r="884" customFormat="false" ht="15" hidden="false" customHeight="false" outlineLevel="0" collapsed="false">
      <c r="A884" s="28" t="str">
        <f aca="false">IF($M884=0,"",ROW()-4)</f>
        <v/>
      </c>
      <c r="B884" s="26" t="str">
        <f aca="false">IF($M884=0,"","RESULTAT ST")</f>
        <v/>
      </c>
      <c r="C884" s="26" t="str">
        <f aca="false">IF($M884=0,"",ST_RESULTATS!$A134)</f>
        <v/>
      </c>
      <c r="D884" s="31" t="str">
        <f aca="false">IF($M884=0,"",ST_RESULTATS!$W134)</f>
        <v/>
      </c>
      <c r="E884" s="26" t="str">
        <f aca="false">IF($M884=0,"","ENTREE")</f>
        <v/>
      </c>
      <c r="F884" s="26" t="str">
        <f aca="false">IF($M884=0,"","RETOUR SOUS-TRAITANCE")</f>
        <v/>
      </c>
      <c r="G884" s="26" t="str">
        <f aca="false">IF($M884=0,"",ST_RESULTATS!$N134)</f>
        <v/>
      </c>
      <c r="H884" s="26" t="str">
        <f aca="false">IF($G884="","",IFERROR(INDEX(LOT_EXTE,MATCH($G884,LOT_KEY,0)),""))</f>
        <v/>
      </c>
      <c r="I884" s="26" t="str">
        <f aca="false">IF($M884=0,"",ST_RESULTATS!$J134)</f>
        <v/>
      </c>
      <c r="J884" s="26" t="str">
        <f aca="false">IF($I884="","",IFERROR(INDEX(EMPL_CLASSE,MATCH($I884,EMPL_KEY,0)),""))</f>
        <v/>
      </c>
      <c r="K884" s="26" t="str">
        <f aca="false">IF($M884=0,"",IFERROR(INDEX(LOT_PRODE,MATCH($G884,LOT_KEY,0)),""))</f>
        <v/>
      </c>
      <c r="L884" s="26" t="str">
        <f aca="false">IF($G884="","",IF(IFERROR(INDEX(LOT_ETAT,MATCH($G884,LOT_KEY,0)),"")="","",INDEX(LOT_ETAT,MATCH($G884,LOT_KEY,0))))</f>
        <v/>
      </c>
      <c r="M884" s="73" t="n">
        <f aca="false">IF(ST_RESULTATS!$Q134=0,0,ST_RESULTATS!$F134)</f>
        <v>0</v>
      </c>
      <c r="N884" s="73" t="n">
        <f aca="false">IF($M884=0,0,ST_RESULTATS!$U134*$M884)</f>
        <v>0</v>
      </c>
      <c r="O884" s="26" t="str">
        <f aca="false">IF($M884=0,"",ST_RESULTATS!$T134)</f>
        <v/>
      </c>
      <c r="P884" s="26" t="str">
        <f aca="false">IF($G884="","",IF($G884=R_LOT,COUNTIF($G$5:$G884,R_LOT),""))</f>
        <v/>
      </c>
    </row>
    <row r="885" customFormat="false" ht="15" hidden="false" customHeight="false" outlineLevel="0" collapsed="false">
      <c r="A885" s="28" t="str">
        <f aca="false">IF($M885=0,"",ROW()-4)</f>
        <v/>
      </c>
      <c r="B885" s="26" t="str">
        <f aca="false">IF($M885=0,"","RESULTAT ST")</f>
        <v/>
      </c>
      <c r="C885" s="26" t="str">
        <f aca="false">IF($M885=0,"",ST_RESULTATS!$A135)</f>
        <v/>
      </c>
      <c r="D885" s="31" t="str">
        <f aca="false">IF($M885=0,"",ST_RESULTATS!$W135)</f>
        <v/>
      </c>
      <c r="E885" s="26" t="str">
        <f aca="false">IF($M885=0,"","ENTREE")</f>
        <v/>
      </c>
      <c r="F885" s="26" t="str">
        <f aca="false">IF($M885=0,"","RETOUR SOUS-TRAITANCE")</f>
        <v/>
      </c>
      <c r="G885" s="26" t="str">
        <f aca="false">IF($M885=0,"",ST_RESULTATS!$N135)</f>
        <v/>
      </c>
      <c r="H885" s="26" t="str">
        <f aca="false">IF($G885="","",IFERROR(INDEX(LOT_EXTE,MATCH($G885,LOT_KEY,0)),""))</f>
        <v/>
      </c>
      <c r="I885" s="26" t="str">
        <f aca="false">IF($M885=0,"",ST_RESULTATS!$J135)</f>
        <v/>
      </c>
      <c r="J885" s="26" t="str">
        <f aca="false">IF($I885="","",IFERROR(INDEX(EMPL_CLASSE,MATCH($I885,EMPL_KEY,0)),""))</f>
        <v/>
      </c>
      <c r="K885" s="26" t="str">
        <f aca="false">IF($M885=0,"",IFERROR(INDEX(LOT_PRODE,MATCH($G885,LOT_KEY,0)),""))</f>
        <v/>
      </c>
      <c r="L885" s="26" t="str">
        <f aca="false">IF($G885="","",IF(IFERROR(INDEX(LOT_ETAT,MATCH($G885,LOT_KEY,0)),"")="","",INDEX(LOT_ETAT,MATCH($G885,LOT_KEY,0))))</f>
        <v/>
      </c>
      <c r="M885" s="73" t="n">
        <f aca="false">IF(ST_RESULTATS!$Q135=0,0,ST_RESULTATS!$F135)</f>
        <v>0</v>
      </c>
      <c r="N885" s="73" t="n">
        <f aca="false">IF($M885=0,0,ST_RESULTATS!$U135*$M885)</f>
        <v>0</v>
      </c>
      <c r="O885" s="26" t="str">
        <f aca="false">IF($M885=0,"",ST_RESULTATS!$T135)</f>
        <v/>
      </c>
      <c r="P885" s="26" t="str">
        <f aca="false">IF($G885="","",IF($G885=R_LOT,COUNTIF($G$5:$G885,R_LOT),""))</f>
        <v/>
      </c>
    </row>
    <row r="886" customFormat="false" ht="15" hidden="false" customHeight="false" outlineLevel="0" collapsed="false">
      <c r="A886" s="28" t="str">
        <f aca="false">IF($M886=0,"",ROW()-4)</f>
        <v/>
      </c>
      <c r="B886" s="26" t="str">
        <f aca="false">IF($M886=0,"","RESULTAT ST")</f>
        <v/>
      </c>
      <c r="C886" s="26" t="str">
        <f aca="false">IF($M886=0,"",ST_RESULTATS!$A136)</f>
        <v/>
      </c>
      <c r="D886" s="31" t="str">
        <f aca="false">IF($M886=0,"",ST_RESULTATS!$W136)</f>
        <v/>
      </c>
      <c r="E886" s="26" t="str">
        <f aca="false">IF($M886=0,"","ENTREE")</f>
        <v/>
      </c>
      <c r="F886" s="26" t="str">
        <f aca="false">IF($M886=0,"","RETOUR SOUS-TRAITANCE")</f>
        <v/>
      </c>
      <c r="G886" s="26" t="str">
        <f aca="false">IF($M886=0,"",ST_RESULTATS!$N136)</f>
        <v/>
      </c>
      <c r="H886" s="26" t="str">
        <f aca="false">IF($G886="","",IFERROR(INDEX(LOT_EXTE,MATCH($G886,LOT_KEY,0)),""))</f>
        <v/>
      </c>
      <c r="I886" s="26" t="str">
        <f aca="false">IF($M886=0,"",ST_RESULTATS!$J136)</f>
        <v/>
      </c>
      <c r="J886" s="26" t="str">
        <f aca="false">IF($I886="","",IFERROR(INDEX(EMPL_CLASSE,MATCH($I886,EMPL_KEY,0)),""))</f>
        <v/>
      </c>
      <c r="K886" s="26" t="str">
        <f aca="false">IF($M886=0,"",IFERROR(INDEX(LOT_PRODE,MATCH($G886,LOT_KEY,0)),""))</f>
        <v/>
      </c>
      <c r="L886" s="26" t="str">
        <f aca="false">IF($G886="","",IF(IFERROR(INDEX(LOT_ETAT,MATCH($G886,LOT_KEY,0)),"")="","",INDEX(LOT_ETAT,MATCH($G886,LOT_KEY,0))))</f>
        <v/>
      </c>
      <c r="M886" s="73" t="n">
        <f aca="false">IF(ST_RESULTATS!$Q136=0,0,ST_RESULTATS!$F136)</f>
        <v>0</v>
      </c>
      <c r="N886" s="73" t="n">
        <f aca="false">IF($M886=0,0,ST_RESULTATS!$U136*$M886)</f>
        <v>0</v>
      </c>
      <c r="O886" s="26" t="str">
        <f aca="false">IF($M886=0,"",ST_RESULTATS!$T136)</f>
        <v/>
      </c>
      <c r="P886" s="26" t="str">
        <f aca="false">IF($G886="","",IF($G886=R_LOT,COUNTIF($G$5:$G886,R_LOT),""))</f>
        <v/>
      </c>
    </row>
    <row r="887" customFormat="false" ht="15" hidden="false" customHeight="false" outlineLevel="0" collapsed="false">
      <c r="A887" s="28" t="str">
        <f aca="false">IF($M887=0,"",ROW()-4)</f>
        <v/>
      </c>
      <c r="B887" s="26" t="str">
        <f aca="false">IF($M887=0,"","RESULTAT ST")</f>
        <v/>
      </c>
      <c r="C887" s="26" t="str">
        <f aca="false">IF($M887=0,"",ST_RESULTATS!$A137)</f>
        <v/>
      </c>
      <c r="D887" s="31" t="str">
        <f aca="false">IF($M887=0,"",ST_RESULTATS!$W137)</f>
        <v/>
      </c>
      <c r="E887" s="26" t="str">
        <f aca="false">IF($M887=0,"","ENTREE")</f>
        <v/>
      </c>
      <c r="F887" s="26" t="str">
        <f aca="false">IF($M887=0,"","RETOUR SOUS-TRAITANCE")</f>
        <v/>
      </c>
      <c r="G887" s="26" t="str">
        <f aca="false">IF($M887=0,"",ST_RESULTATS!$N137)</f>
        <v/>
      </c>
      <c r="H887" s="26" t="str">
        <f aca="false">IF($G887="","",IFERROR(INDEX(LOT_EXTE,MATCH($G887,LOT_KEY,0)),""))</f>
        <v/>
      </c>
      <c r="I887" s="26" t="str">
        <f aca="false">IF($M887=0,"",ST_RESULTATS!$J137)</f>
        <v/>
      </c>
      <c r="J887" s="26" t="str">
        <f aca="false">IF($I887="","",IFERROR(INDEX(EMPL_CLASSE,MATCH($I887,EMPL_KEY,0)),""))</f>
        <v/>
      </c>
      <c r="K887" s="26" t="str">
        <f aca="false">IF($M887=0,"",IFERROR(INDEX(LOT_PRODE,MATCH($G887,LOT_KEY,0)),""))</f>
        <v/>
      </c>
      <c r="L887" s="26" t="str">
        <f aca="false">IF($G887="","",IF(IFERROR(INDEX(LOT_ETAT,MATCH($G887,LOT_KEY,0)),"")="","",INDEX(LOT_ETAT,MATCH($G887,LOT_KEY,0))))</f>
        <v/>
      </c>
      <c r="M887" s="73" t="n">
        <f aca="false">IF(ST_RESULTATS!$Q137=0,0,ST_RESULTATS!$F137)</f>
        <v>0</v>
      </c>
      <c r="N887" s="73" t="n">
        <f aca="false">IF($M887=0,0,ST_RESULTATS!$U137*$M887)</f>
        <v>0</v>
      </c>
      <c r="O887" s="26" t="str">
        <f aca="false">IF($M887=0,"",ST_RESULTATS!$T137)</f>
        <v/>
      </c>
      <c r="P887" s="26" t="str">
        <f aca="false">IF($G887="","",IF($G887=R_LOT,COUNTIF($G$5:$G887,R_LOT),""))</f>
        <v/>
      </c>
    </row>
    <row r="888" customFormat="false" ht="15" hidden="false" customHeight="false" outlineLevel="0" collapsed="false">
      <c r="A888" s="28" t="str">
        <f aca="false">IF($M888=0,"",ROW()-4)</f>
        <v/>
      </c>
      <c r="B888" s="26" t="str">
        <f aca="false">IF($M888=0,"","RESULTAT ST")</f>
        <v/>
      </c>
      <c r="C888" s="26" t="str">
        <f aca="false">IF($M888=0,"",ST_RESULTATS!$A138)</f>
        <v/>
      </c>
      <c r="D888" s="31" t="str">
        <f aca="false">IF($M888=0,"",ST_RESULTATS!$W138)</f>
        <v/>
      </c>
      <c r="E888" s="26" t="str">
        <f aca="false">IF($M888=0,"","ENTREE")</f>
        <v/>
      </c>
      <c r="F888" s="26" t="str">
        <f aca="false">IF($M888=0,"","RETOUR SOUS-TRAITANCE")</f>
        <v/>
      </c>
      <c r="G888" s="26" t="str">
        <f aca="false">IF($M888=0,"",ST_RESULTATS!$N138)</f>
        <v/>
      </c>
      <c r="H888" s="26" t="str">
        <f aca="false">IF($G888="","",IFERROR(INDEX(LOT_EXTE,MATCH($G888,LOT_KEY,0)),""))</f>
        <v/>
      </c>
      <c r="I888" s="26" t="str">
        <f aca="false">IF($M888=0,"",ST_RESULTATS!$J138)</f>
        <v/>
      </c>
      <c r="J888" s="26" t="str">
        <f aca="false">IF($I888="","",IFERROR(INDEX(EMPL_CLASSE,MATCH($I888,EMPL_KEY,0)),""))</f>
        <v/>
      </c>
      <c r="K888" s="26" t="str">
        <f aca="false">IF($M888=0,"",IFERROR(INDEX(LOT_PRODE,MATCH($G888,LOT_KEY,0)),""))</f>
        <v/>
      </c>
      <c r="L888" s="26" t="str">
        <f aca="false">IF($G888="","",IF(IFERROR(INDEX(LOT_ETAT,MATCH($G888,LOT_KEY,0)),"")="","",INDEX(LOT_ETAT,MATCH($G888,LOT_KEY,0))))</f>
        <v/>
      </c>
      <c r="M888" s="73" t="n">
        <f aca="false">IF(ST_RESULTATS!$Q138=0,0,ST_RESULTATS!$F138)</f>
        <v>0</v>
      </c>
      <c r="N888" s="73" t="n">
        <f aca="false">IF($M888=0,0,ST_RESULTATS!$U138*$M888)</f>
        <v>0</v>
      </c>
      <c r="O888" s="26" t="str">
        <f aca="false">IF($M888=0,"",ST_RESULTATS!$T138)</f>
        <v/>
      </c>
      <c r="P888" s="26" t="str">
        <f aca="false">IF($G888="","",IF($G888=R_LOT,COUNTIF($G$5:$G888,R_LOT),""))</f>
        <v/>
      </c>
    </row>
    <row r="889" customFormat="false" ht="15" hidden="false" customHeight="false" outlineLevel="0" collapsed="false">
      <c r="A889" s="28" t="str">
        <f aca="false">IF($M889=0,"",ROW()-4)</f>
        <v/>
      </c>
      <c r="B889" s="26" t="str">
        <f aca="false">IF($M889=0,"","RESULTAT ST")</f>
        <v/>
      </c>
      <c r="C889" s="26" t="str">
        <f aca="false">IF($M889=0,"",ST_RESULTATS!$A139)</f>
        <v/>
      </c>
      <c r="D889" s="31" t="str">
        <f aca="false">IF($M889=0,"",ST_RESULTATS!$W139)</f>
        <v/>
      </c>
      <c r="E889" s="26" t="str">
        <f aca="false">IF($M889=0,"","ENTREE")</f>
        <v/>
      </c>
      <c r="F889" s="26" t="str">
        <f aca="false">IF($M889=0,"","RETOUR SOUS-TRAITANCE")</f>
        <v/>
      </c>
      <c r="G889" s="26" t="str">
        <f aca="false">IF($M889=0,"",ST_RESULTATS!$N139)</f>
        <v/>
      </c>
      <c r="H889" s="26" t="str">
        <f aca="false">IF($G889="","",IFERROR(INDEX(LOT_EXTE,MATCH($G889,LOT_KEY,0)),""))</f>
        <v/>
      </c>
      <c r="I889" s="26" t="str">
        <f aca="false">IF($M889=0,"",ST_RESULTATS!$J139)</f>
        <v/>
      </c>
      <c r="J889" s="26" t="str">
        <f aca="false">IF($I889="","",IFERROR(INDEX(EMPL_CLASSE,MATCH($I889,EMPL_KEY,0)),""))</f>
        <v/>
      </c>
      <c r="K889" s="26" t="str">
        <f aca="false">IF($M889=0,"",IFERROR(INDEX(LOT_PRODE,MATCH($G889,LOT_KEY,0)),""))</f>
        <v/>
      </c>
      <c r="L889" s="26" t="str">
        <f aca="false">IF($G889="","",IF(IFERROR(INDEX(LOT_ETAT,MATCH($G889,LOT_KEY,0)),"")="","",INDEX(LOT_ETAT,MATCH($G889,LOT_KEY,0))))</f>
        <v/>
      </c>
      <c r="M889" s="73" t="n">
        <f aca="false">IF(ST_RESULTATS!$Q139=0,0,ST_RESULTATS!$F139)</f>
        <v>0</v>
      </c>
      <c r="N889" s="73" t="n">
        <f aca="false">IF($M889=0,0,ST_RESULTATS!$U139*$M889)</f>
        <v>0</v>
      </c>
      <c r="O889" s="26" t="str">
        <f aca="false">IF($M889=0,"",ST_RESULTATS!$T139)</f>
        <v/>
      </c>
      <c r="P889" s="26" t="str">
        <f aca="false">IF($G889="","",IF($G889=R_LOT,COUNTIF($G$5:$G889,R_LOT),""))</f>
        <v/>
      </c>
    </row>
    <row r="890" customFormat="false" ht="15" hidden="false" customHeight="false" outlineLevel="0" collapsed="false">
      <c r="A890" s="28" t="str">
        <f aca="false">IF($M890=0,"",ROW()-4)</f>
        <v/>
      </c>
      <c r="B890" s="26" t="str">
        <f aca="false">IF($M890=0,"","RESULTAT ST")</f>
        <v/>
      </c>
      <c r="C890" s="26" t="str">
        <f aca="false">IF($M890=0,"",ST_RESULTATS!$A140)</f>
        <v/>
      </c>
      <c r="D890" s="31" t="str">
        <f aca="false">IF($M890=0,"",ST_RESULTATS!$W140)</f>
        <v/>
      </c>
      <c r="E890" s="26" t="str">
        <f aca="false">IF($M890=0,"","ENTREE")</f>
        <v/>
      </c>
      <c r="F890" s="26" t="str">
        <f aca="false">IF($M890=0,"","RETOUR SOUS-TRAITANCE")</f>
        <v/>
      </c>
      <c r="G890" s="26" t="str">
        <f aca="false">IF($M890=0,"",ST_RESULTATS!$N140)</f>
        <v/>
      </c>
      <c r="H890" s="26" t="str">
        <f aca="false">IF($G890="","",IFERROR(INDEX(LOT_EXTE,MATCH($G890,LOT_KEY,0)),""))</f>
        <v/>
      </c>
      <c r="I890" s="26" t="str">
        <f aca="false">IF($M890=0,"",ST_RESULTATS!$J140)</f>
        <v/>
      </c>
      <c r="J890" s="26" t="str">
        <f aca="false">IF($I890="","",IFERROR(INDEX(EMPL_CLASSE,MATCH($I890,EMPL_KEY,0)),""))</f>
        <v/>
      </c>
      <c r="K890" s="26" t="str">
        <f aca="false">IF($M890=0,"",IFERROR(INDEX(LOT_PRODE,MATCH($G890,LOT_KEY,0)),""))</f>
        <v/>
      </c>
      <c r="L890" s="26" t="str">
        <f aca="false">IF($G890="","",IF(IFERROR(INDEX(LOT_ETAT,MATCH($G890,LOT_KEY,0)),"")="","",INDEX(LOT_ETAT,MATCH($G890,LOT_KEY,0))))</f>
        <v/>
      </c>
      <c r="M890" s="73" t="n">
        <f aca="false">IF(ST_RESULTATS!$Q140=0,0,ST_RESULTATS!$F140)</f>
        <v>0</v>
      </c>
      <c r="N890" s="73" t="n">
        <f aca="false">IF($M890=0,0,ST_RESULTATS!$U140*$M890)</f>
        <v>0</v>
      </c>
      <c r="O890" s="26" t="str">
        <f aca="false">IF($M890=0,"",ST_RESULTATS!$T140)</f>
        <v/>
      </c>
      <c r="P890" s="26" t="str">
        <f aca="false">IF($G890="","",IF($G890=R_LOT,COUNTIF($G$5:$G890,R_LOT),""))</f>
        <v/>
      </c>
    </row>
    <row r="891" customFormat="false" ht="15" hidden="false" customHeight="false" outlineLevel="0" collapsed="false">
      <c r="A891" s="28" t="str">
        <f aca="false">IF($M891=0,"",ROW()-4)</f>
        <v/>
      </c>
      <c r="B891" s="26" t="str">
        <f aca="false">IF($M891=0,"","RESULTAT ST")</f>
        <v/>
      </c>
      <c r="C891" s="26" t="str">
        <f aca="false">IF($M891=0,"",ST_RESULTATS!$A141)</f>
        <v/>
      </c>
      <c r="D891" s="31" t="str">
        <f aca="false">IF($M891=0,"",ST_RESULTATS!$W141)</f>
        <v/>
      </c>
      <c r="E891" s="26" t="str">
        <f aca="false">IF($M891=0,"","ENTREE")</f>
        <v/>
      </c>
      <c r="F891" s="26" t="str">
        <f aca="false">IF($M891=0,"","RETOUR SOUS-TRAITANCE")</f>
        <v/>
      </c>
      <c r="G891" s="26" t="str">
        <f aca="false">IF($M891=0,"",ST_RESULTATS!$N141)</f>
        <v/>
      </c>
      <c r="H891" s="26" t="str">
        <f aca="false">IF($G891="","",IFERROR(INDEX(LOT_EXTE,MATCH($G891,LOT_KEY,0)),""))</f>
        <v/>
      </c>
      <c r="I891" s="26" t="str">
        <f aca="false">IF($M891=0,"",ST_RESULTATS!$J141)</f>
        <v/>
      </c>
      <c r="J891" s="26" t="str">
        <f aca="false">IF($I891="","",IFERROR(INDEX(EMPL_CLASSE,MATCH($I891,EMPL_KEY,0)),""))</f>
        <v/>
      </c>
      <c r="K891" s="26" t="str">
        <f aca="false">IF($M891=0,"",IFERROR(INDEX(LOT_PRODE,MATCH($G891,LOT_KEY,0)),""))</f>
        <v/>
      </c>
      <c r="L891" s="26" t="str">
        <f aca="false">IF($G891="","",IF(IFERROR(INDEX(LOT_ETAT,MATCH($G891,LOT_KEY,0)),"")="","",INDEX(LOT_ETAT,MATCH($G891,LOT_KEY,0))))</f>
        <v/>
      </c>
      <c r="M891" s="73" t="n">
        <f aca="false">IF(ST_RESULTATS!$Q141=0,0,ST_RESULTATS!$F141)</f>
        <v>0</v>
      </c>
      <c r="N891" s="73" t="n">
        <f aca="false">IF($M891=0,0,ST_RESULTATS!$U141*$M891)</f>
        <v>0</v>
      </c>
      <c r="O891" s="26" t="str">
        <f aca="false">IF($M891=0,"",ST_RESULTATS!$T141)</f>
        <v/>
      </c>
      <c r="P891" s="26" t="str">
        <f aca="false">IF($G891="","",IF($G891=R_LOT,COUNTIF($G$5:$G891,R_LOT),""))</f>
        <v/>
      </c>
    </row>
    <row r="892" customFormat="false" ht="15" hidden="false" customHeight="false" outlineLevel="0" collapsed="false">
      <c r="A892" s="28" t="str">
        <f aca="false">IF($M892=0,"",ROW()-4)</f>
        <v/>
      </c>
      <c r="B892" s="26" t="str">
        <f aca="false">IF($M892=0,"","RESULTAT ST")</f>
        <v/>
      </c>
      <c r="C892" s="26" t="str">
        <f aca="false">IF($M892=0,"",ST_RESULTATS!$A142)</f>
        <v/>
      </c>
      <c r="D892" s="31" t="str">
        <f aca="false">IF($M892=0,"",ST_RESULTATS!$W142)</f>
        <v/>
      </c>
      <c r="E892" s="26" t="str">
        <f aca="false">IF($M892=0,"","ENTREE")</f>
        <v/>
      </c>
      <c r="F892" s="26" t="str">
        <f aca="false">IF($M892=0,"","RETOUR SOUS-TRAITANCE")</f>
        <v/>
      </c>
      <c r="G892" s="26" t="str">
        <f aca="false">IF($M892=0,"",ST_RESULTATS!$N142)</f>
        <v/>
      </c>
      <c r="H892" s="26" t="str">
        <f aca="false">IF($G892="","",IFERROR(INDEX(LOT_EXTE,MATCH($G892,LOT_KEY,0)),""))</f>
        <v/>
      </c>
      <c r="I892" s="26" t="str">
        <f aca="false">IF($M892=0,"",ST_RESULTATS!$J142)</f>
        <v/>
      </c>
      <c r="J892" s="26" t="str">
        <f aca="false">IF($I892="","",IFERROR(INDEX(EMPL_CLASSE,MATCH($I892,EMPL_KEY,0)),""))</f>
        <v/>
      </c>
      <c r="K892" s="26" t="str">
        <f aca="false">IF($M892=0,"",IFERROR(INDEX(LOT_PRODE,MATCH($G892,LOT_KEY,0)),""))</f>
        <v/>
      </c>
      <c r="L892" s="26" t="str">
        <f aca="false">IF($G892="","",IF(IFERROR(INDEX(LOT_ETAT,MATCH($G892,LOT_KEY,0)),"")="","",INDEX(LOT_ETAT,MATCH($G892,LOT_KEY,0))))</f>
        <v/>
      </c>
      <c r="M892" s="73" t="n">
        <f aca="false">IF(ST_RESULTATS!$Q142=0,0,ST_RESULTATS!$F142)</f>
        <v>0</v>
      </c>
      <c r="N892" s="73" t="n">
        <f aca="false">IF($M892=0,0,ST_RESULTATS!$U142*$M892)</f>
        <v>0</v>
      </c>
      <c r="O892" s="26" t="str">
        <f aca="false">IF($M892=0,"",ST_RESULTATS!$T142)</f>
        <v/>
      </c>
      <c r="P892" s="26" t="str">
        <f aca="false">IF($G892="","",IF($G892=R_LOT,COUNTIF($G$5:$G892,R_LOT),""))</f>
        <v/>
      </c>
    </row>
    <row r="893" customFormat="false" ht="15" hidden="false" customHeight="false" outlineLevel="0" collapsed="false">
      <c r="A893" s="28" t="str">
        <f aca="false">IF($M893=0,"",ROW()-4)</f>
        <v/>
      </c>
      <c r="B893" s="26" t="str">
        <f aca="false">IF($M893=0,"","RESULTAT ST")</f>
        <v/>
      </c>
      <c r="C893" s="26" t="str">
        <f aca="false">IF($M893=0,"",ST_RESULTATS!$A143)</f>
        <v/>
      </c>
      <c r="D893" s="31" t="str">
        <f aca="false">IF($M893=0,"",ST_RESULTATS!$W143)</f>
        <v/>
      </c>
      <c r="E893" s="26" t="str">
        <f aca="false">IF($M893=0,"","ENTREE")</f>
        <v/>
      </c>
      <c r="F893" s="26" t="str">
        <f aca="false">IF($M893=0,"","RETOUR SOUS-TRAITANCE")</f>
        <v/>
      </c>
      <c r="G893" s="26" t="str">
        <f aca="false">IF($M893=0,"",ST_RESULTATS!$N143)</f>
        <v/>
      </c>
      <c r="H893" s="26" t="str">
        <f aca="false">IF($G893="","",IFERROR(INDEX(LOT_EXTE,MATCH($G893,LOT_KEY,0)),""))</f>
        <v/>
      </c>
      <c r="I893" s="26" t="str">
        <f aca="false">IF($M893=0,"",ST_RESULTATS!$J143)</f>
        <v/>
      </c>
      <c r="J893" s="26" t="str">
        <f aca="false">IF($I893="","",IFERROR(INDEX(EMPL_CLASSE,MATCH($I893,EMPL_KEY,0)),""))</f>
        <v/>
      </c>
      <c r="K893" s="26" t="str">
        <f aca="false">IF($M893=0,"",IFERROR(INDEX(LOT_PRODE,MATCH($G893,LOT_KEY,0)),""))</f>
        <v/>
      </c>
      <c r="L893" s="26" t="str">
        <f aca="false">IF($G893="","",IF(IFERROR(INDEX(LOT_ETAT,MATCH($G893,LOT_KEY,0)),"")="","",INDEX(LOT_ETAT,MATCH($G893,LOT_KEY,0))))</f>
        <v/>
      </c>
      <c r="M893" s="73" t="n">
        <f aca="false">IF(ST_RESULTATS!$Q143=0,0,ST_RESULTATS!$F143)</f>
        <v>0</v>
      </c>
      <c r="N893" s="73" t="n">
        <f aca="false">IF($M893=0,0,ST_RESULTATS!$U143*$M893)</f>
        <v>0</v>
      </c>
      <c r="O893" s="26" t="str">
        <f aca="false">IF($M893=0,"",ST_RESULTATS!$T143)</f>
        <v/>
      </c>
      <c r="P893" s="26" t="str">
        <f aca="false">IF($G893="","",IF($G893=R_LOT,COUNTIF($G$5:$G893,R_LOT),""))</f>
        <v/>
      </c>
    </row>
    <row r="894" customFormat="false" ht="15" hidden="false" customHeight="false" outlineLevel="0" collapsed="false">
      <c r="A894" s="28" t="str">
        <f aca="false">IF($M894=0,"",ROW()-4)</f>
        <v/>
      </c>
      <c r="B894" s="26" t="str">
        <f aca="false">IF($M894=0,"","RESULTAT ST")</f>
        <v/>
      </c>
      <c r="C894" s="26" t="str">
        <f aca="false">IF($M894=0,"",ST_RESULTATS!$A144)</f>
        <v/>
      </c>
      <c r="D894" s="31" t="str">
        <f aca="false">IF($M894=0,"",ST_RESULTATS!$W144)</f>
        <v/>
      </c>
      <c r="E894" s="26" t="str">
        <f aca="false">IF($M894=0,"","ENTREE")</f>
        <v/>
      </c>
      <c r="F894" s="26" t="str">
        <f aca="false">IF($M894=0,"","RETOUR SOUS-TRAITANCE")</f>
        <v/>
      </c>
      <c r="G894" s="26" t="str">
        <f aca="false">IF($M894=0,"",ST_RESULTATS!$N144)</f>
        <v/>
      </c>
      <c r="H894" s="26" t="str">
        <f aca="false">IF($G894="","",IFERROR(INDEX(LOT_EXTE,MATCH($G894,LOT_KEY,0)),""))</f>
        <v/>
      </c>
      <c r="I894" s="26" t="str">
        <f aca="false">IF($M894=0,"",ST_RESULTATS!$J144)</f>
        <v/>
      </c>
      <c r="J894" s="26" t="str">
        <f aca="false">IF($I894="","",IFERROR(INDEX(EMPL_CLASSE,MATCH($I894,EMPL_KEY,0)),""))</f>
        <v/>
      </c>
      <c r="K894" s="26" t="str">
        <f aca="false">IF($M894=0,"",IFERROR(INDEX(LOT_PRODE,MATCH($G894,LOT_KEY,0)),""))</f>
        <v/>
      </c>
      <c r="L894" s="26" t="str">
        <f aca="false">IF($G894="","",IF(IFERROR(INDEX(LOT_ETAT,MATCH($G894,LOT_KEY,0)),"")="","",INDEX(LOT_ETAT,MATCH($G894,LOT_KEY,0))))</f>
        <v/>
      </c>
      <c r="M894" s="73" t="n">
        <f aca="false">IF(ST_RESULTATS!$Q144=0,0,ST_RESULTATS!$F144)</f>
        <v>0</v>
      </c>
      <c r="N894" s="73" t="n">
        <f aca="false">IF($M894=0,0,ST_RESULTATS!$U144*$M894)</f>
        <v>0</v>
      </c>
      <c r="O894" s="26" t="str">
        <f aca="false">IF($M894=0,"",ST_RESULTATS!$T144)</f>
        <v/>
      </c>
      <c r="P894" s="26" t="str">
        <f aca="false">IF($G894="","",IF($G894=R_LOT,COUNTIF($G$5:$G894,R_LOT),""))</f>
        <v/>
      </c>
    </row>
    <row r="895" customFormat="false" ht="15" hidden="false" customHeight="false" outlineLevel="0" collapsed="false">
      <c r="A895" s="28" t="str">
        <f aca="false">IF($M895=0,"",ROW()-4)</f>
        <v/>
      </c>
      <c r="B895" s="26" t="str">
        <f aca="false">IF($M895=0,"","RESULTAT ST")</f>
        <v/>
      </c>
      <c r="C895" s="26" t="str">
        <f aca="false">IF($M895=0,"",ST_RESULTATS!$A145)</f>
        <v/>
      </c>
      <c r="D895" s="31" t="str">
        <f aca="false">IF($M895=0,"",ST_RESULTATS!$W145)</f>
        <v/>
      </c>
      <c r="E895" s="26" t="str">
        <f aca="false">IF($M895=0,"","ENTREE")</f>
        <v/>
      </c>
      <c r="F895" s="26" t="str">
        <f aca="false">IF($M895=0,"","RETOUR SOUS-TRAITANCE")</f>
        <v/>
      </c>
      <c r="G895" s="26" t="str">
        <f aca="false">IF($M895=0,"",ST_RESULTATS!$N145)</f>
        <v/>
      </c>
      <c r="H895" s="26" t="str">
        <f aca="false">IF($G895="","",IFERROR(INDEX(LOT_EXTE,MATCH($G895,LOT_KEY,0)),""))</f>
        <v/>
      </c>
      <c r="I895" s="26" t="str">
        <f aca="false">IF($M895=0,"",ST_RESULTATS!$J145)</f>
        <v/>
      </c>
      <c r="J895" s="26" t="str">
        <f aca="false">IF($I895="","",IFERROR(INDEX(EMPL_CLASSE,MATCH($I895,EMPL_KEY,0)),""))</f>
        <v/>
      </c>
      <c r="K895" s="26" t="str">
        <f aca="false">IF($M895=0,"",IFERROR(INDEX(LOT_PRODE,MATCH($G895,LOT_KEY,0)),""))</f>
        <v/>
      </c>
      <c r="L895" s="26" t="str">
        <f aca="false">IF($G895="","",IF(IFERROR(INDEX(LOT_ETAT,MATCH($G895,LOT_KEY,0)),"")="","",INDEX(LOT_ETAT,MATCH($G895,LOT_KEY,0))))</f>
        <v/>
      </c>
      <c r="M895" s="73" t="n">
        <f aca="false">IF(ST_RESULTATS!$Q145=0,0,ST_RESULTATS!$F145)</f>
        <v>0</v>
      </c>
      <c r="N895" s="73" t="n">
        <f aca="false">IF($M895=0,0,ST_RESULTATS!$U145*$M895)</f>
        <v>0</v>
      </c>
      <c r="O895" s="26" t="str">
        <f aca="false">IF($M895=0,"",ST_RESULTATS!$T145)</f>
        <v/>
      </c>
      <c r="P895" s="26" t="str">
        <f aca="false">IF($G895="","",IF($G895=R_LOT,COUNTIF($G$5:$G895,R_LOT),""))</f>
        <v/>
      </c>
    </row>
    <row r="896" customFormat="false" ht="15" hidden="false" customHeight="false" outlineLevel="0" collapsed="false">
      <c r="A896" s="28" t="str">
        <f aca="false">IF($M896=0,"",ROW()-4)</f>
        <v/>
      </c>
      <c r="B896" s="26" t="str">
        <f aca="false">IF($M896=0,"","RESULTAT ST")</f>
        <v/>
      </c>
      <c r="C896" s="26" t="str">
        <f aca="false">IF($M896=0,"",ST_RESULTATS!$A146)</f>
        <v/>
      </c>
      <c r="D896" s="31" t="str">
        <f aca="false">IF($M896=0,"",ST_RESULTATS!$W146)</f>
        <v/>
      </c>
      <c r="E896" s="26" t="str">
        <f aca="false">IF($M896=0,"","ENTREE")</f>
        <v/>
      </c>
      <c r="F896" s="26" t="str">
        <f aca="false">IF($M896=0,"","RETOUR SOUS-TRAITANCE")</f>
        <v/>
      </c>
      <c r="G896" s="26" t="str">
        <f aca="false">IF($M896=0,"",ST_RESULTATS!$N146)</f>
        <v/>
      </c>
      <c r="H896" s="26" t="str">
        <f aca="false">IF($G896="","",IFERROR(INDEX(LOT_EXTE,MATCH($G896,LOT_KEY,0)),""))</f>
        <v/>
      </c>
      <c r="I896" s="26" t="str">
        <f aca="false">IF($M896=0,"",ST_RESULTATS!$J146)</f>
        <v/>
      </c>
      <c r="J896" s="26" t="str">
        <f aca="false">IF($I896="","",IFERROR(INDEX(EMPL_CLASSE,MATCH($I896,EMPL_KEY,0)),""))</f>
        <v/>
      </c>
      <c r="K896" s="26" t="str">
        <f aca="false">IF($M896=0,"",IFERROR(INDEX(LOT_PRODE,MATCH($G896,LOT_KEY,0)),""))</f>
        <v/>
      </c>
      <c r="L896" s="26" t="str">
        <f aca="false">IF($G896="","",IF(IFERROR(INDEX(LOT_ETAT,MATCH($G896,LOT_KEY,0)),"")="","",INDEX(LOT_ETAT,MATCH($G896,LOT_KEY,0))))</f>
        <v/>
      </c>
      <c r="M896" s="73" t="n">
        <f aca="false">IF(ST_RESULTATS!$Q146=0,0,ST_RESULTATS!$F146)</f>
        <v>0</v>
      </c>
      <c r="N896" s="73" t="n">
        <f aca="false">IF($M896=0,0,ST_RESULTATS!$U146*$M896)</f>
        <v>0</v>
      </c>
      <c r="O896" s="26" t="str">
        <f aca="false">IF($M896=0,"",ST_RESULTATS!$T146)</f>
        <v/>
      </c>
      <c r="P896" s="26" t="str">
        <f aca="false">IF($G896="","",IF($G896=R_LOT,COUNTIF($G$5:$G896,R_LOT),""))</f>
        <v/>
      </c>
    </row>
    <row r="897" customFormat="false" ht="15" hidden="false" customHeight="false" outlineLevel="0" collapsed="false">
      <c r="A897" s="28" t="str">
        <f aca="false">IF($M897=0,"",ROW()-4)</f>
        <v/>
      </c>
      <c r="B897" s="26" t="str">
        <f aca="false">IF($M897=0,"","RESULTAT ST")</f>
        <v/>
      </c>
      <c r="C897" s="26" t="str">
        <f aca="false">IF($M897=0,"",ST_RESULTATS!$A147)</f>
        <v/>
      </c>
      <c r="D897" s="31" t="str">
        <f aca="false">IF($M897=0,"",ST_RESULTATS!$W147)</f>
        <v/>
      </c>
      <c r="E897" s="26" t="str">
        <f aca="false">IF($M897=0,"","ENTREE")</f>
        <v/>
      </c>
      <c r="F897" s="26" t="str">
        <f aca="false">IF($M897=0,"","RETOUR SOUS-TRAITANCE")</f>
        <v/>
      </c>
      <c r="G897" s="26" t="str">
        <f aca="false">IF($M897=0,"",ST_RESULTATS!$N147)</f>
        <v/>
      </c>
      <c r="H897" s="26" t="str">
        <f aca="false">IF($G897="","",IFERROR(INDEX(LOT_EXTE,MATCH($G897,LOT_KEY,0)),""))</f>
        <v/>
      </c>
      <c r="I897" s="26" t="str">
        <f aca="false">IF($M897=0,"",ST_RESULTATS!$J147)</f>
        <v/>
      </c>
      <c r="J897" s="26" t="str">
        <f aca="false">IF($I897="","",IFERROR(INDEX(EMPL_CLASSE,MATCH($I897,EMPL_KEY,0)),""))</f>
        <v/>
      </c>
      <c r="K897" s="26" t="str">
        <f aca="false">IF($M897=0,"",IFERROR(INDEX(LOT_PRODE,MATCH($G897,LOT_KEY,0)),""))</f>
        <v/>
      </c>
      <c r="L897" s="26" t="str">
        <f aca="false">IF($G897="","",IF(IFERROR(INDEX(LOT_ETAT,MATCH($G897,LOT_KEY,0)),"")="","",INDEX(LOT_ETAT,MATCH($G897,LOT_KEY,0))))</f>
        <v/>
      </c>
      <c r="M897" s="73" t="n">
        <f aca="false">IF(ST_RESULTATS!$Q147=0,0,ST_RESULTATS!$F147)</f>
        <v>0</v>
      </c>
      <c r="N897" s="73" t="n">
        <f aca="false">IF($M897=0,0,ST_RESULTATS!$U147*$M897)</f>
        <v>0</v>
      </c>
      <c r="O897" s="26" t="str">
        <f aca="false">IF($M897=0,"",ST_RESULTATS!$T147)</f>
        <v/>
      </c>
      <c r="P897" s="26" t="str">
        <f aca="false">IF($G897="","",IF($G897=R_LOT,COUNTIF($G$5:$G897,R_LOT),""))</f>
        <v/>
      </c>
    </row>
    <row r="898" customFormat="false" ht="15" hidden="false" customHeight="false" outlineLevel="0" collapsed="false">
      <c r="A898" s="28" t="str">
        <f aca="false">IF($M898=0,"",ROW()-4)</f>
        <v/>
      </c>
      <c r="B898" s="26" t="str">
        <f aca="false">IF($M898=0,"","RESULTAT ST")</f>
        <v/>
      </c>
      <c r="C898" s="26" t="str">
        <f aca="false">IF($M898=0,"",ST_RESULTATS!$A148)</f>
        <v/>
      </c>
      <c r="D898" s="31" t="str">
        <f aca="false">IF($M898=0,"",ST_RESULTATS!$W148)</f>
        <v/>
      </c>
      <c r="E898" s="26" t="str">
        <f aca="false">IF($M898=0,"","ENTREE")</f>
        <v/>
      </c>
      <c r="F898" s="26" t="str">
        <f aca="false">IF($M898=0,"","RETOUR SOUS-TRAITANCE")</f>
        <v/>
      </c>
      <c r="G898" s="26" t="str">
        <f aca="false">IF($M898=0,"",ST_RESULTATS!$N148)</f>
        <v/>
      </c>
      <c r="H898" s="26" t="str">
        <f aca="false">IF($G898="","",IFERROR(INDEX(LOT_EXTE,MATCH($G898,LOT_KEY,0)),""))</f>
        <v/>
      </c>
      <c r="I898" s="26" t="str">
        <f aca="false">IF($M898=0,"",ST_RESULTATS!$J148)</f>
        <v/>
      </c>
      <c r="J898" s="26" t="str">
        <f aca="false">IF($I898="","",IFERROR(INDEX(EMPL_CLASSE,MATCH($I898,EMPL_KEY,0)),""))</f>
        <v/>
      </c>
      <c r="K898" s="26" t="str">
        <f aca="false">IF($M898=0,"",IFERROR(INDEX(LOT_PRODE,MATCH($G898,LOT_KEY,0)),""))</f>
        <v/>
      </c>
      <c r="L898" s="26" t="str">
        <f aca="false">IF($G898="","",IF(IFERROR(INDEX(LOT_ETAT,MATCH($G898,LOT_KEY,0)),"")="","",INDEX(LOT_ETAT,MATCH($G898,LOT_KEY,0))))</f>
        <v/>
      </c>
      <c r="M898" s="73" t="n">
        <f aca="false">IF(ST_RESULTATS!$Q148=0,0,ST_RESULTATS!$F148)</f>
        <v>0</v>
      </c>
      <c r="N898" s="73" t="n">
        <f aca="false">IF($M898=0,0,ST_RESULTATS!$U148*$M898)</f>
        <v>0</v>
      </c>
      <c r="O898" s="26" t="str">
        <f aca="false">IF($M898=0,"",ST_RESULTATS!$T148)</f>
        <v/>
      </c>
      <c r="P898" s="26" t="str">
        <f aca="false">IF($G898="","",IF($G898=R_LOT,COUNTIF($G$5:$G898,R_LOT),""))</f>
        <v/>
      </c>
    </row>
    <row r="899" customFormat="false" ht="15" hidden="false" customHeight="false" outlineLevel="0" collapsed="false">
      <c r="A899" s="28" t="str">
        <f aca="false">IF($M899=0,"",ROW()-4)</f>
        <v/>
      </c>
      <c r="B899" s="26" t="str">
        <f aca="false">IF($M899=0,"","RESULTAT ST")</f>
        <v/>
      </c>
      <c r="C899" s="26" t="str">
        <f aca="false">IF($M899=0,"",ST_RESULTATS!$A149)</f>
        <v/>
      </c>
      <c r="D899" s="31" t="str">
        <f aca="false">IF($M899=0,"",ST_RESULTATS!$W149)</f>
        <v/>
      </c>
      <c r="E899" s="26" t="str">
        <f aca="false">IF($M899=0,"","ENTREE")</f>
        <v/>
      </c>
      <c r="F899" s="26" t="str">
        <f aca="false">IF($M899=0,"","RETOUR SOUS-TRAITANCE")</f>
        <v/>
      </c>
      <c r="G899" s="26" t="str">
        <f aca="false">IF($M899=0,"",ST_RESULTATS!$N149)</f>
        <v/>
      </c>
      <c r="H899" s="26" t="str">
        <f aca="false">IF($G899="","",IFERROR(INDEX(LOT_EXTE,MATCH($G899,LOT_KEY,0)),""))</f>
        <v/>
      </c>
      <c r="I899" s="26" t="str">
        <f aca="false">IF($M899=0,"",ST_RESULTATS!$J149)</f>
        <v/>
      </c>
      <c r="J899" s="26" t="str">
        <f aca="false">IF($I899="","",IFERROR(INDEX(EMPL_CLASSE,MATCH($I899,EMPL_KEY,0)),""))</f>
        <v/>
      </c>
      <c r="K899" s="26" t="str">
        <f aca="false">IF($M899=0,"",IFERROR(INDEX(LOT_PRODE,MATCH($G899,LOT_KEY,0)),""))</f>
        <v/>
      </c>
      <c r="L899" s="26" t="str">
        <f aca="false">IF($G899="","",IF(IFERROR(INDEX(LOT_ETAT,MATCH($G899,LOT_KEY,0)),"")="","",INDEX(LOT_ETAT,MATCH($G899,LOT_KEY,0))))</f>
        <v/>
      </c>
      <c r="M899" s="73" t="n">
        <f aca="false">IF(ST_RESULTATS!$Q149=0,0,ST_RESULTATS!$F149)</f>
        <v>0</v>
      </c>
      <c r="N899" s="73" t="n">
        <f aca="false">IF($M899=0,0,ST_RESULTATS!$U149*$M899)</f>
        <v>0</v>
      </c>
      <c r="O899" s="26" t="str">
        <f aca="false">IF($M899=0,"",ST_RESULTATS!$T149)</f>
        <v/>
      </c>
      <c r="P899" s="26" t="str">
        <f aca="false">IF($G899="","",IF($G899=R_LOT,COUNTIF($G$5:$G899,R_LOT),""))</f>
        <v/>
      </c>
    </row>
    <row r="900" customFormat="false" ht="15" hidden="false" customHeight="false" outlineLevel="0" collapsed="false">
      <c r="A900" s="28" t="str">
        <f aca="false">IF($M900=0,"",ROW()-4)</f>
        <v/>
      </c>
      <c r="B900" s="26" t="str">
        <f aca="false">IF($M900=0,"","RESULTAT ST")</f>
        <v/>
      </c>
      <c r="C900" s="26" t="str">
        <f aca="false">IF($M900=0,"",ST_RESULTATS!$A150)</f>
        <v/>
      </c>
      <c r="D900" s="31" t="str">
        <f aca="false">IF($M900=0,"",ST_RESULTATS!$W150)</f>
        <v/>
      </c>
      <c r="E900" s="26" t="str">
        <f aca="false">IF($M900=0,"","ENTREE")</f>
        <v/>
      </c>
      <c r="F900" s="26" t="str">
        <f aca="false">IF($M900=0,"","RETOUR SOUS-TRAITANCE")</f>
        <v/>
      </c>
      <c r="G900" s="26" t="str">
        <f aca="false">IF($M900=0,"",ST_RESULTATS!$N150)</f>
        <v/>
      </c>
      <c r="H900" s="26" t="str">
        <f aca="false">IF($G900="","",IFERROR(INDEX(LOT_EXTE,MATCH($G900,LOT_KEY,0)),""))</f>
        <v/>
      </c>
      <c r="I900" s="26" t="str">
        <f aca="false">IF($M900=0,"",ST_RESULTATS!$J150)</f>
        <v/>
      </c>
      <c r="J900" s="26" t="str">
        <f aca="false">IF($I900="","",IFERROR(INDEX(EMPL_CLASSE,MATCH($I900,EMPL_KEY,0)),""))</f>
        <v/>
      </c>
      <c r="K900" s="26" t="str">
        <f aca="false">IF($M900=0,"",IFERROR(INDEX(LOT_PRODE,MATCH($G900,LOT_KEY,0)),""))</f>
        <v/>
      </c>
      <c r="L900" s="26" t="str">
        <f aca="false">IF($G900="","",IF(IFERROR(INDEX(LOT_ETAT,MATCH($G900,LOT_KEY,0)),"")="","",INDEX(LOT_ETAT,MATCH($G900,LOT_KEY,0))))</f>
        <v/>
      </c>
      <c r="M900" s="73" t="n">
        <f aca="false">IF(ST_RESULTATS!$Q150=0,0,ST_RESULTATS!$F150)</f>
        <v>0</v>
      </c>
      <c r="N900" s="73" t="n">
        <f aca="false">IF($M900=0,0,ST_RESULTATS!$U150*$M900)</f>
        <v>0</v>
      </c>
      <c r="O900" s="26" t="str">
        <f aca="false">IF($M900=0,"",ST_RESULTATS!$T150)</f>
        <v/>
      </c>
      <c r="P900" s="26" t="str">
        <f aca="false">IF($G900="","",IF($G900=R_LOT,COUNTIF($G$5:$G900,R_LOT),""))</f>
        <v/>
      </c>
    </row>
    <row r="901" customFormat="false" ht="15" hidden="false" customHeight="false" outlineLevel="0" collapsed="false">
      <c r="A901" s="28" t="str">
        <f aca="false">IF($M901=0,"",ROW()-4)</f>
        <v/>
      </c>
      <c r="B901" s="26" t="str">
        <f aca="false">IF($M901=0,"","RESULTAT ST")</f>
        <v/>
      </c>
      <c r="C901" s="26" t="str">
        <f aca="false">IF($M901=0,"",ST_RESULTATS!$A151)</f>
        <v/>
      </c>
      <c r="D901" s="31" t="str">
        <f aca="false">IF($M901=0,"",ST_RESULTATS!$W151)</f>
        <v/>
      </c>
      <c r="E901" s="26" t="str">
        <f aca="false">IF($M901=0,"","ENTREE")</f>
        <v/>
      </c>
      <c r="F901" s="26" t="str">
        <f aca="false">IF($M901=0,"","RETOUR SOUS-TRAITANCE")</f>
        <v/>
      </c>
      <c r="G901" s="26" t="str">
        <f aca="false">IF($M901=0,"",ST_RESULTATS!$N151)</f>
        <v/>
      </c>
      <c r="H901" s="26" t="str">
        <f aca="false">IF($G901="","",IFERROR(INDEX(LOT_EXTE,MATCH($G901,LOT_KEY,0)),""))</f>
        <v/>
      </c>
      <c r="I901" s="26" t="str">
        <f aca="false">IF($M901=0,"",ST_RESULTATS!$J151)</f>
        <v/>
      </c>
      <c r="J901" s="26" t="str">
        <f aca="false">IF($I901="","",IFERROR(INDEX(EMPL_CLASSE,MATCH($I901,EMPL_KEY,0)),""))</f>
        <v/>
      </c>
      <c r="K901" s="26" t="str">
        <f aca="false">IF($M901=0,"",IFERROR(INDEX(LOT_PRODE,MATCH($G901,LOT_KEY,0)),""))</f>
        <v/>
      </c>
      <c r="L901" s="26" t="str">
        <f aca="false">IF($G901="","",IF(IFERROR(INDEX(LOT_ETAT,MATCH($G901,LOT_KEY,0)),"")="","",INDEX(LOT_ETAT,MATCH($G901,LOT_KEY,0))))</f>
        <v/>
      </c>
      <c r="M901" s="73" t="n">
        <f aca="false">IF(ST_RESULTATS!$Q151=0,0,ST_RESULTATS!$F151)</f>
        <v>0</v>
      </c>
      <c r="N901" s="73" t="n">
        <f aca="false">IF($M901=0,0,ST_RESULTATS!$U151*$M901)</f>
        <v>0</v>
      </c>
      <c r="O901" s="26" t="str">
        <f aca="false">IF($M901=0,"",ST_RESULTATS!$T151)</f>
        <v/>
      </c>
      <c r="P901" s="26" t="str">
        <f aca="false">IF($G901="","",IF($G901=R_LOT,COUNTIF($G$5:$G901,R_LOT),""))</f>
        <v/>
      </c>
    </row>
    <row r="902" customFormat="false" ht="15" hidden="false" customHeight="false" outlineLevel="0" collapsed="false">
      <c r="A902" s="28" t="str">
        <f aca="false">IF($M902=0,"",ROW()-4)</f>
        <v/>
      </c>
      <c r="B902" s="26" t="str">
        <f aca="false">IF($M902=0,"","RESULTAT ST")</f>
        <v/>
      </c>
      <c r="C902" s="26" t="str">
        <f aca="false">IF($M902=0,"",ST_RESULTATS!$A152)</f>
        <v/>
      </c>
      <c r="D902" s="31" t="str">
        <f aca="false">IF($M902=0,"",ST_RESULTATS!$W152)</f>
        <v/>
      </c>
      <c r="E902" s="26" t="str">
        <f aca="false">IF($M902=0,"","ENTREE")</f>
        <v/>
      </c>
      <c r="F902" s="26" t="str">
        <f aca="false">IF($M902=0,"","RETOUR SOUS-TRAITANCE")</f>
        <v/>
      </c>
      <c r="G902" s="26" t="str">
        <f aca="false">IF($M902=0,"",ST_RESULTATS!$N152)</f>
        <v/>
      </c>
      <c r="H902" s="26" t="str">
        <f aca="false">IF($G902="","",IFERROR(INDEX(LOT_EXTE,MATCH($G902,LOT_KEY,0)),""))</f>
        <v/>
      </c>
      <c r="I902" s="26" t="str">
        <f aca="false">IF($M902=0,"",ST_RESULTATS!$J152)</f>
        <v/>
      </c>
      <c r="J902" s="26" t="str">
        <f aca="false">IF($I902="","",IFERROR(INDEX(EMPL_CLASSE,MATCH($I902,EMPL_KEY,0)),""))</f>
        <v/>
      </c>
      <c r="K902" s="26" t="str">
        <f aca="false">IF($M902=0,"",IFERROR(INDEX(LOT_PRODE,MATCH($G902,LOT_KEY,0)),""))</f>
        <v/>
      </c>
      <c r="L902" s="26" t="str">
        <f aca="false">IF($G902="","",IF(IFERROR(INDEX(LOT_ETAT,MATCH($G902,LOT_KEY,0)),"")="","",INDEX(LOT_ETAT,MATCH($G902,LOT_KEY,0))))</f>
        <v/>
      </c>
      <c r="M902" s="73" t="n">
        <f aca="false">IF(ST_RESULTATS!$Q152=0,0,ST_RESULTATS!$F152)</f>
        <v>0</v>
      </c>
      <c r="N902" s="73" t="n">
        <f aca="false">IF($M902=0,0,ST_RESULTATS!$U152*$M902)</f>
        <v>0</v>
      </c>
      <c r="O902" s="26" t="str">
        <f aca="false">IF($M902=0,"",ST_RESULTATS!$T152)</f>
        <v/>
      </c>
      <c r="P902" s="26" t="str">
        <f aca="false">IF($G902="","",IF($G902=R_LOT,COUNTIF($G$5:$G902,R_LOT),""))</f>
        <v/>
      </c>
    </row>
    <row r="903" customFormat="false" ht="15" hidden="false" customHeight="false" outlineLevel="0" collapsed="false">
      <c r="A903" s="28" t="str">
        <f aca="false">IF($M903=0,"",ROW()-4)</f>
        <v/>
      </c>
      <c r="B903" s="26" t="str">
        <f aca="false">IF($M903=0,"","RESULTAT ST")</f>
        <v/>
      </c>
      <c r="C903" s="26" t="str">
        <f aca="false">IF($M903=0,"",ST_RESULTATS!$A153)</f>
        <v/>
      </c>
      <c r="D903" s="31" t="str">
        <f aca="false">IF($M903=0,"",ST_RESULTATS!$W153)</f>
        <v/>
      </c>
      <c r="E903" s="26" t="str">
        <f aca="false">IF($M903=0,"","ENTREE")</f>
        <v/>
      </c>
      <c r="F903" s="26" t="str">
        <f aca="false">IF($M903=0,"","RETOUR SOUS-TRAITANCE")</f>
        <v/>
      </c>
      <c r="G903" s="26" t="str">
        <f aca="false">IF($M903=0,"",ST_RESULTATS!$N153)</f>
        <v/>
      </c>
      <c r="H903" s="26" t="str">
        <f aca="false">IF($G903="","",IFERROR(INDEX(LOT_EXTE,MATCH($G903,LOT_KEY,0)),""))</f>
        <v/>
      </c>
      <c r="I903" s="26" t="str">
        <f aca="false">IF($M903=0,"",ST_RESULTATS!$J153)</f>
        <v/>
      </c>
      <c r="J903" s="26" t="str">
        <f aca="false">IF($I903="","",IFERROR(INDEX(EMPL_CLASSE,MATCH($I903,EMPL_KEY,0)),""))</f>
        <v/>
      </c>
      <c r="K903" s="26" t="str">
        <f aca="false">IF($M903=0,"",IFERROR(INDEX(LOT_PRODE,MATCH($G903,LOT_KEY,0)),""))</f>
        <v/>
      </c>
      <c r="L903" s="26" t="str">
        <f aca="false">IF($G903="","",IF(IFERROR(INDEX(LOT_ETAT,MATCH($G903,LOT_KEY,0)),"")="","",INDEX(LOT_ETAT,MATCH($G903,LOT_KEY,0))))</f>
        <v/>
      </c>
      <c r="M903" s="73" t="n">
        <f aca="false">IF(ST_RESULTATS!$Q153=0,0,ST_RESULTATS!$F153)</f>
        <v>0</v>
      </c>
      <c r="N903" s="73" t="n">
        <f aca="false">IF($M903=0,0,ST_RESULTATS!$U153*$M903)</f>
        <v>0</v>
      </c>
      <c r="O903" s="26" t="str">
        <f aca="false">IF($M903=0,"",ST_RESULTATS!$T153)</f>
        <v/>
      </c>
      <c r="P903" s="26" t="str">
        <f aca="false">IF($G903="","",IF($G903=R_LOT,COUNTIF($G$5:$G903,R_LOT),""))</f>
        <v/>
      </c>
    </row>
    <row r="904" customFormat="false" ht="15" hidden="false" customHeight="false" outlineLevel="0" collapsed="false">
      <c r="A904" s="28" t="str">
        <f aca="false">IF($M904=0,"",ROW()-4)</f>
        <v/>
      </c>
      <c r="B904" s="26" t="str">
        <f aca="false">IF($M904=0,"","RESULTAT ST")</f>
        <v/>
      </c>
      <c r="C904" s="26" t="str">
        <f aca="false">IF($M904=0,"",ST_RESULTATS!$A154)</f>
        <v/>
      </c>
      <c r="D904" s="31" t="str">
        <f aca="false">IF($M904=0,"",ST_RESULTATS!$W154)</f>
        <v/>
      </c>
      <c r="E904" s="26" t="str">
        <f aca="false">IF($M904=0,"","ENTREE")</f>
        <v/>
      </c>
      <c r="F904" s="26" t="str">
        <f aca="false">IF($M904=0,"","RETOUR SOUS-TRAITANCE")</f>
        <v/>
      </c>
      <c r="G904" s="26" t="str">
        <f aca="false">IF($M904=0,"",ST_RESULTATS!$N154)</f>
        <v/>
      </c>
      <c r="H904" s="26" t="str">
        <f aca="false">IF($G904="","",IFERROR(INDEX(LOT_EXTE,MATCH($G904,LOT_KEY,0)),""))</f>
        <v/>
      </c>
      <c r="I904" s="26" t="str">
        <f aca="false">IF($M904=0,"",ST_RESULTATS!$J154)</f>
        <v/>
      </c>
      <c r="J904" s="26" t="str">
        <f aca="false">IF($I904="","",IFERROR(INDEX(EMPL_CLASSE,MATCH($I904,EMPL_KEY,0)),""))</f>
        <v/>
      </c>
      <c r="K904" s="26" t="str">
        <f aca="false">IF($M904=0,"",IFERROR(INDEX(LOT_PRODE,MATCH($G904,LOT_KEY,0)),""))</f>
        <v/>
      </c>
      <c r="L904" s="26" t="str">
        <f aca="false">IF($G904="","",IF(IFERROR(INDEX(LOT_ETAT,MATCH($G904,LOT_KEY,0)),"")="","",INDEX(LOT_ETAT,MATCH($G904,LOT_KEY,0))))</f>
        <v/>
      </c>
      <c r="M904" s="73" t="n">
        <f aca="false">IF(ST_RESULTATS!$Q154=0,0,ST_RESULTATS!$F154)</f>
        <v>0</v>
      </c>
      <c r="N904" s="73" t="n">
        <f aca="false">IF($M904=0,0,ST_RESULTATS!$U154*$M904)</f>
        <v>0</v>
      </c>
      <c r="O904" s="26" t="str">
        <f aca="false">IF($M904=0,"",ST_RESULTATS!$T154)</f>
        <v/>
      </c>
      <c r="P904" s="26" t="str">
        <f aca="false">IF($G904="","",IF($G904=R_LOT,COUNTIF($G$5:$G904,R_LOT),""))</f>
        <v/>
      </c>
    </row>
    <row r="905" customFormat="false" ht="15" hidden="false" customHeight="false" outlineLevel="0" collapsed="false">
      <c r="A905" s="28" t="str">
        <f aca="false">IF($M905=0,"",ROW()-4)</f>
        <v/>
      </c>
      <c r="B905" s="26" t="str">
        <f aca="false">IF($M905=0,"","RESULTAT ST")</f>
        <v/>
      </c>
      <c r="C905" s="26" t="str">
        <f aca="false">IF($M905=0,"",ST_RESULTATS!$A155)</f>
        <v/>
      </c>
      <c r="D905" s="31" t="str">
        <f aca="false">IF($M905=0,"",ST_RESULTATS!$W155)</f>
        <v/>
      </c>
      <c r="E905" s="26" t="str">
        <f aca="false">IF($M905=0,"","ENTREE")</f>
        <v/>
      </c>
      <c r="F905" s="26" t="str">
        <f aca="false">IF($M905=0,"","RETOUR SOUS-TRAITANCE")</f>
        <v/>
      </c>
      <c r="G905" s="26" t="str">
        <f aca="false">IF($M905=0,"",ST_RESULTATS!$N155)</f>
        <v/>
      </c>
      <c r="H905" s="26" t="str">
        <f aca="false">IF($G905="","",IFERROR(INDEX(LOT_EXTE,MATCH($G905,LOT_KEY,0)),""))</f>
        <v/>
      </c>
      <c r="I905" s="26" t="str">
        <f aca="false">IF($M905=0,"",ST_RESULTATS!$J155)</f>
        <v/>
      </c>
      <c r="J905" s="26" t="str">
        <f aca="false">IF($I905="","",IFERROR(INDEX(EMPL_CLASSE,MATCH($I905,EMPL_KEY,0)),""))</f>
        <v/>
      </c>
      <c r="K905" s="26" t="str">
        <f aca="false">IF($M905=0,"",IFERROR(INDEX(LOT_PRODE,MATCH($G905,LOT_KEY,0)),""))</f>
        <v/>
      </c>
      <c r="L905" s="26" t="str">
        <f aca="false">IF($G905="","",IF(IFERROR(INDEX(LOT_ETAT,MATCH($G905,LOT_KEY,0)),"")="","",INDEX(LOT_ETAT,MATCH($G905,LOT_KEY,0))))</f>
        <v/>
      </c>
      <c r="M905" s="73" t="n">
        <f aca="false">IF(ST_RESULTATS!$Q155=0,0,ST_RESULTATS!$F155)</f>
        <v>0</v>
      </c>
      <c r="N905" s="73" t="n">
        <f aca="false">IF($M905=0,0,ST_RESULTATS!$U155*$M905)</f>
        <v>0</v>
      </c>
      <c r="O905" s="26" t="str">
        <f aca="false">IF($M905=0,"",ST_RESULTATS!$T155)</f>
        <v/>
      </c>
      <c r="P905" s="26" t="str">
        <f aca="false">IF($G905="","",IF($G905=R_LOT,COUNTIF($G$5:$G905,R_LOT),""))</f>
        <v/>
      </c>
    </row>
    <row r="906" customFormat="false" ht="15" hidden="false" customHeight="false" outlineLevel="0" collapsed="false">
      <c r="A906" s="28" t="str">
        <f aca="false">IF($M906=0,"",ROW()-4)</f>
        <v/>
      </c>
      <c r="B906" s="26" t="str">
        <f aca="false">IF($M906=0,"","RESULTAT ST")</f>
        <v/>
      </c>
      <c r="C906" s="26" t="str">
        <f aca="false">IF($M906=0,"",ST_RESULTATS!$A156)</f>
        <v/>
      </c>
      <c r="D906" s="31" t="str">
        <f aca="false">IF($M906=0,"",ST_RESULTATS!$W156)</f>
        <v/>
      </c>
      <c r="E906" s="26" t="str">
        <f aca="false">IF($M906=0,"","ENTREE")</f>
        <v/>
      </c>
      <c r="F906" s="26" t="str">
        <f aca="false">IF($M906=0,"","RETOUR SOUS-TRAITANCE")</f>
        <v/>
      </c>
      <c r="G906" s="26" t="str">
        <f aca="false">IF($M906=0,"",ST_RESULTATS!$N156)</f>
        <v/>
      </c>
      <c r="H906" s="26" t="str">
        <f aca="false">IF($G906="","",IFERROR(INDEX(LOT_EXTE,MATCH($G906,LOT_KEY,0)),""))</f>
        <v/>
      </c>
      <c r="I906" s="26" t="str">
        <f aca="false">IF($M906=0,"",ST_RESULTATS!$J156)</f>
        <v/>
      </c>
      <c r="J906" s="26" t="str">
        <f aca="false">IF($I906="","",IFERROR(INDEX(EMPL_CLASSE,MATCH($I906,EMPL_KEY,0)),""))</f>
        <v/>
      </c>
      <c r="K906" s="26" t="str">
        <f aca="false">IF($M906=0,"",IFERROR(INDEX(LOT_PRODE,MATCH($G906,LOT_KEY,0)),""))</f>
        <v/>
      </c>
      <c r="L906" s="26" t="str">
        <f aca="false">IF($G906="","",IF(IFERROR(INDEX(LOT_ETAT,MATCH($G906,LOT_KEY,0)),"")="","",INDEX(LOT_ETAT,MATCH($G906,LOT_KEY,0))))</f>
        <v/>
      </c>
      <c r="M906" s="73" t="n">
        <f aca="false">IF(ST_RESULTATS!$Q156=0,0,ST_RESULTATS!$F156)</f>
        <v>0</v>
      </c>
      <c r="N906" s="73" t="n">
        <f aca="false">IF($M906=0,0,ST_RESULTATS!$U156*$M906)</f>
        <v>0</v>
      </c>
      <c r="O906" s="26" t="str">
        <f aca="false">IF($M906=0,"",ST_RESULTATS!$T156)</f>
        <v/>
      </c>
      <c r="P906" s="26" t="str">
        <f aca="false">IF($G906="","",IF($G906=R_LOT,COUNTIF($G$5:$G906,R_LOT),""))</f>
        <v/>
      </c>
    </row>
    <row r="907" customFormat="false" ht="15" hidden="false" customHeight="false" outlineLevel="0" collapsed="false">
      <c r="A907" s="28" t="str">
        <f aca="false">IF($M907=0,"",ROW()-4)</f>
        <v/>
      </c>
      <c r="B907" s="26" t="str">
        <f aca="false">IF($M907=0,"","RESULTAT ST")</f>
        <v/>
      </c>
      <c r="C907" s="26" t="str">
        <f aca="false">IF($M907=0,"",ST_RESULTATS!$A157)</f>
        <v/>
      </c>
      <c r="D907" s="31" t="str">
        <f aca="false">IF($M907=0,"",ST_RESULTATS!$W157)</f>
        <v/>
      </c>
      <c r="E907" s="26" t="str">
        <f aca="false">IF($M907=0,"","ENTREE")</f>
        <v/>
      </c>
      <c r="F907" s="26" t="str">
        <f aca="false">IF($M907=0,"","RETOUR SOUS-TRAITANCE")</f>
        <v/>
      </c>
      <c r="G907" s="26" t="str">
        <f aca="false">IF($M907=0,"",ST_RESULTATS!$N157)</f>
        <v/>
      </c>
      <c r="H907" s="26" t="str">
        <f aca="false">IF($G907="","",IFERROR(INDEX(LOT_EXTE,MATCH($G907,LOT_KEY,0)),""))</f>
        <v/>
      </c>
      <c r="I907" s="26" t="str">
        <f aca="false">IF($M907=0,"",ST_RESULTATS!$J157)</f>
        <v/>
      </c>
      <c r="J907" s="26" t="str">
        <f aca="false">IF($I907="","",IFERROR(INDEX(EMPL_CLASSE,MATCH($I907,EMPL_KEY,0)),""))</f>
        <v/>
      </c>
      <c r="K907" s="26" t="str">
        <f aca="false">IF($M907=0,"",IFERROR(INDEX(LOT_PRODE,MATCH($G907,LOT_KEY,0)),""))</f>
        <v/>
      </c>
      <c r="L907" s="26" t="str">
        <f aca="false">IF($G907="","",IF(IFERROR(INDEX(LOT_ETAT,MATCH($G907,LOT_KEY,0)),"")="","",INDEX(LOT_ETAT,MATCH($G907,LOT_KEY,0))))</f>
        <v/>
      </c>
      <c r="M907" s="73" t="n">
        <f aca="false">IF(ST_RESULTATS!$Q157=0,0,ST_RESULTATS!$F157)</f>
        <v>0</v>
      </c>
      <c r="N907" s="73" t="n">
        <f aca="false">IF($M907=0,0,ST_RESULTATS!$U157*$M907)</f>
        <v>0</v>
      </c>
      <c r="O907" s="26" t="str">
        <f aca="false">IF($M907=0,"",ST_RESULTATS!$T157)</f>
        <v/>
      </c>
      <c r="P907" s="26" t="str">
        <f aca="false">IF($G907="","",IF($G907=R_LOT,COUNTIF($G$5:$G907,R_LOT),""))</f>
        <v/>
      </c>
    </row>
    <row r="908" customFormat="false" ht="15" hidden="false" customHeight="false" outlineLevel="0" collapsed="false">
      <c r="A908" s="28" t="str">
        <f aca="false">IF($M908=0,"",ROW()-4)</f>
        <v/>
      </c>
      <c r="B908" s="26" t="str">
        <f aca="false">IF($M908=0,"","RESULTAT ST")</f>
        <v/>
      </c>
      <c r="C908" s="26" t="str">
        <f aca="false">IF($M908=0,"",ST_RESULTATS!$A158)</f>
        <v/>
      </c>
      <c r="D908" s="31" t="str">
        <f aca="false">IF($M908=0,"",ST_RESULTATS!$W158)</f>
        <v/>
      </c>
      <c r="E908" s="26" t="str">
        <f aca="false">IF($M908=0,"","ENTREE")</f>
        <v/>
      </c>
      <c r="F908" s="26" t="str">
        <f aca="false">IF($M908=0,"","RETOUR SOUS-TRAITANCE")</f>
        <v/>
      </c>
      <c r="G908" s="26" t="str">
        <f aca="false">IF($M908=0,"",ST_RESULTATS!$N158)</f>
        <v/>
      </c>
      <c r="H908" s="26" t="str">
        <f aca="false">IF($G908="","",IFERROR(INDEX(LOT_EXTE,MATCH($G908,LOT_KEY,0)),""))</f>
        <v/>
      </c>
      <c r="I908" s="26" t="str">
        <f aca="false">IF($M908=0,"",ST_RESULTATS!$J158)</f>
        <v/>
      </c>
      <c r="J908" s="26" t="str">
        <f aca="false">IF($I908="","",IFERROR(INDEX(EMPL_CLASSE,MATCH($I908,EMPL_KEY,0)),""))</f>
        <v/>
      </c>
      <c r="K908" s="26" t="str">
        <f aca="false">IF($M908=0,"",IFERROR(INDEX(LOT_PRODE,MATCH($G908,LOT_KEY,0)),""))</f>
        <v/>
      </c>
      <c r="L908" s="26" t="str">
        <f aca="false">IF($G908="","",IF(IFERROR(INDEX(LOT_ETAT,MATCH($G908,LOT_KEY,0)),"")="","",INDEX(LOT_ETAT,MATCH($G908,LOT_KEY,0))))</f>
        <v/>
      </c>
      <c r="M908" s="73" t="n">
        <f aca="false">IF(ST_RESULTATS!$Q158=0,0,ST_RESULTATS!$F158)</f>
        <v>0</v>
      </c>
      <c r="N908" s="73" t="n">
        <f aca="false">IF($M908=0,0,ST_RESULTATS!$U158*$M908)</f>
        <v>0</v>
      </c>
      <c r="O908" s="26" t="str">
        <f aca="false">IF($M908=0,"",ST_RESULTATS!$T158)</f>
        <v/>
      </c>
      <c r="P908" s="26" t="str">
        <f aca="false">IF($G908="","",IF($G908=R_LOT,COUNTIF($G$5:$G908,R_LOT),""))</f>
        <v/>
      </c>
    </row>
    <row r="909" customFormat="false" ht="15" hidden="false" customHeight="false" outlineLevel="0" collapsed="false">
      <c r="A909" s="28" t="str">
        <f aca="false">IF($M909=0,"",ROW()-4)</f>
        <v/>
      </c>
      <c r="B909" s="26" t="str">
        <f aca="false">IF($M909=0,"","RESULTAT ST")</f>
        <v/>
      </c>
      <c r="C909" s="26" t="str">
        <f aca="false">IF($M909=0,"",ST_RESULTATS!$A159)</f>
        <v/>
      </c>
      <c r="D909" s="31" t="str">
        <f aca="false">IF($M909=0,"",ST_RESULTATS!$W159)</f>
        <v/>
      </c>
      <c r="E909" s="26" t="str">
        <f aca="false">IF($M909=0,"","ENTREE")</f>
        <v/>
      </c>
      <c r="F909" s="26" t="str">
        <f aca="false">IF($M909=0,"","RETOUR SOUS-TRAITANCE")</f>
        <v/>
      </c>
      <c r="G909" s="26" t="str">
        <f aca="false">IF($M909=0,"",ST_RESULTATS!$N159)</f>
        <v/>
      </c>
      <c r="H909" s="26" t="str">
        <f aca="false">IF($G909="","",IFERROR(INDEX(LOT_EXTE,MATCH($G909,LOT_KEY,0)),""))</f>
        <v/>
      </c>
      <c r="I909" s="26" t="str">
        <f aca="false">IF($M909=0,"",ST_RESULTATS!$J159)</f>
        <v/>
      </c>
      <c r="J909" s="26" t="str">
        <f aca="false">IF($I909="","",IFERROR(INDEX(EMPL_CLASSE,MATCH($I909,EMPL_KEY,0)),""))</f>
        <v/>
      </c>
      <c r="K909" s="26" t="str">
        <f aca="false">IF($M909=0,"",IFERROR(INDEX(LOT_PRODE,MATCH($G909,LOT_KEY,0)),""))</f>
        <v/>
      </c>
      <c r="L909" s="26" t="str">
        <f aca="false">IF($G909="","",IF(IFERROR(INDEX(LOT_ETAT,MATCH($G909,LOT_KEY,0)),"")="","",INDEX(LOT_ETAT,MATCH($G909,LOT_KEY,0))))</f>
        <v/>
      </c>
      <c r="M909" s="73" t="n">
        <f aca="false">IF(ST_RESULTATS!$Q159=0,0,ST_RESULTATS!$F159)</f>
        <v>0</v>
      </c>
      <c r="N909" s="73" t="n">
        <f aca="false">IF($M909=0,0,ST_RESULTATS!$U159*$M909)</f>
        <v>0</v>
      </c>
      <c r="O909" s="26" t="str">
        <f aca="false">IF($M909=0,"",ST_RESULTATS!$T159)</f>
        <v/>
      </c>
      <c r="P909" s="26" t="str">
        <f aca="false">IF($G909="","",IF($G909=R_LOT,COUNTIF($G$5:$G909,R_LOT),""))</f>
        <v/>
      </c>
    </row>
    <row r="910" customFormat="false" ht="15" hidden="false" customHeight="false" outlineLevel="0" collapsed="false">
      <c r="A910" s="28" t="str">
        <f aca="false">IF($M910=0,"",ROW()-4)</f>
        <v/>
      </c>
      <c r="B910" s="26" t="str">
        <f aca="false">IF($M910=0,"","RESULTAT ST")</f>
        <v/>
      </c>
      <c r="C910" s="26" t="str">
        <f aca="false">IF($M910=0,"",ST_RESULTATS!$A160)</f>
        <v/>
      </c>
      <c r="D910" s="31" t="str">
        <f aca="false">IF($M910=0,"",ST_RESULTATS!$W160)</f>
        <v/>
      </c>
      <c r="E910" s="26" t="str">
        <f aca="false">IF($M910=0,"","ENTREE")</f>
        <v/>
      </c>
      <c r="F910" s="26" t="str">
        <f aca="false">IF($M910=0,"","RETOUR SOUS-TRAITANCE")</f>
        <v/>
      </c>
      <c r="G910" s="26" t="str">
        <f aca="false">IF($M910=0,"",ST_RESULTATS!$N160)</f>
        <v/>
      </c>
      <c r="H910" s="26" t="str">
        <f aca="false">IF($G910="","",IFERROR(INDEX(LOT_EXTE,MATCH($G910,LOT_KEY,0)),""))</f>
        <v/>
      </c>
      <c r="I910" s="26" t="str">
        <f aca="false">IF($M910=0,"",ST_RESULTATS!$J160)</f>
        <v/>
      </c>
      <c r="J910" s="26" t="str">
        <f aca="false">IF($I910="","",IFERROR(INDEX(EMPL_CLASSE,MATCH($I910,EMPL_KEY,0)),""))</f>
        <v/>
      </c>
      <c r="K910" s="26" t="str">
        <f aca="false">IF($M910=0,"",IFERROR(INDEX(LOT_PRODE,MATCH($G910,LOT_KEY,0)),""))</f>
        <v/>
      </c>
      <c r="L910" s="26" t="str">
        <f aca="false">IF($G910="","",IF(IFERROR(INDEX(LOT_ETAT,MATCH($G910,LOT_KEY,0)),"")="","",INDEX(LOT_ETAT,MATCH($G910,LOT_KEY,0))))</f>
        <v/>
      </c>
      <c r="M910" s="73" t="n">
        <f aca="false">IF(ST_RESULTATS!$Q160=0,0,ST_RESULTATS!$F160)</f>
        <v>0</v>
      </c>
      <c r="N910" s="73" t="n">
        <f aca="false">IF($M910=0,0,ST_RESULTATS!$U160*$M910)</f>
        <v>0</v>
      </c>
      <c r="O910" s="26" t="str">
        <f aca="false">IF($M910=0,"",ST_RESULTATS!$T160)</f>
        <v/>
      </c>
      <c r="P910" s="26" t="str">
        <f aca="false">IF($G910="","",IF($G910=R_LOT,COUNTIF($G$5:$G910,R_LOT),""))</f>
        <v/>
      </c>
    </row>
    <row r="911" customFormat="false" ht="15" hidden="false" customHeight="false" outlineLevel="0" collapsed="false">
      <c r="A911" s="28" t="str">
        <f aca="false">IF($M911=0,"",ROW()-4)</f>
        <v/>
      </c>
      <c r="B911" s="26" t="str">
        <f aca="false">IF($M911=0,"","RESULTAT ST")</f>
        <v/>
      </c>
      <c r="C911" s="26" t="str">
        <f aca="false">IF($M911=0,"",ST_RESULTATS!$A161)</f>
        <v/>
      </c>
      <c r="D911" s="31" t="str">
        <f aca="false">IF($M911=0,"",ST_RESULTATS!$W161)</f>
        <v/>
      </c>
      <c r="E911" s="26" t="str">
        <f aca="false">IF($M911=0,"","ENTREE")</f>
        <v/>
      </c>
      <c r="F911" s="26" t="str">
        <f aca="false">IF($M911=0,"","RETOUR SOUS-TRAITANCE")</f>
        <v/>
      </c>
      <c r="G911" s="26" t="str">
        <f aca="false">IF($M911=0,"",ST_RESULTATS!$N161)</f>
        <v/>
      </c>
      <c r="H911" s="26" t="str">
        <f aca="false">IF($G911="","",IFERROR(INDEX(LOT_EXTE,MATCH($G911,LOT_KEY,0)),""))</f>
        <v/>
      </c>
      <c r="I911" s="26" t="str">
        <f aca="false">IF($M911=0,"",ST_RESULTATS!$J161)</f>
        <v/>
      </c>
      <c r="J911" s="26" t="str">
        <f aca="false">IF($I911="","",IFERROR(INDEX(EMPL_CLASSE,MATCH($I911,EMPL_KEY,0)),""))</f>
        <v/>
      </c>
      <c r="K911" s="26" t="str">
        <f aca="false">IF($M911=0,"",IFERROR(INDEX(LOT_PRODE,MATCH($G911,LOT_KEY,0)),""))</f>
        <v/>
      </c>
      <c r="L911" s="26" t="str">
        <f aca="false">IF($G911="","",IF(IFERROR(INDEX(LOT_ETAT,MATCH($G911,LOT_KEY,0)),"")="","",INDEX(LOT_ETAT,MATCH($G911,LOT_KEY,0))))</f>
        <v/>
      </c>
      <c r="M911" s="73" t="n">
        <f aca="false">IF(ST_RESULTATS!$Q161=0,0,ST_RESULTATS!$F161)</f>
        <v>0</v>
      </c>
      <c r="N911" s="73" t="n">
        <f aca="false">IF($M911=0,0,ST_RESULTATS!$U161*$M911)</f>
        <v>0</v>
      </c>
      <c r="O911" s="26" t="str">
        <f aca="false">IF($M911=0,"",ST_RESULTATS!$T161)</f>
        <v/>
      </c>
      <c r="P911" s="26" t="str">
        <f aca="false">IF($G911="","",IF($G911=R_LOT,COUNTIF($G$5:$G911,R_LOT),""))</f>
        <v/>
      </c>
    </row>
    <row r="912" customFormat="false" ht="15" hidden="false" customHeight="false" outlineLevel="0" collapsed="false">
      <c r="A912" s="28" t="str">
        <f aca="false">IF($M912=0,"",ROW()-4)</f>
        <v/>
      </c>
      <c r="B912" s="26" t="str">
        <f aca="false">IF($M912=0,"","RESULTAT ST")</f>
        <v/>
      </c>
      <c r="C912" s="26" t="str">
        <f aca="false">IF($M912=0,"",ST_RESULTATS!$A162)</f>
        <v/>
      </c>
      <c r="D912" s="31" t="str">
        <f aca="false">IF($M912=0,"",ST_RESULTATS!$W162)</f>
        <v/>
      </c>
      <c r="E912" s="26" t="str">
        <f aca="false">IF($M912=0,"","ENTREE")</f>
        <v/>
      </c>
      <c r="F912" s="26" t="str">
        <f aca="false">IF($M912=0,"","RETOUR SOUS-TRAITANCE")</f>
        <v/>
      </c>
      <c r="G912" s="26" t="str">
        <f aca="false">IF($M912=0,"",ST_RESULTATS!$N162)</f>
        <v/>
      </c>
      <c r="H912" s="26" t="str">
        <f aca="false">IF($G912="","",IFERROR(INDEX(LOT_EXTE,MATCH($G912,LOT_KEY,0)),""))</f>
        <v/>
      </c>
      <c r="I912" s="26" t="str">
        <f aca="false">IF($M912=0,"",ST_RESULTATS!$J162)</f>
        <v/>
      </c>
      <c r="J912" s="26" t="str">
        <f aca="false">IF($I912="","",IFERROR(INDEX(EMPL_CLASSE,MATCH($I912,EMPL_KEY,0)),""))</f>
        <v/>
      </c>
      <c r="K912" s="26" t="str">
        <f aca="false">IF($M912=0,"",IFERROR(INDEX(LOT_PRODE,MATCH($G912,LOT_KEY,0)),""))</f>
        <v/>
      </c>
      <c r="L912" s="26" t="str">
        <f aca="false">IF($G912="","",IF(IFERROR(INDEX(LOT_ETAT,MATCH($G912,LOT_KEY,0)),"")="","",INDEX(LOT_ETAT,MATCH($G912,LOT_KEY,0))))</f>
        <v/>
      </c>
      <c r="M912" s="73" t="n">
        <f aca="false">IF(ST_RESULTATS!$Q162=0,0,ST_RESULTATS!$F162)</f>
        <v>0</v>
      </c>
      <c r="N912" s="73" t="n">
        <f aca="false">IF($M912=0,0,ST_RESULTATS!$U162*$M912)</f>
        <v>0</v>
      </c>
      <c r="O912" s="26" t="str">
        <f aca="false">IF($M912=0,"",ST_RESULTATS!$T162)</f>
        <v/>
      </c>
      <c r="P912" s="26" t="str">
        <f aca="false">IF($G912="","",IF($G912=R_LOT,COUNTIF($G$5:$G912,R_LOT),""))</f>
        <v/>
      </c>
    </row>
    <row r="913" customFormat="false" ht="15" hidden="false" customHeight="false" outlineLevel="0" collapsed="false">
      <c r="A913" s="28" t="str">
        <f aca="false">IF($M913=0,"",ROW()-4)</f>
        <v/>
      </c>
      <c r="B913" s="26" t="str">
        <f aca="false">IF($M913=0,"","RESULTAT ST")</f>
        <v/>
      </c>
      <c r="C913" s="26" t="str">
        <f aca="false">IF($M913=0,"",ST_RESULTATS!$A163)</f>
        <v/>
      </c>
      <c r="D913" s="31" t="str">
        <f aca="false">IF($M913=0,"",ST_RESULTATS!$W163)</f>
        <v/>
      </c>
      <c r="E913" s="26" t="str">
        <f aca="false">IF($M913=0,"","ENTREE")</f>
        <v/>
      </c>
      <c r="F913" s="26" t="str">
        <f aca="false">IF($M913=0,"","RETOUR SOUS-TRAITANCE")</f>
        <v/>
      </c>
      <c r="G913" s="26" t="str">
        <f aca="false">IF($M913=0,"",ST_RESULTATS!$N163)</f>
        <v/>
      </c>
      <c r="H913" s="26" t="str">
        <f aca="false">IF($G913="","",IFERROR(INDEX(LOT_EXTE,MATCH($G913,LOT_KEY,0)),""))</f>
        <v/>
      </c>
      <c r="I913" s="26" t="str">
        <f aca="false">IF($M913=0,"",ST_RESULTATS!$J163)</f>
        <v/>
      </c>
      <c r="J913" s="26" t="str">
        <f aca="false">IF($I913="","",IFERROR(INDEX(EMPL_CLASSE,MATCH($I913,EMPL_KEY,0)),""))</f>
        <v/>
      </c>
      <c r="K913" s="26" t="str">
        <f aca="false">IF($M913=0,"",IFERROR(INDEX(LOT_PRODE,MATCH($G913,LOT_KEY,0)),""))</f>
        <v/>
      </c>
      <c r="L913" s="26" t="str">
        <f aca="false">IF($G913="","",IF(IFERROR(INDEX(LOT_ETAT,MATCH($G913,LOT_KEY,0)),"")="","",INDEX(LOT_ETAT,MATCH($G913,LOT_KEY,0))))</f>
        <v/>
      </c>
      <c r="M913" s="73" t="n">
        <f aca="false">IF(ST_RESULTATS!$Q163=0,0,ST_RESULTATS!$F163)</f>
        <v>0</v>
      </c>
      <c r="N913" s="73" t="n">
        <f aca="false">IF($M913=0,0,ST_RESULTATS!$U163*$M913)</f>
        <v>0</v>
      </c>
      <c r="O913" s="26" t="str">
        <f aca="false">IF($M913=0,"",ST_RESULTATS!$T163)</f>
        <v/>
      </c>
      <c r="P913" s="26" t="str">
        <f aca="false">IF($G913="","",IF($G913=R_LOT,COUNTIF($G$5:$G913,R_LOT),""))</f>
        <v/>
      </c>
    </row>
    <row r="914" customFormat="false" ht="15" hidden="false" customHeight="false" outlineLevel="0" collapsed="false">
      <c r="A914" s="28" t="str">
        <f aca="false">IF($M914=0,"",ROW()-4)</f>
        <v/>
      </c>
      <c r="B914" s="26" t="str">
        <f aca="false">IF($M914=0,"","RESULTAT ST")</f>
        <v/>
      </c>
      <c r="C914" s="26" t="str">
        <f aca="false">IF($M914=0,"",ST_RESULTATS!$A164)</f>
        <v/>
      </c>
      <c r="D914" s="31" t="str">
        <f aca="false">IF($M914=0,"",ST_RESULTATS!$W164)</f>
        <v/>
      </c>
      <c r="E914" s="26" t="str">
        <f aca="false">IF($M914=0,"","ENTREE")</f>
        <v/>
      </c>
      <c r="F914" s="26" t="str">
        <f aca="false">IF($M914=0,"","RETOUR SOUS-TRAITANCE")</f>
        <v/>
      </c>
      <c r="G914" s="26" t="str">
        <f aca="false">IF($M914=0,"",ST_RESULTATS!$N164)</f>
        <v/>
      </c>
      <c r="H914" s="26" t="str">
        <f aca="false">IF($G914="","",IFERROR(INDEX(LOT_EXTE,MATCH($G914,LOT_KEY,0)),""))</f>
        <v/>
      </c>
      <c r="I914" s="26" t="str">
        <f aca="false">IF($M914=0,"",ST_RESULTATS!$J164)</f>
        <v/>
      </c>
      <c r="J914" s="26" t="str">
        <f aca="false">IF($I914="","",IFERROR(INDEX(EMPL_CLASSE,MATCH($I914,EMPL_KEY,0)),""))</f>
        <v/>
      </c>
      <c r="K914" s="26" t="str">
        <f aca="false">IF($M914=0,"",IFERROR(INDEX(LOT_PRODE,MATCH($G914,LOT_KEY,0)),""))</f>
        <v/>
      </c>
      <c r="L914" s="26" t="str">
        <f aca="false">IF($G914="","",IF(IFERROR(INDEX(LOT_ETAT,MATCH($G914,LOT_KEY,0)),"")="","",INDEX(LOT_ETAT,MATCH($G914,LOT_KEY,0))))</f>
        <v/>
      </c>
      <c r="M914" s="73" t="n">
        <f aca="false">IF(ST_RESULTATS!$Q164=0,0,ST_RESULTATS!$F164)</f>
        <v>0</v>
      </c>
      <c r="N914" s="73" t="n">
        <f aca="false">IF($M914=0,0,ST_RESULTATS!$U164*$M914)</f>
        <v>0</v>
      </c>
      <c r="O914" s="26" t="str">
        <f aca="false">IF($M914=0,"",ST_RESULTATS!$T164)</f>
        <v/>
      </c>
      <c r="P914" s="26" t="str">
        <f aca="false">IF($G914="","",IF($G914=R_LOT,COUNTIF($G$5:$G914,R_LOT),""))</f>
        <v/>
      </c>
    </row>
    <row r="915" customFormat="false" ht="15" hidden="false" customHeight="false" outlineLevel="0" collapsed="false">
      <c r="A915" s="28" t="str">
        <f aca="false">IF($M915=0,"",ROW()-4)</f>
        <v/>
      </c>
      <c r="B915" s="26" t="str">
        <f aca="false">IF($M915=0,"","RESULTAT ST")</f>
        <v/>
      </c>
      <c r="C915" s="26" t="str">
        <f aca="false">IF($M915=0,"",ST_RESULTATS!$A165)</f>
        <v/>
      </c>
      <c r="D915" s="31" t="str">
        <f aca="false">IF($M915=0,"",ST_RESULTATS!$W165)</f>
        <v/>
      </c>
      <c r="E915" s="26" t="str">
        <f aca="false">IF($M915=0,"","ENTREE")</f>
        <v/>
      </c>
      <c r="F915" s="26" t="str">
        <f aca="false">IF($M915=0,"","RETOUR SOUS-TRAITANCE")</f>
        <v/>
      </c>
      <c r="G915" s="26" t="str">
        <f aca="false">IF($M915=0,"",ST_RESULTATS!$N165)</f>
        <v/>
      </c>
      <c r="H915" s="26" t="str">
        <f aca="false">IF($G915="","",IFERROR(INDEX(LOT_EXTE,MATCH($G915,LOT_KEY,0)),""))</f>
        <v/>
      </c>
      <c r="I915" s="26" t="str">
        <f aca="false">IF($M915=0,"",ST_RESULTATS!$J165)</f>
        <v/>
      </c>
      <c r="J915" s="26" t="str">
        <f aca="false">IF($I915="","",IFERROR(INDEX(EMPL_CLASSE,MATCH($I915,EMPL_KEY,0)),""))</f>
        <v/>
      </c>
      <c r="K915" s="26" t="str">
        <f aca="false">IF($M915=0,"",IFERROR(INDEX(LOT_PRODE,MATCH($G915,LOT_KEY,0)),""))</f>
        <v/>
      </c>
      <c r="L915" s="26" t="str">
        <f aca="false">IF($G915="","",IF(IFERROR(INDEX(LOT_ETAT,MATCH($G915,LOT_KEY,0)),"")="","",INDEX(LOT_ETAT,MATCH($G915,LOT_KEY,0))))</f>
        <v/>
      </c>
      <c r="M915" s="73" t="n">
        <f aca="false">IF(ST_RESULTATS!$Q165=0,0,ST_RESULTATS!$F165)</f>
        <v>0</v>
      </c>
      <c r="N915" s="73" t="n">
        <f aca="false">IF($M915=0,0,ST_RESULTATS!$U165*$M915)</f>
        <v>0</v>
      </c>
      <c r="O915" s="26" t="str">
        <f aca="false">IF($M915=0,"",ST_RESULTATS!$T165)</f>
        <v/>
      </c>
      <c r="P915" s="26" t="str">
        <f aca="false">IF($G915="","",IF($G915=R_LOT,COUNTIF($G$5:$G915,R_LOT),""))</f>
        <v/>
      </c>
    </row>
    <row r="916" customFormat="false" ht="15" hidden="false" customHeight="false" outlineLevel="0" collapsed="false">
      <c r="A916" s="28" t="str">
        <f aca="false">IF($M916=0,"",ROW()-4)</f>
        <v/>
      </c>
      <c r="B916" s="26" t="str">
        <f aca="false">IF($M916=0,"","RESULTAT ST")</f>
        <v/>
      </c>
      <c r="C916" s="26" t="str">
        <f aca="false">IF($M916=0,"",ST_RESULTATS!$A166)</f>
        <v/>
      </c>
      <c r="D916" s="31" t="str">
        <f aca="false">IF($M916=0,"",ST_RESULTATS!$W166)</f>
        <v/>
      </c>
      <c r="E916" s="26" t="str">
        <f aca="false">IF($M916=0,"","ENTREE")</f>
        <v/>
      </c>
      <c r="F916" s="26" t="str">
        <f aca="false">IF($M916=0,"","RETOUR SOUS-TRAITANCE")</f>
        <v/>
      </c>
      <c r="G916" s="26" t="str">
        <f aca="false">IF($M916=0,"",ST_RESULTATS!$N166)</f>
        <v/>
      </c>
      <c r="H916" s="26" t="str">
        <f aca="false">IF($G916="","",IFERROR(INDEX(LOT_EXTE,MATCH($G916,LOT_KEY,0)),""))</f>
        <v/>
      </c>
      <c r="I916" s="26" t="str">
        <f aca="false">IF($M916=0,"",ST_RESULTATS!$J166)</f>
        <v/>
      </c>
      <c r="J916" s="26" t="str">
        <f aca="false">IF($I916="","",IFERROR(INDEX(EMPL_CLASSE,MATCH($I916,EMPL_KEY,0)),""))</f>
        <v/>
      </c>
      <c r="K916" s="26" t="str">
        <f aca="false">IF($M916=0,"",IFERROR(INDEX(LOT_PRODE,MATCH($G916,LOT_KEY,0)),""))</f>
        <v/>
      </c>
      <c r="L916" s="26" t="str">
        <f aca="false">IF($G916="","",IF(IFERROR(INDEX(LOT_ETAT,MATCH($G916,LOT_KEY,0)),"")="","",INDEX(LOT_ETAT,MATCH($G916,LOT_KEY,0))))</f>
        <v/>
      </c>
      <c r="M916" s="73" t="n">
        <f aca="false">IF(ST_RESULTATS!$Q166=0,0,ST_RESULTATS!$F166)</f>
        <v>0</v>
      </c>
      <c r="N916" s="73" t="n">
        <f aca="false">IF($M916=0,0,ST_RESULTATS!$U166*$M916)</f>
        <v>0</v>
      </c>
      <c r="O916" s="26" t="str">
        <f aca="false">IF($M916=0,"",ST_RESULTATS!$T166)</f>
        <v/>
      </c>
      <c r="P916" s="26" t="str">
        <f aca="false">IF($G916="","",IF($G916=R_LOT,COUNTIF($G$5:$G916,R_LOT),""))</f>
        <v/>
      </c>
    </row>
    <row r="917" customFormat="false" ht="15" hidden="false" customHeight="false" outlineLevel="0" collapsed="false">
      <c r="A917" s="28" t="str">
        <f aca="false">IF($M917=0,"",ROW()-4)</f>
        <v/>
      </c>
      <c r="B917" s="26" t="str">
        <f aca="false">IF($M917=0,"","RESULTAT ST")</f>
        <v/>
      </c>
      <c r="C917" s="26" t="str">
        <f aca="false">IF($M917=0,"",ST_RESULTATS!$A167)</f>
        <v/>
      </c>
      <c r="D917" s="31" t="str">
        <f aca="false">IF($M917=0,"",ST_RESULTATS!$W167)</f>
        <v/>
      </c>
      <c r="E917" s="26" t="str">
        <f aca="false">IF($M917=0,"","ENTREE")</f>
        <v/>
      </c>
      <c r="F917" s="26" t="str">
        <f aca="false">IF($M917=0,"","RETOUR SOUS-TRAITANCE")</f>
        <v/>
      </c>
      <c r="G917" s="26" t="str">
        <f aca="false">IF($M917=0,"",ST_RESULTATS!$N167)</f>
        <v/>
      </c>
      <c r="H917" s="26" t="str">
        <f aca="false">IF($G917="","",IFERROR(INDEX(LOT_EXTE,MATCH($G917,LOT_KEY,0)),""))</f>
        <v/>
      </c>
      <c r="I917" s="26" t="str">
        <f aca="false">IF($M917=0,"",ST_RESULTATS!$J167)</f>
        <v/>
      </c>
      <c r="J917" s="26" t="str">
        <f aca="false">IF($I917="","",IFERROR(INDEX(EMPL_CLASSE,MATCH($I917,EMPL_KEY,0)),""))</f>
        <v/>
      </c>
      <c r="K917" s="26" t="str">
        <f aca="false">IF($M917=0,"",IFERROR(INDEX(LOT_PRODE,MATCH($G917,LOT_KEY,0)),""))</f>
        <v/>
      </c>
      <c r="L917" s="26" t="str">
        <f aca="false">IF($G917="","",IF(IFERROR(INDEX(LOT_ETAT,MATCH($G917,LOT_KEY,0)),"")="","",INDEX(LOT_ETAT,MATCH($G917,LOT_KEY,0))))</f>
        <v/>
      </c>
      <c r="M917" s="73" t="n">
        <f aca="false">IF(ST_RESULTATS!$Q167=0,0,ST_RESULTATS!$F167)</f>
        <v>0</v>
      </c>
      <c r="N917" s="73" t="n">
        <f aca="false">IF($M917=0,0,ST_RESULTATS!$U167*$M917)</f>
        <v>0</v>
      </c>
      <c r="O917" s="26" t="str">
        <f aca="false">IF($M917=0,"",ST_RESULTATS!$T167)</f>
        <v/>
      </c>
      <c r="P917" s="26" t="str">
        <f aca="false">IF($G917="","",IF($G917=R_LOT,COUNTIF($G$5:$G917,R_LOT),""))</f>
        <v/>
      </c>
    </row>
    <row r="918" customFormat="false" ht="15" hidden="false" customHeight="false" outlineLevel="0" collapsed="false">
      <c r="A918" s="28" t="str">
        <f aca="false">IF($M918=0,"",ROW()-4)</f>
        <v/>
      </c>
      <c r="B918" s="26" t="str">
        <f aca="false">IF($M918=0,"","RESULTAT ST")</f>
        <v/>
      </c>
      <c r="C918" s="26" t="str">
        <f aca="false">IF($M918=0,"",ST_RESULTATS!$A168)</f>
        <v/>
      </c>
      <c r="D918" s="31" t="str">
        <f aca="false">IF($M918=0,"",ST_RESULTATS!$W168)</f>
        <v/>
      </c>
      <c r="E918" s="26" t="str">
        <f aca="false">IF($M918=0,"","ENTREE")</f>
        <v/>
      </c>
      <c r="F918" s="26" t="str">
        <f aca="false">IF($M918=0,"","RETOUR SOUS-TRAITANCE")</f>
        <v/>
      </c>
      <c r="G918" s="26" t="str">
        <f aca="false">IF($M918=0,"",ST_RESULTATS!$N168)</f>
        <v/>
      </c>
      <c r="H918" s="26" t="str">
        <f aca="false">IF($G918="","",IFERROR(INDEX(LOT_EXTE,MATCH($G918,LOT_KEY,0)),""))</f>
        <v/>
      </c>
      <c r="I918" s="26" t="str">
        <f aca="false">IF($M918=0,"",ST_RESULTATS!$J168)</f>
        <v/>
      </c>
      <c r="J918" s="26" t="str">
        <f aca="false">IF($I918="","",IFERROR(INDEX(EMPL_CLASSE,MATCH($I918,EMPL_KEY,0)),""))</f>
        <v/>
      </c>
      <c r="K918" s="26" t="str">
        <f aca="false">IF($M918=0,"",IFERROR(INDEX(LOT_PRODE,MATCH($G918,LOT_KEY,0)),""))</f>
        <v/>
      </c>
      <c r="L918" s="26" t="str">
        <f aca="false">IF($G918="","",IF(IFERROR(INDEX(LOT_ETAT,MATCH($G918,LOT_KEY,0)),"")="","",INDEX(LOT_ETAT,MATCH($G918,LOT_KEY,0))))</f>
        <v/>
      </c>
      <c r="M918" s="73" t="n">
        <f aca="false">IF(ST_RESULTATS!$Q168=0,0,ST_RESULTATS!$F168)</f>
        <v>0</v>
      </c>
      <c r="N918" s="73" t="n">
        <f aca="false">IF($M918=0,0,ST_RESULTATS!$U168*$M918)</f>
        <v>0</v>
      </c>
      <c r="O918" s="26" t="str">
        <f aca="false">IF($M918=0,"",ST_RESULTATS!$T168)</f>
        <v/>
      </c>
      <c r="P918" s="26" t="str">
        <f aca="false">IF($G918="","",IF($G918=R_LOT,COUNTIF($G$5:$G918,R_LOT),""))</f>
        <v/>
      </c>
    </row>
    <row r="919" customFormat="false" ht="15" hidden="false" customHeight="false" outlineLevel="0" collapsed="false">
      <c r="A919" s="28" t="str">
        <f aca="false">IF($M919=0,"",ROW()-4)</f>
        <v/>
      </c>
      <c r="B919" s="26" t="str">
        <f aca="false">IF($M919=0,"","RESULTAT ST")</f>
        <v/>
      </c>
      <c r="C919" s="26" t="str">
        <f aca="false">IF($M919=0,"",ST_RESULTATS!$A169)</f>
        <v/>
      </c>
      <c r="D919" s="31" t="str">
        <f aca="false">IF($M919=0,"",ST_RESULTATS!$W169)</f>
        <v/>
      </c>
      <c r="E919" s="26" t="str">
        <f aca="false">IF($M919=0,"","ENTREE")</f>
        <v/>
      </c>
      <c r="F919" s="26" t="str">
        <f aca="false">IF($M919=0,"","RETOUR SOUS-TRAITANCE")</f>
        <v/>
      </c>
      <c r="G919" s="26" t="str">
        <f aca="false">IF($M919=0,"",ST_RESULTATS!$N169)</f>
        <v/>
      </c>
      <c r="H919" s="26" t="str">
        <f aca="false">IF($G919="","",IFERROR(INDEX(LOT_EXTE,MATCH($G919,LOT_KEY,0)),""))</f>
        <v/>
      </c>
      <c r="I919" s="26" t="str">
        <f aca="false">IF($M919=0,"",ST_RESULTATS!$J169)</f>
        <v/>
      </c>
      <c r="J919" s="26" t="str">
        <f aca="false">IF($I919="","",IFERROR(INDEX(EMPL_CLASSE,MATCH($I919,EMPL_KEY,0)),""))</f>
        <v/>
      </c>
      <c r="K919" s="26" t="str">
        <f aca="false">IF($M919=0,"",IFERROR(INDEX(LOT_PRODE,MATCH($G919,LOT_KEY,0)),""))</f>
        <v/>
      </c>
      <c r="L919" s="26" t="str">
        <f aca="false">IF($G919="","",IF(IFERROR(INDEX(LOT_ETAT,MATCH($G919,LOT_KEY,0)),"")="","",INDEX(LOT_ETAT,MATCH($G919,LOT_KEY,0))))</f>
        <v/>
      </c>
      <c r="M919" s="73" t="n">
        <f aca="false">IF(ST_RESULTATS!$Q169=0,0,ST_RESULTATS!$F169)</f>
        <v>0</v>
      </c>
      <c r="N919" s="73" t="n">
        <f aca="false">IF($M919=0,0,ST_RESULTATS!$U169*$M919)</f>
        <v>0</v>
      </c>
      <c r="O919" s="26" t="str">
        <f aca="false">IF($M919=0,"",ST_RESULTATS!$T169)</f>
        <v/>
      </c>
      <c r="P919" s="26" t="str">
        <f aca="false">IF($G919="","",IF($G919=R_LOT,COUNTIF($G$5:$G919,R_LOT),""))</f>
        <v/>
      </c>
    </row>
    <row r="920" customFormat="false" ht="15" hidden="false" customHeight="false" outlineLevel="0" collapsed="false">
      <c r="A920" s="28" t="str">
        <f aca="false">IF($M920=0,"",ROW()-4)</f>
        <v/>
      </c>
      <c r="B920" s="26" t="str">
        <f aca="false">IF($M920=0,"","RESULTAT ST")</f>
        <v/>
      </c>
      <c r="C920" s="26" t="str">
        <f aca="false">IF($M920=0,"",ST_RESULTATS!$A170)</f>
        <v/>
      </c>
      <c r="D920" s="31" t="str">
        <f aca="false">IF($M920=0,"",ST_RESULTATS!$W170)</f>
        <v/>
      </c>
      <c r="E920" s="26" t="str">
        <f aca="false">IF($M920=0,"","ENTREE")</f>
        <v/>
      </c>
      <c r="F920" s="26" t="str">
        <f aca="false">IF($M920=0,"","RETOUR SOUS-TRAITANCE")</f>
        <v/>
      </c>
      <c r="G920" s="26" t="str">
        <f aca="false">IF($M920=0,"",ST_RESULTATS!$N170)</f>
        <v/>
      </c>
      <c r="H920" s="26" t="str">
        <f aca="false">IF($G920="","",IFERROR(INDEX(LOT_EXTE,MATCH($G920,LOT_KEY,0)),""))</f>
        <v/>
      </c>
      <c r="I920" s="26" t="str">
        <f aca="false">IF($M920=0,"",ST_RESULTATS!$J170)</f>
        <v/>
      </c>
      <c r="J920" s="26" t="str">
        <f aca="false">IF($I920="","",IFERROR(INDEX(EMPL_CLASSE,MATCH($I920,EMPL_KEY,0)),""))</f>
        <v/>
      </c>
      <c r="K920" s="26" t="str">
        <f aca="false">IF($M920=0,"",IFERROR(INDEX(LOT_PRODE,MATCH($G920,LOT_KEY,0)),""))</f>
        <v/>
      </c>
      <c r="L920" s="26" t="str">
        <f aca="false">IF($G920="","",IF(IFERROR(INDEX(LOT_ETAT,MATCH($G920,LOT_KEY,0)),"")="","",INDEX(LOT_ETAT,MATCH($G920,LOT_KEY,0))))</f>
        <v/>
      </c>
      <c r="M920" s="73" t="n">
        <f aca="false">IF(ST_RESULTATS!$Q170=0,0,ST_RESULTATS!$F170)</f>
        <v>0</v>
      </c>
      <c r="N920" s="73" t="n">
        <f aca="false">IF($M920=0,0,ST_RESULTATS!$U170*$M920)</f>
        <v>0</v>
      </c>
      <c r="O920" s="26" t="str">
        <f aca="false">IF($M920=0,"",ST_RESULTATS!$T170)</f>
        <v/>
      </c>
      <c r="P920" s="26" t="str">
        <f aca="false">IF($G920="","",IF($G920=R_LOT,COUNTIF($G$5:$G920,R_LOT),""))</f>
        <v/>
      </c>
    </row>
    <row r="921" customFormat="false" ht="15" hidden="false" customHeight="false" outlineLevel="0" collapsed="false">
      <c r="A921" s="28" t="str">
        <f aca="false">IF($M921=0,"",ROW()-4)</f>
        <v/>
      </c>
      <c r="B921" s="26" t="str">
        <f aca="false">IF($M921=0,"","RESULTAT ST")</f>
        <v/>
      </c>
      <c r="C921" s="26" t="str">
        <f aca="false">IF($M921=0,"",ST_RESULTATS!$A171)</f>
        <v/>
      </c>
      <c r="D921" s="31" t="str">
        <f aca="false">IF($M921=0,"",ST_RESULTATS!$W171)</f>
        <v/>
      </c>
      <c r="E921" s="26" t="str">
        <f aca="false">IF($M921=0,"","ENTREE")</f>
        <v/>
      </c>
      <c r="F921" s="26" t="str">
        <f aca="false">IF($M921=0,"","RETOUR SOUS-TRAITANCE")</f>
        <v/>
      </c>
      <c r="G921" s="26" t="str">
        <f aca="false">IF($M921=0,"",ST_RESULTATS!$N171)</f>
        <v/>
      </c>
      <c r="H921" s="26" t="str">
        <f aca="false">IF($G921="","",IFERROR(INDEX(LOT_EXTE,MATCH($G921,LOT_KEY,0)),""))</f>
        <v/>
      </c>
      <c r="I921" s="26" t="str">
        <f aca="false">IF($M921=0,"",ST_RESULTATS!$J171)</f>
        <v/>
      </c>
      <c r="J921" s="26" t="str">
        <f aca="false">IF($I921="","",IFERROR(INDEX(EMPL_CLASSE,MATCH($I921,EMPL_KEY,0)),""))</f>
        <v/>
      </c>
      <c r="K921" s="26" t="str">
        <f aca="false">IF($M921=0,"",IFERROR(INDEX(LOT_PRODE,MATCH($G921,LOT_KEY,0)),""))</f>
        <v/>
      </c>
      <c r="L921" s="26" t="str">
        <f aca="false">IF($G921="","",IF(IFERROR(INDEX(LOT_ETAT,MATCH($G921,LOT_KEY,0)),"")="","",INDEX(LOT_ETAT,MATCH($G921,LOT_KEY,0))))</f>
        <v/>
      </c>
      <c r="M921" s="73" t="n">
        <f aca="false">IF(ST_RESULTATS!$Q171=0,0,ST_RESULTATS!$F171)</f>
        <v>0</v>
      </c>
      <c r="N921" s="73" t="n">
        <f aca="false">IF($M921=0,0,ST_RESULTATS!$U171*$M921)</f>
        <v>0</v>
      </c>
      <c r="O921" s="26" t="str">
        <f aca="false">IF($M921=0,"",ST_RESULTATS!$T171)</f>
        <v/>
      </c>
      <c r="P921" s="26" t="str">
        <f aca="false">IF($G921="","",IF($G921=R_LOT,COUNTIF($G$5:$G921,R_LOT),""))</f>
        <v/>
      </c>
    </row>
    <row r="922" customFormat="false" ht="15" hidden="false" customHeight="false" outlineLevel="0" collapsed="false">
      <c r="A922" s="28" t="str">
        <f aca="false">IF($M922=0,"",ROW()-4)</f>
        <v/>
      </c>
      <c r="B922" s="26" t="str">
        <f aca="false">IF($M922=0,"","RESULTAT ST")</f>
        <v/>
      </c>
      <c r="C922" s="26" t="str">
        <f aca="false">IF($M922=0,"",ST_RESULTATS!$A172)</f>
        <v/>
      </c>
      <c r="D922" s="31" t="str">
        <f aca="false">IF($M922=0,"",ST_RESULTATS!$W172)</f>
        <v/>
      </c>
      <c r="E922" s="26" t="str">
        <f aca="false">IF($M922=0,"","ENTREE")</f>
        <v/>
      </c>
      <c r="F922" s="26" t="str">
        <f aca="false">IF($M922=0,"","RETOUR SOUS-TRAITANCE")</f>
        <v/>
      </c>
      <c r="G922" s="26" t="str">
        <f aca="false">IF($M922=0,"",ST_RESULTATS!$N172)</f>
        <v/>
      </c>
      <c r="H922" s="26" t="str">
        <f aca="false">IF($G922="","",IFERROR(INDEX(LOT_EXTE,MATCH($G922,LOT_KEY,0)),""))</f>
        <v/>
      </c>
      <c r="I922" s="26" t="str">
        <f aca="false">IF($M922=0,"",ST_RESULTATS!$J172)</f>
        <v/>
      </c>
      <c r="J922" s="26" t="str">
        <f aca="false">IF($I922="","",IFERROR(INDEX(EMPL_CLASSE,MATCH($I922,EMPL_KEY,0)),""))</f>
        <v/>
      </c>
      <c r="K922" s="26" t="str">
        <f aca="false">IF($M922=0,"",IFERROR(INDEX(LOT_PRODE,MATCH($G922,LOT_KEY,0)),""))</f>
        <v/>
      </c>
      <c r="L922" s="26" t="str">
        <f aca="false">IF($G922="","",IF(IFERROR(INDEX(LOT_ETAT,MATCH($G922,LOT_KEY,0)),"")="","",INDEX(LOT_ETAT,MATCH($G922,LOT_KEY,0))))</f>
        <v/>
      </c>
      <c r="M922" s="73" t="n">
        <f aca="false">IF(ST_RESULTATS!$Q172=0,0,ST_RESULTATS!$F172)</f>
        <v>0</v>
      </c>
      <c r="N922" s="73" t="n">
        <f aca="false">IF($M922=0,0,ST_RESULTATS!$U172*$M922)</f>
        <v>0</v>
      </c>
      <c r="O922" s="26" t="str">
        <f aca="false">IF($M922=0,"",ST_RESULTATS!$T172)</f>
        <v/>
      </c>
      <c r="P922" s="26" t="str">
        <f aca="false">IF($G922="","",IF($G922=R_LOT,COUNTIF($G$5:$G922,R_LOT),""))</f>
        <v/>
      </c>
    </row>
    <row r="923" customFormat="false" ht="15" hidden="false" customHeight="false" outlineLevel="0" collapsed="false">
      <c r="A923" s="28" t="str">
        <f aca="false">IF($M923=0,"",ROW()-4)</f>
        <v/>
      </c>
      <c r="B923" s="26" t="str">
        <f aca="false">IF($M923=0,"","RESULTAT ST")</f>
        <v/>
      </c>
      <c r="C923" s="26" t="str">
        <f aca="false">IF($M923=0,"",ST_RESULTATS!$A173)</f>
        <v/>
      </c>
      <c r="D923" s="31" t="str">
        <f aca="false">IF($M923=0,"",ST_RESULTATS!$W173)</f>
        <v/>
      </c>
      <c r="E923" s="26" t="str">
        <f aca="false">IF($M923=0,"","ENTREE")</f>
        <v/>
      </c>
      <c r="F923" s="26" t="str">
        <f aca="false">IF($M923=0,"","RETOUR SOUS-TRAITANCE")</f>
        <v/>
      </c>
      <c r="G923" s="26" t="str">
        <f aca="false">IF($M923=0,"",ST_RESULTATS!$N173)</f>
        <v/>
      </c>
      <c r="H923" s="26" t="str">
        <f aca="false">IF($G923="","",IFERROR(INDEX(LOT_EXTE,MATCH($G923,LOT_KEY,0)),""))</f>
        <v/>
      </c>
      <c r="I923" s="26" t="str">
        <f aca="false">IF($M923=0,"",ST_RESULTATS!$J173)</f>
        <v/>
      </c>
      <c r="J923" s="26" t="str">
        <f aca="false">IF($I923="","",IFERROR(INDEX(EMPL_CLASSE,MATCH($I923,EMPL_KEY,0)),""))</f>
        <v/>
      </c>
      <c r="K923" s="26" t="str">
        <f aca="false">IF($M923=0,"",IFERROR(INDEX(LOT_PRODE,MATCH($G923,LOT_KEY,0)),""))</f>
        <v/>
      </c>
      <c r="L923" s="26" t="str">
        <f aca="false">IF($G923="","",IF(IFERROR(INDEX(LOT_ETAT,MATCH($G923,LOT_KEY,0)),"")="","",INDEX(LOT_ETAT,MATCH($G923,LOT_KEY,0))))</f>
        <v/>
      </c>
      <c r="M923" s="73" t="n">
        <f aca="false">IF(ST_RESULTATS!$Q173=0,0,ST_RESULTATS!$F173)</f>
        <v>0</v>
      </c>
      <c r="N923" s="73" t="n">
        <f aca="false">IF($M923=0,0,ST_RESULTATS!$U173*$M923)</f>
        <v>0</v>
      </c>
      <c r="O923" s="26" t="str">
        <f aca="false">IF($M923=0,"",ST_RESULTATS!$T173)</f>
        <v/>
      </c>
      <c r="P923" s="26" t="str">
        <f aca="false">IF($G923="","",IF($G923=R_LOT,COUNTIF($G$5:$G923,R_LOT),""))</f>
        <v/>
      </c>
    </row>
    <row r="924" customFormat="false" ht="15" hidden="false" customHeight="false" outlineLevel="0" collapsed="false">
      <c r="A924" s="28" t="str">
        <f aca="false">IF($M924=0,"",ROW()-4)</f>
        <v/>
      </c>
      <c r="B924" s="26" t="str">
        <f aca="false">IF($M924=0,"","RESULTAT ST")</f>
        <v/>
      </c>
      <c r="C924" s="26" t="str">
        <f aca="false">IF($M924=0,"",ST_RESULTATS!$A174)</f>
        <v/>
      </c>
      <c r="D924" s="31" t="str">
        <f aca="false">IF($M924=0,"",ST_RESULTATS!$W174)</f>
        <v/>
      </c>
      <c r="E924" s="26" t="str">
        <f aca="false">IF($M924=0,"","ENTREE")</f>
        <v/>
      </c>
      <c r="F924" s="26" t="str">
        <f aca="false">IF($M924=0,"","RETOUR SOUS-TRAITANCE")</f>
        <v/>
      </c>
      <c r="G924" s="26" t="str">
        <f aca="false">IF($M924=0,"",ST_RESULTATS!$N174)</f>
        <v/>
      </c>
      <c r="H924" s="26" t="str">
        <f aca="false">IF($G924="","",IFERROR(INDEX(LOT_EXTE,MATCH($G924,LOT_KEY,0)),""))</f>
        <v/>
      </c>
      <c r="I924" s="26" t="str">
        <f aca="false">IF($M924=0,"",ST_RESULTATS!$J174)</f>
        <v/>
      </c>
      <c r="J924" s="26" t="str">
        <f aca="false">IF($I924="","",IFERROR(INDEX(EMPL_CLASSE,MATCH($I924,EMPL_KEY,0)),""))</f>
        <v/>
      </c>
      <c r="K924" s="26" t="str">
        <f aca="false">IF($M924=0,"",IFERROR(INDEX(LOT_PRODE,MATCH($G924,LOT_KEY,0)),""))</f>
        <v/>
      </c>
      <c r="L924" s="26" t="str">
        <f aca="false">IF($G924="","",IF(IFERROR(INDEX(LOT_ETAT,MATCH($G924,LOT_KEY,0)),"")="","",INDEX(LOT_ETAT,MATCH($G924,LOT_KEY,0))))</f>
        <v/>
      </c>
      <c r="M924" s="73" t="n">
        <f aca="false">IF(ST_RESULTATS!$Q174=0,0,ST_RESULTATS!$F174)</f>
        <v>0</v>
      </c>
      <c r="N924" s="73" t="n">
        <f aca="false">IF($M924=0,0,ST_RESULTATS!$U174*$M924)</f>
        <v>0</v>
      </c>
      <c r="O924" s="26" t="str">
        <f aca="false">IF($M924=0,"",ST_RESULTATS!$T174)</f>
        <v/>
      </c>
      <c r="P924" s="26" t="str">
        <f aca="false">IF($G924="","",IF($G924=R_LOT,COUNTIF($G$5:$G924,R_LOT),""))</f>
        <v/>
      </c>
    </row>
    <row r="925" customFormat="false" ht="15" hidden="false" customHeight="false" outlineLevel="0" collapsed="false">
      <c r="A925" s="28" t="str">
        <f aca="false">IF($M925=0,"",ROW()-4)</f>
        <v/>
      </c>
      <c r="B925" s="26" t="str">
        <f aca="false">IF($M925=0,"","RESULTAT ST")</f>
        <v/>
      </c>
      <c r="C925" s="26" t="str">
        <f aca="false">IF($M925=0,"",ST_RESULTATS!$A175)</f>
        <v/>
      </c>
      <c r="D925" s="31" t="str">
        <f aca="false">IF($M925=0,"",ST_RESULTATS!$W175)</f>
        <v/>
      </c>
      <c r="E925" s="26" t="str">
        <f aca="false">IF($M925=0,"","ENTREE")</f>
        <v/>
      </c>
      <c r="F925" s="26" t="str">
        <f aca="false">IF($M925=0,"","RETOUR SOUS-TRAITANCE")</f>
        <v/>
      </c>
      <c r="G925" s="26" t="str">
        <f aca="false">IF($M925=0,"",ST_RESULTATS!$N175)</f>
        <v/>
      </c>
      <c r="H925" s="26" t="str">
        <f aca="false">IF($G925="","",IFERROR(INDEX(LOT_EXTE,MATCH($G925,LOT_KEY,0)),""))</f>
        <v/>
      </c>
      <c r="I925" s="26" t="str">
        <f aca="false">IF($M925=0,"",ST_RESULTATS!$J175)</f>
        <v/>
      </c>
      <c r="J925" s="26" t="str">
        <f aca="false">IF($I925="","",IFERROR(INDEX(EMPL_CLASSE,MATCH($I925,EMPL_KEY,0)),""))</f>
        <v/>
      </c>
      <c r="K925" s="26" t="str">
        <f aca="false">IF($M925=0,"",IFERROR(INDEX(LOT_PRODE,MATCH($G925,LOT_KEY,0)),""))</f>
        <v/>
      </c>
      <c r="L925" s="26" t="str">
        <f aca="false">IF($G925="","",IF(IFERROR(INDEX(LOT_ETAT,MATCH($G925,LOT_KEY,0)),"")="","",INDEX(LOT_ETAT,MATCH($G925,LOT_KEY,0))))</f>
        <v/>
      </c>
      <c r="M925" s="73" t="n">
        <f aca="false">IF(ST_RESULTATS!$Q175=0,0,ST_RESULTATS!$F175)</f>
        <v>0</v>
      </c>
      <c r="N925" s="73" t="n">
        <f aca="false">IF($M925=0,0,ST_RESULTATS!$U175*$M925)</f>
        <v>0</v>
      </c>
      <c r="O925" s="26" t="str">
        <f aca="false">IF($M925=0,"",ST_RESULTATS!$T175)</f>
        <v/>
      </c>
      <c r="P925" s="26" t="str">
        <f aca="false">IF($G925="","",IF($G925=R_LOT,COUNTIF($G$5:$G925,R_LOT),""))</f>
        <v/>
      </c>
    </row>
    <row r="926" customFormat="false" ht="15" hidden="false" customHeight="false" outlineLevel="0" collapsed="false">
      <c r="A926" s="28" t="str">
        <f aca="false">IF($M926=0,"",ROW()-4)</f>
        <v/>
      </c>
      <c r="B926" s="26" t="str">
        <f aca="false">IF($M926=0,"","RESULTAT ST")</f>
        <v/>
      </c>
      <c r="C926" s="26" t="str">
        <f aca="false">IF($M926=0,"",ST_RESULTATS!$A176)</f>
        <v/>
      </c>
      <c r="D926" s="31" t="str">
        <f aca="false">IF($M926=0,"",ST_RESULTATS!$W176)</f>
        <v/>
      </c>
      <c r="E926" s="26" t="str">
        <f aca="false">IF($M926=0,"","ENTREE")</f>
        <v/>
      </c>
      <c r="F926" s="26" t="str">
        <f aca="false">IF($M926=0,"","RETOUR SOUS-TRAITANCE")</f>
        <v/>
      </c>
      <c r="G926" s="26" t="str">
        <f aca="false">IF($M926=0,"",ST_RESULTATS!$N176)</f>
        <v/>
      </c>
      <c r="H926" s="26" t="str">
        <f aca="false">IF($G926="","",IFERROR(INDEX(LOT_EXTE,MATCH($G926,LOT_KEY,0)),""))</f>
        <v/>
      </c>
      <c r="I926" s="26" t="str">
        <f aca="false">IF($M926=0,"",ST_RESULTATS!$J176)</f>
        <v/>
      </c>
      <c r="J926" s="26" t="str">
        <f aca="false">IF($I926="","",IFERROR(INDEX(EMPL_CLASSE,MATCH($I926,EMPL_KEY,0)),""))</f>
        <v/>
      </c>
      <c r="K926" s="26" t="str">
        <f aca="false">IF($M926=0,"",IFERROR(INDEX(LOT_PRODE,MATCH($G926,LOT_KEY,0)),""))</f>
        <v/>
      </c>
      <c r="L926" s="26" t="str">
        <f aca="false">IF($G926="","",IF(IFERROR(INDEX(LOT_ETAT,MATCH($G926,LOT_KEY,0)),"")="","",INDEX(LOT_ETAT,MATCH($G926,LOT_KEY,0))))</f>
        <v/>
      </c>
      <c r="M926" s="73" t="n">
        <f aca="false">IF(ST_RESULTATS!$Q176=0,0,ST_RESULTATS!$F176)</f>
        <v>0</v>
      </c>
      <c r="N926" s="73" t="n">
        <f aca="false">IF($M926=0,0,ST_RESULTATS!$U176*$M926)</f>
        <v>0</v>
      </c>
      <c r="O926" s="26" t="str">
        <f aca="false">IF($M926=0,"",ST_RESULTATS!$T176)</f>
        <v/>
      </c>
      <c r="P926" s="26" t="str">
        <f aca="false">IF($G926="","",IF($G926=R_LOT,COUNTIF($G$5:$G926,R_LOT),""))</f>
        <v/>
      </c>
    </row>
    <row r="927" customFormat="false" ht="15" hidden="false" customHeight="false" outlineLevel="0" collapsed="false">
      <c r="A927" s="28" t="str">
        <f aca="false">IF($M927=0,"",ROW()-4)</f>
        <v/>
      </c>
      <c r="B927" s="26" t="str">
        <f aca="false">IF($M927=0,"","RESULTAT ST")</f>
        <v/>
      </c>
      <c r="C927" s="26" t="str">
        <f aca="false">IF($M927=0,"",ST_RESULTATS!$A177)</f>
        <v/>
      </c>
      <c r="D927" s="31" t="str">
        <f aca="false">IF($M927=0,"",ST_RESULTATS!$W177)</f>
        <v/>
      </c>
      <c r="E927" s="26" t="str">
        <f aca="false">IF($M927=0,"","ENTREE")</f>
        <v/>
      </c>
      <c r="F927" s="26" t="str">
        <f aca="false">IF($M927=0,"","RETOUR SOUS-TRAITANCE")</f>
        <v/>
      </c>
      <c r="G927" s="26" t="str">
        <f aca="false">IF($M927=0,"",ST_RESULTATS!$N177)</f>
        <v/>
      </c>
      <c r="H927" s="26" t="str">
        <f aca="false">IF($G927="","",IFERROR(INDEX(LOT_EXTE,MATCH($G927,LOT_KEY,0)),""))</f>
        <v/>
      </c>
      <c r="I927" s="26" t="str">
        <f aca="false">IF($M927=0,"",ST_RESULTATS!$J177)</f>
        <v/>
      </c>
      <c r="J927" s="26" t="str">
        <f aca="false">IF($I927="","",IFERROR(INDEX(EMPL_CLASSE,MATCH($I927,EMPL_KEY,0)),""))</f>
        <v/>
      </c>
      <c r="K927" s="26" t="str">
        <f aca="false">IF($M927=0,"",IFERROR(INDEX(LOT_PRODE,MATCH($G927,LOT_KEY,0)),""))</f>
        <v/>
      </c>
      <c r="L927" s="26" t="str">
        <f aca="false">IF($G927="","",IF(IFERROR(INDEX(LOT_ETAT,MATCH($G927,LOT_KEY,0)),"")="","",INDEX(LOT_ETAT,MATCH($G927,LOT_KEY,0))))</f>
        <v/>
      </c>
      <c r="M927" s="73" t="n">
        <f aca="false">IF(ST_RESULTATS!$Q177=0,0,ST_RESULTATS!$F177)</f>
        <v>0</v>
      </c>
      <c r="N927" s="73" t="n">
        <f aca="false">IF($M927=0,0,ST_RESULTATS!$U177*$M927)</f>
        <v>0</v>
      </c>
      <c r="O927" s="26" t="str">
        <f aca="false">IF($M927=0,"",ST_RESULTATS!$T177)</f>
        <v/>
      </c>
      <c r="P927" s="26" t="str">
        <f aca="false">IF($G927="","",IF($G927=R_LOT,COUNTIF($G$5:$G927,R_LOT),""))</f>
        <v/>
      </c>
    </row>
    <row r="928" customFormat="false" ht="15" hidden="false" customHeight="false" outlineLevel="0" collapsed="false">
      <c r="A928" s="28" t="str">
        <f aca="false">IF($M928=0,"",ROW()-4)</f>
        <v/>
      </c>
      <c r="B928" s="26" t="str">
        <f aca="false">IF($M928=0,"","RESULTAT ST")</f>
        <v/>
      </c>
      <c r="C928" s="26" t="str">
        <f aca="false">IF($M928=0,"",ST_RESULTATS!$A178)</f>
        <v/>
      </c>
      <c r="D928" s="31" t="str">
        <f aca="false">IF($M928=0,"",ST_RESULTATS!$W178)</f>
        <v/>
      </c>
      <c r="E928" s="26" t="str">
        <f aca="false">IF($M928=0,"","ENTREE")</f>
        <v/>
      </c>
      <c r="F928" s="26" t="str">
        <f aca="false">IF($M928=0,"","RETOUR SOUS-TRAITANCE")</f>
        <v/>
      </c>
      <c r="G928" s="26" t="str">
        <f aca="false">IF($M928=0,"",ST_RESULTATS!$N178)</f>
        <v/>
      </c>
      <c r="H928" s="26" t="str">
        <f aca="false">IF($G928="","",IFERROR(INDEX(LOT_EXTE,MATCH($G928,LOT_KEY,0)),""))</f>
        <v/>
      </c>
      <c r="I928" s="26" t="str">
        <f aca="false">IF($M928=0,"",ST_RESULTATS!$J178)</f>
        <v/>
      </c>
      <c r="J928" s="26" t="str">
        <f aca="false">IF($I928="","",IFERROR(INDEX(EMPL_CLASSE,MATCH($I928,EMPL_KEY,0)),""))</f>
        <v/>
      </c>
      <c r="K928" s="26" t="str">
        <f aca="false">IF($M928=0,"",IFERROR(INDEX(LOT_PRODE,MATCH($G928,LOT_KEY,0)),""))</f>
        <v/>
      </c>
      <c r="L928" s="26" t="str">
        <f aca="false">IF($G928="","",IF(IFERROR(INDEX(LOT_ETAT,MATCH($G928,LOT_KEY,0)),"")="","",INDEX(LOT_ETAT,MATCH($G928,LOT_KEY,0))))</f>
        <v/>
      </c>
      <c r="M928" s="73" t="n">
        <f aca="false">IF(ST_RESULTATS!$Q178=0,0,ST_RESULTATS!$F178)</f>
        <v>0</v>
      </c>
      <c r="N928" s="73" t="n">
        <f aca="false">IF($M928=0,0,ST_RESULTATS!$U178*$M928)</f>
        <v>0</v>
      </c>
      <c r="O928" s="26" t="str">
        <f aca="false">IF($M928=0,"",ST_RESULTATS!$T178)</f>
        <v/>
      </c>
      <c r="P928" s="26" t="str">
        <f aca="false">IF($G928="","",IF($G928=R_LOT,COUNTIF($G$5:$G928,R_LOT),""))</f>
        <v/>
      </c>
    </row>
    <row r="929" customFormat="false" ht="15" hidden="false" customHeight="false" outlineLevel="0" collapsed="false">
      <c r="A929" s="28" t="str">
        <f aca="false">IF($M929=0,"",ROW()-4)</f>
        <v/>
      </c>
      <c r="B929" s="26" t="str">
        <f aca="false">IF($M929=0,"","RESULTAT ST")</f>
        <v/>
      </c>
      <c r="C929" s="26" t="str">
        <f aca="false">IF($M929=0,"",ST_RESULTATS!$A179)</f>
        <v/>
      </c>
      <c r="D929" s="31" t="str">
        <f aca="false">IF($M929=0,"",ST_RESULTATS!$W179)</f>
        <v/>
      </c>
      <c r="E929" s="26" t="str">
        <f aca="false">IF($M929=0,"","ENTREE")</f>
        <v/>
      </c>
      <c r="F929" s="26" t="str">
        <f aca="false">IF($M929=0,"","RETOUR SOUS-TRAITANCE")</f>
        <v/>
      </c>
      <c r="G929" s="26" t="str">
        <f aca="false">IF($M929=0,"",ST_RESULTATS!$N179)</f>
        <v/>
      </c>
      <c r="H929" s="26" t="str">
        <f aca="false">IF($G929="","",IFERROR(INDEX(LOT_EXTE,MATCH($G929,LOT_KEY,0)),""))</f>
        <v/>
      </c>
      <c r="I929" s="26" t="str">
        <f aca="false">IF($M929=0,"",ST_RESULTATS!$J179)</f>
        <v/>
      </c>
      <c r="J929" s="26" t="str">
        <f aca="false">IF($I929="","",IFERROR(INDEX(EMPL_CLASSE,MATCH($I929,EMPL_KEY,0)),""))</f>
        <v/>
      </c>
      <c r="K929" s="26" t="str">
        <f aca="false">IF($M929=0,"",IFERROR(INDEX(LOT_PRODE,MATCH($G929,LOT_KEY,0)),""))</f>
        <v/>
      </c>
      <c r="L929" s="26" t="str">
        <f aca="false">IF($G929="","",IF(IFERROR(INDEX(LOT_ETAT,MATCH($G929,LOT_KEY,0)),"")="","",INDEX(LOT_ETAT,MATCH($G929,LOT_KEY,0))))</f>
        <v/>
      </c>
      <c r="M929" s="73" t="n">
        <f aca="false">IF(ST_RESULTATS!$Q179=0,0,ST_RESULTATS!$F179)</f>
        <v>0</v>
      </c>
      <c r="N929" s="73" t="n">
        <f aca="false">IF($M929=0,0,ST_RESULTATS!$U179*$M929)</f>
        <v>0</v>
      </c>
      <c r="O929" s="26" t="str">
        <f aca="false">IF($M929=0,"",ST_RESULTATS!$T179)</f>
        <v/>
      </c>
      <c r="P929" s="26" t="str">
        <f aca="false">IF($G929="","",IF($G929=R_LOT,COUNTIF($G$5:$G929,R_LOT),""))</f>
        <v/>
      </c>
    </row>
    <row r="930" customFormat="false" ht="15" hidden="false" customHeight="false" outlineLevel="0" collapsed="false">
      <c r="A930" s="28" t="str">
        <f aca="false">IF($M930=0,"",ROW()-4)</f>
        <v/>
      </c>
      <c r="B930" s="26" t="str">
        <f aca="false">IF($M930=0,"","RESULTAT ST")</f>
        <v/>
      </c>
      <c r="C930" s="26" t="str">
        <f aca="false">IF($M930=0,"",ST_RESULTATS!$A180)</f>
        <v/>
      </c>
      <c r="D930" s="31" t="str">
        <f aca="false">IF($M930=0,"",ST_RESULTATS!$W180)</f>
        <v/>
      </c>
      <c r="E930" s="26" t="str">
        <f aca="false">IF($M930=0,"","ENTREE")</f>
        <v/>
      </c>
      <c r="F930" s="26" t="str">
        <f aca="false">IF($M930=0,"","RETOUR SOUS-TRAITANCE")</f>
        <v/>
      </c>
      <c r="G930" s="26" t="str">
        <f aca="false">IF($M930=0,"",ST_RESULTATS!$N180)</f>
        <v/>
      </c>
      <c r="H930" s="26" t="str">
        <f aca="false">IF($G930="","",IFERROR(INDEX(LOT_EXTE,MATCH($G930,LOT_KEY,0)),""))</f>
        <v/>
      </c>
      <c r="I930" s="26" t="str">
        <f aca="false">IF($M930=0,"",ST_RESULTATS!$J180)</f>
        <v/>
      </c>
      <c r="J930" s="26" t="str">
        <f aca="false">IF($I930="","",IFERROR(INDEX(EMPL_CLASSE,MATCH($I930,EMPL_KEY,0)),""))</f>
        <v/>
      </c>
      <c r="K930" s="26" t="str">
        <f aca="false">IF($M930=0,"",IFERROR(INDEX(LOT_PRODE,MATCH($G930,LOT_KEY,0)),""))</f>
        <v/>
      </c>
      <c r="L930" s="26" t="str">
        <f aca="false">IF($G930="","",IF(IFERROR(INDEX(LOT_ETAT,MATCH($G930,LOT_KEY,0)),"")="","",INDEX(LOT_ETAT,MATCH($G930,LOT_KEY,0))))</f>
        <v/>
      </c>
      <c r="M930" s="73" t="n">
        <f aca="false">IF(ST_RESULTATS!$Q180=0,0,ST_RESULTATS!$F180)</f>
        <v>0</v>
      </c>
      <c r="N930" s="73" t="n">
        <f aca="false">IF($M930=0,0,ST_RESULTATS!$U180*$M930)</f>
        <v>0</v>
      </c>
      <c r="O930" s="26" t="str">
        <f aca="false">IF($M930=0,"",ST_RESULTATS!$T180)</f>
        <v/>
      </c>
      <c r="P930" s="26" t="str">
        <f aca="false">IF($G930="","",IF($G930=R_LOT,COUNTIF($G$5:$G930,R_LOT),""))</f>
        <v/>
      </c>
    </row>
    <row r="931" customFormat="false" ht="15" hidden="false" customHeight="false" outlineLevel="0" collapsed="false">
      <c r="A931" s="28" t="str">
        <f aca="false">IF($M931=0,"",ROW()-4)</f>
        <v/>
      </c>
      <c r="B931" s="26" t="str">
        <f aca="false">IF($M931=0,"","RESULTAT ST")</f>
        <v/>
      </c>
      <c r="C931" s="26" t="str">
        <f aca="false">IF($M931=0,"",ST_RESULTATS!$A181)</f>
        <v/>
      </c>
      <c r="D931" s="31" t="str">
        <f aca="false">IF($M931=0,"",ST_RESULTATS!$W181)</f>
        <v/>
      </c>
      <c r="E931" s="26" t="str">
        <f aca="false">IF($M931=0,"","ENTREE")</f>
        <v/>
      </c>
      <c r="F931" s="26" t="str">
        <f aca="false">IF($M931=0,"","RETOUR SOUS-TRAITANCE")</f>
        <v/>
      </c>
      <c r="G931" s="26" t="str">
        <f aca="false">IF($M931=0,"",ST_RESULTATS!$N181)</f>
        <v/>
      </c>
      <c r="H931" s="26" t="str">
        <f aca="false">IF($G931="","",IFERROR(INDEX(LOT_EXTE,MATCH($G931,LOT_KEY,0)),""))</f>
        <v/>
      </c>
      <c r="I931" s="26" t="str">
        <f aca="false">IF($M931=0,"",ST_RESULTATS!$J181)</f>
        <v/>
      </c>
      <c r="J931" s="26" t="str">
        <f aca="false">IF($I931="","",IFERROR(INDEX(EMPL_CLASSE,MATCH($I931,EMPL_KEY,0)),""))</f>
        <v/>
      </c>
      <c r="K931" s="26" t="str">
        <f aca="false">IF($M931=0,"",IFERROR(INDEX(LOT_PRODE,MATCH($G931,LOT_KEY,0)),""))</f>
        <v/>
      </c>
      <c r="L931" s="26" t="str">
        <f aca="false">IF($G931="","",IF(IFERROR(INDEX(LOT_ETAT,MATCH($G931,LOT_KEY,0)),"")="","",INDEX(LOT_ETAT,MATCH($G931,LOT_KEY,0))))</f>
        <v/>
      </c>
      <c r="M931" s="73" t="n">
        <f aca="false">IF(ST_RESULTATS!$Q181=0,0,ST_RESULTATS!$F181)</f>
        <v>0</v>
      </c>
      <c r="N931" s="73" t="n">
        <f aca="false">IF($M931=0,0,ST_RESULTATS!$U181*$M931)</f>
        <v>0</v>
      </c>
      <c r="O931" s="26" t="str">
        <f aca="false">IF($M931=0,"",ST_RESULTATS!$T181)</f>
        <v/>
      </c>
      <c r="P931" s="26" t="str">
        <f aca="false">IF($G931="","",IF($G931=R_LOT,COUNTIF($G$5:$G931,R_LOT),""))</f>
        <v/>
      </c>
    </row>
    <row r="932" customFormat="false" ht="15" hidden="false" customHeight="false" outlineLevel="0" collapsed="false">
      <c r="A932" s="28" t="str">
        <f aca="false">IF($M932=0,"",ROW()-4)</f>
        <v/>
      </c>
      <c r="B932" s="26" t="str">
        <f aca="false">IF($M932=0,"","RESULTAT ST")</f>
        <v/>
      </c>
      <c r="C932" s="26" t="str">
        <f aca="false">IF($M932=0,"",ST_RESULTATS!$A182)</f>
        <v/>
      </c>
      <c r="D932" s="31" t="str">
        <f aca="false">IF($M932=0,"",ST_RESULTATS!$W182)</f>
        <v/>
      </c>
      <c r="E932" s="26" t="str">
        <f aca="false">IF($M932=0,"","ENTREE")</f>
        <v/>
      </c>
      <c r="F932" s="26" t="str">
        <f aca="false">IF($M932=0,"","RETOUR SOUS-TRAITANCE")</f>
        <v/>
      </c>
      <c r="G932" s="26" t="str">
        <f aca="false">IF($M932=0,"",ST_RESULTATS!$N182)</f>
        <v/>
      </c>
      <c r="H932" s="26" t="str">
        <f aca="false">IF($G932="","",IFERROR(INDEX(LOT_EXTE,MATCH($G932,LOT_KEY,0)),""))</f>
        <v/>
      </c>
      <c r="I932" s="26" t="str">
        <f aca="false">IF($M932=0,"",ST_RESULTATS!$J182)</f>
        <v/>
      </c>
      <c r="J932" s="26" t="str">
        <f aca="false">IF($I932="","",IFERROR(INDEX(EMPL_CLASSE,MATCH($I932,EMPL_KEY,0)),""))</f>
        <v/>
      </c>
      <c r="K932" s="26" t="str">
        <f aca="false">IF($M932=0,"",IFERROR(INDEX(LOT_PRODE,MATCH($G932,LOT_KEY,0)),""))</f>
        <v/>
      </c>
      <c r="L932" s="26" t="str">
        <f aca="false">IF($G932="","",IF(IFERROR(INDEX(LOT_ETAT,MATCH($G932,LOT_KEY,0)),"")="","",INDEX(LOT_ETAT,MATCH($G932,LOT_KEY,0))))</f>
        <v/>
      </c>
      <c r="M932" s="73" t="n">
        <f aca="false">IF(ST_RESULTATS!$Q182=0,0,ST_RESULTATS!$F182)</f>
        <v>0</v>
      </c>
      <c r="N932" s="73" t="n">
        <f aca="false">IF($M932=0,0,ST_RESULTATS!$U182*$M932)</f>
        <v>0</v>
      </c>
      <c r="O932" s="26" t="str">
        <f aca="false">IF($M932=0,"",ST_RESULTATS!$T182)</f>
        <v/>
      </c>
      <c r="P932" s="26" t="str">
        <f aca="false">IF($G932="","",IF($G932=R_LOT,COUNTIF($G$5:$G932,R_LOT),""))</f>
        <v/>
      </c>
    </row>
    <row r="933" customFormat="false" ht="15" hidden="false" customHeight="false" outlineLevel="0" collapsed="false">
      <c r="A933" s="28" t="str">
        <f aca="false">IF($M933=0,"",ROW()-4)</f>
        <v/>
      </c>
      <c r="B933" s="26" t="str">
        <f aca="false">IF($M933=0,"","RESULTAT ST")</f>
        <v/>
      </c>
      <c r="C933" s="26" t="str">
        <f aca="false">IF($M933=0,"",ST_RESULTATS!$A183)</f>
        <v/>
      </c>
      <c r="D933" s="31" t="str">
        <f aca="false">IF($M933=0,"",ST_RESULTATS!$W183)</f>
        <v/>
      </c>
      <c r="E933" s="26" t="str">
        <f aca="false">IF($M933=0,"","ENTREE")</f>
        <v/>
      </c>
      <c r="F933" s="26" t="str">
        <f aca="false">IF($M933=0,"","RETOUR SOUS-TRAITANCE")</f>
        <v/>
      </c>
      <c r="G933" s="26" t="str">
        <f aca="false">IF($M933=0,"",ST_RESULTATS!$N183)</f>
        <v/>
      </c>
      <c r="H933" s="26" t="str">
        <f aca="false">IF($G933="","",IFERROR(INDEX(LOT_EXTE,MATCH($G933,LOT_KEY,0)),""))</f>
        <v/>
      </c>
      <c r="I933" s="26" t="str">
        <f aca="false">IF($M933=0,"",ST_RESULTATS!$J183)</f>
        <v/>
      </c>
      <c r="J933" s="26" t="str">
        <f aca="false">IF($I933="","",IFERROR(INDEX(EMPL_CLASSE,MATCH($I933,EMPL_KEY,0)),""))</f>
        <v/>
      </c>
      <c r="K933" s="26" t="str">
        <f aca="false">IF($M933=0,"",IFERROR(INDEX(LOT_PRODE,MATCH($G933,LOT_KEY,0)),""))</f>
        <v/>
      </c>
      <c r="L933" s="26" t="str">
        <f aca="false">IF($G933="","",IF(IFERROR(INDEX(LOT_ETAT,MATCH($G933,LOT_KEY,0)),"")="","",INDEX(LOT_ETAT,MATCH($G933,LOT_KEY,0))))</f>
        <v/>
      </c>
      <c r="M933" s="73" t="n">
        <f aca="false">IF(ST_RESULTATS!$Q183=0,0,ST_RESULTATS!$F183)</f>
        <v>0</v>
      </c>
      <c r="N933" s="73" t="n">
        <f aca="false">IF($M933=0,0,ST_RESULTATS!$U183*$M933)</f>
        <v>0</v>
      </c>
      <c r="O933" s="26" t="str">
        <f aca="false">IF($M933=0,"",ST_RESULTATS!$T183)</f>
        <v/>
      </c>
      <c r="P933" s="26" t="str">
        <f aca="false">IF($G933="","",IF($G933=R_LOT,COUNTIF($G$5:$G933,R_LOT),""))</f>
        <v/>
      </c>
    </row>
    <row r="934" customFormat="false" ht="15" hidden="false" customHeight="false" outlineLevel="0" collapsed="false">
      <c r="A934" s="28" t="str">
        <f aca="false">IF($M934=0,"",ROW()-4)</f>
        <v/>
      </c>
      <c r="B934" s="26" t="str">
        <f aca="false">IF($M934=0,"","RESULTAT ST")</f>
        <v/>
      </c>
      <c r="C934" s="26" t="str">
        <f aca="false">IF($M934=0,"",ST_RESULTATS!$A184)</f>
        <v/>
      </c>
      <c r="D934" s="31" t="str">
        <f aca="false">IF($M934=0,"",ST_RESULTATS!$W184)</f>
        <v/>
      </c>
      <c r="E934" s="26" t="str">
        <f aca="false">IF($M934=0,"","ENTREE")</f>
        <v/>
      </c>
      <c r="F934" s="26" t="str">
        <f aca="false">IF($M934=0,"","RETOUR SOUS-TRAITANCE")</f>
        <v/>
      </c>
      <c r="G934" s="26" t="str">
        <f aca="false">IF($M934=0,"",ST_RESULTATS!$N184)</f>
        <v/>
      </c>
      <c r="H934" s="26" t="str">
        <f aca="false">IF($G934="","",IFERROR(INDEX(LOT_EXTE,MATCH($G934,LOT_KEY,0)),""))</f>
        <v/>
      </c>
      <c r="I934" s="26" t="str">
        <f aca="false">IF($M934=0,"",ST_RESULTATS!$J184)</f>
        <v/>
      </c>
      <c r="J934" s="26" t="str">
        <f aca="false">IF($I934="","",IFERROR(INDEX(EMPL_CLASSE,MATCH($I934,EMPL_KEY,0)),""))</f>
        <v/>
      </c>
      <c r="K934" s="26" t="str">
        <f aca="false">IF($M934=0,"",IFERROR(INDEX(LOT_PRODE,MATCH($G934,LOT_KEY,0)),""))</f>
        <v/>
      </c>
      <c r="L934" s="26" t="str">
        <f aca="false">IF($G934="","",IF(IFERROR(INDEX(LOT_ETAT,MATCH($G934,LOT_KEY,0)),"")="","",INDEX(LOT_ETAT,MATCH($G934,LOT_KEY,0))))</f>
        <v/>
      </c>
      <c r="M934" s="73" t="n">
        <f aca="false">IF(ST_RESULTATS!$Q184=0,0,ST_RESULTATS!$F184)</f>
        <v>0</v>
      </c>
      <c r="N934" s="73" t="n">
        <f aca="false">IF($M934=0,0,ST_RESULTATS!$U184*$M934)</f>
        <v>0</v>
      </c>
      <c r="O934" s="26" t="str">
        <f aca="false">IF($M934=0,"",ST_RESULTATS!$T184)</f>
        <v/>
      </c>
      <c r="P934" s="26" t="str">
        <f aca="false">IF($G934="","",IF($G934=R_LOT,COUNTIF($G$5:$G934,R_LOT),""))</f>
        <v/>
      </c>
    </row>
    <row r="935" customFormat="false" ht="15" hidden="false" customHeight="false" outlineLevel="0" collapsed="false">
      <c r="A935" s="28" t="str">
        <f aca="false">IF($M935=0,"",ROW()-4)</f>
        <v/>
      </c>
      <c r="B935" s="26" t="str">
        <f aca="false">IF($M935=0,"","RESULTAT ST")</f>
        <v/>
      </c>
      <c r="C935" s="26" t="str">
        <f aca="false">IF($M935=0,"",ST_RESULTATS!$A185)</f>
        <v/>
      </c>
      <c r="D935" s="31" t="str">
        <f aca="false">IF($M935=0,"",ST_RESULTATS!$W185)</f>
        <v/>
      </c>
      <c r="E935" s="26" t="str">
        <f aca="false">IF($M935=0,"","ENTREE")</f>
        <v/>
      </c>
      <c r="F935" s="26" t="str">
        <f aca="false">IF($M935=0,"","RETOUR SOUS-TRAITANCE")</f>
        <v/>
      </c>
      <c r="G935" s="26" t="str">
        <f aca="false">IF($M935=0,"",ST_RESULTATS!$N185)</f>
        <v/>
      </c>
      <c r="H935" s="26" t="str">
        <f aca="false">IF($G935="","",IFERROR(INDEX(LOT_EXTE,MATCH($G935,LOT_KEY,0)),""))</f>
        <v/>
      </c>
      <c r="I935" s="26" t="str">
        <f aca="false">IF($M935=0,"",ST_RESULTATS!$J185)</f>
        <v/>
      </c>
      <c r="J935" s="26" t="str">
        <f aca="false">IF($I935="","",IFERROR(INDEX(EMPL_CLASSE,MATCH($I935,EMPL_KEY,0)),""))</f>
        <v/>
      </c>
      <c r="K935" s="26" t="str">
        <f aca="false">IF($M935=0,"",IFERROR(INDEX(LOT_PRODE,MATCH($G935,LOT_KEY,0)),""))</f>
        <v/>
      </c>
      <c r="L935" s="26" t="str">
        <f aca="false">IF($G935="","",IF(IFERROR(INDEX(LOT_ETAT,MATCH($G935,LOT_KEY,0)),"")="","",INDEX(LOT_ETAT,MATCH($G935,LOT_KEY,0))))</f>
        <v/>
      </c>
      <c r="M935" s="73" t="n">
        <f aca="false">IF(ST_RESULTATS!$Q185=0,0,ST_RESULTATS!$F185)</f>
        <v>0</v>
      </c>
      <c r="N935" s="73" t="n">
        <f aca="false">IF($M935=0,0,ST_RESULTATS!$U185*$M935)</f>
        <v>0</v>
      </c>
      <c r="O935" s="26" t="str">
        <f aca="false">IF($M935=0,"",ST_RESULTATS!$T185)</f>
        <v/>
      </c>
      <c r="P935" s="26" t="str">
        <f aca="false">IF($G935="","",IF($G935=R_LOT,COUNTIF($G$5:$G935,R_LOT),""))</f>
        <v/>
      </c>
    </row>
    <row r="936" customFormat="false" ht="15" hidden="false" customHeight="false" outlineLevel="0" collapsed="false">
      <c r="A936" s="28" t="str">
        <f aca="false">IF($M936=0,"",ROW()-4)</f>
        <v/>
      </c>
      <c r="B936" s="26" t="str">
        <f aca="false">IF($M936=0,"","RESULTAT ST")</f>
        <v/>
      </c>
      <c r="C936" s="26" t="str">
        <f aca="false">IF($M936=0,"",ST_RESULTATS!$A186)</f>
        <v/>
      </c>
      <c r="D936" s="31" t="str">
        <f aca="false">IF($M936=0,"",ST_RESULTATS!$W186)</f>
        <v/>
      </c>
      <c r="E936" s="26" t="str">
        <f aca="false">IF($M936=0,"","ENTREE")</f>
        <v/>
      </c>
      <c r="F936" s="26" t="str">
        <f aca="false">IF($M936=0,"","RETOUR SOUS-TRAITANCE")</f>
        <v/>
      </c>
      <c r="G936" s="26" t="str">
        <f aca="false">IF($M936=0,"",ST_RESULTATS!$N186)</f>
        <v/>
      </c>
      <c r="H936" s="26" t="str">
        <f aca="false">IF($G936="","",IFERROR(INDEX(LOT_EXTE,MATCH($G936,LOT_KEY,0)),""))</f>
        <v/>
      </c>
      <c r="I936" s="26" t="str">
        <f aca="false">IF($M936=0,"",ST_RESULTATS!$J186)</f>
        <v/>
      </c>
      <c r="J936" s="26" t="str">
        <f aca="false">IF($I936="","",IFERROR(INDEX(EMPL_CLASSE,MATCH($I936,EMPL_KEY,0)),""))</f>
        <v/>
      </c>
      <c r="K936" s="26" t="str">
        <f aca="false">IF($M936=0,"",IFERROR(INDEX(LOT_PRODE,MATCH($G936,LOT_KEY,0)),""))</f>
        <v/>
      </c>
      <c r="L936" s="26" t="str">
        <f aca="false">IF($G936="","",IF(IFERROR(INDEX(LOT_ETAT,MATCH($G936,LOT_KEY,0)),"")="","",INDEX(LOT_ETAT,MATCH($G936,LOT_KEY,0))))</f>
        <v/>
      </c>
      <c r="M936" s="73" t="n">
        <f aca="false">IF(ST_RESULTATS!$Q186=0,0,ST_RESULTATS!$F186)</f>
        <v>0</v>
      </c>
      <c r="N936" s="73" t="n">
        <f aca="false">IF($M936=0,0,ST_RESULTATS!$U186*$M936)</f>
        <v>0</v>
      </c>
      <c r="O936" s="26" t="str">
        <f aca="false">IF($M936=0,"",ST_RESULTATS!$T186)</f>
        <v/>
      </c>
      <c r="P936" s="26" t="str">
        <f aca="false">IF($G936="","",IF($G936=R_LOT,COUNTIF($G$5:$G936,R_LOT),""))</f>
        <v/>
      </c>
    </row>
    <row r="937" customFormat="false" ht="15" hidden="false" customHeight="false" outlineLevel="0" collapsed="false">
      <c r="A937" s="28" t="str">
        <f aca="false">IF($M937=0,"",ROW()-4)</f>
        <v/>
      </c>
      <c r="B937" s="26" t="str">
        <f aca="false">IF($M937=0,"","RESULTAT ST")</f>
        <v/>
      </c>
      <c r="C937" s="26" t="str">
        <f aca="false">IF($M937=0,"",ST_RESULTATS!$A187)</f>
        <v/>
      </c>
      <c r="D937" s="31" t="str">
        <f aca="false">IF($M937=0,"",ST_RESULTATS!$W187)</f>
        <v/>
      </c>
      <c r="E937" s="26" t="str">
        <f aca="false">IF($M937=0,"","ENTREE")</f>
        <v/>
      </c>
      <c r="F937" s="26" t="str">
        <f aca="false">IF($M937=0,"","RETOUR SOUS-TRAITANCE")</f>
        <v/>
      </c>
      <c r="G937" s="26" t="str">
        <f aca="false">IF($M937=0,"",ST_RESULTATS!$N187)</f>
        <v/>
      </c>
      <c r="H937" s="26" t="str">
        <f aca="false">IF($G937="","",IFERROR(INDEX(LOT_EXTE,MATCH($G937,LOT_KEY,0)),""))</f>
        <v/>
      </c>
      <c r="I937" s="26" t="str">
        <f aca="false">IF($M937=0,"",ST_RESULTATS!$J187)</f>
        <v/>
      </c>
      <c r="J937" s="26" t="str">
        <f aca="false">IF($I937="","",IFERROR(INDEX(EMPL_CLASSE,MATCH($I937,EMPL_KEY,0)),""))</f>
        <v/>
      </c>
      <c r="K937" s="26" t="str">
        <f aca="false">IF($M937=0,"",IFERROR(INDEX(LOT_PRODE,MATCH($G937,LOT_KEY,0)),""))</f>
        <v/>
      </c>
      <c r="L937" s="26" t="str">
        <f aca="false">IF($G937="","",IF(IFERROR(INDEX(LOT_ETAT,MATCH($G937,LOT_KEY,0)),"")="","",INDEX(LOT_ETAT,MATCH($G937,LOT_KEY,0))))</f>
        <v/>
      </c>
      <c r="M937" s="73" t="n">
        <f aca="false">IF(ST_RESULTATS!$Q187=0,0,ST_RESULTATS!$F187)</f>
        <v>0</v>
      </c>
      <c r="N937" s="73" t="n">
        <f aca="false">IF($M937=0,0,ST_RESULTATS!$U187*$M937)</f>
        <v>0</v>
      </c>
      <c r="O937" s="26" t="str">
        <f aca="false">IF($M937=0,"",ST_RESULTATS!$T187)</f>
        <v/>
      </c>
      <c r="P937" s="26" t="str">
        <f aca="false">IF($G937="","",IF($G937=R_LOT,COUNTIF($G$5:$G937,R_LOT),""))</f>
        <v/>
      </c>
    </row>
    <row r="938" customFormat="false" ht="15" hidden="false" customHeight="false" outlineLevel="0" collapsed="false">
      <c r="A938" s="28" t="str">
        <f aca="false">IF($M938=0,"",ROW()-4)</f>
        <v/>
      </c>
      <c r="B938" s="26" t="str">
        <f aca="false">IF($M938=0,"","RESULTAT ST")</f>
        <v/>
      </c>
      <c r="C938" s="26" t="str">
        <f aca="false">IF($M938=0,"",ST_RESULTATS!$A188)</f>
        <v/>
      </c>
      <c r="D938" s="31" t="str">
        <f aca="false">IF($M938=0,"",ST_RESULTATS!$W188)</f>
        <v/>
      </c>
      <c r="E938" s="26" t="str">
        <f aca="false">IF($M938=0,"","ENTREE")</f>
        <v/>
      </c>
      <c r="F938" s="26" t="str">
        <f aca="false">IF($M938=0,"","RETOUR SOUS-TRAITANCE")</f>
        <v/>
      </c>
      <c r="G938" s="26" t="str">
        <f aca="false">IF($M938=0,"",ST_RESULTATS!$N188)</f>
        <v/>
      </c>
      <c r="H938" s="26" t="str">
        <f aca="false">IF($G938="","",IFERROR(INDEX(LOT_EXTE,MATCH($G938,LOT_KEY,0)),""))</f>
        <v/>
      </c>
      <c r="I938" s="26" t="str">
        <f aca="false">IF($M938=0,"",ST_RESULTATS!$J188)</f>
        <v/>
      </c>
      <c r="J938" s="26" t="str">
        <f aca="false">IF($I938="","",IFERROR(INDEX(EMPL_CLASSE,MATCH($I938,EMPL_KEY,0)),""))</f>
        <v/>
      </c>
      <c r="K938" s="26" t="str">
        <f aca="false">IF($M938=0,"",IFERROR(INDEX(LOT_PRODE,MATCH($G938,LOT_KEY,0)),""))</f>
        <v/>
      </c>
      <c r="L938" s="26" t="str">
        <f aca="false">IF($G938="","",IF(IFERROR(INDEX(LOT_ETAT,MATCH($G938,LOT_KEY,0)),"")="","",INDEX(LOT_ETAT,MATCH($G938,LOT_KEY,0))))</f>
        <v/>
      </c>
      <c r="M938" s="73" t="n">
        <f aca="false">IF(ST_RESULTATS!$Q188=0,0,ST_RESULTATS!$F188)</f>
        <v>0</v>
      </c>
      <c r="N938" s="73" t="n">
        <f aca="false">IF($M938=0,0,ST_RESULTATS!$U188*$M938)</f>
        <v>0</v>
      </c>
      <c r="O938" s="26" t="str">
        <f aca="false">IF($M938=0,"",ST_RESULTATS!$T188)</f>
        <v/>
      </c>
      <c r="P938" s="26" t="str">
        <f aca="false">IF($G938="","",IF($G938=R_LOT,COUNTIF($G$5:$G938,R_LOT),""))</f>
        <v/>
      </c>
    </row>
    <row r="939" customFormat="false" ht="15" hidden="false" customHeight="false" outlineLevel="0" collapsed="false">
      <c r="A939" s="28" t="str">
        <f aca="false">IF($M939=0,"",ROW()-4)</f>
        <v/>
      </c>
      <c r="B939" s="26" t="str">
        <f aca="false">IF($M939=0,"","RESULTAT ST")</f>
        <v/>
      </c>
      <c r="C939" s="26" t="str">
        <f aca="false">IF($M939=0,"",ST_RESULTATS!$A189)</f>
        <v/>
      </c>
      <c r="D939" s="31" t="str">
        <f aca="false">IF($M939=0,"",ST_RESULTATS!$W189)</f>
        <v/>
      </c>
      <c r="E939" s="26" t="str">
        <f aca="false">IF($M939=0,"","ENTREE")</f>
        <v/>
      </c>
      <c r="F939" s="26" t="str">
        <f aca="false">IF($M939=0,"","RETOUR SOUS-TRAITANCE")</f>
        <v/>
      </c>
      <c r="G939" s="26" t="str">
        <f aca="false">IF($M939=0,"",ST_RESULTATS!$N189)</f>
        <v/>
      </c>
      <c r="H939" s="26" t="str">
        <f aca="false">IF($G939="","",IFERROR(INDEX(LOT_EXTE,MATCH($G939,LOT_KEY,0)),""))</f>
        <v/>
      </c>
      <c r="I939" s="26" t="str">
        <f aca="false">IF($M939=0,"",ST_RESULTATS!$J189)</f>
        <v/>
      </c>
      <c r="J939" s="26" t="str">
        <f aca="false">IF($I939="","",IFERROR(INDEX(EMPL_CLASSE,MATCH($I939,EMPL_KEY,0)),""))</f>
        <v/>
      </c>
      <c r="K939" s="26" t="str">
        <f aca="false">IF($M939=0,"",IFERROR(INDEX(LOT_PRODE,MATCH($G939,LOT_KEY,0)),""))</f>
        <v/>
      </c>
      <c r="L939" s="26" t="str">
        <f aca="false">IF($G939="","",IF(IFERROR(INDEX(LOT_ETAT,MATCH($G939,LOT_KEY,0)),"")="","",INDEX(LOT_ETAT,MATCH($G939,LOT_KEY,0))))</f>
        <v/>
      </c>
      <c r="M939" s="73" t="n">
        <f aca="false">IF(ST_RESULTATS!$Q189=0,0,ST_RESULTATS!$F189)</f>
        <v>0</v>
      </c>
      <c r="N939" s="73" t="n">
        <f aca="false">IF($M939=0,0,ST_RESULTATS!$U189*$M939)</f>
        <v>0</v>
      </c>
      <c r="O939" s="26" t="str">
        <f aca="false">IF($M939=0,"",ST_RESULTATS!$T189)</f>
        <v/>
      </c>
      <c r="P939" s="26" t="str">
        <f aca="false">IF($G939="","",IF($G939=R_LOT,COUNTIF($G$5:$G939,R_LOT),""))</f>
        <v/>
      </c>
    </row>
    <row r="940" customFormat="false" ht="15" hidden="false" customHeight="false" outlineLevel="0" collapsed="false">
      <c r="A940" s="28" t="str">
        <f aca="false">IF($M940=0,"",ROW()-4)</f>
        <v/>
      </c>
      <c r="B940" s="26" t="str">
        <f aca="false">IF($M940=0,"","RESULTAT ST")</f>
        <v/>
      </c>
      <c r="C940" s="26" t="str">
        <f aca="false">IF($M940=0,"",ST_RESULTATS!$A190)</f>
        <v/>
      </c>
      <c r="D940" s="31" t="str">
        <f aca="false">IF($M940=0,"",ST_RESULTATS!$W190)</f>
        <v/>
      </c>
      <c r="E940" s="26" t="str">
        <f aca="false">IF($M940=0,"","ENTREE")</f>
        <v/>
      </c>
      <c r="F940" s="26" t="str">
        <f aca="false">IF($M940=0,"","RETOUR SOUS-TRAITANCE")</f>
        <v/>
      </c>
      <c r="G940" s="26" t="str">
        <f aca="false">IF($M940=0,"",ST_RESULTATS!$N190)</f>
        <v/>
      </c>
      <c r="H940" s="26" t="str">
        <f aca="false">IF($G940="","",IFERROR(INDEX(LOT_EXTE,MATCH($G940,LOT_KEY,0)),""))</f>
        <v/>
      </c>
      <c r="I940" s="26" t="str">
        <f aca="false">IF($M940=0,"",ST_RESULTATS!$J190)</f>
        <v/>
      </c>
      <c r="J940" s="26" t="str">
        <f aca="false">IF($I940="","",IFERROR(INDEX(EMPL_CLASSE,MATCH($I940,EMPL_KEY,0)),""))</f>
        <v/>
      </c>
      <c r="K940" s="26" t="str">
        <f aca="false">IF($M940=0,"",IFERROR(INDEX(LOT_PRODE,MATCH($G940,LOT_KEY,0)),""))</f>
        <v/>
      </c>
      <c r="L940" s="26" t="str">
        <f aca="false">IF($G940="","",IF(IFERROR(INDEX(LOT_ETAT,MATCH($G940,LOT_KEY,0)),"")="","",INDEX(LOT_ETAT,MATCH($G940,LOT_KEY,0))))</f>
        <v/>
      </c>
      <c r="M940" s="73" t="n">
        <f aca="false">IF(ST_RESULTATS!$Q190=0,0,ST_RESULTATS!$F190)</f>
        <v>0</v>
      </c>
      <c r="N940" s="73" t="n">
        <f aca="false">IF($M940=0,0,ST_RESULTATS!$U190*$M940)</f>
        <v>0</v>
      </c>
      <c r="O940" s="26" t="str">
        <f aca="false">IF($M940=0,"",ST_RESULTATS!$T190)</f>
        <v/>
      </c>
      <c r="P940" s="26" t="str">
        <f aca="false">IF($G940="","",IF($G940=R_LOT,COUNTIF($G$5:$G940,R_LOT),""))</f>
        <v/>
      </c>
    </row>
    <row r="941" customFormat="false" ht="15" hidden="false" customHeight="false" outlineLevel="0" collapsed="false">
      <c r="A941" s="28" t="str">
        <f aca="false">IF($M941=0,"",ROW()-4)</f>
        <v/>
      </c>
      <c r="B941" s="26" t="str">
        <f aca="false">IF($M941=0,"","RESULTAT ST")</f>
        <v/>
      </c>
      <c r="C941" s="26" t="str">
        <f aca="false">IF($M941=0,"",ST_RESULTATS!$A191)</f>
        <v/>
      </c>
      <c r="D941" s="31" t="str">
        <f aca="false">IF($M941=0,"",ST_RESULTATS!$W191)</f>
        <v/>
      </c>
      <c r="E941" s="26" t="str">
        <f aca="false">IF($M941=0,"","ENTREE")</f>
        <v/>
      </c>
      <c r="F941" s="26" t="str">
        <f aca="false">IF($M941=0,"","RETOUR SOUS-TRAITANCE")</f>
        <v/>
      </c>
      <c r="G941" s="26" t="str">
        <f aca="false">IF($M941=0,"",ST_RESULTATS!$N191)</f>
        <v/>
      </c>
      <c r="H941" s="26" t="str">
        <f aca="false">IF($G941="","",IFERROR(INDEX(LOT_EXTE,MATCH($G941,LOT_KEY,0)),""))</f>
        <v/>
      </c>
      <c r="I941" s="26" t="str">
        <f aca="false">IF($M941=0,"",ST_RESULTATS!$J191)</f>
        <v/>
      </c>
      <c r="J941" s="26" t="str">
        <f aca="false">IF($I941="","",IFERROR(INDEX(EMPL_CLASSE,MATCH($I941,EMPL_KEY,0)),""))</f>
        <v/>
      </c>
      <c r="K941" s="26" t="str">
        <f aca="false">IF($M941=0,"",IFERROR(INDEX(LOT_PRODE,MATCH($G941,LOT_KEY,0)),""))</f>
        <v/>
      </c>
      <c r="L941" s="26" t="str">
        <f aca="false">IF($G941="","",IF(IFERROR(INDEX(LOT_ETAT,MATCH($G941,LOT_KEY,0)),"")="","",INDEX(LOT_ETAT,MATCH($G941,LOT_KEY,0))))</f>
        <v/>
      </c>
      <c r="M941" s="73" t="n">
        <f aca="false">IF(ST_RESULTATS!$Q191=0,0,ST_RESULTATS!$F191)</f>
        <v>0</v>
      </c>
      <c r="N941" s="73" t="n">
        <f aca="false">IF($M941=0,0,ST_RESULTATS!$U191*$M941)</f>
        <v>0</v>
      </c>
      <c r="O941" s="26" t="str">
        <f aca="false">IF($M941=0,"",ST_RESULTATS!$T191)</f>
        <v/>
      </c>
      <c r="P941" s="26" t="str">
        <f aca="false">IF($G941="","",IF($G941=R_LOT,COUNTIF($G$5:$G941,R_LOT),""))</f>
        <v/>
      </c>
    </row>
    <row r="942" customFormat="false" ht="15" hidden="false" customHeight="false" outlineLevel="0" collapsed="false">
      <c r="A942" s="28" t="str">
        <f aca="false">IF($M942=0,"",ROW()-4)</f>
        <v/>
      </c>
      <c r="B942" s="26" t="str">
        <f aca="false">IF($M942=0,"","RESULTAT ST")</f>
        <v/>
      </c>
      <c r="C942" s="26" t="str">
        <f aca="false">IF($M942=0,"",ST_RESULTATS!$A192)</f>
        <v/>
      </c>
      <c r="D942" s="31" t="str">
        <f aca="false">IF($M942=0,"",ST_RESULTATS!$W192)</f>
        <v/>
      </c>
      <c r="E942" s="26" t="str">
        <f aca="false">IF($M942=0,"","ENTREE")</f>
        <v/>
      </c>
      <c r="F942" s="26" t="str">
        <f aca="false">IF($M942=0,"","RETOUR SOUS-TRAITANCE")</f>
        <v/>
      </c>
      <c r="G942" s="26" t="str">
        <f aca="false">IF($M942=0,"",ST_RESULTATS!$N192)</f>
        <v/>
      </c>
      <c r="H942" s="26" t="str">
        <f aca="false">IF($G942="","",IFERROR(INDEX(LOT_EXTE,MATCH($G942,LOT_KEY,0)),""))</f>
        <v/>
      </c>
      <c r="I942" s="26" t="str">
        <f aca="false">IF($M942=0,"",ST_RESULTATS!$J192)</f>
        <v/>
      </c>
      <c r="J942" s="26" t="str">
        <f aca="false">IF($I942="","",IFERROR(INDEX(EMPL_CLASSE,MATCH($I942,EMPL_KEY,0)),""))</f>
        <v/>
      </c>
      <c r="K942" s="26" t="str">
        <f aca="false">IF($M942=0,"",IFERROR(INDEX(LOT_PRODE,MATCH($G942,LOT_KEY,0)),""))</f>
        <v/>
      </c>
      <c r="L942" s="26" t="str">
        <f aca="false">IF($G942="","",IF(IFERROR(INDEX(LOT_ETAT,MATCH($G942,LOT_KEY,0)),"")="","",INDEX(LOT_ETAT,MATCH($G942,LOT_KEY,0))))</f>
        <v/>
      </c>
      <c r="M942" s="73" t="n">
        <f aca="false">IF(ST_RESULTATS!$Q192=0,0,ST_RESULTATS!$F192)</f>
        <v>0</v>
      </c>
      <c r="N942" s="73" t="n">
        <f aca="false">IF($M942=0,0,ST_RESULTATS!$U192*$M942)</f>
        <v>0</v>
      </c>
      <c r="O942" s="26" t="str">
        <f aca="false">IF($M942=0,"",ST_RESULTATS!$T192)</f>
        <v/>
      </c>
      <c r="P942" s="26" t="str">
        <f aca="false">IF($G942="","",IF($G942=R_LOT,COUNTIF($G$5:$G942,R_LOT),""))</f>
        <v/>
      </c>
    </row>
    <row r="943" customFormat="false" ht="15" hidden="false" customHeight="false" outlineLevel="0" collapsed="false">
      <c r="A943" s="28" t="str">
        <f aca="false">IF($M943=0,"",ROW()-4)</f>
        <v/>
      </c>
      <c r="B943" s="26" t="str">
        <f aca="false">IF($M943=0,"","RESULTAT ST")</f>
        <v/>
      </c>
      <c r="C943" s="26" t="str">
        <f aca="false">IF($M943=0,"",ST_RESULTATS!$A193)</f>
        <v/>
      </c>
      <c r="D943" s="31" t="str">
        <f aca="false">IF($M943=0,"",ST_RESULTATS!$W193)</f>
        <v/>
      </c>
      <c r="E943" s="26" t="str">
        <f aca="false">IF($M943=0,"","ENTREE")</f>
        <v/>
      </c>
      <c r="F943" s="26" t="str">
        <f aca="false">IF($M943=0,"","RETOUR SOUS-TRAITANCE")</f>
        <v/>
      </c>
      <c r="G943" s="26" t="str">
        <f aca="false">IF($M943=0,"",ST_RESULTATS!$N193)</f>
        <v/>
      </c>
      <c r="H943" s="26" t="str">
        <f aca="false">IF($G943="","",IFERROR(INDEX(LOT_EXTE,MATCH($G943,LOT_KEY,0)),""))</f>
        <v/>
      </c>
      <c r="I943" s="26" t="str">
        <f aca="false">IF($M943=0,"",ST_RESULTATS!$J193)</f>
        <v/>
      </c>
      <c r="J943" s="26" t="str">
        <f aca="false">IF($I943="","",IFERROR(INDEX(EMPL_CLASSE,MATCH($I943,EMPL_KEY,0)),""))</f>
        <v/>
      </c>
      <c r="K943" s="26" t="str">
        <f aca="false">IF($M943=0,"",IFERROR(INDEX(LOT_PRODE,MATCH($G943,LOT_KEY,0)),""))</f>
        <v/>
      </c>
      <c r="L943" s="26" t="str">
        <f aca="false">IF($G943="","",IF(IFERROR(INDEX(LOT_ETAT,MATCH($G943,LOT_KEY,0)),"")="","",INDEX(LOT_ETAT,MATCH($G943,LOT_KEY,0))))</f>
        <v/>
      </c>
      <c r="M943" s="73" t="n">
        <f aca="false">IF(ST_RESULTATS!$Q193=0,0,ST_RESULTATS!$F193)</f>
        <v>0</v>
      </c>
      <c r="N943" s="73" t="n">
        <f aca="false">IF($M943=0,0,ST_RESULTATS!$U193*$M943)</f>
        <v>0</v>
      </c>
      <c r="O943" s="26" t="str">
        <f aca="false">IF($M943=0,"",ST_RESULTATS!$T193)</f>
        <v/>
      </c>
      <c r="P943" s="26" t="str">
        <f aca="false">IF($G943="","",IF($G943=R_LOT,COUNTIF($G$5:$G943,R_LOT),""))</f>
        <v/>
      </c>
    </row>
    <row r="944" customFormat="false" ht="15" hidden="false" customHeight="false" outlineLevel="0" collapsed="false">
      <c r="A944" s="28" t="str">
        <f aca="false">IF($M944=0,"",ROW()-4)</f>
        <v/>
      </c>
      <c r="B944" s="26" t="str">
        <f aca="false">IF($M944=0,"","RESULTAT ST")</f>
        <v/>
      </c>
      <c r="C944" s="26" t="str">
        <f aca="false">IF($M944=0,"",ST_RESULTATS!$A194)</f>
        <v/>
      </c>
      <c r="D944" s="31" t="str">
        <f aca="false">IF($M944=0,"",ST_RESULTATS!$W194)</f>
        <v/>
      </c>
      <c r="E944" s="26" t="str">
        <f aca="false">IF($M944=0,"","ENTREE")</f>
        <v/>
      </c>
      <c r="F944" s="26" t="str">
        <f aca="false">IF($M944=0,"","RETOUR SOUS-TRAITANCE")</f>
        <v/>
      </c>
      <c r="G944" s="26" t="str">
        <f aca="false">IF($M944=0,"",ST_RESULTATS!$N194)</f>
        <v/>
      </c>
      <c r="H944" s="26" t="str">
        <f aca="false">IF($G944="","",IFERROR(INDEX(LOT_EXTE,MATCH($G944,LOT_KEY,0)),""))</f>
        <v/>
      </c>
      <c r="I944" s="26" t="str">
        <f aca="false">IF($M944=0,"",ST_RESULTATS!$J194)</f>
        <v/>
      </c>
      <c r="J944" s="26" t="str">
        <f aca="false">IF($I944="","",IFERROR(INDEX(EMPL_CLASSE,MATCH($I944,EMPL_KEY,0)),""))</f>
        <v/>
      </c>
      <c r="K944" s="26" t="str">
        <f aca="false">IF($M944=0,"",IFERROR(INDEX(LOT_PRODE,MATCH($G944,LOT_KEY,0)),""))</f>
        <v/>
      </c>
      <c r="L944" s="26" t="str">
        <f aca="false">IF($G944="","",IF(IFERROR(INDEX(LOT_ETAT,MATCH($G944,LOT_KEY,0)),"")="","",INDEX(LOT_ETAT,MATCH($G944,LOT_KEY,0))))</f>
        <v/>
      </c>
      <c r="M944" s="73" t="n">
        <f aca="false">IF(ST_RESULTATS!$Q194=0,0,ST_RESULTATS!$F194)</f>
        <v>0</v>
      </c>
      <c r="N944" s="73" t="n">
        <f aca="false">IF($M944=0,0,ST_RESULTATS!$U194*$M944)</f>
        <v>0</v>
      </c>
      <c r="O944" s="26" t="str">
        <f aca="false">IF($M944=0,"",ST_RESULTATS!$T194)</f>
        <v/>
      </c>
      <c r="P944" s="26" t="str">
        <f aca="false">IF($G944="","",IF($G944=R_LOT,COUNTIF($G$5:$G944,R_LOT),""))</f>
        <v/>
      </c>
    </row>
    <row r="945" customFormat="false" ht="15" hidden="false" customHeight="false" outlineLevel="0" collapsed="false">
      <c r="A945" s="28" t="str">
        <f aca="false">IF($M945=0,"",ROW()-4)</f>
        <v/>
      </c>
      <c r="B945" s="26" t="str">
        <f aca="false">IF($M945=0,"","RESULTAT ST")</f>
        <v/>
      </c>
      <c r="C945" s="26" t="str">
        <f aca="false">IF($M945=0,"",ST_RESULTATS!$A195)</f>
        <v/>
      </c>
      <c r="D945" s="31" t="str">
        <f aca="false">IF($M945=0,"",ST_RESULTATS!$W195)</f>
        <v/>
      </c>
      <c r="E945" s="26" t="str">
        <f aca="false">IF($M945=0,"","ENTREE")</f>
        <v/>
      </c>
      <c r="F945" s="26" t="str">
        <f aca="false">IF($M945=0,"","RETOUR SOUS-TRAITANCE")</f>
        <v/>
      </c>
      <c r="G945" s="26" t="str">
        <f aca="false">IF($M945=0,"",ST_RESULTATS!$N195)</f>
        <v/>
      </c>
      <c r="H945" s="26" t="str">
        <f aca="false">IF($G945="","",IFERROR(INDEX(LOT_EXTE,MATCH($G945,LOT_KEY,0)),""))</f>
        <v/>
      </c>
      <c r="I945" s="26" t="str">
        <f aca="false">IF($M945=0,"",ST_RESULTATS!$J195)</f>
        <v/>
      </c>
      <c r="J945" s="26" t="str">
        <f aca="false">IF($I945="","",IFERROR(INDEX(EMPL_CLASSE,MATCH($I945,EMPL_KEY,0)),""))</f>
        <v/>
      </c>
      <c r="K945" s="26" t="str">
        <f aca="false">IF($M945=0,"",IFERROR(INDEX(LOT_PRODE,MATCH($G945,LOT_KEY,0)),""))</f>
        <v/>
      </c>
      <c r="L945" s="26" t="str">
        <f aca="false">IF($G945="","",IF(IFERROR(INDEX(LOT_ETAT,MATCH($G945,LOT_KEY,0)),"")="","",INDEX(LOT_ETAT,MATCH($G945,LOT_KEY,0))))</f>
        <v/>
      </c>
      <c r="M945" s="73" t="n">
        <f aca="false">IF(ST_RESULTATS!$Q195=0,0,ST_RESULTATS!$F195)</f>
        <v>0</v>
      </c>
      <c r="N945" s="73" t="n">
        <f aca="false">IF($M945=0,0,ST_RESULTATS!$U195*$M945)</f>
        <v>0</v>
      </c>
      <c r="O945" s="26" t="str">
        <f aca="false">IF($M945=0,"",ST_RESULTATS!$T195)</f>
        <v/>
      </c>
      <c r="P945" s="26" t="str">
        <f aca="false">IF($G945="","",IF($G945=R_LOT,COUNTIF($G$5:$G945,R_LOT),""))</f>
        <v/>
      </c>
    </row>
    <row r="946" customFormat="false" ht="15" hidden="false" customHeight="false" outlineLevel="0" collapsed="false">
      <c r="A946" s="28" t="str">
        <f aca="false">IF($M946=0,"",ROW()-4)</f>
        <v/>
      </c>
      <c r="B946" s="26" t="str">
        <f aca="false">IF($M946=0,"","RESULTAT ST")</f>
        <v/>
      </c>
      <c r="C946" s="26" t="str">
        <f aca="false">IF($M946=0,"",ST_RESULTATS!$A196)</f>
        <v/>
      </c>
      <c r="D946" s="31" t="str">
        <f aca="false">IF($M946=0,"",ST_RESULTATS!$W196)</f>
        <v/>
      </c>
      <c r="E946" s="26" t="str">
        <f aca="false">IF($M946=0,"","ENTREE")</f>
        <v/>
      </c>
      <c r="F946" s="26" t="str">
        <f aca="false">IF($M946=0,"","RETOUR SOUS-TRAITANCE")</f>
        <v/>
      </c>
      <c r="G946" s="26" t="str">
        <f aca="false">IF($M946=0,"",ST_RESULTATS!$N196)</f>
        <v/>
      </c>
      <c r="H946" s="26" t="str">
        <f aca="false">IF($G946="","",IFERROR(INDEX(LOT_EXTE,MATCH($G946,LOT_KEY,0)),""))</f>
        <v/>
      </c>
      <c r="I946" s="26" t="str">
        <f aca="false">IF($M946=0,"",ST_RESULTATS!$J196)</f>
        <v/>
      </c>
      <c r="J946" s="26" t="str">
        <f aca="false">IF($I946="","",IFERROR(INDEX(EMPL_CLASSE,MATCH($I946,EMPL_KEY,0)),""))</f>
        <v/>
      </c>
      <c r="K946" s="26" t="str">
        <f aca="false">IF($M946=0,"",IFERROR(INDEX(LOT_PRODE,MATCH($G946,LOT_KEY,0)),""))</f>
        <v/>
      </c>
      <c r="L946" s="26" t="str">
        <f aca="false">IF($G946="","",IF(IFERROR(INDEX(LOT_ETAT,MATCH($G946,LOT_KEY,0)),"")="","",INDEX(LOT_ETAT,MATCH($G946,LOT_KEY,0))))</f>
        <v/>
      </c>
      <c r="M946" s="73" t="n">
        <f aca="false">IF(ST_RESULTATS!$Q196=0,0,ST_RESULTATS!$F196)</f>
        <v>0</v>
      </c>
      <c r="N946" s="73" t="n">
        <f aca="false">IF($M946=0,0,ST_RESULTATS!$U196*$M946)</f>
        <v>0</v>
      </c>
      <c r="O946" s="26" t="str">
        <f aca="false">IF($M946=0,"",ST_RESULTATS!$T196)</f>
        <v/>
      </c>
      <c r="P946" s="26" t="str">
        <f aca="false">IF($G946="","",IF($G946=R_LOT,COUNTIF($G$5:$G946,R_LOT),""))</f>
        <v/>
      </c>
    </row>
    <row r="947" customFormat="false" ht="15" hidden="false" customHeight="false" outlineLevel="0" collapsed="false">
      <c r="A947" s="28" t="str">
        <f aca="false">IF($M947=0,"",ROW()-4)</f>
        <v/>
      </c>
      <c r="B947" s="26" t="str">
        <f aca="false">IF($M947=0,"","RESULTAT ST")</f>
        <v/>
      </c>
      <c r="C947" s="26" t="str">
        <f aca="false">IF($M947=0,"",ST_RESULTATS!$A197)</f>
        <v/>
      </c>
      <c r="D947" s="31" t="str">
        <f aca="false">IF($M947=0,"",ST_RESULTATS!$W197)</f>
        <v/>
      </c>
      <c r="E947" s="26" t="str">
        <f aca="false">IF($M947=0,"","ENTREE")</f>
        <v/>
      </c>
      <c r="F947" s="26" t="str">
        <f aca="false">IF($M947=0,"","RETOUR SOUS-TRAITANCE")</f>
        <v/>
      </c>
      <c r="G947" s="26" t="str">
        <f aca="false">IF($M947=0,"",ST_RESULTATS!$N197)</f>
        <v/>
      </c>
      <c r="H947" s="26" t="str">
        <f aca="false">IF($G947="","",IFERROR(INDEX(LOT_EXTE,MATCH($G947,LOT_KEY,0)),""))</f>
        <v/>
      </c>
      <c r="I947" s="26" t="str">
        <f aca="false">IF($M947=0,"",ST_RESULTATS!$J197)</f>
        <v/>
      </c>
      <c r="J947" s="26" t="str">
        <f aca="false">IF($I947="","",IFERROR(INDEX(EMPL_CLASSE,MATCH($I947,EMPL_KEY,0)),""))</f>
        <v/>
      </c>
      <c r="K947" s="26" t="str">
        <f aca="false">IF($M947=0,"",IFERROR(INDEX(LOT_PRODE,MATCH($G947,LOT_KEY,0)),""))</f>
        <v/>
      </c>
      <c r="L947" s="26" t="str">
        <f aca="false">IF($G947="","",IF(IFERROR(INDEX(LOT_ETAT,MATCH($G947,LOT_KEY,0)),"")="","",INDEX(LOT_ETAT,MATCH($G947,LOT_KEY,0))))</f>
        <v/>
      </c>
      <c r="M947" s="73" t="n">
        <f aca="false">IF(ST_RESULTATS!$Q197=0,0,ST_RESULTATS!$F197)</f>
        <v>0</v>
      </c>
      <c r="N947" s="73" t="n">
        <f aca="false">IF($M947=0,0,ST_RESULTATS!$U197*$M947)</f>
        <v>0</v>
      </c>
      <c r="O947" s="26" t="str">
        <f aca="false">IF($M947=0,"",ST_RESULTATS!$T197)</f>
        <v/>
      </c>
      <c r="P947" s="26" t="str">
        <f aca="false">IF($G947="","",IF($G947=R_LOT,COUNTIF($G$5:$G947,R_LOT),""))</f>
        <v/>
      </c>
    </row>
    <row r="948" customFormat="false" ht="15" hidden="false" customHeight="false" outlineLevel="0" collapsed="false">
      <c r="A948" s="28" t="str">
        <f aca="false">IF($M948=0,"",ROW()-4)</f>
        <v/>
      </c>
      <c r="B948" s="26" t="str">
        <f aca="false">IF($M948=0,"","RESULTAT ST")</f>
        <v/>
      </c>
      <c r="C948" s="26" t="str">
        <f aca="false">IF($M948=0,"",ST_RESULTATS!$A198)</f>
        <v/>
      </c>
      <c r="D948" s="31" t="str">
        <f aca="false">IF($M948=0,"",ST_RESULTATS!$W198)</f>
        <v/>
      </c>
      <c r="E948" s="26" t="str">
        <f aca="false">IF($M948=0,"","ENTREE")</f>
        <v/>
      </c>
      <c r="F948" s="26" t="str">
        <f aca="false">IF($M948=0,"","RETOUR SOUS-TRAITANCE")</f>
        <v/>
      </c>
      <c r="G948" s="26" t="str">
        <f aca="false">IF($M948=0,"",ST_RESULTATS!$N198)</f>
        <v/>
      </c>
      <c r="H948" s="26" t="str">
        <f aca="false">IF($G948="","",IFERROR(INDEX(LOT_EXTE,MATCH($G948,LOT_KEY,0)),""))</f>
        <v/>
      </c>
      <c r="I948" s="26" t="str">
        <f aca="false">IF($M948=0,"",ST_RESULTATS!$J198)</f>
        <v/>
      </c>
      <c r="J948" s="26" t="str">
        <f aca="false">IF($I948="","",IFERROR(INDEX(EMPL_CLASSE,MATCH($I948,EMPL_KEY,0)),""))</f>
        <v/>
      </c>
      <c r="K948" s="26" t="str">
        <f aca="false">IF($M948=0,"",IFERROR(INDEX(LOT_PRODE,MATCH($G948,LOT_KEY,0)),""))</f>
        <v/>
      </c>
      <c r="L948" s="26" t="str">
        <f aca="false">IF($G948="","",IF(IFERROR(INDEX(LOT_ETAT,MATCH($G948,LOT_KEY,0)),"")="","",INDEX(LOT_ETAT,MATCH($G948,LOT_KEY,0))))</f>
        <v/>
      </c>
      <c r="M948" s="73" t="n">
        <f aca="false">IF(ST_RESULTATS!$Q198=0,0,ST_RESULTATS!$F198)</f>
        <v>0</v>
      </c>
      <c r="N948" s="73" t="n">
        <f aca="false">IF($M948=0,0,ST_RESULTATS!$U198*$M948)</f>
        <v>0</v>
      </c>
      <c r="O948" s="26" t="str">
        <f aca="false">IF($M948=0,"",ST_RESULTATS!$T198)</f>
        <v/>
      </c>
      <c r="P948" s="26" t="str">
        <f aca="false">IF($G948="","",IF($G948=R_LOT,COUNTIF($G$5:$G948,R_LOT),""))</f>
        <v/>
      </c>
    </row>
    <row r="949" customFormat="false" ht="15" hidden="false" customHeight="false" outlineLevel="0" collapsed="false">
      <c r="A949" s="28" t="str">
        <f aca="false">IF($M949=0,"",ROW()-4)</f>
        <v/>
      </c>
      <c r="B949" s="26" t="str">
        <f aca="false">IF($M949=0,"","RESULTAT ST")</f>
        <v/>
      </c>
      <c r="C949" s="26" t="str">
        <f aca="false">IF($M949=0,"",ST_RESULTATS!$A199)</f>
        <v/>
      </c>
      <c r="D949" s="31" t="str">
        <f aca="false">IF($M949=0,"",ST_RESULTATS!$W199)</f>
        <v/>
      </c>
      <c r="E949" s="26" t="str">
        <f aca="false">IF($M949=0,"","ENTREE")</f>
        <v/>
      </c>
      <c r="F949" s="26" t="str">
        <f aca="false">IF($M949=0,"","RETOUR SOUS-TRAITANCE")</f>
        <v/>
      </c>
      <c r="G949" s="26" t="str">
        <f aca="false">IF($M949=0,"",ST_RESULTATS!$N199)</f>
        <v/>
      </c>
      <c r="H949" s="26" t="str">
        <f aca="false">IF($G949="","",IFERROR(INDEX(LOT_EXTE,MATCH($G949,LOT_KEY,0)),""))</f>
        <v/>
      </c>
      <c r="I949" s="26" t="str">
        <f aca="false">IF($M949=0,"",ST_RESULTATS!$J199)</f>
        <v/>
      </c>
      <c r="J949" s="26" t="str">
        <f aca="false">IF($I949="","",IFERROR(INDEX(EMPL_CLASSE,MATCH($I949,EMPL_KEY,0)),""))</f>
        <v/>
      </c>
      <c r="K949" s="26" t="str">
        <f aca="false">IF($M949=0,"",IFERROR(INDEX(LOT_PRODE,MATCH($G949,LOT_KEY,0)),""))</f>
        <v/>
      </c>
      <c r="L949" s="26" t="str">
        <f aca="false">IF($G949="","",IF(IFERROR(INDEX(LOT_ETAT,MATCH($G949,LOT_KEY,0)),"")="","",INDEX(LOT_ETAT,MATCH($G949,LOT_KEY,0))))</f>
        <v/>
      </c>
      <c r="M949" s="73" t="n">
        <f aca="false">IF(ST_RESULTATS!$Q199=0,0,ST_RESULTATS!$F199)</f>
        <v>0</v>
      </c>
      <c r="N949" s="73" t="n">
        <f aca="false">IF($M949=0,0,ST_RESULTATS!$U199*$M949)</f>
        <v>0</v>
      </c>
      <c r="O949" s="26" t="str">
        <f aca="false">IF($M949=0,"",ST_RESULTATS!$T199)</f>
        <v/>
      </c>
      <c r="P949" s="26" t="str">
        <f aca="false">IF($G949="","",IF($G949=R_LOT,COUNTIF($G$5:$G949,R_LOT),""))</f>
        <v/>
      </c>
    </row>
    <row r="950" customFormat="false" ht="15" hidden="false" customHeight="false" outlineLevel="0" collapsed="false">
      <c r="A950" s="28" t="str">
        <f aca="false">IF($M950=0,"",ROW()-4)</f>
        <v/>
      </c>
      <c r="B950" s="26" t="str">
        <f aca="false">IF($M950=0,"","RESULTAT ST")</f>
        <v/>
      </c>
      <c r="C950" s="26" t="str">
        <f aca="false">IF($M950=0,"",ST_RESULTATS!$A200)</f>
        <v/>
      </c>
      <c r="D950" s="31" t="str">
        <f aca="false">IF($M950=0,"",ST_RESULTATS!$W200)</f>
        <v/>
      </c>
      <c r="E950" s="26" t="str">
        <f aca="false">IF($M950=0,"","ENTREE")</f>
        <v/>
      </c>
      <c r="F950" s="26" t="str">
        <f aca="false">IF($M950=0,"","RETOUR SOUS-TRAITANCE")</f>
        <v/>
      </c>
      <c r="G950" s="26" t="str">
        <f aca="false">IF($M950=0,"",ST_RESULTATS!$N200)</f>
        <v/>
      </c>
      <c r="H950" s="26" t="str">
        <f aca="false">IF($G950="","",IFERROR(INDEX(LOT_EXTE,MATCH($G950,LOT_KEY,0)),""))</f>
        <v/>
      </c>
      <c r="I950" s="26" t="str">
        <f aca="false">IF($M950=0,"",ST_RESULTATS!$J200)</f>
        <v/>
      </c>
      <c r="J950" s="26" t="str">
        <f aca="false">IF($I950="","",IFERROR(INDEX(EMPL_CLASSE,MATCH($I950,EMPL_KEY,0)),""))</f>
        <v/>
      </c>
      <c r="K950" s="26" t="str">
        <f aca="false">IF($M950=0,"",IFERROR(INDEX(LOT_PRODE,MATCH($G950,LOT_KEY,0)),""))</f>
        <v/>
      </c>
      <c r="L950" s="26" t="str">
        <f aca="false">IF($G950="","",IF(IFERROR(INDEX(LOT_ETAT,MATCH($G950,LOT_KEY,0)),"")="","",INDEX(LOT_ETAT,MATCH($G950,LOT_KEY,0))))</f>
        <v/>
      </c>
      <c r="M950" s="73" t="n">
        <f aca="false">IF(ST_RESULTATS!$Q200=0,0,ST_RESULTATS!$F200)</f>
        <v>0</v>
      </c>
      <c r="N950" s="73" t="n">
        <f aca="false">IF($M950=0,0,ST_RESULTATS!$U200*$M950)</f>
        <v>0</v>
      </c>
      <c r="O950" s="26" t="str">
        <f aca="false">IF($M950=0,"",ST_RESULTATS!$T200)</f>
        <v/>
      </c>
      <c r="P950" s="26" t="str">
        <f aca="false">IF($G950="","",IF($G950=R_LOT,COUNTIF($G$5:$G950,R_LOT),""))</f>
        <v/>
      </c>
    </row>
    <row r="951" customFormat="false" ht="15" hidden="false" customHeight="false" outlineLevel="0" collapsed="false">
      <c r="A951" s="28" t="str">
        <f aca="false">IF($M951=0,"",ROW()-4)</f>
        <v/>
      </c>
      <c r="B951" s="26" t="str">
        <f aca="false">IF($M951=0,"","RESULTAT ST")</f>
        <v/>
      </c>
      <c r="C951" s="26" t="str">
        <f aca="false">IF($M951=0,"",ST_RESULTATS!$A201)</f>
        <v/>
      </c>
      <c r="D951" s="31" t="str">
        <f aca="false">IF($M951=0,"",ST_RESULTATS!$W201)</f>
        <v/>
      </c>
      <c r="E951" s="26" t="str">
        <f aca="false">IF($M951=0,"","ENTREE")</f>
        <v/>
      </c>
      <c r="F951" s="26" t="str">
        <f aca="false">IF($M951=0,"","RETOUR SOUS-TRAITANCE")</f>
        <v/>
      </c>
      <c r="G951" s="26" t="str">
        <f aca="false">IF($M951=0,"",ST_RESULTATS!$N201)</f>
        <v/>
      </c>
      <c r="H951" s="26" t="str">
        <f aca="false">IF($G951="","",IFERROR(INDEX(LOT_EXTE,MATCH($G951,LOT_KEY,0)),""))</f>
        <v/>
      </c>
      <c r="I951" s="26" t="str">
        <f aca="false">IF($M951=0,"",ST_RESULTATS!$J201)</f>
        <v/>
      </c>
      <c r="J951" s="26" t="str">
        <f aca="false">IF($I951="","",IFERROR(INDEX(EMPL_CLASSE,MATCH($I951,EMPL_KEY,0)),""))</f>
        <v/>
      </c>
      <c r="K951" s="26" t="str">
        <f aca="false">IF($M951=0,"",IFERROR(INDEX(LOT_PRODE,MATCH($G951,LOT_KEY,0)),""))</f>
        <v/>
      </c>
      <c r="L951" s="26" t="str">
        <f aca="false">IF($G951="","",IF(IFERROR(INDEX(LOT_ETAT,MATCH($G951,LOT_KEY,0)),"")="","",INDEX(LOT_ETAT,MATCH($G951,LOT_KEY,0))))</f>
        <v/>
      </c>
      <c r="M951" s="73" t="n">
        <f aca="false">IF(ST_RESULTATS!$Q201=0,0,ST_RESULTATS!$F201)</f>
        <v>0</v>
      </c>
      <c r="N951" s="73" t="n">
        <f aca="false">IF($M951=0,0,ST_RESULTATS!$U201*$M951)</f>
        <v>0</v>
      </c>
      <c r="O951" s="26" t="str">
        <f aca="false">IF($M951=0,"",ST_RESULTATS!$T201)</f>
        <v/>
      </c>
      <c r="P951" s="26" t="str">
        <f aca="false">IF($G951="","",IF($G951=R_LOT,COUNTIF($G$5:$G951,R_LOT),""))</f>
        <v/>
      </c>
    </row>
    <row r="952" customFormat="false" ht="15" hidden="false" customHeight="false" outlineLevel="0" collapsed="false">
      <c r="A952" s="28" t="str">
        <f aca="false">IF($M952=0,"",ROW()-4)</f>
        <v/>
      </c>
      <c r="B952" s="26" t="str">
        <f aca="false">IF($M952=0,"","RESULTAT ST")</f>
        <v/>
      </c>
      <c r="C952" s="26" t="str">
        <f aca="false">IF($M952=0,"",ST_RESULTATS!$A202)</f>
        <v/>
      </c>
      <c r="D952" s="31" t="str">
        <f aca="false">IF($M952=0,"",ST_RESULTATS!$W202)</f>
        <v/>
      </c>
      <c r="E952" s="26" t="str">
        <f aca="false">IF($M952=0,"","ENTREE")</f>
        <v/>
      </c>
      <c r="F952" s="26" t="str">
        <f aca="false">IF($M952=0,"","RETOUR SOUS-TRAITANCE")</f>
        <v/>
      </c>
      <c r="G952" s="26" t="str">
        <f aca="false">IF($M952=0,"",ST_RESULTATS!$N202)</f>
        <v/>
      </c>
      <c r="H952" s="26" t="str">
        <f aca="false">IF($G952="","",IFERROR(INDEX(LOT_EXTE,MATCH($G952,LOT_KEY,0)),""))</f>
        <v/>
      </c>
      <c r="I952" s="26" t="str">
        <f aca="false">IF($M952=0,"",ST_RESULTATS!$J202)</f>
        <v/>
      </c>
      <c r="J952" s="26" t="str">
        <f aca="false">IF($I952="","",IFERROR(INDEX(EMPL_CLASSE,MATCH($I952,EMPL_KEY,0)),""))</f>
        <v/>
      </c>
      <c r="K952" s="26" t="str">
        <f aca="false">IF($M952=0,"",IFERROR(INDEX(LOT_PRODE,MATCH($G952,LOT_KEY,0)),""))</f>
        <v/>
      </c>
      <c r="L952" s="26" t="str">
        <f aca="false">IF($G952="","",IF(IFERROR(INDEX(LOT_ETAT,MATCH($G952,LOT_KEY,0)),"")="","",INDEX(LOT_ETAT,MATCH($G952,LOT_KEY,0))))</f>
        <v/>
      </c>
      <c r="M952" s="73" t="n">
        <f aca="false">IF(ST_RESULTATS!$Q202=0,0,ST_RESULTATS!$F202)</f>
        <v>0</v>
      </c>
      <c r="N952" s="73" t="n">
        <f aca="false">IF($M952=0,0,ST_RESULTATS!$U202*$M952)</f>
        <v>0</v>
      </c>
      <c r="O952" s="26" t="str">
        <f aca="false">IF($M952=0,"",ST_RESULTATS!$T202)</f>
        <v/>
      </c>
      <c r="P952" s="26" t="str">
        <f aca="false">IF($G952="","",IF($G952=R_LOT,COUNTIF($G$5:$G952,R_LOT),""))</f>
        <v/>
      </c>
    </row>
    <row r="953" customFormat="false" ht="15" hidden="false" customHeight="false" outlineLevel="0" collapsed="false">
      <c r="A953" s="28" t="str">
        <f aca="false">IF($M953=0,"",ROW()-4)</f>
        <v/>
      </c>
      <c r="B953" s="26" t="str">
        <f aca="false">IF($M953=0,"","RESULTAT ST")</f>
        <v/>
      </c>
      <c r="C953" s="26" t="str">
        <f aca="false">IF($M953=0,"",ST_RESULTATS!$A203)</f>
        <v/>
      </c>
      <c r="D953" s="31" t="str">
        <f aca="false">IF($M953=0,"",ST_RESULTATS!$W203)</f>
        <v/>
      </c>
      <c r="E953" s="26" t="str">
        <f aca="false">IF($M953=0,"","ENTREE")</f>
        <v/>
      </c>
      <c r="F953" s="26" t="str">
        <f aca="false">IF($M953=0,"","RETOUR SOUS-TRAITANCE")</f>
        <v/>
      </c>
      <c r="G953" s="26" t="str">
        <f aca="false">IF($M953=0,"",ST_RESULTATS!$N203)</f>
        <v/>
      </c>
      <c r="H953" s="26" t="str">
        <f aca="false">IF($G953="","",IFERROR(INDEX(LOT_EXTE,MATCH($G953,LOT_KEY,0)),""))</f>
        <v/>
      </c>
      <c r="I953" s="26" t="str">
        <f aca="false">IF($M953=0,"",ST_RESULTATS!$J203)</f>
        <v/>
      </c>
      <c r="J953" s="26" t="str">
        <f aca="false">IF($I953="","",IFERROR(INDEX(EMPL_CLASSE,MATCH($I953,EMPL_KEY,0)),""))</f>
        <v/>
      </c>
      <c r="K953" s="26" t="str">
        <f aca="false">IF($M953=0,"",IFERROR(INDEX(LOT_PRODE,MATCH($G953,LOT_KEY,0)),""))</f>
        <v/>
      </c>
      <c r="L953" s="26" t="str">
        <f aca="false">IF($G953="","",IF(IFERROR(INDEX(LOT_ETAT,MATCH($G953,LOT_KEY,0)),"")="","",INDEX(LOT_ETAT,MATCH($G953,LOT_KEY,0))))</f>
        <v/>
      </c>
      <c r="M953" s="73" t="n">
        <f aca="false">IF(ST_RESULTATS!$Q203=0,0,ST_RESULTATS!$F203)</f>
        <v>0</v>
      </c>
      <c r="N953" s="73" t="n">
        <f aca="false">IF($M953=0,0,ST_RESULTATS!$U203*$M953)</f>
        <v>0</v>
      </c>
      <c r="O953" s="26" t="str">
        <f aca="false">IF($M953=0,"",ST_RESULTATS!$T203)</f>
        <v/>
      </c>
      <c r="P953" s="26" t="str">
        <f aca="false">IF($G953="","",IF($G953=R_LOT,COUNTIF($G$5:$G953,R_LOT),""))</f>
        <v/>
      </c>
    </row>
    <row r="954" customFormat="false" ht="15" hidden="false" customHeight="false" outlineLevel="0" collapsed="false">
      <c r="A954" s="28" t="str">
        <f aca="false">IF($M954=0,"",ROW()-4)</f>
        <v/>
      </c>
      <c r="B954" s="26" t="str">
        <f aca="false">IF($M954=0,"","RESULTAT ST")</f>
        <v/>
      </c>
      <c r="C954" s="26" t="str">
        <f aca="false">IF($M954=0,"",ST_RESULTATS!$A204)</f>
        <v/>
      </c>
      <c r="D954" s="31" t="str">
        <f aca="false">IF($M954=0,"",ST_RESULTATS!$W204)</f>
        <v/>
      </c>
      <c r="E954" s="26" t="str">
        <f aca="false">IF($M954=0,"","ENTREE")</f>
        <v/>
      </c>
      <c r="F954" s="26" t="str">
        <f aca="false">IF($M954=0,"","RETOUR SOUS-TRAITANCE")</f>
        <v/>
      </c>
      <c r="G954" s="26" t="str">
        <f aca="false">IF($M954=0,"",ST_RESULTATS!$N204)</f>
        <v/>
      </c>
      <c r="H954" s="26" t="str">
        <f aca="false">IF($G954="","",IFERROR(INDEX(LOT_EXTE,MATCH($G954,LOT_KEY,0)),""))</f>
        <v/>
      </c>
      <c r="I954" s="26" t="str">
        <f aca="false">IF($M954=0,"",ST_RESULTATS!$J204)</f>
        <v/>
      </c>
      <c r="J954" s="26" t="str">
        <f aca="false">IF($I954="","",IFERROR(INDEX(EMPL_CLASSE,MATCH($I954,EMPL_KEY,0)),""))</f>
        <v/>
      </c>
      <c r="K954" s="26" t="str">
        <f aca="false">IF($M954=0,"",IFERROR(INDEX(LOT_PRODE,MATCH($G954,LOT_KEY,0)),""))</f>
        <v/>
      </c>
      <c r="L954" s="26" t="str">
        <f aca="false">IF($G954="","",IF(IFERROR(INDEX(LOT_ETAT,MATCH($G954,LOT_KEY,0)),"")="","",INDEX(LOT_ETAT,MATCH($G954,LOT_KEY,0))))</f>
        <v/>
      </c>
      <c r="M954" s="73" t="n">
        <f aca="false">IF(ST_RESULTATS!$Q204=0,0,ST_RESULTATS!$F204)</f>
        <v>0</v>
      </c>
      <c r="N954" s="73" t="n">
        <f aca="false">IF($M954=0,0,ST_RESULTATS!$U204*$M954)</f>
        <v>0</v>
      </c>
      <c r="O954" s="26" t="str">
        <f aca="false">IF($M954=0,"",ST_RESULTATS!$T204)</f>
        <v/>
      </c>
      <c r="P954" s="26" t="str">
        <f aca="false">IF($G954="","",IF($G954=R_LOT,COUNTIF($G$5:$G954,R_LOT),""))</f>
        <v/>
      </c>
    </row>
    <row r="955" customFormat="false" ht="15" hidden="false" customHeight="false" outlineLevel="0" collapsed="false">
      <c r="A955" s="28" t="str">
        <f aca="false">IF($M955=0,"",ROW()-4)</f>
        <v/>
      </c>
      <c r="B955" s="26" t="str">
        <f aca="false">IF($M955=0,"","RESULTAT ST")</f>
        <v/>
      </c>
      <c r="C955" s="26" t="str">
        <f aca="false">IF($M955=0,"",ST_RESULTATS!$A205)</f>
        <v/>
      </c>
      <c r="D955" s="31" t="str">
        <f aca="false">IF($M955=0,"",ST_RESULTATS!$W205)</f>
        <v/>
      </c>
      <c r="E955" s="26" t="str">
        <f aca="false">IF($M955=0,"","ENTREE")</f>
        <v/>
      </c>
      <c r="F955" s="26" t="str">
        <f aca="false">IF($M955=0,"","RETOUR SOUS-TRAITANCE")</f>
        <v/>
      </c>
      <c r="G955" s="26" t="str">
        <f aca="false">IF($M955=0,"",ST_RESULTATS!$N205)</f>
        <v/>
      </c>
      <c r="H955" s="26" t="str">
        <f aca="false">IF($G955="","",IFERROR(INDEX(LOT_EXTE,MATCH($G955,LOT_KEY,0)),""))</f>
        <v/>
      </c>
      <c r="I955" s="26" t="str">
        <f aca="false">IF($M955=0,"",ST_RESULTATS!$J205)</f>
        <v/>
      </c>
      <c r="J955" s="26" t="str">
        <f aca="false">IF($I955="","",IFERROR(INDEX(EMPL_CLASSE,MATCH($I955,EMPL_KEY,0)),""))</f>
        <v/>
      </c>
      <c r="K955" s="26" t="str">
        <f aca="false">IF($M955=0,"",IFERROR(INDEX(LOT_PRODE,MATCH($G955,LOT_KEY,0)),""))</f>
        <v/>
      </c>
      <c r="L955" s="26" t="str">
        <f aca="false">IF($G955="","",IF(IFERROR(INDEX(LOT_ETAT,MATCH($G955,LOT_KEY,0)),"")="","",INDEX(LOT_ETAT,MATCH($G955,LOT_KEY,0))))</f>
        <v/>
      </c>
      <c r="M955" s="73" t="n">
        <f aca="false">IF(ST_RESULTATS!$Q205=0,0,ST_RESULTATS!$F205)</f>
        <v>0</v>
      </c>
      <c r="N955" s="73" t="n">
        <f aca="false">IF($M955=0,0,ST_RESULTATS!$U205*$M955)</f>
        <v>0</v>
      </c>
      <c r="O955" s="26" t="str">
        <f aca="false">IF($M955=0,"",ST_RESULTATS!$T205)</f>
        <v/>
      </c>
      <c r="P955" s="26" t="str">
        <f aca="false">IF($G955="","",IF($G955=R_LOT,COUNTIF($G$5:$G955,R_LOT),""))</f>
        <v/>
      </c>
    </row>
    <row r="956" customFormat="false" ht="15" hidden="false" customHeight="false" outlineLevel="0" collapsed="false">
      <c r="A956" s="28" t="str">
        <f aca="false">IF($M956=0,"",ROW()-4)</f>
        <v/>
      </c>
      <c r="B956" s="26" t="str">
        <f aca="false">IF($M956=0,"","RESULTAT ST")</f>
        <v/>
      </c>
      <c r="C956" s="26" t="str">
        <f aca="false">IF($M956=0,"",ST_RESULTATS!$A206)</f>
        <v/>
      </c>
      <c r="D956" s="31" t="str">
        <f aca="false">IF($M956=0,"",ST_RESULTATS!$W206)</f>
        <v/>
      </c>
      <c r="E956" s="26" t="str">
        <f aca="false">IF($M956=0,"","ENTREE")</f>
        <v/>
      </c>
      <c r="F956" s="26" t="str">
        <f aca="false">IF($M956=0,"","RETOUR SOUS-TRAITANCE")</f>
        <v/>
      </c>
      <c r="G956" s="26" t="str">
        <f aca="false">IF($M956=0,"",ST_RESULTATS!$N206)</f>
        <v/>
      </c>
      <c r="H956" s="26" t="str">
        <f aca="false">IF($G956="","",IFERROR(INDEX(LOT_EXTE,MATCH($G956,LOT_KEY,0)),""))</f>
        <v/>
      </c>
      <c r="I956" s="26" t="str">
        <f aca="false">IF($M956=0,"",ST_RESULTATS!$J206)</f>
        <v/>
      </c>
      <c r="J956" s="26" t="str">
        <f aca="false">IF($I956="","",IFERROR(INDEX(EMPL_CLASSE,MATCH($I956,EMPL_KEY,0)),""))</f>
        <v/>
      </c>
      <c r="K956" s="26" t="str">
        <f aca="false">IF($M956=0,"",IFERROR(INDEX(LOT_PRODE,MATCH($G956,LOT_KEY,0)),""))</f>
        <v/>
      </c>
      <c r="L956" s="26" t="str">
        <f aca="false">IF($G956="","",IF(IFERROR(INDEX(LOT_ETAT,MATCH($G956,LOT_KEY,0)),"")="","",INDEX(LOT_ETAT,MATCH($G956,LOT_KEY,0))))</f>
        <v/>
      </c>
      <c r="M956" s="73" t="n">
        <f aca="false">IF(ST_RESULTATS!$Q206=0,0,ST_RESULTATS!$F206)</f>
        <v>0</v>
      </c>
      <c r="N956" s="73" t="n">
        <f aca="false">IF($M956=0,0,ST_RESULTATS!$U206*$M956)</f>
        <v>0</v>
      </c>
      <c r="O956" s="26" t="str">
        <f aca="false">IF($M956=0,"",ST_RESULTATS!$T206)</f>
        <v/>
      </c>
      <c r="P956" s="26" t="str">
        <f aca="false">IF($G956="","",IF($G956=R_LOT,COUNTIF($G$5:$G956,R_LOT),""))</f>
        <v/>
      </c>
    </row>
    <row r="957" customFormat="false" ht="15" hidden="false" customHeight="false" outlineLevel="0" collapsed="false">
      <c r="A957" s="28" t="str">
        <f aca="false">IF($M957=0,"",ROW()-4)</f>
        <v/>
      </c>
      <c r="B957" s="26" t="str">
        <f aca="false">IF($M957=0,"","RESULTAT ST")</f>
        <v/>
      </c>
      <c r="C957" s="26" t="str">
        <f aca="false">IF($M957=0,"",ST_RESULTATS!$A207)</f>
        <v/>
      </c>
      <c r="D957" s="31" t="str">
        <f aca="false">IF($M957=0,"",ST_RESULTATS!$W207)</f>
        <v/>
      </c>
      <c r="E957" s="26" t="str">
        <f aca="false">IF($M957=0,"","ENTREE")</f>
        <v/>
      </c>
      <c r="F957" s="26" t="str">
        <f aca="false">IF($M957=0,"","RETOUR SOUS-TRAITANCE")</f>
        <v/>
      </c>
      <c r="G957" s="26" t="str">
        <f aca="false">IF($M957=0,"",ST_RESULTATS!$N207)</f>
        <v/>
      </c>
      <c r="H957" s="26" t="str">
        <f aca="false">IF($G957="","",IFERROR(INDEX(LOT_EXTE,MATCH($G957,LOT_KEY,0)),""))</f>
        <v/>
      </c>
      <c r="I957" s="26" t="str">
        <f aca="false">IF($M957=0,"",ST_RESULTATS!$J207)</f>
        <v/>
      </c>
      <c r="J957" s="26" t="str">
        <f aca="false">IF($I957="","",IFERROR(INDEX(EMPL_CLASSE,MATCH($I957,EMPL_KEY,0)),""))</f>
        <v/>
      </c>
      <c r="K957" s="26" t="str">
        <f aca="false">IF($M957=0,"",IFERROR(INDEX(LOT_PRODE,MATCH($G957,LOT_KEY,0)),""))</f>
        <v/>
      </c>
      <c r="L957" s="26" t="str">
        <f aca="false">IF($G957="","",IF(IFERROR(INDEX(LOT_ETAT,MATCH($G957,LOT_KEY,0)),"")="","",INDEX(LOT_ETAT,MATCH($G957,LOT_KEY,0))))</f>
        <v/>
      </c>
      <c r="M957" s="73" t="n">
        <f aca="false">IF(ST_RESULTATS!$Q207=0,0,ST_RESULTATS!$F207)</f>
        <v>0</v>
      </c>
      <c r="N957" s="73" t="n">
        <f aca="false">IF($M957=0,0,ST_RESULTATS!$U207*$M957)</f>
        <v>0</v>
      </c>
      <c r="O957" s="26" t="str">
        <f aca="false">IF($M957=0,"",ST_RESULTATS!$T207)</f>
        <v/>
      </c>
      <c r="P957" s="26" t="str">
        <f aca="false">IF($G957="","",IF($G957=R_LOT,COUNTIF($G$5:$G957,R_LOT),""))</f>
        <v/>
      </c>
    </row>
    <row r="958" customFormat="false" ht="15" hidden="false" customHeight="false" outlineLevel="0" collapsed="false">
      <c r="A958" s="28" t="str">
        <f aca="false">IF($M958=0,"",ROW()-4)</f>
        <v/>
      </c>
      <c r="B958" s="26" t="str">
        <f aca="false">IF($M958=0,"","RESULTAT ST")</f>
        <v/>
      </c>
      <c r="C958" s="26" t="str">
        <f aca="false">IF($M958=0,"",ST_RESULTATS!$A208)</f>
        <v/>
      </c>
      <c r="D958" s="31" t="str">
        <f aca="false">IF($M958=0,"",ST_RESULTATS!$W208)</f>
        <v/>
      </c>
      <c r="E958" s="26" t="str">
        <f aca="false">IF($M958=0,"","ENTREE")</f>
        <v/>
      </c>
      <c r="F958" s="26" t="str">
        <f aca="false">IF($M958=0,"","RETOUR SOUS-TRAITANCE")</f>
        <v/>
      </c>
      <c r="G958" s="26" t="str">
        <f aca="false">IF($M958=0,"",ST_RESULTATS!$N208)</f>
        <v/>
      </c>
      <c r="H958" s="26" t="str">
        <f aca="false">IF($G958="","",IFERROR(INDEX(LOT_EXTE,MATCH($G958,LOT_KEY,0)),""))</f>
        <v/>
      </c>
      <c r="I958" s="26" t="str">
        <f aca="false">IF($M958=0,"",ST_RESULTATS!$J208)</f>
        <v/>
      </c>
      <c r="J958" s="26" t="str">
        <f aca="false">IF($I958="","",IFERROR(INDEX(EMPL_CLASSE,MATCH($I958,EMPL_KEY,0)),""))</f>
        <v/>
      </c>
      <c r="K958" s="26" t="str">
        <f aca="false">IF($M958=0,"",IFERROR(INDEX(LOT_PRODE,MATCH($G958,LOT_KEY,0)),""))</f>
        <v/>
      </c>
      <c r="L958" s="26" t="str">
        <f aca="false">IF($G958="","",IF(IFERROR(INDEX(LOT_ETAT,MATCH($G958,LOT_KEY,0)),"")="","",INDEX(LOT_ETAT,MATCH($G958,LOT_KEY,0))))</f>
        <v/>
      </c>
      <c r="M958" s="73" t="n">
        <f aca="false">IF(ST_RESULTATS!$Q208=0,0,ST_RESULTATS!$F208)</f>
        <v>0</v>
      </c>
      <c r="N958" s="73" t="n">
        <f aca="false">IF($M958=0,0,ST_RESULTATS!$U208*$M958)</f>
        <v>0</v>
      </c>
      <c r="O958" s="26" t="str">
        <f aca="false">IF($M958=0,"",ST_RESULTATS!$T208)</f>
        <v/>
      </c>
      <c r="P958" s="26" t="str">
        <f aca="false">IF($G958="","",IF($G958=R_LOT,COUNTIF($G$5:$G958,R_LOT),""))</f>
        <v/>
      </c>
    </row>
    <row r="959" customFormat="false" ht="15" hidden="false" customHeight="false" outlineLevel="0" collapsed="false">
      <c r="A959" s="28" t="str">
        <f aca="false">IF($M959=0,"",ROW()-4)</f>
        <v/>
      </c>
      <c r="B959" s="26" t="str">
        <f aca="false">IF($M959=0,"","RESULTAT ST")</f>
        <v/>
      </c>
      <c r="C959" s="26" t="str">
        <f aca="false">IF($M959=0,"",ST_RESULTATS!$A209)</f>
        <v/>
      </c>
      <c r="D959" s="31" t="str">
        <f aca="false">IF($M959=0,"",ST_RESULTATS!$W209)</f>
        <v/>
      </c>
      <c r="E959" s="26" t="str">
        <f aca="false">IF($M959=0,"","ENTREE")</f>
        <v/>
      </c>
      <c r="F959" s="26" t="str">
        <f aca="false">IF($M959=0,"","RETOUR SOUS-TRAITANCE")</f>
        <v/>
      </c>
      <c r="G959" s="26" t="str">
        <f aca="false">IF($M959=0,"",ST_RESULTATS!$N209)</f>
        <v/>
      </c>
      <c r="H959" s="26" t="str">
        <f aca="false">IF($G959="","",IFERROR(INDEX(LOT_EXTE,MATCH($G959,LOT_KEY,0)),""))</f>
        <v/>
      </c>
      <c r="I959" s="26" t="str">
        <f aca="false">IF($M959=0,"",ST_RESULTATS!$J209)</f>
        <v/>
      </c>
      <c r="J959" s="26" t="str">
        <f aca="false">IF($I959="","",IFERROR(INDEX(EMPL_CLASSE,MATCH($I959,EMPL_KEY,0)),""))</f>
        <v/>
      </c>
      <c r="K959" s="26" t="str">
        <f aca="false">IF($M959=0,"",IFERROR(INDEX(LOT_PRODE,MATCH($G959,LOT_KEY,0)),""))</f>
        <v/>
      </c>
      <c r="L959" s="26" t="str">
        <f aca="false">IF($G959="","",IF(IFERROR(INDEX(LOT_ETAT,MATCH($G959,LOT_KEY,0)),"")="","",INDEX(LOT_ETAT,MATCH($G959,LOT_KEY,0))))</f>
        <v/>
      </c>
      <c r="M959" s="73" t="n">
        <f aca="false">IF(ST_RESULTATS!$Q209=0,0,ST_RESULTATS!$F209)</f>
        <v>0</v>
      </c>
      <c r="N959" s="73" t="n">
        <f aca="false">IF($M959=0,0,ST_RESULTATS!$U209*$M959)</f>
        <v>0</v>
      </c>
      <c r="O959" s="26" t="str">
        <f aca="false">IF($M959=0,"",ST_RESULTATS!$T209)</f>
        <v/>
      </c>
      <c r="P959" s="26" t="str">
        <f aca="false">IF($G959="","",IF($G959=R_LOT,COUNTIF($G$5:$G959,R_LOT),""))</f>
        <v/>
      </c>
    </row>
    <row r="960" customFormat="false" ht="15" hidden="false" customHeight="false" outlineLevel="0" collapsed="false">
      <c r="A960" s="28" t="str">
        <f aca="false">IF($M960=0,"",ROW()-4)</f>
        <v/>
      </c>
      <c r="B960" s="26" t="str">
        <f aca="false">IF($M960=0,"","RESULTAT ST")</f>
        <v/>
      </c>
      <c r="C960" s="26" t="str">
        <f aca="false">IF($M960=0,"",ST_RESULTATS!$A210)</f>
        <v/>
      </c>
      <c r="D960" s="31" t="str">
        <f aca="false">IF($M960=0,"",ST_RESULTATS!$W210)</f>
        <v/>
      </c>
      <c r="E960" s="26" t="str">
        <f aca="false">IF($M960=0,"","ENTREE")</f>
        <v/>
      </c>
      <c r="F960" s="26" t="str">
        <f aca="false">IF($M960=0,"","RETOUR SOUS-TRAITANCE")</f>
        <v/>
      </c>
      <c r="G960" s="26" t="str">
        <f aca="false">IF($M960=0,"",ST_RESULTATS!$N210)</f>
        <v/>
      </c>
      <c r="H960" s="26" t="str">
        <f aca="false">IF($G960="","",IFERROR(INDEX(LOT_EXTE,MATCH($G960,LOT_KEY,0)),""))</f>
        <v/>
      </c>
      <c r="I960" s="26" t="str">
        <f aca="false">IF($M960=0,"",ST_RESULTATS!$J210)</f>
        <v/>
      </c>
      <c r="J960" s="26" t="str">
        <f aca="false">IF($I960="","",IFERROR(INDEX(EMPL_CLASSE,MATCH($I960,EMPL_KEY,0)),""))</f>
        <v/>
      </c>
      <c r="K960" s="26" t="str">
        <f aca="false">IF($M960=0,"",IFERROR(INDEX(LOT_PRODE,MATCH($G960,LOT_KEY,0)),""))</f>
        <v/>
      </c>
      <c r="L960" s="26" t="str">
        <f aca="false">IF($G960="","",IF(IFERROR(INDEX(LOT_ETAT,MATCH($G960,LOT_KEY,0)),"")="","",INDEX(LOT_ETAT,MATCH($G960,LOT_KEY,0))))</f>
        <v/>
      </c>
      <c r="M960" s="73" t="n">
        <f aca="false">IF(ST_RESULTATS!$Q210=0,0,ST_RESULTATS!$F210)</f>
        <v>0</v>
      </c>
      <c r="N960" s="73" t="n">
        <f aca="false">IF($M960=0,0,ST_RESULTATS!$U210*$M960)</f>
        <v>0</v>
      </c>
      <c r="O960" s="26" t="str">
        <f aca="false">IF($M960=0,"",ST_RESULTATS!$T210)</f>
        <v/>
      </c>
      <c r="P960" s="26" t="str">
        <f aca="false">IF($G960="","",IF($G960=R_LOT,COUNTIF($G$5:$G960,R_LOT),""))</f>
        <v/>
      </c>
    </row>
    <row r="961" customFormat="false" ht="15" hidden="false" customHeight="false" outlineLevel="0" collapsed="false">
      <c r="A961" s="28" t="str">
        <f aca="false">IF($M961=0,"",ROW()-4)</f>
        <v/>
      </c>
      <c r="B961" s="26" t="str">
        <f aca="false">IF($M961=0,"","RESULTAT ST")</f>
        <v/>
      </c>
      <c r="C961" s="26" t="str">
        <f aca="false">IF($M961=0,"",ST_RESULTATS!$A211)</f>
        <v/>
      </c>
      <c r="D961" s="31" t="str">
        <f aca="false">IF($M961=0,"",ST_RESULTATS!$W211)</f>
        <v/>
      </c>
      <c r="E961" s="26" t="str">
        <f aca="false">IF($M961=0,"","ENTREE")</f>
        <v/>
      </c>
      <c r="F961" s="26" t="str">
        <f aca="false">IF($M961=0,"","RETOUR SOUS-TRAITANCE")</f>
        <v/>
      </c>
      <c r="G961" s="26" t="str">
        <f aca="false">IF($M961=0,"",ST_RESULTATS!$N211)</f>
        <v/>
      </c>
      <c r="H961" s="26" t="str">
        <f aca="false">IF($G961="","",IFERROR(INDEX(LOT_EXTE,MATCH($G961,LOT_KEY,0)),""))</f>
        <v/>
      </c>
      <c r="I961" s="26" t="str">
        <f aca="false">IF($M961=0,"",ST_RESULTATS!$J211)</f>
        <v/>
      </c>
      <c r="J961" s="26" t="str">
        <f aca="false">IF($I961="","",IFERROR(INDEX(EMPL_CLASSE,MATCH($I961,EMPL_KEY,0)),""))</f>
        <v/>
      </c>
      <c r="K961" s="26" t="str">
        <f aca="false">IF($M961=0,"",IFERROR(INDEX(LOT_PRODE,MATCH($G961,LOT_KEY,0)),""))</f>
        <v/>
      </c>
      <c r="L961" s="26" t="str">
        <f aca="false">IF($G961="","",IF(IFERROR(INDEX(LOT_ETAT,MATCH($G961,LOT_KEY,0)),"")="","",INDEX(LOT_ETAT,MATCH($G961,LOT_KEY,0))))</f>
        <v/>
      </c>
      <c r="M961" s="73" t="n">
        <f aca="false">IF(ST_RESULTATS!$Q211=0,0,ST_RESULTATS!$F211)</f>
        <v>0</v>
      </c>
      <c r="N961" s="73" t="n">
        <f aca="false">IF($M961=0,0,ST_RESULTATS!$U211*$M961)</f>
        <v>0</v>
      </c>
      <c r="O961" s="26" t="str">
        <f aca="false">IF($M961=0,"",ST_RESULTATS!$T211)</f>
        <v/>
      </c>
      <c r="P961" s="26" t="str">
        <f aca="false">IF($G961="","",IF($G961=R_LOT,COUNTIF($G$5:$G961,R_LOT),""))</f>
        <v/>
      </c>
    </row>
    <row r="962" customFormat="false" ht="15" hidden="false" customHeight="false" outlineLevel="0" collapsed="false">
      <c r="A962" s="28" t="str">
        <f aca="false">IF($M962=0,"",ROW()-4)</f>
        <v/>
      </c>
      <c r="B962" s="26" t="str">
        <f aca="false">IF($M962=0,"","RESULTAT ST")</f>
        <v/>
      </c>
      <c r="C962" s="26" t="str">
        <f aca="false">IF($M962=0,"",ST_RESULTATS!$A212)</f>
        <v/>
      </c>
      <c r="D962" s="31" t="str">
        <f aca="false">IF($M962=0,"",ST_RESULTATS!$W212)</f>
        <v/>
      </c>
      <c r="E962" s="26" t="str">
        <f aca="false">IF($M962=0,"","ENTREE")</f>
        <v/>
      </c>
      <c r="F962" s="26" t="str">
        <f aca="false">IF($M962=0,"","RETOUR SOUS-TRAITANCE")</f>
        <v/>
      </c>
      <c r="G962" s="26" t="str">
        <f aca="false">IF($M962=0,"",ST_RESULTATS!$N212)</f>
        <v/>
      </c>
      <c r="H962" s="26" t="str">
        <f aca="false">IF($G962="","",IFERROR(INDEX(LOT_EXTE,MATCH($G962,LOT_KEY,0)),""))</f>
        <v/>
      </c>
      <c r="I962" s="26" t="str">
        <f aca="false">IF($M962=0,"",ST_RESULTATS!$J212)</f>
        <v/>
      </c>
      <c r="J962" s="26" t="str">
        <f aca="false">IF($I962="","",IFERROR(INDEX(EMPL_CLASSE,MATCH($I962,EMPL_KEY,0)),""))</f>
        <v/>
      </c>
      <c r="K962" s="26" t="str">
        <f aca="false">IF($M962=0,"",IFERROR(INDEX(LOT_PRODE,MATCH($G962,LOT_KEY,0)),""))</f>
        <v/>
      </c>
      <c r="L962" s="26" t="str">
        <f aca="false">IF($G962="","",IF(IFERROR(INDEX(LOT_ETAT,MATCH($G962,LOT_KEY,0)),"")="","",INDEX(LOT_ETAT,MATCH($G962,LOT_KEY,0))))</f>
        <v/>
      </c>
      <c r="M962" s="73" t="n">
        <f aca="false">IF(ST_RESULTATS!$Q212=0,0,ST_RESULTATS!$F212)</f>
        <v>0</v>
      </c>
      <c r="N962" s="73" t="n">
        <f aca="false">IF($M962=0,0,ST_RESULTATS!$U212*$M962)</f>
        <v>0</v>
      </c>
      <c r="O962" s="26" t="str">
        <f aca="false">IF($M962=0,"",ST_RESULTATS!$T212)</f>
        <v/>
      </c>
      <c r="P962" s="26" t="str">
        <f aca="false">IF($G962="","",IF($G962=R_LOT,COUNTIF($G$5:$G962,R_LOT),""))</f>
        <v/>
      </c>
    </row>
    <row r="963" customFormat="false" ht="15" hidden="false" customHeight="false" outlineLevel="0" collapsed="false">
      <c r="A963" s="28" t="str">
        <f aca="false">IF($M963=0,"",ROW()-4)</f>
        <v/>
      </c>
      <c r="B963" s="26" t="str">
        <f aca="false">IF($M963=0,"","RESULTAT ST")</f>
        <v/>
      </c>
      <c r="C963" s="26" t="str">
        <f aca="false">IF($M963=0,"",ST_RESULTATS!$A213)</f>
        <v/>
      </c>
      <c r="D963" s="31" t="str">
        <f aca="false">IF($M963=0,"",ST_RESULTATS!$W213)</f>
        <v/>
      </c>
      <c r="E963" s="26" t="str">
        <f aca="false">IF($M963=0,"","ENTREE")</f>
        <v/>
      </c>
      <c r="F963" s="26" t="str">
        <f aca="false">IF($M963=0,"","RETOUR SOUS-TRAITANCE")</f>
        <v/>
      </c>
      <c r="G963" s="26" t="str">
        <f aca="false">IF($M963=0,"",ST_RESULTATS!$N213)</f>
        <v/>
      </c>
      <c r="H963" s="26" t="str">
        <f aca="false">IF($G963="","",IFERROR(INDEX(LOT_EXTE,MATCH($G963,LOT_KEY,0)),""))</f>
        <v/>
      </c>
      <c r="I963" s="26" t="str">
        <f aca="false">IF($M963=0,"",ST_RESULTATS!$J213)</f>
        <v/>
      </c>
      <c r="J963" s="26" t="str">
        <f aca="false">IF($I963="","",IFERROR(INDEX(EMPL_CLASSE,MATCH($I963,EMPL_KEY,0)),""))</f>
        <v/>
      </c>
      <c r="K963" s="26" t="str">
        <f aca="false">IF($M963=0,"",IFERROR(INDEX(LOT_PRODE,MATCH($G963,LOT_KEY,0)),""))</f>
        <v/>
      </c>
      <c r="L963" s="26" t="str">
        <f aca="false">IF($G963="","",IF(IFERROR(INDEX(LOT_ETAT,MATCH($G963,LOT_KEY,0)),"")="","",INDEX(LOT_ETAT,MATCH($G963,LOT_KEY,0))))</f>
        <v/>
      </c>
      <c r="M963" s="73" t="n">
        <f aca="false">IF(ST_RESULTATS!$Q213=0,0,ST_RESULTATS!$F213)</f>
        <v>0</v>
      </c>
      <c r="N963" s="73" t="n">
        <f aca="false">IF($M963=0,0,ST_RESULTATS!$U213*$M963)</f>
        <v>0</v>
      </c>
      <c r="O963" s="26" t="str">
        <f aca="false">IF($M963=0,"",ST_RESULTATS!$T213)</f>
        <v/>
      </c>
      <c r="P963" s="26" t="str">
        <f aca="false">IF($G963="","",IF($G963=R_LOT,COUNTIF($G$5:$G963,R_LOT),""))</f>
        <v/>
      </c>
    </row>
    <row r="964" customFormat="false" ht="15" hidden="false" customHeight="false" outlineLevel="0" collapsed="false">
      <c r="A964" s="28" t="str">
        <f aca="false">IF($M964=0,"",ROW()-4)</f>
        <v/>
      </c>
      <c r="B964" s="26" t="str">
        <f aca="false">IF($M964=0,"","RESULTAT ST")</f>
        <v/>
      </c>
      <c r="C964" s="26" t="str">
        <f aca="false">IF($M964=0,"",ST_RESULTATS!$A214)</f>
        <v/>
      </c>
      <c r="D964" s="31" t="str">
        <f aca="false">IF($M964=0,"",ST_RESULTATS!$W214)</f>
        <v/>
      </c>
      <c r="E964" s="26" t="str">
        <f aca="false">IF($M964=0,"","ENTREE")</f>
        <v/>
      </c>
      <c r="F964" s="26" t="str">
        <f aca="false">IF($M964=0,"","RETOUR SOUS-TRAITANCE")</f>
        <v/>
      </c>
      <c r="G964" s="26" t="str">
        <f aca="false">IF($M964=0,"",ST_RESULTATS!$N214)</f>
        <v/>
      </c>
      <c r="H964" s="26" t="str">
        <f aca="false">IF($G964="","",IFERROR(INDEX(LOT_EXTE,MATCH($G964,LOT_KEY,0)),""))</f>
        <v/>
      </c>
      <c r="I964" s="26" t="str">
        <f aca="false">IF($M964=0,"",ST_RESULTATS!$J214)</f>
        <v/>
      </c>
      <c r="J964" s="26" t="str">
        <f aca="false">IF($I964="","",IFERROR(INDEX(EMPL_CLASSE,MATCH($I964,EMPL_KEY,0)),""))</f>
        <v/>
      </c>
      <c r="K964" s="26" t="str">
        <f aca="false">IF($M964=0,"",IFERROR(INDEX(LOT_PRODE,MATCH($G964,LOT_KEY,0)),""))</f>
        <v/>
      </c>
      <c r="L964" s="26" t="str">
        <f aca="false">IF($G964="","",IF(IFERROR(INDEX(LOT_ETAT,MATCH($G964,LOT_KEY,0)),"")="","",INDEX(LOT_ETAT,MATCH($G964,LOT_KEY,0))))</f>
        <v/>
      </c>
      <c r="M964" s="73" t="n">
        <f aca="false">IF(ST_RESULTATS!$Q214=0,0,ST_RESULTATS!$F214)</f>
        <v>0</v>
      </c>
      <c r="N964" s="73" t="n">
        <f aca="false">IF($M964=0,0,ST_RESULTATS!$U214*$M964)</f>
        <v>0</v>
      </c>
      <c r="O964" s="26" t="str">
        <f aca="false">IF($M964=0,"",ST_RESULTATS!$T214)</f>
        <v/>
      </c>
      <c r="P964" s="26" t="str">
        <f aca="false">IF($G964="","",IF($G964=R_LOT,COUNTIF($G$5:$G964,R_LOT),""))</f>
        <v/>
      </c>
    </row>
    <row r="965" customFormat="false" ht="15" hidden="false" customHeight="false" outlineLevel="0" collapsed="false">
      <c r="A965" s="28" t="str">
        <f aca="false">IF($M965=0,"",ROW()-4)</f>
        <v/>
      </c>
      <c r="B965" s="26" t="str">
        <f aca="false">IF($M965=0,"","RESULTAT ST")</f>
        <v/>
      </c>
      <c r="C965" s="26" t="str">
        <f aca="false">IF($M965=0,"",ST_RESULTATS!$A215)</f>
        <v/>
      </c>
      <c r="D965" s="31" t="str">
        <f aca="false">IF($M965=0,"",ST_RESULTATS!$W215)</f>
        <v/>
      </c>
      <c r="E965" s="26" t="str">
        <f aca="false">IF($M965=0,"","ENTREE")</f>
        <v/>
      </c>
      <c r="F965" s="26" t="str">
        <f aca="false">IF($M965=0,"","RETOUR SOUS-TRAITANCE")</f>
        <v/>
      </c>
      <c r="G965" s="26" t="str">
        <f aca="false">IF($M965=0,"",ST_RESULTATS!$N215)</f>
        <v/>
      </c>
      <c r="H965" s="26" t="str">
        <f aca="false">IF($G965="","",IFERROR(INDEX(LOT_EXTE,MATCH($G965,LOT_KEY,0)),""))</f>
        <v/>
      </c>
      <c r="I965" s="26" t="str">
        <f aca="false">IF($M965=0,"",ST_RESULTATS!$J215)</f>
        <v/>
      </c>
      <c r="J965" s="26" t="str">
        <f aca="false">IF($I965="","",IFERROR(INDEX(EMPL_CLASSE,MATCH($I965,EMPL_KEY,0)),""))</f>
        <v/>
      </c>
      <c r="K965" s="26" t="str">
        <f aca="false">IF($M965=0,"",IFERROR(INDEX(LOT_PRODE,MATCH($G965,LOT_KEY,0)),""))</f>
        <v/>
      </c>
      <c r="L965" s="26" t="str">
        <f aca="false">IF($G965="","",IF(IFERROR(INDEX(LOT_ETAT,MATCH($G965,LOT_KEY,0)),"")="","",INDEX(LOT_ETAT,MATCH($G965,LOT_KEY,0))))</f>
        <v/>
      </c>
      <c r="M965" s="73" t="n">
        <f aca="false">IF(ST_RESULTATS!$Q215=0,0,ST_RESULTATS!$F215)</f>
        <v>0</v>
      </c>
      <c r="N965" s="73" t="n">
        <f aca="false">IF($M965=0,0,ST_RESULTATS!$U215*$M965)</f>
        <v>0</v>
      </c>
      <c r="O965" s="26" t="str">
        <f aca="false">IF($M965=0,"",ST_RESULTATS!$T215)</f>
        <v/>
      </c>
      <c r="P965" s="26" t="str">
        <f aca="false">IF($G965="","",IF($G965=R_LOT,COUNTIF($G$5:$G965,R_LOT),""))</f>
        <v/>
      </c>
    </row>
    <row r="966" customFormat="false" ht="15" hidden="false" customHeight="false" outlineLevel="0" collapsed="false">
      <c r="A966" s="28" t="str">
        <f aca="false">IF($M966=0,"",ROW()-4)</f>
        <v/>
      </c>
      <c r="B966" s="26" t="str">
        <f aca="false">IF($M966=0,"","RESULTAT ST")</f>
        <v/>
      </c>
      <c r="C966" s="26" t="str">
        <f aca="false">IF($M966=0,"",ST_RESULTATS!$A216)</f>
        <v/>
      </c>
      <c r="D966" s="31" t="str">
        <f aca="false">IF($M966=0,"",ST_RESULTATS!$W216)</f>
        <v/>
      </c>
      <c r="E966" s="26" t="str">
        <f aca="false">IF($M966=0,"","ENTREE")</f>
        <v/>
      </c>
      <c r="F966" s="26" t="str">
        <f aca="false">IF($M966=0,"","RETOUR SOUS-TRAITANCE")</f>
        <v/>
      </c>
      <c r="G966" s="26" t="str">
        <f aca="false">IF($M966=0,"",ST_RESULTATS!$N216)</f>
        <v/>
      </c>
      <c r="H966" s="26" t="str">
        <f aca="false">IF($G966="","",IFERROR(INDEX(LOT_EXTE,MATCH($G966,LOT_KEY,0)),""))</f>
        <v/>
      </c>
      <c r="I966" s="26" t="str">
        <f aca="false">IF($M966=0,"",ST_RESULTATS!$J216)</f>
        <v/>
      </c>
      <c r="J966" s="26" t="str">
        <f aca="false">IF($I966="","",IFERROR(INDEX(EMPL_CLASSE,MATCH($I966,EMPL_KEY,0)),""))</f>
        <v/>
      </c>
      <c r="K966" s="26" t="str">
        <f aca="false">IF($M966=0,"",IFERROR(INDEX(LOT_PRODE,MATCH($G966,LOT_KEY,0)),""))</f>
        <v/>
      </c>
      <c r="L966" s="26" t="str">
        <f aca="false">IF($G966="","",IF(IFERROR(INDEX(LOT_ETAT,MATCH($G966,LOT_KEY,0)),"")="","",INDEX(LOT_ETAT,MATCH($G966,LOT_KEY,0))))</f>
        <v/>
      </c>
      <c r="M966" s="73" t="n">
        <f aca="false">IF(ST_RESULTATS!$Q216=0,0,ST_RESULTATS!$F216)</f>
        <v>0</v>
      </c>
      <c r="N966" s="73" t="n">
        <f aca="false">IF($M966=0,0,ST_RESULTATS!$U216*$M966)</f>
        <v>0</v>
      </c>
      <c r="O966" s="26" t="str">
        <f aca="false">IF($M966=0,"",ST_RESULTATS!$T216)</f>
        <v/>
      </c>
      <c r="P966" s="26" t="str">
        <f aca="false">IF($G966="","",IF($G966=R_LOT,COUNTIF($G$5:$G966,R_LOT),""))</f>
        <v/>
      </c>
    </row>
    <row r="967" customFormat="false" ht="15" hidden="false" customHeight="false" outlineLevel="0" collapsed="false">
      <c r="A967" s="28" t="str">
        <f aca="false">IF($M967=0,"",ROW()-4)</f>
        <v/>
      </c>
      <c r="B967" s="26" t="str">
        <f aca="false">IF($M967=0,"","RESULTAT ST")</f>
        <v/>
      </c>
      <c r="C967" s="26" t="str">
        <f aca="false">IF($M967=0,"",ST_RESULTATS!$A217)</f>
        <v/>
      </c>
      <c r="D967" s="31" t="str">
        <f aca="false">IF($M967=0,"",ST_RESULTATS!$W217)</f>
        <v/>
      </c>
      <c r="E967" s="26" t="str">
        <f aca="false">IF($M967=0,"","ENTREE")</f>
        <v/>
      </c>
      <c r="F967" s="26" t="str">
        <f aca="false">IF($M967=0,"","RETOUR SOUS-TRAITANCE")</f>
        <v/>
      </c>
      <c r="G967" s="26" t="str">
        <f aca="false">IF($M967=0,"",ST_RESULTATS!$N217)</f>
        <v/>
      </c>
      <c r="H967" s="26" t="str">
        <f aca="false">IF($G967="","",IFERROR(INDEX(LOT_EXTE,MATCH($G967,LOT_KEY,0)),""))</f>
        <v/>
      </c>
      <c r="I967" s="26" t="str">
        <f aca="false">IF($M967=0,"",ST_RESULTATS!$J217)</f>
        <v/>
      </c>
      <c r="J967" s="26" t="str">
        <f aca="false">IF($I967="","",IFERROR(INDEX(EMPL_CLASSE,MATCH($I967,EMPL_KEY,0)),""))</f>
        <v/>
      </c>
      <c r="K967" s="26" t="str">
        <f aca="false">IF($M967=0,"",IFERROR(INDEX(LOT_PRODE,MATCH($G967,LOT_KEY,0)),""))</f>
        <v/>
      </c>
      <c r="L967" s="26" t="str">
        <f aca="false">IF($G967="","",IF(IFERROR(INDEX(LOT_ETAT,MATCH($G967,LOT_KEY,0)),"")="","",INDEX(LOT_ETAT,MATCH($G967,LOT_KEY,0))))</f>
        <v/>
      </c>
      <c r="M967" s="73" t="n">
        <f aca="false">IF(ST_RESULTATS!$Q217=0,0,ST_RESULTATS!$F217)</f>
        <v>0</v>
      </c>
      <c r="N967" s="73" t="n">
        <f aca="false">IF($M967=0,0,ST_RESULTATS!$U217*$M967)</f>
        <v>0</v>
      </c>
      <c r="O967" s="26" t="str">
        <f aca="false">IF($M967=0,"",ST_RESULTATS!$T217)</f>
        <v/>
      </c>
      <c r="P967" s="26" t="str">
        <f aca="false">IF($G967="","",IF($G967=R_LOT,COUNTIF($G$5:$G967,R_LOT),""))</f>
        <v/>
      </c>
    </row>
    <row r="968" customFormat="false" ht="15" hidden="false" customHeight="false" outlineLevel="0" collapsed="false">
      <c r="A968" s="28" t="str">
        <f aca="false">IF($M968=0,"",ROW()-4)</f>
        <v/>
      </c>
      <c r="B968" s="26" t="str">
        <f aca="false">IF($M968=0,"","RESULTAT ST")</f>
        <v/>
      </c>
      <c r="C968" s="26" t="str">
        <f aca="false">IF($M968=0,"",ST_RESULTATS!$A218)</f>
        <v/>
      </c>
      <c r="D968" s="31" t="str">
        <f aca="false">IF($M968=0,"",ST_RESULTATS!$W218)</f>
        <v/>
      </c>
      <c r="E968" s="26" t="str">
        <f aca="false">IF($M968=0,"","ENTREE")</f>
        <v/>
      </c>
      <c r="F968" s="26" t="str">
        <f aca="false">IF($M968=0,"","RETOUR SOUS-TRAITANCE")</f>
        <v/>
      </c>
      <c r="G968" s="26" t="str">
        <f aca="false">IF($M968=0,"",ST_RESULTATS!$N218)</f>
        <v/>
      </c>
      <c r="H968" s="26" t="str">
        <f aca="false">IF($G968="","",IFERROR(INDEX(LOT_EXTE,MATCH($G968,LOT_KEY,0)),""))</f>
        <v/>
      </c>
      <c r="I968" s="26" t="str">
        <f aca="false">IF($M968=0,"",ST_RESULTATS!$J218)</f>
        <v/>
      </c>
      <c r="J968" s="26" t="str">
        <f aca="false">IF($I968="","",IFERROR(INDEX(EMPL_CLASSE,MATCH($I968,EMPL_KEY,0)),""))</f>
        <v/>
      </c>
      <c r="K968" s="26" t="str">
        <f aca="false">IF($M968=0,"",IFERROR(INDEX(LOT_PRODE,MATCH($G968,LOT_KEY,0)),""))</f>
        <v/>
      </c>
      <c r="L968" s="26" t="str">
        <f aca="false">IF($G968="","",IF(IFERROR(INDEX(LOT_ETAT,MATCH($G968,LOT_KEY,0)),"")="","",INDEX(LOT_ETAT,MATCH($G968,LOT_KEY,0))))</f>
        <v/>
      </c>
      <c r="M968" s="73" t="n">
        <f aca="false">IF(ST_RESULTATS!$Q218=0,0,ST_RESULTATS!$F218)</f>
        <v>0</v>
      </c>
      <c r="N968" s="73" t="n">
        <f aca="false">IF($M968=0,0,ST_RESULTATS!$U218*$M968)</f>
        <v>0</v>
      </c>
      <c r="O968" s="26" t="str">
        <f aca="false">IF($M968=0,"",ST_RESULTATS!$T218)</f>
        <v/>
      </c>
      <c r="P968" s="26" t="str">
        <f aca="false">IF($G968="","",IF($G968=R_LOT,COUNTIF($G$5:$G968,R_LOT),""))</f>
        <v/>
      </c>
    </row>
    <row r="969" customFormat="false" ht="15" hidden="false" customHeight="false" outlineLevel="0" collapsed="false">
      <c r="A969" s="28" t="str">
        <f aca="false">IF($M969=0,"",ROW()-4)</f>
        <v/>
      </c>
      <c r="B969" s="26" t="str">
        <f aca="false">IF($M969=0,"","RESULTAT ST")</f>
        <v/>
      </c>
      <c r="C969" s="26" t="str">
        <f aca="false">IF($M969=0,"",ST_RESULTATS!$A219)</f>
        <v/>
      </c>
      <c r="D969" s="31" t="str">
        <f aca="false">IF($M969=0,"",ST_RESULTATS!$W219)</f>
        <v/>
      </c>
      <c r="E969" s="26" t="str">
        <f aca="false">IF($M969=0,"","ENTREE")</f>
        <v/>
      </c>
      <c r="F969" s="26" t="str">
        <f aca="false">IF($M969=0,"","RETOUR SOUS-TRAITANCE")</f>
        <v/>
      </c>
      <c r="G969" s="26" t="str">
        <f aca="false">IF($M969=0,"",ST_RESULTATS!$N219)</f>
        <v/>
      </c>
      <c r="H969" s="26" t="str">
        <f aca="false">IF($G969="","",IFERROR(INDEX(LOT_EXTE,MATCH($G969,LOT_KEY,0)),""))</f>
        <v/>
      </c>
      <c r="I969" s="26" t="str">
        <f aca="false">IF($M969=0,"",ST_RESULTATS!$J219)</f>
        <v/>
      </c>
      <c r="J969" s="26" t="str">
        <f aca="false">IF($I969="","",IFERROR(INDEX(EMPL_CLASSE,MATCH($I969,EMPL_KEY,0)),""))</f>
        <v/>
      </c>
      <c r="K969" s="26" t="str">
        <f aca="false">IF($M969=0,"",IFERROR(INDEX(LOT_PRODE,MATCH($G969,LOT_KEY,0)),""))</f>
        <v/>
      </c>
      <c r="L969" s="26" t="str">
        <f aca="false">IF($G969="","",IF(IFERROR(INDEX(LOT_ETAT,MATCH($G969,LOT_KEY,0)),"")="","",INDEX(LOT_ETAT,MATCH($G969,LOT_KEY,0))))</f>
        <v/>
      </c>
      <c r="M969" s="73" t="n">
        <f aca="false">IF(ST_RESULTATS!$Q219=0,0,ST_RESULTATS!$F219)</f>
        <v>0</v>
      </c>
      <c r="N969" s="73" t="n">
        <f aca="false">IF($M969=0,0,ST_RESULTATS!$U219*$M969)</f>
        <v>0</v>
      </c>
      <c r="O969" s="26" t="str">
        <f aca="false">IF($M969=0,"",ST_RESULTATS!$T219)</f>
        <v/>
      </c>
      <c r="P969" s="26" t="str">
        <f aca="false">IF($G969="","",IF($G969=R_LOT,COUNTIF($G$5:$G969,R_LOT),""))</f>
        <v/>
      </c>
    </row>
    <row r="970" customFormat="false" ht="15" hidden="false" customHeight="false" outlineLevel="0" collapsed="false">
      <c r="A970" s="28" t="str">
        <f aca="false">IF($M970=0,"",ROW()-4)</f>
        <v/>
      </c>
      <c r="B970" s="26" t="str">
        <f aca="false">IF($M970=0,"","RESULTAT ST")</f>
        <v/>
      </c>
      <c r="C970" s="26" t="str">
        <f aca="false">IF($M970=0,"",ST_RESULTATS!$A220)</f>
        <v/>
      </c>
      <c r="D970" s="31" t="str">
        <f aca="false">IF($M970=0,"",ST_RESULTATS!$W220)</f>
        <v/>
      </c>
      <c r="E970" s="26" t="str">
        <f aca="false">IF($M970=0,"","ENTREE")</f>
        <v/>
      </c>
      <c r="F970" s="26" t="str">
        <f aca="false">IF($M970=0,"","RETOUR SOUS-TRAITANCE")</f>
        <v/>
      </c>
      <c r="G970" s="26" t="str">
        <f aca="false">IF($M970=0,"",ST_RESULTATS!$N220)</f>
        <v/>
      </c>
      <c r="H970" s="26" t="str">
        <f aca="false">IF($G970="","",IFERROR(INDEX(LOT_EXTE,MATCH($G970,LOT_KEY,0)),""))</f>
        <v/>
      </c>
      <c r="I970" s="26" t="str">
        <f aca="false">IF($M970=0,"",ST_RESULTATS!$J220)</f>
        <v/>
      </c>
      <c r="J970" s="26" t="str">
        <f aca="false">IF($I970="","",IFERROR(INDEX(EMPL_CLASSE,MATCH($I970,EMPL_KEY,0)),""))</f>
        <v/>
      </c>
      <c r="K970" s="26" t="str">
        <f aca="false">IF($M970=0,"",IFERROR(INDEX(LOT_PRODE,MATCH($G970,LOT_KEY,0)),""))</f>
        <v/>
      </c>
      <c r="L970" s="26" t="str">
        <f aca="false">IF($G970="","",IF(IFERROR(INDEX(LOT_ETAT,MATCH($G970,LOT_KEY,0)),"")="","",INDEX(LOT_ETAT,MATCH($G970,LOT_KEY,0))))</f>
        <v/>
      </c>
      <c r="M970" s="73" t="n">
        <f aca="false">IF(ST_RESULTATS!$Q220=0,0,ST_RESULTATS!$F220)</f>
        <v>0</v>
      </c>
      <c r="N970" s="73" t="n">
        <f aca="false">IF($M970=0,0,ST_RESULTATS!$U220*$M970)</f>
        <v>0</v>
      </c>
      <c r="O970" s="26" t="str">
        <f aca="false">IF($M970=0,"",ST_RESULTATS!$T220)</f>
        <v/>
      </c>
      <c r="P970" s="26" t="str">
        <f aca="false">IF($G970="","",IF($G970=R_LOT,COUNTIF($G$5:$G970,R_LOT),""))</f>
        <v/>
      </c>
    </row>
    <row r="971" customFormat="false" ht="15" hidden="false" customHeight="false" outlineLevel="0" collapsed="false">
      <c r="A971" s="28" t="str">
        <f aca="false">IF($M971=0,"",ROW()-4)</f>
        <v/>
      </c>
      <c r="B971" s="26" t="str">
        <f aca="false">IF($M971=0,"","RESULTAT ST")</f>
        <v/>
      </c>
      <c r="C971" s="26" t="str">
        <f aca="false">IF($M971=0,"",ST_RESULTATS!$A221)</f>
        <v/>
      </c>
      <c r="D971" s="31" t="str">
        <f aca="false">IF($M971=0,"",ST_RESULTATS!$W221)</f>
        <v/>
      </c>
      <c r="E971" s="26" t="str">
        <f aca="false">IF($M971=0,"","ENTREE")</f>
        <v/>
      </c>
      <c r="F971" s="26" t="str">
        <f aca="false">IF($M971=0,"","RETOUR SOUS-TRAITANCE")</f>
        <v/>
      </c>
      <c r="G971" s="26" t="str">
        <f aca="false">IF($M971=0,"",ST_RESULTATS!$N221)</f>
        <v/>
      </c>
      <c r="H971" s="26" t="str">
        <f aca="false">IF($G971="","",IFERROR(INDEX(LOT_EXTE,MATCH($G971,LOT_KEY,0)),""))</f>
        <v/>
      </c>
      <c r="I971" s="26" t="str">
        <f aca="false">IF($M971=0,"",ST_RESULTATS!$J221)</f>
        <v/>
      </c>
      <c r="J971" s="26" t="str">
        <f aca="false">IF($I971="","",IFERROR(INDEX(EMPL_CLASSE,MATCH($I971,EMPL_KEY,0)),""))</f>
        <v/>
      </c>
      <c r="K971" s="26" t="str">
        <f aca="false">IF($M971=0,"",IFERROR(INDEX(LOT_PRODE,MATCH($G971,LOT_KEY,0)),""))</f>
        <v/>
      </c>
      <c r="L971" s="26" t="str">
        <f aca="false">IF($G971="","",IF(IFERROR(INDEX(LOT_ETAT,MATCH($G971,LOT_KEY,0)),"")="","",INDEX(LOT_ETAT,MATCH($G971,LOT_KEY,0))))</f>
        <v/>
      </c>
      <c r="M971" s="73" t="n">
        <f aca="false">IF(ST_RESULTATS!$Q221=0,0,ST_RESULTATS!$F221)</f>
        <v>0</v>
      </c>
      <c r="N971" s="73" t="n">
        <f aca="false">IF($M971=0,0,ST_RESULTATS!$U221*$M971)</f>
        <v>0</v>
      </c>
      <c r="O971" s="26" t="str">
        <f aca="false">IF($M971=0,"",ST_RESULTATS!$T221)</f>
        <v/>
      </c>
      <c r="P971" s="26" t="str">
        <f aca="false">IF($G971="","",IF($G971=R_LOT,COUNTIF($G$5:$G971,R_LOT),""))</f>
        <v/>
      </c>
    </row>
    <row r="972" customFormat="false" ht="15" hidden="false" customHeight="false" outlineLevel="0" collapsed="false">
      <c r="A972" s="28" t="str">
        <f aca="false">IF($M972=0,"",ROW()-4)</f>
        <v/>
      </c>
      <c r="B972" s="26" t="str">
        <f aca="false">IF($M972=0,"","RESULTAT ST")</f>
        <v/>
      </c>
      <c r="C972" s="26" t="str">
        <f aca="false">IF($M972=0,"",ST_RESULTATS!$A222)</f>
        <v/>
      </c>
      <c r="D972" s="31" t="str">
        <f aca="false">IF($M972=0,"",ST_RESULTATS!$W222)</f>
        <v/>
      </c>
      <c r="E972" s="26" t="str">
        <f aca="false">IF($M972=0,"","ENTREE")</f>
        <v/>
      </c>
      <c r="F972" s="26" t="str">
        <f aca="false">IF($M972=0,"","RETOUR SOUS-TRAITANCE")</f>
        <v/>
      </c>
      <c r="G972" s="26" t="str">
        <f aca="false">IF($M972=0,"",ST_RESULTATS!$N222)</f>
        <v/>
      </c>
      <c r="H972" s="26" t="str">
        <f aca="false">IF($G972="","",IFERROR(INDEX(LOT_EXTE,MATCH($G972,LOT_KEY,0)),""))</f>
        <v/>
      </c>
      <c r="I972" s="26" t="str">
        <f aca="false">IF($M972=0,"",ST_RESULTATS!$J222)</f>
        <v/>
      </c>
      <c r="J972" s="26" t="str">
        <f aca="false">IF($I972="","",IFERROR(INDEX(EMPL_CLASSE,MATCH($I972,EMPL_KEY,0)),""))</f>
        <v/>
      </c>
      <c r="K972" s="26" t="str">
        <f aca="false">IF($M972=0,"",IFERROR(INDEX(LOT_PRODE,MATCH($G972,LOT_KEY,0)),""))</f>
        <v/>
      </c>
      <c r="L972" s="26" t="str">
        <f aca="false">IF($G972="","",IF(IFERROR(INDEX(LOT_ETAT,MATCH($G972,LOT_KEY,0)),"")="","",INDEX(LOT_ETAT,MATCH($G972,LOT_KEY,0))))</f>
        <v/>
      </c>
      <c r="M972" s="73" t="n">
        <f aca="false">IF(ST_RESULTATS!$Q222=0,0,ST_RESULTATS!$F222)</f>
        <v>0</v>
      </c>
      <c r="N972" s="73" t="n">
        <f aca="false">IF($M972=0,0,ST_RESULTATS!$U222*$M972)</f>
        <v>0</v>
      </c>
      <c r="O972" s="26" t="str">
        <f aca="false">IF($M972=0,"",ST_RESULTATS!$T222)</f>
        <v/>
      </c>
      <c r="P972" s="26" t="str">
        <f aca="false">IF($G972="","",IF($G972=R_LOT,COUNTIF($G$5:$G972,R_LOT),""))</f>
        <v/>
      </c>
    </row>
    <row r="973" customFormat="false" ht="15" hidden="false" customHeight="false" outlineLevel="0" collapsed="false">
      <c r="A973" s="28" t="str">
        <f aca="false">IF($M973=0,"",ROW()-4)</f>
        <v/>
      </c>
      <c r="B973" s="26" t="str">
        <f aca="false">IF($M973=0,"","RESULTAT ST")</f>
        <v/>
      </c>
      <c r="C973" s="26" t="str">
        <f aca="false">IF($M973=0,"",ST_RESULTATS!$A223)</f>
        <v/>
      </c>
      <c r="D973" s="31" t="str">
        <f aca="false">IF($M973=0,"",ST_RESULTATS!$W223)</f>
        <v/>
      </c>
      <c r="E973" s="26" t="str">
        <f aca="false">IF($M973=0,"","ENTREE")</f>
        <v/>
      </c>
      <c r="F973" s="26" t="str">
        <f aca="false">IF($M973=0,"","RETOUR SOUS-TRAITANCE")</f>
        <v/>
      </c>
      <c r="G973" s="26" t="str">
        <f aca="false">IF($M973=0,"",ST_RESULTATS!$N223)</f>
        <v/>
      </c>
      <c r="H973" s="26" t="str">
        <f aca="false">IF($G973="","",IFERROR(INDEX(LOT_EXTE,MATCH($G973,LOT_KEY,0)),""))</f>
        <v/>
      </c>
      <c r="I973" s="26" t="str">
        <f aca="false">IF($M973=0,"",ST_RESULTATS!$J223)</f>
        <v/>
      </c>
      <c r="J973" s="26" t="str">
        <f aca="false">IF($I973="","",IFERROR(INDEX(EMPL_CLASSE,MATCH($I973,EMPL_KEY,0)),""))</f>
        <v/>
      </c>
      <c r="K973" s="26" t="str">
        <f aca="false">IF($M973=0,"",IFERROR(INDEX(LOT_PRODE,MATCH($G973,LOT_KEY,0)),""))</f>
        <v/>
      </c>
      <c r="L973" s="26" t="str">
        <f aca="false">IF($G973="","",IF(IFERROR(INDEX(LOT_ETAT,MATCH($G973,LOT_KEY,0)),"")="","",INDEX(LOT_ETAT,MATCH($G973,LOT_KEY,0))))</f>
        <v/>
      </c>
      <c r="M973" s="73" t="n">
        <f aca="false">IF(ST_RESULTATS!$Q223=0,0,ST_RESULTATS!$F223)</f>
        <v>0</v>
      </c>
      <c r="N973" s="73" t="n">
        <f aca="false">IF($M973=0,0,ST_RESULTATS!$U223*$M973)</f>
        <v>0</v>
      </c>
      <c r="O973" s="26" t="str">
        <f aca="false">IF($M973=0,"",ST_RESULTATS!$T223)</f>
        <v/>
      </c>
      <c r="P973" s="26" t="str">
        <f aca="false">IF($G973="","",IF($G973=R_LOT,COUNTIF($G$5:$G973,R_LOT),""))</f>
        <v/>
      </c>
    </row>
    <row r="974" customFormat="false" ht="15" hidden="false" customHeight="false" outlineLevel="0" collapsed="false">
      <c r="A974" s="28" t="str">
        <f aca="false">IF($M974=0,"",ROW()-4)</f>
        <v/>
      </c>
      <c r="B974" s="26" t="str">
        <f aca="false">IF($M974=0,"","RESULTAT ST")</f>
        <v/>
      </c>
      <c r="C974" s="26" t="str">
        <f aca="false">IF($M974=0,"",ST_RESULTATS!$A224)</f>
        <v/>
      </c>
      <c r="D974" s="31" t="str">
        <f aca="false">IF($M974=0,"",ST_RESULTATS!$W224)</f>
        <v/>
      </c>
      <c r="E974" s="26" t="str">
        <f aca="false">IF($M974=0,"","ENTREE")</f>
        <v/>
      </c>
      <c r="F974" s="26" t="str">
        <f aca="false">IF($M974=0,"","RETOUR SOUS-TRAITANCE")</f>
        <v/>
      </c>
      <c r="G974" s="26" t="str">
        <f aca="false">IF($M974=0,"",ST_RESULTATS!$N224)</f>
        <v/>
      </c>
      <c r="H974" s="26" t="str">
        <f aca="false">IF($G974="","",IFERROR(INDEX(LOT_EXTE,MATCH($G974,LOT_KEY,0)),""))</f>
        <v/>
      </c>
      <c r="I974" s="26" t="str">
        <f aca="false">IF($M974=0,"",ST_RESULTATS!$J224)</f>
        <v/>
      </c>
      <c r="J974" s="26" t="str">
        <f aca="false">IF($I974="","",IFERROR(INDEX(EMPL_CLASSE,MATCH($I974,EMPL_KEY,0)),""))</f>
        <v/>
      </c>
      <c r="K974" s="26" t="str">
        <f aca="false">IF($M974=0,"",IFERROR(INDEX(LOT_PRODE,MATCH($G974,LOT_KEY,0)),""))</f>
        <v/>
      </c>
      <c r="L974" s="26" t="str">
        <f aca="false">IF($G974="","",IF(IFERROR(INDEX(LOT_ETAT,MATCH($G974,LOT_KEY,0)),"")="","",INDEX(LOT_ETAT,MATCH($G974,LOT_KEY,0))))</f>
        <v/>
      </c>
      <c r="M974" s="73" t="n">
        <f aca="false">IF(ST_RESULTATS!$Q224=0,0,ST_RESULTATS!$F224)</f>
        <v>0</v>
      </c>
      <c r="N974" s="73" t="n">
        <f aca="false">IF($M974=0,0,ST_RESULTATS!$U224*$M974)</f>
        <v>0</v>
      </c>
      <c r="O974" s="26" t="str">
        <f aca="false">IF($M974=0,"",ST_RESULTATS!$T224)</f>
        <v/>
      </c>
      <c r="P974" s="26" t="str">
        <f aca="false">IF($G974="","",IF($G974=R_LOT,COUNTIF($G$5:$G974,R_LOT),""))</f>
        <v/>
      </c>
    </row>
    <row r="975" customFormat="false" ht="15" hidden="false" customHeight="false" outlineLevel="0" collapsed="false">
      <c r="A975" s="28" t="str">
        <f aca="false">IF($M975=0,"",ROW()-4)</f>
        <v/>
      </c>
      <c r="B975" s="26" t="str">
        <f aca="false">IF($M975=0,"","RESULTAT ST")</f>
        <v/>
      </c>
      <c r="C975" s="26" t="str">
        <f aca="false">IF($M975=0,"",ST_RESULTATS!$A225)</f>
        <v/>
      </c>
      <c r="D975" s="31" t="str">
        <f aca="false">IF($M975=0,"",ST_RESULTATS!$W225)</f>
        <v/>
      </c>
      <c r="E975" s="26" t="str">
        <f aca="false">IF($M975=0,"","ENTREE")</f>
        <v/>
      </c>
      <c r="F975" s="26" t="str">
        <f aca="false">IF($M975=0,"","RETOUR SOUS-TRAITANCE")</f>
        <v/>
      </c>
      <c r="G975" s="26" t="str">
        <f aca="false">IF($M975=0,"",ST_RESULTATS!$N225)</f>
        <v/>
      </c>
      <c r="H975" s="26" t="str">
        <f aca="false">IF($G975="","",IFERROR(INDEX(LOT_EXTE,MATCH($G975,LOT_KEY,0)),""))</f>
        <v/>
      </c>
      <c r="I975" s="26" t="str">
        <f aca="false">IF($M975=0,"",ST_RESULTATS!$J225)</f>
        <v/>
      </c>
      <c r="J975" s="26" t="str">
        <f aca="false">IF($I975="","",IFERROR(INDEX(EMPL_CLASSE,MATCH($I975,EMPL_KEY,0)),""))</f>
        <v/>
      </c>
      <c r="K975" s="26" t="str">
        <f aca="false">IF($M975=0,"",IFERROR(INDEX(LOT_PRODE,MATCH($G975,LOT_KEY,0)),""))</f>
        <v/>
      </c>
      <c r="L975" s="26" t="str">
        <f aca="false">IF($G975="","",IF(IFERROR(INDEX(LOT_ETAT,MATCH($G975,LOT_KEY,0)),"")="","",INDEX(LOT_ETAT,MATCH($G975,LOT_KEY,0))))</f>
        <v/>
      </c>
      <c r="M975" s="73" t="n">
        <f aca="false">IF(ST_RESULTATS!$Q225=0,0,ST_RESULTATS!$F225)</f>
        <v>0</v>
      </c>
      <c r="N975" s="73" t="n">
        <f aca="false">IF($M975=0,0,ST_RESULTATS!$U225*$M975)</f>
        <v>0</v>
      </c>
      <c r="O975" s="26" t="str">
        <f aca="false">IF($M975=0,"",ST_RESULTATS!$T225)</f>
        <v/>
      </c>
      <c r="P975" s="26" t="str">
        <f aca="false">IF($G975="","",IF($G975=R_LOT,COUNTIF($G$5:$G975,R_LOT),""))</f>
        <v/>
      </c>
    </row>
    <row r="976" customFormat="false" ht="15" hidden="false" customHeight="false" outlineLevel="0" collapsed="false">
      <c r="A976" s="28" t="str">
        <f aca="false">IF($M976=0,"",ROW()-4)</f>
        <v/>
      </c>
      <c r="B976" s="26" t="str">
        <f aca="false">IF($M976=0,"","RESULTAT ST")</f>
        <v/>
      </c>
      <c r="C976" s="26" t="str">
        <f aca="false">IF($M976=0,"",ST_RESULTATS!$A226)</f>
        <v/>
      </c>
      <c r="D976" s="31" t="str">
        <f aca="false">IF($M976=0,"",ST_RESULTATS!$W226)</f>
        <v/>
      </c>
      <c r="E976" s="26" t="str">
        <f aca="false">IF($M976=0,"","ENTREE")</f>
        <v/>
      </c>
      <c r="F976" s="26" t="str">
        <f aca="false">IF($M976=0,"","RETOUR SOUS-TRAITANCE")</f>
        <v/>
      </c>
      <c r="G976" s="26" t="str">
        <f aca="false">IF($M976=0,"",ST_RESULTATS!$N226)</f>
        <v/>
      </c>
      <c r="H976" s="26" t="str">
        <f aca="false">IF($G976="","",IFERROR(INDEX(LOT_EXTE,MATCH($G976,LOT_KEY,0)),""))</f>
        <v/>
      </c>
      <c r="I976" s="26" t="str">
        <f aca="false">IF($M976=0,"",ST_RESULTATS!$J226)</f>
        <v/>
      </c>
      <c r="J976" s="26" t="str">
        <f aca="false">IF($I976="","",IFERROR(INDEX(EMPL_CLASSE,MATCH($I976,EMPL_KEY,0)),""))</f>
        <v/>
      </c>
      <c r="K976" s="26" t="str">
        <f aca="false">IF($M976=0,"",IFERROR(INDEX(LOT_PRODE,MATCH($G976,LOT_KEY,0)),""))</f>
        <v/>
      </c>
      <c r="L976" s="26" t="str">
        <f aca="false">IF($G976="","",IF(IFERROR(INDEX(LOT_ETAT,MATCH($G976,LOT_KEY,0)),"")="","",INDEX(LOT_ETAT,MATCH($G976,LOT_KEY,0))))</f>
        <v/>
      </c>
      <c r="M976" s="73" t="n">
        <f aca="false">IF(ST_RESULTATS!$Q226=0,0,ST_RESULTATS!$F226)</f>
        <v>0</v>
      </c>
      <c r="N976" s="73" t="n">
        <f aca="false">IF($M976=0,0,ST_RESULTATS!$U226*$M976)</f>
        <v>0</v>
      </c>
      <c r="O976" s="26" t="str">
        <f aca="false">IF($M976=0,"",ST_RESULTATS!$T226)</f>
        <v/>
      </c>
      <c r="P976" s="26" t="str">
        <f aca="false">IF($G976="","",IF($G976=R_LOT,COUNTIF($G$5:$G976,R_LOT),""))</f>
        <v/>
      </c>
    </row>
    <row r="977" customFormat="false" ht="15" hidden="false" customHeight="false" outlineLevel="0" collapsed="false">
      <c r="A977" s="28" t="str">
        <f aca="false">IF($M977=0,"",ROW()-4)</f>
        <v/>
      </c>
      <c r="B977" s="26" t="str">
        <f aca="false">IF($M977=0,"","RESULTAT ST")</f>
        <v/>
      </c>
      <c r="C977" s="26" t="str">
        <f aca="false">IF($M977=0,"",ST_RESULTATS!$A227)</f>
        <v/>
      </c>
      <c r="D977" s="31" t="str">
        <f aca="false">IF($M977=0,"",ST_RESULTATS!$W227)</f>
        <v/>
      </c>
      <c r="E977" s="26" t="str">
        <f aca="false">IF($M977=0,"","ENTREE")</f>
        <v/>
      </c>
      <c r="F977" s="26" t="str">
        <f aca="false">IF($M977=0,"","RETOUR SOUS-TRAITANCE")</f>
        <v/>
      </c>
      <c r="G977" s="26" t="str">
        <f aca="false">IF($M977=0,"",ST_RESULTATS!$N227)</f>
        <v/>
      </c>
      <c r="H977" s="26" t="str">
        <f aca="false">IF($G977="","",IFERROR(INDEX(LOT_EXTE,MATCH($G977,LOT_KEY,0)),""))</f>
        <v/>
      </c>
      <c r="I977" s="26" t="str">
        <f aca="false">IF($M977=0,"",ST_RESULTATS!$J227)</f>
        <v/>
      </c>
      <c r="J977" s="26" t="str">
        <f aca="false">IF($I977="","",IFERROR(INDEX(EMPL_CLASSE,MATCH($I977,EMPL_KEY,0)),""))</f>
        <v/>
      </c>
      <c r="K977" s="26" t="str">
        <f aca="false">IF($M977=0,"",IFERROR(INDEX(LOT_PRODE,MATCH($G977,LOT_KEY,0)),""))</f>
        <v/>
      </c>
      <c r="L977" s="26" t="str">
        <f aca="false">IF($G977="","",IF(IFERROR(INDEX(LOT_ETAT,MATCH($G977,LOT_KEY,0)),"")="","",INDEX(LOT_ETAT,MATCH($G977,LOT_KEY,0))))</f>
        <v/>
      </c>
      <c r="M977" s="73" t="n">
        <f aca="false">IF(ST_RESULTATS!$Q227=0,0,ST_RESULTATS!$F227)</f>
        <v>0</v>
      </c>
      <c r="N977" s="73" t="n">
        <f aca="false">IF($M977=0,0,ST_RESULTATS!$U227*$M977)</f>
        <v>0</v>
      </c>
      <c r="O977" s="26" t="str">
        <f aca="false">IF($M977=0,"",ST_RESULTATS!$T227)</f>
        <v/>
      </c>
      <c r="P977" s="26" t="str">
        <f aca="false">IF($G977="","",IF($G977=R_LOT,COUNTIF($G$5:$G977,R_LOT),""))</f>
        <v/>
      </c>
    </row>
    <row r="978" customFormat="false" ht="15" hidden="false" customHeight="false" outlineLevel="0" collapsed="false">
      <c r="A978" s="28" t="str">
        <f aca="false">IF($M978=0,"",ROW()-4)</f>
        <v/>
      </c>
      <c r="B978" s="26" t="str">
        <f aca="false">IF($M978=0,"","RESULTAT ST")</f>
        <v/>
      </c>
      <c r="C978" s="26" t="str">
        <f aca="false">IF($M978=0,"",ST_RESULTATS!$A228)</f>
        <v/>
      </c>
      <c r="D978" s="31" t="str">
        <f aca="false">IF($M978=0,"",ST_RESULTATS!$W228)</f>
        <v/>
      </c>
      <c r="E978" s="26" t="str">
        <f aca="false">IF($M978=0,"","ENTREE")</f>
        <v/>
      </c>
      <c r="F978" s="26" t="str">
        <f aca="false">IF($M978=0,"","RETOUR SOUS-TRAITANCE")</f>
        <v/>
      </c>
      <c r="G978" s="26" t="str">
        <f aca="false">IF($M978=0,"",ST_RESULTATS!$N228)</f>
        <v/>
      </c>
      <c r="H978" s="26" t="str">
        <f aca="false">IF($G978="","",IFERROR(INDEX(LOT_EXTE,MATCH($G978,LOT_KEY,0)),""))</f>
        <v/>
      </c>
      <c r="I978" s="26" t="str">
        <f aca="false">IF($M978=0,"",ST_RESULTATS!$J228)</f>
        <v/>
      </c>
      <c r="J978" s="26" t="str">
        <f aca="false">IF($I978="","",IFERROR(INDEX(EMPL_CLASSE,MATCH($I978,EMPL_KEY,0)),""))</f>
        <v/>
      </c>
      <c r="K978" s="26" t="str">
        <f aca="false">IF($M978=0,"",IFERROR(INDEX(LOT_PRODE,MATCH($G978,LOT_KEY,0)),""))</f>
        <v/>
      </c>
      <c r="L978" s="26" t="str">
        <f aca="false">IF($G978="","",IF(IFERROR(INDEX(LOT_ETAT,MATCH($G978,LOT_KEY,0)),"")="","",INDEX(LOT_ETAT,MATCH($G978,LOT_KEY,0))))</f>
        <v/>
      </c>
      <c r="M978" s="73" t="n">
        <f aca="false">IF(ST_RESULTATS!$Q228=0,0,ST_RESULTATS!$F228)</f>
        <v>0</v>
      </c>
      <c r="N978" s="73" t="n">
        <f aca="false">IF($M978=0,0,ST_RESULTATS!$U228*$M978)</f>
        <v>0</v>
      </c>
      <c r="O978" s="26" t="str">
        <f aca="false">IF($M978=0,"",ST_RESULTATS!$T228)</f>
        <v/>
      </c>
      <c r="P978" s="26" t="str">
        <f aca="false">IF($G978="","",IF($G978=R_LOT,COUNTIF($G$5:$G978,R_LOT),""))</f>
        <v/>
      </c>
    </row>
    <row r="979" customFormat="false" ht="15" hidden="false" customHeight="false" outlineLevel="0" collapsed="false">
      <c r="A979" s="28" t="str">
        <f aca="false">IF($M979=0,"",ROW()-4)</f>
        <v/>
      </c>
      <c r="B979" s="26" t="str">
        <f aca="false">IF($M979=0,"","RESULTAT ST")</f>
        <v/>
      </c>
      <c r="C979" s="26" t="str">
        <f aca="false">IF($M979=0,"",ST_RESULTATS!$A229)</f>
        <v/>
      </c>
      <c r="D979" s="31" t="str">
        <f aca="false">IF($M979=0,"",ST_RESULTATS!$W229)</f>
        <v/>
      </c>
      <c r="E979" s="26" t="str">
        <f aca="false">IF($M979=0,"","ENTREE")</f>
        <v/>
      </c>
      <c r="F979" s="26" t="str">
        <f aca="false">IF($M979=0,"","RETOUR SOUS-TRAITANCE")</f>
        <v/>
      </c>
      <c r="G979" s="26" t="str">
        <f aca="false">IF($M979=0,"",ST_RESULTATS!$N229)</f>
        <v/>
      </c>
      <c r="H979" s="26" t="str">
        <f aca="false">IF($G979="","",IFERROR(INDEX(LOT_EXTE,MATCH($G979,LOT_KEY,0)),""))</f>
        <v/>
      </c>
      <c r="I979" s="26" t="str">
        <f aca="false">IF($M979=0,"",ST_RESULTATS!$J229)</f>
        <v/>
      </c>
      <c r="J979" s="26" t="str">
        <f aca="false">IF($I979="","",IFERROR(INDEX(EMPL_CLASSE,MATCH($I979,EMPL_KEY,0)),""))</f>
        <v/>
      </c>
      <c r="K979" s="26" t="str">
        <f aca="false">IF($M979=0,"",IFERROR(INDEX(LOT_PRODE,MATCH($G979,LOT_KEY,0)),""))</f>
        <v/>
      </c>
      <c r="L979" s="26" t="str">
        <f aca="false">IF($G979="","",IF(IFERROR(INDEX(LOT_ETAT,MATCH($G979,LOT_KEY,0)),"")="","",INDEX(LOT_ETAT,MATCH($G979,LOT_KEY,0))))</f>
        <v/>
      </c>
      <c r="M979" s="73" t="n">
        <f aca="false">IF(ST_RESULTATS!$Q229=0,0,ST_RESULTATS!$F229)</f>
        <v>0</v>
      </c>
      <c r="N979" s="73" t="n">
        <f aca="false">IF($M979=0,0,ST_RESULTATS!$U229*$M979)</f>
        <v>0</v>
      </c>
      <c r="O979" s="26" t="str">
        <f aca="false">IF($M979=0,"",ST_RESULTATS!$T229)</f>
        <v/>
      </c>
      <c r="P979" s="26" t="str">
        <f aca="false">IF($G979="","",IF($G979=R_LOT,COUNTIF($G$5:$G979,R_LOT),""))</f>
        <v/>
      </c>
    </row>
    <row r="980" customFormat="false" ht="15" hidden="false" customHeight="false" outlineLevel="0" collapsed="false">
      <c r="A980" s="28" t="str">
        <f aca="false">IF($M980=0,"",ROW()-4)</f>
        <v/>
      </c>
      <c r="B980" s="26" t="str">
        <f aca="false">IF($M980=0,"","RESULTAT ST")</f>
        <v/>
      </c>
      <c r="C980" s="26" t="str">
        <f aca="false">IF($M980=0,"",ST_RESULTATS!$A230)</f>
        <v/>
      </c>
      <c r="D980" s="31" t="str">
        <f aca="false">IF($M980=0,"",ST_RESULTATS!$W230)</f>
        <v/>
      </c>
      <c r="E980" s="26" t="str">
        <f aca="false">IF($M980=0,"","ENTREE")</f>
        <v/>
      </c>
      <c r="F980" s="26" t="str">
        <f aca="false">IF($M980=0,"","RETOUR SOUS-TRAITANCE")</f>
        <v/>
      </c>
      <c r="G980" s="26" t="str">
        <f aca="false">IF($M980=0,"",ST_RESULTATS!$N230)</f>
        <v/>
      </c>
      <c r="H980" s="26" t="str">
        <f aca="false">IF($G980="","",IFERROR(INDEX(LOT_EXTE,MATCH($G980,LOT_KEY,0)),""))</f>
        <v/>
      </c>
      <c r="I980" s="26" t="str">
        <f aca="false">IF($M980=0,"",ST_RESULTATS!$J230)</f>
        <v/>
      </c>
      <c r="J980" s="26" t="str">
        <f aca="false">IF($I980="","",IFERROR(INDEX(EMPL_CLASSE,MATCH($I980,EMPL_KEY,0)),""))</f>
        <v/>
      </c>
      <c r="K980" s="26" t="str">
        <f aca="false">IF($M980=0,"",IFERROR(INDEX(LOT_PRODE,MATCH($G980,LOT_KEY,0)),""))</f>
        <v/>
      </c>
      <c r="L980" s="26" t="str">
        <f aca="false">IF($G980="","",IF(IFERROR(INDEX(LOT_ETAT,MATCH($G980,LOT_KEY,0)),"")="","",INDEX(LOT_ETAT,MATCH($G980,LOT_KEY,0))))</f>
        <v/>
      </c>
      <c r="M980" s="73" t="n">
        <f aca="false">IF(ST_RESULTATS!$Q230=0,0,ST_RESULTATS!$F230)</f>
        <v>0</v>
      </c>
      <c r="N980" s="73" t="n">
        <f aca="false">IF($M980=0,0,ST_RESULTATS!$U230*$M980)</f>
        <v>0</v>
      </c>
      <c r="O980" s="26" t="str">
        <f aca="false">IF($M980=0,"",ST_RESULTATS!$T230)</f>
        <v/>
      </c>
      <c r="P980" s="26" t="str">
        <f aca="false">IF($G980="","",IF($G980=R_LOT,COUNTIF($G$5:$G980,R_LOT),""))</f>
        <v/>
      </c>
    </row>
    <row r="981" customFormat="false" ht="15" hidden="false" customHeight="false" outlineLevel="0" collapsed="false">
      <c r="A981" s="28" t="str">
        <f aca="false">IF($M981=0,"",ROW()-4)</f>
        <v/>
      </c>
      <c r="B981" s="26" t="str">
        <f aca="false">IF($M981=0,"","RESULTAT ST")</f>
        <v/>
      </c>
      <c r="C981" s="26" t="str">
        <f aca="false">IF($M981=0,"",ST_RESULTATS!$A231)</f>
        <v/>
      </c>
      <c r="D981" s="31" t="str">
        <f aca="false">IF($M981=0,"",ST_RESULTATS!$W231)</f>
        <v/>
      </c>
      <c r="E981" s="26" t="str">
        <f aca="false">IF($M981=0,"","ENTREE")</f>
        <v/>
      </c>
      <c r="F981" s="26" t="str">
        <f aca="false">IF($M981=0,"","RETOUR SOUS-TRAITANCE")</f>
        <v/>
      </c>
      <c r="G981" s="26" t="str">
        <f aca="false">IF($M981=0,"",ST_RESULTATS!$N231)</f>
        <v/>
      </c>
      <c r="H981" s="26" t="str">
        <f aca="false">IF($G981="","",IFERROR(INDEX(LOT_EXTE,MATCH($G981,LOT_KEY,0)),""))</f>
        <v/>
      </c>
      <c r="I981" s="26" t="str">
        <f aca="false">IF($M981=0,"",ST_RESULTATS!$J231)</f>
        <v/>
      </c>
      <c r="J981" s="26" t="str">
        <f aca="false">IF($I981="","",IFERROR(INDEX(EMPL_CLASSE,MATCH($I981,EMPL_KEY,0)),""))</f>
        <v/>
      </c>
      <c r="K981" s="26" t="str">
        <f aca="false">IF($M981=0,"",IFERROR(INDEX(LOT_PRODE,MATCH($G981,LOT_KEY,0)),""))</f>
        <v/>
      </c>
      <c r="L981" s="26" t="str">
        <f aca="false">IF($G981="","",IF(IFERROR(INDEX(LOT_ETAT,MATCH($G981,LOT_KEY,0)),"")="","",INDEX(LOT_ETAT,MATCH($G981,LOT_KEY,0))))</f>
        <v/>
      </c>
      <c r="M981" s="73" t="n">
        <f aca="false">IF(ST_RESULTATS!$Q231=0,0,ST_RESULTATS!$F231)</f>
        <v>0</v>
      </c>
      <c r="N981" s="73" t="n">
        <f aca="false">IF($M981=0,0,ST_RESULTATS!$U231*$M981)</f>
        <v>0</v>
      </c>
      <c r="O981" s="26" t="str">
        <f aca="false">IF($M981=0,"",ST_RESULTATS!$T231)</f>
        <v/>
      </c>
      <c r="P981" s="26" t="str">
        <f aca="false">IF($G981="","",IF($G981=R_LOT,COUNTIF($G$5:$G981,R_LOT),""))</f>
        <v/>
      </c>
    </row>
    <row r="982" customFormat="false" ht="15" hidden="false" customHeight="false" outlineLevel="0" collapsed="false">
      <c r="A982" s="28" t="str">
        <f aca="false">IF($M982=0,"",ROW()-4)</f>
        <v/>
      </c>
      <c r="B982" s="26" t="str">
        <f aca="false">IF($M982=0,"","RESULTAT ST")</f>
        <v/>
      </c>
      <c r="C982" s="26" t="str">
        <f aca="false">IF($M982=0,"",ST_RESULTATS!$A232)</f>
        <v/>
      </c>
      <c r="D982" s="31" t="str">
        <f aca="false">IF($M982=0,"",ST_RESULTATS!$W232)</f>
        <v/>
      </c>
      <c r="E982" s="26" t="str">
        <f aca="false">IF($M982=0,"","ENTREE")</f>
        <v/>
      </c>
      <c r="F982" s="26" t="str">
        <f aca="false">IF($M982=0,"","RETOUR SOUS-TRAITANCE")</f>
        <v/>
      </c>
      <c r="G982" s="26" t="str">
        <f aca="false">IF($M982=0,"",ST_RESULTATS!$N232)</f>
        <v/>
      </c>
      <c r="H982" s="26" t="str">
        <f aca="false">IF($G982="","",IFERROR(INDEX(LOT_EXTE,MATCH($G982,LOT_KEY,0)),""))</f>
        <v/>
      </c>
      <c r="I982" s="26" t="str">
        <f aca="false">IF($M982=0,"",ST_RESULTATS!$J232)</f>
        <v/>
      </c>
      <c r="J982" s="26" t="str">
        <f aca="false">IF($I982="","",IFERROR(INDEX(EMPL_CLASSE,MATCH($I982,EMPL_KEY,0)),""))</f>
        <v/>
      </c>
      <c r="K982" s="26" t="str">
        <f aca="false">IF($M982=0,"",IFERROR(INDEX(LOT_PRODE,MATCH($G982,LOT_KEY,0)),""))</f>
        <v/>
      </c>
      <c r="L982" s="26" t="str">
        <f aca="false">IF($G982="","",IF(IFERROR(INDEX(LOT_ETAT,MATCH($G982,LOT_KEY,0)),"")="","",INDEX(LOT_ETAT,MATCH($G982,LOT_KEY,0))))</f>
        <v/>
      </c>
      <c r="M982" s="73" t="n">
        <f aca="false">IF(ST_RESULTATS!$Q232=0,0,ST_RESULTATS!$F232)</f>
        <v>0</v>
      </c>
      <c r="N982" s="73" t="n">
        <f aca="false">IF($M982=0,0,ST_RESULTATS!$U232*$M982)</f>
        <v>0</v>
      </c>
      <c r="O982" s="26" t="str">
        <f aca="false">IF($M982=0,"",ST_RESULTATS!$T232)</f>
        <v/>
      </c>
      <c r="P982" s="26" t="str">
        <f aca="false">IF($G982="","",IF($G982=R_LOT,COUNTIF($G$5:$G982,R_LOT),""))</f>
        <v/>
      </c>
    </row>
    <row r="983" customFormat="false" ht="15" hidden="false" customHeight="false" outlineLevel="0" collapsed="false">
      <c r="A983" s="28" t="str">
        <f aca="false">IF($M983=0,"",ROW()-4)</f>
        <v/>
      </c>
      <c r="B983" s="26" t="str">
        <f aca="false">IF($M983=0,"","RESULTAT ST")</f>
        <v/>
      </c>
      <c r="C983" s="26" t="str">
        <f aca="false">IF($M983=0,"",ST_RESULTATS!$A233)</f>
        <v/>
      </c>
      <c r="D983" s="31" t="str">
        <f aca="false">IF($M983=0,"",ST_RESULTATS!$W233)</f>
        <v/>
      </c>
      <c r="E983" s="26" t="str">
        <f aca="false">IF($M983=0,"","ENTREE")</f>
        <v/>
      </c>
      <c r="F983" s="26" t="str">
        <f aca="false">IF($M983=0,"","RETOUR SOUS-TRAITANCE")</f>
        <v/>
      </c>
      <c r="G983" s="26" t="str">
        <f aca="false">IF($M983=0,"",ST_RESULTATS!$N233)</f>
        <v/>
      </c>
      <c r="H983" s="26" t="str">
        <f aca="false">IF($G983="","",IFERROR(INDEX(LOT_EXTE,MATCH($G983,LOT_KEY,0)),""))</f>
        <v/>
      </c>
      <c r="I983" s="26" t="str">
        <f aca="false">IF($M983=0,"",ST_RESULTATS!$J233)</f>
        <v/>
      </c>
      <c r="J983" s="26" t="str">
        <f aca="false">IF($I983="","",IFERROR(INDEX(EMPL_CLASSE,MATCH($I983,EMPL_KEY,0)),""))</f>
        <v/>
      </c>
      <c r="K983" s="26" t="str">
        <f aca="false">IF($M983=0,"",IFERROR(INDEX(LOT_PRODE,MATCH($G983,LOT_KEY,0)),""))</f>
        <v/>
      </c>
      <c r="L983" s="26" t="str">
        <f aca="false">IF($G983="","",IF(IFERROR(INDEX(LOT_ETAT,MATCH($G983,LOT_KEY,0)),"")="","",INDEX(LOT_ETAT,MATCH($G983,LOT_KEY,0))))</f>
        <v/>
      </c>
      <c r="M983" s="73" t="n">
        <f aca="false">IF(ST_RESULTATS!$Q233=0,0,ST_RESULTATS!$F233)</f>
        <v>0</v>
      </c>
      <c r="N983" s="73" t="n">
        <f aca="false">IF($M983=0,0,ST_RESULTATS!$U233*$M983)</f>
        <v>0</v>
      </c>
      <c r="O983" s="26" t="str">
        <f aca="false">IF($M983=0,"",ST_RESULTATS!$T233)</f>
        <v/>
      </c>
      <c r="P983" s="26" t="str">
        <f aca="false">IF($G983="","",IF($G983=R_LOT,COUNTIF($G$5:$G983,R_LOT),""))</f>
        <v/>
      </c>
    </row>
    <row r="984" customFormat="false" ht="15" hidden="false" customHeight="false" outlineLevel="0" collapsed="false">
      <c r="A984" s="28" t="str">
        <f aca="false">IF($M984=0,"",ROW()-4)</f>
        <v/>
      </c>
      <c r="B984" s="26" t="str">
        <f aca="false">IF($M984=0,"","RESULTAT ST")</f>
        <v/>
      </c>
      <c r="C984" s="26" t="str">
        <f aca="false">IF($M984=0,"",ST_RESULTATS!$A234)</f>
        <v/>
      </c>
      <c r="D984" s="31" t="str">
        <f aca="false">IF($M984=0,"",ST_RESULTATS!$W234)</f>
        <v/>
      </c>
      <c r="E984" s="26" t="str">
        <f aca="false">IF($M984=0,"","ENTREE")</f>
        <v/>
      </c>
      <c r="F984" s="26" t="str">
        <f aca="false">IF($M984=0,"","RETOUR SOUS-TRAITANCE")</f>
        <v/>
      </c>
      <c r="G984" s="26" t="str">
        <f aca="false">IF($M984=0,"",ST_RESULTATS!$N234)</f>
        <v/>
      </c>
      <c r="H984" s="26" t="str">
        <f aca="false">IF($G984="","",IFERROR(INDEX(LOT_EXTE,MATCH($G984,LOT_KEY,0)),""))</f>
        <v/>
      </c>
      <c r="I984" s="26" t="str">
        <f aca="false">IF($M984=0,"",ST_RESULTATS!$J234)</f>
        <v/>
      </c>
      <c r="J984" s="26" t="str">
        <f aca="false">IF($I984="","",IFERROR(INDEX(EMPL_CLASSE,MATCH($I984,EMPL_KEY,0)),""))</f>
        <v/>
      </c>
      <c r="K984" s="26" t="str">
        <f aca="false">IF($M984=0,"",IFERROR(INDEX(LOT_PRODE,MATCH($G984,LOT_KEY,0)),""))</f>
        <v/>
      </c>
      <c r="L984" s="26" t="str">
        <f aca="false">IF($G984="","",IF(IFERROR(INDEX(LOT_ETAT,MATCH($G984,LOT_KEY,0)),"")="","",INDEX(LOT_ETAT,MATCH($G984,LOT_KEY,0))))</f>
        <v/>
      </c>
      <c r="M984" s="73" t="n">
        <f aca="false">IF(ST_RESULTATS!$Q234=0,0,ST_RESULTATS!$F234)</f>
        <v>0</v>
      </c>
      <c r="N984" s="73" t="n">
        <f aca="false">IF($M984=0,0,ST_RESULTATS!$U234*$M984)</f>
        <v>0</v>
      </c>
      <c r="O984" s="26" t="str">
        <f aca="false">IF($M984=0,"",ST_RESULTATS!$T234)</f>
        <v/>
      </c>
      <c r="P984" s="26" t="str">
        <f aca="false">IF($G984="","",IF($G984=R_LOT,COUNTIF($G$5:$G984,R_LOT),""))</f>
        <v/>
      </c>
    </row>
    <row r="985" customFormat="false" ht="15" hidden="false" customHeight="false" outlineLevel="0" collapsed="false">
      <c r="A985" s="28" t="str">
        <f aca="false">IF($M985=0,"",ROW()-4)</f>
        <v/>
      </c>
      <c r="B985" s="26" t="str">
        <f aca="false">IF($M985=0,"","RESULTAT ST")</f>
        <v/>
      </c>
      <c r="C985" s="26" t="str">
        <f aca="false">IF($M985=0,"",ST_RESULTATS!$A235)</f>
        <v/>
      </c>
      <c r="D985" s="31" t="str">
        <f aca="false">IF($M985=0,"",ST_RESULTATS!$W235)</f>
        <v/>
      </c>
      <c r="E985" s="26" t="str">
        <f aca="false">IF($M985=0,"","ENTREE")</f>
        <v/>
      </c>
      <c r="F985" s="26" t="str">
        <f aca="false">IF($M985=0,"","RETOUR SOUS-TRAITANCE")</f>
        <v/>
      </c>
      <c r="G985" s="26" t="str">
        <f aca="false">IF($M985=0,"",ST_RESULTATS!$N235)</f>
        <v/>
      </c>
      <c r="H985" s="26" t="str">
        <f aca="false">IF($G985="","",IFERROR(INDEX(LOT_EXTE,MATCH($G985,LOT_KEY,0)),""))</f>
        <v/>
      </c>
      <c r="I985" s="26" t="str">
        <f aca="false">IF($M985=0,"",ST_RESULTATS!$J235)</f>
        <v/>
      </c>
      <c r="J985" s="26" t="str">
        <f aca="false">IF($I985="","",IFERROR(INDEX(EMPL_CLASSE,MATCH($I985,EMPL_KEY,0)),""))</f>
        <v/>
      </c>
      <c r="K985" s="26" t="str">
        <f aca="false">IF($M985=0,"",IFERROR(INDEX(LOT_PRODE,MATCH($G985,LOT_KEY,0)),""))</f>
        <v/>
      </c>
      <c r="L985" s="26" t="str">
        <f aca="false">IF($G985="","",IF(IFERROR(INDEX(LOT_ETAT,MATCH($G985,LOT_KEY,0)),"")="","",INDEX(LOT_ETAT,MATCH($G985,LOT_KEY,0))))</f>
        <v/>
      </c>
      <c r="M985" s="73" t="n">
        <f aca="false">IF(ST_RESULTATS!$Q235=0,0,ST_RESULTATS!$F235)</f>
        <v>0</v>
      </c>
      <c r="N985" s="73" t="n">
        <f aca="false">IF($M985=0,0,ST_RESULTATS!$U235*$M985)</f>
        <v>0</v>
      </c>
      <c r="O985" s="26" t="str">
        <f aca="false">IF($M985=0,"",ST_RESULTATS!$T235)</f>
        <v/>
      </c>
      <c r="P985" s="26" t="str">
        <f aca="false">IF($G985="","",IF($G985=R_LOT,COUNTIF($G$5:$G985,R_LOT),""))</f>
        <v/>
      </c>
    </row>
    <row r="986" customFormat="false" ht="15" hidden="false" customHeight="false" outlineLevel="0" collapsed="false">
      <c r="A986" s="28" t="str">
        <f aca="false">IF($M986=0,"",ROW()-4)</f>
        <v/>
      </c>
      <c r="B986" s="26" t="str">
        <f aca="false">IF($M986=0,"","RESULTAT ST")</f>
        <v/>
      </c>
      <c r="C986" s="26" t="str">
        <f aca="false">IF($M986=0,"",ST_RESULTATS!$A236)</f>
        <v/>
      </c>
      <c r="D986" s="31" t="str">
        <f aca="false">IF($M986=0,"",ST_RESULTATS!$W236)</f>
        <v/>
      </c>
      <c r="E986" s="26" t="str">
        <f aca="false">IF($M986=0,"","ENTREE")</f>
        <v/>
      </c>
      <c r="F986" s="26" t="str">
        <f aca="false">IF($M986=0,"","RETOUR SOUS-TRAITANCE")</f>
        <v/>
      </c>
      <c r="G986" s="26" t="str">
        <f aca="false">IF($M986=0,"",ST_RESULTATS!$N236)</f>
        <v/>
      </c>
      <c r="H986" s="26" t="str">
        <f aca="false">IF($G986="","",IFERROR(INDEX(LOT_EXTE,MATCH($G986,LOT_KEY,0)),""))</f>
        <v/>
      </c>
      <c r="I986" s="26" t="str">
        <f aca="false">IF($M986=0,"",ST_RESULTATS!$J236)</f>
        <v/>
      </c>
      <c r="J986" s="26" t="str">
        <f aca="false">IF($I986="","",IFERROR(INDEX(EMPL_CLASSE,MATCH($I986,EMPL_KEY,0)),""))</f>
        <v/>
      </c>
      <c r="K986" s="26" t="str">
        <f aca="false">IF($M986=0,"",IFERROR(INDEX(LOT_PRODE,MATCH($G986,LOT_KEY,0)),""))</f>
        <v/>
      </c>
      <c r="L986" s="26" t="str">
        <f aca="false">IF($G986="","",IF(IFERROR(INDEX(LOT_ETAT,MATCH($G986,LOT_KEY,0)),"")="","",INDEX(LOT_ETAT,MATCH($G986,LOT_KEY,0))))</f>
        <v/>
      </c>
      <c r="M986" s="73" t="n">
        <f aca="false">IF(ST_RESULTATS!$Q236=0,0,ST_RESULTATS!$F236)</f>
        <v>0</v>
      </c>
      <c r="N986" s="73" t="n">
        <f aca="false">IF($M986=0,0,ST_RESULTATS!$U236*$M986)</f>
        <v>0</v>
      </c>
      <c r="O986" s="26" t="str">
        <f aca="false">IF($M986=0,"",ST_RESULTATS!$T236)</f>
        <v/>
      </c>
      <c r="P986" s="26" t="str">
        <f aca="false">IF($G986="","",IF($G986=R_LOT,COUNTIF($G$5:$G986,R_LOT),""))</f>
        <v/>
      </c>
    </row>
    <row r="987" customFormat="false" ht="15" hidden="false" customHeight="false" outlineLevel="0" collapsed="false">
      <c r="A987" s="28" t="str">
        <f aca="false">IF($M987=0,"",ROW()-4)</f>
        <v/>
      </c>
      <c r="B987" s="26" t="str">
        <f aca="false">IF($M987=0,"","RESULTAT ST")</f>
        <v/>
      </c>
      <c r="C987" s="26" t="str">
        <f aca="false">IF($M987=0,"",ST_RESULTATS!$A237)</f>
        <v/>
      </c>
      <c r="D987" s="31" t="str">
        <f aca="false">IF($M987=0,"",ST_RESULTATS!$W237)</f>
        <v/>
      </c>
      <c r="E987" s="26" t="str">
        <f aca="false">IF($M987=0,"","ENTREE")</f>
        <v/>
      </c>
      <c r="F987" s="26" t="str">
        <f aca="false">IF($M987=0,"","RETOUR SOUS-TRAITANCE")</f>
        <v/>
      </c>
      <c r="G987" s="26" t="str">
        <f aca="false">IF($M987=0,"",ST_RESULTATS!$N237)</f>
        <v/>
      </c>
      <c r="H987" s="26" t="str">
        <f aca="false">IF($G987="","",IFERROR(INDEX(LOT_EXTE,MATCH($G987,LOT_KEY,0)),""))</f>
        <v/>
      </c>
      <c r="I987" s="26" t="str">
        <f aca="false">IF($M987=0,"",ST_RESULTATS!$J237)</f>
        <v/>
      </c>
      <c r="J987" s="26" t="str">
        <f aca="false">IF($I987="","",IFERROR(INDEX(EMPL_CLASSE,MATCH($I987,EMPL_KEY,0)),""))</f>
        <v/>
      </c>
      <c r="K987" s="26" t="str">
        <f aca="false">IF($M987=0,"",IFERROR(INDEX(LOT_PRODE,MATCH($G987,LOT_KEY,0)),""))</f>
        <v/>
      </c>
      <c r="L987" s="26" t="str">
        <f aca="false">IF($G987="","",IF(IFERROR(INDEX(LOT_ETAT,MATCH($G987,LOT_KEY,0)),"")="","",INDEX(LOT_ETAT,MATCH($G987,LOT_KEY,0))))</f>
        <v/>
      </c>
      <c r="M987" s="73" t="n">
        <f aca="false">IF(ST_RESULTATS!$Q237=0,0,ST_RESULTATS!$F237)</f>
        <v>0</v>
      </c>
      <c r="N987" s="73" t="n">
        <f aca="false">IF($M987=0,0,ST_RESULTATS!$U237*$M987)</f>
        <v>0</v>
      </c>
      <c r="O987" s="26" t="str">
        <f aca="false">IF($M987=0,"",ST_RESULTATS!$T237)</f>
        <v/>
      </c>
      <c r="P987" s="26" t="str">
        <f aca="false">IF($G987="","",IF($G987=R_LOT,COUNTIF($G$5:$G987,R_LOT),""))</f>
        <v/>
      </c>
    </row>
    <row r="988" customFormat="false" ht="15" hidden="false" customHeight="false" outlineLevel="0" collapsed="false">
      <c r="A988" s="28" t="str">
        <f aca="false">IF($M988=0,"",ROW()-4)</f>
        <v/>
      </c>
      <c r="B988" s="26" t="str">
        <f aca="false">IF($M988=0,"","RESULTAT ST")</f>
        <v/>
      </c>
      <c r="C988" s="26" t="str">
        <f aca="false">IF($M988=0,"",ST_RESULTATS!$A238)</f>
        <v/>
      </c>
      <c r="D988" s="31" t="str">
        <f aca="false">IF($M988=0,"",ST_RESULTATS!$W238)</f>
        <v/>
      </c>
      <c r="E988" s="26" t="str">
        <f aca="false">IF($M988=0,"","ENTREE")</f>
        <v/>
      </c>
      <c r="F988" s="26" t="str">
        <f aca="false">IF($M988=0,"","RETOUR SOUS-TRAITANCE")</f>
        <v/>
      </c>
      <c r="G988" s="26" t="str">
        <f aca="false">IF($M988=0,"",ST_RESULTATS!$N238)</f>
        <v/>
      </c>
      <c r="H988" s="26" t="str">
        <f aca="false">IF($G988="","",IFERROR(INDEX(LOT_EXTE,MATCH($G988,LOT_KEY,0)),""))</f>
        <v/>
      </c>
      <c r="I988" s="26" t="str">
        <f aca="false">IF($M988=0,"",ST_RESULTATS!$J238)</f>
        <v/>
      </c>
      <c r="J988" s="26" t="str">
        <f aca="false">IF($I988="","",IFERROR(INDEX(EMPL_CLASSE,MATCH($I988,EMPL_KEY,0)),""))</f>
        <v/>
      </c>
      <c r="K988" s="26" t="str">
        <f aca="false">IF($M988=0,"",IFERROR(INDEX(LOT_PRODE,MATCH($G988,LOT_KEY,0)),""))</f>
        <v/>
      </c>
      <c r="L988" s="26" t="str">
        <f aca="false">IF($G988="","",IF(IFERROR(INDEX(LOT_ETAT,MATCH($G988,LOT_KEY,0)),"")="","",INDEX(LOT_ETAT,MATCH($G988,LOT_KEY,0))))</f>
        <v/>
      </c>
      <c r="M988" s="73" t="n">
        <f aca="false">IF(ST_RESULTATS!$Q238=0,0,ST_RESULTATS!$F238)</f>
        <v>0</v>
      </c>
      <c r="N988" s="73" t="n">
        <f aca="false">IF($M988=0,0,ST_RESULTATS!$U238*$M988)</f>
        <v>0</v>
      </c>
      <c r="O988" s="26" t="str">
        <f aca="false">IF($M988=0,"",ST_RESULTATS!$T238)</f>
        <v/>
      </c>
      <c r="P988" s="26" t="str">
        <f aca="false">IF($G988="","",IF($G988=R_LOT,COUNTIF($G$5:$G988,R_LOT),""))</f>
        <v/>
      </c>
    </row>
    <row r="989" customFormat="false" ht="15" hidden="false" customHeight="false" outlineLevel="0" collapsed="false">
      <c r="A989" s="28" t="str">
        <f aca="false">IF($M989=0,"",ROW()-4)</f>
        <v/>
      </c>
      <c r="B989" s="26" t="str">
        <f aca="false">IF($M989=0,"","RESULTAT ST")</f>
        <v/>
      </c>
      <c r="C989" s="26" t="str">
        <f aca="false">IF($M989=0,"",ST_RESULTATS!$A239)</f>
        <v/>
      </c>
      <c r="D989" s="31" t="str">
        <f aca="false">IF($M989=0,"",ST_RESULTATS!$W239)</f>
        <v/>
      </c>
      <c r="E989" s="26" t="str">
        <f aca="false">IF($M989=0,"","ENTREE")</f>
        <v/>
      </c>
      <c r="F989" s="26" t="str">
        <f aca="false">IF($M989=0,"","RETOUR SOUS-TRAITANCE")</f>
        <v/>
      </c>
      <c r="G989" s="26" t="str">
        <f aca="false">IF($M989=0,"",ST_RESULTATS!$N239)</f>
        <v/>
      </c>
      <c r="H989" s="26" t="str">
        <f aca="false">IF($G989="","",IFERROR(INDEX(LOT_EXTE,MATCH($G989,LOT_KEY,0)),""))</f>
        <v/>
      </c>
      <c r="I989" s="26" t="str">
        <f aca="false">IF($M989=0,"",ST_RESULTATS!$J239)</f>
        <v/>
      </c>
      <c r="J989" s="26" t="str">
        <f aca="false">IF($I989="","",IFERROR(INDEX(EMPL_CLASSE,MATCH($I989,EMPL_KEY,0)),""))</f>
        <v/>
      </c>
      <c r="K989" s="26" t="str">
        <f aca="false">IF($M989=0,"",IFERROR(INDEX(LOT_PRODE,MATCH($G989,LOT_KEY,0)),""))</f>
        <v/>
      </c>
      <c r="L989" s="26" t="str">
        <f aca="false">IF($G989="","",IF(IFERROR(INDEX(LOT_ETAT,MATCH($G989,LOT_KEY,0)),"")="","",INDEX(LOT_ETAT,MATCH($G989,LOT_KEY,0))))</f>
        <v/>
      </c>
      <c r="M989" s="73" t="n">
        <f aca="false">IF(ST_RESULTATS!$Q239=0,0,ST_RESULTATS!$F239)</f>
        <v>0</v>
      </c>
      <c r="N989" s="73" t="n">
        <f aca="false">IF($M989=0,0,ST_RESULTATS!$U239*$M989)</f>
        <v>0</v>
      </c>
      <c r="O989" s="26" t="str">
        <f aca="false">IF($M989=0,"",ST_RESULTATS!$T239)</f>
        <v/>
      </c>
      <c r="P989" s="26" t="str">
        <f aca="false">IF($G989="","",IF($G989=R_LOT,COUNTIF($G$5:$G989,R_LOT),""))</f>
        <v/>
      </c>
    </row>
    <row r="990" customFormat="false" ht="15" hidden="false" customHeight="false" outlineLevel="0" collapsed="false">
      <c r="A990" s="28" t="str">
        <f aca="false">IF($M990=0,"",ROW()-4)</f>
        <v/>
      </c>
      <c r="B990" s="26" t="str">
        <f aca="false">IF($M990=0,"","RESULTAT ST")</f>
        <v/>
      </c>
      <c r="C990" s="26" t="str">
        <f aca="false">IF($M990=0,"",ST_RESULTATS!$A240)</f>
        <v/>
      </c>
      <c r="D990" s="31" t="str">
        <f aca="false">IF($M990=0,"",ST_RESULTATS!$W240)</f>
        <v/>
      </c>
      <c r="E990" s="26" t="str">
        <f aca="false">IF($M990=0,"","ENTREE")</f>
        <v/>
      </c>
      <c r="F990" s="26" t="str">
        <f aca="false">IF($M990=0,"","RETOUR SOUS-TRAITANCE")</f>
        <v/>
      </c>
      <c r="G990" s="26" t="str">
        <f aca="false">IF($M990=0,"",ST_RESULTATS!$N240)</f>
        <v/>
      </c>
      <c r="H990" s="26" t="str">
        <f aca="false">IF($G990="","",IFERROR(INDEX(LOT_EXTE,MATCH($G990,LOT_KEY,0)),""))</f>
        <v/>
      </c>
      <c r="I990" s="26" t="str">
        <f aca="false">IF($M990=0,"",ST_RESULTATS!$J240)</f>
        <v/>
      </c>
      <c r="J990" s="26" t="str">
        <f aca="false">IF($I990="","",IFERROR(INDEX(EMPL_CLASSE,MATCH($I990,EMPL_KEY,0)),""))</f>
        <v/>
      </c>
      <c r="K990" s="26" t="str">
        <f aca="false">IF($M990=0,"",IFERROR(INDEX(LOT_PRODE,MATCH($G990,LOT_KEY,0)),""))</f>
        <v/>
      </c>
      <c r="L990" s="26" t="str">
        <f aca="false">IF($G990="","",IF(IFERROR(INDEX(LOT_ETAT,MATCH($G990,LOT_KEY,0)),"")="","",INDEX(LOT_ETAT,MATCH($G990,LOT_KEY,0))))</f>
        <v/>
      </c>
      <c r="M990" s="73" t="n">
        <f aca="false">IF(ST_RESULTATS!$Q240=0,0,ST_RESULTATS!$F240)</f>
        <v>0</v>
      </c>
      <c r="N990" s="73" t="n">
        <f aca="false">IF($M990=0,0,ST_RESULTATS!$U240*$M990)</f>
        <v>0</v>
      </c>
      <c r="O990" s="26" t="str">
        <f aca="false">IF($M990=0,"",ST_RESULTATS!$T240)</f>
        <v/>
      </c>
      <c r="P990" s="26" t="str">
        <f aca="false">IF($G990="","",IF($G990=R_LOT,COUNTIF($G$5:$G990,R_LOT),""))</f>
        <v/>
      </c>
    </row>
    <row r="991" customFormat="false" ht="15" hidden="false" customHeight="false" outlineLevel="0" collapsed="false">
      <c r="A991" s="28" t="str">
        <f aca="false">IF($M991=0,"",ROW()-4)</f>
        <v/>
      </c>
      <c r="B991" s="26" t="str">
        <f aca="false">IF($M991=0,"","RESULTAT ST")</f>
        <v/>
      </c>
      <c r="C991" s="26" t="str">
        <f aca="false">IF($M991=0,"",ST_RESULTATS!$A241)</f>
        <v/>
      </c>
      <c r="D991" s="31" t="str">
        <f aca="false">IF($M991=0,"",ST_RESULTATS!$W241)</f>
        <v/>
      </c>
      <c r="E991" s="26" t="str">
        <f aca="false">IF($M991=0,"","ENTREE")</f>
        <v/>
      </c>
      <c r="F991" s="26" t="str">
        <f aca="false">IF($M991=0,"","RETOUR SOUS-TRAITANCE")</f>
        <v/>
      </c>
      <c r="G991" s="26" t="str">
        <f aca="false">IF($M991=0,"",ST_RESULTATS!$N241)</f>
        <v/>
      </c>
      <c r="H991" s="26" t="str">
        <f aca="false">IF($G991="","",IFERROR(INDEX(LOT_EXTE,MATCH($G991,LOT_KEY,0)),""))</f>
        <v/>
      </c>
      <c r="I991" s="26" t="str">
        <f aca="false">IF($M991=0,"",ST_RESULTATS!$J241)</f>
        <v/>
      </c>
      <c r="J991" s="26" t="str">
        <f aca="false">IF($I991="","",IFERROR(INDEX(EMPL_CLASSE,MATCH($I991,EMPL_KEY,0)),""))</f>
        <v/>
      </c>
      <c r="K991" s="26" t="str">
        <f aca="false">IF($M991=0,"",IFERROR(INDEX(LOT_PRODE,MATCH($G991,LOT_KEY,0)),""))</f>
        <v/>
      </c>
      <c r="L991" s="26" t="str">
        <f aca="false">IF($G991="","",IF(IFERROR(INDEX(LOT_ETAT,MATCH($G991,LOT_KEY,0)),"")="","",INDEX(LOT_ETAT,MATCH($G991,LOT_KEY,0))))</f>
        <v/>
      </c>
      <c r="M991" s="73" t="n">
        <f aca="false">IF(ST_RESULTATS!$Q241=0,0,ST_RESULTATS!$F241)</f>
        <v>0</v>
      </c>
      <c r="N991" s="73" t="n">
        <f aca="false">IF($M991=0,0,ST_RESULTATS!$U241*$M991)</f>
        <v>0</v>
      </c>
      <c r="O991" s="26" t="str">
        <f aca="false">IF($M991=0,"",ST_RESULTATS!$T241)</f>
        <v/>
      </c>
      <c r="P991" s="26" t="str">
        <f aca="false">IF($G991="","",IF($G991=R_LOT,COUNTIF($G$5:$G991,R_LOT),""))</f>
        <v/>
      </c>
    </row>
    <row r="992" customFormat="false" ht="15" hidden="false" customHeight="false" outlineLevel="0" collapsed="false">
      <c r="A992" s="28" t="str">
        <f aca="false">IF($M992=0,"",ROW()-4)</f>
        <v/>
      </c>
      <c r="B992" s="26" t="str">
        <f aca="false">IF($M992=0,"","RESULTAT ST")</f>
        <v/>
      </c>
      <c r="C992" s="26" t="str">
        <f aca="false">IF($M992=0,"",ST_RESULTATS!$A242)</f>
        <v/>
      </c>
      <c r="D992" s="31" t="str">
        <f aca="false">IF($M992=0,"",ST_RESULTATS!$W242)</f>
        <v/>
      </c>
      <c r="E992" s="26" t="str">
        <f aca="false">IF($M992=0,"","ENTREE")</f>
        <v/>
      </c>
      <c r="F992" s="26" t="str">
        <f aca="false">IF($M992=0,"","RETOUR SOUS-TRAITANCE")</f>
        <v/>
      </c>
      <c r="G992" s="26" t="str">
        <f aca="false">IF($M992=0,"",ST_RESULTATS!$N242)</f>
        <v/>
      </c>
      <c r="H992" s="26" t="str">
        <f aca="false">IF($G992="","",IFERROR(INDEX(LOT_EXTE,MATCH($G992,LOT_KEY,0)),""))</f>
        <v/>
      </c>
      <c r="I992" s="26" t="str">
        <f aca="false">IF($M992=0,"",ST_RESULTATS!$J242)</f>
        <v/>
      </c>
      <c r="J992" s="26" t="str">
        <f aca="false">IF($I992="","",IFERROR(INDEX(EMPL_CLASSE,MATCH($I992,EMPL_KEY,0)),""))</f>
        <v/>
      </c>
      <c r="K992" s="26" t="str">
        <f aca="false">IF($M992=0,"",IFERROR(INDEX(LOT_PRODE,MATCH($G992,LOT_KEY,0)),""))</f>
        <v/>
      </c>
      <c r="L992" s="26" t="str">
        <f aca="false">IF($G992="","",IF(IFERROR(INDEX(LOT_ETAT,MATCH($G992,LOT_KEY,0)),"")="","",INDEX(LOT_ETAT,MATCH($G992,LOT_KEY,0))))</f>
        <v/>
      </c>
      <c r="M992" s="73" t="n">
        <f aca="false">IF(ST_RESULTATS!$Q242=0,0,ST_RESULTATS!$F242)</f>
        <v>0</v>
      </c>
      <c r="N992" s="73" t="n">
        <f aca="false">IF($M992=0,0,ST_RESULTATS!$U242*$M992)</f>
        <v>0</v>
      </c>
      <c r="O992" s="26" t="str">
        <f aca="false">IF($M992=0,"",ST_RESULTATS!$T242)</f>
        <v/>
      </c>
      <c r="P992" s="26" t="str">
        <f aca="false">IF($G992="","",IF($G992=R_LOT,COUNTIF($G$5:$G992,R_LOT),""))</f>
        <v/>
      </c>
    </row>
    <row r="993" customFormat="false" ht="15" hidden="false" customHeight="false" outlineLevel="0" collapsed="false">
      <c r="A993" s="28" t="str">
        <f aca="false">IF($M993=0,"",ROW()-4)</f>
        <v/>
      </c>
      <c r="B993" s="26" t="str">
        <f aca="false">IF($M993=0,"","RESULTAT ST")</f>
        <v/>
      </c>
      <c r="C993" s="26" t="str">
        <f aca="false">IF($M993=0,"",ST_RESULTATS!$A243)</f>
        <v/>
      </c>
      <c r="D993" s="31" t="str">
        <f aca="false">IF($M993=0,"",ST_RESULTATS!$W243)</f>
        <v/>
      </c>
      <c r="E993" s="26" t="str">
        <f aca="false">IF($M993=0,"","ENTREE")</f>
        <v/>
      </c>
      <c r="F993" s="26" t="str">
        <f aca="false">IF($M993=0,"","RETOUR SOUS-TRAITANCE")</f>
        <v/>
      </c>
      <c r="G993" s="26" t="str">
        <f aca="false">IF($M993=0,"",ST_RESULTATS!$N243)</f>
        <v/>
      </c>
      <c r="H993" s="26" t="str">
        <f aca="false">IF($G993="","",IFERROR(INDEX(LOT_EXTE,MATCH($G993,LOT_KEY,0)),""))</f>
        <v/>
      </c>
      <c r="I993" s="26" t="str">
        <f aca="false">IF($M993=0,"",ST_RESULTATS!$J243)</f>
        <v/>
      </c>
      <c r="J993" s="26" t="str">
        <f aca="false">IF($I993="","",IFERROR(INDEX(EMPL_CLASSE,MATCH($I993,EMPL_KEY,0)),""))</f>
        <v/>
      </c>
      <c r="K993" s="26" t="str">
        <f aca="false">IF($M993=0,"",IFERROR(INDEX(LOT_PRODE,MATCH($G993,LOT_KEY,0)),""))</f>
        <v/>
      </c>
      <c r="L993" s="26" t="str">
        <f aca="false">IF($G993="","",IF(IFERROR(INDEX(LOT_ETAT,MATCH($G993,LOT_KEY,0)),"")="","",INDEX(LOT_ETAT,MATCH($G993,LOT_KEY,0))))</f>
        <v/>
      </c>
      <c r="M993" s="73" t="n">
        <f aca="false">IF(ST_RESULTATS!$Q243=0,0,ST_RESULTATS!$F243)</f>
        <v>0</v>
      </c>
      <c r="N993" s="73" t="n">
        <f aca="false">IF($M993=0,0,ST_RESULTATS!$U243*$M993)</f>
        <v>0</v>
      </c>
      <c r="O993" s="26" t="str">
        <f aca="false">IF($M993=0,"",ST_RESULTATS!$T243)</f>
        <v/>
      </c>
      <c r="P993" s="26" t="str">
        <f aca="false">IF($G993="","",IF($G993=R_LOT,COUNTIF($G$5:$G993,R_LOT),""))</f>
        <v/>
      </c>
    </row>
    <row r="994" customFormat="false" ht="15" hidden="false" customHeight="false" outlineLevel="0" collapsed="false">
      <c r="A994" s="28" t="str">
        <f aca="false">IF($M994=0,"",ROW()-4)</f>
        <v/>
      </c>
      <c r="B994" s="26" t="str">
        <f aca="false">IF($M994=0,"","RESULTAT ST")</f>
        <v/>
      </c>
      <c r="C994" s="26" t="str">
        <f aca="false">IF($M994=0,"",ST_RESULTATS!$A244)</f>
        <v/>
      </c>
      <c r="D994" s="31" t="str">
        <f aca="false">IF($M994=0,"",ST_RESULTATS!$W244)</f>
        <v/>
      </c>
      <c r="E994" s="26" t="str">
        <f aca="false">IF($M994=0,"","ENTREE")</f>
        <v/>
      </c>
      <c r="F994" s="26" t="str">
        <f aca="false">IF($M994=0,"","RETOUR SOUS-TRAITANCE")</f>
        <v/>
      </c>
      <c r="G994" s="26" t="str">
        <f aca="false">IF($M994=0,"",ST_RESULTATS!$N244)</f>
        <v/>
      </c>
      <c r="H994" s="26" t="str">
        <f aca="false">IF($G994="","",IFERROR(INDEX(LOT_EXTE,MATCH($G994,LOT_KEY,0)),""))</f>
        <v/>
      </c>
      <c r="I994" s="26" t="str">
        <f aca="false">IF($M994=0,"",ST_RESULTATS!$J244)</f>
        <v/>
      </c>
      <c r="J994" s="26" t="str">
        <f aca="false">IF($I994="","",IFERROR(INDEX(EMPL_CLASSE,MATCH($I994,EMPL_KEY,0)),""))</f>
        <v/>
      </c>
      <c r="K994" s="26" t="str">
        <f aca="false">IF($M994=0,"",IFERROR(INDEX(LOT_PRODE,MATCH($G994,LOT_KEY,0)),""))</f>
        <v/>
      </c>
      <c r="L994" s="26" t="str">
        <f aca="false">IF($G994="","",IF(IFERROR(INDEX(LOT_ETAT,MATCH($G994,LOT_KEY,0)),"")="","",INDEX(LOT_ETAT,MATCH($G994,LOT_KEY,0))))</f>
        <v/>
      </c>
      <c r="M994" s="73" t="n">
        <f aca="false">IF(ST_RESULTATS!$Q244=0,0,ST_RESULTATS!$F244)</f>
        <v>0</v>
      </c>
      <c r="N994" s="73" t="n">
        <f aca="false">IF($M994=0,0,ST_RESULTATS!$U244*$M994)</f>
        <v>0</v>
      </c>
      <c r="O994" s="26" t="str">
        <f aca="false">IF($M994=0,"",ST_RESULTATS!$T244)</f>
        <v/>
      </c>
      <c r="P994" s="26" t="str">
        <f aca="false">IF($G994="","",IF($G994=R_LOT,COUNTIF($G$5:$G994,R_LOT),""))</f>
        <v/>
      </c>
    </row>
    <row r="995" customFormat="false" ht="15" hidden="false" customHeight="false" outlineLevel="0" collapsed="false">
      <c r="A995" s="28" t="str">
        <f aca="false">IF($M995=0,"",ROW()-4)</f>
        <v/>
      </c>
      <c r="B995" s="26" t="str">
        <f aca="false">IF($M995=0,"","RESULTAT ST")</f>
        <v/>
      </c>
      <c r="C995" s="26" t="str">
        <f aca="false">IF($M995=0,"",ST_RESULTATS!$A245)</f>
        <v/>
      </c>
      <c r="D995" s="31" t="str">
        <f aca="false">IF($M995=0,"",ST_RESULTATS!$W245)</f>
        <v/>
      </c>
      <c r="E995" s="26" t="str">
        <f aca="false">IF($M995=0,"","ENTREE")</f>
        <v/>
      </c>
      <c r="F995" s="26" t="str">
        <f aca="false">IF($M995=0,"","RETOUR SOUS-TRAITANCE")</f>
        <v/>
      </c>
      <c r="G995" s="26" t="str">
        <f aca="false">IF($M995=0,"",ST_RESULTATS!$N245)</f>
        <v/>
      </c>
      <c r="H995" s="26" t="str">
        <f aca="false">IF($G995="","",IFERROR(INDEX(LOT_EXTE,MATCH($G995,LOT_KEY,0)),""))</f>
        <v/>
      </c>
      <c r="I995" s="26" t="str">
        <f aca="false">IF($M995=0,"",ST_RESULTATS!$J245)</f>
        <v/>
      </c>
      <c r="J995" s="26" t="str">
        <f aca="false">IF($I995="","",IFERROR(INDEX(EMPL_CLASSE,MATCH($I995,EMPL_KEY,0)),""))</f>
        <v/>
      </c>
      <c r="K995" s="26" t="str">
        <f aca="false">IF($M995=0,"",IFERROR(INDEX(LOT_PRODE,MATCH($G995,LOT_KEY,0)),""))</f>
        <v/>
      </c>
      <c r="L995" s="26" t="str">
        <f aca="false">IF($G995="","",IF(IFERROR(INDEX(LOT_ETAT,MATCH($G995,LOT_KEY,0)),"")="","",INDEX(LOT_ETAT,MATCH($G995,LOT_KEY,0))))</f>
        <v/>
      </c>
      <c r="M995" s="73" t="n">
        <f aca="false">IF(ST_RESULTATS!$Q245=0,0,ST_RESULTATS!$F245)</f>
        <v>0</v>
      </c>
      <c r="N995" s="73" t="n">
        <f aca="false">IF($M995=0,0,ST_RESULTATS!$U245*$M995)</f>
        <v>0</v>
      </c>
      <c r="O995" s="26" t="str">
        <f aca="false">IF($M995=0,"",ST_RESULTATS!$T245)</f>
        <v/>
      </c>
      <c r="P995" s="26" t="str">
        <f aca="false">IF($G995="","",IF($G995=R_LOT,COUNTIF($G$5:$G995,R_LOT),""))</f>
        <v/>
      </c>
    </row>
    <row r="996" customFormat="false" ht="15" hidden="false" customHeight="false" outlineLevel="0" collapsed="false">
      <c r="A996" s="28" t="str">
        <f aca="false">IF($M996=0,"",ROW()-4)</f>
        <v/>
      </c>
      <c r="B996" s="26" t="str">
        <f aca="false">IF($M996=0,"","RESULTAT ST")</f>
        <v/>
      </c>
      <c r="C996" s="26" t="str">
        <f aca="false">IF($M996=0,"",ST_RESULTATS!$A246)</f>
        <v/>
      </c>
      <c r="D996" s="31" t="str">
        <f aca="false">IF($M996=0,"",ST_RESULTATS!$W246)</f>
        <v/>
      </c>
      <c r="E996" s="26" t="str">
        <f aca="false">IF($M996=0,"","ENTREE")</f>
        <v/>
      </c>
      <c r="F996" s="26" t="str">
        <f aca="false">IF($M996=0,"","RETOUR SOUS-TRAITANCE")</f>
        <v/>
      </c>
      <c r="G996" s="26" t="str">
        <f aca="false">IF($M996=0,"",ST_RESULTATS!$N246)</f>
        <v/>
      </c>
      <c r="H996" s="26" t="str">
        <f aca="false">IF($G996="","",IFERROR(INDEX(LOT_EXTE,MATCH($G996,LOT_KEY,0)),""))</f>
        <v/>
      </c>
      <c r="I996" s="26" t="str">
        <f aca="false">IF($M996=0,"",ST_RESULTATS!$J246)</f>
        <v/>
      </c>
      <c r="J996" s="26" t="str">
        <f aca="false">IF($I996="","",IFERROR(INDEX(EMPL_CLASSE,MATCH($I996,EMPL_KEY,0)),""))</f>
        <v/>
      </c>
      <c r="K996" s="26" t="str">
        <f aca="false">IF($M996=0,"",IFERROR(INDEX(LOT_PRODE,MATCH($G996,LOT_KEY,0)),""))</f>
        <v/>
      </c>
      <c r="L996" s="26" t="str">
        <f aca="false">IF($G996="","",IF(IFERROR(INDEX(LOT_ETAT,MATCH($G996,LOT_KEY,0)),"")="","",INDEX(LOT_ETAT,MATCH($G996,LOT_KEY,0))))</f>
        <v/>
      </c>
      <c r="M996" s="73" t="n">
        <f aca="false">IF(ST_RESULTATS!$Q246=0,0,ST_RESULTATS!$F246)</f>
        <v>0</v>
      </c>
      <c r="N996" s="73" t="n">
        <f aca="false">IF($M996=0,0,ST_RESULTATS!$U246*$M996)</f>
        <v>0</v>
      </c>
      <c r="O996" s="26" t="str">
        <f aca="false">IF($M996=0,"",ST_RESULTATS!$T246)</f>
        <v/>
      </c>
      <c r="P996" s="26" t="str">
        <f aca="false">IF($G996="","",IF($G996=R_LOT,COUNTIF($G$5:$G996,R_LOT),""))</f>
        <v/>
      </c>
    </row>
    <row r="997" customFormat="false" ht="15" hidden="false" customHeight="false" outlineLevel="0" collapsed="false">
      <c r="A997" s="28" t="str">
        <f aca="false">IF($M997=0,"",ROW()-4)</f>
        <v/>
      </c>
      <c r="B997" s="26" t="str">
        <f aca="false">IF($M997=0,"","RESULTAT ST")</f>
        <v/>
      </c>
      <c r="C997" s="26" t="str">
        <f aca="false">IF($M997=0,"",ST_RESULTATS!$A247)</f>
        <v/>
      </c>
      <c r="D997" s="31" t="str">
        <f aca="false">IF($M997=0,"",ST_RESULTATS!$W247)</f>
        <v/>
      </c>
      <c r="E997" s="26" t="str">
        <f aca="false">IF($M997=0,"","ENTREE")</f>
        <v/>
      </c>
      <c r="F997" s="26" t="str">
        <f aca="false">IF($M997=0,"","RETOUR SOUS-TRAITANCE")</f>
        <v/>
      </c>
      <c r="G997" s="26" t="str">
        <f aca="false">IF($M997=0,"",ST_RESULTATS!$N247)</f>
        <v/>
      </c>
      <c r="H997" s="26" t="str">
        <f aca="false">IF($G997="","",IFERROR(INDEX(LOT_EXTE,MATCH($G997,LOT_KEY,0)),""))</f>
        <v/>
      </c>
      <c r="I997" s="26" t="str">
        <f aca="false">IF($M997=0,"",ST_RESULTATS!$J247)</f>
        <v/>
      </c>
      <c r="J997" s="26" t="str">
        <f aca="false">IF($I997="","",IFERROR(INDEX(EMPL_CLASSE,MATCH($I997,EMPL_KEY,0)),""))</f>
        <v/>
      </c>
      <c r="K997" s="26" t="str">
        <f aca="false">IF($M997=0,"",IFERROR(INDEX(LOT_PRODE,MATCH($G997,LOT_KEY,0)),""))</f>
        <v/>
      </c>
      <c r="L997" s="26" t="str">
        <f aca="false">IF($G997="","",IF(IFERROR(INDEX(LOT_ETAT,MATCH($G997,LOT_KEY,0)),"")="","",INDEX(LOT_ETAT,MATCH($G997,LOT_KEY,0))))</f>
        <v/>
      </c>
      <c r="M997" s="73" t="n">
        <f aca="false">IF(ST_RESULTATS!$Q247=0,0,ST_RESULTATS!$F247)</f>
        <v>0</v>
      </c>
      <c r="N997" s="73" t="n">
        <f aca="false">IF($M997=0,0,ST_RESULTATS!$U247*$M997)</f>
        <v>0</v>
      </c>
      <c r="O997" s="26" t="str">
        <f aca="false">IF($M997=0,"",ST_RESULTATS!$T247)</f>
        <v/>
      </c>
      <c r="P997" s="26" t="str">
        <f aca="false">IF($G997="","",IF($G997=R_LOT,COUNTIF($G$5:$G997,R_LOT),""))</f>
        <v/>
      </c>
    </row>
    <row r="998" customFormat="false" ht="15" hidden="false" customHeight="false" outlineLevel="0" collapsed="false">
      <c r="A998" s="28" t="str">
        <f aca="false">IF($M998=0,"",ROW()-4)</f>
        <v/>
      </c>
      <c r="B998" s="26" t="str">
        <f aca="false">IF($M998=0,"","RESULTAT ST")</f>
        <v/>
      </c>
      <c r="C998" s="26" t="str">
        <f aca="false">IF($M998=0,"",ST_RESULTATS!$A248)</f>
        <v/>
      </c>
      <c r="D998" s="31" t="str">
        <f aca="false">IF($M998=0,"",ST_RESULTATS!$W248)</f>
        <v/>
      </c>
      <c r="E998" s="26" t="str">
        <f aca="false">IF($M998=0,"","ENTREE")</f>
        <v/>
      </c>
      <c r="F998" s="26" t="str">
        <f aca="false">IF($M998=0,"","RETOUR SOUS-TRAITANCE")</f>
        <v/>
      </c>
      <c r="G998" s="26" t="str">
        <f aca="false">IF($M998=0,"",ST_RESULTATS!$N248)</f>
        <v/>
      </c>
      <c r="H998" s="26" t="str">
        <f aca="false">IF($G998="","",IFERROR(INDEX(LOT_EXTE,MATCH($G998,LOT_KEY,0)),""))</f>
        <v/>
      </c>
      <c r="I998" s="26" t="str">
        <f aca="false">IF($M998=0,"",ST_RESULTATS!$J248)</f>
        <v/>
      </c>
      <c r="J998" s="26" t="str">
        <f aca="false">IF($I998="","",IFERROR(INDEX(EMPL_CLASSE,MATCH($I998,EMPL_KEY,0)),""))</f>
        <v/>
      </c>
      <c r="K998" s="26" t="str">
        <f aca="false">IF($M998=0,"",IFERROR(INDEX(LOT_PRODE,MATCH($G998,LOT_KEY,0)),""))</f>
        <v/>
      </c>
      <c r="L998" s="26" t="str">
        <f aca="false">IF($G998="","",IF(IFERROR(INDEX(LOT_ETAT,MATCH($G998,LOT_KEY,0)),"")="","",INDEX(LOT_ETAT,MATCH($G998,LOT_KEY,0))))</f>
        <v/>
      </c>
      <c r="M998" s="73" t="n">
        <f aca="false">IF(ST_RESULTATS!$Q248=0,0,ST_RESULTATS!$F248)</f>
        <v>0</v>
      </c>
      <c r="N998" s="73" t="n">
        <f aca="false">IF($M998=0,0,ST_RESULTATS!$U248*$M998)</f>
        <v>0</v>
      </c>
      <c r="O998" s="26" t="str">
        <f aca="false">IF($M998=0,"",ST_RESULTATS!$T248)</f>
        <v/>
      </c>
      <c r="P998" s="26" t="str">
        <f aca="false">IF($G998="","",IF($G998=R_LOT,COUNTIF($G$5:$G998,R_LOT),""))</f>
        <v/>
      </c>
    </row>
    <row r="999" customFormat="false" ht="15" hidden="false" customHeight="false" outlineLevel="0" collapsed="false">
      <c r="A999" s="28" t="str">
        <f aca="false">IF($M999=0,"",ROW()-4)</f>
        <v/>
      </c>
      <c r="B999" s="26" t="str">
        <f aca="false">IF($M999=0,"","RESULTAT ST")</f>
        <v/>
      </c>
      <c r="C999" s="26" t="str">
        <f aca="false">IF($M999=0,"",ST_RESULTATS!$A249)</f>
        <v/>
      </c>
      <c r="D999" s="31" t="str">
        <f aca="false">IF($M999=0,"",ST_RESULTATS!$W249)</f>
        <v/>
      </c>
      <c r="E999" s="26" t="str">
        <f aca="false">IF($M999=0,"","ENTREE")</f>
        <v/>
      </c>
      <c r="F999" s="26" t="str">
        <f aca="false">IF($M999=0,"","RETOUR SOUS-TRAITANCE")</f>
        <v/>
      </c>
      <c r="G999" s="26" t="str">
        <f aca="false">IF($M999=0,"",ST_RESULTATS!$N249)</f>
        <v/>
      </c>
      <c r="H999" s="26" t="str">
        <f aca="false">IF($G999="","",IFERROR(INDEX(LOT_EXTE,MATCH($G999,LOT_KEY,0)),""))</f>
        <v/>
      </c>
      <c r="I999" s="26" t="str">
        <f aca="false">IF($M999=0,"",ST_RESULTATS!$J249)</f>
        <v/>
      </c>
      <c r="J999" s="26" t="str">
        <f aca="false">IF($I999="","",IFERROR(INDEX(EMPL_CLASSE,MATCH($I999,EMPL_KEY,0)),""))</f>
        <v/>
      </c>
      <c r="K999" s="26" t="str">
        <f aca="false">IF($M999=0,"",IFERROR(INDEX(LOT_PRODE,MATCH($G999,LOT_KEY,0)),""))</f>
        <v/>
      </c>
      <c r="L999" s="26" t="str">
        <f aca="false">IF($G999="","",IF(IFERROR(INDEX(LOT_ETAT,MATCH($G999,LOT_KEY,0)),"")="","",INDEX(LOT_ETAT,MATCH($G999,LOT_KEY,0))))</f>
        <v/>
      </c>
      <c r="M999" s="73" t="n">
        <f aca="false">IF(ST_RESULTATS!$Q249=0,0,ST_RESULTATS!$F249)</f>
        <v>0</v>
      </c>
      <c r="N999" s="73" t="n">
        <f aca="false">IF($M999=0,0,ST_RESULTATS!$U249*$M999)</f>
        <v>0</v>
      </c>
      <c r="O999" s="26" t="str">
        <f aca="false">IF($M999=0,"",ST_RESULTATS!$T249)</f>
        <v/>
      </c>
      <c r="P999" s="26" t="str">
        <f aca="false">IF($G999="","",IF($G999=R_LOT,COUNTIF($G$5:$G999,R_LOT),""))</f>
        <v/>
      </c>
    </row>
    <row r="1000" customFormat="false" ht="15" hidden="false" customHeight="false" outlineLevel="0" collapsed="false">
      <c r="A1000" s="28" t="str">
        <f aca="false">IF($M1000=0,"",ROW()-4)</f>
        <v/>
      </c>
      <c r="B1000" s="26" t="str">
        <f aca="false">IF($M1000=0,"","RESULTAT ST")</f>
        <v/>
      </c>
      <c r="C1000" s="26" t="str">
        <f aca="false">IF($M1000=0,"",ST_RESULTATS!$A250)</f>
        <v/>
      </c>
      <c r="D1000" s="31" t="str">
        <f aca="false">IF($M1000=0,"",ST_RESULTATS!$W250)</f>
        <v/>
      </c>
      <c r="E1000" s="26" t="str">
        <f aca="false">IF($M1000=0,"","ENTREE")</f>
        <v/>
      </c>
      <c r="F1000" s="26" t="str">
        <f aca="false">IF($M1000=0,"","RETOUR SOUS-TRAITANCE")</f>
        <v/>
      </c>
      <c r="G1000" s="26" t="str">
        <f aca="false">IF($M1000=0,"",ST_RESULTATS!$N250)</f>
        <v/>
      </c>
      <c r="H1000" s="26" t="str">
        <f aca="false">IF($G1000="","",IFERROR(INDEX(LOT_EXTE,MATCH($G1000,LOT_KEY,0)),""))</f>
        <v/>
      </c>
      <c r="I1000" s="26" t="str">
        <f aca="false">IF($M1000=0,"",ST_RESULTATS!$J250)</f>
        <v/>
      </c>
      <c r="J1000" s="26" t="str">
        <f aca="false">IF($I1000="","",IFERROR(INDEX(EMPL_CLASSE,MATCH($I1000,EMPL_KEY,0)),""))</f>
        <v/>
      </c>
      <c r="K1000" s="26" t="str">
        <f aca="false">IF($M1000=0,"",IFERROR(INDEX(LOT_PRODE,MATCH($G1000,LOT_KEY,0)),""))</f>
        <v/>
      </c>
      <c r="L1000" s="26" t="str">
        <f aca="false">IF($G1000="","",IF(IFERROR(INDEX(LOT_ETAT,MATCH($G1000,LOT_KEY,0)),"")="","",INDEX(LOT_ETAT,MATCH($G1000,LOT_KEY,0))))</f>
        <v/>
      </c>
      <c r="M1000" s="73" t="n">
        <f aca="false">IF(ST_RESULTATS!$Q250=0,0,ST_RESULTATS!$F250)</f>
        <v>0</v>
      </c>
      <c r="N1000" s="73" t="n">
        <f aca="false">IF($M1000=0,0,ST_RESULTATS!$U250*$M1000)</f>
        <v>0</v>
      </c>
      <c r="O1000" s="26" t="str">
        <f aca="false">IF($M1000=0,"",ST_RESULTATS!$T250)</f>
        <v/>
      </c>
      <c r="P1000" s="26" t="str">
        <f aca="false">IF($G1000="","",IF($G1000=R_LOT,COUNTIF($G$5:$G1000,R_LOT),""))</f>
        <v/>
      </c>
    </row>
    <row r="1001" customFormat="false" ht="15" hidden="false" customHeight="false" outlineLevel="0" collapsed="false">
      <c r="A1001" s="28" t="str">
        <f aca="false">IF($M1001=0,"",ROW()-4)</f>
        <v/>
      </c>
      <c r="B1001" s="26" t="str">
        <f aca="false">IF($M1001=0,"","RESULTAT ST")</f>
        <v/>
      </c>
      <c r="C1001" s="26" t="str">
        <f aca="false">IF($M1001=0,"",ST_RESULTATS!$A251)</f>
        <v/>
      </c>
      <c r="D1001" s="31" t="str">
        <f aca="false">IF($M1001=0,"",ST_RESULTATS!$W251)</f>
        <v/>
      </c>
      <c r="E1001" s="26" t="str">
        <f aca="false">IF($M1001=0,"","ENTREE")</f>
        <v/>
      </c>
      <c r="F1001" s="26" t="str">
        <f aca="false">IF($M1001=0,"","RETOUR SOUS-TRAITANCE")</f>
        <v/>
      </c>
      <c r="G1001" s="26" t="str">
        <f aca="false">IF($M1001=0,"",ST_RESULTATS!$N251)</f>
        <v/>
      </c>
      <c r="H1001" s="26" t="str">
        <f aca="false">IF($G1001="","",IFERROR(INDEX(LOT_EXTE,MATCH($G1001,LOT_KEY,0)),""))</f>
        <v/>
      </c>
      <c r="I1001" s="26" t="str">
        <f aca="false">IF($M1001=0,"",ST_RESULTATS!$J251)</f>
        <v/>
      </c>
      <c r="J1001" s="26" t="str">
        <f aca="false">IF($I1001="","",IFERROR(INDEX(EMPL_CLASSE,MATCH($I1001,EMPL_KEY,0)),""))</f>
        <v/>
      </c>
      <c r="K1001" s="26" t="str">
        <f aca="false">IF($M1001=0,"",IFERROR(INDEX(LOT_PRODE,MATCH($G1001,LOT_KEY,0)),""))</f>
        <v/>
      </c>
      <c r="L1001" s="26" t="str">
        <f aca="false">IF($G1001="","",IF(IFERROR(INDEX(LOT_ETAT,MATCH($G1001,LOT_KEY,0)),"")="","",INDEX(LOT_ETAT,MATCH($G1001,LOT_KEY,0))))</f>
        <v/>
      </c>
      <c r="M1001" s="73" t="n">
        <f aca="false">IF(ST_RESULTATS!$Q251=0,0,ST_RESULTATS!$F251)</f>
        <v>0</v>
      </c>
      <c r="N1001" s="73" t="n">
        <f aca="false">IF($M1001=0,0,ST_RESULTATS!$U251*$M1001)</f>
        <v>0</v>
      </c>
      <c r="O1001" s="26" t="str">
        <f aca="false">IF($M1001=0,"",ST_RESULTATS!$T251)</f>
        <v/>
      </c>
      <c r="P1001" s="26" t="str">
        <f aca="false">IF($G1001="","",IF($G1001=R_LOT,COUNTIF($G$5:$G1001,R_LOT),""))</f>
        <v/>
      </c>
    </row>
    <row r="1002" customFormat="false" ht="15" hidden="false" customHeight="false" outlineLevel="0" collapsed="false">
      <c r="A1002" s="28" t="str">
        <f aca="false">IF($M1002=0,"",ROW()-4)</f>
        <v/>
      </c>
      <c r="B1002" s="26" t="str">
        <f aca="false">IF($M1002=0,"","RESULTAT ST")</f>
        <v/>
      </c>
      <c r="C1002" s="26" t="str">
        <f aca="false">IF($M1002=0,"",ST_RESULTATS!$A252)</f>
        <v/>
      </c>
      <c r="D1002" s="31" t="str">
        <f aca="false">IF($M1002=0,"",ST_RESULTATS!$W252)</f>
        <v/>
      </c>
      <c r="E1002" s="26" t="str">
        <f aca="false">IF($M1002=0,"","ENTREE")</f>
        <v/>
      </c>
      <c r="F1002" s="26" t="str">
        <f aca="false">IF($M1002=0,"","RETOUR SOUS-TRAITANCE")</f>
        <v/>
      </c>
      <c r="G1002" s="26" t="str">
        <f aca="false">IF($M1002=0,"",ST_RESULTATS!$N252)</f>
        <v/>
      </c>
      <c r="H1002" s="26" t="str">
        <f aca="false">IF($G1002="","",IFERROR(INDEX(LOT_EXTE,MATCH($G1002,LOT_KEY,0)),""))</f>
        <v/>
      </c>
      <c r="I1002" s="26" t="str">
        <f aca="false">IF($M1002=0,"",ST_RESULTATS!$J252)</f>
        <v/>
      </c>
      <c r="J1002" s="26" t="str">
        <f aca="false">IF($I1002="","",IFERROR(INDEX(EMPL_CLASSE,MATCH($I1002,EMPL_KEY,0)),""))</f>
        <v/>
      </c>
      <c r="K1002" s="26" t="str">
        <f aca="false">IF($M1002=0,"",IFERROR(INDEX(LOT_PRODE,MATCH($G1002,LOT_KEY,0)),""))</f>
        <v/>
      </c>
      <c r="L1002" s="26" t="str">
        <f aca="false">IF($G1002="","",IF(IFERROR(INDEX(LOT_ETAT,MATCH($G1002,LOT_KEY,0)),"")="","",INDEX(LOT_ETAT,MATCH($G1002,LOT_KEY,0))))</f>
        <v/>
      </c>
      <c r="M1002" s="73" t="n">
        <f aca="false">IF(ST_RESULTATS!$Q252=0,0,ST_RESULTATS!$F252)</f>
        <v>0</v>
      </c>
      <c r="N1002" s="73" t="n">
        <f aca="false">IF($M1002=0,0,ST_RESULTATS!$U252*$M1002)</f>
        <v>0</v>
      </c>
      <c r="O1002" s="26" t="str">
        <f aca="false">IF($M1002=0,"",ST_RESULTATS!$T252)</f>
        <v/>
      </c>
      <c r="P1002" s="26" t="str">
        <f aca="false">IF($G1002="","",IF($G1002=R_LOT,COUNTIF($G$5:$G1002,R_LOT),""))</f>
        <v/>
      </c>
    </row>
    <row r="1003" customFormat="false" ht="15" hidden="false" customHeight="false" outlineLevel="0" collapsed="false">
      <c r="A1003" s="28" t="str">
        <f aca="false">IF($M1003=0,"",ROW()-4)</f>
        <v/>
      </c>
      <c r="B1003" s="26" t="str">
        <f aca="false">IF($M1003=0,"","RESULTAT ST")</f>
        <v/>
      </c>
      <c r="C1003" s="26" t="str">
        <f aca="false">IF($M1003=0,"",ST_RESULTATS!$A253)</f>
        <v/>
      </c>
      <c r="D1003" s="31" t="str">
        <f aca="false">IF($M1003=0,"",ST_RESULTATS!$W253)</f>
        <v/>
      </c>
      <c r="E1003" s="26" t="str">
        <f aca="false">IF($M1003=0,"","ENTREE")</f>
        <v/>
      </c>
      <c r="F1003" s="26" t="str">
        <f aca="false">IF($M1003=0,"","RETOUR SOUS-TRAITANCE")</f>
        <v/>
      </c>
      <c r="G1003" s="26" t="str">
        <f aca="false">IF($M1003=0,"",ST_RESULTATS!$N253)</f>
        <v/>
      </c>
      <c r="H1003" s="26" t="str">
        <f aca="false">IF($G1003="","",IFERROR(INDEX(LOT_EXTE,MATCH($G1003,LOT_KEY,0)),""))</f>
        <v/>
      </c>
      <c r="I1003" s="26" t="str">
        <f aca="false">IF($M1003=0,"",ST_RESULTATS!$J253)</f>
        <v/>
      </c>
      <c r="J1003" s="26" t="str">
        <f aca="false">IF($I1003="","",IFERROR(INDEX(EMPL_CLASSE,MATCH($I1003,EMPL_KEY,0)),""))</f>
        <v/>
      </c>
      <c r="K1003" s="26" t="str">
        <f aca="false">IF($M1003=0,"",IFERROR(INDEX(LOT_PRODE,MATCH($G1003,LOT_KEY,0)),""))</f>
        <v/>
      </c>
      <c r="L1003" s="26" t="str">
        <f aca="false">IF($G1003="","",IF(IFERROR(INDEX(LOT_ETAT,MATCH($G1003,LOT_KEY,0)),"")="","",INDEX(LOT_ETAT,MATCH($G1003,LOT_KEY,0))))</f>
        <v/>
      </c>
      <c r="M1003" s="73" t="n">
        <f aca="false">IF(ST_RESULTATS!$Q253=0,0,ST_RESULTATS!$F253)</f>
        <v>0</v>
      </c>
      <c r="N1003" s="73" t="n">
        <f aca="false">IF($M1003=0,0,ST_RESULTATS!$U253*$M1003)</f>
        <v>0</v>
      </c>
      <c r="O1003" s="26" t="str">
        <f aca="false">IF($M1003=0,"",ST_RESULTATS!$T253)</f>
        <v/>
      </c>
      <c r="P1003" s="26" t="str">
        <f aca="false">IF($G1003="","",IF($G1003=R_LOT,COUNTIF($G$5:$G1003,R_LOT),""))</f>
        <v/>
      </c>
    </row>
    <row r="1004" customFormat="false" ht="15" hidden="false" customHeight="false" outlineLevel="0" collapsed="false">
      <c r="A1004" s="28" t="str">
        <f aca="false">IF($M1004=0,"",ROW()-4)</f>
        <v/>
      </c>
      <c r="B1004" s="26" t="str">
        <f aca="false">IF($M1004=0,"","RESULTAT ST")</f>
        <v/>
      </c>
      <c r="C1004" s="26" t="str">
        <f aca="false">IF($M1004=0,"",ST_RESULTATS!$A254)</f>
        <v/>
      </c>
      <c r="D1004" s="31" t="str">
        <f aca="false">IF($M1004=0,"",ST_RESULTATS!$W254)</f>
        <v/>
      </c>
      <c r="E1004" s="26" t="str">
        <f aca="false">IF($M1004=0,"","ENTREE")</f>
        <v/>
      </c>
      <c r="F1004" s="26" t="str">
        <f aca="false">IF($M1004=0,"","RETOUR SOUS-TRAITANCE")</f>
        <v/>
      </c>
      <c r="G1004" s="26" t="str">
        <f aca="false">IF($M1004=0,"",ST_RESULTATS!$N254)</f>
        <v/>
      </c>
      <c r="H1004" s="26" t="str">
        <f aca="false">IF($G1004="","",IFERROR(INDEX(LOT_EXTE,MATCH($G1004,LOT_KEY,0)),""))</f>
        <v/>
      </c>
      <c r="I1004" s="26" t="str">
        <f aca="false">IF($M1004=0,"",ST_RESULTATS!$J254)</f>
        <v/>
      </c>
      <c r="J1004" s="26" t="str">
        <f aca="false">IF($I1004="","",IFERROR(INDEX(EMPL_CLASSE,MATCH($I1004,EMPL_KEY,0)),""))</f>
        <v/>
      </c>
      <c r="K1004" s="26" t="str">
        <f aca="false">IF($M1004=0,"",IFERROR(INDEX(LOT_PRODE,MATCH($G1004,LOT_KEY,0)),""))</f>
        <v/>
      </c>
      <c r="L1004" s="26" t="str">
        <f aca="false">IF($G1004="","",IF(IFERROR(INDEX(LOT_ETAT,MATCH($G1004,LOT_KEY,0)),"")="","",INDEX(LOT_ETAT,MATCH($G1004,LOT_KEY,0))))</f>
        <v/>
      </c>
      <c r="M1004" s="73" t="n">
        <f aca="false">IF(ST_RESULTATS!$Q254=0,0,ST_RESULTATS!$F254)</f>
        <v>0</v>
      </c>
      <c r="N1004" s="73" t="n">
        <f aca="false">IF($M1004=0,0,ST_RESULTATS!$U254*$M1004)</f>
        <v>0</v>
      </c>
      <c r="O1004" s="26" t="str">
        <f aca="false">IF($M1004=0,"",ST_RESULTATS!$T254)</f>
        <v/>
      </c>
      <c r="P1004" s="26" t="str">
        <f aca="false">IF($G1004="","",IF($G1004=R_LOT,COUNTIF($G$5:$G1004,R_LOT),""))</f>
        <v/>
      </c>
    </row>
    <row r="1005" customFormat="false" ht="15" hidden="false" customHeight="false" outlineLevel="0" collapsed="false">
      <c r="A1005" s="28" t="str">
        <f aca="false">IF($M1005=0,"",ROW()-4)</f>
        <v/>
      </c>
      <c r="B1005" s="26" t="str">
        <f aca="false">IF($M1005=0,"","RESULTAT ST")</f>
        <v/>
      </c>
      <c r="C1005" s="26" t="str">
        <f aca="false">IF($M1005=0,"",ST_RESULTATS!$A255)</f>
        <v/>
      </c>
      <c r="D1005" s="31" t="str">
        <f aca="false">IF($M1005=0,"",ST_RESULTATS!$W255)</f>
        <v/>
      </c>
      <c r="E1005" s="26" t="str">
        <f aca="false">IF($M1005=0,"","ENTREE")</f>
        <v/>
      </c>
      <c r="F1005" s="26" t="str">
        <f aca="false">IF($M1005=0,"","RETOUR SOUS-TRAITANCE")</f>
        <v/>
      </c>
      <c r="G1005" s="26" t="str">
        <f aca="false">IF($M1005=0,"",ST_RESULTATS!$N255)</f>
        <v/>
      </c>
      <c r="H1005" s="26" t="str">
        <f aca="false">IF($G1005="","",IFERROR(INDEX(LOT_EXTE,MATCH($G1005,LOT_KEY,0)),""))</f>
        <v/>
      </c>
      <c r="I1005" s="26" t="str">
        <f aca="false">IF($M1005=0,"",ST_RESULTATS!$J255)</f>
        <v/>
      </c>
      <c r="J1005" s="26" t="str">
        <f aca="false">IF($I1005="","",IFERROR(INDEX(EMPL_CLASSE,MATCH($I1005,EMPL_KEY,0)),""))</f>
        <v/>
      </c>
      <c r="K1005" s="26" t="str">
        <f aca="false">IF($M1005=0,"",IFERROR(INDEX(LOT_PRODE,MATCH($G1005,LOT_KEY,0)),""))</f>
        <v/>
      </c>
      <c r="L1005" s="26" t="str">
        <f aca="false">IF($G1005="","",IF(IFERROR(INDEX(LOT_ETAT,MATCH($G1005,LOT_KEY,0)),"")="","",INDEX(LOT_ETAT,MATCH($G1005,LOT_KEY,0))))</f>
        <v/>
      </c>
      <c r="M1005" s="73" t="n">
        <f aca="false">IF(ST_RESULTATS!$Q255=0,0,ST_RESULTATS!$F255)</f>
        <v>0</v>
      </c>
      <c r="N1005" s="73" t="n">
        <f aca="false">IF($M1005=0,0,ST_RESULTATS!$U255*$M1005)</f>
        <v>0</v>
      </c>
      <c r="O1005" s="26" t="str">
        <f aca="false">IF($M1005=0,"",ST_RESULTATS!$T255)</f>
        <v/>
      </c>
      <c r="P1005" s="26" t="str">
        <f aca="false">IF($G1005="","",IF($G1005=R_LOT,COUNTIF($G$5:$G1005,R_LOT),""))</f>
        <v/>
      </c>
    </row>
    <row r="1006" customFormat="false" ht="15" hidden="false" customHeight="false" outlineLevel="0" collapsed="false">
      <c r="A1006" s="28" t="str">
        <f aca="false">IF($M1006=0,"",ROW()-4)</f>
        <v/>
      </c>
      <c r="B1006" s="26" t="str">
        <f aca="false">IF($M1006=0,"","RESULTAT ST")</f>
        <v/>
      </c>
      <c r="C1006" s="26" t="str">
        <f aca="false">IF($M1006=0,"",ST_RESULTATS!$A256)</f>
        <v/>
      </c>
      <c r="D1006" s="31" t="str">
        <f aca="false">IF($M1006=0,"",ST_RESULTATS!$W256)</f>
        <v/>
      </c>
      <c r="E1006" s="26" t="str">
        <f aca="false">IF($M1006=0,"","ENTREE")</f>
        <v/>
      </c>
      <c r="F1006" s="26" t="str">
        <f aca="false">IF($M1006=0,"","RETOUR SOUS-TRAITANCE")</f>
        <v/>
      </c>
      <c r="G1006" s="26" t="str">
        <f aca="false">IF($M1006=0,"",ST_RESULTATS!$N256)</f>
        <v/>
      </c>
      <c r="H1006" s="26" t="str">
        <f aca="false">IF($G1006="","",IFERROR(INDEX(LOT_EXTE,MATCH($G1006,LOT_KEY,0)),""))</f>
        <v/>
      </c>
      <c r="I1006" s="26" t="str">
        <f aca="false">IF($M1006=0,"",ST_RESULTATS!$J256)</f>
        <v/>
      </c>
      <c r="J1006" s="26" t="str">
        <f aca="false">IF($I1006="","",IFERROR(INDEX(EMPL_CLASSE,MATCH($I1006,EMPL_KEY,0)),""))</f>
        <v/>
      </c>
      <c r="K1006" s="26" t="str">
        <f aca="false">IF($M1006=0,"",IFERROR(INDEX(LOT_PRODE,MATCH($G1006,LOT_KEY,0)),""))</f>
        <v/>
      </c>
      <c r="L1006" s="26" t="str">
        <f aca="false">IF($G1006="","",IF(IFERROR(INDEX(LOT_ETAT,MATCH($G1006,LOT_KEY,0)),"")="","",INDEX(LOT_ETAT,MATCH($G1006,LOT_KEY,0))))</f>
        <v/>
      </c>
      <c r="M1006" s="73" t="n">
        <f aca="false">IF(ST_RESULTATS!$Q256=0,0,ST_RESULTATS!$F256)</f>
        <v>0</v>
      </c>
      <c r="N1006" s="73" t="n">
        <f aca="false">IF($M1006=0,0,ST_RESULTATS!$U256*$M1006)</f>
        <v>0</v>
      </c>
      <c r="O1006" s="26" t="str">
        <f aca="false">IF($M1006=0,"",ST_RESULTATS!$T256)</f>
        <v/>
      </c>
      <c r="P1006" s="26" t="str">
        <f aca="false">IF($G1006="","",IF($G1006=R_LOT,COUNTIF($G$5:$G1006,R_LOT),""))</f>
        <v/>
      </c>
    </row>
    <row r="1007" customFormat="false" ht="15" hidden="false" customHeight="false" outlineLevel="0" collapsed="false">
      <c r="A1007" s="28" t="str">
        <f aca="false">IF($M1007=0,"",ROW()-4)</f>
        <v/>
      </c>
      <c r="B1007" s="26" t="str">
        <f aca="false">IF($M1007=0,"","RESULTAT ST")</f>
        <v/>
      </c>
      <c r="C1007" s="26" t="str">
        <f aca="false">IF($M1007=0,"",ST_RESULTATS!$A257)</f>
        <v/>
      </c>
      <c r="D1007" s="31" t="str">
        <f aca="false">IF($M1007=0,"",ST_RESULTATS!$W257)</f>
        <v/>
      </c>
      <c r="E1007" s="26" t="str">
        <f aca="false">IF($M1007=0,"","ENTREE")</f>
        <v/>
      </c>
      <c r="F1007" s="26" t="str">
        <f aca="false">IF($M1007=0,"","RETOUR SOUS-TRAITANCE")</f>
        <v/>
      </c>
      <c r="G1007" s="26" t="str">
        <f aca="false">IF($M1007=0,"",ST_RESULTATS!$N257)</f>
        <v/>
      </c>
      <c r="H1007" s="26" t="str">
        <f aca="false">IF($G1007="","",IFERROR(INDEX(LOT_EXTE,MATCH($G1007,LOT_KEY,0)),""))</f>
        <v/>
      </c>
      <c r="I1007" s="26" t="str">
        <f aca="false">IF($M1007=0,"",ST_RESULTATS!$J257)</f>
        <v/>
      </c>
      <c r="J1007" s="26" t="str">
        <f aca="false">IF($I1007="","",IFERROR(INDEX(EMPL_CLASSE,MATCH($I1007,EMPL_KEY,0)),""))</f>
        <v/>
      </c>
      <c r="K1007" s="26" t="str">
        <f aca="false">IF($M1007=0,"",IFERROR(INDEX(LOT_PRODE,MATCH($G1007,LOT_KEY,0)),""))</f>
        <v/>
      </c>
      <c r="L1007" s="26" t="str">
        <f aca="false">IF($G1007="","",IF(IFERROR(INDEX(LOT_ETAT,MATCH($G1007,LOT_KEY,0)),"")="","",INDEX(LOT_ETAT,MATCH($G1007,LOT_KEY,0))))</f>
        <v/>
      </c>
      <c r="M1007" s="73" t="n">
        <f aca="false">IF(ST_RESULTATS!$Q257=0,0,ST_RESULTATS!$F257)</f>
        <v>0</v>
      </c>
      <c r="N1007" s="73" t="n">
        <f aca="false">IF($M1007=0,0,ST_RESULTATS!$U257*$M1007)</f>
        <v>0</v>
      </c>
      <c r="O1007" s="26" t="str">
        <f aca="false">IF($M1007=0,"",ST_RESULTATS!$T257)</f>
        <v/>
      </c>
      <c r="P1007" s="26" t="str">
        <f aca="false">IF($G1007="","",IF($G1007=R_LOT,COUNTIF($G$5:$G1007,R_LOT),""))</f>
        <v/>
      </c>
    </row>
    <row r="1008" customFormat="false" ht="15" hidden="false" customHeight="false" outlineLevel="0" collapsed="false">
      <c r="A1008" s="28" t="str">
        <f aca="false">IF($M1008=0,"",ROW()-4)</f>
        <v/>
      </c>
      <c r="B1008" s="26" t="str">
        <f aca="false">IF($M1008=0,"","RESULTAT ST")</f>
        <v/>
      </c>
      <c r="C1008" s="26" t="str">
        <f aca="false">IF($M1008=0,"",ST_RESULTATS!$A258)</f>
        <v/>
      </c>
      <c r="D1008" s="31" t="str">
        <f aca="false">IF($M1008=0,"",ST_RESULTATS!$W258)</f>
        <v/>
      </c>
      <c r="E1008" s="26" t="str">
        <f aca="false">IF($M1008=0,"","ENTREE")</f>
        <v/>
      </c>
      <c r="F1008" s="26" t="str">
        <f aca="false">IF($M1008=0,"","RETOUR SOUS-TRAITANCE")</f>
        <v/>
      </c>
      <c r="G1008" s="26" t="str">
        <f aca="false">IF($M1008=0,"",ST_RESULTATS!$N258)</f>
        <v/>
      </c>
      <c r="H1008" s="26" t="str">
        <f aca="false">IF($G1008="","",IFERROR(INDEX(LOT_EXTE,MATCH($G1008,LOT_KEY,0)),""))</f>
        <v/>
      </c>
      <c r="I1008" s="26" t="str">
        <f aca="false">IF($M1008=0,"",ST_RESULTATS!$J258)</f>
        <v/>
      </c>
      <c r="J1008" s="26" t="str">
        <f aca="false">IF($I1008="","",IFERROR(INDEX(EMPL_CLASSE,MATCH($I1008,EMPL_KEY,0)),""))</f>
        <v/>
      </c>
      <c r="K1008" s="26" t="str">
        <f aca="false">IF($M1008=0,"",IFERROR(INDEX(LOT_PRODE,MATCH($G1008,LOT_KEY,0)),""))</f>
        <v/>
      </c>
      <c r="L1008" s="26" t="str">
        <f aca="false">IF($G1008="","",IF(IFERROR(INDEX(LOT_ETAT,MATCH($G1008,LOT_KEY,0)),"")="","",INDEX(LOT_ETAT,MATCH($G1008,LOT_KEY,0))))</f>
        <v/>
      </c>
      <c r="M1008" s="73" t="n">
        <f aca="false">IF(ST_RESULTATS!$Q258=0,0,ST_RESULTATS!$F258)</f>
        <v>0</v>
      </c>
      <c r="N1008" s="73" t="n">
        <f aca="false">IF($M1008=0,0,ST_RESULTATS!$U258*$M1008)</f>
        <v>0</v>
      </c>
      <c r="O1008" s="26" t="str">
        <f aca="false">IF($M1008=0,"",ST_RESULTATS!$T258)</f>
        <v/>
      </c>
      <c r="P1008" s="26" t="str">
        <f aca="false">IF($G1008="","",IF($G1008=R_LOT,COUNTIF($G$5:$G1008,R_LOT),""))</f>
        <v/>
      </c>
    </row>
    <row r="1009" customFormat="false" ht="15" hidden="false" customHeight="false" outlineLevel="0" collapsed="false">
      <c r="A1009" s="28" t="str">
        <f aca="false">IF($M1009=0,"",ROW()-4)</f>
        <v/>
      </c>
      <c r="B1009" s="26" t="str">
        <f aca="false">IF($M1009=0,"","RESULTAT ST")</f>
        <v/>
      </c>
      <c r="C1009" s="26" t="str">
        <f aca="false">IF($M1009=0,"",ST_RESULTATS!$A259)</f>
        <v/>
      </c>
      <c r="D1009" s="31" t="str">
        <f aca="false">IF($M1009=0,"",ST_RESULTATS!$W259)</f>
        <v/>
      </c>
      <c r="E1009" s="26" t="str">
        <f aca="false">IF($M1009=0,"","ENTREE")</f>
        <v/>
      </c>
      <c r="F1009" s="26" t="str">
        <f aca="false">IF($M1009=0,"","RETOUR SOUS-TRAITANCE")</f>
        <v/>
      </c>
      <c r="G1009" s="26" t="str">
        <f aca="false">IF($M1009=0,"",ST_RESULTATS!$N259)</f>
        <v/>
      </c>
      <c r="H1009" s="26" t="str">
        <f aca="false">IF($G1009="","",IFERROR(INDEX(LOT_EXTE,MATCH($G1009,LOT_KEY,0)),""))</f>
        <v/>
      </c>
      <c r="I1009" s="26" t="str">
        <f aca="false">IF($M1009=0,"",ST_RESULTATS!$J259)</f>
        <v/>
      </c>
      <c r="J1009" s="26" t="str">
        <f aca="false">IF($I1009="","",IFERROR(INDEX(EMPL_CLASSE,MATCH($I1009,EMPL_KEY,0)),""))</f>
        <v/>
      </c>
      <c r="K1009" s="26" t="str">
        <f aca="false">IF($M1009=0,"",IFERROR(INDEX(LOT_PRODE,MATCH($G1009,LOT_KEY,0)),""))</f>
        <v/>
      </c>
      <c r="L1009" s="26" t="str">
        <f aca="false">IF($G1009="","",IF(IFERROR(INDEX(LOT_ETAT,MATCH($G1009,LOT_KEY,0)),"")="","",INDEX(LOT_ETAT,MATCH($G1009,LOT_KEY,0))))</f>
        <v/>
      </c>
      <c r="M1009" s="73" t="n">
        <f aca="false">IF(ST_RESULTATS!$Q259=0,0,ST_RESULTATS!$F259)</f>
        <v>0</v>
      </c>
      <c r="N1009" s="73" t="n">
        <f aca="false">IF($M1009=0,0,ST_RESULTATS!$U259*$M1009)</f>
        <v>0</v>
      </c>
      <c r="O1009" s="26" t="str">
        <f aca="false">IF($M1009=0,"",ST_RESULTATS!$T259)</f>
        <v/>
      </c>
      <c r="P1009" s="26" t="str">
        <f aca="false">IF($G1009="","",IF($G1009=R_LOT,COUNTIF($G$5:$G1009,R_LOT),""))</f>
        <v/>
      </c>
    </row>
    <row r="1010" customFormat="false" ht="15" hidden="false" customHeight="false" outlineLevel="0" collapsed="false">
      <c r="A1010" s="28" t="str">
        <f aca="false">IF($M1010=0,"",ROW()-4)</f>
        <v/>
      </c>
      <c r="B1010" s="26" t="str">
        <f aca="false">IF($M1010=0,"","RESULTAT ST")</f>
        <v/>
      </c>
      <c r="C1010" s="26" t="str">
        <f aca="false">IF($M1010=0,"",ST_RESULTATS!$A260)</f>
        <v/>
      </c>
      <c r="D1010" s="31" t="str">
        <f aca="false">IF($M1010=0,"",ST_RESULTATS!$W260)</f>
        <v/>
      </c>
      <c r="E1010" s="26" t="str">
        <f aca="false">IF($M1010=0,"","ENTREE")</f>
        <v/>
      </c>
      <c r="F1010" s="26" t="str">
        <f aca="false">IF($M1010=0,"","RETOUR SOUS-TRAITANCE")</f>
        <v/>
      </c>
      <c r="G1010" s="26" t="str">
        <f aca="false">IF($M1010=0,"",ST_RESULTATS!$N260)</f>
        <v/>
      </c>
      <c r="H1010" s="26" t="str">
        <f aca="false">IF($G1010="","",IFERROR(INDEX(LOT_EXTE,MATCH($G1010,LOT_KEY,0)),""))</f>
        <v/>
      </c>
      <c r="I1010" s="26" t="str">
        <f aca="false">IF($M1010=0,"",ST_RESULTATS!$J260)</f>
        <v/>
      </c>
      <c r="J1010" s="26" t="str">
        <f aca="false">IF($I1010="","",IFERROR(INDEX(EMPL_CLASSE,MATCH($I1010,EMPL_KEY,0)),""))</f>
        <v/>
      </c>
      <c r="K1010" s="26" t="str">
        <f aca="false">IF($M1010=0,"",IFERROR(INDEX(LOT_PRODE,MATCH($G1010,LOT_KEY,0)),""))</f>
        <v/>
      </c>
      <c r="L1010" s="26" t="str">
        <f aca="false">IF($G1010="","",IF(IFERROR(INDEX(LOT_ETAT,MATCH($G1010,LOT_KEY,0)),"")="","",INDEX(LOT_ETAT,MATCH($G1010,LOT_KEY,0))))</f>
        <v/>
      </c>
      <c r="M1010" s="73" t="n">
        <f aca="false">IF(ST_RESULTATS!$Q260=0,0,ST_RESULTATS!$F260)</f>
        <v>0</v>
      </c>
      <c r="N1010" s="73" t="n">
        <f aca="false">IF($M1010=0,0,ST_RESULTATS!$U260*$M1010)</f>
        <v>0</v>
      </c>
      <c r="O1010" s="26" t="str">
        <f aca="false">IF($M1010=0,"",ST_RESULTATS!$T260)</f>
        <v/>
      </c>
      <c r="P1010" s="26" t="str">
        <f aca="false">IF($G1010="","",IF($G1010=R_LOT,COUNTIF($G$5:$G1010,R_LOT),""))</f>
        <v/>
      </c>
    </row>
    <row r="1011" customFormat="false" ht="15" hidden="false" customHeight="false" outlineLevel="0" collapsed="false">
      <c r="A1011" s="28" t="str">
        <f aca="false">IF($M1011=0,"",ROW()-4)</f>
        <v/>
      </c>
      <c r="B1011" s="26" t="str">
        <f aca="false">IF($M1011=0,"","RESULTAT ST")</f>
        <v/>
      </c>
      <c r="C1011" s="26" t="str">
        <f aca="false">IF($M1011=0,"",ST_RESULTATS!$A261)</f>
        <v/>
      </c>
      <c r="D1011" s="31" t="str">
        <f aca="false">IF($M1011=0,"",ST_RESULTATS!$W261)</f>
        <v/>
      </c>
      <c r="E1011" s="26" t="str">
        <f aca="false">IF($M1011=0,"","ENTREE")</f>
        <v/>
      </c>
      <c r="F1011" s="26" t="str">
        <f aca="false">IF($M1011=0,"","RETOUR SOUS-TRAITANCE")</f>
        <v/>
      </c>
      <c r="G1011" s="26" t="str">
        <f aca="false">IF($M1011=0,"",ST_RESULTATS!$N261)</f>
        <v/>
      </c>
      <c r="H1011" s="26" t="str">
        <f aca="false">IF($G1011="","",IFERROR(INDEX(LOT_EXTE,MATCH($G1011,LOT_KEY,0)),""))</f>
        <v/>
      </c>
      <c r="I1011" s="26" t="str">
        <f aca="false">IF($M1011=0,"",ST_RESULTATS!$J261)</f>
        <v/>
      </c>
      <c r="J1011" s="26" t="str">
        <f aca="false">IF($I1011="","",IFERROR(INDEX(EMPL_CLASSE,MATCH($I1011,EMPL_KEY,0)),""))</f>
        <v/>
      </c>
      <c r="K1011" s="26" t="str">
        <f aca="false">IF($M1011=0,"",IFERROR(INDEX(LOT_PRODE,MATCH($G1011,LOT_KEY,0)),""))</f>
        <v/>
      </c>
      <c r="L1011" s="26" t="str">
        <f aca="false">IF($G1011="","",IF(IFERROR(INDEX(LOT_ETAT,MATCH($G1011,LOT_KEY,0)),"")="","",INDEX(LOT_ETAT,MATCH($G1011,LOT_KEY,0))))</f>
        <v/>
      </c>
      <c r="M1011" s="73" t="n">
        <f aca="false">IF(ST_RESULTATS!$Q261=0,0,ST_RESULTATS!$F261)</f>
        <v>0</v>
      </c>
      <c r="N1011" s="73" t="n">
        <f aca="false">IF($M1011=0,0,ST_RESULTATS!$U261*$M1011)</f>
        <v>0</v>
      </c>
      <c r="O1011" s="26" t="str">
        <f aca="false">IF($M1011=0,"",ST_RESULTATS!$T261)</f>
        <v/>
      </c>
      <c r="P1011" s="26" t="str">
        <f aca="false">IF($G1011="","",IF($G1011=R_LOT,COUNTIF($G$5:$G1011,R_LOT),""))</f>
        <v/>
      </c>
    </row>
    <row r="1012" customFormat="false" ht="15" hidden="false" customHeight="false" outlineLevel="0" collapsed="false">
      <c r="A1012" s="28" t="str">
        <f aca="false">IF($M1012=0,"",ROW()-4)</f>
        <v/>
      </c>
      <c r="B1012" s="26" t="str">
        <f aca="false">IF($M1012=0,"","RESULTAT ST")</f>
        <v/>
      </c>
      <c r="C1012" s="26" t="str">
        <f aca="false">IF($M1012=0,"",ST_RESULTATS!$A262)</f>
        <v/>
      </c>
      <c r="D1012" s="31" t="str">
        <f aca="false">IF($M1012=0,"",ST_RESULTATS!$W262)</f>
        <v/>
      </c>
      <c r="E1012" s="26" t="str">
        <f aca="false">IF($M1012=0,"","ENTREE")</f>
        <v/>
      </c>
      <c r="F1012" s="26" t="str">
        <f aca="false">IF($M1012=0,"","RETOUR SOUS-TRAITANCE")</f>
        <v/>
      </c>
      <c r="G1012" s="26" t="str">
        <f aca="false">IF($M1012=0,"",ST_RESULTATS!$N262)</f>
        <v/>
      </c>
      <c r="H1012" s="26" t="str">
        <f aca="false">IF($G1012="","",IFERROR(INDEX(LOT_EXTE,MATCH($G1012,LOT_KEY,0)),""))</f>
        <v/>
      </c>
      <c r="I1012" s="26" t="str">
        <f aca="false">IF($M1012=0,"",ST_RESULTATS!$J262)</f>
        <v/>
      </c>
      <c r="J1012" s="26" t="str">
        <f aca="false">IF($I1012="","",IFERROR(INDEX(EMPL_CLASSE,MATCH($I1012,EMPL_KEY,0)),""))</f>
        <v/>
      </c>
      <c r="K1012" s="26" t="str">
        <f aca="false">IF($M1012=0,"",IFERROR(INDEX(LOT_PRODE,MATCH($G1012,LOT_KEY,0)),""))</f>
        <v/>
      </c>
      <c r="L1012" s="26" t="str">
        <f aca="false">IF($G1012="","",IF(IFERROR(INDEX(LOT_ETAT,MATCH($G1012,LOT_KEY,0)),"")="","",INDEX(LOT_ETAT,MATCH($G1012,LOT_KEY,0))))</f>
        <v/>
      </c>
      <c r="M1012" s="73" t="n">
        <f aca="false">IF(ST_RESULTATS!$Q262=0,0,ST_RESULTATS!$F262)</f>
        <v>0</v>
      </c>
      <c r="N1012" s="73" t="n">
        <f aca="false">IF($M1012=0,0,ST_RESULTATS!$U262*$M1012)</f>
        <v>0</v>
      </c>
      <c r="O1012" s="26" t="str">
        <f aca="false">IF($M1012=0,"",ST_RESULTATS!$T262)</f>
        <v/>
      </c>
      <c r="P1012" s="26" t="str">
        <f aca="false">IF($G1012="","",IF($G1012=R_LOT,COUNTIF($G$5:$G1012,R_LOT),""))</f>
        <v/>
      </c>
    </row>
    <row r="1013" customFormat="false" ht="15" hidden="false" customHeight="false" outlineLevel="0" collapsed="false">
      <c r="A1013" s="28" t="str">
        <f aca="false">IF($M1013=0,"",ROW()-4)</f>
        <v/>
      </c>
      <c r="B1013" s="26" t="str">
        <f aca="false">IF($M1013=0,"","RESULTAT ST")</f>
        <v/>
      </c>
      <c r="C1013" s="26" t="str">
        <f aca="false">IF($M1013=0,"",ST_RESULTATS!$A263)</f>
        <v/>
      </c>
      <c r="D1013" s="31" t="str">
        <f aca="false">IF($M1013=0,"",ST_RESULTATS!$W263)</f>
        <v/>
      </c>
      <c r="E1013" s="26" t="str">
        <f aca="false">IF($M1013=0,"","ENTREE")</f>
        <v/>
      </c>
      <c r="F1013" s="26" t="str">
        <f aca="false">IF($M1013=0,"","RETOUR SOUS-TRAITANCE")</f>
        <v/>
      </c>
      <c r="G1013" s="26" t="str">
        <f aca="false">IF($M1013=0,"",ST_RESULTATS!$N263)</f>
        <v/>
      </c>
      <c r="H1013" s="26" t="str">
        <f aca="false">IF($G1013="","",IFERROR(INDEX(LOT_EXTE,MATCH($G1013,LOT_KEY,0)),""))</f>
        <v/>
      </c>
      <c r="I1013" s="26" t="str">
        <f aca="false">IF($M1013=0,"",ST_RESULTATS!$J263)</f>
        <v/>
      </c>
      <c r="J1013" s="26" t="str">
        <f aca="false">IF($I1013="","",IFERROR(INDEX(EMPL_CLASSE,MATCH($I1013,EMPL_KEY,0)),""))</f>
        <v/>
      </c>
      <c r="K1013" s="26" t="str">
        <f aca="false">IF($M1013=0,"",IFERROR(INDEX(LOT_PRODE,MATCH($G1013,LOT_KEY,0)),""))</f>
        <v/>
      </c>
      <c r="L1013" s="26" t="str">
        <f aca="false">IF($G1013="","",IF(IFERROR(INDEX(LOT_ETAT,MATCH($G1013,LOT_KEY,0)),"")="","",INDEX(LOT_ETAT,MATCH($G1013,LOT_KEY,0))))</f>
        <v/>
      </c>
      <c r="M1013" s="73" t="n">
        <f aca="false">IF(ST_RESULTATS!$Q263=0,0,ST_RESULTATS!$F263)</f>
        <v>0</v>
      </c>
      <c r="N1013" s="73" t="n">
        <f aca="false">IF($M1013=0,0,ST_RESULTATS!$U263*$M1013)</f>
        <v>0</v>
      </c>
      <c r="O1013" s="26" t="str">
        <f aca="false">IF($M1013=0,"",ST_RESULTATS!$T263)</f>
        <v/>
      </c>
      <c r="P1013" s="26" t="str">
        <f aca="false">IF($G1013="","",IF($G1013=R_LOT,COUNTIF($G$5:$G1013,R_LOT),""))</f>
        <v/>
      </c>
    </row>
    <row r="1014" customFormat="false" ht="15" hidden="false" customHeight="false" outlineLevel="0" collapsed="false">
      <c r="A1014" s="28" t="str">
        <f aca="false">IF($M1014=0,"",ROW()-4)</f>
        <v/>
      </c>
      <c r="B1014" s="26" t="str">
        <f aca="false">IF($M1014=0,"","RESULTAT ST")</f>
        <v/>
      </c>
      <c r="C1014" s="26" t="str">
        <f aca="false">IF($M1014=0,"",ST_RESULTATS!$A264)</f>
        <v/>
      </c>
      <c r="D1014" s="31" t="str">
        <f aca="false">IF($M1014=0,"",ST_RESULTATS!$W264)</f>
        <v/>
      </c>
      <c r="E1014" s="26" t="str">
        <f aca="false">IF($M1014=0,"","ENTREE")</f>
        <v/>
      </c>
      <c r="F1014" s="26" t="str">
        <f aca="false">IF($M1014=0,"","RETOUR SOUS-TRAITANCE")</f>
        <v/>
      </c>
      <c r="G1014" s="26" t="str">
        <f aca="false">IF($M1014=0,"",ST_RESULTATS!$N264)</f>
        <v/>
      </c>
      <c r="H1014" s="26" t="str">
        <f aca="false">IF($G1014="","",IFERROR(INDEX(LOT_EXTE,MATCH($G1014,LOT_KEY,0)),""))</f>
        <v/>
      </c>
      <c r="I1014" s="26" t="str">
        <f aca="false">IF($M1014=0,"",ST_RESULTATS!$J264)</f>
        <v/>
      </c>
      <c r="J1014" s="26" t="str">
        <f aca="false">IF($I1014="","",IFERROR(INDEX(EMPL_CLASSE,MATCH($I1014,EMPL_KEY,0)),""))</f>
        <v/>
      </c>
      <c r="K1014" s="26" t="str">
        <f aca="false">IF($M1014=0,"",IFERROR(INDEX(LOT_PRODE,MATCH($G1014,LOT_KEY,0)),""))</f>
        <v/>
      </c>
      <c r="L1014" s="26" t="str">
        <f aca="false">IF($G1014="","",IF(IFERROR(INDEX(LOT_ETAT,MATCH($G1014,LOT_KEY,0)),"")="","",INDEX(LOT_ETAT,MATCH($G1014,LOT_KEY,0))))</f>
        <v/>
      </c>
      <c r="M1014" s="73" t="n">
        <f aca="false">IF(ST_RESULTATS!$Q264=0,0,ST_RESULTATS!$F264)</f>
        <v>0</v>
      </c>
      <c r="N1014" s="73" t="n">
        <f aca="false">IF($M1014=0,0,ST_RESULTATS!$U264*$M1014)</f>
        <v>0</v>
      </c>
      <c r="O1014" s="26" t="str">
        <f aca="false">IF($M1014=0,"",ST_RESULTATS!$T264)</f>
        <v/>
      </c>
      <c r="P1014" s="26" t="str">
        <f aca="false">IF($G1014="","",IF($G1014=R_LOT,COUNTIF($G$5:$G1014,R_LOT),""))</f>
        <v/>
      </c>
    </row>
    <row r="1015" customFormat="false" ht="15" hidden="false" customHeight="false" outlineLevel="0" collapsed="false">
      <c r="A1015" s="28" t="str">
        <f aca="false">IF($M1015=0,"",ROW()-4)</f>
        <v/>
      </c>
      <c r="B1015" s="26" t="str">
        <f aca="false">IF($M1015=0,"","RESULTAT ST")</f>
        <v/>
      </c>
      <c r="C1015" s="26" t="str">
        <f aca="false">IF($M1015=0,"",ST_RESULTATS!$A265)</f>
        <v/>
      </c>
      <c r="D1015" s="31" t="str">
        <f aca="false">IF($M1015=0,"",ST_RESULTATS!$W265)</f>
        <v/>
      </c>
      <c r="E1015" s="26" t="str">
        <f aca="false">IF($M1015=0,"","ENTREE")</f>
        <v/>
      </c>
      <c r="F1015" s="26" t="str">
        <f aca="false">IF($M1015=0,"","RETOUR SOUS-TRAITANCE")</f>
        <v/>
      </c>
      <c r="G1015" s="26" t="str">
        <f aca="false">IF($M1015=0,"",ST_RESULTATS!$N265)</f>
        <v/>
      </c>
      <c r="H1015" s="26" t="str">
        <f aca="false">IF($G1015="","",IFERROR(INDEX(LOT_EXTE,MATCH($G1015,LOT_KEY,0)),""))</f>
        <v/>
      </c>
      <c r="I1015" s="26" t="str">
        <f aca="false">IF($M1015=0,"",ST_RESULTATS!$J265)</f>
        <v/>
      </c>
      <c r="J1015" s="26" t="str">
        <f aca="false">IF($I1015="","",IFERROR(INDEX(EMPL_CLASSE,MATCH($I1015,EMPL_KEY,0)),""))</f>
        <v/>
      </c>
      <c r="K1015" s="26" t="str">
        <f aca="false">IF($M1015=0,"",IFERROR(INDEX(LOT_PRODE,MATCH($G1015,LOT_KEY,0)),""))</f>
        <v/>
      </c>
      <c r="L1015" s="26" t="str">
        <f aca="false">IF($G1015="","",IF(IFERROR(INDEX(LOT_ETAT,MATCH($G1015,LOT_KEY,0)),"")="","",INDEX(LOT_ETAT,MATCH($G1015,LOT_KEY,0))))</f>
        <v/>
      </c>
      <c r="M1015" s="73" t="n">
        <f aca="false">IF(ST_RESULTATS!$Q265=0,0,ST_RESULTATS!$F265)</f>
        <v>0</v>
      </c>
      <c r="N1015" s="73" t="n">
        <f aca="false">IF($M1015=0,0,ST_RESULTATS!$U265*$M1015)</f>
        <v>0</v>
      </c>
      <c r="O1015" s="26" t="str">
        <f aca="false">IF($M1015=0,"",ST_RESULTATS!$T265)</f>
        <v/>
      </c>
      <c r="P1015" s="26" t="str">
        <f aca="false">IF($G1015="","",IF($G1015=R_LOT,COUNTIF($G$5:$G1015,R_LOT),""))</f>
        <v/>
      </c>
    </row>
    <row r="1016" customFormat="false" ht="15" hidden="false" customHeight="false" outlineLevel="0" collapsed="false">
      <c r="A1016" s="28" t="str">
        <f aca="false">IF($M1016=0,"",ROW()-4)</f>
        <v/>
      </c>
      <c r="B1016" s="26" t="str">
        <f aca="false">IF($M1016=0,"","RESULTAT ST")</f>
        <v/>
      </c>
      <c r="C1016" s="26" t="str">
        <f aca="false">IF($M1016=0,"",ST_RESULTATS!$A266)</f>
        <v/>
      </c>
      <c r="D1016" s="31" t="str">
        <f aca="false">IF($M1016=0,"",ST_RESULTATS!$W266)</f>
        <v/>
      </c>
      <c r="E1016" s="26" t="str">
        <f aca="false">IF($M1016=0,"","ENTREE")</f>
        <v/>
      </c>
      <c r="F1016" s="26" t="str">
        <f aca="false">IF($M1016=0,"","RETOUR SOUS-TRAITANCE")</f>
        <v/>
      </c>
      <c r="G1016" s="26" t="str">
        <f aca="false">IF($M1016=0,"",ST_RESULTATS!$N266)</f>
        <v/>
      </c>
      <c r="H1016" s="26" t="str">
        <f aca="false">IF($G1016="","",IFERROR(INDEX(LOT_EXTE,MATCH($G1016,LOT_KEY,0)),""))</f>
        <v/>
      </c>
      <c r="I1016" s="26" t="str">
        <f aca="false">IF($M1016=0,"",ST_RESULTATS!$J266)</f>
        <v/>
      </c>
      <c r="J1016" s="26" t="str">
        <f aca="false">IF($I1016="","",IFERROR(INDEX(EMPL_CLASSE,MATCH($I1016,EMPL_KEY,0)),""))</f>
        <v/>
      </c>
      <c r="K1016" s="26" t="str">
        <f aca="false">IF($M1016=0,"",IFERROR(INDEX(LOT_PRODE,MATCH($G1016,LOT_KEY,0)),""))</f>
        <v/>
      </c>
      <c r="L1016" s="26" t="str">
        <f aca="false">IF($G1016="","",IF(IFERROR(INDEX(LOT_ETAT,MATCH($G1016,LOT_KEY,0)),"")="","",INDEX(LOT_ETAT,MATCH($G1016,LOT_KEY,0))))</f>
        <v/>
      </c>
      <c r="M1016" s="73" t="n">
        <f aca="false">IF(ST_RESULTATS!$Q266=0,0,ST_RESULTATS!$F266)</f>
        <v>0</v>
      </c>
      <c r="N1016" s="73" t="n">
        <f aca="false">IF($M1016=0,0,ST_RESULTATS!$U266*$M1016)</f>
        <v>0</v>
      </c>
      <c r="O1016" s="26" t="str">
        <f aca="false">IF($M1016=0,"",ST_RESULTATS!$T266)</f>
        <v/>
      </c>
      <c r="P1016" s="26" t="str">
        <f aca="false">IF($G1016="","",IF($G1016=R_LOT,COUNTIF($G$5:$G1016,R_LOT),""))</f>
        <v/>
      </c>
    </row>
    <row r="1017" customFormat="false" ht="15" hidden="false" customHeight="false" outlineLevel="0" collapsed="false">
      <c r="A1017" s="28" t="str">
        <f aca="false">IF($M1017=0,"",ROW()-4)</f>
        <v/>
      </c>
      <c r="B1017" s="26" t="str">
        <f aca="false">IF($M1017=0,"","RESULTAT ST")</f>
        <v/>
      </c>
      <c r="C1017" s="26" t="str">
        <f aca="false">IF($M1017=0,"",ST_RESULTATS!$A267)</f>
        <v/>
      </c>
      <c r="D1017" s="31" t="str">
        <f aca="false">IF($M1017=0,"",ST_RESULTATS!$W267)</f>
        <v/>
      </c>
      <c r="E1017" s="26" t="str">
        <f aca="false">IF($M1017=0,"","ENTREE")</f>
        <v/>
      </c>
      <c r="F1017" s="26" t="str">
        <f aca="false">IF($M1017=0,"","RETOUR SOUS-TRAITANCE")</f>
        <v/>
      </c>
      <c r="G1017" s="26" t="str">
        <f aca="false">IF($M1017=0,"",ST_RESULTATS!$N267)</f>
        <v/>
      </c>
      <c r="H1017" s="26" t="str">
        <f aca="false">IF($G1017="","",IFERROR(INDEX(LOT_EXTE,MATCH($G1017,LOT_KEY,0)),""))</f>
        <v/>
      </c>
      <c r="I1017" s="26" t="str">
        <f aca="false">IF($M1017=0,"",ST_RESULTATS!$J267)</f>
        <v/>
      </c>
      <c r="J1017" s="26" t="str">
        <f aca="false">IF($I1017="","",IFERROR(INDEX(EMPL_CLASSE,MATCH($I1017,EMPL_KEY,0)),""))</f>
        <v/>
      </c>
      <c r="K1017" s="26" t="str">
        <f aca="false">IF($M1017=0,"",IFERROR(INDEX(LOT_PRODE,MATCH($G1017,LOT_KEY,0)),""))</f>
        <v/>
      </c>
      <c r="L1017" s="26" t="str">
        <f aca="false">IF($G1017="","",IF(IFERROR(INDEX(LOT_ETAT,MATCH($G1017,LOT_KEY,0)),"")="","",INDEX(LOT_ETAT,MATCH($G1017,LOT_KEY,0))))</f>
        <v/>
      </c>
      <c r="M1017" s="73" t="n">
        <f aca="false">IF(ST_RESULTATS!$Q267=0,0,ST_RESULTATS!$F267)</f>
        <v>0</v>
      </c>
      <c r="N1017" s="73" t="n">
        <f aca="false">IF($M1017=0,0,ST_RESULTATS!$U267*$M1017)</f>
        <v>0</v>
      </c>
      <c r="O1017" s="26" t="str">
        <f aca="false">IF($M1017=0,"",ST_RESULTATS!$T267)</f>
        <v/>
      </c>
      <c r="P1017" s="26" t="str">
        <f aca="false">IF($G1017="","",IF($G1017=R_LOT,COUNTIF($G$5:$G1017,R_LOT),""))</f>
        <v/>
      </c>
    </row>
    <row r="1018" customFormat="false" ht="15" hidden="false" customHeight="false" outlineLevel="0" collapsed="false">
      <c r="A1018" s="28" t="str">
        <f aca="false">IF($M1018=0,"",ROW()-4)</f>
        <v/>
      </c>
      <c r="B1018" s="26" t="str">
        <f aca="false">IF($M1018=0,"","RESULTAT ST")</f>
        <v/>
      </c>
      <c r="C1018" s="26" t="str">
        <f aca="false">IF($M1018=0,"",ST_RESULTATS!$A268)</f>
        <v/>
      </c>
      <c r="D1018" s="31" t="str">
        <f aca="false">IF($M1018=0,"",ST_RESULTATS!$W268)</f>
        <v/>
      </c>
      <c r="E1018" s="26" t="str">
        <f aca="false">IF($M1018=0,"","ENTREE")</f>
        <v/>
      </c>
      <c r="F1018" s="26" t="str">
        <f aca="false">IF($M1018=0,"","RETOUR SOUS-TRAITANCE")</f>
        <v/>
      </c>
      <c r="G1018" s="26" t="str">
        <f aca="false">IF($M1018=0,"",ST_RESULTATS!$N268)</f>
        <v/>
      </c>
      <c r="H1018" s="26" t="str">
        <f aca="false">IF($G1018="","",IFERROR(INDEX(LOT_EXTE,MATCH($G1018,LOT_KEY,0)),""))</f>
        <v/>
      </c>
      <c r="I1018" s="26" t="str">
        <f aca="false">IF($M1018=0,"",ST_RESULTATS!$J268)</f>
        <v/>
      </c>
      <c r="J1018" s="26" t="str">
        <f aca="false">IF($I1018="","",IFERROR(INDEX(EMPL_CLASSE,MATCH($I1018,EMPL_KEY,0)),""))</f>
        <v/>
      </c>
      <c r="K1018" s="26" t="str">
        <f aca="false">IF($M1018=0,"",IFERROR(INDEX(LOT_PRODE,MATCH($G1018,LOT_KEY,0)),""))</f>
        <v/>
      </c>
      <c r="L1018" s="26" t="str">
        <f aca="false">IF($G1018="","",IF(IFERROR(INDEX(LOT_ETAT,MATCH($G1018,LOT_KEY,0)),"")="","",INDEX(LOT_ETAT,MATCH($G1018,LOT_KEY,0))))</f>
        <v/>
      </c>
      <c r="M1018" s="73" t="n">
        <f aca="false">IF(ST_RESULTATS!$Q268=0,0,ST_RESULTATS!$F268)</f>
        <v>0</v>
      </c>
      <c r="N1018" s="73" t="n">
        <f aca="false">IF($M1018=0,0,ST_RESULTATS!$U268*$M1018)</f>
        <v>0</v>
      </c>
      <c r="O1018" s="26" t="str">
        <f aca="false">IF($M1018=0,"",ST_RESULTATS!$T268)</f>
        <v/>
      </c>
      <c r="P1018" s="26" t="str">
        <f aca="false">IF($G1018="","",IF($G1018=R_LOT,COUNTIF($G$5:$G1018,R_LOT),""))</f>
        <v/>
      </c>
    </row>
    <row r="1019" customFormat="false" ht="15" hidden="false" customHeight="false" outlineLevel="0" collapsed="false">
      <c r="A1019" s="28" t="str">
        <f aca="false">IF($M1019=0,"",ROW()-4)</f>
        <v/>
      </c>
      <c r="B1019" s="26" t="str">
        <f aca="false">IF($M1019=0,"","RESULTAT ST")</f>
        <v/>
      </c>
      <c r="C1019" s="26" t="str">
        <f aca="false">IF($M1019=0,"",ST_RESULTATS!$A269)</f>
        <v/>
      </c>
      <c r="D1019" s="31" t="str">
        <f aca="false">IF($M1019=0,"",ST_RESULTATS!$W269)</f>
        <v/>
      </c>
      <c r="E1019" s="26" t="str">
        <f aca="false">IF($M1019=0,"","ENTREE")</f>
        <v/>
      </c>
      <c r="F1019" s="26" t="str">
        <f aca="false">IF($M1019=0,"","RETOUR SOUS-TRAITANCE")</f>
        <v/>
      </c>
      <c r="G1019" s="26" t="str">
        <f aca="false">IF($M1019=0,"",ST_RESULTATS!$N269)</f>
        <v/>
      </c>
      <c r="H1019" s="26" t="str">
        <f aca="false">IF($G1019="","",IFERROR(INDEX(LOT_EXTE,MATCH($G1019,LOT_KEY,0)),""))</f>
        <v/>
      </c>
      <c r="I1019" s="26" t="str">
        <f aca="false">IF($M1019=0,"",ST_RESULTATS!$J269)</f>
        <v/>
      </c>
      <c r="J1019" s="26" t="str">
        <f aca="false">IF($I1019="","",IFERROR(INDEX(EMPL_CLASSE,MATCH($I1019,EMPL_KEY,0)),""))</f>
        <v/>
      </c>
      <c r="K1019" s="26" t="str">
        <f aca="false">IF($M1019=0,"",IFERROR(INDEX(LOT_PRODE,MATCH($G1019,LOT_KEY,0)),""))</f>
        <v/>
      </c>
      <c r="L1019" s="26" t="str">
        <f aca="false">IF($G1019="","",IF(IFERROR(INDEX(LOT_ETAT,MATCH($G1019,LOT_KEY,0)),"")="","",INDEX(LOT_ETAT,MATCH($G1019,LOT_KEY,0))))</f>
        <v/>
      </c>
      <c r="M1019" s="73" t="n">
        <f aca="false">IF(ST_RESULTATS!$Q269=0,0,ST_RESULTATS!$F269)</f>
        <v>0</v>
      </c>
      <c r="N1019" s="73" t="n">
        <f aca="false">IF($M1019=0,0,ST_RESULTATS!$U269*$M1019)</f>
        <v>0</v>
      </c>
      <c r="O1019" s="26" t="str">
        <f aca="false">IF($M1019=0,"",ST_RESULTATS!$T269)</f>
        <v/>
      </c>
      <c r="P1019" s="26" t="str">
        <f aca="false">IF($G1019="","",IF($G1019=R_LOT,COUNTIF($G$5:$G1019,R_LOT),""))</f>
        <v/>
      </c>
    </row>
    <row r="1020" customFormat="false" ht="15" hidden="false" customHeight="false" outlineLevel="0" collapsed="false">
      <c r="A1020" s="28" t="str">
        <f aca="false">IF($M1020=0,"",ROW()-4)</f>
        <v/>
      </c>
      <c r="B1020" s="26" t="str">
        <f aca="false">IF($M1020=0,"","RESULTAT ST")</f>
        <v/>
      </c>
      <c r="C1020" s="26" t="str">
        <f aca="false">IF($M1020=0,"",ST_RESULTATS!$A270)</f>
        <v/>
      </c>
      <c r="D1020" s="31" t="str">
        <f aca="false">IF($M1020=0,"",ST_RESULTATS!$W270)</f>
        <v/>
      </c>
      <c r="E1020" s="26" t="str">
        <f aca="false">IF($M1020=0,"","ENTREE")</f>
        <v/>
      </c>
      <c r="F1020" s="26" t="str">
        <f aca="false">IF($M1020=0,"","RETOUR SOUS-TRAITANCE")</f>
        <v/>
      </c>
      <c r="G1020" s="26" t="str">
        <f aca="false">IF($M1020=0,"",ST_RESULTATS!$N270)</f>
        <v/>
      </c>
      <c r="H1020" s="26" t="str">
        <f aca="false">IF($G1020="","",IFERROR(INDEX(LOT_EXTE,MATCH($G1020,LOT_KEY,0)),""))</f>
        <v/>
      </c>
      <c r="I1020" s="26" t="str">
        <f aca="false">IF($M1020=0,"",ST_RESULTATS!$J270)</f>
        <v/>
      </c>
      <c r="J1020" s="26" t="str">
        <f aca="false">IF($I1020="","",IFERROR(INDEX(EMPL_CLASSE,MATCH($I1020,EMPL_KEY,0)),""))</f>
        <v/>
      </c>
      <c r="K1020" s="26" t="str">
        <f aca="false">IF($M1020=0,"",IFERROR(INDEX(LOT_PRODE,MATCH($G1020,LOT_KEY,0)),""))</f>
        <v/>
      </c>
      <c r="L1020" s="26" t="str">
        <f aca="false">IF($G1020="","",IF(IFERROR(INDEX(LOT_ETAT,MATCH($G1020,LOT_KEY,0)),"")="","",INDEX(LOT_ETAT,MATCH($G1020,LOT_KEY,0))))</f>
        <v/>
      </c>
      <c r="M1020" s="73" t="n">
        <f aca="false">IF(ST_RESULTATS!$Q270=0,0,ST_RESULTATS!$F270)</f>
        <v>0</v>
      </c>
      <c r="N1020" s="73" t="n">
        <f aca="false">IF($M1020=0,0,ST_RESULTATS!$U270*$M1020)</f>
        <v>0</v>
      </c>
      <c r="O1020" s="26" t="str">
        <f aca="false">IF($M1020=0,"",ST_RESULTATS!$T270)</f>
        <v/>
      </c>
      <c r="P1020" s="26" t="str">
        <f aca="false">IF($G1020="","",IF($G1020=R_LOT,COUNTIF($G$5:$G1020,R_LOT),""))</f>
        <v/>
      </c>
    </row>
    <row r="1021" customFormat="false" ht="15" hidden="false" customHeight="false" outlineLevel="0" collapsed="false">
      <c r="A1021" s="28" t="str">
        <f aca="false">IF($M1021=0,"",ROW()-4)</f>
        <v/>
      </c>
      <c r="B1021" s="26" t="str">
        <f aca="false">IF($M1021=0,"","RESULTAT ST")</f>
        <v/>
      </c>
      <c r="C1021" s="26" t="str">
        <f aca="false">IF($M1021=0,"",ST_RESULTATS!$A271)</f>
        <v/>
      </c>
      <c r="D1021" s="31" t="str">
        <f aca="false">IF($M1021=0,"",ST_RESULTATS!$W271)</f>
        <v/>
      </c>
      <c r="E1021" s="26" t="str">
        <f aca="false">IF($M1021=0,"","ENTREE")</f>
        <v/>
      </c>
      <c r="F1021" s="26" t="str">
        <f aca="false">IF($M1021=0,"","RETOUR SOUS-TRAITANCE")</f>
        <v/>
      </c>
      <c r="G1021" s="26" t="str">
        <f aca="false">IF($M1021=0,"",ST_RESULTATS!$N271)</f>
        <v/>
      </c>
      <c r="H1021" s="26" t="str">
        <f aca="false">IF($G1021="","",IFERROR(INDEX(LOT_EXTE,MATCH($G1021,LOT_KEY,0)),""))</f>
        <v/>
      </c>
      <c r="I1021" s="26" t="str">
        <f aca="false">IF($M1021=0,"",ST_RESULTATS!$J271)</f>
        <v/>
      </c>
      <c r="J1021" s="26" t="str">
        <f aca="false">IF($I1021="","",IFERROR(INDEX(EMPL_CLASSE,MATCH($I1021,EMPL_KEY,0)),""))</f>
        <v/>
      </c>
      <c r="K1021" s="26" t="str">
        <f aca="false">IF($M1021=0,"",IFERROR(INDEX(LOT_PRODE,MATCH($G1021,LOT_KEY,0)),""))</f>
        <v/>
      </c>
      <c r="L1021" s="26" t="str">
        <f aca="false">IF($G1021="","",IF(IFERROR(INDEX(LOT_ETAT,MATCH($G1021,LOT_KEY,0)),"")="","",INDEX(LOT_ETAT,MATCH($G1021,LOT_KEY,0))))</f>
        <v/>
      </c>
      <c r="M1021" s="73" t="n">
        <f aca="false">IF(ST_RESULTATS!$Q271=0,0,ST_RESULTATS!$F271)</f>
        <v>0</v>
      </c>
      <c r="N1021" s="73" t="n">
        <f aca="false">IF($M1021=0,0,ST_RESULTATS!$U271*$M1021)</f>
        <v>0</v>
      </c>
      <c r="O1021" s="26" t="str">
        <f aca="false">IF($M1021=0,"",ST_RESULTATS!$T271)</f>
        <v/>
      </c>
      <c r="P1021" s="26" t="str">
        <f aca="false">IF($G1021="","",IF($G1021=R_LOT,COUNTIF($G$5:$G1021,R_LOT),""))</f>
        <v/>
      </c>
    </row>
    <row r="1022" customFormat="false" ht="15" hidden="false" customHeight="false" outlineLevel="0" collapsed="false">
      <c r="A1022" s="28" t="str">
        <f aca="false">IF($M1022=0,"",ROW()-4)</f>
        <v/>
      </c>
      <c r="B1022" s="26" t="str">
        <f aca="false">IF($M1022=0,"","RESULTAT ST")</f>
        <v/>
      </c>
      <c r="C1022" s="26" t="str">
        <f aca="false">IF($M1022=0,"",ST_RESULTATS!$A272)</f>
        <v/>
      </c>
      <c r="D1022" s="31" t="str">
        <f aca="false">IF($M1022=0,"",ST_RESULTATS!$W272)</f>
        <v/>
      </c>
      <c r="E1022" s="26" t="str">
        <f aca="false">IF($M1022=0,"","ENTREE")</f>
        <v/>
      </c>
      <c r="F1022" s="26" t="str">
        <f aca="false">IF($M1022=0,"","RETOUR SOUS-TRAITANCE")</f>
        <v/>
      </c>
      <c r="G1022" s="26" t="str">
        <f aca="false">IF($M1022=0,"",ST_RESULTATS!$N272)</f>
        <v/>
      </c>
      <c r="H1022" s="26" t="str">
        <f aca="false">IF($G1022="","",IFERROR(INDEX(LOT_EXTE,MATCH($G1022,LOT_KEY,0)),""))</f>
        <v/>
      </c>
      <c r="I1022" s="26" t="str">
        <f aca="false">IF($M1022=0,"",ST_RESULTATS!$J272)</f>
        <v/>
      </c>
      <c r="J1022" s="26" t="str">
        <f aca="false">IF($I1022="","",IFERROR(INDEX(EMPL_CLASSE,MATCH($I1022,EMPL_KEY,0)),""))</f>
        <v/>
      </c>
      <c r="K1022" s="26" t="str">
        <f aca="false">IF($M1022=0,"",IFERROR(INDEX(LOT_PRODE,MATCH($G1022,LOT_KEY,0)),""))</f>
        <v/>
      </c>
      <c r="L1022" s="26" t="str">
        <f aca="false">IF($G1022="","",IF(IFERROR(INDEX(LOT_ETAT,MATCH($G1022,LOT_KEY,0)),"")="","",INDEX(LOT_ETAT,MATCH($G1022,LOT_KEY,0))))</f>
        <v/>
      </c>
      <c r="M1022" s="73" t="n">
        <f aca="false">IF(ST_RESULTATS!$Q272=0,0,ST_RESULTATS!$F272)</f>
        <v>0</v>
      </c>
      <c r="N1022" s="73" t="n">
        <f aca="false">IF($M1022=0,0,ST_RESULTATS!$U272*$M1022)</f>
        <v>0</v>
      </c>
      <c r="O1022" s="26" t="str">
        <f aca="false">IF($M1022=0,"",ST_RESULTATS!$T272)</f>
        <v/>
      </c>
      <c r="P1022" s="26" t="str">
        <f aca="false">IF($G1022="","",IF($G1022=R_LOT,COUNTIF($G$5:$G1022,R_LOT),""))</f>
        <v/>
      </c>
    </row>
    <row r="1023" customFormat="false" ht="15" hidden="false" customHeight="false" outlineLevel="0" collapsed="false">
      <c r="A1023" s="28" t="str">
        <f aca="false">IF($M1023=0,"",ROW()-4)</f>
        <v/>
      </c>
      <c r="B1023" s="26" t="str">
        <f aca="false">IF($M1023=0,"","RESULTAT ST")</f>
        <v/>
      </c>
      <c r="C1023" s="26" t="str">
        <f aca="false">IF($M1023=0,"",ST_RESULTATS!$A273)</f>
        <v/>
      </c>
      <c r="D1023" s="31" t="str">
        <f aca="false">IF($M1023=0,"",ST_RESULTATS!$W273)</f>
        <v/>
      </c>
      <c r="E1023" s="26" t="str">
        <f aca="false">IF($M1023=0,"","ENTREE")</f>
        <v/>
      </c>
      <c r="F1023" s="26" t="str">
        <f aca="false">IF($M1023=0,"","RETOUR SOUS-TRAITANCE")</f>
        <v/>
      </c>
      <c r="G1023" s="26" t="str">
        <f aca="false">IF($M1023=0,"",ST_RESULTATS!$N273)</f>
        <v/>
      </c>
      <c r="H1023" s="26" t="str">
        <f aca="false">IF($G1023="","",IFERROR(INDEX(LOT_EXTE,MATCH($G1023,LOT_KEY,0)),""))</f>
        <v/>
      </c>
      <c r="I1023" s="26" t="str">
        <f aca="false">IF($M1023=0,"",ST_RESULTATS!$J273)</f>
        <v/>
      </c>
      <c r="J1023" s="26" t="str">
        <f aca="false">IF($I1023="","",IFERROR(INDEX(EMPL_CLASSE,MATCH($I1023,EMPL_KEY,0)),""))</f>
        <v/>
      </c>
      <c r="K1023" s="26" t="str">
        <f aca="false">IF($M1023=0,"",IFERROR(INDEX(LOT_PRODE,MATCH($G1023,LOT_KEY,0)),""))</f>
        <v/>
      </c>
      <c r="L1023" s="26" t="str">
        <f aca="false">IF($G1023="","",IF(IFERROR(INDEX(LOT_ETAT,MATCH($G1023,LOT_KEY,0)),"")="","",INDEX(LOT_ETAT,MATCH($G1023,LOT_KEY,0))))</f>
        <v/>
      </c>
      <c r="M1023" s="73" t="n">
        <f aca="false">IF(ST_RESULTATS!$Q273=0,0,ST_RESULTATS!$F273)</f>
        <v>0</v>
      </c>
      <c r="N1023" s="73" t="n">
        <f aca="false">IF($M1023=0,0,ST_RESULTATS!$U273*$M1023)</f>
        <v>0</v>
      </c>
      <c r="O1023" s="26" t="str">
        <f aca="false">IF($M1023=0,"",ST_RESULTATS!$T273)</f>
        <v/>
      </c>
      <c r="P1023" s="26" t="str">
        <f aca="false">IF($G1023="","",IF($G1023=R_LOT,COUNTIF($G$5:$G1023,R_LOT),""))</f>
        <v/>
      </c>
    </row>
    <row r="1024" customFormat="false" ht="15" hidden="false" customHeight="false" outlineLevel="0" collapsed="false">
      <c r="A1024" s="28" t="str">
        <f aca="false">IF($M1024=0,"",ROW()-4)</f>
        <v/>
      </c>
      <c r="B1024" s="26" t="str">
        <f aca="false">IF($M1024=0,"","RESULTAT ST")</f>
        <v/>
      </c>
      <c r="C1024" s="26" t="str">
        <f aca="false">IF($M1024=0,"",ST_RESULTATS!$A274)</f>
        <v/>
      </c>
      <c r="D1024" s="31" t="str">
        <f aca="false">IF($M1024=0,"",ST_RESULTATS!$W274)</f>
        <v/>
      </c>
      <c r="E1024" s="26" t="str">
        <f aca="false">IF($M1024=0,"","ENTREE")</f>
        <v/>
      </c>
      <c r="F1024" s="26" t="str">
        <f aca="false">IF($M1024=0,"","RETOUR SOUS-TRAITANCE")</f>
        <v/>
      </c>
      <c r="G1024" s="26" t="str">
        <f aca="false">IF($M1024=0,"",ST_RESULTATS!$N274)</f>
        <v/>
      </c>
      <c r="H1024" s="26" t="str">
        <f aca="false">IF($G1024="","",IFERROR(INDEX(LOT_EXTE,MATCH($G1024,LOT_KEY,0)),""))</f>
        <v/>
      </c>
      <c r="I1024" s="26" t="str">
        <f aca="false">IF($M1024=0,"",ST_RESULTATS!$J274)</f>
        <v/>
      </c>
      <c r="J1024" s="26" t="str">
        <f aca="false">IF($I1024="","",IFERROR(INDEX(EMPL_CLASSE,MATCH($I1024,EMPL_KEY,0)),""))</f>
        <v/>
      </c>
      <c r="K1024" s="26" t="str">
        <f aca="false">IF($M1024=0,"",IFERROR(INDEX(LOT_PRODE,MATCH($G1024,LOT_KEY,0)),""))</f>
        <v/>
      </c>
      <c r="L1024" s="26" t="str">
        <f aca="false">IF($G1024="","",IF(IFERROR(INDEX(LOT_ETAT,MATCH($G1024,LOT_KEY,0)),"")="","",INDEX(LOT_ETAT,MATCH($G1024,LOT_KEY,0))))</f>
        <v/>
      </c>
      <c r="M1024" s="73" t="n">
        <f aca="false">IF(ST_RESULTATS!$Q274=0,0,ST_RESULTATS!$F274)</f>
        <v>0</v>
      </c>
      <c r="N1024" s="73" t="n">
        <f aca="false">IF($M1024=0,0,ST_RESULTATS!$U274*$M1024)</f>
        <v>0</v>
      </c>
      <c r="O1024" s="26" t="str">
        <f aca="false">IF($M1024=0,"",ST_RESULTATS!$T274)</f>
        <v/>
      </c>
      <c r="P1024" s="26" t="str">
        <f aca="false">IF($G1024="","",IF($G1024=R_LOT,COUNTIF($G$5:$G1024,R_LOT),""))</f>
        <v/>
      </c>
    </row>
    <row r="1025" customFormat="false" ht="15" hidden="false" customHeight="false" outlineLevel="0" collapsed="false">
      <c r="A1025" s="28" t="str">
        <f aca="false">IF($M1025=0,"",ROW()-4)</f>
        <v/>
      </c>
      <c r="B1025" s="26" t="str">
        <f aca="false">IF($M1025=0,"","RESULTAT ST")</f>
        <v/>
      </c>
      <c r="C1025" s="26" t="str">
        <f aca="false">IF($M1025=0,"",ST_RESULTATS!$A275)</f>
        <v/>
      </c>
      <c r="D1025" s="31" t="str">
        <f aca="false">IF($M1025=0,"",ST_RESULTATS!$W275)</f>
        <v/>
      </c>
      <c r="E1025" s="26" t="str">
        <f aca="false">IF($M1025=0,"","ENTREE")</f>
        <v/>
      </c>
      <c r="F1025" s="26" t="str">
        <f aca="false">IF($M1025=0,"","RETOUR SOUS-TRAITANCE")</f>
        <v/>
      </c>
      <c r="G1025" s="26" t="str">
        <f aca="false">IF($M1025=0,"",ST_RESULTATS!$N275)</f>
        <v/>
      </c>
      <c r="H1025" s="26" t="str">
        <f aca="false">IF($G1025="","",IFERROR(INDEX(LOT_EXTE,MATCH($G1025,LOT_KEY,0)),""))</f>
        <v/>
      </c>
      <c r="I1025" s="26" t="str">
        <f aca="false">IF($M1025=0,"",ST_RESULTATS!$J275)</f>
        <v/>
      </c>
      <c r="J1025" s="26" t="str">
        <f aca="false">IF($I1025="","",IFERROR(INDEX(EMPL_CLASSE,MATCH($I1025,EMPL_KEY,0)),""))</f>
        <v/>
      </c>
      <c r="K1025" s="26" t="str">
        <f aca="false">IF($M1025=0,"",IFERROR(INDEX(LOT_PRODE,MATCH($G1025,LOT_KEY,0)),""))</f>
        <v/>
      </c>
      <c r="L1025" s="26" t="str">
        <f aca="false">IF($G1025="","",IF(IFERROR(INDEX(LOT_ETAT,MATCH($G1025,LOT_KEY,0)),"")="","",INDEX(LOT_ETAT,MATCH($G1025,LOT_KEY,0))))</f>
        <v/>
      </c>
      <c r="M1025" s="73" t="n">
        <f aca="false">IF(ST_RESULTATS!$Q275=0,0,ST_RESULTATS!$F275)</f>
        <v>0</v>
      </c>
      <c r="N1025" s="73" t="n">
        <f aca="false">IF($M1025=0,0,ST_RESULTATS!$U275*$M1025)</f>
        <v>0</v>
      </c>
      <c r="O1025" s="26" t="str">
        <f aca="false">IF($M1025=0,"",ST_RESULTATS!$T275)</f>
        <v/>
      </c>
      <c r="P1025" s="26" t="str">
        <f aca="false">IF($G1025="","",IF($G1025=R_LOT,COUNTIF($G$5:$G1025,R_LOT),""))</f>
        <v/>
      </c>
    </row>
    <row r="1026" customFormat="false" ht="15" hidden="false" customHeight="false" outlineLevel="0" collapsed="false">
      <c r="A1026" s="28" t="str">
        <f aca="false">IF($M1026=0,"",ROW()-4)</f>
        <v/>
      </c>
      <c r="B1026" s="26" t="str">
        <f aca="false">IF($M1026=0,"","RESULTAT ST")</f>
        <v/>
      </c>
      <c r="C1026" s="26" t="str">
        <f aca="false">IF($M1026=0,"",ST_RESULTATS!$A276)</f>
        <v/>
      </c>
      <c r="D1026" s="31" t="str">
        <f aca="false">IF($M1026=0,"",ST_RESULTATS!$W276)</f>
        <v/>
      </c>
      <c r="E1026" s="26" t="str">
        <f aca="false">IF($M1026=0,"","ENTREE")</f>
        <v/>
      </c>
      <c r="F1026" s="26" t="str">
        <f aca="false">IF($M1026=0,"","RETOUR SOUS-TRAITANCE")</f>
        <v/>
      </c>
      <c r="G1026" s="26" t="str">
        <f aca="false">IF($M1026=0,"",ST_RESULTATS!$N276)</f>
        <v/>
      </c>
      <c r="H1026" s="26" t="str">
        <f aca="false">IF($G1026="","",IFERROR(INDEX(LOT_EXTE,MATCH($G1026,LOT_KEY,0)),""))</f>
        <v/>
      </c>
      <c r="I1026" s="26" t="str">
        <f aca="false">IF($M1026=0,"",ST_RESULTATS!$J276)</f>
        <v/>
      </c>
      <c r="J1026" s="26" t="str">
        <f aca="false">IF($I1026="","",IFERROR(INDEX(EMPL_CLASSE,MATCH($I1026,EMPL_KEY,0)),""))</f>
        <v/>
      </c>
      <c r="K1026" s="26" t="str">
        <f aca="false">IF($M1026=0,"",IFERROR(INDEX(LOT_PRODE,MATCH($G1026,LOT_KEY,0)),""))</f>
        <v/>
      </c>
      <c r="L1026" s="26" t="str">
        <f aca="false">IF($G1026="","",IF(IFERROR(INDEX(LOT_ETAT,MATCH($G1026,LOT_KEY,0)),"")="","",INDEX(LOT_ETAT,MATCH($G1026,LOT_KEY,0))))</f>
        <v/>
      </c>
      <c r="M1026" s="73" t="n">
        <f aca="false">IF(ST_RESULTATS!$Q276=0,0,ST_RESULTATS!$F276)</f>
        <v>0</v>
      </c>
      <c r="N1026" s="73" t="n">
        <f aca="false">IF($M1026=0,0,ST_RESULTATS!$U276*$M1026)</f>
        <v>0</v>
      </c>
      <c r="O1026" s="26" t="str">
        <f aca="false">IF($M1026=0,"",ST_RESULTATS!$T276)</f>
        <v/>
      </c>
      <c r="P1026" s="26" t="str">
        <f aca="false">IF($G1026="","",IF($G1026=R_LOT,COUNTIF($G$5:$G1026,R_LOT),""))</f>
        <v/>
      </c>
    </row>
    <row r="1027" customFormat="false" ht="15" hidden="false" customHeight="false" outlineLevel="0" collapsed="false">
      <c r="A1027" s="28" t="str">
        <f aca="false">IF($M1027=0,"",ROW()-4)</f>
        <v/>
      </c>
      <c r="B1027" s="26" t="str">
        <f aca="false">IF($M1027=0,"","RESULTAT ST")</f>
        <v/>
      </c>
      <c r="C1027" s="26" t="str">
        <f aca="false">IF($M1027=0,"",ST_RESULTATS!$A277)</f>
        <v/>
      </c>
      <c r="D1027" s="31" t="str">
        <f aca="false">IF($M1027=0,"",ST_RESULTATS!$W277)</f>
        <v/>
      </c>
      <c r="E1027" s="26" t="str">
        <f aca="false">IF($M1027=0,"","ENTREE")</f>
        <v/>
      </c>
      <c r="F1027" s="26" t="str">
        <f aca="false">IF($M1027=0,"","RETOUR SOUS-TRAITANCE")</f>
        <v/>
      </c>
      <c r="G1027" s="26" t="str">
        <f aca="false">IF($M1027=0,"",ST_RESULTATS!$N277)</f>
        <v/>
      </c>
      <c r="H1027" s="26" t="str">
        <f aca="false">IF($G1027="","",IFERROR(INDEX(LOT_EXTE,MATCH($G1027,LOT_KEY,0)),""))</f>
        <v/>
      </c>
      <c r="I1027" s="26" t="str">
        <f aca="false">IF($M1027=0,"",ST_RESULTATS!$J277)</f>
        <v/>
      </c>
      <c r="J1027" s="26" t="str">
        <f aca="false">IF($I1027="","",IFERROR(INDEX(EMPL_CLASSE,MATCH($I1027,EMPL_KEY,0)),""))</f>
        <v/>
      </c>
      <c r="K1027" s="26" t="str">
        <f aca="false">IF($M1027=0,"",IFERROR(INDEX(LOT_PRODE,MATCH($G1027,LOT_KEY,0)),""))</f>
        <v/>
      </c>
      <c r="L1027" s="26" t="str">
        <f aca="false">IF($G1027="","",IF(IFERROR(INDEX(LOT_ETAT,MATCH($G1027,LOT_KEY,0)),"")="","",INDEX(LOT_ETAT,MATCH($G1027,LOT_KEY,0))))</f>
        <v/>
      </c>
      <c r="M1027" s="73" t="n">
        <f aca="false">IF(ST_RESULTATS!$Q277=0,0,ST_RESULTATS!$F277)</f>
        <v>0</v>
      </c>
      <c r="N1027" s="73" t="n">
        <f aca="false">IF($M1027=0,0,ST_RESULTATS!$U277*$M1027)</f>
        <v>0</v>
      </c>
      <c r="O1027" s="26" t="str">
        <f aca="false">IF($M1027=0,"",ST_RESULTATS!$T277)</f>
        <v/>
      </c>
      <c r="P1027" s="26" t="str">
        <f aca="false">IF($G1027="","",IF($G1027=R_LOT,COUNTIF($G$5:$G1027,R_LOT),""))</f>
        <v/>
      </c>
    </row>
    <row r="1028" customFormat="false" ht="15" hidden="false" customHeight="false" outlineLevel="0" collapsed="false">
      <c r="A1028" s="28" t="str">
        <f aca="false">IF($M1028=0,"",ROW()-4)</f>
        <v/>
      </c>
      <c r="B1028" s="26" t="str">
        <f aca="false">IF($M1028=0,"","RESULTAT ST")</f>
        <v/>
      </c>
      <c r="C1028" s="26" t="str">
        <f aca="false">IF($M1028=0,"",ST_RESULTATS!$A278)</f>
        <v/>
      </c>
      <c r="D1028" s="31" t="str">
        <f aca="false">IF($M1028=0,"",ST_RESULTATS!$W278)</f>
        <v/>
      </c>
      <c r="E1028" s="26" t="str">
        <f aca="false">IF($M1028=0,"","ENTREE")</f>
        <v/>
      </c>
      <c r="F1028" s="26" t="str">
        <f aca="false">IF($M1028=0,"","RETOUR SOUS-TRAITANCE")</f>
        <v/>
      </c>
      <c r="G1028" s="26" t="str">
        <f aca="false">IF($M1028=0,"",ST_RESULTATS!$N278)</f>
        <v/>
      </c>
      <c r="H1028" s="26" t="str">
        <f aca="false">IF($G1028="","",IFERROR(INDEX(LOT_EXTE,MATCH($G1028,LOT_KEY,0)),""))</f>
        <v/>
      </c>
      <c r="I1028" s="26" t="str">
        <f aca="false">IF($M1028=0,"",ST_RESULTATS!$J278)</f>
        <v/>
      </c>
      <c r="J1028" s="26" t="str">
        <f aca="false">IF($I1028="","",IFERROR(INDEX(EMPL_CLASSE,MATCH($I1028,EMPL_KEY,0)),""))</f>
        <v/>
      </c>
      <c r="K1028" s="26" t="str">
        <f aca="false">IF($M1028=0,"",IFERROR(INDEX(LOT_PRODE,MATCH($G1028,LOT_KEY,0)),""))</f>
        <v/>
      </c>
      <c r="L1028" s="26" t="str">
        <f aca="false">IF($G1028="","",IF(IFERROR(INDEX(LOT_ETAT,MATCH($G1028,LOT_KEY,0)),"")="","",INDEX(LOT_ETAT,MATCH($G1028,LOT_KEY,0))))</f>
        <v/>
      </c>
      <c r="M1028" s="73" t="n">
        <f aca="false">IF(ST_RESULTATS!$Q278=0,0,ST_RESULTATS!$F278)</f>
        <v>0</v>
      </c>
      <c r="N1028" s="73" t="n">
        <f aca="false">IF($M1028=0,0,ST_RESULTATS!$U278*$M1028)</f>
        <v>0</v>
      </c>
      <c r="O1028" s="26" t="str">
        <f aca="false">IF($M1028=0,"",ST_RESULTATS!$T278)</f>
        <v/>
      </c>
      <c r="P1028" s="26" t="str">
        <f aca="false">IF($G1028="","",IF($G1028=R_LOT,COUNTIF($G$5:$G1028,R_LOT),""))</f>
        <v/>
      </c>
    </row>
    <row r="1029" customFormat="false" ht="15" hidden="false" customHeight="false" outlineLevel="0" collapsed="false">
      <c r="A1029" s="28" t="str">
        <f aca="false">IF($M1029=0,"",ROW()-4)</f>
        <v/>
      </c>
      <c r="B1029" s="26" t="str">
        <f aca="false">IF($M1029=0,"","RESULTAT ST")</f>
        <v/>
      </c>
      <c r="C1029" s="26" t="str">
        <f aca="false">IF($M1029=0,"",ST_RESULTATS!$A279)</f>
        <v/>
      </c>
      <c r="D1029" s="31" t="str">
        <f aca="false">IF($M1029=0,"",ST_RESULTATS!$W279)</f>
        <v/>
      </c>
      <c r="E1029" s="26" t="str">
        <f aca="false">IF($M1029=0,"","ENTREE")</f>
        <v/>
      </c>
      <c r="F1029" s="26" t="str">
        <f aca="false">IF($M1029=0,"","RETOUR SOUS-TRAITANCE")</f>
        <v/>
      </c>
      <c r="G1029" s="26" t="str">
        <f aca="false">IF($M1029=0,"",ST_RESULTATS!$N279)</f>
        <v/>
      </c>
      <c r="H1029" s="26" t="str">
        <f aca="false">IF($G1029="","",IFERROR(INDEX(LOT_EXTE,MATCH($G1029,LOT_KEY,0)),""))</f>
        <v/>
      </c>
      <c r="I1029" s="26" t="str">
        <f aca="false">IF($M1029=0,"",ST_RESULTATS!$J279)</f>
        <v/>
      </c>
      <c r="J1029" s="26" t="str">
        <f aca="false">IF($I1029="","",IFERROR(INDEX(EMPL_CLASSE,MATCH($I1029,EMPL_KEY,0)),""))</f>
        <v/>
      </c>
      <c r="K1029" s="26" t="str">
        <f aca="false">IF($M1029=0,"",IFERROR(INDEX(LOT_PRODE,MATCH($G1029,LOT_KEY,0)),""))</f>
        <v/>
      </c>
      <c r="L1029" s="26" t="str">
        <f aca="false">IF($G1029="","",IF(IFERROR(INDEX(LOT_ETAT,MATCH($G1029,LOT_KEY,0)),"")="","",INDEX(LOT_ETAT,MATCH($G1029,LOT_KEY,0))))</f>
        <v/>
      </c>
      <c r="M1029" s="73" t="n">
        <f aca="false">IF(ST_RESULTATS!$Q279=0,0,ST_RESULTATS!$F279)</f>
        <v>0</v>
      </c>
      <c r="N1029" s="73" t="n">
        <f aca="false">IF($M1029=0,0,ST_RESULTATS!$U279*$M1029)</f>
        <v>0</v>
      </c>
      <c r="O1029" s="26" t="str">
        <f aca="false">IF($M1029=0,"",ST_RESULTATS!$T279)</f>
        <v/>
      </c>
      <c r="P1029" s="26" t="str">
        <f aca="false">IF($G1029="","",IF($G1029=R_LOT,COUNTIF($G$5:$G1029,R_LOT),""))</f>
        <v/>
      </c>
    </row>
    <row r="1030" customFormat="false" ht="15" hidden="false" customHeight="false" outlineLevel="0" collapsed="false">
      <c r="A1030" s="28" t="str">
        <f aca="false">IF($M1030=0,"",ROW()-4)</f>
        <v/>
      </c>
      <c r="B1030" s="26" t="str">
        <f aca="false">IF($M1030=0,"","RESULTAT ST")</f>
        <v/>
      </c>
      <c r="C1030" s="26" t="str">
        <f aca="false">IF($M1030=0,"",ST_RESULTATS!$A280)</f>
        <v/>
      </c>
      <c r="D1030" s="31" t="str">
        <f aca="false">IF($M1030=0,"",ST_RESULTATS!$W280)</f>
        <v/>
      </c>
      <c r="E1030" s="26" t="str">
        <f aca="false">IF($M1030=0,"","ENTREE")</f>
        <v/>
      </c>
      <c r="F1030" s="26" t="str">
        <f aca="false">IF($M1030=0,"","RETOUR SOUS-TRAITANCE")</f>
        <v/>
      </c>
      <c r="G1030" s="26" t="str">
        <f aca="false">IF($M1030=0,"",ST_RESULTATS!$N280)</f>
        <v/>
      </c>
      <c r="H1030" s="26" t="str">
        <f aca="false">IF($G1030="","",IFERROR(INDEX(LOT_EXTE,MATCH($G1030,LOT_KEY,0)),""))</f>
        <v/>
      </c>
      <c r="I1030" s="26" t="str">
        <f aca="false">IF($M1030=0,"",ST_RESULTATS!$J280)</f>
        <v/>
      </c>
      <c r="J1030" s="26" t="str">
        <f aca="false">IF($I1030="","",IFERROR(INDEX(EMPL_CLASSE,MATCH($I1030,EMPL_KEY,0)),""))</f>
        <v/>
      </c>
      <c r="K1030" s="26" t="str">
        <f aca="false">IF($M1030=0,"",IFERROR(INDEX(LOT_PRODE,MATCH($G1030,LOT_KEY,0)),""))</f>
        <v/>
      </c>
      <c r="L1030" s="26" t="str">
        <f aca="false">IF($G1030="","",IF(IFERROR(INDEX(LOT_ETAT,MATCH($G1030,LOT_KEY,0)),"")="","",INDEX(LOT_ETAT,MATCH($G1030,LOT_KEY,0))))</f>
        <v/>
      </c>
      <c r="M1030" s="73" t="n">
        <f aca="false">IF(ST_RESULTATS!$Q280=0,0,ST_RESULTATS!$F280)</f>
        <v>0</v>
      </c>
      <c r="N1030" s="73" t="n">
        <f aca="false">IF($M1030=0,0,ST_RESULTATS!$U280*$M1030)</f>
        <v>0</v>
      </c>
      <c r="O1030" s="26" t="str">
        <f aca="false">IF($M1030=0,"",ST_RESULTATS!$T280)</f>
        <v/>
      </c>
      <c r="P1030" s="26" t="str">
        <f aca="false">IF($G1030="","",IF($G1030=R_LOT,COUNTIF($G$5:$G1030,R_LOT),""))</f>
        <v/>
      </c>
    </row>
    <row r="1031" customFormat="false" ht="15" hidden="false" customHeight="false" outlineLevel="0" collapsed="false">
      <c r="A1031" s="28" t="str">
        <f aca="false">IF($M1031=0,"",ROW()-4)</f>
        <v/>
      </c>
      <c r="B1031" s="26" t="str">
        <f aca="false">IF($M1031=0,"","RESULTAT ST")</f>
        <v/>
      </c>
      <c r="C1031" s="26" t="str">
        <f aca="false">IF($M1031=0,"",ST_RESULTATS!$A281)</f>
        <v/>
      </c>
      <c r="D1031" s="31" t="str">
        <f aca="false">IF($M1031=0,"",ST_RESULTATS!$W281)</f>
        <v/>
      </c>
      <c r="E1031" s="26" t="str">
        <f aca="false">IF($M1031=0,"","ENTREE")</f>
        <v/>
      </c>
      <c r="F1031" s="26" t="str">
        <f aca="false">IF($M1031=0,"","RETOUR SOUS-TRAITANCE")</f>
        <v/>
      </c>
      <c r="G1031" s="26" t="str">
        <f aca="false">IF($M1031=0,"",ST_RESULTATS!$N281)</f>
        <v/>
      </c>
      <c r="H1031" s="26" t="str">
        <f aca="false">IF($G1031="","",IFERROR(INDEX(LOT_EXTE,MATCH($G1031,LOT_KEY,0)),""))</f>
        <v/>
      </c>
      <c r="I1031" s="26" t="str">
        <f aca="false">IF($M1031=0,"",ST_RESULTATS!$J281)</f>
        <v/>
      </c>
      <c r="J1031" s="26" t="str">
        <f aca="false">IF($I1031="","",IFERROR(INDEX(EMPL_CLASSE,MATCH($I1031,EMPL_KEY,0)),""))</f>
        <v/>
      </c>
      <c r="K1031" s="26" t="str">
        <f aca="false">IF($M1031=0,"",IFERROR(INDEX(LOT_PRODE,MATCH($G1031,LOT_KEY,0)),""))</f>
        <v/>
      </c>
      <c r="L1031" s="26" t="str">
        <f aca="false">IF($G1031="","",IF(IFERROR(INDEX(LOT_ETAT,MATCH($G1031,LOT_KEY,0)),"")="","",INDEX(LOT_ETAT,MATCH($G1031,LOT_KEY,0))))</f>
        <v/>
      </c>
      <c r="M1031" s="73" t="n">
        <f aca="false">IF(ST_RESULTATS!$Q281=0,0,ST_RESULTATS!$F281)</f>
        <v>0</v>
      </c>
      <c r="N1031" s="73" t="n">
        <f aca="false">IF($M1031=0,0,ST_RESULTATS!$U281*$M1031)</f>
        <v>0</v>
      </c>
      <c r="O1031" s="26" t="str">
        <f aca="false">IF($M1031=0,"",ST_RESULTATS!$T281)</f>
        <v/>
      </c>
      <c r="P1031" s="26" t="str">
        <f aca="false">IF($G1031="","",IF($G1031=R_LOT,COUNTIF($G$5:$G1031,R_LOT),""))</f>
        <v/>
      </c>
    </row>
    <row r="1032" customFormat="false" ht="15" hidden="false" customHeight="false" outlineLevel="0" collapsed="false">
      <c r="A1032" s="28" t="str">
        <f aca="false">IF($M1032=0,"",ROW()-4)</f>
        <v/>
      </c>
      <c r="B1032" s="26" t="str">
        <f aca="false">IF($M1032=0,"","RESULTAT ST")</f>
        <v/>
      </c>
      <c r="C1032" s="26" t="str">
        <f aca="false">IF($M1032=0,"",ST_RESULTATS!$A282)</f>
        <v/>
      </c>
      <c r="D1032" s="31" t="str">
        <f aca="false">IF($M1032=0,"",ST_RESULTATS!$W282)</f>
        <v/>
      </c>
      <c r="E1032" s="26" t="str">
        <f aca="false">IF($M1032=0,"","ENTREE")</f>
        <v/>
      </c>
      <c r="F1032" s="26" t="str">
        <f aca="false">IF($M1032=0,"","RETOUR SOUS-TRAITANCE")</f>
        <v/>
      </c>
      <c r="G1032" s="26" t="str">
        <f aca="false">IF($M1032=0,"",ST_RESULTATS!$N282)</f>
        <v/>
      </c>
      <c r="H1032" s="26" t="str">
        <f aca="false">IF($G1032="","",IFERROR(INDEX(LOT_EXTE,MATCH($G1032,LOT_KEY,0)),""))</f>
        <v/>
      </c>
      <c r="I1032" s="26" t="str">
        <f aca="false">IF($M1032=0,"",ST_RESULTATS!$J282)</f>
        <v/>
      </c>
      <c r="J1032" s="26" t="str">
        <f aca="false">IF($I1032="","",IFERROR(INDEX(EMPL_CLASSE,MATCH($I1032,EMPL_KEY,0)),""))</f>
        <v/>
      </c>
      <c r="K1032" s="26" t="str">
        <f aca="false">IF($M1032=0,"",IFERROR(INDEX(LOT_PRODE,MATCH($G1032,LOT_KEY,0)),""))</f>
        <v/>
      </c>
      <c r="L1032" s="26" t="str">
        <f aca="false">IF($G1032="","",IF(IFERROR(INDEX(LOT_ETAT,MATCH($G1032,LOT_KEY,0)),"")="","",INDEX(LOT_ETAT,MATCH($G1032,LOT_KEY,0))))</f>
        <v/>
      </c>
      <c r="M1032" s="73" t="n">
        <f aca="false">IF(ST_RESULTATS!$Q282=0,0,ST_RESULTATS!$F282)</f>
        <v>0</v>
      </c>
      <c r="N1032" s="73" t="n">
        <f aca="false">IF($M1032=0,0,ST_RESULTATS!$U282*$M1032)</f>
        <v>0</v>
      </c>
      <c r="O1032" s="26" t="str">
        <f aca="false">IF($M1032=0,"",ST_RESULTATS!$T282)</f>
        <v/>
      </c>
      <c r="P1032" s="26" t="str">
        <f aca="false">IF($G1032="","",IF($G1032=R_LOT,COUNTIF($G$5:$G1032,R_LOT),""))</f>
        <v/>
      </c>
    </row>
    <row r="1033" customFormat="false" ht="15" hidden="false" customHeight="false" outlineLevel="0" collapsed="false">
      <c r="A1033" s="28" t="str">
        <f aca="false">IF($M1033=0,"",ROW()-4)</f>
        <v/>
      </c>
      <c r="B1033" s="26" t="str">
        <f aca="false">IF($M1033=0,"","RESULTAT ST")</f>
        <v/>
      </c>
      <c r="C1033" s="26" t="str">
        <f aca="false">IF($M1033=0,"",ST_RESULTATS!$A283)</f>
        <v/>
      </c>
      <c r="D1033" s="31" t="str">
        <f aca="false">IF($M1033=0,"",ST_RESULTATS!$W283)</f>
        <v/>
      </c>
      <c r="E1033" s="26" t="str">
        <f aca="false">IF($M1033=0,"","ENTREE")</f>
        <v/>
      </c>
      <c r="F1033" s="26" t="str">
        <f aca="false">IF($M1033=0,"","RETOUR SOUS-TRAITANCE")</f>
        <v/>
      </c>
      <c r="G1033" s="26" t="str">
        <f aca="false">IF($M1033=0,"",ST_RESULTATS!$N283)</f>
        <v/>
      </c>
      <c r="H1033" s="26" t="str">
        <f aca="false">IF($G1033="","",IFERROR(INDEX(LOT_EXTE,MATCH($G1033,LOT_KEY,0)),""))</f>
        <v/>
      </c>
      <c r="I1033" s="26" t="str">
        <f aca="false">IF($M1033=0,"",ST_RESULTATS!$J283)</f>
        <v/>
      </c>
      <c r="J1033" s="26" t="str">
        <f aca="false">IF($I1033="","",IFERROR(INDEX(EMPL_CLASSE,MATCH($I1033,EMPL_KEY,0)),""))</f>
        <v/>
      </c>
      <c r="K1033" s="26" t="str">
        <f aca="false">IF($M1033=0,"",IFERROR(INDEX(LOT_PRODE,MATCH($G1033,LOT_KEY,0)),""))</f>
        <v/>
      </c>
      <c r="L1033" s="26" t="str">
        <f aca="false">IF($G1033="","",IF(IFERROR(INDEX(LOT_ETAT,MATCH($G1033,LOT_KEY,0)),"")="","",INDEX(LOT_ETAT,MATCH($G1033,LOT_KEY,0))))</f>
        <v/>
      </c>
      <c r="M1033" s="73" t="n">
        <f aca="false">IF(ST_RESULTATS!$Q283=0,0,ST_RESULTATS!$F283)</f>
        <v>0</v>
      </c>
      <c r="N1033" s="73" t="n">
        <f aca="false">IF($M1033=0,0,ST_RESULTATS!$U283*$M1033)</f>
        <v>0</v>
      </c>
      <c r="O1033" s="26" t="str">
        <f aca="false">IF($M1033=0,"",ST_RESULTATS!$T283)</f>
        <v/>
      </c>
      <c r="P1033" s="26" t="str">
        <f aca="false">IF($G1033="","",IF($G1033=R_LOT,COUNTIF($G$5:$G1033,R_LOT),""))</f>
        <v/>
      </c>
    </row>
    <row r="1034" customFormat="false" ht="15" hidden="false" customHeight="false" outlineLevel="0" collapsed="false">
      <c r="A1034" s="28" t="str">
        <f aca="false">IF($M1034=0,"",ROW()-4)</f>
        <v/>
      </c>
      <c r="B1034" s="26" t="str">
        <f aca="false">IF($M1034=0,"","RESULTAT ST")</f>
        <v/>
      </c>
      <c r="C1034" s="26" t="str">
        <f aca="false">IF($M1034=0,"",ST_RESULTATS!$A284)</f>
        <v/>
      </c>
      <c r="D1034" s="31" t="str">
        <f aca="false">IF($M1034=0,"",ST_RESULTATS!$W284)</f>
        <v/>
      </c>
      <c r="E1034" s="26" t="str">
        <f aca="false">IF($M1034=0,"","ENTREE")</f>
        <v/>
      </c>
      <c r="F1034" s="26" t="str">
        <f aca="false">IF($M1034=0,"","RETOUR SOUS-TRAITANCE")</f>
        <v/>
      </c>
      <c r="G1034" s="26" t="str">
        <f aca="false">IF($M1034=0,"",ST_RESULTATS!$N284)</f>
        <v/>
      </c>
      <c r="H1034" s="26" t="str">
        <f aca="false">IF($G1034="","",IFERROR(INDEX(LOT_EXTE,MATCH($G1034,LOT_KEY,0)),""))</f>
        <v/>
      </c>
      <c r="I1034" s="26" t="str">
        <f aca="false">IF($M1034=0,"",ST_RESULTATS!$J284)</f>
        <v/>
      </c>
      <c r="J1034" s="26" t="str">
        <f aca="false">IF($I1034="","",IFERROR(INDEX(EMPL_CLASSE,MATCH($I1034,EMPL_KEY,0)),""))</f>
        <v/>
      </c>
      <c r="K1034" s="26" t="str">
        <f aca="false">IF($M1034=0,"",IFERROR(INDEX(LOT_PRODE,MATCH($G1034,LOT_KEY,0)),""))</f>
        <v/>
      </c>
      <c r="L1034" s="26" t="str">
        <f aca="false">IF($G1034="","",IF(IFERROR(INDEX(LOT_ETAT,MATCH($G1034,LOT_KEY,0)),"")="","",INDEX(LOT_ETAT,MATCH($G1034,LOT_KEY,0))))</f>
        <v/>
      </c>
      <c r="M1034" s="73" t="n">
        <f aca="false">IF(ST_RESULTATS!$Q284=0,0,ST_RESULTATS!$F284)</f>
        <v>0</v>
      </c>
      <c r="N1034" s="73" t="n">
        <f aca="false">IF($M1034=0,0,ST_RESULTATS!$U284*$M1034)</f>
        <v>0</v>
      </c>
      <c r="O1034" s="26" t="str">
        <f aca="false">IF($M1034=0,"",ST_RESULTATS!$T284)</f>
        <v/>
      </c>
      <c r="P1034" s="26" t="str">
        <f aca="false">IF($G1034="","",IF($G1034=R_LOT,COUNTIF($G$5:$G1034,R_LOT),""))</f>
        <v/>
      </c>
    </row>
    <row r="1035" customFormat="false" ht="15" hidden="false" customHeight="false" outlineLevel="0" collapsed="false">
      <c r="A1035" s="28" t="str">
        <f aca="false">IF($M1035=0,"",ROW()-4)</f>
        <v/>
      </c>
      <c r="B1035" s="26" t="str">
        <f aca="false">IF($M1035=0,"","RESULTAT ST")</f>
        <v/>
      </c>
      <c r="C1035" s="26" t="str">
        <f aca="false">IF($M1035=0,"",ST_RESULTATS!$A285)</f>
        <v/>
      </c>
      <c r="D1035" s="31" t="str">
        <f aca="false">IF($M1035=0,"",ST_RESULTATS!$W285)</f>
        <v/>
      </c>
      <c r="E1035" s="26" t="str">
        <f aca="false">IF($M1035=0,"","ENTREE")</f>
        <v/>
      </c>
      <c r="F1035" s="26" t="str">
        <f aca="false">IF($M1035=0,"","RETOUR SOUS-TRAITANCE")</f>
        <v/>
      </c>
      <c r="G1035" s="26" t="str">
        <f aca="false">IF($M1035=0,"",ST_RESULTATS!$N285)</f>
        <v/>
      </c>
      <c r="H1035" s="26" t="str">
        <f aca="false">IF($G1035="","",IFERROR(INDEX(LOT_EXTE,MATCH($G1035,LOT_KEY,0)),""))</f>
        <v/>
      </c>
      <c r="I1035" s="26" t="str">
        <f aca="false">IF($M1035=0,"",ST_RESULTATS!$J285)</f>
        <v/>
      </c>
      <c r="J1035" s="26" t="str">
        <f aca="false">IF($I1035="","",IFERROR(INDEX(EMPL_CLASSE,MATCH($I1035,EMPL_KEY,0)),""))</f>
        <v/>
      </c>
      <c r="K1035" s="26" t="str">
        <f aca="false">IF($M1035=0,"",IFERROR(INDEX(LOT_PRODE,MATCH($G1035,LOT_KEY,0)),""))</f>
        <v/>
      </c>
      <c r="L1035" s="26" t="str">
        <f aca="false">IF($G1035="","",IF(IFERROR(INDEX(LOT_ETAT,MATCH($G1035,LOT_KEY,0)),"")="","",INDEX(LOT_ETAT,MATCH($G1035,LOT_KEY,0))))</f>
        <v/>
      </c>
      <c r="M1035" s="73" t="n">
        <f aca="false">IF(ST_RESULTATS!$Q285=0,0,ST_RESULTATS!$F285)</f>
        <v>0</v>
      </c>
      <c r="N1035" s="73" t="n">
        <f aca="false">IF($M1035=0,0,ST_RESULTATS!$U285*$M1035)</f>
        <v>0</v>
      </c>
      <c r="O1035" s="26" t="str">
        <f aca="false">IF($M1035=0,"",ST_RESULTATS!$T285)</f>
        <v/>
      </c>
      <c r="P1035" s="26" t="str">
        <f aca="false">IF($G1035="","",IF($G1035=R_LOT,COUNTIF($G$5:$G1035,R_LOT),""))</f>
        <v/>
      </c>
    </row>
    <row r="1036" customFormat="false" ht="15" hidden="false" customHeight="false" outlineLevel="0" collapsed="false">
      <c r="A1036" s="28" t="str">
        <f aca="false">IF($M1036=0,"",ROW()-4)</f>
        <v/>
      </c>
      <c r="B1036" s="26" t="str">
        <f aca="false">IF($M1036=0,"","RESULTAT ST")</f>
        <v/>
      </c>
      <c r="C1036" s="26" t="str">
        <f aca="false">IF($M1036=0,"",ST_RESULTATS!$A286)</f>
        <v/>
      </c>
      <c r="D1036" s="31" t="str">
        <f aca="false">IF($M1036=0,"",ST_RESULTATS!$W286)</f>
        <v/>
      </c>
      <c r="E1036" s="26" t="str">
        <f aca="false">IF($M1036=0,"","ENTREE")</f>
        <v/>
      </c>
      <c r="F1036" s="26" t="str">
        <f aca="false">IF($M1036=0,"","RETOUR SOUS-TRAITANCE")</f>
        <v/>
      </c>
      <c r="G1036" s="26" t="str">
        <f aca="false">IF($M1036=0,"",ST_RESULTATS!$N286)</f>
        <v/>
      </c>
      <c r="H1036" s="26" t="str">
        <f aca="false">IF($G1036="","",IFERROR(INDEX(LOT_EXTE,MATCH($G1036,LOT_KEY,0)),""))</f>
        <v/>
      </c>
      <c r="I1036" s="26" t="str">
        <f aca="false">IF($M1036=0,"",ST_RESULTATS!$J286)</f>
        <v/>
      </c>
      <c r="J1036" s="26" t="str">
        <f aca="false">IF($I1036="","",IFERROR(INDEX(EMPL_CLASSE,MATCH($I1036,EMPL_KEY,0)),""))</f>
        <v/>
      </c>
      <c r="K1036" s="26" t="str">
        <f aca="false">IF($M1036=0,"",IFERROR(INDEX(LOT_PRODE,MATCH($G1036,LOT_KEY,0)),""))</f>
        <v/>
      </c>
      <c r="L1036" s="26" t="str">
        <f aca="false">IF($G1036="","",IF(IFERROR(INDEX(LOT_ETAT,MATCH($G1036,LOT_KEY,0)),"")="","",INDEX(LOT_ETAT,MATCH($G1036,LOT_KEY,0))))</f>
        <v/>
      </c>
      <c r="M1036" s="73" t="n">
        <f aca="false">IF(ST_RESULTATS!$Q286=0,0,ST_RESULTATS!$F286)</f>
        <v>0</v>
      </c>
      <c r="N1036" s="73" t="n">
        <f aca="false">IF($M1036=0,0,ST_RESULTATS!$U286*$M1036)</f>
        <v>0</v>
      </c>
      <c r="O1036" s="26" t="str">
        <f aca="false">IF($M1036=0,"",ST_RESULTATS!$T286)</f>
        <v/>
      </c>
      <c r="P1036" s="26" t="str">
        <f aca="false">IF($G1036="","",IF($G1036=R_LOT,COUNTIF($G$5:$G1036,R_LOT),""))</f>
        <v/>
      </c>
    </row>
    <row r="1037" customFormat="false" ht="15" hidden="false" customHeight="false" outlineLevel="0" collapsed="false">
      <c r="A1037" s="28" t="str">
        <f aca="false">IF($M1037=0,"",ROW()-4)</f>
        <v/>
      </c>
      <c r="B1037" s="26" t="str">
        <f aca="false">IF($M1037=0,"","RESULTAT ST")</f>
        <v/>
      </c>
      <c r="C1037" s="26" t="str">
        <f aca="false">IF($M1037=0,"",ST_RESULTATS!$A287)</f>
        <v/>
      </c>
      <c r="D1037" s="31" t="str">
        <f aca="false">IF($M1037=0,"",ST_RESULTATS!$W287)</f>
        <v/>
      </c>
      <c r="E1037" s="26" t="str">
        <f aca="false">IF($M1037=0,"","ENTREE")</f>
        <v/>
      </c>
      <c r="F1037" s="26" t="str">
        <f aca="false">IF($M1037=0,"","RETOUR SOUS-TRAITANCE")</f>
        <v/>
      </c>
      <c r="G1037" s="26" t="str">
        <f aca="false">IF($M1037=0,"",ST_RESULTATS!$N287)</f>
        <v/>
      </c>
      <c r="H1037" s="26" t="str">
        <f aca="false">IF($G1037="","",IFERROR(INDEX(LOT_EXTE,MATCH($G1037,LOT_KEY,0)),""))</f>
        <v/>
      </c>
      <c r="I1037" s="26" t="str">
        <f aca="false">IF($M1037=0,"",ST_RESULTATS!$J287)</f>
        <v/>
      </c>
      <c r="J1037" s="26" t="str">
        <f aca="false">IF($I1037="","",IFERROR(INDEX(EMPL_CLASSE,MATCH($I1037,EMPL_KEY,0)),""))</f>
        <v/>
      </c>
      <c r="K1037" s="26" t="str">
        <f aca="false">IF($M1037=0,"",IFERROR(INDEX(LOT_PRODE,MATCH($G1037,LOT_KEY,0)),""))</f>
        <v/>
      </c>
      <c r="L1037" s="26" t="str">
        <f aca="false">IF($G1037="","",IF(IFERROR(INDEX(LOT_ETAT,MATCH($G1037,LOT_KEY,0)),"")="","",INDEX(LOT_ETAT,MATCH($G1037,LOT_KEY,0))))</f>
        <v/>
      </c>
      <c r="M1037" s="73" t="n">
        <f aca="false">IF(ST_RESULTATS!$Q287=0,0,ST_RESULTATS!$F287)</f>
        <v>0</v>
      </c>
      <c r="N1037" s="73" t="n">
        <f aca="false">IF($M1037=0,0,ST_RESULTATS!$U287*$M1037)</f>
        <v>0</v>
      </c>
      <c r="O1037" s="26" t="str">
        <f aca="false">IF($M1037=0,"",ST_RESULTATS!$T287)</f>
        <v/>
      </c>
      <c r="P1037" s="26" t="str">
        <f aca="false">IF($G1037="","",IF($G1037=R_LOT,COUNTIF($G$5:$G1037,R_LOT),""))</f>
        <v/>
      </c>
    </row>
    <row r="1038" customFormat="false" ht="15" hidden="false" customHeight="false" outlineLevel="0" collapsed="false">
      <c r="A1038" s="28" t="str">
        <f aca="false">IF($M1038=0,"",ROW()-4)</f>
        <v/>
      </c>
      <c r="B1038" s="26" t="str">
        <f aca="false">IF($M1038=0,"","RESULTAT ST")</f>
        <v/>
      </c>
      <c r="C1038" s="26" t="str">
        <f aca="false">IF($M1038=0,"",ST_RESULTATS!$A288)</f>
        <v/>
      </c>
      <c r="D1038" s="31" t="str">
        <f aca="false">IF($M1038=0,"",ST_RESULTATS!$W288)</f>
        <v/>
      </c>
      <c r="E1038" s="26" t="str">
        <f aca="false">IF($M1038=0,"","ENTREE")</f>
        <v/>
      </c>
      <c r="F1038" s="26" t="str">
        <f aca="false">IF($M1038=0,"","RETOUR SOUS-TRAITANCE")</f>
        <v/>
      </c>
      <c r="G1038" s="26" t="str">
        <f aca="false">IF($M1038=0,"",ST_RESULTATS!$N288)</f>
        <v/>
      </c>
      <c r="H1038" s="26" t="str">
        <f aca="false">IF($G1038="","",IFERROR(INDEX(LOT_EXTE,MATCH($G1038,LOT_KEY,0)),""))</f>
        <v/>
      </c>
      <c r="I1038" s="26" t="str">
        <f aca="false">IF($M1038=0,"",ST_RESULTATS!$J288)</f>
        <v/>
      </c>
      <c r="J1038" s="26" t="str">
        <f aca="false">IF($I1038="","",IFERROR(INDEX(EMPL_CLASSE,MATCH($I1038,EMPL_KEY,0)),""))</f>
        <v/>
      </c>
      <c r="K1038" s="26" t="str">
        <f aca="false">IF($M1038=0,"",IFERROR(INDEX(LOT_PRODE,MATCH($G1038,LOT_KEY,0)),""))</f>
        <v/>
      </c>
      <c r="L1038" s="26" t="str">
        <f aca="false">IF($G1038="","",IF(IFERROR(INDEX(LOT_ETAT,MATCH($G1038,LOT_KEY,0)),"")="","",INDEX(LOT_ETAT,MATCH($G1038,LOT_KEY,0))))</f>
        <v/>
      </c>
      <c r="M1038" s="73" t="n">
        <f aca="false">IF(ST_RESULTATS!$Q288=0,0,ST_RESULTATS!$F288)</f>
        <v>0</v>
      </c>
      <c r="N1038" s="73" t="n">
        <f aca="false">IF($M1038=0,0,ST_RESULTATS!$U288*$M1038)</f>
        <v>0</v>
      </c>
      <c r="O1038" s="26" t="str">
        <f aca="false">IF($M1038=0,"",ST_RESULTATS!$T288)</f>
        <v/>
      </c>
      <c r="P1038" s="26" t="str">
        <f aca="false">IF($G1038="","",IF($G1038=R_LOT,COUNTIF($G$5:$G1038,R_LOT),""))</f>
        <v/>
      </c>
    </row>
    <row r="1039" customFormat="false" ht="15" hidden="false" customHeight="false" outlineLevel="0" collapsed="false">
      <c r="A1039" s="28" t="str">
        <f aca="false">IF($M1039=0,"",ROW()-4)</f>
        <v/>
      </c>
      <c r="B1039" s="26" t="str">
        <f aca="false">IF($M1039=0,"","RESULTAT ST")</f>
        <v/>
      </c>
      <c r="C1039" s="26" t="str">
        <f aca="false">IF($M1039=0,"",ST_RESULTATS!$A289)</f>
        <v/>
      </c>
      <c r="D1039" s="31" t="str">
        <f aca="false">IF($M1039=0,"",ST_RESULTATS!$W289)</f>
        <v/>
      </c>
      <c r="E1039" s="26" t="str">
        <f aca="false">IF($M1039=0,"","ENTREE")</f>
        <v/>
      </c>
      <c r="F1039" s="26" t="str">
        <f aca="false">IF($M1039=0,"","RETOUR SOUS-TRAITANCE")</f>
        <v/>
      </c>
      <c r="G1039" s="26" t="str">
        <f aca="false">IF($M1039=0,"",ST_RESULTATS!$N289)</f>
        <v/>
      </c>
      <c r="H1039" s="26" t="str">
        <f aca="false">IF($G1039="","",IFERROR(INDEX(LOT_EXTE,MATCH($G1039,LOT_KEY,0)),""))</f>
        <v/>
      </c>
      <c r="I1039" s="26" t="str">
        <f aca="false">IF($M1039=0,"",ST_RESULTATS!$J289)</f>
        <v/>
      </c>
      <c r="J1039" s="26" t="str">
        <f aca="false">IF($I1039="","",IFERROR(INDEX(EMPL_CLASSE,MATCH($I1039,EMPL_KEY,0)),""))</f>
        <v/>
      </c>
      <c r="K1039" s="26" t="str">
        <f aca="false">IF($M1039=0,"",IFERROR(INDEX(LOT_PRODE,MATCH($G1039,LOT_KEY,0)),""))</f>
        <v/>
      </c>
      <c r="L1039" s="26" t="str">
        <f aca="false">IF($G1039="","",IF(IFERROR(INDEX(LOT_ETAT,MATCH($G1039,LOT_KEY,0)),"")="","",INDEX(LOT_ETAT,MATCH($G1039,LOT_KEY,0))))</f>
        <v/>
      </c>
      <c r="M1039" s="73" t="n">
        <f aca="false">IF(ST_RESULTATS!$Q289=0,0,ST_RESULTATS!$F289)</f>
        <v>0</v>
      </c>
      <c r="N1039" s="73" t="n">
        <f aca="false">IF($M1039=0,0,ST_RESULTATS!$U289*$M1039)</f>
        <v>0</v>
      </c>
      <c r="O1039" s="26" t="str">
        <f aca="false">IF($M1039=0,"",ST_RESULTATS!$T289)</f>
        <v/>
      </c>
      <c r="P1039" s="26" t="str">
        <f aca="false">IF($G1039="","",IF($G1039=R_LOT,COUNTIF($G$5:$G1039,R_LOT),""))</f>
        <v/>
      </c>
    </row>
    <row r="1040" customFormat="false" ht="15" hidden="false" customHeight="false" outlineLevel="0" collapsed="false">
      <c r="A1040" s="28" t="str">
        <f aca="false">IF($M1040=0,"",ROW()-4)</f>
        <v/>
      </c>
      <c r="B1040" s="26" t="str">
        <f aca="false">IF($M1040=0,"","RESULTAT ST")</f>
        <v/>
      </c>
      <c r="C1040" s="26" t="str">
        <f aca="false">IF($M1040=0,"",ST_RESULTATS!$A290)</f>
        <v/>
      </c>
      <c r="D1040" s="31" t="str">
        <f aca="false">IF($M1040=0,"",ST_RESULTATS!$W290)</f>
        <v/>
      </c>
      <c r="E1040" s="26" t="str">
        <f aca="false">IF($M1040=0,"","ENTREE")</f>
        <v/>
      </c>
      <c r="F1040" s="26" t="str">
        <f aca="false">IF($M1040=0,"","RETOUR SOUS-TRAITANCE")</f>
        <v/>
      </c>
      <c r="G1040" s="26" t="str">
        <f aca="false">IF($M1040=0,"",ST_RESULTATS!$N290)</f>
        <v/>
      </c>
      <c r="H1040" s="26" t="str">
        <f aca="false">IF($G1040="","",IFERROR(INDEX(LOT_EXTE,MATCH($G1040,LOT_KEY,0)),""))</f>
        <v/>
      </c>
      <c r="I1040" s="26" t="str">
        <f aca="false">IF($M1040=0,"",ST_RESULTATS!$J290)</f>
        <v/>
      </c>
      <c r="J1040" s="26" t="str">
        <f aca="false">IF($I1040="","",IFERROR(INDEX(EMPL_CLASSE,MATCH($I1040,EMPL_KEY,0)),""))</f>
        <v/>
      </c>
      <c r="K1040" s="26" t="str">
        <f aca="false">IF($M1040=0,"",IFERROR(INDEX(LOT_PRODE,MATCH($G1040,LOT_KEY,0)),""))</f>
        <v/>
      </c>
      <c r="L1040" s="26" t="str">
        <f aca="false">IF($G1040="","",IF(IFERROR(INDEX(LOT_ETAT,MATCH($G1040,LOT_KEY,0)),"")="","",INDEX(LOT_ETAT,MATCH($G1040,LOT_KEY,0))))</f>
        <v/>
      </c>
      <c r="M1040" s="73" t="n">
        <f aca="false">IF(ST_RESULTATS!$Q290=0,0,ST_RESULTATS!$F290)</f>
        <v>0</v>
      </c>
      <c r="N1040" s="73" t="n">
        <f aca="false">IF($M1040=0,0,ST_RESULTATS!$U290*$M1040)</f>
        <v>0</v>
      </c>
      <c r="O1040" s="26" t="str">
        <f aca="false">IF($M1040=0,"",ST_RESULTATS!$T290)</f>
        <v/>
      </c>
      <c r="P1040" s="26" t="str">
        <f aca="false">IF($G1040="","",IF($G1040=R_LOT,COUNTIF($G$5:$G1040,R_LOT),""))</f>
        <v/>
      </c>
    </row>
    <row r="1041" customFormat="false" ht="15" hidden="false" customHeight="false" outlineLevel="0" collapsed="false">
      <c r="A1041" s="28" t="str">
        <f aca="false">IF($M1041=0,"",ROW()-4)</f>
        <v/>
      </c>
      <c r="B1041" s="26" t="str">
        <f aca="false">IF($M1041=0,"","RESULTAT ST")</f>
        <v/>
      </c>
      <c r="C1041" s="26" t="str">
        <f aca="false">IF($M1041=0,"",ST_RESULTATS!$A291)</f>
        <v/>
      </c>
      <c r="D1041" s="31" t="str">
        <f aca="false">IF($M1041=0,"",ST_RESULTATS!$W291)</f>
        <v/>
      </c>
      <c r="E1041" s="26" t="str">
        <f aca="false">IF($M1041=0,"","ENTREE")</f>
        <v/>
      </c>
      <c r="F1041" s="26" t="str">
        <f aca="false">IF($M1041=0,"","RETOUR SOUS-TRAITANCE")</f>
        <v/>
      </c>
      <c r="G1041" s="26" t="str">
        <f aca="false">IF($M1041=0,"",ST_RESULTATS!$N291)</f>
        <v/>
      </c>
      <c r="H1041" s="26" t="str">
        <f aca="false">IF($G1041="","",IFERROR(INDEX(LOT_EXTE,MATCH($G1041,LOT_KEY,0)),""))</f>
        <v/>
      </c>
      <c r="I1041" s="26" t="str">
        <f aca="false">IF($M1041=0,"",ST_RESULTATS!$J291)</f>
        <v/>
      </c>
      <c r="J1041" s="26" t="str">
        <f aca="false">IF($I1041="","",IFERROR(INDEX(EMPL_CLASSE,MATCH($I1041,EMPL_KEY,0)),""))</f>
        <v/>
      </c>
      <c r="K1041" s="26" t="str">
        <f aca="false">IF($M1041=0,"",IFERROR(INDEX(LOT_PRODE,MATCH($G1041,LOT_KEY,0)),""))</f>
        <v/>
      </c>
      <c r="L1041" s="26" t="str">
        <f aca="false">IF($G1041="","",IF(IFERROR(INDEX(LOT_ETAT,MATCH($G1041,LOT_KEY,0)),"")="","",INDEX(LOT_ETAT,MATCH($G1041,LOT_KEY,0))))</f>
        <v/>
      </c>
      <c r="M1041" s="73" t="n">
        <f aca="false">IF(ST_RESULTATS!$Q291=0,0,ST_RESULTATS!$F291)</f>
        <v>0</v>
      </c>
      <c r="N1041" s="73" t="n">
        <f aca="false">IF($M1041=0,0,ST_RESULTATS!$U291*$M1041)</f>
        <v>0</v>
      </c>
      <c r="O1041" s="26" t="str">
        <f aca="false">IF($M1041=0,"",ST_RESULTATS!$T291)</f>
        <v/>
      </c>
      <c r="P1041" s="26" t="str">
        <f aca="false">IF($G1041="","",IF($G1041=R_LOT,COUNTIF($G$5:$G1041,R_LOT),""))</f>
        <v/>
      </c>
    </row>
    <row r="1042" customFormat="false" ht="15" hidden="false" customHeight="false" outlineLevel="0" collapsed="false">
      <c r="A1042" s="28" t="str">
        <f aca="false">IF($M1042=0,"",ROW()-4)</f>
        <v/>
      </c>
      <c r="B1042" s="26" t="str">
        <f aca="false">IF($M1042=0,"","RESULTAT ST")</f>
        <v/>
      </c>
      <c r="C1042" s="26" t="str">
        <f aca="false">IF($M1042=0,"",ST_RESULTATS!$A292)</f>
        <v/>
      </c>
      <c r="D1042" s="31" t="str">
        <f aca="false">IF($M1042=0,"",ST_RESULTATS!$W292)</f>
        <v/>
      </c>
      <c r="E1042" s="26" t="str">
        <f aca="false">IF($M1042=0,"","ENTREE")</f>
        <v/>
      </c>
      <c r="F1042" s="26" t="str">
        <f aca="false">IF($M1042=0,"","RETOUR SOUS-TRAITANCE")</f>
        <v/>
      </c>
      <c r="G1042" s="26" t="str">
        <f aca="false">IF($M1042=0,"",ST_RESULTATS!$N292)</f>
        <v/>
      </c>
      <c r="H1042" s="26" t="str">
        <f aca="false">IF($G1042="","",IFERROR(INDEX(LOT_EXTE,MATCH($G1042,LOT_KEY,0)),""))</f>
        <v/>
      </c>
      <c r="I1042" s="26" t="str">
        <f aca="false">IF($M1042=0,"",ST_RESULTATS!$J292)</f>
        <v/>
      </c>
      <c r="J1042" s="26" t="str">
        <f aca="false">IF($I1042="","",IFERROR(INDEX(EMPL_CLASSE,MATCH($I1042,EMPL_KEY,0)),""))</f>
        <v/>
      </c>
      <c r="K1042" s="26" t="str">
        <f aca="false">IF($M1042=0,"",IFERROR(INDEX(LOT_PRODE,MATCH($G1042,LOT_KEY,0)),""))</f>
        <v/>
      </c>
      <c r="L1042" s="26" t="str">
        <f aca="false">IF($G1042="","",IF(IFERROR(INDEX(LOT_ETAT,MATCH($G1042,LOT_KEY,0)),"")="","",INDEX(LOT_ETAT,MATCH($G1042,LOT_KEY,0))))</f>
        <v/>
      </c>
      <c r="M1042" s="73" t="n">
        <f aca="false">IF(ST_RESULTATS!$Q292=0,0,ST_RESULTATS!$F292)</f>
        <v>0</v>
      </c>
      <c r="N1042" s="73" t="n">
        <f aca="false">IF($M1042=0,0,ST_RESULTATS!$U292*$M1042)</f>
        <v>0</v>
      </c>
      <c r="O1042" s="26" t="str">
        <f aca="false">IF($M1042=0,"",ST_RESULTATS!$T292)</f>
        <v/>
      </c>
      <c r="P1042" s="26" t="str">
        <f aca="false">IF($G1042="","",IF($G1042=R_LOT,COUNTIF($G$5:$G1042,R_LOT),""))</f>
        <v/>
      </c>
    </row>
    <row r="1043" customFormat="false" ht="15" hidden="false" customHeight="false" outlineLevel="0" collapsed="false">
      <c r="A1043" s="28" t="str">
        <f aca="false">IF($M1043=0,"",ROW()-4)</f>
        <v/>
      </c>
      <c r="B1043" s="26" t="str">
        <f aca="false">IF($M1043=0,"","RESULTAT ST")</f>
        <v/>
      </c>
      <c r="C1043" s="26" t="str">
        <f aca="false">IF($M1043=0,"",ST_RESULTATS!$A293)</f>
        <v/>
      </c>
      <c r="D1043" s="31" t="str">
        <f aca="false">IF($M1043=0,"",ST_RESULTATS!$W293)</f>
        <v/>
      </c>
      <c r="E1043" s="26" t="str">
        <f aca="false">IF($M1043=0,"","ENTREE")</f>
        <v/>
      </c>
      <c r="F1043" s="26" t="str">
        <f aca="false">IF($M1043=0,"","RETOUR SOUS-TRAITANCE")</f>
        <v/>
      </c>
      <c r="G1043" s="26" t="str">
        <f aca="false">IF($M1043=0,"",ST_RESULTATS!$N293)</f>
        <v/>
      </c>
      <c r="H1043" s="26" t="str">
        <f aca="false">IF($G1043="","",IFERROR(INDEX(LOT_EXTE,MATCH($G1043,LOT_KEY,0)),""))</f>
        <v/>
      </c>
      <c r="I1043" s="26" t="str">
        <f aca="false">IF($M1043=0,"",ST_RESULTATS!$J293)</f>
        <v/>
      </c>
      <c r="J1043" s="26" t="str">
        <f aca="false">IF($I1043="","",IFERROR(INDEX(EMPL_CLASSE,MATCH($I1043,EMPL_KEY,0)),""))</f>
        <v/>
      </c>
      <c r="K1043" s="26" t="str">
        <f aca="false">IF($M1043=0,"",IFERROR(INDEX(LOT_PRODE,MATCH($G1043,LOT_KEY,0)),""))</f>
        <v/>
      </c>
      <c r="L1043" s="26" t="str">
        <f aca="false">IF($G1043="","",IF(IFERROR(INDEX(LOT_ETAT,MATCH($G1043,LOT_KEY,0)),"")="","",INDEX(LOT_ETAT,MATCH($G1043,LOT_KEY,0))))</f>
        <v/>
      </c>
      <c r="M1043" s="73" t="n">
        <f aca="false">IF(ST_RESULTATS!$Q293=0,0,ST_RESULTATS!$F293)</f>
        <v>0</v>
      </c>
      <c r="N1043" s="73" t="n">
        <f aca="false">IF($M1043=0,0,ST_RESULTATS!$U293*$M1043)</f>
        <v>0</v>
      </c>
      <c r="O1043" s="26" t="str">
        <f aca="false">IF($M1043=0,"",ST_RESULTATS!$T293)</f>
        <v/>
      </c>
      <c r="P1043" s="26" t="str">
        <f aca="false">IF($G1043="","",IF($G1043=R_LOT,COUNTIF($G$5:$G1043,R_LOT),""))</f>
        <v/>
      </c>
    </row>
    <row r="1044" customFormat="false" ht="15" hidden="false" customHeight="false" outlineLevel="0" collapsed="false">
      <c r="A1044" s="28" t="str">
        <f aca="false">IF($M1044=0,"",ROW()-4)</f>
        <v/>
      </c>
      <c r="B1044" s="26" t="str">
        <f aca="false">IF($M1044=0,"","RESULTAT ST")</f>
        <v/>
      </c>
      <c r="C1044" s="26" t="str">
        <f aca="false">IF($M1044=0,"",ST_RESULTATS!$A294)</f>
        <v/>
      </c>
      <c r="D1044" s="31" t="str">
        <f aca="false">IF($M1044=0,"",ST_RESULTATS!$W294)</f>
        <v/>
      </c>
      <c r="E1044" s="26" t="str">
        <f aca="false">IF($M1044=0,"","ENTREE")</f>
        <v/>
      </c>
      <c r="F1044" s="26" t="str">
        <f aca="false">IF($M1044=0,"","RETOUR SOUS-TRAITANCE")</f>
        <v/>
      </c>
      <c r="G1044" s="26" t="str">
        <f aca="false">IF($M1044=0,"",ST_RESULTATS!$N294)</f>
        <v/>
      </c>
      <c r="H1044" s="26" t="str">
        <f aca="false">IF($G1044="","",IFERROR(INDEX(LOT_EXTE,MATCH($G1044,LOT_KEY,0)),""))</f>
        <v/>
      </c>
      <c r="I1044" s="26" t="str">
        <f aca="false">IF($M1044=0,"",ST_RESULTATS!$J294)</f>
        <v/>
      </c>
      <c r="J1044" s="26" t="str">
        <f aca="false">IF($I1044="","",IFERROR(INDEX(EMPL_CLASSE,MATCH($I1044,EMPL_KEY,0)),""))</f>
        <v/>
      </c>
      <c r="K1044" s="26" t="str">
        <f aca="false">IF($M1044=0,"",IFERROR(INDEX(LOT_PRODE,MATCH($G1044,LOT_KEY,0)),""))</f>
        <v/>
      </c>
      <c r="L1044" s="26" t="str">
        <f aca="false">IF($G1044="","",IF(IFERROR(INDEX(LOT_ETAT,MATCH($G1044,LOT_KEY,0)),"")="","",INDEX(LOT_ETAT,MATCH($G1044,LOT_KEY,0))))</f>
        <v/>
      </c>
      <c r="M1044" s="73" t="n">
        <f aca="false">IF(ST_RESULTATS!$Q294=0,0,ST_RESULTATS!$F294)</f>
        <v>0</v>
      </c>
      <c r="N1044" s="73" t="n">
        <f aca="false">IF($M1044=0,0,ST_RESULTATS!$U294*$M1044)</f>
        <v>0</v>
      </c>
      <c r="O1044" s="26" t="str">
        <f aca="false">IF($M1044=0,"",ST_RESULTATS!$T294)</f>
        <v/>
      </c>
      <c r="P1044" s="26" t="str">
        <f aca="false">IF($G1044="","",IF($G1044=R_LOT,COUNTIF($G$5:$G1044,R_LOT),""))</f>
        <v/>
      </c>
    </row>
    <row r="1045" customFormat="false" ht="15" hidden="false" customHeight="false" outlineLevel="0" collapsed="false">
      <c r="A1045" s="28" t="str">
        <f aca="false">IF($M1045=0,"",ROW()-4)</f>
        <v/>
      </c>
      <c r="B1045" s="26" t="str">
        <f aca="false">IF($M1045=0,"","RESULTAT ST")</f>
        <v/>
      </c>
      <c r="C1045" s="26" t="str">
        <f aca="false">IF($M1045=0,"",ST_RESULTATS!$A295)</f>
        <v/>
      </c>
      <c r="D1045" s="31" t="str">
        <f aca="false">IF($M1045=0,"",ST_RESULTATS!$W295)</f>
        <v/>
      </c>
      <c r="E1045" s="26" t="str">
        <f aca="false">IF($M1045=0,"","ENTREE")</f>
        <v/>
      </c>
      <c r="F1045" s="26" t="str">
        <f aca="false">IF($M1045=0,"","RETOUR SOUS-TRAITANCE")</f>
        <v/>
      </c>
      <c r="G1045" s="26" t="str">
        <f aca="false">IF($M1045=0,"",ST_RESULTATS!$N295)</f>
        <v/>
      </c>
      <c r="H1045" s="26" t="str">
        <f aca="false">IF($G1045="","",IFERROR(INDEX(LOT_EXTE,MATCH($G1045,LOT_KEY,0)),""))</f>
        <v/>
      </c>
      <c r="I1045" s="26" t="str">
        <f aca="false">IF($M1045=0,"",ST_RESULTATS!$J295)</f>
        <v/>
      </c>
      <c r="J1045" s="26" t="str">
        <f aca="false">IF($I1045="","",IFERROR(INDEX(EMPL_CLASSE,MATCH($I1045,EMPL_KEY,0)),""))</f>
        <v/>
      </c>
      <c r="K1045" s="26" t="str">
        <f aca="false">IF($M1045=0,"",IFERROR(INDEX(LOT_PRODE,MATCH($G1045,LOT_KEY,0)),""))</f>
        <v/>
      </c>
      <c r="L1045" s="26" t="str">
        <f aca="false">IF($G1045="","",IF(IFERROR(INDEX(LOT_ETAT,MATCH($G1045,LOT_KEY,0)),"")="","",INDEX(LOT_ETAT,MATCH($G1045,LOT_KEY,0))))</f>
        <v/>
      </c>
      <c r="M1045" s="73" t="n">
        <f aca="false">IF(ST_RESULTATS!$Q295=0,0,ST_RESULTATS!$F295)</f>
        <v>0</v>
      </c>
      <c r="N1045" s="73" t="n">
        <f aca="false">IF($M1045=0,0,ST_RESULTATS!$U295*$M1045)</f>
        <v>0</v>
      </c>
      <c r="O1045" s="26" t="str">
        <f aca="false">IF($M1045=0,"",ST_RESULTATS!$T295)</f>
        <v/>
      </c>
      <c r="P1045" s="26" t="str">
        <f aca="false">IF($G1045="","",IF($G1045=R_LOT,COUNTIF($G$5:$G1045,R_LOT),""))</f>
        <v/>
      </c>
    </row>
    <row r="1046" customFormat="false" ht="15" hidden="false" customHeight="false" outlineLevel="0" collapsed="false">
      <c r="A1046" s="28" t="str">
        <f aca="false">IF($M1046=0,"",ROW()-4)</f>
        <v/>
      </c>
      <c r="B1046" s="26" t="str">
        <f aca="false">IF($M1046=0,"","RESULTAT ST")</f>
        <v/>
      </c>
      <c r="C1046" s="26" t="str">
        <f aca="false">IF($M1046=0,"",ST_RESULTATS!$A296)</f>
        <v/>
      </c>
      <c r="D1046" s="31" t="str">
        <f aca="false">IF($M1046=0,"",ST_RESULTATS!$W296)</f>
        <v/>
      </c>
      <c r="E1046" s="26" t="str">
        <f aca="false">IF($M1046=0,"","ENTREE")</f>
        <v/>
      </c>
      <c r="F1046" s="26" t="str">
        <f aca="false">IF($M1046=0,"","RETOUR SOUS-TRAITANCE")</f>
        <v/>
      </c>
      <c r="G1046" s="26" t="str">
        <f aca="false">IF($M1046=0,"",ST_RESULTATS!$N296)</f>
        <v/>
      </c>
      <c r="H1046" s="26" t="str">
        <f aca="false">IF($G1046="","",IFERROR(INDEX(LOT_EXTE,MATCH($G1046,LOT_KEY,0)),""))</f>
        <v/>
      </c>
      <c r="I1046" s="26" t="str">
        <f aca="false">IF($M1046=0,"",ST_RESULTATS!$J296)</f>
        <v/>
      </c>
      <c r="J1046" s="26" t="str">
        <f aca="false">IF($I1046="","",IFERROR(INDEX(EMPL_CLASSE,MATCH($I1046,EMPL_KEY,0)),""))</f>
        <v/>
      </c>
      <c r="K1046" s="26" t="str">
        <f aca="false">IF($M1046=0,"",IFERROR(INDEX(LOT_PRODE,MATCH($G1046,LOT_KEY,0)),""))</f>
        <v/>
      </c>
      <c r="L1046" s="26" t="str">
        <f aca="false">IF($G1046="","",IF(IFERROR(INDEX(LOT_ETAT,MATCH($G1046,LOT_KEY,0)),"")="","",INDEX(LOT_ETAT,MATCH($G1046,LOT_KEY,0))))</f>
        <v/>
      </c>
      <c r="M1046" s="73" t="n">
        <f aca="false">IF(ST_RESULTATS!$Q296=0,0,ST_RESULTATS!$F296)</f>
        <v>0</v>
      </c>
      <c r="N1046" s="73" t="n">
        <f aca="false">IF($M1046=0,0,ST_RESULTATS!$U296*$M1046)</f>
        <v>0</v>
      </c>
      <c r="O1046" s="26" t="str">
        <f aca="false">IF($M1046=0,"",ST_RESULTATS!$T296)</f>
        <v/>
      </c>
      <c r="P1046" s="26" t="str">
        <f aca="false">IF($G1046="","",IF($G1046=R_LOT,COUNTIF($G$5:$G1046,R_LOT),""))</f>
        <v/>
      </c>
    </row>
    <row r="1047" customFormat="false" ht="15" hidden="false" customHeight="false" outlineLevel="0" collapsed="false">
      <c r="A1047" s="28" t="str">
        <f aca="false">IF($M1047=0,"",ROW()-4)</f>
        <v/>
      </c>
      <c r="B1047" s="26" t="str">
        <f aca="false">IF($M1047=0,"","RESULTAT ST")</f>
        <v/>
      </c>
      <c r="C1047" s="26" t="str">
        <f aca="false">IF($M1047=0,"",ST_RESULTATS!$A297)</f>
        <v/>
      </c>
      <c r="D1047" s="31" t="str">
        <f aca="false">IF($M1047=0,"",ST_RESULTATS!$W297)</f>
        <v/>
      </c>
      <c r="E1047" s="26" t="str">
        <f aca="false">IF($M1047=0,"","ENTREE")</f>
        <v/>
      </c>
      <c r="F1047" s="26" t="str">
        <f aca="false">IF($M1047=0,"","RETOUR SOUS-TRAITANCE")</f>
        <v/>
      </c>
      <c r="G1047" s="26" t="str">
        <f aca="false">IF($M1047=0,"",ST_RESULTATS!$N297)</f>
        <v/>
      </c>
      <c r="H1047" s="26" t="str">
        <f aca="false">IF($G1047="","",IFERROR(INDEX(LOT_EXTE,MATCH($G1047,LOT_KEY,0)),""))</f>
        <v/>
      </c>
      <c r="I1047" s="26" t="str">
        <f aca="false">IF($M1047=0,"",ST_RESULTATS!$J297)</f>
        <v/>
      </c>
      <c r="J1047" s="26" t="str">
        <f aca="false">IF($I1047="","",IFERROR(INDEX(EMPL_CLASSE,MATCH($I1047,EMPL_KEY,0)),""))</f>
        <v/>
      </c>
      <c r="K1047" s="26" t="str">
        <f aca="false">IF($M1047=0,"",IFERROR(INDEX(LOT_PRODE,MATCH($G1047,LOT_KEY,0)),""))</f>
        <v/>
      </c>
      <c r="L1047" s="26" t="str">
        <f aca="false">IF($G1047="","",IF(IFERROR(INDEX(LOT_ETAT,MATCH($G1047,LOT_KEY,0)),"")="","",INDEX(LOT_ETAT,MATCH($G1047,LOT_KEY,0))))</f>
        <v/>
      </c>
      <c r="M1047" s="73" t="n">
        <f aca="false">IF(ST_RESULTATS!$Q297=0,0,ST_RESULTATS!$F297)</f>
        <v>0</v>
      </c>
      <c r="N1047" s="73" t="n">
        <f aca="false">IF($M1047=0,0,ST_RESULTATS!$U297*$M1047)</f>
        <v>0</v>
      </c>
      <c r="O1047" s="26" t="str">
        <f aca="false">IF($M1047=0,"",ST_RESULTATS!$T297)</f>
        <v/>
      </c>
      <c r="P1047" s="26" t="str">
        <f aca="false">IF($G1047="","",IF($G1047=R_LOT,COUNTIF($G$5:$G1047,R_LOT),""))</f>
        <v/>
      </c>
    </row>
    <row r="1048" customFormat="false" ht="15" hidden="false" customHeight="false" outlineLevel="0" collapsed="false">
      <c r="A1048" s="28" t="str">
        <f aca="false">IF($M1048=0,"",ROW()-4)</f>
        <v/>
      </c>
      <c r="B1048" s="26" t="str">
        <f aca="false">IF($M1048=0,"","RESULTAT ST")</f>
        <v/>
      </c>
      <c r="C1048" s="26" t="str">
        <f aca="false">IF($M1048=0,"",ST_RESULTATS!$A298)</f>
        <v/>
      </c>
      <c r="D1048" s="31" t="str">
        <f aca="false">IF($M1048=0,"",ST_RESULTATS!$W298)</f>
        <v/>
      </c>
      <c r="E1048" s="26" t="str">
        <f aca="false">IF($M1048=0,"","ENTREE")</f>
        <v/>
      </c>
      <c r="F1048" s="26" t="str">
        <f aca="false">IF($M1048=0,"","RETOUR SOUS-TRAITANCE")</f>
        <v/>
      </c>
      <c r="G1048" s="26" t="str">
        <f aca="false">IF($M1048=0,"",ST_RESULTATS!$N298)</f>
        <v/>
      </c>
      <c r="H1048" s="26" t="str">
        <f aca="false">IF($G1048="","",IFERROR(INDEX(LOT_EXTE,MATCH($G1048,LOT_KEY,0)),""))</f>
        <v/>
      </c>
      <c r="I1048" s="26" t="str">
        <f aca="false">IF($M1048=0,"",ST_RESULTATS!$J298)</f>
        <v/>
      </c>
      <c r="J1048" s="26" t="str">
        <f aca="false">IF($I1048="","",IFERROR(INDEX(EMPL_CLASSE,MATCH($I1048,EMPL_KEY,0)),""))</f>
        <v/>
      </c>
      <c r="K1048" s="26" t="str">
        <f aca="false">IF($M1048=0,"",IFERROR(INDEX(LOT_PRODE,MATCH($G1048,LOT_KEY,0)),""))</f>
        <v/>
      </c>
      <c r="L1048" s="26" t="str">
        <f aca="false">IF($G1048="","",IF(IFERROR(INDEX(LOT_ETAT,MATCH($G1048,LOT_KEY,0)),"")="","",INDEX(LOT_ETAT,MATCH($G1048,LOT_KEY,0))))</f>
        <v/>
      </c>
      <c r="M1048" s="73" t="n">
        <f aca="false">IF(ST_RESULTATS!$Q298=0,0,ST_RESULTATS!$F298)</f>
        <v>0</v>
      </c>
      <c r="N1048" s="73" t="n">
        <f aca="false">IF($M1048=0,0,ST_RESULTATS!$U298*$M1048)</f>
        <v>0</v>
      </c>
      <c r="O1048" s="26" t="str">
        <f aca="false">IF($M1048=0,"",ST_RESULTATS!$T298)</f>
        <v/>
      </c>
      <c r="P1048" s="26" t="str">
        <f aca="false">IF($G1048="","",IF($G1048=R_LOT,COUNTIF($G$5:$G1048,R_LOT),""))</f>
        <v/>
      </c>
    </row>
    <row r="1049" customFormat="false" ht="15" hidden="false" customHeight="false" outlineLevel="0" collapsed="false">
      <c r="A1049" s="28" t="str">
        <f aca="false">IF($M1049=0,"",ROW()-4)</f>
        <v/>
      </c>
      <c r="B1049" s="26" t="str">
        <f aca="false">IF($M1049=0,"","RESULTAT ST")</f>
        <v/>
      </c>
      <c r="C1049" s="26" t="str">
        <f aca="false">IF($M1049=0,"",ST_RESULTATS!$A299)</f>
        <v/>
      </c>
      <c r="D1049" s="31" t="str">
        <f aca="false">IF($M1049=0,"",ST_RESULTATS!$W299)</f>
        <v/>
      </c>
      <c r="E1049" s="26" t="str">
        <f aca="false">IF($M1049=0,"","ENTREE")</f>
        <v/>
      </c>
      <c r="F1049" s="26" t="str">
        <f aca="false">IF($M1049=0,"","RETOUR SOUS-TRAITANCE")</f>
        <v/>
      </c>
      <c r="G1049" s="26" t="str">
        <f aca="false">IF($M1049=0,"",ST_RESULTATS!$N299)</f>
        <v/>
      </c>
      <c r="H1049" s="26" t="str">
        <f aca="false">IF($G1049="","",IFERROR(INDEX(LOT_EXTE,MATCH($G1049,LOT_KEY,0)),""))</f>
        <v/>
      </c>
      <c r="I1049" s="26" t="str">
        <f aca="false">IF($M1049=0,"",ST_RESULTATS!$J299)</f>
        <v/>
      </c>
      <c r="J1049" s="26" t="str">
        <f aca="false">IF($I1049="","",IFERROR(INDEX(EMPL_CLASSE,MATCH($I1049,EMPL_KEY,0)),""))</f>
        <v/>
      </c>
      <c r="K1049" s="26" t="str">
        <f aca="false">IF($M1049=0,"",IFERROR(INDEX(LOT_PRODE,MATCH($G1049,LOT_KEY,0)),""))</f>
        <v/>
      </c>
      <c r="L1049" s="26" t="str">
        <f aca="false">IF($G1049="","",IF(IFERROR(INDEX(LOT_ETAT,MATCH($G1049,LOT_KEY,0)),"")="","",INDEX(LOT_ETAT,MATCH($G1049,LOT_KEY,0))))</f>
        <v/>
      </c>
      <c r="M1049" s="73" t="n">
        <f aca="false">IF(ST_RESULTATS!$Q299=0,0,ST_RESULTATS!$F299)</f>
        <v>0</v>
      </c>
      <c r="N1049" s="73" t="n">
        <f aca="false">IF($M1049=0,0,ST_RESULTATS!$U299*$M1049)</f>
        <v>0</v>
      </c>
      <c r="O1049" s="26" t="str">
        <f aca="false">IF($M1049=0,"",ST_RESULTATS!$T299)</f>
        <v/>
      </c>
      <c r="P1049" s="26" t="str">
        <f aca="false">IF($G1049="","",IF($G1049=R_LOT,COUNTIF($G$5:$G1049,R_LOT),""))</f>
        <v/>
      </c>
    </row>
    <row r="1050" customFormat="false" ht="15" hidden="false" customHeight="false" outlineLevel="0" collapsed="false">
      <c r="A1050" s="28" t="str">
        <f aca="false">IF($M1050=0,"",ROW()-4)</f>
        <v/>
      </c>
      <c r="B1050" s="26" t="str">
        <f aca="false">IF($M1050=0,"","RESULTAT ST")</f>
        <v/>
      </c>
      <c r="C1050" s="26" t="str">
        <f aca="false">IF($M1050=0,"",ST_RESULTATS!$A300)</f>
        <v/>
      </c>
      <c r="D1050" s="31" t="str">
        <f aca="false">IF($M1050=0,"",ST_RESULTATS!$W300)</f>
        <v/>
      </c>
      <c r="E1050" s="26" t="str">
        <f aca="false">IF($M1050=0,"","ENTREE")</f>
        <v/>
      </c>
      <c r="F1050" s="26" t="str">
        <f aca="false">IF($M1050=0,"","RETOUR SOUS-TRAITANCE")</f>
        <v/>
      </c>
      <c r="G1050" s="26" t="str">
        <f aca="false">IF($M1050=0,"",ST_RESULTATS!$N300)</f>
        <v/>
      </c>
      <c r="H1050" s="26" t="str">
        <f aca="false">IF($G1050="","",IFERROR(INDEX(LOT_EXTE,MATCH($G1050,LOT_KEY,0)),""))</f>
        <v/>
      </c>
      <c r="I1050" s="26" t="str">
        <f aca="false">IF($M1050=0,"",ST_RESULTATS!$J300)</f>
        <v/>
      </c>
      <c r="J1050" s="26" t="str">
        <f aca="false">IF($I1050="","",IFERROR(INDEX(EMPL_CLASSE,MATCH($I1050,EMPL_KEY,0)),""))</f>
        <v/>
      </c>
      <c r="K1050" s="26" t="str">
        <f aca="false">IF($M1050=0,"",IFERROR(INDEX(LOT_PRODE,MATCH($G1050,LOT_KEY,0)),""))</f>
        <v/>
      </c>
      <c r="L1050" s="26" t="str">
        <f aca="false">IF($G1050="","",IF(IFERROR(INDEX(LOT_ETAT,MATCH($G1050,LOT_KEY,0)),"")="","",INDEX(LOT_ETAT,MATCH($G1050,LOT_KEY,0))))</f>
        <v/>
      </c>
      <c r="M1050" s="73" t="n">
        <f aca="false">IF(ST_RESULTATS!$Q300=0,0,ST_RESULTATS!$F300)</f>
        <v>0</v>
      </c>
      <c r="N1050" s="73" t="n">
        <f aca="false">IF($M1050=0,0,ST_RESULTATS!$U300*$M1050)</f>
        <v>0</v>
      </c>
      <c r="O1050" s="26" t="str">
        <f aca="false">IF($M1050=0,"",ST_RESULTATS!$T300)</f>
        <v/>
      </c>
      <c r="P1050" s="26" t="str">
        <f aca="false">IF($G1050="","",IF($G1050=R_LOT,COUNTIF($G$5:$G1050,R_LOT),""))</f>
        <v/>
      </c>
    </row>
    <row r="1051" customFormat="false" ht="15" hidden="false" customHeight="false" outlineLevel="0" collapsed="false">
      <c r="A1051" s="28" t="str">
        <f aca="false">IF($M1051=0,"",ROW()-4)</f>
        <v/>
      </c>
      <c r="B1051" s="26" t="str">
        <f aca="false">IF($M1051=0,"","RESULTAT ST")</f>
        <v/>
      </c>
      <c r="C1051" s="26" t="str">
        <f aca="false">IF($M1051=0,"",ST_RESULTATS!$A301)</f>
        <v/>
      </c>
      <c r="D1051" s="31" t="str">
        <f aca="false">IF($M1051=0,"",ST_RESULTATS!$W301)</f>
        <v/>
      </c>
      <c r="E1051" s="26" t="str">
        <f aca="false">IF($M1051=0,"","ENTREE")</f>
        <v/>
      </c>
      <c r="F1051" s="26" t="str">
        <f aca="false">IF($M1051=0,"","RETOUR SOUS-TRAITANCE")</f>
        <v/>
      </c>
      <c r="G1051" s="26" t="str">
        <f aca="false">IF($M1051=0,"",ST_RESULTATS!$N301)</f>
        <v/>
      </c>
      <c r="H1051" s="26" t="str">
        <f aca="false">IF($G1051="","",IFERROR(INDEX(LOT_EXTE,MATCH($G1051,LOT_KEY,0)),""))</f>
        <v/>
      </c>
      <c r="I1051" s="26" t="str">
        <f aca="false">IF($M1051=0,"",ST_RESULTATS!$J301)</f>
        <v/>
      </c>
      <c r="J1051" s="26" t="str">
        <f aca="false">IF($I1051="","",IFERROR(INDEX(EMPL_CLASSE,MATCH($I1051,EMPL_KEY,0)),""))</f>
        <v/>
      </c>
      <c r="K1051" s="26" t="str">
        <f aca="false">IF($M1051=0,"",IFERROR(INDEX(LOT_PRODE,MATCH($G1051,LOT_KEY,0)),""))</f>
        <v/>
      </c>
      <c r="L1051" s="26" t="str">
        <f aca="false">IF($G1051="","",IF(IFERROR(INDEX(LOT_ETAT,MATCH($G1051,LOT_KEY,0)),"")="","",INDEX(LOT_ETAT,MATCH($G1051,LOT_KEY,0))))</f>
        <v/>
      </c>
      <c r="M1051" s="73" t="n">
        <f aca="false">IF(ST_RESULTATS!$Q301=0,0,ST_RESULTATS!$F301)</f>
        <v>0</v>
      </c>
      <c r="N1051" s="73" t="n">
        <f aca="false">IF($M1051=0,0,ST_RESULTATS!$U301*$M1051)</f>
        <v>0</v>
      </c>
      <c r="O1051" s="26" t="str">
        <f aca="false">IF($M1051=0,"",ST_RESULTATS!$T301)</f>
        <v/>
      </c>
      <c r="P1051" s="26" t="str">
        <f aca="false">IF($G1051="","",IF($G1051=R_LOT,COUNTIF($G$5:$G1051,R_LOT),""))</f>
        <v/>
      </c>
    </row>
    <row r="1052" customFormat="false" ht="15" hidden="false" customHeight="false" outlineLevel="0" collapsed="false">
      <c r="A1052" s="28" t="str">
        <f aca="false">IF($M1052=0,"",ROW()-4)</f>
        <v/>
      </c>
      <c r="B1052" s="26" t="str">
        <f aca="false">IF($M1052=0,"","RESULTAT ST")</f>
        <v/>
      </c>
      <c r="C1052" s="26" t="str">
        <f aca="false">IF($M1052=0,"",ST_RESULTATS!$A302)</f>
        <v/>
      </c>
      <c r="D1052" s="31" t="str">
        <f aca="false">IF($M1052=0,"",ST_RESULTATS!$W302)</f>
        <v/>
      </c>
      <c r="E1052" s="26" t="str">
        <f aca="false">IF($M1052=0,"","ENTREE")</f>
        <v/>
      </c>
      <c r="F1052" s="26" t="str">
        <f aca="false">IF($M1052=0,"","RETOUR SOUS-TRAITANCE")</f>
        <v/>
      </c>
      <c r="G1052" s="26" t="str">
        <f aca="false">IF($M1052=0,"",ST_RESULTATS!$N302)</f>
        <v/>
      </c>
      <c r="H1052" s="26" t="str">
        <f aca="false">IF($G1052="","",IFERROR(INDEX(LOT_EXTE,MATCH($G1052,LOT_KEY,0)),""))</f>
        <v/>
      </c>
      <c r="I1052" s="26" t="str">
        <f aca="false">IF($M1052=0,"",ST_RESULTATS!$J302)</f>
        <v/>
      </c>
      <c r="J1052" s="26" t="str">
        <f aca="false">IF($I1052="","",IFERROR(INDEX(EMPL_CLASSE,MATCH($I1052,EMPL_KEY,0)),""))</f>
        <v/>
      </c>
      <c r="K1052" s="26" t="str">
        <f aca="false">IF($M1052=0,"",IFERROR(INDEX(LOT_PRODE,MATCH($G1052,LOT_KEY,0)),""))</f>
        <v/>
      </c>
      <c r="L1052" s="26" t="str">
        <f aca="false">IF($G1052="","",IF(IFERROR(INDEX(LOT_ETAT,MATCH($G1052,LOT_KEY,0)),"")="","",INDEX(LOT_ETAT,MATCH($G1052,LOT_KEY,0))))</f>
        <v/>
      </c>
      <c r="M1052" s="73" t="n">
        <f aca="false">IF(ST_RESULTATS!$Q302=0,0,ST_RESULTATS!$F302)</f>
        <v>0</v>
      </c>
      <c r="N1052" s="73" t="n">
        <f aca="false">IF($M1052=0,0,ST_RESULTATS!$U302*$M1052)</f>
        <v>0</v>
      </c>
      <c r="O1052" s="26" t="str">
        <f aca="false">IF($M1052=0,"",ST_RESULTATS!$T302)</f>
        <v/>
      </c>
      <c r="P1052" s="26" t="str">
        <f aca="false">IF($G1052="","",IF($G1052=R_LOT,COUNTIF($G$5:$G1052,R_LOT),""))</f>
        <v/>
      </c>
    </row>
    <row r="1053" customFormat="false" ht="15" hidden="false" customHeight="false" outlineLevel="0" collapsed="false">
      <c r="A1053" s="28" t="str">
        <f aca="false">IF($M1053=0,"",ROW()-4)</f>
        <v/>
      </c>
      <c r="B1053" s="26" t="str">
        <f aca="false">IF($M1053=0,"","RESULTAT ST")</f>
        <v/>
      </c>
      <c r="C1053" s="26" t="str">
        <f aca="false">IF($M1053=0,"",ST_RESULTATS!$A303)</f>
        <v/>
      </c>
      <c r="D1053" s="31" t="str">
        <f aca="false">IF($M1053=0,"",ST_RESULTATS!$W303)</f>
        <v/>
      </c>
      <c r="E1053" s="26" t="str">
        <f aca="false">IF($M1053=0,"","ENTREE")</f>
        <v/>
      </c>
      <c r="F1053" s="26" t="str">
        <f aca="false">IF($M1053=0,"","RETOUR SOUS-TRAITANCE")</f>
        <v/>
      </c>
      <c r="G1053" s="26" t="str">
        <f aca="false">IF($M1053=0,"",ST_RESULTATS!$N303)</f>
        <v/>
      </c>
      <c r="H1053" s="26" t="str">
        <f aca="false">IF($G1053="","",IFERROR(INDEX(LOT_EXTE,MATCH($G1053,LOT_KEY,0)),""))</f>
        <v/>
      </c>
      <c r="I1053" s="26" t="str">
        <f aca="false">IF($M1053=0,"",ST_RESULTATS!$J303)</f>
        <v/>
      </c>
      <c r="J1053" s="26" t="str">
        <f aca="false">IF($I1053="","",IFERROR(INDEX(EMPL_CLASSE,MATCH($I1053,EMPL_KEY,0)),""))</f>
        <v/>
      </c>
      <c r="K1053" s="26" t="str">
        <f aca="false">IF($M1053=0,"",IFERROR(INDEX(LOT_PRODE,MATCH($G1053,LOT_KEY,0)),""))</f>
        <v/>
      </c>
      <c r="L1053" s="26" t="str">
        <f aca="false">IF($G1053="","",IF(IFERROR(INDEX(LOT_ETAT,MATCH($G1053,LOT_KEY,0)),"")="","",INDEX(LOT_ETAT,MATCH($G1053,LOT_KEY,0))))</f>
        <v/>
      </c>
      <c r="M1053" s="73" t="n">
        <f aca="false">IF(ST_RESULTATS!$Q303=0,0,ST_RESULTATS!$F303)</f>
        <v>0</v>
      </c>
      <c r="N1053" s="73" t="n">
        <f aca="false">IF($M1053=0,0,ST_RESULTATS!$U303*$M1053)</f>
        <v>0</v>
      </c>
      <c r="O1053" s="26" t="str">
        <f aca="false">IF($M1053=0,"",ST_RESULTATS!$T303)</f>
        <v/>
      </c>
      <c r="P1053" s="26" t="str">
        <f aca="false">IF($G1053="","",IF($G1053=R_LOT,COUNTIF($G$5:$G1053,R_LOT),""))</f>
        <v/>
      </c>
    </row>
    <row r="1054" customFormat="false" ht="15" hidden="false" customHeight="false" outlineLevel="0" collapsed="false">
      <c r="A1054" s="28" t="str">
        <f aca="false">IF($M1054=0,"",ROW()-4)</f>
        <v/>
      </c>
      <c r="B1054" s="26" t="str">
        <f aca="false">IF($M1054=0,"","RESULTAT ST")</f>
        <v/>
      </c>
      <c r="C1054" s="26" t="str">
        <f aca="false">IF($M1054=0,"",ST_RESULTATS!$A304)</f>
        <v/>
      </c>
      <c r="D1054" s="31" t="str">
        <f aca="false">IF($M1054=0,"",ST_RESULTATS!$W304)</f>
        <v/>
      </c>
      <c r="E1054" s="26" t="str">
        <f aca="false">IF($M1054=0,"","ENTREE")</f>
        <v/>
      </c>
      <c r="F1054" s="26" t="str">
        <f aca="false">IF($M1054=0,"","RETOUR SOUS-TRAITANCE")</f>
        <v/>
      </c>
      <c r="G1054" s="26" t="str">
        <f aca="false">IF($M1054=0,"",ST_RESULTATS!$N304)</f>
        <v/>
      </c>
      <c r="H1054" s="26" t="str">
        <f aca="false">IF($G1054="","",IFERROR(INDEX(LOT_EXTE,MATCH($G1054,LOT_KEY,0)),""))</f>
        <v/>
      </c>
      <c r="I1054" s="26" t="str">
        <f aca="false">IF($M1054=0,"",ST_RESULTATS!$J304)</f>
        <v/>
      </c>
      <c r="J1054" s="26" t="str">
        <f aca="false">IF($I1054="","",IFERROR(INDEX(EMPL_CLASSE,MATCH($I1054,EMPL_KEY,0)),""))</f>
        <v/>
      </c>
      <c r="K1054" s="26" t="str">
        <f aca="false">IF($M1054=0,"",IFERROR(INDEX(LOT_PRODE,MATCH($G1054,LOT_KEY,0)),""))</f>
        <v/>
      </c>
      <c r="L1054" s="26" t="str">
        <f aca="false">IF($G1054="","",IF(IFERROR(INDEX(LOT_ETAT,MATCH($G1054,LOT_KEY,0)),"")="","",INDEX(LOT_ETAT,MATCH($G1054,LOT_KEY,0))))</f>
        <v/>
      </c>
      <c r="M1054" s="73" t="n">
        <f aca="false">IF(ST_RESULTATS!$Q304=0,0,ST_RESULTATS!$F304)</f>
        <v>0</v>
      </c>
      <c r="N1054" s="73" t="n">
        <f aca="false">IF($M1054=0,0,ST_RESULTATS!$U304*$M1054)</f>
        <v>0</v>
      </c>
      <c r="O1054" s="26" t="str">
        <f aca="false">IF($M1054=0,"",ST_RESULTATS!$T304)</f>
        <v/>
      </c>
      <c r="P1054" s="26" t="str">
        <f aca="false">IF($G1054="","",IF($G1054=R_LOT,COUNTIF($G$5:$G1054,R_LOT),""))</f>
        <v/>
      </c>
    </row>
  </sheetData>
  <autoFilter ref="A4:N1054"/>
  <mergeCells count="3">
    <mergeCell ref="A1:P1"/>
    <mergeCell ref="A2:P2"/>
    <mergeCell ref="A3:P3"/>
  </mergeCells>
  <conditionalFormatting sqref="O5:O1054">
    <cfRule type="cellIs" priority="2" operator="equal" aboveAverage="0" equalAverage="0" bottom="0" percent="0" rank="0" text="" dxfId="9">
      <formula>"OK"</formula>
    </cfRule>
    <cfRule type="cellIs" priority="3" operator="equal" aboveAverage="0" equalAverage="0" bottom="0" percent="0" rank="0" text="" dxfId="10">
      <formula>"EN COURS"</formula>
    </cfRule>
    <cfRule type="cellIs" priority="4" operator="equal" aboveAverage="0" equalAverage="0" bottom="0" percent="0" rank="0" text="" dxfId="11">
      <formula>"A JUSTIFIER"</formula>
    </cfRule>
    <cfRule type="cellIs" priority="5" operator="equal" aboveAverage="0" equalAverage="0" bottom="0" percent="0" rank="0" text="" dxfId="12">
      <formula>"DONNEES MANQUANTES"</formula>
    </cfRule>
    <cfRule type="cellIs" priority="6" operator="equal" aboveAverage="0" equalAverage="0" bottom="0" percent="0" rank="0" text="" dxfId="13">
      <formula>"STOCK INSUFFISANT"</formula>
    </cfRule>
    <cfRule type="cellIs" priority="7" operator="equal" aboveAverage="0" equalAverage="0" bottom="0" percent="0" rank="0" text="" dxfId="13">
      <formula>"EMPLACEMENT INCOHERENT"</formula>
    </cfRule>
    <cfRule type="cellIs" priority="8" operator="equal" aboveAverage="0" equalAverage="0" bottom="0" percent="0" rank="0" text="" dxfId="13">
      <formula>"BLOQUE"</formula>
    </cfRule>
    <cfRule type="cellIs" priority="9" operator="equal" aboveAverage="0" equalAverage="0" bottom="0" percent="0" rank="0" text="" dxfId="13">
      <formula>"INCOHERENCE"</formula>
    </cfRule>
    <cfRule type="cellIs" priority="10" operator="equal" aboveAverage="0" equalAverage="0" bottom="0" percent="0" rank="0" text="" dxfId="11">
      <formula>"LOT EN DOUBLE"</formula>
    </cfRule>
  </conditionalFormatting>
  <conditionalFormatting sqref="N5:N1054">
    <cfRule type="expression" priority="11" aboveAverage="0" equalAverage="0" bottom="0" percent="0" rank="0" text="" dxfId="26">
      <formula>AND($M5&lt;&gt;0,$N5=0)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AA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2"/>
    <col collapsed="false" customWidth="true" hidden="false" outlineLevel="0" max="4" min="4" style="0" width="24"/>
    <col collapsed="false" customWidth="true" hidden="false" outlineLevel="0" max="5" min="5" style="0" width="2"/>
    <col collapsed="false" customWidth="true" hidden="false" outlineLevel="0" max="6" min="6" style="0" width="24"/>
    <col collapsed="false" customWidth="true" hidden="false" outlineLevel="0" max="7" min="7" style="0" width="2"/>
    <col collapsed="false" customWidth="true" hidden="false" outlineLevel="0" max="8" min="8" style="0" width="24"/>
    <col collapsed="false" customWidth="true" hidden="false" outlineLevel="0" max="9" min="9" style="0" width="2"/>
    <col collapsed="false" customWidth="true" hidden="false" outlineLevel="0" max="10" min="10" style="0" width="24"/>
    <col collapsed="false" customWidth="true" hidden="false" outlineLevel="0" max="11" min="11" style="0" width="2"/>
    <col collapsed="false" customWidth="true" hidden="false" outlineLevel="0" max="12" min="12" style="0" width="24"/>
    <col collapsed="false" customWidth="true" hidden="false" outlineLevel="0" max="13" min="13" style="0" width="2"/>
    <col collapsed="false" customWidth="true" hidden="false" outlineLevel="0" max="14" min="14" style="0" width="24"/>
    <col collapsed="false" customWidth="true" hidden="false" outlineLevel="0" max="15" min="15" style="0" width="2"/>
    <col collapsed="false" customWidth="true" hidden="false" outlineLevel="0" max="16" min="16" style="0" width="24"/>
    <col collapsed="false" customWidth="true" hidden="false" outlineLevel="0" max="17" min="17" style="0" width="2"/>
    <col collapsed="false" customWidth="true" hidden="false" outlineLevel="0" max="18" min="18" style="0" width="24"/>
    <col collapsed="false" customWidth="true" hidden="false" outlineLevel="0" max="19" min="19" style="0" width="2"/>
    <col collapsed="false" customWidth="true" hidden="false" outlineLevel="0" max="20" min="20" style="0" width="24"/>
    <col collapsed="false" customWidth="true" hidden="false" outlineLevel="0" max="21" min="21" style="0" width="2"/>
    <col collapsed="false" customWidth="true" hidden="false" outlineLevel="0" max="22" min="22" style="0" width="24"/>
    <col collapsed="false" customWidth="true" hidden="false" outlineLevel="0" max="23" min="23" style="0" width="2"/>
    <col collapsed="false" customWidth="true" hidden="false" outlineLevel="0" max="24" min="24" style="0" width="24"/>
    <col collapsed="false" customWidth="true" hidden="false" outlineLevel="0" max="25" min="25" style="0" width="2"/>
    <col collapsed="false" customWidth="true" hidden="false" outlineLevel="0" max="26" min="26" style="0" width="24"/>
    <col collapsed="false" customWidth="true" hidden="false" outlineLevel="0" max="27" min="27" style="0" width="2"/>
  </cols>
  <sheetData>
    <row r="1" customFormat="false" ht="30" hidden="false" customHeight="true" outlineLevel="0" collapsed="false">
      <c r="A1" s="1" t="s">
        <v>320</v>
      </c>
      <c r="B1" s="1"/>
      <c r="C1" s="1"/>
      <c r="D1" s="1"/>
      <c r="E1" s="1"/>
      <c r="F1" s="1"/>
      <c r="G1" s="1"/>
      <c r="H1" s="1"/>
      <c r="I1" s="1"/>
      <c r="J1" s="1"/>
      <c r="K1" s="1"/>
      <c r="L1" s="1"/>
      <c r="M1" s="1"/>
      <c r="N1" s="1"/>
      <c r="O1" s="1"/>
      <c r="P1" s="1"/>
      <c r="Q1" s="1"/>
      <c r="R1" s="1"/>
      <c r="S1" s="1"/>
      <c r="T1" s="1"/>
      <c r="U1" s="1"/>
      <c r="V1" s="1"/>
      <c r="W1" s="1"/>
      <c r="X1" s="1"/>
      <c r="Y1" s="1"/>
      <c r="Z1" s="1"/>
      <c r="AA1" s="1"/>
    </row>
    <row r="2" customFormat="false" ht="18" hidden="false" customHeight="true" outlineLevel="0" collapsed="false">
      <c r="A2" s="2" t="s">
        <v>321</v>
      </c>
      <c r="B2" s="2"/>
      <c r="C2" s="2"/>
      <c r="D2" s="2"/>
      <c r="E2" s="2"/>
      <c r="F2" s="2"/>
      <c r="G2" s="2"/>
      <c r="H2" s="2"/>
      <c r="I2" s="2"/>
      <c r="J2" s="2"/>
      <c r="K2" s="2"/>
      <c r="L2" s="2"/>
      <c r="M2" s="2"/>
      <c r="N2" s="2"/>
      <c r="O2" s="2"/>
      <c r="P2" s="2"/>
      <c r="Q2" s="2"/>
      <c r="R2" s="2"/>
      <c r="S2" s="2"/>
      <c r="T2" s="2"/>
      <c r="U2" s="2"/>
      <c r="V2" s="2"/>
      <c r="W2" s="2"/>
      <c r="X2" s="2"/>
      <c r="Y2" s="2"/>
      <c r="Z2" s="2"/>
      <c r="AA2" s="2"/>
    </row>
    <row r="4" customFormat="false" ht="19.5" hidden="false" customHeight="true" outlineLevel="0" collapsed="false">
      <c r="A4" s="3" t="s">
        <v>322</v>
      </c>
      <c r="B4" s="3"/>
      <c r="C4" s="3"/>
      <c r="D4" s="3"/>
      <c r="E4" s="3"/>
      <c r="F4" s="3"/>
      <c r="G4" s="3"/>
      <c r="H4" s="3"/>
      <c r="I4" s="3"/>
      <c r="J4" s="3"/>
      <c r="K4" s="3"/>
      <c r="L4" s="3"/>
      <c r="M4" s="3"/>
      <c r="N4" s="3"/>
      <c r="O4" s="3"/>
      <c r="P4" s="3"/>
      <c r="Q4" s="3"/>
      <c r="R4" s="3"/>
      <c r="S4" s="3"/>
      <c r="T4" s="3"/>
      <c r="U4" s="3"/>
      <c r="V4" s="3"/>
      <c r="W4" s="3"/>
      <c r="X4" s="3"/>
      <c r="Y4" s="3"/>
      <c r="Z4" s="3"/>
      <c r="AA4" s="3"/>
    </row>
    <row r="5" customFormat="false" ht="27.75" hidden="false" customHeight="true" outlineLevel="0" collapsed="false">
      <c r="B5" s="40" t="s">
        <v>226</v>
      </c>
      <c r="C5" s="40" t="s">
        <v>265</v>
      </c>
      <c r="D5" s="40" t="s">
        <v>323</v>
      </c>
      <c r="F5" s="22" t="s">
        <v>324</v>
      </c>
      <c r="H5" s="22" t="s">
        <v>54</v>
      </c>
      <c r="J5" s="22" t="s">
        <v>55</v>
      </c>
      <c r="L5" s="22" t="s">
        <v>57</v>
      </c>
      <c r="N5" s="22" t="s">
        <v>58</v>
      </c>
      <c r="P5" s="22" t="s">
        <v>325</v>
      </c>
      <c r="R5" s="22" t="s">
        <v>326</v>
      </c>
      <c r="T5" s="22" t="s">
        <v>327</v>
      </c>
      <c r="V5" s="22" t="s">
        <v>328</v>
      </c>
      <c r="X5" s="22" t="s">
        <v>181</v>
      </c>
      <c r="Z5" s="22" t="s">
        <v>227</v>
      </c>
    </row>
    <row r="6" customFormat="false" ht="15" hidden="false" customHeight="false" outlineLevel="0" collapsed="false">
      <c r="B6" s="24" t="s">
        <v>151</v>
      </c>
      <c r="C6" s="24" t="s">
        <v>329</v>
      </c>
      <c r="D6" s="24" t="s">
        <v>330</v>
      </c>
      <c r="F6" s="24" t="s">
        <v>80</v>
      </c>
      <c r="H6" s="24" t="s">
        <v>81</v>
      </c>
      <c r="J6" s="24" t="s">
        <v>111</v>
      </c>
      <c r="L6" s="24" t="s">
        <v>84</v>
      </c>
      <c r="N6" s="24" t="s">
        <v>100</v>
      </c>
      <c r="P6" s="24" t="s">
        <v>86</v>
      </c>
      <c r="R6" s="24" t="s">
        <v>87</v>
      </c>
      <c r="T6" s="24" t="s">
        <v>154</v>
      </c>
      <c r="V6" s="24" t="s">
        <v>242</v>
      </c>
      <c r="X6" s="24" t="s">
        <v>195</v>
      </c>
      <c r="Z6" s="24" t="s">
        <v>238</v>
      </c>
    </row>
    <row r="7" customFormat="false" ht="15" hidden="false" customHeight="false" outlineLevel="0" collapsed="false">
      <c r="B7" s="24" t="s">
        <v>154</v>
      </c>
      <c r="C7" s="24" t="s">
        <v>331</v>
      </c>
      <c r="D7" s="24" t="s">
        <v>332</v>
      </c>
      <c r="F7" s="24" t="s">
        <v>91</v>
      </c>
      <c r="H7" s="24" t="s">
        <v>110</v>
      </c>
      <c r="J7" s="24" t="s">
        <v>93</v>
      </c>
      <c r="L7" s="24" t="s">
        <v>124</v>
      </c>
      <c r="N7" s="24" t="s">
        <v>85</v>
      </c>
      <c r="P7" s="24" t="s">
        <v>95</v>
      </c>
      <c r="R7" s="24" t="s">
        <v>96</v>
      </c>
      <c r="T7" s="24" t="s">
        <v>333</v>
      </c>
      <c r="V7" s="24" t="s">
        <v>334</v>
      </c>
      <c r="X7" s="24" t="s">
        <v>335</v>
      </c>
      <c r="Z7" s="24" t="s">
        <v>150</v>
      </c>
    </row>
    <row r="8" customFormat="false" ht="15" hidden="false" customHeight="false" outlineLevel="0" collapsed="false">
      <c r="B8" s="24" t="s">
        <v>333</v>
      </c>
      <c r="C8" s="24" t="s">
        <v>331</v>
      </c>
      <c r="D8" s="24" t="s">
        <v>332</v>
      </c>
      <c r="F8" s="24" t="s">
        <v>336</v>
      </c>
      <c r="H8" s="24" t="s">
        <v>92</v>
      </c>
      <c r="J8" s="24" t="s">
        <v>82</v>
      </c>
      <c r="L8" s="24" t="s">
        <v>127</v>
      </c>
      <c r="N8" s="24"/>
      <c r="P8" s="24" t="s">
        <v>337</v>
      </c>
      <c r="R8" s="24" t="s">
        <v>338</v>
      </c>
      <c r="T8" s="24" t="s">
        <v>218</v>
      </c>
      <c r="V8" s="24" t="s">
        <v>251</v>
      </c>
      <c r="X8" s="24" t="s">
        <v>339</v>
      </c>
      <c r="Z8" s="24" t="s">
        <v>246</v>
      </c>
    </row>
    <row r="9" customFormat="false" ht="15" hidden="false" customHeight="false" outlineLevel="0" collapsed="false">
      <c r="B9" s="24" t="s">
        <v>218</v>
      </c>
      <c r="C9" s="24" t="s">
        <v>331</v>
      </c>
      <c r="D9" s="24" t="s">
        <v>332</v>
      </c>
      <c r="F9" s="24" t="s">
        <v>109</v>
      </c>
      <c r="H9" s="24" t="s">
        <v>340</v>
      </c>
      <c r="J9" s="24" t="s">
        <v>341</v>
      </c>
      <c r="L9" s="24" t="s">
        <v>130</v>
      </c>
      <c r="N9" s="24"/>
      <c r="P9" s="24" t="s">
        <v>239</v>
      </c>
      <c r="R9" s="24" t="s">
        <v>342</v>
      </c>
      <c r="T9" s="24" t="s">
        <v>245</v>
      </c>
      <c r="V9" s="24" t="s">
        <v>254</v>
      </c>
      <c r="X9" s="24" t="s">
        <v>343</v>
      </c>
      <c r="Z9" s="24" t="s">
        <v>344</v>
      </c>
    </row>
    <row r="10" customFormat="false" ht="15" hidden="false" customHeight="false" outlineLevel="0" collapsed="false">
      <c r="B10" s="24" t="s">
        <v>245</v>
      </c>
      <c r="C10" s="24" t="s">
        <v>331</v>
      </c>
      <c r="D10" s="24" t="s">
        <v>332</v>
      </c>
      <c r="F10" s="24" t="s">
        <v>120</v>
      </c>
      <c r="H10" s="24"/>
      <c r="J10" s="24" t="s">
        <v>104</v>
      </c>
      <c r="L10" s="24" t="s">
        <v>345</v>
      </c>
      <c r="N10" s="24"/>
      <c r="P10" s="24"/>
      <c r="R10" s="24" t="s">
        <v>240</v>
      </c>
      <c r="T10" s="24" t="s">
        <v>346</v>
      </c>
      <c r="V10" s="24"/>
      <c r="X10" s="24" t="s">
        <v>347</v>
      </c>
      <c r="Z10" s="24" t="s">
        <v>348</v>
      </c>
    </row>
    <row r="11" customFormat="false" ht="15" hidden="false" customHeight="false" outlineLevel="0" collapsed="false">
      <c r="B11" s="24" t="s">
        <v>346</v>
      </c>
      <c r="C11" s="24" t="s">
        <v>331</v>
      </c>
      <c r="D11" s="24" t="s">
        <v>332</v>
      </c>
      <c r="F11" s="24"/>
      <c r="H11" s="24"/>
      <c r="J11" s="24"/>
      <c r="L11" s="24" t="s">
        <v>349</v>
      </c>
      <c r="N11" s="24"/>
      <c r="P11" s="24"/>
      <c r="R11" s="24"/>
      <c r="T11" s="24" t="s">
        <v>350</v>
      </c>
      <c r="V11" s="24"/>
      <c r="X11" s="24" t="s">
        <v>351</v>
      </c>
      <c r="Z11" s="24"/>
    </row>
    <row r="12" customFormat="false" ht="15" hidden="false" customHeight="false" outlineLevel="0" collapsed="false">
      <c r="B12" s="24" t="s">
        <v>350</v>
      </c>
      <c r="C12" s="24" t="s">
        <v>331</v>
      </c>
      <c r="D12" s="24" t="s">
        <v>332</v>
      </c>
      <c r="F12" s="24"/>
      <c r="H12" s="24"/>
      <c r="J12" s="24"/>
      <c r="L12" s="24"/>
      <c r="N12" s="24"/>
      <c r="P12" s="24"/>
      <c r="R12" s="24"/>
      <c r="T12" s="24" t="s">
        <v>352</v>
      </c>
      <c r="V12" s="24"/>
      <c r="X12" s="24" t="s">
        <v>349</v>
      </c>
      <c r="Z12" s="24"/>
    </row>
    <row r="13" customFormat="false" ht="15" hidden="false" customHeight="false" outlineLevel="0" collapsed="false">
      <c r="B13" s="24" t="s">
        <v>352</v>
      </c>
      <c r="C13" s="24" t="s">
        <v>331</v>
      </c>
      <c r="D13" s="24" t="s">
        <v>332</v>
      </c>
      <c r="F13" s="24"/>
      <c r="H13" s="24"/>
      <c r="J13" s="24"/>
      <c r="L13" s="24"/>
      <c r="N13" s="24"/>
      <c r="P13" s="24"/>
      <c r="R13" s="24"/>
      <c r="T13" s="24" t="s">
        <v>353</v>
      </c>
      <c r="V13" s="24"/>
      <c r="X13" s="24"/>
      <c r="Z13" s="24"/>
    </row>
    <row r="14" customFormat="false" ht="15" hidden="false" customHeight="false" outlineLevel="0" collapsed="false">
      <c r="B14" s="24" t="s">
        <v>353</v>
      </c>
      <c r="C14" s="24" t="s">
        <v>331</v>
      </c>
      <c r="D14" s="24" t="s">
        <v>332</v>
      </c>
      <c r="F14" s="24"/>
      <c r="H14" s="24"/>
      <c r="J14" s="24"/>
      <c r="L14" s="24"/>
      <c r="N14" s="24"/>
      <c r="P14" s="24"/>
      <c r="R14" s="24"/>
      <c r="T14" s="24" t="s">
        <v>197</v>
      </c>
      <c r="V14" s="24"/>
      <c r="X14" s="24"/>
      <c r="Z14" s="24"/>
    </row>
    <row r="15" customFormat="false" ht="15" hidden="false" customHeight="false" outlineLevel="0" collapsed="false">
      <c r="B15" s="24" t="s">
        <v>354</v>
      </c>
      <c r="C15" s="24" t="s">
        <v>331</v>
      </c>
      <c r="D15" s="24" t="s">
        <v>355</v>
      </c>
      <c r="F15" s="24"/>
      <c r="H15" s="24"/>
      <c r="J15" s="24"/>
      <c r="L15" s="24"/>
      <c r="N15" s="24"/>
      <c r="P15" s="24"/>
      <c r="R15" s="24"/>
      <c r="T15" s="24" t="s">
        <v>189</v>
      </c>
      <c r="V15" s="24"/>
      <c r="X15" s="24"/>
      <c r="Z15" s="24"/>
    </row>
    <row r="16" customFormat="false" ht="15" hidden="false" customHeight="false" outlineLevel="0" collapsed="false">
      <c r="B16" s="24"/>
      <c r="C16" s="24"/>
      <c r="D16" s="24"/>
      <c r="F16" s="24"/>
      <c r="H16" s="24"/>
      <c r="J16" s="24"/>
      <c r="L16" s="24"/>
      <c r="N16" s="24"/>
      <c r="P16" s="24"/>
      <c r="R16" s="24"/>
      <c r="T16" s="24"/>
      <c r="V16" s="24"/>
      <c r="X16" s="24"/>
      <c r="Z16" s="24"/>
    </row>
    <row r="17" customFormat="false" ht="15" hidden="false" customHeight="false" outlineLevel="0" collapsed="false">
      <c r="B17" s="24"/>
      <c r="C17" s="24"/>
      <c r="D17" s="24"/>
      <c r="F17" s="24"/>
      <c r="H17" s="24"/>
      <c r="J17" s="24"/>
      <c r="L17" s="24"/>
      <c r="N17" s="24"/>
      <c r="P17" s="24"/>
      <c r="R17" s="24"/>
      <c r="T17" s="24"/>
      <c r="V17" s="24"/>
      <c r="X17" s="24"/>
      <c r="Z17" s="24"/>
    </row>
    <row r="18" customFormat="false" ht="15" hidden="false" customHeight="false" outlineLevel="0" collapsed="false">
      <c r="B18" s="24"/>
      <c r="C18" s="24"/>
      <c r="D18" s="24"/>
      <c r="F18" s="24"/>
      <c r="H18" s="24"/>
      <c r="J18" s="24"/>
      <c r="L18" s="24"/>
      <c r="N18" s="24"/>
      <c r="P18" s="24"/>
      <c r="R18" s="24"/>
      <c r="T18" s="24"/>
      <c r="V18" s="24"/>
      <c r="X18" s="24"/>
      <c r="Z18" s="24"/>
    </row>
    <row r="19" customFormat="false" ht="15" hidden="false" customHeight="false" outlineLevel="0" collapsed="false">
      <c r="B19" s="24"/>
      <c r="C19" s="24"/>
      <c r="D19" s="24"/>
      <c r="F19" s="24"/>
      <c r="H19" s="24"/>
      <c r="J19" s="24"/>
      <c r="L19" s="24"/>
      <c r="N19" s="24"/>
      <c r="P19" s="24"/>
      <c r="R19" s="24"/>
      <c r="T19" s="24"/>
      <c r="V19" s="24"/>
      <c r="X19" s="24"/>
      <c r="Z19" s="24"/>
    </row>
    <row r="20" customFormat="false" ht="15" hidden="false" customHeight="false" outlineLevel="0" collapsed="false">
      <c r="B20" s="24"/>
      <c r="C20" s="24"/>
      <c r="D20" s="24"/>
      <c r="F20" s="24"/>
      <c r="H20" s="24"/>
      <c r="J20" s="24"/>
      <c r="L20" s="24"/>
      <c r="N20" s="24"/>
      <c r="P20" s="24"/>
      <c r="R20" s="24"/>
      <c r="T20" s="24"/>
      <c r="V20" s="24"/>
      <c r="X20" s="24"/>
      <c r="Z20" s="24"/>
    </row>
    <row r="21" customFormat="false" ht="15" hidden="false" customHeight="false" outlineLevel="0" collapsed="false">
      <c r="B21" s="24"/>
      <c r="C21" s="24"/>
      <c r="D21" s="24"/>
      <c r="F21" s="24"/>
      <c r="H21" s="24"/>
      <c r="J21" s="24"/>
      <c r="L21" s="24"/>
      <c r="N21" s="24"/>
      <c r="P21" s="24"/>
      <c r="R21" s="24"/>
      <c r="T21" s="24"/>
      <c r="V21" s="24"/>
      <c r="X21" s="24"/>
      <c r="Z21" s="24"/>
    </row>
    <row r="22" customFormat="false" ht="15" hidden="false" customHeight="false" outlineLevel="0" collapsed="false">
      <c r="B22" s="24"/>
      <c r="C22" s="24"/>
      <c r="D22" s="24"/>
      <c r="F22" s="24"/>
      <c r="H22" s="24"/>
      <c r="J22" s="24"/>
      <c r="L22" s="24"/>
      <c r="N22" s="24"/>
      <c r="P22" s="24"/>
      <c r="R22" s="24"/>
      <c r="T22" s="24"/>
      <c r="V22" s="24"/>
      <c r="X22" s="24"/>
      <c r="Z22" s="24"/>
    </row>
    <row r="23" customFormat="false" ht="15" hidden="false" customHeight="false" outlineLevel="0" collapsed="false">
      <c r="B23" s="24"/>
      <c r="C23" s="24"/>
      <c r="D23" s="24"/>
      <c r="F23" s="24"/>
      <c r="H23" s="24"/>
      <c r="J23" s="24"/>
      <c r="L23" s="24"/>
      <c r="N23" s="24"/>
      <c r="P23" s="24"/>
      <c r="R23" s="24"/>
      <c r="T23" s="24"/>
      <c r="V23" s="24"/>
      <c r="X23" s="24"/>
      <c r="Z23" s="24"/>
    </row>
    <row r="24" customFormat="false" ht="15" hidden="false" customHeight="false" outlineLevel="0" collapsed="false">
      <c r="B24" s="24"/>
      <c r="C24" s="24"/>
      <c r="D24" s="24"/>
      <c r="F24" s="24"/>
      <c r="H24" s="24"/>
      <c r="J24" s="24"/>
      <c r="L24" s="24"/>
      <c r="N24" s="24"/>
      <c r="P24" s="24"/>
      <c r="R24" s="24"/>
      <c r="T24" s="24"/>
      <c r="V24" s="24"/>
      <c r="X24" s="24"/>
      <c r="Z24" s="24"/>
    </row>
    <row r="25" customFormat="false" ht="15" hidden="false" customHeight="false" outlineLevel="0" collapsed="false">
      <c r="B25" s="24"/>
      <c r="C25" s="24"/>
      <c r="D25" s="24"/>
      <c r="F25" s="24"/>
      <c r="H25" s="24"/>
      <c r="J25" s="24"/>
      <c r="L25" s="24"/>
      <c r="N25" s="24"/>
      <c r="P25" s="24"/>
      <c r="R25" s="24"/>
      <c r="T25" s="24"/>
      <c r="V25" s="24"/>
      <c r="X25" s="24"/>
      <c r="Z25" s="24"/>
    </row>
    <row r="26" customFormat="false" ht="15" hidden="false" customHeight="false" outlineLevel="0" collapsed="false">
      <c r="B26" s="24"/>
      <c r="C26" s="24"/>
      <c r="D26" s="24"/>
      <c r="F26" s="24"/>
      <c r="H26" s="24"/>
      <c r="J26" s="24"/>
      <c r="L26" s="24"/>
      <c r="N26" s="24"/>
      <c r="P26" s="24"/>
      <c r="R26" s="24"/>
      <c r="T26" s="24"/>
      <c r="V26" s="24"/>
      <c r="X26" s="24"/>
      <c r="Z26" s="24"/>
    </row>
    <row r="27" customFormat="false" ht="15" hidden="false" customHeight="false" outlineLevel="0" collapsed="false">
      <c r="B27" s="24"/>
      <c r="C27" s="24"/>
      <c r="D27" s="24"/>
      <c r="F27" s="24"/>
      <c r="H27" s="24"/>
      <c r="J27" s="24"/>
      <c r="L27" s="24"/>
      <c r="N27" s="24"/>
      <c r="P27" s="24"/>
      <c r="R27" s="24"/>
      <c r="T27" s="24"/>
      <c r="V27" s="24"/>
      <c r="X27" s="24"/>
      <c r="Z27" s="24"/>
    </row>
    <row r="28" customFormat="false" ht="15" hidden="false" customHeight="false" outlineLevel="0" collapsed="false">
      <c r="B28" s="24"/>
      <c r="C28" s="24"/>
      <c r="D28" s="24"/>
      <c r="F28" s="24"/>
      <c r="H28" s="24"/>
      <c r="J28" s="24"/>
      <c r="L28" s="24"/>
      <c r="N28" s="24"/>
      <c r="P28" s="24"/>
      <c r="R28" s="24"/>
      <c r="T28" s="24"/>
      <c r="V28" s="24"/>
      <c r="X28" s="24"/>
      <c r="Z28" s="24"/>
    </row>
    <row r="29" customFormat="false" ht="15" hidden="false" customHeight="false" outlineLevel="0" collapsed="false">
      <c r="B29" s="24"/>
      <c r="C29" s="24"/>
      <c r="D29" s="24"/>
      <c r="F29" s="24"/>
      <c r="H29" s="24"/>
      <c r="J29" s="24"/>
      <c r="L29" s="24"/>
      <c r="N29" s="24"/>
      <c r="P29" s="24"/>
      <c r="R29" s="24"/>
      <c r="T29" s="24"/>
      <c r="V29" s="24"/>
      <c r="X29" s="24"/>
      <c r="Z29" s="24"/>
    </row>
    <row r="30" customFormat="false" ht="15" hidden="false" customHeight="false" outlineLevel="0" collapsed="false">
      <c r="B30" s="24"/>
      <c r="C30" s="24"/>
      <c r="D30" s="24"/>
      <c r="F30" s="24"/>
      <c r="H30" s="24"/>
      <c r="J30" s="24"/>
      <c r="L30" s="24"/>
      <c r="N30" s="24"/>
      <c r="P30" s="24"/>
      <c r="R30" s="24"/>
      <c r="T30" s="24"/>
      <c r="V30" s="24"/>
      <c r="X30" s="24"/>
      <c r="Z30" s="24"/>
    </row>
    <row r="31" customFormat="false" ht="15" hidden="false" customHeight="false" outlineLevel="0" collapsed="false">
      <c r="B31" s="24"/>
      <c r="C31" s="24"/>
      <c r="D31" s="24"/>
      <c r="F31" s="24"/>
      <c r="H31" s="24"/>
      <c r="J31" s="24"/>
      <c r="L31" s="24"/>
      <c r="N31" s="24"/>
      <c r="P31" s="24"/>
      <c r="R31" s="24"/>
      <c r="T31" s="24"/>
      <c r="V31" s="24"/>
      <c r="X31" s="24"/>
      <c r="Z31" s="24"/>
    </row>
    <row r="32" customFormat="false" ht="15" hidden="false" customHeight="false" outlineLevel="0" collapsed="false">
      <c r="B32" s="24"/>
      <c r="C32" s="24"/>
      <c r="D32" s="24"/>
      <c r="F32" s="24"/>
      <c r="H32" s="24"/>
      <c r="J32" s="24"/>
      <c r="L32" s="24"/>
      <c r="N32" s="24"/>
      <c r="P32" s="24"/>
      <c r="R32" s="24"/>
      <c r="T32" s="24"/>
      <c r="V32" s="24"/>
      <c r="X32" s="24"/>
      <c r="Z32" s="24"/>
    </row>
    <row r="33" customFormat="false" ht="15" hidden="false" customHeight="false" outlineLevel="0" collapsed="false">
      <c r="B33" s="24"/>
      <c r="C33" s="24"/>
      <c r="D33" s="24"/>
      <c r="F33" s="24"/>
      <c r="H33" s="24"/>
      <c r="J33" s="24"/>
      <c r="L33" s="24"/>
      <c r="N33" s="24"/>
      <c r="P33" s="24"/>
      <c r="R33" s="24"/>
      <c r="T33" s="24"/>
      <c r="V33" s="24"/>
      <c r="X33" s="24"/>
      <c r="Z33" s="24"/>
    </row>
    <row r="34" customFormat="false" ht="15" hidden="false" customHeight="false" outlineLevel="0" collapsed="false">
      <c r="B34" s="24"/>
      <c r="C34" s="24"/>
      <c r="D34" s="24"/>
      <c r="F34" s="24"/>
      <c r="H34" s="24"/>
      <c r="J34" s="24"/>
      <c r="L34" s="24"/>
      <c r="N34" s="24"/>
      <c r="P34" s="24"/>
      <c r="R34" s="24"/>
      <c r="T34" s="24"/>
      <c r="V34" s="24"/>
      <c r="X34" s="24"/>
      <c r="Z34" s="24"/>
    </row>
    <row r="35" customFormat="false" ht="15" hidden="false" customHeight="false" outlineLevel="0" collapsed="false">
      <c r="B35" s="24"/>
      <c r="C35" s="24"/>
      <c r="D35" s="24"/>
      <c r="F35" s="24"/>
      <c r="H35" s="24"/>
      <c r="J35" s="24"/>
      <c r="L35" s="24"/>
      <c r="N35" s="24"/>
      <c r="P35" s="24"/>
      <c r="R35" s="24"/>
      <c r="T35" s="24"/>
      <c r="V35" s="24"/>
      <c r="X35" s="24"/>
      <c r="Z35" s="24"/>
    </row>
    <row r="36" customFormat="false" ht="15" hidden="false" customHeight="false" outlineLevel="0" collapsed="false">
      <c r="B36" s="24"/>
      <c r="C36" s="24"/>
      <c r="D36" s="24"/>
      <c r="F36" s="24"/>
      <c r="H36" s="24"/>
      <c r="J36" s="24"/>
      <c r="L36" s="24"/>
      <c r="N36" s="24"/>
      <c r="P36" s="24"/>
      <c r="R36" s="24"/>
      <c r="T36" s="24"/>
      <c r="V36" s="24"/>
      <c r="X36" s="24"/>
      <c r="Z36" s="24"/>
    </row>
    <row r="37" customFormat="false" ht="15" hidden="false" customHeight="false" outlineLevel="0" collapsed="false">
      <c r="B37" s="24"/>
      <c r="C37" s="24"/>
      <c r="D37" s="24"/>
      <c r="F37" s="24"/>
      <c r="H37" s="24"/>
      <c r="J37" s="24"/>
      <c r="L37" s="24"/>
      <c r="N37" s="24"/>
      <c r="P37" s="24"/>
      <c r="R37" s="24"/>
      <c r="T37" s="24"/>
      <c r="V37" s="24"/>
      <c r="X37" s="24"/>
      <c r="Z37" s="24"/>
    </row>
    <row r="38" customFormat="false" ht="15" hidden="false" customHeight="false" outlineLevel="0" collapsed="false">
      <c r="B38" s="24"/>
      <c r="C38" s="24"/>
      <c r="D38" s="24"/>
      <c r="F38" s="24"/>
      <c r="H38" s="24"/>
      <c r="J38" s="24"/>
      <c r="L38" s="24"/>
      <c r="N38" s="24"/>
      <c r="P38" s="24"/>
      <c r="R38" s="24"/>
      <c r="T38" s="24"/>
      <c r="V38" s="24"/>
      <c r="X38" s="24"/>
      <c r="Z38" s="24"/>
    </row>
    <row r="39" customFormat="false" ht="15" hidden="false" customHeight="false" outlineLevel="0" collapsed="false">
      <c r="B39" s="24"/>
      <c r="C39" s="24"/>
      <c r="D39" s="24"/>
      <c r="F39" s="24"/>
      <c r="H39" s="24"/>
      <c r="J39" s="24"/>
      <c r="L39" s="24"/>
      <c r="N39" s="24"/>
      <c r="P39" s="24"/>
      <c r="R39" s="24"/>
      <c r="T39" s="24"/>
      <c r="V39" s="24"/>
      <c r="X39" s="24"/>
      <c r="Z39" s="24"/>
    </row>
    <row r="40" customFormat="false" ht="15" hidden="false" customHeight="false" outlineLevel="0" collapsed="false">
      <c r="B40" s="24"/>
      <c r="C40" s="24"/>
      <c r="D40" s="24"/>
      <c r="F40" s="24"/>
      <c r="H40" s="24"/>
      <c r="J40" s="24"/>
      <c r="L40" s="24"/>
      <c r="N40" s="24"/>
      <c r="P40" s="24"/>
      <c r="R40" s="24"/>
      <c r="T40" s="24"/>
      <c r="V40" s="24"/>
      <c r="X40" s="24"/>
      <c r="Z40" s="24"/>
    </row>
    <row r="41" customFormat="false" ht="15" hidden="false" customHeight="false" outlineLevel="0" collapsed="false">
      <c r="B41" s="24"/>
      <c r="C41" s="24"/>
      <c r="D41" s="24"/>
      <c r="F41" s="24"/>
      <c r="H41" s="24"/>
      <c r="J41" s="24"/>
      <c r="L41" s="24"/>
      <c r="N41" s="24"/>
      <c r="P41" s="24"/>
      <c r="R41" s="24"/>
      <c r="T41" s="24"/>
      <c r="V41" s="24"/>
      <c r="X41" s="24"/>
      <c r="Z41" s="24"/>
    </row>
    <row r="42" customFormat="false" ht="15" hidden="false" customHeight="false" outlineLevel="0" collapsed="false">
      <c r="B42" s="24"/>
      <c r="C42" s="24"/>
      <c r="D42" s="24"/>
      <c r="F42" s="24"/>
      <c r="H42" s="24"/>
      <c r="J42" s="24"/>
      <c r="L42" s="24"/>
      <c r="N42" s="24"/>
      <c r="P42" s="24"/>
      <c r="R42" s="24"/>
      <c r="T42" s="24"/>
      <c r="V42" s="24"/>
      <c r="X42" s="24"/>
      <c r="Z42" s="24"/>
    </row>
    <row r="43" customFormat="false" ht="15" hidden="false" customHeight="false" outlineLevel="0" collapsed="false">
      <c r="B43" s="24"/>
      <c r="C43" s="24"/>
      <c r="D43" s="24"/>
      <c r="F43" s="24"/>
      <c r="H43" s="24"/>
      <c r="J43" s="24"/>
      <c r="L43" s="24"/>
      <c r="N43" s="24"/>
      <c r="P43" s="24"/>
      <c r="R43" s="24"/>
      <c r="T43" s="24"/>
      <c r="V43" s="24"/>
      <c r="X43" s="24"/>
      <c r="Z43" s="24"/>
    </row>
    <row r="44" customFormat="false" ht="15" hidden="false" customHeight="false" outlineLevel="0" collapsed="false">
      <c r="B44" s="24"/>
      <c r="C44" s="24"/>
      <c r="D44" s="24"/>
      <c r="F44" s="24"/>
      <c r="H44" s="24"/>
      <c r="J44" s="24"/>
      <c r="L44" s="24"/>
      <c r="N44" s="24"/>
      <c r="P44" s="24"/>
      <c r="R44" s="24"/>
      <c r="T44" s="24"/>
      <c r="V44" s="24"/>
      <c r="X44" s="24"/>
      <c r="Z44" s="24"/>
    </row>
    <row r="45" customFormat="false" ht="15" hidden="false" customHeight="false" outlineLevel="0" collapsed="false">
      <c r="B45" s="24"/>
      <c r="C45" s="24"/>
      <c r="D45" s="24"/>
      <c r="F45" s="24"/>
      <c r="H45" s="24"/>
      <c r="J45" s="24"/>
      <c r="L45" s="24"/>
      <c r="N45" s="24"/>
      <c r="P45" s="24"/>
      <c r="R45" s="24"/>
      <c r="T45" s="24"/>
      <c r="V45" s="24"/>
      <c r="X45" s="24"/>
      <c r="Z45" s="24"/>
    </row>
    <row r="48" customFormat="false" ht="19.5" hidden="false" customHeight="true" outlineLevel="0" collapsed="false">
      <c r="A48" s="3" t="s">
        <v>356</v>
      </c>
      <c r="B48" s="3"/>
      <c r="C48" s="3"/>
      <c r="D48" s="3"/>
      <c r="E48" s="3"/>
      <c r="F48" s="3"/>
      <c r="G48" s="3"/>
      <c r="H48" s="3"/>
      <c r="I48" s="3"/>
      <c r="J48" s="3"/>
      <c r="K48" s="3"/>
      <c r="L48" s="3"/>
      <c r="M48" s="3"/>
      <c r="N48" s="3"/>
      <c r="O48" s="3"/>
      <c r="P48" s="3"/>
      <c r="Q48" s="3"/>
      <c r="R48" s="3"/>
      <c r="S48" s="3"/>
      <c r="T48" s="3"/>
      <c r="U48" s="3"/>
      <c r="V48" s="3"/>
      <c r="W48" s="3"/>
      <c r="X48" s="3"/>
      <c r="Y48" s="3"/>
      <c r="Z48" s="3"/>
      <c r="AA48" s="3"/>
    </row>
    <row r="49" customFormat="false" ht="15" hidden="false" customHeight="false" outlineLevel="0" collapsed="false">
      <c r="B49" s="74" t="s">
        <v>357</v>
      </c>
      <c r="C49" s="75" t="s">
        <v>358</v>
      </c>
      <c r="D49" s="75"/>
      <c r="E49" s="75"/>
      <c r="F49" s="75"/>
      <c r="G49" s="75"/>
      <c r="H49" s="75"/>
      <c r="I49" s="75"/>
      <c r="J49" s="75"/>
    </row>
    <row r="50" customFormat="false" ht="15" hidden="false" customHeight="false" outlineLevel="0" collapsed="false">
      <c r="B50" s="74" t="s">
        <v>359</v>
      </c>
      <c r="C50" s="75" t="s">
        <v>360</v>
      </c>
      <c r="D50" s="75"/>
      <c r="E50" s="75"/>
      <c r="F50" s="75"/>
      <c r="G50" s="75"/>
      <c r="H50" s="75"/>
      <c r="I50" s="75"/>
      <c r="J50" s="75"/>
    </row>
    <row r="51" customFormat="false" ht="15" hidden="false" customHeight="false" outlineLevel="0" collapsed="false">
      <c r="B51" s="74" t="s">
        <v>361</v>
      </c>
      <c r="C51" s="75" t="s">
        <v>362</v>
      </c>
      <c r="D51" s="75"/>
      <c r="E51" s="75"/>
      <c r="F51" s="75"/>
      <c r="G51" s="75"/>
      <c r="H51" s="75"/>
      <c r="I51" s="75"/>
      <c r="J51" s="75"/>
    </row>
    <row r="52" customFormat="false" ht="15" hidden="false" customHeight="false" outlineLevel="0" collapsed="false">
      <c r="B52" s="74" t="s">
        <v>363</v>
      </c>
      <c r="C52" s="75" t="s">
        <v>364</v>
      </c>
      <c r="D52" s="75"/>
      <c r="E52" s="75"/>
      <c r="F52" s="75"/>
      <c r="G52" s="75"/>
      <c r="H52" s="75"/>
      <c r="I52" s="75"/>
      <c r="J52" s="75"/>
    </row>
    <row r="54" customFormat="false" ht="19.5" hidden="false" customHeight="true" outlineLevel="0" collapsed="false">
      <c r="A54" s="3" t="s">
        <v>365</v>
      </c>
      <c r="B54" s="3"/>
      <c r="C54" s="3"/>
      <c r="D54" s="3"/>
      <c r="E54" s="3"/>
      <c r="F54" s="3"/>
      <c r="G54" s="3"/>
      <c r="H54" s="3"/>
      <c r="I54" s="3"/>
      <c r="J54" s="3"/>
      <c r="K54" s="3"/>
      <c r="L54" s="3"/>
      <c r="M54" s="3"/>
      <c r="N54" s="3"/>
      <c r="O54" s="3"/>
      <c r="P54" s="3"/>
      <c r="Q54" s="3"/>
      <c r="R54" s="3"/>
      <c r="S54" s="3"/>
      <c r="T54" s="3"/>
      <c r="U54" s="3"/>
      <c r="V54" s="3"/>
      <c r="W54" s="3"/>
      <c r="X54" s="3"/>
      <c r="Y54" s="3"/>
      <c r="Z54" s="3"/>
      <c r="AA54" s="3"/>
    </row>
    <row r="55" customFormat="false" ht="15" hidden="false" customHeight="false" outlineLevel="0" collapsed="false">
      <c r="B55" s="74" t="s">
        <v>366</v>
      </c>
      <c r="C55" s="76" t="n">
        <v>0</v>
      </c>
      <c r="D55" s="77" t="s">
        <v>367</v>
      </c>
      <c r="E55" s="77"/>
      <c r="F55" s="77"/>
      <c r="G55" s="77"/>
      <c r="H55" s="77"/>
      <c r="I55" s="77"/>
      <c r="J55" s="77"/>
    </row>
    <row r="56" customFormat="false" ht="15" hidden="false" customHeight="false" outlineLevel="0" collapsed="false">
      <c r="B56" s="74" t="s">
        <v>368</v>
      </c>
      <c r="C56" s="76" t="n">
        <v>100</v>
      </c>
      <c r="D56" s="77" t="s">
        <v>369</v>
      </c>
      <c r="E56" s="77"/>
      <c r="F56" s="77"/>
      <c r="G56" s="77"/>
      <c r="H56" s="77"/>
      <c r="I56" s="77"/>
      <c r="J56" s="77"/>
    </row>
    <row r="57" customFormat="false" ht="15" hidden="false" customHeight="false" outlineLevel="0" collapsed="false">
      <c r="B57" s="74" t="s">
        <v>370</v>
      </c>
      <c r="C57" s="76" t="n">
        <v>4</v>
      </c>
      <c r="D57" s="77" t="s">
        <v>371</v>
      </c>
      <c r="E57" s="77"/>
      <c r="F57" s="77"/>
      <c r="G57" s="77"/>
      <c r="H57" s="77"/>
      <c r="I57" s="77"/>
      <c r="J57" s="77"/>
    </row>
    <row r="58" customFormat="false" ht="15" hidden="false" customHeight="false" outlineLevel="0" collapsed="false">
      <c r="B58" s="74" t="s">
        <v>372</v>
      </c>
      <c r="C58" s="76" t="n">
        <v>-18</v>
      </c>
      <c r="D58" s="77" t="s">
        <v>371</v>
      </c>
      <c r="E58" s="77"/>
      <c r="F58" s="77"/>
      <c r="G58" s="77"/>
      <c r="H58" s="77"/>
      <c r="I58" s="77"/>
      <c r="J58" s="77"/>
    </row>
  </sheetData>
  <mergeCells count="13">
    <mergeCell ref="A1:AA1"/>
    <mergeCell ref="A2:AA2"/>
    <mergeCell ref="A4:AA4"/>
    <mergeCell ref="A48:AA48"/>
    <mergeCell ref="C49:J49"/>
    <mergeCell ref="C50:J50"/>
    <mergeCell ref="C51:J51"/>
    <mergeCell ref="C52:J52"/>
    <mergeCell ref="A54:AA54"/>
    <mergeCell ref="D55:J55"/>
    <mergeCell ref="D56:J56"/>
    <mergeCell ref="D57:J57"/>
    <mergeCell ref="D58:J58"/>
  </mergeCells>
  <dataValidations count="1">
    <dataValidation allowBlank="true" error="Choisissez une valeur dans la liste deroulante." errorStyle="stop" errorTitle="Valeur non autorisee" operator="between" showDropDown="false" showErrorMessage="true" showInputMessage="false" sqref="C6:C45" type="list">
      <formula1>"INTERNE,EXTERNE"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30" hidden="false" customHeight="true" outlineLevel="0" collapsed="false">
      <c r="A1" s="1" t="s">
        <v>373</v>
      </c>
      <c r="B1" s="1"/>
      <c r="C1" s="1"/>
      <c r="D1" s="1"/>
      <c r="E1" s="1"/>
      <c r="F1" s="1"/>
    </row>
    <row r="2" customFormat="false" ht="18" hidden="false" customHeight="true" outlineLevel="0" collapsed="false">
      <c r="A2" s="2" t="s">
        <v>374</v>
      </c>
      <c r="B2" s="2"/>
      <c r="C2" s="2"/>
      <c r="D2" s="2"/>
      <c r="E2" s="2"/>
      <c r="F2" s="2"/>
    </row>
    <row r="4" customFormat="false" ht="19.5" hidden="false" customHeight="true" outlineLevel="0" collapsed="false">
      <c r="A4" s="78" t="s">
        <v>375</v>
      </c>
      <c r="B4" s="78"/>
      <c r="C4" s="78"/>
      <c r="D4" s="78"/>
      <c r="E4" s="78"/>
      <c r="F4" s="78"/>
    </row>
    <row r="6" customFormat="false" ht="21.75" hidden="false" customHeight="true" outlineLevel="0" collapsed="false">
      <c r="B6" s="79" t="s">
        <v>376</v>
      </c>
    </row>
    <row r="7" customFormat="false" ht="25.5" hidden="false" customHeight="true" outlineLevel="0" collapsed="false">
      <c r="B7" s="80" t="s">
        <v>377</v>
      </c>
    </row>
    <row r="8" customFormat="false" ht="39" hidden="false" customHeight="true" outlineLevel="0" collapsed="false">
      <c r="B8" s="80" t="s">
        <v>378</v>
      </c>
    </row>
    <row r="9" customFormat="false" ht="51.75" hidden="false" customHeight="true" outlineLevel="0" collapsed="false">
      <c r="B9" s="80" t="s">
        <v>379</v>
      </c>
    </row>
    <row r="10" customFormat="false" ht="25.5" hidden="false" customHeight="true" outlineLevel="0" collapsed="false">
      <c r="B10" s="80" t="s">
        <v>380</v>
      </c>
    </row>
    <row r="11" customFormat="false" ht="21.75" hidden="false" customHeight="true" outlineLevel="0" collapsed="false">
      <c r="B11" s="79" t="s">
        <v>381</v>
      </c>
    </row>
    <row r="12" customFormat="false" ht="39" hidden="false" customHeight="true" outlineLevel="0" collapsed="false">
      <c r="B12" s="80" t="s">
        <v>382</v>
      </c>
    </row>
    <row r="13" customFormat="false" ht="21.75" hidden="false" customHeight="true" outlineLevel="0" collapsed="false">
      <c r="B13" s="79" t="s">
        <v>383</v>
      </c>
    </row>
    <row r="14" customFormat="false" ht="15.75" hidden="false" customHeight="true" outlineLevel="0" collapsed="false">
      <c r="B14" s="80" t="s">
        <v>384</v>
      </c>
    </row>
    <row r="15" customFormat="false" ht="25.5" hidden="false" customHeight="true" outlineLevel="0" collapsed="false">
      <c r="B15" s="80" t="s">
        <v>385</v>
      </c>
    </row>
    <row r="16" customFormat="false" ht="25.5" hidden="false" customHeight="true" outlineLevel="0" collapsed="false">
      <c r="B16" s="80" t="s">
        <v>386</v>
      </c>
    </row>
    <row r="17" customFormat="false" ht="39" hidden="false" customHeight="true" outlineLevel="0" collapsed="false">
      <c r="B17" s="80" t="s">
        <v>387</v>
      </c>
    </row>
    <row r="18" customFormat="false" ht="21.75" hidden="false" customHeight="true" outlineLevel="0" collapsed="false">
      <c r="B18" s="79" t="s">
        <v>388</v>
      </c>
    </row>
    <row r="19" customFormat="false" ht="25.5" hidden="false" customHeight="true" outlineLevel="0" collapsed="false">
      <c r="B19" s="80" t="s">
        <v>389</v>
      </c>
    </row>
    <row r="20" customFormat="false" ht="39" hidden="false" customHeight="true" outlineLevel="0" collapsed="false">
      <c r="B20" s="80" t="s">
        <v>390</v>
      </c>
    </row>
    <row r="21" customFormat="false" ht="51.75" hidden="false" customHeight="true" outlineLevel="0" collapsed="false">
      <c r="B21" s="80" t="s">
        <v>391</v>
      </c>
    </row>
    <row r="22" customFormat="false" ht="25.5" hidden="false" customHeight="true" outlineLevel="0" collapsed="false">
      <c r="B22" s="80" t="s">
        <v>392</v>
      </c>
    </row>
    <row r="23" customFormat="false" ht="21.75" hidden="false" customHeight="true" outlineLevel="0" collapsed="false">
      <c r="B23" s="79" t="s">
        <v>393</v>
      </c>
    </row>
    <row r="24" customFormat="false" ht="25.5" hidden="false" customHeight="true" outlineLevel="0" collapsed="false">
      <c r="B24" s="80" t="s">
        <v>394</v>
      </c>
    </row>
    <row r="25" customFormat="false" ht="25.5" hidden="false" customHeight="true" outlineLevel="0" collapsed="false">
      <c r="B25" s="80" t="s">
        <v>395</v>
      </c>
    </row>
    <row r="26" customFormat="false" ht="25.5" hidden="false" customHeight="true" outlineLevel="0" collapsed="false">
      <c r="B26" s="80" t="s">
        <v>396</v>
      </c>
    </row>
    <row r="27" customFormat="false" ht="25.5" hidden="false" customHeight="true" outlineLevel="0" collapsed="false">
      <c r="B27" s="80" t="s">
        <v>397</v>
      </c>
    </row>
    <row r="28" customFormat="false" ht="25.5" hidden="false" customHeight="true" outlineLevel="0" collapsed="false">
      <c r="B28" s="80" t="s">
        <v>398</v>
      </c>
    </row>
    <row r="29" customFormat="false" ht="25.5" hidden="false" customHeight="true" outlineLevel="0" collapsed="false">
      <c r="B29" s="80" t="s">
        <v>399</v>
      </c>
    </row>
    <row r="30" customFormat="false" ht="21.75" hidden="false" customHeight="true" outlineLevel="0" collapsed="false">
      <c r="B30" s="79" t="s">
        <v>400</v>
      </c>
    </row>
    <row r="31" customFormat="false" ht="25.5" hidden="false" customHeight="true" outlineLevel="0" collapsed="false">
      <c r="B31" s="80" t="s">
        <v>401</v>
      </c>
    </row>
    <row r="32" customFormat="false" ht="25.5" hidden="false" customHeight="true" outlineLevel="0" collapsed="false">
      <c r="B32" s="80" t="s">
        <v>402</v>
      </c>
    </row>
    <row r="33" customFormat="false" ht="21.75" hidden="false" customHeight="true" outlineLevel="0" collapsed="false">
      <c r="B33" s="79" t="s">
        <v>403</v>
      </c>
    </row>
    <row r="34" customFormat="false" ht="15.75" hidden="false" customHeight="true" outlineLevel="0" collapsed="false">
      <c r="B34" s="80" t="s">
        <v>404</v>
      </c>
    </row>
    <row r="35" customFormat="false" ht="15.75" hidden="false" customHeight="true" outlineLevel="0" collapsed="false">
      <c r="B35" s="80" t="s">
        <v>405</v>
      </c>
    </row>
    <row r="36" customFormat="false" ht="15.75" hidden="false" customHeight="true" outlineLevel="0" collapsed="false">
      <c r="B36" s="80" t="s">
        <v>406</v>
      </c>
    </row>
    <row r="37" customFormat="false" ht="15.75" hidden="false" customHeight="true" outlineLevel="0" collapsed="false">
      <c r="B37" s="80" t="s">
        <v>407</v>
      </c>
    </row>
    <row r="38" customFormat="false" ht="15.75" hidden="false" customHeight="true" outlineLevel="0" collapsed="false">
      <c r="B38" s="80" t="s">
        <v>408</v>
      </c>
    </row>
    <row r="39" customFormat="false" ht="15.75" hidden="false" customHeight="true" outlineLevel="0" collapsed="false">
      <c r="B39" s="80" t="s">
        <v>409</v>
      </c>
    </row>
    <row r="40" customFormat="false" ht="15.75" hidden="false" customHeight="true" outlineLevel="0" collapsed="false">
      <c r="B40" s="80" t="s">
        <v>410</v>
      </c>
    </row>
    <row r="41" customFormat="false" ht="21.75" hidden="false" customHeight="true" outlineLevel="0" collapsed="false">
      <c r="B41" s="79" t="s">
        <v>411</v>
      </c>
    </row>
    <row r="42" customFormat="false" ht="25.5" hidden="false" customHeight="true" outlineLevel="0" collapsed="false">
      <c r="B42" s="80" t="s">
        <v>412</v>
      </c>
    </row>
    <row r="43" customFormat="false" ht="25.5" hidden="false" customHeight="true" outlineLevel="0" collapsed="false">
      <c r="B43" s="80" t="s">
        <v>413</v>
      </c>
    </row>
    <row r="44" customFormat="false" ht="25.5" hidden="false" customHeight="true" outlineLevel="0" collapsed="false">
      <c r="B44" s="80" t="s">
        <v>414</v>
      </c>
    </row>
    <row r="45" customFormat="false" ht="21.75" hidden="false" customHeight="true" outlineLevel="0" collapsed="false">
      <c r="B45" s="79" t="s">
        <v>415</v>
      </c>
    </row>
    <row r="46" customFormat="false" ht="25.5" hidden="false" customHeight="true" outlineLevel="0" collapsed="false">
      <c r="B46" s="80" t="s">
        <v>416</v>
      </c>
    </row>
  </sheetData>
  <mergeCells count="3">
    <mergeCell ref="A1:F1"/>
    <mergeCell ref="A2:F2"/>
    <mergeCell ref="A4: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8C"/>
    <pageSetUpPr fitToPage="fals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74"/>
    <col collapsed="false" customWidth="true" hidden="false" outlineLevel="0" max="5" min="4" style="0" width="24"/>
    <col collapsed="false" customWidth="true" hidden="false" outlineLevel="0" max="6" min="6" style="0" width="12"/>
  </cols>
  <sheetData>
    <row r="1" customFormat="false" ht="30" hidden="false" customHeight="true" outlineLevel="0" collapsed="false">
      <c r="A1" s="1" t="s">
        <v>417</v>
      </c>
      <c r="B1" s="1"/>
      <c r="C1" s="1"/>
      <c r="D1" s="1"/>
      <c r="E1" s="1"/>
      <c r="F1" s="1"/>
    </row>
    <row r="2" customFormat="false" ht="18" hidden="false" customHeight="true" outlineLevel="0" collapsed="false">
      <c r="A2" s="2" t="s">
        <v>418</v>
      </c>
      <c r="B2" s="2"/>
      <c r="C2" s="2"/>
      <c r="D2" s="2"/>
      <c r="E2" s="2"/>
      <c r="F2" s="2"/>
    </row>
    <row r="4" customFormat="false" ht="24" hidden="false" customHeight="true" outlineLevel="0" collapsed="false">
      <c r="B4" s="8" t="str">
        <f aca="false">IF(COUNTIF($F$7:$F$45,"FAIL")=0,"RESULTAT GLOBAL : 39 / 39 TESTS PASS","RESULTAT GLOBAL : "&amp;COUNTIF($F$7:$F$45,"FAIL")&amp;" TEST(S) EN ECHEC")</f>
        <v>RESULTAT GLOBAL : 39 / 39 TESTS PASS</v>
      </c>
      <c r="C4" s="8"/>
    </row>
    <row r="6" customFormat="false" ht="15" hidden="false" customHeight="false" outlineLevel="0" collapsed="false">
      <c r="B6" s="40" t="s">
        <v>296</v>
      </c>
      <c r="C6" s="40" t="s">
        <v>419</v>
      </c>
      <c r="D6" s="40" t="s">
        <v>420</v>
      </c>
      <c r="E6" s="40" t="s">
        <v>421</v>
      </c>
      <c r="F6" s="40" t="s">
        <v>422</v>
      </c>
    </row>
    <row r="7" customFormat="false" ht="15" hidden="false" customHeight="false" outlineLevel="0" collapsed="false">
      <c r="B7" s="81" t="s">
        <v>423</v>
      </c>
      <c r="C7" s="82" t="s">
        <v>424</v>
      </c>
      <c r="D7" s="83" t="n">
        <v>1000</v>
      </c>
      <c r="E7" s="84" t="n">
        <f aca="false">SUMIFS(MVT_NET,MVT_LOT,"255",MVT_EMPL,"OCEAMIC 2",MVT_OP,"RECEPTION")</f>
        <v>1000</v>
      </c>
      <c r="F7" s="53" t="str">
        <f aca="false">IF(ISNUMBER($D7),IF(ABS($E7-$D7)&lt;0.001,"PASS","FAIL"),IF(EXACT(TRIM($E7),TRIM($D7)),"PASS","FAIL"))</f>
        <v>PASS</v>
      </c>
    </row>
    <row r="8" customFormat="false" ht="15" hidden="false" customHeight="false" outlineLevel="0" collapsed="false">
      <c r="B8" s="81" t="s">
        <v>425</v>
      </c>
      <c r="C8" s="82" t="s">
        <v>426</v>
      </c>
      <c r="D8" s="83" t="n">
        <v>2000</v>
      </c>
      <c r="E8" s="84" t="n">
        <f aca="false">SUMIFS(MVT_NET,MVT_LOT,"256",MVT_EMPL,"SARMA",MVT_OP,"RECEPTION")</f>
        <v>2000</v>
      </c>
      <c r="F8" s="53" t="str">
        <f aca="false">IF(ISNUMBER($D8),IF(ABS($E8-$D8)&lt;0.001,"PASS","FAIL"),IF(EXACT(TRIM($E8),TRIM($D8)),"PASS","FAIL"))</f>
        <v>PASS</v>
      </c>
    </row>
    <row r="9" customFormat="false" ht="15" hidden="false" customHeight="false" outlineLevel="0" collapsed="false">
      <c r="B9" s="81" t="s">
        <v>427</v>
      </c>
      <c r="C9" s="82" t="s">
        <v>428</v>
      </c>
      <c r="D9" s="83" t="n">
        <v>500</v>
      </c>
      <c r="E9" s="84" t="n">
        <f aca="false">SUMIFS(MVT_NET,MVT_LOT,"257",MVT_EMPL,"OCEAMIC 2")</f>
        <v>500</v>
      </c>
      <c r="F9" s="53" t="str">
        <f aca="false">IF(ISNUMBER($D9),IF(ABS($E9-$D9)&lt;0.001,"PASS","FAIL"),IF(EXACT(TRIM($E9),TRIM($D9)),"PASS","FAIL"))</f>
        <v>PASS</v>
      </c>
    </row>
    <row r="10" customFormat="false" ht="15" hidden="false" customHeight="false" outlineLevel="0" collapsed="false">
      <c r="B10" s="81" t="s">
        <v>429</v>
      </c>
      <c r="C10" s="82" t="s">
        <v>430</v>
      </c>
      <c r="D10" s="83" t="n">
        <v>1200</v>
      </c>
      <c r="E10" s="84" t="n">
        <f aca="false">SUMIFS(MVT_NET,MVT_LOT,"256",MVT_EMPL,"SARMA")</f>
        <v>1200</v>
      </c>
      <c r="F10" s="53" t="str">
        <f aca="false">IF(ISNUMBER($D10),IF(ABS($E10-$D10)&lt;0.001,"PASS","FAIL"),IF(EXACT(TRIM($E10),TRIM($D10)),"PASS","FAIL"))</f>
        <v>PASS</v>
      </c>
    </row>
    <row r="11" customFormat="false" ht="15" hidden="false" customHeight="false" outlineLevel="0" collapsed="false">
      <c r="B11" s="81" t="s">
        <v>431</v>
      </c>
      <c r="C11" s="82" t="s">
        <v>432</v>
      </c>
      <c r="D11" s="83" t="n">
        <v>800</v>
      </c>
      <c r="E11" s="84" t="n">
        <f aca="false">SUMIFS(MVT_NET,MVT_LOT,"256",MVT_EMPL,"OCEAMIC 2")</f>
        <v>800</v>
      </c>
      <c r="F11" s="53" t="str">
        <f aca="false">IF(ISNUMBER($D11),IF(ABS($E11-$D11)&lt;0.001,"PASS","FAIL"),IF(EXACT(TRIM($E11),TRIM($D11)),"PASS","FAIL"))</f>
        <v>PASS</v>
      </c>
    </row>
    <row r="12" customFormat="false" ht="15" hidden="false" customHeight="false" outlineLevel="0" collapsed="false">
      <c r="B12" s="81" t="s">
        <v>433</v>
      </c>
      <c r="C12" s="82" t="s">
        <v>434</v>
      </c>
      <c r="D12" s="83" t="n">
        <v>500</v>
      </c>
      <c r="E12" s="84" t="n">
        <f aca="false">SUMIFS(MVT_NET,MVT_LOT,"255",MVT_EMPL,"OCEAMIC 2")</f>
        <v>500</v>
      </c>
      <c r="F12" s="53" t="str">
        <f aca="false">IF(ISNUMBER($D12),IF(ABS($E12-$D12)&lt;0.001,"PASS","FAIL"),IF(EXACT(TRIM($E12),TRIM($D12)),"PASS","FAIL"))</f>
        <v>PASS</v>
      </c>
    </row>
    <row r="13" customFormat="false" ht="15" hidden="false" customHeight="false" outlineLevel="0" collapsed="false">
      <c r="B13" s="81" t="s">
        <v>435</v>
      </c>
      <c r="C13" s="82" t="s">
        <v>436</v>
      </c>
      <c r="D13" s="83" t="n">
        <v>0</v>
      </c>
      <c r="E13" s="84" t="n">
        <f aca="false">SUMIFS(MVT_NET,MVT_LOT,"300")</f>
        <v>0</v>
      </c>
      <c r="F13" s="53" t="str">
        <f aca="false">IF(ISNUMBER($D13),IF(ABS($E13-$D13)&lt;0.001,"PASS","FAIL"),IF(EXACT(TRIM($E13),TRIM($D13)),"PASS","FAIL"))</f>
        <v>PASS</v>
      </c>
    </row>
    <row r="14" customFormat="false" ht="15" hidden="false" customHeight="false" outlineLevel="0" collapsed="false">
      <c r="B14" s="81" t="s">
        <v>437</v>
      </c>
      <c r="C14" s="82" t="s">
        <v>438</v>
      </c>
      <c r="D14" s="83" t="n">
        <v>0</v>
      </c>
      <c r="E14" s="84" t="n">
        <f aca="false">ABS(SUMIFS(MVT_BRUT,MVT_REF,"ST-002",MVT_SENS,"SORTIE"))</f>
        <v>0</v>
      </c>
      <c r="F14" s="53" t="str">
        <f aca="false">IF(ISNUMBER($D14),IF(ABS($E14-$D14)&lt;0.001,"PASS","FAIL"),IF(EXACT(TRIM($E14),TRIM($D14)),"PASS","FAIL"))</f>
        <v>PASS</v>
      </c>
    </row>
    <row r="15" customFormat="false" ht="15" hidden="false" customHeight="false" outlineLevel="0" collapsed="false">
      <c r="B15" s="81" t="s">
        <v>439</v>
      </c>
      <c r="C15" s="82" t="s">
        <v>440</v>
      </c>
      <c r="D15" s="45" t="s">
        <v>441</v>
      </c>
      <c r="E15" s="53" t="str">
        <f aca="false">INDEX(ST_STATUT,MATCH("ST-003",ST_ID,0))</f>
        <v>EN COURS</v>
      </c>
      <c r="F15" s="53" t="str">
        <f aca="false">IF(ISNUMBER($D15),IF(ABS($E15-$D15)&lt;0.001,"PASS","FAIL"),IF(EXACT(TRIM($E15),TRIM($D15)),"PASS","FAIL"))</f>
        <v>PASS</v>
      </c>
    </row>
    <row r="16" customFormat="false" ht="15" hidden="false" customHeight="false" outlineLevel="0" collapsed="false">
      <c r="B16" s="81" t="s">
        <v>442</v>
      </c>
      <c r="C16" s="82" t="s">
        <v>443</v>
      </c>
      <c r="D16" s="83" t="n">
        <v>2</v>
      </c>
      <c r="E16" s="84" t="n">
        <f aca="false">INDEX(ST_NBRES,MATCH("ST-001",ST_ID,0))</f>
        <v>2</v>
      </c>
      <c r="F16" s="53" t="str">
        <f aca="false">IF(ISNUMBER($D16),IF(ABS($E16-$D16)&lt;0.001,"PASS","FAIL"),IF(EXACT(TRIM($E16),TRIM($D16)),"PASS","FAIL"))</f>
        <v>PASS</v>
      </c>
    </row>
    <row r="17" customFormat="false" ht="15" hidden="false" customHeight="false" outlineLevel="0" collapsed="false">
      <c r="B17" s="81" t="s">
        <v>444</v>
      </c>
      <c r="C17" s="82" t="s">
        <v>445</v>
      </c>
      <c r="D17" s="83" t="n">
        <v>450</v>
      </c>
      <c r="E17" s="84" t="n">
        <f aca="false">INDEX(ST_TOTSORTIE,MATCH("ST-001",ST_ID,0))</f>
        <v>450</v>
      </c>
      <c r="F17" s="53" t="str">
        <f aca="false">IF(ISNUMBER($D17),IF(ABS($E17-$D17)&lt;0.001,"PASS","FAIL"),IF(EXACT(TRIM($E17),TRIM($D17)),"PASS","FAIL"))</f>
        <v>PASS</v>
      </c>
    </row>
    <row r="18" customFormat="false" ht="15" hidden="false" customHeight="false" outlineLevel="0" collapsed="false">
      <c r="B18" s="81" t="s">
        <v>446</v>
      </c>
      <c r="C18" s="82" t="s">
        <v>447</v>
      </c>
      <c r="D18" s="83" t="n">
        <v>300</v>
      </c>
      <c r="E18" s="84" t="n">
        <f aca="false">SUMIFS(MVT_NET,MVT_LOT,"255-HG",MVT_EMPL,"OCEAMIC 2")</f>
        <v>300</v>
      </c>
      <c r="F18" s="53" t="str">
        <f aca="false">IF(ISNUMBER($D18),IF(ABS($E18-$D18)&lt;0.001,"PASS","FAIL"),IF(EXACT(TRIM($E18),TRIM($D18)),"PASS","FAIL"))</f>
        <v>PASS</v>
      </c>
    </row>
    <row r="19" customFormat="false" ht="15" hidden="false" customHeight="false" outlineLevel="0" collapsed="false">
      <c r="B19" s="81" t="s">
        <v>448</v>
      </c>
      <c r="C19" s="82" t="s">
        <v>449</v>
      </c>
      <c r="D19" s="83" t="n">
        <v>150</v>
      </c>
      <c r="E19" s="84" t="n">
        <f aca="false">SUMIFS(MVT_NET,MVT_LOT,"255-HGT",MVT_EMPL,"COFRIGOP")</f>
        <v>150</v>
      </c>
      <c r="F19" s="53" t="str">
        <f aca="false">IF(ISNUMBER($D19),IF(ABS($E19-$D19)&lt;0.001,"PASS","FAIL"),IF(EXACT(TRIM($E19),TRIM($D19)),"PASS","FAIL"))</f>
        <v>PASS</v>
      </c>
    </row>
    <row r="20" customFormat="false" ht="15" hidden="false" customHeight="false" outlineLevel="0" collapsed="false">
      <c r="B20" s="81" t="s">
        <v>450</v>
      </c>
      <c r="C20" s="82" t="s">
        <v>451</v>
      </c>
      <c r="D20" s="83" t="n">
        <v>50</v>
      </c>
      <c r="E20" s="84" t="n">
        <f aca="false">INDEX(ST_ECART,MATCH("ST-001",ST_ID,0))</f>
        <v>50</v>
      </c>
      <c r="F20" s="53" t="str">
        <f aca="false">IF(ISNUMBER($D20),IF(ABS($E20-$D20)&lt;0.001,"PASS","FAIL"),IF(EXACT(TRIM($E20),TRIM($D20)),"PASS","FAIL"))</f>
        <v>PASS</v>
      </c>
    </row>
    <row r="21" customFormat="false" ht="15" hidden="false" customHeight="false" outlineLevel="0" collapsed="false">
      <c r="B21" s="81" t="s">
        <v>452</v>
      </c>
      <c r="C21" s="82" t="s">
        <v>453</v>
      </c>
      <c r="D21" s="45" t="s">
        <v>454</v>
      </c>
      <c r="E21" s="53" t="str">
        <f aca="false">INDEX(ST_STATUT,MATCH("ST-001",ST_ID,0))</f>
        <v>A JUSTIFIER</v>
      </c>
      <c r="F21" s="53" t="str">
        <f aca="false">IF(ISNUMBER($D21),IF(ABS($E21-$D21)&lt;0.001,"PASS","FAIL"),IF(EXACT(TRIM($E21),TRIM($D21)),"PASS","FAIL"))</f>
        <v>PASS</v>
      </c>
    </row>
    <row r="22" customFormat="false" ht="15" hidden="false" customHeight="false" outlineLevel="0" collapsed="false">
      <c r="B22" s="81" t="s">
        <v>455</v>
      </c>
      <c r="C22" s="82" t="s">
        <v>456</v>
      </c>
      <c r="D22" s="45" t="s">
        <v>457</v>
      </c>
      <c r="E22" s="53" t="str">
        <f aca="false">INDEX(ST_STATUT,MATCH("ST-002",ST_ID,0))</f>
        <v>OK</v>
      </c>
      <c r="F22" s="53" t="str">
        <f aca="false">IF(ISNUMBER($D22),IF(ABS($E22-$D22)&lt;0.001,"PASS","FAIL"),IF(EXACT(TRIM($E22),TRIM($D22)),"PASS","FAIL"))</f>
        <v>PASS</v>
      </c>
    </row>
    <row r="23" customFormat="false" ht="15" hidden="false" customHeight="false" outlineLevel="0" collapsed="false">
      <c r="B23" s="81" t="s">
        <v>458</v>
      </c>
      <c r="C23" s="82" t="s">
        <v>459</v>
      </c>
      <c r="D23" s="83" t="n">
        <v>0</v>
      </c>
      <c r="E23" s="84" t="n">
        <f aca="false">COUNTIF(MVT_SRC,"QUALITE")</f>
        <v>0</v>
      </c>
      <c r="F23" s="53" t="str">
        <f aca="false">IF(ISNUMBER($D23),IF(ABS($E23-$D23)&lt;0.001,"PASS","FAIL"),IF(EXACT(TRIM($E23),TRIM($D23)),"PASS","FAIL"))</f>
        <v>PASS</v>
      </c>
    </row>
    <row r="24" customFormat="false" ht="15" hidden="false" customHeight="false" outlineLevel="0" collapsed="false">
      <c r="B24" s="81" t="s">
        <v>460</v>
      </c>
      <c r="C24" s="82" t="s">
        <v>461</v>
      </c>
      <c r="D24" s="83" t="n">
        <v>500</v>
      </c>
      <c r="E24" s="84" t="n">
        <f aca="false">SUMIFS(MVT_NET,MVT_LOT,"255",MVT_EMPL,"OCEAMIC 2")</f>
        <v>500</v>
      </c>
      <c r="F24" s="53" t="str">
        <f aca="false">IF(ISNUMBER($D24),IF(ABS($E24-$D24)&lt;0.001,"PASS","FAIL"),IF(EXACT(TRIM($E24),TRIM($D24)),"PASS","FAIL"))</f>
        <v>PASS</v>
      </c>
    </row>
    <row r="25" customFormat="false" ht="15" hidden="false" customHeight="false" outlineLevel="0" collapsed="false">
      <c r="B25" s="81" t="s">
        <v>462</v>
      </c>
      <c r="C25" s="82" t="s">
        <v>463</v>
      </c>
      <c r="D25" s="45" t="s">
        <v>464</v>
      </c>
      <c r="E25" s="53" t="str">
        <f aca="false">INDEX(QC_STATUT,MATCH("257",QC_LOT,0))</f>
        <v>EMPLACEMENT INCOHERENT</v>
      </c>
      <c r="F25" s="53" t="str">
        <f aca="false">IF(ISNUMBER($D25),IF(ABS($E25-$D25)&lt;0.001,"PASS","FAIL"),IF(EXACT(TRIM($E25),TRIM($D25)),"PASS","FAIL"))</f>
        <v>PASS</v>
      </c>
    </row>
    <row r="26" customFormat="false" ht="15" hidden="false" customHeight="false" outlineLevel="0" collapsed="false">
      <c r="B26" s="81" t="s">
        <v>465</v>
      </c>
      <c r="C26" s="82" t="s">
        <v>466</v>
      </c>
      <c r="D26" s="45" t="s">
        <v>467</v>
      </c>
      <c r="E26" s="53" t="str">
        <f aca="false">OPERATIONS!$Q$12</f>
        <v>STOCK INSUFFISANT</v>
      </c>
      <c r="F26" s="53" t="str">
        <f aca="false">IF(ISNUMBER($D26),IF(ABS($E26-$D26)&lt;0.001,"PASS","FAIL"),IF(EXACT(TRIM($E26),TRIM($D26)),"PASS","FAIL"))</f>
        <v>PASS</v>
      </c>
    </row>
    <row r="27" customFormat="false" ht="15" hidden="false" customHeight="false" outlineLevel="0" collapsed="false">
      <c r="B27" s="81" t="s">
        <v>468</v>
      </c>
      <c r="C27" s="82" t="s">
        <v>469</v>
      </c>
      <c r="D27" s="83" t="n">
        <v>200</v>
      </c>
      <c r="E27" s="84" t="n">
        <f aca="false">SUMIFS(MVT_NET,MVT_LOT,"258")</f>
        <v>200</v>
      </c>
      <c r="F27" s="53" t="str">
        <f aca="false">IF(ISNUMBER($D27),IF(ABS($E27-$D27)&lt;0.001,"PASS","FAIL"),IF(EXACT(TRIM($E27),TRIM($D27)),"PASS","FAIL"))</f>
        <v>PASS</v>
      </c>
    </row>
    <row r="28" customFormat="false" ht="15" hidden="false" customHeight="false" outlineLevel="0" collapsed="false">
      <c r="B28" s="81" t="s">
        <v>470</v>
      </c>
      <c r="C28" s="82" t="s">
        <v>471</v>
      </c>
      <c r="D28" s="45" t="s">
        <v>80</v>
      </c>
      <c r="E28" s="53" t="str">
        <f aca="false">OPERATIONS!$K$12</f>
        <v>Sardine</v>
      </c>
      <c r="F28" s="53" t="str">
        <f aca="false">IF(ISNUMBER($D28),IF(ABS($E28-$D28)&lt;0.001,"PASS","FAIL"),IF(EXACT(TRIM($E28),TRIM($D28)),"PASS","FAIL"))</f>
        <v>PASS</v>
      </c>
    </row>
    <row r="29" customFormat="false" ht="15" hidden="false" customHeight="false" outlineLevel="0" collapsed="false">
      <c r="B29" s="81" t="s">
        <v>472</v>
      </c>
      <c r="C29" s="82" t="s">
        <v>473</v>
      </c>
      <c r="D29" s="45" t="s">
        <v>119</v>
      </c>
      <c r="E29" s="53" t="str">
        <f aca="false">OPERATIONS!$J$13</f>
        <v>L-EXT-302</v>
      </c>
      <c r="F29" s="53" t="str">
        <f aca="false">IF(ISNUMBER($D29),IF(ABS($E29-$D29)&lt;0.001,"PASS","FAIL"),IF(EXACT(TRIM($E29),TRIM($D29)),"PASS","FAIL"))</f>
        <v>PASS</v>
      </c>
    </row>
    <row r="30" customFormat="false" ht="15" hidden="false" customHeight="false" outlineLevel="0" collapsed="false">
      <c r="B30" s="81" t="s">
        <v>474</v>
      </c>
      <c r="C30" s="82" t="s">
        <v>475</v>
      </c>
      <c r="D30" s="83" t="n">
        <v>2</v>
      </c>
      <c r="E30" s="84" t="n">
        <f aca="false">COUNT(RES_RANGLIEN)</f>
        <v>2</v>
      </c>
      <c r="F30" s="53" t="str">
        <f aca="false">IF(ISNUMBER($D30),IF(ABS($E30-$D30)&lt;0.001,"PASS","FAIL"),IF(EXACT(TRIM($E30),TRIM($D30)),"PASS","FAIL"))</f>
        <v>PASS</v>
      </c>
    </row>
    <row r="31" customFormat="false" ht="15" hidden="false" customHeight="false" outlineLevel="0" collapsed="false">
      <c r="B31" s="81" t="s">
        <v>476</v>
      </c>
      <c r="C31" s="82" t="s">
        <v>477</v>
      </c>
      <c r="D31" s="45" t="s">
        <v>78</v>
      </c>
      <c r="E31" s="53" t="str">
        <f aca="false">IFERROR(INDEX(RES_LOTSRC,MATCH("255-HG",RES_LOTEFF,0)),"")</f>
        <v>255</v>
      </c>
      <c r="F31" s="53" t="str">
        <f aca="false">IF(ISNUMBER($D31),IF(ABS($E31-$D31)&lt;0.001,"PASS","FAIL"),IF(EXACT(TRIM($E31),TRIM($D31)),"PASS","FAIL"))</f>
        <v>PASS</v>
      </c>
    </row>
    <row r="32" customFormat="false" ht="15" hidden="false" customHeight="false" outlineLevel="0" collapsed="false">
      <c r="B32" s="81" t="s">
        <v>478</v>
      </c>
      <c r="C32" s="82" t="s">
        <v>479</v>
      </c>
      <c r="D32" s="83" t="n">
        <v>3</v>
      </c>
      <c r="E32" s="84" t="n">
        <f aca="false">COUNT(LOT_RANGEXT)</f>
        <v>3</v>
      </c>
      <c r="F32" s="53" t="str">
        <f aca="false">IF(ISNUMBER($D32),IF(ABS($E32-$D32)&lt;0.001,"PASS","FAIL"),IF(EXACT(TRIM($E32),TRIM($D32)),"PASS","FAIL"))</f>
        <v>PASS</v>
      </c>
    </row>
    <row r="33" customFormat="false" ht="15" hidden="false" customHeight="false" outlineLevel="0" collapsed="false">
      <c r="B33" s="81" t="s">
        <v>480</v>
      </c>
      <c r="C33" s="82" t="s">
        <v>481</v>
      </c>
      <c r="D33" s="83" t="n">
        <v>0</v>
      </c>
      <c r="E33" s="84" t="n">
        <f aca="false">COUNTIF(STOCK!$N$15:$N$214,"&lt;0")</f>
        <v>0</v>
      </c>
      <c r="F33" s="53" t="str">
        <f aca="false">IF(ISNUMBER($D33),IF(ABS($E33-$D33)&lt;0.001,"PASS","FAIL"),IF(EXACT(TRIM($E33),TRIM($D33)),"PASS","FAIL"))</f>
        <v>PASS</v>
      </c>
    </row>
    <row r="34" customFormat="false" ht="15" hidden="false" customHeight="false" outlineLevel="0" collapsed="false">
      <c r="B34" s="81" t="s">
        <v>482</v>
      </c>
      <c r="C34" s="82" t="s">
        <v>483</v>
      </c>
      <c r="D34" s="83" t="n">
        <v>0</v>
      </c>
      <c r="E34" s="84" t="n">
        <f aca="false">STOCK!$D$10</f>
        <v>0</v>
      </c>
      <c r="F34" s="53" t="str">
        <f aca="false">IF(ISNUMBER($D34),IF(ABS($E34-$D34)&lt;0.001,"PASS","FAIL"),IF(EXACT(TRIM($E34),TRIM($D34)),"PASS","FAIL"))</f>
        <v>PASS</v>
      </c>
    </row>
    <row r="35" customFormat="false" ht="15" hidden="false" customHeight="false" outlineLevel="0" collapsed="false">
      <c r="B35" s="81" t="s">
        <v>484</v>
      </c>
      <c r="C35" s="82" t="s">
        <v>485</v>
      </c>
      <c r="D35" s="83" t="n">
        <v>4065</v>
      </c>
      <c r="E35" s="84" t="n">
        <f aca="false">SUMIFS(MVT_NET,MVT_CLASSE,"INTERNE")</f>
        <v>4065</v>
      </c>
      <c r="F35" s="53" t="str">
        <f aca="false">IF(ISNUMBER($D35),IF(ABS($E35-$D35)&lt;0.001,"PASS","FAIL"),IF(EXACT(TRIM($E35),TRIM($D35)),"PASS","FAIL"))</f>
        <v>PASS</v>
      </c>
    </row>
    <row r="36" customFormat="false" ht="15" hidden="false" customHeight="false" outlineLevel="0" collapsed="false">
      <c r="B36" s="81" t="s">
        <v>486</v>
      </c>
      <c r="C36" s="82" t="s">
        <v>487</v>
      </c>
      <c r="D36" s="83" t="n">
        <v>1350</v>
      </c>
      <c r="E36" s="84" t="n">
        <f aca="false">SUMIFS(MVT_NET,MVT_CLASSE,"EXTERNE")</f>
        <v>1350</v>
      </c>
      <c r="F36" s="53" t="str">
        <f aca="false">IF(ISNUMBER($D36),IF(ABS($E36-$D36)&lt;0.001,"PASS","FAIL"),IF(EXACT(TRIM($E36),TRIM($D36)),"PASS","FAIL"))</f>
        <v>PASS</v>
      </c>
    </row>
    <row r="37" customFormat="false" ht="15" hidden="false" customHeight="false" outlineLevel="0" collapsed="false">
      <c r="B37" s="81" t="s">
        <v>488</v>
      </c>
      <c r="C37" s="82" t="s">
        <v>489</v>
      </c>
      <c r="D37" s="83" t="n">
        <v>1</v>
      </c>
      <c r="E37" s="84" t="n">
        <f aca="false">IF(LEN(INDEX(QC_ALERTE,MATCH("256",QC_LOT,0)))&gt;0,1,0)</f>
        <v>1</v>
      </c>
      <c r="F37" s="53" t="str">
        <f aca="false">IF(ISNUMBER($D37),IF(ABS($E37-$D37)&lt;0.001,"PASS","FAIL"),IF(EXACT(TRIM($E37),TRIM($D37)),"PASS","FAIL"))</f>
        <v>PASS</v>
      </c>
    </row>
    <row r="38" customFormat="false" ht="15" hidden="false" customHeight="false" outlineLevel="0" collapsed="false">
      <c r="B38" s="81" t="s">
        <v>490</v>
      </c>
      <c r="C38" s="82" t="s">
        <v>491</v>
      </c>
      <c r="D38" s="83" t="n">
        <v>975</v>
      </c>
      <c r="E38" s="84" t="n">
        <f aca="false">SUMIFS(MVT_NET,MVT_LOT,"302")</f>
        <v>975</v>
      </c>
      <c r="F38" s="53" t="str">
        <f aca="false">IF(ISNUMBER($D38),IF(ABS($E38-$D38)&lt;0.001,"PASS","FAIL"),IF(EXACT(TRIM($E38),TRIM($D38)),"PASS","FAIL"))</f>
        <v>PASS</v>
      </c>
    </row>
    <row r="39" customFormat="false" ht="15" hidden="false" customHeight="false" outlineLevel="0" collapsed="false">
      <c r="B39" s="81" t="s">
        <v>492</v>
      </c>
      <c r="C39" s="82" t="s">
        <v>493</v>
      </c>
      <c r="D39" s="83" t="n">
        <v>-25</v>
      </c>
      <c r="E39" s="84" t="n">
        <f aca="false">SUMIFS(MVT_NET,MVT_OP,"AJUSTEMENT")</f>
        <v>-25</v>
      </c>
      <c r="F39" s="53" t="str">
        <f aca="false">IF(ISNUMBER($D39),IF(ABS($E39-$D39)&lt;0.001,"PASS","FAIL"),IF(EXACT(TRIM($E39),TRIM($D39)),"PASS","FAIL"))</f>
        <v>PASS</v>
      </c>
    </row>
    <row r="40" customFormat="false" ht="15" hidden="false" customHeight="false" outlineLevel="0" collapsed="false">
      <c r="B40" s="81" t="s">
        <v>494</v>
      </c>
      <c r="C40" s="82" t="s">
        <v>495</v>
      </c>
      <c r="D40" s="45" t="s">
        <v>457</v>
      </c>
      <c r="E40" s="53" t="str">
        <f aca="false">OPERATIONS!$Q$14</f>
        <v>OK</v>
      </c>
      <c r="F40" s="53" t="str">
        <f aca="false">IF(ISNUMBER($D40),IF(ABS($E40-$D40)&lt;0.001,"PASS","FAIL"),IF(EXACT(TRIM($E40),TRIM($D40)),"PASS","FAIL"))</f>
        <v>PASS</v>
      </c>
    </row>
    <row r="41" customFormat="false" ht="15" hidden="false" customHeight="false" outlineLevel="0" collapsed="false">
      <c r="B41" s="81" t="s">
        <v>496</v>
      </c>
      <c r="C41" s="82" t="s">
        <v>497</v>
      </c>
      <c r="D41" s="83" t="n">
        <v>200</v>
      </c>
      <c r="E41" s="84" t="n">
        <f aca="false">STOCK!$D$9</f>
        <v>200</v>
      </c>
      <c r="F41" s="53" t="str">
        <f aca="false">IF(ISNUMBER($D41),IF(ABS($E41-$D41)&lt;0.001,"PASS","FAIL"),IF(EXACT(TRIM($E41),TRIM($D41)),"PASS","FAIL"))</f>
        <v>PASS</v>
      </c>
    </row>
    <row r="42" customFormat="false" ht="15" hidden="false" customHeight="false" outlineLevel="0" collapsed="false">
      <c r="B42" s="81" t="s">
        <v>498</v>
      </c>
      <c r="C42" s="82" t="s">
        <v>499</v>
      </c>
      <c r="D42" s="83" t="n">
        <v>200</v>
      </c>
      <c r="E42" s="84" t="n">
        <f aca="false">SUMIFS(MVT_NET,MVT_LOT,"301")</f>
        <v>200</v>
      </c>
      <c r="F42" s="53" t="str">
        <f aca="false">IF(ISNUMBER($D42),IF(ABS($E42-$D42)&lt;0.001,"PASS","FAIL"),IF(EXACT(TRIM($E42),TRIM($D42)),"PASS","FAIL"))</f>
        <v>PASS</v>
      </c>
    </row>
    <row r="43" customFormat="false" ht="15" hidden="false" customHeight="false" outlineLevel="0" collapsed="false">
      <c r="B43" s="81" t="s">
        <v>500</v>
      </c>
      <c r="C43" s="82" t="s">
        <v>501</v>
      </c>
      <c r="D43" s="83" t="n">
        <v>1650</v>
      </c>
      <c r="E43" s="84" t="n">
        <f aca="false">SUMIFS(MVT_NET,MVT_PROD,"Sardine")</f>
        <v>1650</v>
      </c>
      <c r="F43" s="53" t="str">
        <f aca="false">IF(ISNUMBER($D43),IF(ABS($E43-$D43)&lt;0.001,"PASS","FAIL"),IF(EXACT(TRIM($E43),TRIM($D43)),"PASS","FAIL"))</f>
        <v>PASS</v>
      </c>
    </row>
    <row r="44" customFormat="false" ht="15" hidden="false" customHeight="false" outlineLevel="0" collapsed="false">
      <c r="B44" s="81" t="s">
        <v>502</v>
      </c>
      <c r="C44" s="82" t="s">
        <v>503</v>
      </c>
      <c r="D44" s="83" t="n">
        <v>4375</v>
      </c>
      <c r="E44" s="84" t="n">
        <f aca="false">SUMIFS(MVT_NET,MVT_ETAT,"ENTIER")</f>
        <v>4375</v>
      </c>
      <c r="F44" s="53" t="str">
        <f aca="false">IF(ISNUMBER($D44),IF(ABS($E44-$D44)&lt;0.001,"PASS","FAIL"),IF(EXACT(TRIM($E44),TRIM($D44)),"PASS","FAIL"))</f>
        <v>PASS</v>
      </c>
    </row>
    <row r="45" customFormat="false" ht="15" hidden="false" customHeight="false" outlineLevel="0" collapsed="false">
      <c r="B45" s="81" t="s">
        <v>504</v>
      </c>
      <c r="C45" s="82" t="s">
        <v>505</v>
      </c>
      <c r="D45" s="45" t="s">
        <v>506</v>
      </c>
      <c r="E45" s="53" t="str">
        <f aca="false">STOCK!$H$225</f>
        <v>BILAN OK</v>
      </c>
      <c r="F45" s="53" t="str">
        <f aca="false">IF(ISNUMBER($D45),IF(ABS($E45-$D45)&lt;0.001,"PASS","FAIL"),IF(EXACT(TRIM($E45),TRIM($D45)),"PASS","FAIL"))</f>
        <v>PASS</v>
      </c>
    </row>
    <row r="47" customFormat="false" ht="30" hidden="false" customHeight="true" outlineLevel="0" collapsed="false">
      <c r="B47" s="85" t="s">
        <v>507</v>
      </c>
      <c r="C47" s="85"/>
      <c r="D47" s="85"/>
      <c r="E47" s="85"/>
      <c r="F47" s="85"/>
    </row>
  </sheetData>
  <mergeCells count="4">
    <mergeCell ref="A1:F1"/>
    <mergeCell ref="A2:F2"/>
    <mergeCell ref="B4:C4"/>
    <mergeCell ref="B47:F47"/>
  </mergeCells>
  <conditionalFormatting sqref="B4">
    <cfRule type="expression" priority="2" aboveAverage="0" equalAverage="0" bottom="0" percent="0" rank="0" text="" dxfId="0">
      <formula>COUNTIF($F$7:$F$45,"FAIL")&gt;0</formula>
    </cfRule>
  </conditionalFormatting>
  <conditionalFormatting sqref="F7:F45">
    <cfRule type="cellIs" priority="3" operator="equal" aboveAverage="0" equalAverage="0" bottom="0" percent="0" rank="0" text="" dxfId="9">
      <formula>"PASS"</formula>
    </cfRule>
    <cfRule type="cellIs" priority="4" operator="equal" aboveAverage="0" equalAverage="0" bottom="0" percent="0" rank="0" text="" dxfId="13">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2026-09-02T20:46:50Z</dcterms:created>
  <dc:creator>openpyxl</dc:creator>
  <dc:description/>
  <dc:language>en-US</dc:language>
  <cp:lastModifiedBy/>
  <dcterms:modified xsi:type="dcterms:W3CDTF">2026-09-02T20:46:57Z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